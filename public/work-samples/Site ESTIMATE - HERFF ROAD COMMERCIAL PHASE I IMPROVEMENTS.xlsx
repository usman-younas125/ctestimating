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Takeoff Breakdown" sheetId="1" r:id="rId1"/>
    <sheet name="LABOR SHEET" sheetId="6" r:id="rId2"/>
  </sheets>
  <definedNames>
    <definedName name="_xlnm._FilterDatabase" localSheetId="0" hidden="1">'Takeoff Breakdown'!$A$1:$AJ$346</definedName>
    <definedName name="_xlnm.Print_Area" localSheetId="0">'Takeoff Breakdown'!$A$2:$Q$346</definedName>
    <definedName name="_xlnm.Print_Titles" localSheetId="0">'Takeoff Breakdown'!$1:$6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<sst xmlns="http://schemas.openxmlformats.org/spreadsheetml/2006/main" count="599" uniqueCount="335">
  <si>
    <t>DETAILED BREAKDOWN OF ITEMS</t>
  </si>
  <si>
    <t>Project Name</t>
  </si>
  <si>
    <t>HERFF ROAD COMMERCIAL PHASE I IMPROVEMENTS</t>
  </si>
  <si>
    <t>Project Address</t>
  </si>
  <si>
    <t>10-18 HERFF ROAD, BOERNE, TX 78006</t>
  </si>
  <si>
    <t>Scope:</t>
  </si>
  <si>
    <t>SITEWORK</t>
  </si>
  <si>
    <t>S#</t>
  </si>
  <si>
    <t>Dwg.</t>
  </si>
  <si>
    <t>CSI NO</t>
  </si>
  <si>
    <t>DESCRIPTION</t>
  </si>
  <si>
    <t>QTY.</t>
  </si>
  <si>
    <t>Wastage</t>
  </si>
  <si>
    <t>Qty w/ Waste</t>
  </si>
  <si>
    <t>UNIT</t>
  </si>
  <si>
    <t>UNIT LABOR HOUR</t>
  </si>
  <si>
    <t>TOTAL LABOR HOUR</t>
  </si>
  <si>
    <t>LABOR WAGE/ HOUR</t>
  </si>
  <si>
    <t>UNIT LABOR COST</t>
  </si>
  <si>
    <t>TOTAL LABOR COST</t>
  </si>
  <si>
    <t>UNIT MATERIAL  COST</t>
  </si>
  <si>
    <t>TOTAL MATERIAL COST</t>
  </si>
  <si>
    <t>UNIT PRICE (Labor &amp; Material)</t>
  </si>
  <si>
    <t>TRADE TOTAL</t>
  </si>
  <si>
    <t>DIVISION 01-GENERAL REQUIREMENTS</t>
  </si>
  <si>
    <t>Permits</t>
  </si>
  <si>
    <t>LS</t>
  </si>
  <si>
    <t>Supervision and Coordination</t>
  </si>
  <si>
    <t>Submittals and Shop drawings</t>
  </si>
  <si>
    <t>Final Cleaning</t>
  </si>
  <si>
    <t>Mobilization Costs</t>
  </si>
  <si>
    <t>Temporary Control &amp; Facilities</t>
  </si>
  <si>
    <t>Scaffolding</t>
  </si>
  <si>
    <t>SUBTOTAL</t>
  </si>
  <si>
    <t>DIVISION 02- EXISTING CONDITIONS</t>
  </si>
  <si>
    <t>SITE DEMOLITION</t>
  </si>
  <si>
    <t>C2.0</t>
  </si>
  <si>
    <t>Existing Structure To Be Removed</t>
  </si>
  <si>
    <t>SF</t>
  </si>
  <si>
    <t>Existing Fence &amp; Walls &amp; Gate To Be Removed</t>
  </si>
  <si>
    <t>LF</t>
  </si>
  <si>
    <t>Existing Side Walk To Be Removed</t>
  </si>
  <si>
    <t>Existing Wire Fence To Be Removed</t>
  </si>
  <si>
    <t>Existing Asphalt Pavement To Be Removed</t>
  </si>
  <si>
    <t>Sawcut For Pavement Removal</t>
  </si>
  <si>
    <t>Landscaping Demolition</t>
  </si>
  <si>
    <t>Existing Oak Trees To Be Removed</t>
  </si>
  <si>
    <t>EA</t>
  </si>
  <si>
    <t>Existing Pecan Trees To Be Removed</t>
  </si>
  <si>
    <t>Hauling Of demolation Materials</t>
  </si>
  <si>
    <t>DIVISION 31- EARTHWORK</t>
  </si>
  <si>
    <t>GRADING</t>
  </si>
  <si>
    <t>C2.0-C9</t>
  </si>
  <si>
    <t>Total Cut</t>
  </si>
  <si>
    <t>CY</t>
  </si>
  <si>
    <t>Total Fill</t>
  </si>
  <si>
    <t>Soil To Be Import</t>
  </si>
  <si>
    <t>DIVISION 32- EXTERIOR IMPROVEMENTS</t>
  </si>
  <si>
    <t>EXTERIOR IMPROVEMENTS</t>
  </si>
  <si>
    <t>C2.0-F1.1</t>
  </si>
  <si>
    <t>Wood Fence</t>
  </si>
  <si>
    <t>"G" Wood Fence (8' H )</t>
  </si>
  <si>
    <t>(Light Duty) - Asphalt Pavement</t>
  </si>
  <si>
    <t>"A1" 1.5" Thick Type "D" Hot Asphalt Mix Pavement
 (Light Duty)</t>
  </si>
  <si>
    <t>9" Thick Compacted Flexible Base</t>
  </si>
  <si>
    <t>6" Thick Compacted Sub-Grade</t>
  </si>
  <si>
    <t>Heavy-Duty Concrete Pavement</t>
  </si>
  <si>
    <t>"A3" 6" Thick Heavy-Duty Concrete Pavement 
W/ Reinforcement</t>
  </si>
  <si>
    <t>1/2" Expansion Joint 1/2" X3/8" Sealant</t>
  </si>
  <si>
    <t>1/2"X1/8" Bond Breaker Material</t>
  </si>
  <si>
    <t>1/2" X 6" Resilient Filler</t>
  </si>
  <si>
    <t>1/2" Construction Joint 1/2" X3/8" Sealant</t>
  </si>
  <si>
    <t>Formwork</t>
  </si>
  <si>
    <t>Concrete Sidewalk</t>
  </si>
  <si>
    <t>"B1" 4" Thick Concrete Sidewalk W/ Welded Wire Flat</t>
  </si>
  <si>
    <t>Sheets 6" X 6" W2.9 X W2.9 Or #3 Bars @ 12" O.C.B.W. Centered In Slab</t>
  </si>
  <si>
    <t>1" Thick Sand Cushion</t>
  </si>
  <si>
    <t>Compacted Sub-Grade</t>
  </si>
  <si>
    <t>"B2" 4" Thick Concrete Sidewalk W/ Welded Wire Flat</t>
  </si>
  <si>
    <t>#3 Bars @ 12" O.C Centered In Slab</t>
  </si>
  <si>
    <t>LBS</t>
  </si>
  <si>
    <t>#3 Bars @ 8" O.C Centered In Slab</t>
  </si>
  <si>
    <t>2" Thick Sand Cushion</t>
  </si>
  <si>
    <t>Concrete Curb</t>
  </si>
  <si>
    <t>"C1" (6"X9") Concrete Curb (2390 Lf)</t>
  </si>
  <si>
    <t>2#3 Bar</t>
  </si>
  <si>
    <t>"C2" (20"X9") Standard / Flush Concrete Curb (150 Lf)</t>
  </si>
  <si>
    <t>3#3 Bar</t>
  </si>
  <si>
    <t>"C3" (9"X12") Concrete Curb (156 Lf)</t>
  </si>
  <si>
    <t>18" Bar @ 18" O.C</t>
  </si>
  <si>
    <t>Concrete Wheel stop</t>
  </si>
  <si>
    <t>"F" (10" X6'-0") Precast Concrete Wheel stop W/ 2 #4 Bars</t>
  </si>
  <si>
    <t>"A2" 2" Thick Type "D" Hot Asphalt Mix Pavement
 (Medium Duty)</t>
  </si>
  <si>
    <t>12" Thick Compacted Flexible Base</t>
  </si>
  <si>
    <t>Parking Paint</t>
  </si>
  <si>
    <t>"E1" Pavement Marking International Handicap Symbol</t>
  </si>
  <si>
    <t>"E2" Pavement Marking Pvmt Mrkg: 12" Height Letter At 2" Stroke Width "No Parking"</t>
  </si>
  <si>
    <t>"E5" Pvmt Mrkg: Bus Parking (White)</t>
  </si>
  <si>
    <t>"E6" Pvmt Mrkg: 4" Wide Painted Stripe (White)</t>
  </si>
  <si>
    <t>"E3" Pvmt Mrkg: 12" Height Letter At 2" Stroke Width
"No Parking"</t>
  </si>
  <si>
    <t>"E4" Pvmt Mrkg: Exit Only (White)</t>
  </si>
  <si>
    <t>Concrete Flum</t>
  </si>
  <si>
    <t>"K" 6" Thick Concrete Flum</t>
  </si>
  <si>
    <t>"K" (12"X6") Concrete Thicken Edge</t>
  </si>
  <si>
    <t>#4 Bar Each Way</t>
  </si>
  <si>
    <t>#4 Bar @ 12" O.C</t>
  </si>
  <si>
    <t>Sediment Control Trap</t>
  </si>
  <si>
    <t>Sediment Control Trap That Needs To Be Installed</t>
  </si>
  <si>
    <t>Concrete Sidewalk Ramp</t>
  </si>
  <si>
    <t>"B3" 4" Thick Concrete Sidewalk Ramp W/ Grove &amp; Welded</t>
  </si>
  <si>
    <t>Wire Flat Sheets 6" X 6" W2.9 X W2.9 Or #3 Bars @ 12" O.C.B.W. Centered In Slab</t>
  </si>
  <si>
    <t>Decomposed Granite</t>
  </si>
  <si>
    <t>"Q" (7'-0" Deep ) Decomposed Granite (V.I.F)</t>
  </si>
  <si>
    <t>Excavation</t>
  </si>
  <si>
    <t>Signs</t>
  </si>
  <si>
    <t>"D1" Handicap Only W/ Van Accessible Sign</t>
  </si>
  <si>
    <t>"D2" Handicap Only Parking Sign</t>
  </si>
  <si>
    <t>"D3" Bike Parking Sign</t>
  </si>
  <si>
    <t>Signs Footing</t>
  </si>
  <si>
    <t>(1'-0"X2'-6" Deep) Concrete Footing At Sign</t>
  </si>
  <si>
    <t>Backfill</t>
  </si>
  <si>
    <t>Bike Rack Footing</t>
  </si>
  <si>
    <t>(2'-6"X2'-6"X2'-6") Concrete Footing</t>
  </si>
  <si>
    <t>Steel Railing</t>
  </si>
  <si>
    <t>"N" 36" H Steel Handrail</t>
  </si>
  <si>
    <t>Bike Rack</t>
  </si>
  <si>
    <t>"P" (8'-0") Long 11 Ga Steel Pipe 2" Dia W/ Polyester Powder -Coat Finish Bike Rack</t>
  </si>
  <si>
    <t>Concrete Driway</t>
  </si>
  <si>
    <t>6" Concrete Driway W/ Reinforcement (V.I.F) If Require 
Note: Erfe Road Improvements (See Herff Road Commercial - Public) And Priva Te Infrastructure Drawings)</t>
  </si>
  <si>
    <t>Concrete Euipment Pad</t>
  </si>
  <si>
    <t>6" Thick Concrete Euipment Pad</t>
  </si>
  <si>
    <t>Concrete Pad</t>
  </si>
  <si>
    <t>5" Thick Concrete (4000 Psi) Pad</t>
  </si>
  <si>
    <t>#4/Bars @ 12" O.C.E.W.</t>
  </si>
  <si>
    <t>IRRIGATION</t>
  </si>
  <si>
    <t>Irrigation Pipes</t>
  </si>
  <si>
    <t>(1-1/2") Dia Pvc Pipe</t>
  </si>
  <si>
    <t>(1-1/4") Dia Pvc Pipe</t>
  </si>
  <si>
    <t>(1/4") Dia Pvc Pipe</t>
  </si>
  <si>
    <t>(1/2") Dia Pvc Pipe</t>
  </si>
  <si>
    <t>(1") Dia Pvc Pipe</t>
  </si>
  <si>
    <t>(3/4") Dia Pvc Pipe</t>
  </si>
  <si>
    <t>2" Sleeve</t>
  </si>
  <si>
    <t>4" Sleeve</t>
  </si>
  <si>
    <t>Irrigation Trenching</t>
  </si>
  <si>
    <t>Irrigation System Temporary Areas</t>
  </si>
  <si>
    <t>Area To Receive Dripline Netafim Tlcv-06-12
Techline Pressure Compensating Landscape
Dripline With Check Valve. 0.6 Gph Emitters At 12"
O.C. Dripline Laterals Spaced At 18" Apart, With
Emitters Offset For Triangular Pattern. 17Mm.</t>
  </si>
  <si>
    <t>Temporary Turf Irrigation</t>
  </si>
  <si>
    <t>Connections/ Fixtures</t>
  </si>
  <si>
    <t>"F" Rain Bird Mdcfpcap Dripline Flush Valve Purple Cap In Compression Fitting Coupler.
6" Dia Round Valve Box</t>
  </si>
  <si>
    <t>"A" Rain Bird Arv050 1/21N. Air Relief Valve, Made Of Quality Rust-Proof
Materials, With A 61N. Drip Valve Box (Seb 7Xb
Emitter Box). Use With Installation Below Soil.
6" Dia Round Valve Box</t>
  </si>
  <si>
    <t>Pipe Transition Point Above Grade
Pipe Transition Point From Pvc Lateral To Drip
Tubing With Riser To Above Grade Installation.</t>
  </si>
  <si>
    <t>Rain Bird Peb
Plastic Industrial Valves. Low Flow Operating
Capability, Globe Configuration. Size As Shown.</t>
  </si>
  <si>
    <t>Netafim Lvczs8010075-Hf
Pre-Assembled Control Zone Kit, With 1" Series 80
Control Valve, 3/4" Disc Filter, And High Flow
Pressure Regulator 4.5Gpm To 17.6Gpm.</t>
  </si>
  <si>
    <t>"24 Adj" Rain Bird R-Van24 Rd-04-Sam-P45
Turf Rotary, It-24' 45-270 Degrees And 360 Degrees.
Hand Adjustable Multi-Stream Rotary W/Rdi 800
Turf Spray Body On 4.0" Pop-Up, With Check Valve
And 45 Psi In-Stem Pressure Regulator. 1/2" Npt
Female Threaded Inlet.</t>
  </si>
  <si>
    <t>"18 Adj" Rain Bird R-Van18 Rd-04-Sam-P45
Turf Rotary, 13-18'45-270 Degrees And 360 Degrees.
Hand Adjustable Multi-Stream Rotary W/Rdi 800
Turf Spray Body On 4.0" Pop-Up, With Check Valve
And 45 Psi In-Stem Pressure Regulator. 1/2" Npt
Female Threaded Inlet.</t>
  </si>
  <si>
    <t>"14 Adj" Rain Bird R-Van14 Rd-04-Sam-P45
Turf Rotary, 8-14'45-270 Degrees And 360 Degrees.
Hand Adjustable Multi-Stream Rotary W/Rd1800
Turf Spray Body On 4.0" Pop-Up, With Check Valve
And 45 Psi In-Stem Pressure Regulator. 1/2' Npt
Female Threaded Inlet.</t>
  </si>
  <si>
    <t>"M" Water Meter 1" Irrigation Only Water Meter,</t>
  </si>
  <si>
    <t>"Bf" Febco 850 1"
Double Check Backflow Prevention Assembly
Mounted In Below Grade Valve Box, Sized To Allow
Clearances For Repair And Replacement.</t>
  </si>
  <si>
    <t>"Mv" Master Valve 1"
Rain Bird Peb Plastic Remote Control Valve. Low
Flow Operating Capability, Globe Configuration.</t>
  </si>
  <si>
    <t>Shut Off Valve
Sch. 80 Pvc Ball Valve Manufactured By Spears.</t>
  </si>
  <si>
    <t>"1402" Rain Bird 1806-Sam-Prs-1400 Flood 1401
Flood Bubbler 6.0" Popup With Check Valve And
Pressure Regulator</t>
  </si>
  <si>
    <t>"C" Rain Bird Espme
Modular Outdoor Controller.</t>
  </si>
  <si>
    <t>"S" Rain Bird Wr2-Rfc
Wireless Rain And Freeze Sensor Combo, Includes 1
Receiver And 1 Rain/Freeze Sensor Transmitter.</t>
  </si>
  <si>
    <t>120V Junction Box</t>
  </si>
  <si>
    <t>Landscaping</t>
  </si>
  <si>
    <t>Trees</t>
  </si>
  <si>
    <t>"Po" American Sycamore / Platanus Occidentalis
Matching Specimens
Size: 6'-8" H</t>
  </si>
  <si>
    <t>"Bo" Bur Oak 1 Quercus Macrocarpa
Matching Specimens
Size: 14'-16" H</t>
  </si>
  <si>
    <t>"Iy" Pride Of Houston Yaupon Holly / Ilex Vomitoria Pride Of Houston-
Size: 6'-8" H</t>
  </si>
  <si>
    <t>"Pm" Mexican Sycamore / Platanus Mexicana
Matching, Straight Trunk
Size: 10'-16' H</t>
  </si>
  <si>
    <t>Agriform Tablet For Trees</t>
  </si>
  <si>
    <t>Shrubs</t>
  </si>
  <si>
    <t>"Bm" Big Muhly / Muhlenbergia Lindheimeri Full, Well Rooted
Size: 18"-24" H
Agriform Tablet (Two Per Tree)</t>
  </si>
  <si>
    <t>"Ts" Green Cloud Texas Sage / Leucophyllum Frutescens 'Green Cloud' Full. Well Rooted
Size: 24"-36" H</t>
  </si>
  <si>
    <t>"Gc" Grey-Leaf Cotoneaster / Grey-Leaf Cotoneaster Full, Well Rooted
Size: 18"-24" H</t>
  </si>
  <si>
    <t>"Pj" Primrose Jasmine J' Jasminum Mesnyi Full, Weel Rooted
Size: 24"-36" H</t>
  </si>
  <si>
    <t>"Mo" Monterey Oak / Quercus Polymorpha Monterey
Matching Specimens
Size: 14"-16" H</t>
  </si>
  <si>
    <t>Agriform Tablet</t>
  </si>
  <si>
    <t>Soding</t>
  </si>
  <si>
    <t>"Sod" Bermuda Grass Cynodon Dactylon 'Common'
Tight Sand Rolled Joints, Finished Sod To Be Weed Free.</t>
  </si>
  <si>
    <t>Granite</t>
  </si>
  <si>
    <t>"Dg" 3" Thick Decomposed Granite Texas Pink Granite(2007Sf)</t>
  </si>
  <si>
    <t>3" Depth Compacted On Filter Fabric, Stabilizer Additive</t>
  </si>
  <si>
    <t>Gravel</t>
  </si>
  <si>
    <t>"Gra" 4" Depth Texas Blend River Gravel (2304 Sf)</t>
  </si>
  <si>
    <t>On 50Z. Weed Barrier Fabric</t>
  </si>
  <si>
    <t>Compacted Subgrade</t>
  </si>
  <si>
    <t>Edge Staked</t>
  </si>
  <si>
    <t>"Edg" Edging Aluminum Edger W/ 3/16" X 4" Staked
 Painted Green</t>
  </si>
  <si>
    <t>Mulching</t>
  </si>
  <si>
    <t>"Mul" 4" Depth Hardwood Mulch Double Shredded</t>
  </si>
  <si>
    <t>12" Deep Excavation</t>
  </si>
  <si>
    <t>12" Deep Soile Fill For Planting</t>
  </si>
  <si>
    <t>Landscape Berm</t>
  </si>
  <si>
    <t>"H" Soil Fill For Landscape Berm (3' H)</t>
  </si>
  <si>
    <t>Site Fire Protection</t>
  </si>
  <si>
    <t>Hose Lay Around The Building For Fire Protection</t>
  </si>
  <si>
    <t>6" Wide Red Painted Strip Around The Curb For Fire Protection</t>
  </si>
  <si>
    <t>Pedestrian Gate With Knox Box</t>
  </si>
  <si>
    <t>Pavement Parking "No Parking Fire Line" 4" Tall Letter</t>
  </si>
  <si>
    <t>DIVISION 33- UTILITIES</t>
  </si>
  <si>
    <t>UTILITIES</t>
  </si>
  <si>
    <t>Sewer Piping</t>
  </si>
  <si>
    <t>6" Dia Pvc Sewer Pipe Line</t>
  </si>
  <si>
    <t>8" Dia Pvc Pipe Line</t>
  </si>
  <si>
    <t>12" Dia Pvc Pipe Line</t>
  </si>
  <si>
    <t>6" Dia Pvc Pipe Line</t>
  </si>
  <si>
    <t>4" Sewer Line (V.I.F)</t>
  </si>
  <si>
    <t>3" Dia Pvc Sewer Pipe Line</t>
  </si>
  <si>
    <t>6" Dia French Drain</t>
  </si>
  <si>
    <t>Water Piping</t>
  </si>
  <si>
    <t>1" Dia Sch. 40 Pvc Water Line</t>
  </si>
  <si>
    <t>2" Dia Gas Pipe Line</t>
  </si>
  <si>
    <t>6" Dia Pvc Water Pipe Line</t>
  </si>
  <si>
    <t>2" Dia Pvc Water Pipe Line</t>
  </si>
  <si>
    <t>1-1/2" Dia Sch. 40 Pvc Water Line</t>
  </si>
  <si>
    <t>Gas Piping</t>
  </si>
  <si>
    <t>Install Underground Gas Services Line</t>
  </si>
  <si>
    <t>Electric Conduits</t>
  </si>
  <si>
    <t>2" Dia Conduits Install Underground Electric Services Line</t>
  </si>
  <si>
    <t>Trenching Below 3" Pipe</t>
  </si>
  <si>
    <t>(2'-0" Widex3'-6" Deep) Excavation (1861 Lf)</t>
  </si>
  <si>
    <t>(2'-0"X0'-2") Sand Bedding</t>
  </si>
  <si>
    <t>(2'-0"X3'-4") Native Backfill</t>
  </si>
  <si>
    <t>Trenching Above 3" Pipe</t>
  </si>
  <si>
    <t>(2'-0" Widex3'-6" Deep) Excavation (2527 Lf)</t>
  </si>
  <si>
    <t>(2'-0"X1'-6") Sand Bedding</t>
  </si>
  <si>
    <t>(2'-0"X1'-0") Gravel Fill</t>
  </si>
  <si>
    <t>(2'-0"X1'-0") Native Backfill</t>
  </si>
  <si>
    <t>Rip-Rap</t>
  </si>
  <si>
    <t>(8" Depth) Rock Rubble Rip-Rap</t>
  </si>
  <si>
    <t>Connection Pipe Line To Existing Sewer</t>
  </si>
  <si>
    <t>12" Stainless Steel Floor Drain
(Zurn@ Model #Z1899, Or Equal</t>
  </si>
  <si>
    <t>12" Precast Drain Basin (1'-6" H)</t>
  </si>
  <si>
    <t>New To Existing Pvc Pipe Line Connection</t>
  </si>
  <si>
    <t>Pvc Sewer Pipe Line To Building Line Connection</t>
  </si>
  <si>
    <t>Gas Pipe Line To Building Line Connection</t>
  </si>
  <si>
    <t>Electrical Line To Building Line Connection</t>
  </si>
  <si>
    <t>Domestic Water Pipe Line To Building Line Connection</t>
  </si>
  <si>
    <t>Fire Suppression Pipe Line To Building Line Connection</t>
  </si>
  <si>
    <t>Water Line Stub Up And Cap Services For Future Connection</t>
  </si>
  <si>
    <t>4" Utility Sleeves (Sch 40 Pvc),36" Bury Depth (Min.), And Capped</t>
  </si>
  <si>
    <t>Stub Into Empty Meter Box</t>
  </si>
  <si>
    <t>Tie To 2" Gas Service Stub out And
Place Gas Meter / Regulator</t>
  </si>
  <si>
    <t>Install Customer Riser W/ Fused Disconnect</t>
  </si>
  <si>
    <t>Connection Electrical Line Tie To Existing Overhead Distribution</t>
  </si>
  <si>
    <t>1-1/2" Water Meter (Domestic)</t>
  </si>
  <si>
    <t>3/4" Water Meter (Irrigation)
(Ref: Landscape)</t>
  </si>
  <si>
    <t>6" Double Check Detector Assembly</t>
  </si>
  <si>
    <t>Tie To 6" Stub out At Main Water Line</t>
  </si>
  <si>
    <t>2" Reduced Pressure principle Backflow Preventer (Rpz)</t>
  </si>
  <si>
    <t>1/8" Bend Connection</t>
  </si>
  <si>
    <t>(7'-0"X2'-6") Sanitary Grease Trap</t>
  </si>
  <si>
    <t>2'-0" Dia Sample Port</t>
  </si>
  <si>
    <t>1-1/2" Reduced Pressure principle Backflow Preventer (Rpz)</t>
  </si>
  <si>
    <t>1" Reduced Pressure principle Backflow Preventer (Rpz)</t>
  </si>
  <si>
    <t>Domestic Water Pipe Line Water Merter Connection</t>
  </si>
  <si>
    <t>Cleanout</t>
  </si>
  <si>
    <t>18" Dia Sewer Cleanout (2'-5" H)</t>
  </si>
  <si>
    <t>18" Dia Sewer Cleanout (4'-0" H)</t>
  </si>
  <si>
    <t>18" Dia Sewer Cleanout (5'-0" H)</t>
  </si>
  <si>
    <t>18" Dia Sewer Cleanout (4'-5" H)</t>
  </si>
  <si>
    <t>18" Dia Sewer Cleanout (3'-9" H)</t>
  </si>
  <si>
    <t>Water Storage Tank (Assembly)</t>
  </si>
  <si>
    <t>5,000-Gallon Vertical
Polyethylene Water Storage Tank
6" Thick Flexible Base Material(10'X10')</t>
  </si>
  <si>
    <r>
      <rPr>
        <sz val="12"/>
        <color theme="1"/>
        <rFont val="Calibri"/>
        <charset val="134"/>
      </rPr>
      <t xml:space="preserve">1,000 Gallon Black Poly
Rain Water Catchment Tank
</t>
    </r>
    <r>
      <rPr>
        <sz val="12"/>
        <color rgb="FFFF0000"/>
        <rFont val="Calibri"/>
        <charset val="134"/>
      </rPr>
      <t>Rainwater Contractor To Provide</t>
    </r>
    <r>
      <rPr>
        <sz val="12"/>
        <color theme="1"/>
        <rFont val="Calibri"/>
        <charset val="134"/>
      </rPr>
      <t xml:space="preserve">
Bid For Fully Operational System
From Roof To Outfall.
Provide Engineered Slab. (1 Ls)
6" Thick Flexible Base Material(10'X10')</t>
    </r>
  </si>
  <si>
    <t>3,000-Gallon Vertical
Polyethylene Water Storage Tank
6" Thick Flexible Base Material(10'X10')</t>
  </si>
  <si>
    <t>Rain Water First Flush Filter</t>
  </si>
  <si>
    <t>6" Pvc Overflow (10' H)</t>
  </si>
  <si>
    <t>6" Pvc Pump Discharge Pipe (10' H)</t>
  </si>
  <si>
    <t>2" Pvc Water Pipe Line (4' H)</t>
  </si>
  <si>
    <t>2" Ball Valve (2 Ea For All)</t>
  </si>
  <si>
    <r>
      <rPr>
        <sz val="12"/>
        <color theme="1"/>
        <rFont val="Calibri"/>
        <charset val="134"/>
      </rPr>
      <t>Pre Cast Recess Pump Basin (</t>
    </r>
    <r>
      <rPr>
        <sz val="12"/>
        <color rgb="FFFF0000"/>
        <rFont val="Calibri"/>
        <charset val="134"/>
      </rPr>
      <t>Detail Not Mentioned</t>
    </r>
    <r>
      <rPr>
        <sz val="12"/>
        <color theme="1"/>
        <rFont val="Calibri"/>
        <charset val="134"/>
      </rPr>
      <t>)</t>
    </r>
  </si>
  <si>
    <t>Aggregate</t>
  </si>
  <si>
    <t>12" Thick Aggregate At Detention Pond Area (Thickness Assumed V.I.F)</t>
  </si>
  <si>
    <t>Note: (See Herff Road Commercial - Public) And Priva Te Infrastructure Drawings)</t>
  </si>
  <si>
    <t/>
  </si>
  <si>
    <t>TOTAL LABOR HOURS</t>
  </si>
  <si>
    <t>TOTAL AMOUNT</t>
  </si>
  <si>
    <t>CONTIGENCIES (5%)</t>
  </si>
  <si>
    <t>OVERHEAD&amp; PROFIT (15%)</t>
  </si>
  <si>
    <t>TAX (6.25%)</t>
  </si>
  <si>
    <t>PERFORMANCE AND PAYMENT BONDS</t>
  </si>
  <si>
    <t>TOTAL BASEBID</t>
  </si>
  <si>
    <t>Labor Type</t>
  </si>
  <si>
    <t>Labor Rate</t>
  </si>
  <si>
    <t>Plumbing</t>
  </si>
  <si>
    <t>Plum</t>
  </si>
  <si>
    <t>Earthwork</t>
  </si>
  <si>
    <t>Q14C</t>
  </si>
  <si>
    <t>Exterior Improvement</t>
  </si>
  <si>
    <t>B15S</t>
  </si>
  <si>
    <t>Manhour Increase Factor</t>
  </si>
  <si>
    <t>Each/Count</t>
  </si>
  <si>
    <t>Linear Footage</t>
  </si>
  <si>
    <t>Square Footage</t>
  </si>
  <si>
    <t>Square Yard</t>
  </si>
  <si>
    <t>SY</t>
  </si>
  <si>
    <t>Cubic Yard</t>
  </si>
  <si>
    <t>Lumpsum</t>
  </si>
  <si>
    <t>Survery</t>
  </si>
  <si>
    <t>Survey</t>
  </si>
  <si>
    <t>Stair Riser</t>
  </si>
  <si>
    <t>RISER</t>
  </si>
  <si>
    <t>Blocks Count</t>
  </si>
  <si>
    <t>BLOCKS</t>
  </si>
  <si>
    <t>Bags of Pre-Mix Mortar</t>
  </si>
  <si>
    <t>BAGS</t>
  </si>
  <si>
    <t>Linear Footage of Wall</t>
  </si>
  <si>
    <t>LF.Wall</t>
  </si>
  <si>
    <t>Pounds</t>
  </si>
  <si>
    <t>Pieces</t>
  </si>
  <si>
    <t>PCs</t>
  </si>
  <si>
    <t>Location</t>
  </si>
  <si>
    <t>LOC</t>
  </si>
  <si>
    <t>Bundle</t>
  </si>
  <si>
    <t>Rolls</t>
  </si>
  <si>
    <t>ROLLS</t>
  </si>
  <si>
    <t>Boxes</t>
  </si>
  <si>
    <t>BOX</t>
  </si>
  <si>
    <t>Holeses</t>
  </si>
  <si>
    <t>Holes</t>
  </si>
  <si>
    <t>PC</t>
  </si>
  <si>
    <t>Tubes</t>
  </si>
  <si>
    <t>Tube</t>
  </si>
  <si>
    <t>Gallons</t>
  </si>
  <si>
    <t>GA</t>
  </si>
  <si>
    <t>Square of Roofing</t>
  </si>
  <si>
    <t>SQ</t>
  </si>
  <si>
    <t>N/A</t>
  </si>
  <si>
    <t>NOTE:</t>
  </si>
  <si>
    <t>Prevailing wages have been included in this estimate in compliance with the Davis-Bacon Act.</t>
  </si>
  <si>
    <t>Material pricing is based on current market rates sourced from reputable online platforms and suppliers.</t>
  </si>
  <si>
    <t>Please note that actual costs may vary depending on site-specific conditions, unforeseen circumstances, or changes in market conditions.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</si>
</sst>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-* #,##0_-;\-* #,##0_-;_-* &quot;-&quot;_-;_-@_-"/>
    <numFmt numFmtId="178" formatCode="_-&quot;£&quot;* #,##0_-;\-&quot;£&quot;* #,##0_-;_-&quot;£&quot;* &quot;-&quot;_-;_-@_-"/>
    <numFmt numFmtId="179" formatCode="_(&quot;$&quot;* #,##0_);_(&quot;$&quot;* \(#,##0\);_(&quot;$&quot;* &quot;-&quot;??_);_(@_)"/>
    <numFmt numFmtId="180" formatCode="000000"/>
    <numFmt numFmtId="181" formatCode="0.000"/>
    <numFmt numFmtId="182" formatCode="0.0"/>
    <numFmt numFmtId="183" formatCode="_(&quot;$&quot;* #,##0.0_);_(&quot;$&quot;* \(#,##0.0\);_(&quot;$&quot;* &quot;-&quot;??_);_(@_)"/>
    <numFmt numFmtId="184" formatCode="[$-409]d/mmm/yy;@"/>
    <numFmt numFmtId="185" formatCode="0.0000"/>
    <numFmt numFmtId="186" formatCode="0.0%"/>
  </numFmts>
  <fonts count="52">
    <font>
      <sz val="11"/>
      <color theme="1"/>
      <name val="Tw Cen MT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i/>
      <sz val="11"/>
      <color theme="1"/>
      <name val="Calibri"/>
      <charset val="134"/>
    </font>
    <font>
      <b/>
      <i/>
      <sz val="12"/>
      <color theme="1"/>
      <name val="Calibri"/>
      <charset val="134"/>
    </font>
    <font>
      <b/>
      <sz val="10"/>
      <color rgb="FFFF0000"/>
      <name val="Calibri"/>
      <charset val="134"/>
    </font>
    <font>
      <sz val="10"/>
      <color theme="1"/>
      <name val="Calibri"/>
      <charset val="134"/>
    </font>
    <font>
      <sz val="12"/>
      <color theme="1"/>
      <name val="Calibri"/>
      <charset val="134"/>
    </font>
    <font>
      <sz val="12"/>
      <color indexed="8"/>
      <name val="Calibri"/>
      <charset val="134"/>
    </font>
    <font>
      <sz val="12"/>
      <color rgb="FF000000"/>
      <name val="Calibri"/>
      <charset val="134"/>
    </font>
    <font>
      <b/>
      <sz val="14"/>
      <color theme="0"/>
      <name val="Calibri"/>
      <charset val="134"/>
    </font>
    <font>
      <b/>
      <sz val="14"/>
      <color theme="1"/>
      <name val="Calibri"/>
      <charset val="134"/>
    </font>
    <font>
      <sz val="12"/>
      <name val="Calibri"/>
      <charset val="134"/>
    </font>
    <font>
      <b/>
      <sz val="12"/>
      <color theme="1"/>
      <name val="Calibri"/>
      <charset val="134"/>
    </font>
    <font>
      <b/>
      <sz val="14"/>
      <name val="Calibri"/>
      <charset val="134"/>
    </font>
    <font>
      <b/>
      <sz val="12"/>
      <color rgb="FF009A88"/>
      <name val="Calibri"/>
      <charset val="134"/>
    </font>
    <font>
      <sz val="12"/>
      <color rgb="FFFFFFFF"/>
      <name val="Calibri"/>
      <charset val="134"/>
    </font>
    <font>
      <b/>
      <sz val="12"/>
      <color rgb="FFFFFFFF"/>
      <name val="Calibri"/>
      <charset val="134"/>
    </font>
    <font>
      <sz val="12"/>
      <color indexed="9"/>
      <name val="Calibri"/>
      <charset val="134"/>
    </font>
    <font>
      <b/>
      <sz val="12"/>
      <color indexed="9"/>
      <name val="Calibri"/>
      <charset val="134"/>
    </font>
    <font>
      <b/>
      <sz val="12"/>
      <color indexed="8"/>
      <name val="Calibri"/>
      <charset val="134"/>
    </font>
    <font>
      <b/>
      <sz val="12"/>
      <name val="Calibri"/>
      <charset val="134"/>
    </font>
    <font>
      <u/>
      <sz val="12"/>
      <color indexed="10"/>
      <name val="Calibri"/>
      <charset val="134"/>
    </font>
    <font>
      <b/>
      <sz val="12"/>
      <color rgb="FF000000"/>
      <name val="Calibri"/>
      <charset val="134"/>
    </font>
    <font>
      <sz val="12"/>
      <color rgb="FF0C0C0C"/>
      <name val="Calibri"/>
      <charset val="134"/>
    </font>
    <font>
      <b/>
      <sz val="12"/>
      <color rgb="FFC00000"/>
      <name val="Calibri"/>
      <charset val="134"/>
    </font>
    <font>
      <b/>
      <sz val="12"/>
      <color theme="6"/>
      <name val="Calibri"/>
      <charset val="134"/>
    </font>
    <font>
      <sz val="12"/>
      <color rgb="FFFF0000"/>
      <name val="Calibri"/>
      <charset val="134"/>
    </font>
    <font>
      <b/>
      <sz val="12"/>
      <color rgb="FF0C0C0C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Tw Cen MT"/>
      <charset val="0"/>
      <scheme val="minor"/>
    </font>
    <font>
      <u/>
      <sz val="11"/>
      <color rgb="FF800080"/>
      <name val="Tw Cen MT"/>
      <charset val="0"/>
      <scheme val="minor"/>
    </font>
    <font>
      <sz val="11"/>
      <color rgb="FFFF0000"/>
      <name val="Tw Cen MT"/>
      <charset val="0"/>
      <scheme val="minor"/>
    </font>
    <font>
      <b/>
      <sz val="18"/>
      <color theme="3"/>
      <name val="Tw Cen MT"/>
      <charset val="134"/>
      <scheme val="minor"/>
    </font>
    <font>
      <i/>
      <sz val="11"/>
      <color rgb="FF7F7F7F"/>
      <name val="Tw Cen MT"/>
      <charset val="0"/>
      <scheme val="minor"/>
    </font>
    <font>
      <b/>
      <sz val="15"/>
      <color theme="3"/>
      <name val="Tw Cen MT"/>
      <charset val="134"/>
      <scheme val="minor"/>
    </font>
    <font>
      <b/>
      <sz val="13"/>
      <color theme="3"/>
      <name val="Tw Cen MT"/>
      <charset val="134"/>
      <scheme val="minor"/>
    </font>
    <font>
      <b/>
      <sz val="11"/>
      <color theme="3"/>
      <name val="Tw Cen MT"/>
      <charset val="134"/>
      <scheme val="minor"/>
    </font>
    <font>
      <sz val="11"/>
      <color rgb="FF3F3F76"/>
      <name val="Tw Cen MT"/>
      <charset val="0"/>
      <scheme val="minor"/>
    </font>
    <font>
      <b/>
      <sz val="11"/>
      <color rgb="FF3F3F3F"/>
      <name val="Tw Cen MT"/>
      <charset val="0"/>
      <scheme val="minor"/>
    </font>
    <font>
      <b/>
      <sz val="11"/>
      <color rgb="FFFA7D00"/>
      <name val="Tw Cen MT"/>
      <charset val="0"/>
      <scheme val="minor"/>
    </font>
    <font>
      <b/>
      <sz val="11"/>
      <color rgb="FFFFFFFF"/>
      <name val="Tw Cen MT"/>
      <charset val="0"/>
      <scheme val="minor"/>
    </font>
    <font>
      <sz val="11"/>
      <color rgb="FFFA7D00"/>
      <name val="Tw Cen MT"/>
      <charset val="0"/>
      <scheme val="minor"/>
    </font>
    <font>
      <b/>
      <sz val="11"/>
      <color theme="1"/>
      <name val="Tw Cen MT"/>
      <charset val="0"/>
      <scheme val="minor"/>
    </font>
    <font>
      <sz val="11"/>
      <color rgb="FF006100"/>
      <name val="Tw Cen MT"/>
      <charset val="0"/>
      <scheme val="minor"/>
    </font>
    <font>
      <sz val="11"/>
      <color rgb="FF9C0006"/>
      <name val="Tw Cen MT"/>
      <charset val="0"/>
      <scheme val="minor"/>
    </font>
    <font>
      <sz val="11"/>
      <color rgb="FF9C6500"/>
      <name val="Tw Cen MT"/>
      <charset val="0"/>
      <scheme val="minor"/>
    </font>
    <font>
      <sz val="11"/>
      <color theme="0"/>
      <name val="Tw Cen MT"/>
      <charset val="0"/>
      <scheme val="minor"/>
    </font>
    <font>
      <sz val="11"/>
      <color theme="1"/>
      <name val="Tw Cen MT"/>
      <charset val="0"/>
      <scheme val="minor"/>
    </font>
    <font>
      <sz val="12"/>
      <name val="Arial"/>
      <charset val="134"/>
    </font>
    <font>
      <sz val="11"/>
      <color rgb="FF000000"/>
      <name val="Calibri"/>
      <charset val="134"/>
    </font>
    <font>
      <b/>
      <sz val="12"/>
      <color theme="1"/>
      <name val="Tw Cen MT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496A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36609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17" borderId="38" applyNumberFormat="0" applyFont="0" applyAlignment="0" applyProtection="0"/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9" applyNumberFormat="0" applyFill="0" applyAlignment="0" applyProtection="0">
      <alignment vertical="center"/>
    </xf>
    <xf numFmtId="0" fontId="36" fillId="0" borderId="39" applyNumberFormat="0" applyFill="0" applyAlignment="0" applyProtection="0">
      <alignment vertical="center"/>
    </xf>
    <xf numFmtId="0" fontId="37" fillId="0" borderId="40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8" borderId="41" applyNumberFormat="0" applyAlignment="0" applyProtection="0">
      <alignment vertical="center"/>
    </xf>
    <xf numFmtId="0" fontId="39" fillId="19" borderId="42" applyNumberFormat="0" applyAlignment="0" applyProtection="0">
      <alignment vertical="center"/>
    </xf>
    <xf numFmtId="0" fontId="40" fillId="19" borderId="41" applyNumberFormat="0" applyAlignment="0" applyProtection="0">
      <alignment vertical="center"/>
    </xf>
    <xf numFmtId="0" fontId="41" fillId="20" borderId="43" applyNumberFormat="0" applyAlignment="0" applyProtection="0">
      <alignment vertical="center"/>
    </xf>
    <xf numFmtId="0" fontId="42" fillId="0" borderId="44" applyNumberFormat="0" applyFill="0" applyAlignment="0" applyProtection="0">
      <alignment vertical="center"/>
    </xf>
    <xf numFmtId="0" fontId="43" fillId="0" borderId="45" applyNumberFormat="0" applyFill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7" fillId="4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0" fillId="0" borderId="0"/>
    <xf numFmtId="0" fontId="49" fillId="0" borderId="0"/>
    <xf numFmtId="0" fontId="50" fillId="0" borderId="0">
      <protection locked="0"/>
    </xf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1" fontId="51" fillId="2" borderId="15">
      <alignment horizontal="center" vertical="center"/>
    </xf>
  </cellStyleXfs>
  <cellXfs count="222">
    <xf numFmtId="0" fontId="0" fillId="0" borderId="0" xfId="0"/>
    <xf numFmtId="0" fontId="1" fillId="2" borderId="0" xfId="52" applyFont="1" applyFill="1"/>
    <xf numFmtId="0" fontId="2" fillId="2" borderId="0" xfId="52" applyFont="1" applyFill="1"/>
    <xf numFmtId="0" fontId="3" fillId="2" borderId="0" xfId="52" applyFont="1" applyFill="1"/>
    <xf numFmtId="0" fontId="4" fillId="3" borderId="1" xfId="52" applyFont="1" applyFill="1" applyBorder="1" applyAlignment="1">
      <alignment horizontal="center"/>
    </xf>
    <xf numFmtId="0" fontId="4" fillId="3" borderId="2" xfId="52" applyFont="1" applyFill="1" applyBorder="1" applyAlignment="1">
      <alignment horizontal="center"/>
    </xf>
    <xf numFmtId="0" fontId="3" fillId="4" borderId="3" xfId="52" applyFont="1" applyFill="1" applyBorder="1" applyAlignment="1">
      <alignment horizontal="right"/>
    </xf>
    <xf numFmtId="0" fontId="4" fillId="4" borderId="4" xfId="52" applyFont="1" applyFill="1" applyBorder="1"/>
    <xf numFmtId="44" fontId="4" fillId="4" borderId="5" xfId="51" applyFont="1" applyFill="1" applyBorder="1"/>
    <xf numFmtId="0" fontId="3" fillId="4" borderId="6" xfId="52" applyFont="1" applyFill="1" applyBorder="1" applyAlignment="1">
      <alignment horizontal="right"/>
    </xf>
    <xf numFmtId="0" fontId="4" fillId="4" borderId="0" xfId="52" applyFont="1" applyFill="1"/>
    <xf numFmtId="44" fontId="4" fillId="4" borderId="7" xfId="51" applyFont="1" applyFill="1" applyBorder="1"/>
    <xf numFmtId="44" fontId="2" fillId="2" borderId="0" xfId="52" applyNumberFormat="1" applyFont="1" applyFill="1"/>
    <xf numFmtId="0" fontId="3" fillId="4" borderId="8" xfId="52" applyFont="1" applyFill="1" applyBorder="1" applyAlignment="1">
      <alignment horizontal="right"/>
    </xf>
    <xf numFmtId="0" fontId="4" fillId="4" borderId="9" xfId="52" applyFont="1" applyFill="1" applyBorder="1"/>
    <xf numFmtId="179" fontId="4" fillId="4" borderId="10" xfId="51" applyNumberFormat="1" applyFont="1" applyFill="1" applyBorder="1"/>
    <xf numFmtId="0" fontId="3" fillId="3" borderId="1" xfId="52" applyFont="1" applyFill="1" applyBorder="1" applyAlignment="1">
      <alignment horizontal="right"/>
    </xf>
    <xf numFmtId="9" fontId="3" fillId="3" borderId="2" xfId="56" applyFont="1" applyFill="1" applyBorder="1"/>
    <xf numFmtId="0" fontId="4" fillId="3" borderId="3" xfId="52" applyFont="1" applyFill="1" applyBorder="1" applyAlignment="1">
      <alignment horizontal="center"/>
    </xf>
    <xf numFmtId="0" fontId="4" fillId="3" borderId="5" xfId="52" applyFont="1" applyFill="1" applyBorder="1" applyAlignment="1">
      <alignment horizontal="center"/>
    </xf>
    <xf numFmtId="0" fontId="4" fillId="5" borderId="3" xfId="52" applyFont="1" applyFill="1" applyBorder="1" applyAlignment="1">
      <alignment horizontal="right"/>
    </xf>
    <xf numFmtId="0" fontId="4" fillId="5" borderId="4" xfId="52" applyFont="1" applyFill="1" applyBorder="1"/>
    <xf numFmtId="9" fontId="4" fillId="5" borderId="5" xfId="56" applyFont="1" applyFill="1" applyBorder="1"/>
    <xf numFmtId="0" fontId="4" fillId="5" borderId="6" xfId="52" applyFont="1" applyFill="1" applyBorder="1"/>
    <xf numFmtId="0" fontId="4" fillId="5" borderId="0" xfId="52" applyFont="1" applyFill="1"/>
    <xf numFmtId="9" fontId="4" fillId="5" borderId="7" xfId="56" applyFont="1" applyFill="1" applyBorder="1"/>
    <xf numFmtId="0" fontId="4" fillId="5" borderId="8" xfId="52" applyFont="1" applyFill="1" applyBorder="1"/>
    <xf numFmtId="0" fontId="4" fillId="5" borderId="9" xfId="52" applyFont="1" applyFill="1" applyBorder="1"/>
    <xf numFmtId="9" fontId="4" fillId="5" borderId="10" xfId="56" applyFont="1" applyFill="1" applyBorder="1"/>
    <xf numFmtId="0" fontId="5" fillId="2" borderId="0" xfId="52" applyFont="1" applyFill="1"/>
    <xf numFmtId="0" fontId="6" fillId="2" borderId="0" xfId="52" applyFont="1" applyFill="1"/>
    <xf numFmtId="0" fontId="7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0" fontId="11" fillId="0" borderId="4" xfId="0" applyFont="1" applyBorder="1" applyAlignment="1">
      <alignment horizontal="left" wrapText="1"/>
    </xf>
    <xf numFmtId="0" fontId="12" fillId="2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3" fontId="11" fillId="2" borderId="0" xfId="0" applyNumberFormat="1" applyFont="1" applyFill="1" applyAlignment="1">
      <alignment horizontal="left"/>
    </xf>
    <xf numFmtId="0" fontId="7" fillId="0" borderId="0" xfId="0" applyFont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/>
    </xf>
    <xf numFmtId="3" fontId="15" fillId="2" borderId="0" xfId="0" applyNumberFormat="1" applyFont="1" applyFill="1" applyAlignment="1">
      <alignment horizontal="left" vertical="center" wrapText="1"/>
    </xf>
    <xf numFmtId="180" fontId="16" fillId="8" borderId="12" xfId="0" applyNumberFormat="1" applyFont="1" applyFill="1" applyBorder="1" applyAlignment="1">
      <alignment horizontal="center" vertical="center" wrapText="1"/>
    </xf>
    <xf numFmtId="180" fontId="16" fillId="8" borderId="13" xfId="0" applyNumberFormat="1" applyFont="1" applyFill="1" applyBorder="1" applyAlignment="1">
      <alignment horizontal="center" vertical="center" wrapText="1"/>
    </xf>
    <xf numFmtId="0" fontId="17" fillId="8" borderId="13" xfId="0" applyFont="1" applyFill="1" applyBorder="1" applyAlignment="1">
      <alignment horizontal="center" vertical="center" wrapText="1"/>
    </xf>
    <xf numFmtId="180" fontId="18" fillId="9" borderId="14" xfId="0" applyNumberFormat="1" applyFont="1" applyFill="1" applyBorder="1" applyAlignment="1">
      <alignment horizontal="center" vertical="center" wrapText="1"/>
    </xf>
    <xf numFmtId="180" fontId="18" fillId="9" borderId="15" xfId="0" applyNumberFormat="1" applyFont="1" applyFill="1" applyBorder="1" applyAlignment="1">
      <alignment horizontal="center" vertical="center" wrapText="1"/>
    </xf>
    <xf numFmtId="180" fontId="16" fillId="8" borderId="15" xfId="0" applyNumberFormat="1" applyFont="1" applyFill="1" applyBorder="1" applyAlignment="1">
      <alignment horizontal="center" vertical="center" wrapText="1"/>
    </xf>
    <xf numFmtId="0" fontId="19" fillId="9" borderId="15" xfId="0" applyFont="1" applyFill="1" applyBorder="1" applyAlignment="1">
      <alignment horizontal="left" vertical="center" wrapText="1"/>
    </xf>
    <xf numFmtId="1" fontId="12" fillId="2" borderId="12" xfId="8" applyNumberFormat="1" applyFont="1" applyFill="1" applyBorder="1" applyAlignment="1">
      <alignment horizontal="center" vertical="center"/>
    </xf>
    <xf numFmtId="1" fontId="12" fillId="2" borderId="16" xfId="8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9" fontId="7" fillId="0" borderId="13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12" fillId="2" borderId="14" xfId="8" applyNumberFormat="1" applyFont="1" applyFill="1" applyBorder="1" applyAlignment="1">
      <alignment horizontal="center" vertical="center"/>
    </xf>
    <xf numFmtId="1" fontId="12" fillId="2" borderId="17" xfId="8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9" fontId="7" fillId="0" borderId="15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9" fontId="7" fillId="0" borderId="18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20" fillId="0" borderId="22" xfId="0" applyFont="1" applyBorder="1" applyAlignment="1">
      <alignment horizontal="right" vertical="center" wrapText="1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1" fontId="12" fillId="0" borderId="14" xfId="8" applyNumberFormat="1" applyFont="1" applyFill="1" applyBorder="1" applyAlignment="1">
      <alignment horizontal="center" vertical="center"/>
    </xf>
    <xf numFmtId="1" fontId="12" fillId="0" borderId="15" xfId="8" applyNumberFormat="1" applyFont="1" applyFill="1" applyBorder="1" applyAlignment="1">
      <alignment vertical="center"/>
    </xf>
    <xf numFmtId="1" fontId="12" fillId="0" borderId="21" xfId="8" applyNumberFormat="1" applyFont="1" applyFill="1" applyBorder="1" applyAlignment="1">
      <alignment horizontal="center" vertical="center"/>
    </xf>
    <xf numFmtId="0" fontId="20" fillId="10" borderId="15" xfId="0" applyFont="1" applyFill="1" applyBorder="1"/>
    <xf numFmtId="0" fontId="7" fillId="0" borderId="17" xfId="0" applyFont="1" applyBorder="1" applyAlignment="1">
      <alignment horizontal="center" vertical="center"/>
    </xf>
    <xf numFmtId="1" fontId="21" fillId="0" borderId="18" xfId="8" applyNumberFormat="1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top"/>
    </xf>
    <xf numFmtId="1" fontId="12" fillId="0" borderId="25" xfId="8" applyNumberFormat="1" applyFont="1" applyFill="1" applyBorder="1" applyAlignment="1">
      <alignment horizontal="center" vertical="center" wrapText="1"/>
    </xf>
    <xf numFmtId="1" fontId="12" fillId="2" borderId="20" xfId="8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top" wrapText="1"/>
    </xf>
    <xf numFmtId="1" fontId="12" fillId="0" borderId="13" xfId="8" applyNumberFormat="1" applyFont="1" applyFill="1" applyBorder="1" applyAlignment="1">
      <alignment horizontal="center" vertical="center" wrapText="1"/>
    </xf>
    <xf numFmtId="1" fontId="12" fillId="2" borderId="19" xfId="8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vertical="center"/>
    </xf>
    <xf numFmtId="0" fontId="13" fillId="0" borderId="26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22" fillId="0" borderId="18" xfId="0" applyFont="1" applyBorder="1" applyAlignment="1">
      <alignment vertical="center" wrapText="1"/>
    </xf>
    <xf numFmtId="0" fontId="20" fillId="11" borderId="15" xfId="0" applyFont="1" applyFill="1" applyBorder="1"/>
    <xf numFmtId="0" fontId="23" fillId="0" borderId="18" xfId="0" applyFont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1" fontId="24" fillId="0" borderId="15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7" fillId="0" borderId="15" xfId="0" applyFont="1" applyFill="1" applyBorder="1" applyAlignment="1">
      <alignment horizontal="left" vertical="top"/>
    </xf>
    <xf numFmtId="0" fontId="8" fillId="0" borderId="13" xfId="0" applyFont="1" applyBorder="1" applyAlignment="1">
      <alignment horizontal="center" vertical="center"/>
    </xf>
    <xf numFmtId="9" fontId="24" fillId="0" borderId="15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0" fontId="12" fillId="0" borderId="26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23" fillId="0" borderId="18" xfId="0" applyFont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right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1" fillId="2" borderId="0" xfId="0" applyFont="1" applyFill="1" applyAlignment="1">
      <alignment horizontal="right" vertical="center"/>
    </xf>
    <xf numFmtId="0" fontId="26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181" fontId="9" fillId="0" borderId="15" xfId="0" applyNumberFormat="1" applyFont="1" applyBorder="1" applyAlignment="1">
      <alignment horizontal="center" vertical="center"/>
    </xf>
    <xf numFmtId="182" fontId="9" fillId="0" borderId="15" xfId="0" applyNumberFormat="1" applyFont="1" applyBorder="1" applyAlignment="1">
      <alignment horizontal="center" vertical="center"/>
    </xf>
    <xf numFmtId="44" fontId="7" fillId="0" borderId="15" xfId="2" applyFont="1" applyBorder="1" applyAlignment="1" applyProtection="1">
      <alignment horizontal="center" vertical="center"/>
    </xf>
    <xf numFmtId="183" fontId="7" fillId="0" borderId="15" xfId="0" applyNumberFormat="1" applyFont="1" applyBorder="1" applyAlignment="1">
      <alignment horizontal="left" vertical="center"/>
    </xf>
    <xf numFmtId="181" fontId="9" fillId="0" borderId="18" xfId="0" applyNumberFormat="1" applyFont="1" applyBorder="1" applyAlignment="1">
      <alignment horizontal="center" vertical="center"/>
    </xf>
    <xf numFmtId="182" fontId="9" fillId="0" borderId="18" xfId="0" applyNumberFormat="1" applyFont="1" applyBorder="1" applyAlignment="1">
      <alignment horizontal="center" vertical="center"/>
    </xf>
    <xf numFmtId="44" fontId="7" fillId="0" borderId="18" xfId="2" applyFont="1" applyBorder="1" applyAlignment="1" applyProtection="1">
      <alignment horizontal="center" vertical="center"/>
    </xf>
    <xf numFmtId="183" fontId="7" fillId="0" borderId="18" xfId="0" applyNumberFormat="1" applyFont="1" applyBorder="1" applyAlignment="1">
      <alignment horizontal="left" vertical="center"/>
    </xf>
    <xf numFmtId="44" fontId="13" fillId="0" borderId="23" xfId="2" applyFont="1" applyFill="1" applyBorder="1" applyAlignment="1">
      <alignment horizontal="right" vertical="center"/>
    </xf>
    <xf numFmtId="44" fontId="7" fillId="0" borderId="15" xfId="2" applyFont="1" applyFill="1" applyBorder="1" applyAlignment="1">
      <alignment horizontal="center" vertical="center"/>
    </xf>
    <xf numFmtId="0" fontId="7" fillId="0" borderId="23" xfId="0" applyFont="1" applyBorder="1" applyAlignment="1">
      <alignment vertical="center"/>
    </xf>
    <xf numFmtId="181" fontId="8" fillId="0" borderId="15" xfId="0" applyNumberFormat="1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44" fontId="8" fillId="0" borderId="1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vertical="center"/>
    </xf>
    <xf numFmtId="179" fontId="20" fillId="0" borderId="23" xfId="0" applyNumberFormat="1" applyFont="1" applyBorder="1" applyAlignment="1">
      <alignment horizontal="center" vertical="center"/>
    </xf>
    <xf numFmtId="183" fontId="20" fillId="0" borderId="23" xfId="0" applyNumberFormat="1" applyFont="1" applyBorder="1" applyAlignment="1">
      <alignment vertical="center"/>
    </xf>
    <xf numFmtId="183" fontId="8" fillId="0" borderId="23" xfId="0" applyNumberFormat="1" applyFont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184" fontId="14" fillId="2" borderId="7" xfId="0" applyNumberFormat="1" applyFont="1" applyFill="1" applyBorder="1" applyAlignment="1">
      <alignment horizontal="center" vertical="center" wrapText="1"/>
    </xf>
    <xf numFmtId="180" fontId="16" fillId="8" borderId="27" xfId="0" applyNumberFormat="1" applyFont="1" applyFill="1" applyBorder="1" applyAlignment="1">
      <alignment horizontal="center" vertical="center" wrapText="1"/>
    </xf>
    <xf numFmtId="180" fontId="18" fillId="9" borderId="28" xfId="0" applyNumberFormat="1" applyFont="1" applyFill="1" applyBorder="1" applyAlignment="1">
      <alignment horizontal="center" vertical="center" wrapText="1"/>
    </xf>
    <xf numFmtId="44" fontId="7" fillId="0" borderId="29" xfId="0" applyNumberFormat="1" applyFont="1" applyBorder="1" applyAlignment="1">
      <alignment horizontal="center" vertical="center" wrapText="1"/>
    </xf>
    <xf numFmtId="44" fontId="7" fillId="2" borderId="0" xfId="0" applyNumberFormat="1" applyFont="1" applyFill="1" applyAlignment="1">
      <alignment vertical="center"/>
    </xf>
    <xf numFmtId="179" fontId="20" fillId="12" borderId="30" xfId="0" applyNumberFormat="1" applyFont="1" applyFill="1" applyBorder="1" applyAlignment="1">
      <alignment horizontal="center" vertical="center"/>
    </xf>
    <xf numFmtId="44" fontId="7" fillId="0" borderId="0" xfId="0" applyNumberFormat="1" applyFont="1" applyAlignment="1">
      <alignment vertical="center"/>
    </xf>
    <xf numFmtId="0" fontId="13" fillId="0" borderId="31" xfId="0" applyFont="1" applyBorder="1" applyAlignment="1">
      <alignment vertical="center"/>
    </xf>
    <xf numFmtId="0" fontId="8" fillId="0" borderId="0" xfId="0" applyFont="1" applyAlignment="1">
      <alignment horizontal="left"/>
    </xf>
    <xf numFmtId="44" fontId="7" fillId="0" borderId="28" xfId="0" applyNumberFormat="1" applyFont="1" applyBorder="1" applyAlignment="1">
      <alignment horizontal="center" vertical="center" wrapText="1"/>
    </xf>
    <xf numFmtId="179" fontId="7" fillId="0" borderId="27" xfId="0" applyNumberFormat="1" applyFont="1" applyBorder="1" applyAlignment="1">
      <alignment horizontal="center" vertical="center" wrapText="1"/>
    </xf>
    <xf numFmtId="179" fontId="7" fillId="0" borderId="28" xfId="0" applyNumberFormat="1" applyFont="1" applyBorder="1" applyAlignment="1">
      <alignment horizontal="center" vertical="center" wrapText="1"/>
    </xf>
    <xf numFmtId="179" fontId="7" fillId="0" borderId="29" xfId="0" applyNumberFormat="1" applyFont="1" applyBorder="1" applyAlignment="1">
      <alignment horizontal="center" vertical="center" wrapText="1"/>
    </xf>
    <xf numFmtId="179" fontId="20" fillId="12" borderId="32" xfId="0" applyNumberFormat="1" applyFont="1" applyFill="1" applyBorder="1" applyAlignment="1">
      <alignment horizontal="center" vertical="center"/>
    </xf>
    <xf numFmtId="179" fontId="13" fillId="0" borderId="31" xfId="0" applyNumberFormat="1" applyFont="1" applyBorder="1" applyAlignment="1">
      <alignment vertical="center"/>
    </xf>
    <xf numFmtId="179" fontId="18" fillId="9" borderId="28" xfId="0" applyNumberFormat="1" applyFont="1" applyFill="1" applyBorder="1" applyAlignment="1">
      <alignment horizontal="center" vertical="center" wrapText="1"/>
    </xf>
    <xf numFmtId="179" fontId="7" fillId="0" borderId="28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179" fontId="12" fillId="0" borderId="31" xfId="0" applyNumberFormat="1" applyFont="1" applyBorder="1" applyAlignment="1">
      <alignment vertical="center"/>
    </xf>
    <xf numFmtId="182" fontId="7" fillId="0" borderId="15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right" vertical="top" wrapText="1"/>
    </xf>
    <xf numFmtId="2" fontId="7" fillId="0" borderId="17" xfId="0" applyNumberFormat="1" applyFont="1" applyBorder="1" applyAlignment="1">
      <alignment horizontal="center" vertical="center"/>
    </xf>
    <xf numFmtId="185" fontId="7" fillId="0" borderId="17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/>
    </xf>
    <xf numFmtId="180" fontId="18" fillId="9" borderId="15" xfId="0" applyNumberFormat="1" applyFont="1" applyFill="1" applyBorder="1" applyAlignment="1">
      <alignment horizontal="center" vertical="center"/>
    </xf>
    <xf numFmtId="0" fontId="22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left" vertical="top" wrapText="1"/>
    </xf>
    <xf numFmtId="0" fontId="27" fillId="0" borderId="15" xfId="0" applyFont="1" applyBorder="1" applyAlignment="1">
      <alignment horizontal="left" vertical="top" wrapText="1"/>
    </xf>
    <xf numFmtId="0" fontId="20" fillId="0" borderId="1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21" fillId="13" borderId="33" xfId="0" applyFont="1" applyFill="1" applyBorder="1" applyAlignment="1">
      <alignment horizontal="center" vertical="center"/>
    </xf>
    <xf numFmtId="0" fontId="23" fillId="14" borderId="14" xfId="0" applyFont="1" applyFill="1" applyBorder="1" applyAlignment="1">
      <alignment horizontal="left" vertical="center"/>
    </xf>
    <xf numFmtId="0" fontId="9" fillId="14" borderId="15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left" vertical="center" wrapText="1"/>
    </xf>
    <xf numFmtId="0" fontId="28" fillId="14" borderId="15" xfId="0" applyFont="1" applyFill="1" applyBorder="1" applyAlignment="1">
      <alignment horizontal="center" vertical="center"/>
    </xf>
    <xf numFmtId="1" fontId="28" fillId="14" borderId="15" xfId="0" applyNumberFormat="1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/>
    </xf>
    <xf numFmtId="0" fontId="23" fillId="14" borderId="15" xfId="0" applyFont="1" applyFill="1" applyBorder="1" applyAlignment="1">
      <alignment horizontal="left"/>
    </xf>
    <xf numFmtId="1" fontId="23" fillId="14" borderId="15" xfId="0" applyNumberFormat="1" applyFont="1" applyFill="1" applyBorder="1" applyAlignment="1">
      <alignment horizontal="center" vertical="center"/>
    </xf>
    <xf numFmtId="0" fontId="23" fillId="15" borderId="14" xfId="0" applyFont="1" applyFill="1" applyBorder="1" applyAlignment="1">
      <alignment horizontal="left" vertical="center"/>
    </xf>
    <xf numFmtId="0" fontId="9" fillId="15" borderId="15" xfId="0" applyFont="1" applyFill="1" applyBorder="1" applyAlignment="1">
      <alignment horizontal="center" vertical="center"/>
    </xf>
    <xf numFmtId="0" fontId="23" fillId="15" borderId="15" xfId="0" applyFont="1" applyFill="1" applyBorder="1" applyAlignment="1">
      <alignment horizontal="center"/>
    </xf>
    <xf numFmtId="0" fontId="23" fillId="15" borderId="15" xfId="0" applyFont="1" applyFill="1" applyBorder="1" applyAlignment="1">
      <alignment horizontal="left"/>
    </xf>
    <xf numFmtId="1" fontId="23" fillId="15" borderId="15" xfId="0" applyNumberFormat="1" applyFont="1" applyFill="1" applyBorder="1" applyAlignment="1">
      <alignment horizontal="center" vertical="center"/>
    </xf>
    <xf numFmtId="0" fontId="23" fillId="15" borderId="15" xfId="0" applyFont="1" applyFill="1" applyBorder="1" applyAlignment="1">
      <alignment horizontal="center" vertical="center"/>
    </xf>
    <xf numFmtId="0" fontId="23" fillId="16" borderId="14" xfId="0" applyFont="1" applyFill="1" applyBorder="1" applyAlignment="1">
      <alignment horizontal="left" vertical="center"/>
    </xf>
    <xf numFmtId="0" fontId="9" fillId="16" borderId="15" xfId="0" applyFont="1" applyFill="1" applyBorder="1" applyAlignment="1">
      <alignment horizontal="center" vertical="center"/>
    </xf>
    <xf numFmtId="0" fontId="23" fillId="16" borderId="15" xfId="0" applyFont="1" applyFill="1" applyBorder="1" applyAlignment="1">
      <alignment horizontal="center"/>
    </xf>
    <xf numFmtId="0" fontId="23" fillId="16" borderId="15" xfId="0" applyFont="1" applyFill="1" applyBorder="1" applyAlignment="1">
      <alignment horizontal="left"/>
    </xf>
    <xf numFmtId="1" fontId="23" fillId="16" borderId="15" xfId="0" applyNumberFormat="1" applyFont="1" applyFill="1" applyBorder="1" applyAlignment="1">
      <alignment horizontal="center" vertical="center"/>
    </xf>
    <xf numFmtId="0" fontId="23" fillId="16" borderId="15" xfId="0" applyFont="1" applyFill="1" applyBorder="1" applyAlignment="1">
      <alignment horizontal="center" vertical="center"/>
    </xf>
    <xf numFmtId="0" fontId="23" fillId="16" borderId="34" xfId="0" applyFont="1" applyFill="1" applyBorder="1" applyAlignment="1">
      <alignment horizontal="left" vertical="center"/>
    </xf>
    <xf numFmtId="0" fontId="9" fillId="16" borderId="35" xfId="0" applyFont="1" applyFill="1" applyBorder="1" applyAlignment="1">
      <alignment horizontal="center" vertical="center"/>
    </xf>
    <xf numFmtId="180" fontId="23" fillId="16" borderId="35" xfId="0" applyNumberFormat="1" applyFont="1" applyFill="1" applyBorder="1" applyAlignment="1">
      <alignment horizontal="center" vertical="center"/>
    </xf>
    <xf numFmtId="0" fontId="23" fillId="16" borderId="35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center" vertical="center"/>
    </xf>
    <xf numFmtId="1" fontId="28" fillId="16" borderId="35" xfId="0" applyNumberFormat="1" applyFont="1" applyFill="1" applyBorder="1" applyAlignment="1">
      <alignment horizontal="center" vertical="center"/>
    </xf>
    <xf numFmtId="0" fontId="21" fillId="13" borderId="36" xfId="0" applyFont="1" applyFill="1" applyBorder="1" applyAlignment="1">
      <alignment horizontal="center" vertical="center"/>
    </xf>
    <xf numFmtId="1" fontId="21" fillId="13" borderId="21" xfId="0" applyNumberFormat="1" applyFont="1" applyFill="1" applyBorder="1" applyAlignment="1">
      <alignment horizontal="center" vertical="center" wrapText="1"/>
    </xf>
    <xf numFmtId="0" fontId="21" fillId="4" borderId="33" xfId="0" applyFont="1" applyFill="1" applyBorder="1" applyAlignment="1">
      <alignment horizontal="center" vertical="center" wrapText="1"/>
    </xf>
    <xf numFmtId="0" fontId="21" fillId="4" borderId="36" xfId="0" applyFont="1" applyFill="1" applyBorder="1" applyAlignment="1">
      <alignment horizontal="center" vertical="center" wrapText="1"/>
    </xf>
    <xf numFmtId="179" fontId="21" fillId="4" borderId="15" xfId="0" applyNumberFormat="1" applyFont="1" applyFill="1" applyBorder="1" applyAlignment="1">
      <alignment horizontal="center" vertical="center"/>
    </xf>
    <xf numFmtId="0" fontId="21" fillId="5" borderId="15" xfId="0" applyFont="1" applyFill="1" applyBorder="1" applyAlignment="1">
      <alignment horizontal="center" vertical="center" wrapText="1"/>
    </xf>
    <xf numFmtId="179" fontId="21" fillId="5" borderId="15" xfId="0" applyNumberFormat="1" applyFont="1" applyFill="1" applyBorder="1" applyAlignment="1">
      <alignment horizontal="center" vertical="center"/>
    </xf>
    <xf numFmtId="44" fontId="28" fillId="14" borderId="15" xfId="0" applyNumberFormat="1" applyFont="1" applyFill="1" applyBorder="1" applyAlignment="1">
      <alignment horizontal="left" vertical="center"/>
    </xf>
    <xf numFmtId="9" fontId="23" fillId="14" borderId="15" xfId="0" applyNumberFormat="1" applyFont="1" applyFill="1" applyBorder="1" applyAlignment="1">
      <alignment horizontal="left" vertical="center"/>
    </xf>
    <xf numFmtId="9" fontId="23" fillId="15" borderId="15" xfId="0" applyNumberFormat="1" applyFont="1" applyFill="1" applyBorder="1" applyAlignment="1">
      <alignment horizontal="left" vertical="center"/>
    </xf>
    <xf numFmtId="10" fontId="23" fillId="16" borderId="15" xfId="0" applyNumberFormat="1" applyFont="1" applyFill="1" applyBorder="1" applyAlignment="1">
      <alignment horizontal="left" vertical="center"/>
    </xf>
    <xf numFmtId="186" fontId="23" fillId="16" borderId="15" xfId="0" applyNumberFormat="1" applyFont="1" applyFill="1" applyBorder="1" applyAlignment="1">
      <alignment horizontal="left" vertical="center"/>
    </xf>
    <xf numFmtId="44" fontId="28" fillId="16" borderId="35" xfId="0" applyNumberFormat="1" applyFont="1" applyFill="1" applyBorder="1" applyAlignment="1">
      <alignment horizontal="left" vertical="center"/>
    </xf>
    <xf numFmtId="183" fontId="7" fillId="0" borderId="28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179" fontId="29" fillId="14" borderId="28" xfId="0" applyNumberFormat="1" applyFont="1" applyFill="1" applyBorder="1" applyAlignment="1">
      <alignment horizontal="left" vertical="center"/>
    </xf>
    <xf numFmtId="179" fontId="9" fillId="0" borderId="0" xfId="0" applyNumberFormat="1" applyFont="1"/>
    <xf numFmtId="179" fontId="23" fillId="0" borderId="0" xfId="0" applyNumberFormat="1" applyFont="1"/>
    <xf numFmtId="0" fontId="23" fillId="0" borderId="0" xfId="0" applyFont="1"/>
    <xf numFmtId="179" fontId="29" fillId="15" borderId="28" xfId="0" applyNumberFormat="1" applyFont="1" applyFill="1" applyBorder="1" applyAlignment="1">
      <alignment horizontal="left" vertical="center"/>
    </xf>
    <xf numFmtId="179" fontId="29" fillId="16" borderId="28" xfId="0" applyNumberFormat="1" applyFont="1" applyFill="1" applyBorder="1" applyAlignment="1">
      <alignment horizontal="left" vertical="center"/>
    </xf>
    <xf numFmtId="179" fontId="29" fillId="16" borderId="37" xfId="0" applyNumberFormat="1" applyFont="1" applyFill="1" applyBorder="1" applyAlignment="1">
      <alignment horizontal="left" vertical="center"/>
    </xf>
  </cellXfs>
  <cellStyles count="5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 2" xfId="49"/>
    <cellStyle name="Currency 3" xfId="50"/>
    <cellStyle name="Currency 4" xfId="51"/>
    <cellStyle name="Normal 2" xfId="52"/>
    <cellStyle name="Normal 2 3" xfId="53"/>
    <cellStyle name="Normal 4" xfId="54"/>
    <cellStyle name="Percent 2" xfId="55"/>
    <cellStyle name="Percent 3" xfId="56"/>
    <cellStyle name="Style 1" xfId="57"/>
  </cellStyles>
  <tableStyles count="0" defaultTableStyle="TableStyleMedium9" defaultPivotStyle="PivotStyleLight16"/>
  <colors>
    <mruColors>
      <color rgb="0000496A"/>
      <color rgb="004A4C4C"/>
      <color rgb="00013554"/>
      <color rgb="00001521"/>
      <color rgb="0000A6A5"/>
      <color rgb="0000C8C3"/>
      <color rgb="0000A8A4"/>
      <color rgb="0000DED9"/>
      <color rgb="0000BCB8"/>
      <color rgb="0000DA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457200</xdr:colOff>
      <xdr:row>1</xdr:row>
      <xdr:rowOff>0</xdr:rowOff>
    </xdr:from>
    <xdr:ext cx="184731" cy="274085"/>
    <xdr:sp>
      <xdr:nvSpPr>
        <xdr:cNvPr id="3" name="TextBox 2"/>
        <xdr:cNvSpPr txBox="1"/>
      </xdr:nvSpPr>
      <xdr:spPr>
        <a:xfrm>
          <a:off x="2200275" y="207645"/>
          <a:ext cx="184150" cy="273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74085"/>
    <xdr:sp>
      <xdr:nvSpPr>
        <xdr:cNvPr id="5" name="TextBox 4"/>
        <xdr:cNvSpPr txBox="1"/>
      </xdr:nvSpPr>
      <xdr:spPr>
        <a:xfrm>
          <a:off x="1743075" y="207645"/>
          <a:ext cx="184150" cy="273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Integral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tile tx="0" ty="0" sx="40000" sy="40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  <pageSetUpPr fitToPage="1"/>
  </sheetPr>
  <dimension ref="A1:AJ346"/>
  <sheetViews>
    <sheetView showGridLines="0" tabSelected="1" zoomScale="55" zoomScaleNormal="55" zoomScaleSheetLayoutView="85" topLeftCell="A2" workbookViewId="0">
      <pane ySplit="5" topLeftCell="A215" activePane="bottomLeft" state="frozen"/>
      <selection/>
      <selection pane="bottomLeft" activeCell="B41" sqref="B41:B44"/>
    </sheetView>
  </sheetViews>
  <sheetFormatPr defaultColWidth="9" defaultRowHeight="15.6"/>
  <cols>
    <col min="1" max="1" width="4.125" style="35" customWidth="1"/>
    <col min="2" max="2" width="9.25" style="35" customWidth="1"/>
    <col min="3" max="3" width="9.5" style="35" customWidth="1"/>
    <col min="4" max="4" width="68.875" style="35" customWidth="1"/>
    <col min="5" max="6" width="11.5" style="36" customWidth="1"/>
    <col min="7" max="7" width="14" style="36" customWidth="1"/>
    <col min="8" max="8" width="10.5" style="35" customWidth="1"/>
    <col min="9" max="10" width="14" style="36" customWidth="1"/>
    <col min="11" max="12" width="12.5" style="35" customWidth="1"/>
    <col min="13" max="13" width="14.5" style="35" customWidth="1"/>
    <col min="14" max="14" width="19.125" style="35" customWidth="1"/>
    <col min="15" max="15" width="14.625" style="35" customWidth="1"/>
    <col min="16" max="16" width="12.5" style="35" customWidth="1"/>
    <col min="17" max="17" width="15.25" style="37" customWidth="1"/>
    <col min="18" max="18" width="11.5" style="35"/>
    <col min="19" max="16384" width="9" style="35"/>
  </cols>
  <sheetData>
    <row r="1" s="31" customFormat="1" ht="16.35" spans="1:17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ht="18.75" spans="1:17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137"/>
    </row>
    <row r="3" ht="18" spans="1:17">
      <c r="A3" s="42"/>
      <c r="B3" s="43" t="s">
        <v>1</v>
      </c>
      <c r="C3" s="43"/>
      <c r="D3" s="35" t="s">
        <v>2</v>
      </c>
      <c r="E3" s="44"/>
      <c r="F3" s="44"/>
      <c r="G3" s="45"/>
      <c r="H3" s="45"/>
      <c r="I3" s="45"/>
      <c r="J3" s="45"/>
      <c r="K3" s="45"/>
      <c r="L3" s="45"/>
      <c r="M3" s="45"/>
      <c r="N3" s="45"/>
      <c r="O3" s="114"/>
      <c r="P3" s="115"/>
      <c r="Q3" s="138"/>
    </row>
    <row r="4" ht="18" spans="1:17">
      <c r="A4" s="42"/>
      <c r="B4" s="46" t="s">
        <v>3</v>
      </c>
      <c r="C4" s="46"/>
      <c r="D4" s="35" t="s">
        <v>4</v>
      </c>
      <c r="E4" s="47"/>
      <c r="F4" s="47"/>
      <c r="G4" s="47"/>
      <c r="H4" s="48"/>
      <c r="I4" s="47"/>
      <c r="J4" s="47"/>
      <c r="K4" s="45"/>
      <c r="L4" s="45"/>
      <c r="M4" s="45"/>
      <c r="N4" s="45"/>
      <c r="O4" s="114"/>
      <c r="P4" s="115"/>
      <c r="Q4" s="138"/>
    </row>
    <row r="5" ht="18" spans="1:17">
      <c r="A5" s="42"/>
      <c r="B5" s="49" t="s">
        <v>5</v>
      </c>
      <c r="C5" s="49"/>
      <c r="D5" s="35" t="s">
        <v>6</v>
      </c>
      <c r="E5" s="50"/>
      <c r="F5" s="47"/>
      <c r="G5" s="47"/>
      <c r="H5" s="50"/>
      <c r="I5" s="47"/>
      <c r="J5" s="47"/>
      <c r="K5" s="116"/>
      <c r="L5" s="116"/>
      <c r="M5" s="116"/>
      <c r="N5" s="116"/>
      <c r="O5" s="117"/>
      <c r="P5" s="118"/>
      <c r="Q5" s="138"/>
    </row>
    <row r="6" s="31" customFormat="1" ht="46.8" spans="1:17">
      <c r="A6" s="51" t="s">
        <v>7</v>
      </c>
      <c r="B6" s="52" t="s">
        <v>8</v>
      </c>
      <c r="C6" s="52" t="s">
        <v>9</v>
      </c>
      <c r="D6" s="53" t="s">
        <v>10</v>
      </c>
      <c r="E6" s="52" t="s">
        <v>11</v>
      </c>
      <c r="F6" s="52" t="s">
        <v>12</v>
      </c>
      <c r="G6" s="52" t="s">
        <v>13</v>
      </c>
      <c r="H6" s="52" t="s">
        <v>14</v>
      </c>
      <c r="I6" s="52" t="s">
        <v>15</v>
      </c>
      <c r="J6" s="52" t="s">
        <v>16</v>
      </c>
      <c r="K6" s="52" t="s">
        <v>17</v>
      </c>
      <c r="L6" s="52" t="s">
        <v>18</v>
      </c>
      <c r="M6" s="52" t="s">
        <v>19</v>
      </c>
      <c r="N6" s="52" t="s">
        <v>20</v>
      </c>
      <c r="O6" s="52" t="s">
        <v>21</v>
      </c>
      <c r="P6" s="52" t="s">
        <v>22</v>
      </c>
      <c r="Q6" s="139" t="s">
        <v>23</v>
      </c>
    </row>
    <row r="7" s="32" customFormat="1" spans="1:17">
      <c r="A7" s="54"/>
      <c r="B7" s="55"/>
      <c r="C7" s="56">
        <v>1</v>
      </c>
      <c r="D7" s="57" t="s">
        <v>24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140"/>
    </row>
    <row r="8" spans="1:18">
      <c r="A8" s="58">
        <f>IF(F8&lt;&gt;"",1+MAX($A$2:A7),"")</f>
        <v>1</v>
      </c>
      <c r="B8" s="59"/>
      <c r="C8" s="59"/>
      <c r="D8" s="60" t="s">
        <v>25</v>
      </c>
      <c r="E8" s="61">
        <v>1</v>
      </c>
      <c r="F8" s="62">
        <v>0</v>
      </c>
      <c r="G8" s="63">
        <f t="shared" ref="G8:G14" si="0">(F8*E8)+E8</f>
        <v>1</v>
      </c>
      <c r="H8" s="61" t="s">
        <v>26</v>
      </c>
      <c r="I8" s="119">
        <v>0</v>
      </c>
      <c r="J8" s="120">
        <f t="shared" ref="J8:J14" si="1">+I8*G8</f>
        <v>0</v>
      </c>
      <c r="K8" s="121">
        <v>0</v>
      </c>
      <c r="L8" s="122">
        <f t="shared" ref="L8:L14" si="2">I8*K8</f>
        <v>0</v>
      </c>
      <c r="M8" s="122">
        <f t="shared" ref="M8:M14" si="3">K8*J8</f>
        <v>0</v>
      </c>
      <c r="N8" s="122">
        <v>0</v>
      </c>
      <c r="O8" s="122">
        <f t="shared" ref="O8:O14" si="4">N8*G8</f>
        <v>0</v>
      </c>
      <c r="P8" s="122">
        <f>(I8*K8)+N8</f>
        <v>0</v>
      </c>
      <c r="Q8" s="141">
        <v>117000</v>
      </c>
      <c r="R8" s="142"/>
    </row>
    <row r="9" spans="1:18">
      <c r="A9" s="64">
        <f>IF(F9&lt;&gt;"",1+MAX($A$2:A8),"")</f>
        <v>2</v>
      </c>
      <c r="B9" s="65"/>
      <c r="C9" s="65"/>
      <c r="D9" s="66" t="s">
        <v>27</v>
      </c>
      <c r="E9" s="67">
        <v>1</v>
      </c>
      <c r="F9" s="68">
        <v>0</v>
      </c>
      <c r="G9" s="69">
        <f t="shared" si="0"/>
        <v>1</v>
      </c>
      <c r="H9" s="67" t="s">
        <v>26</v>
      </c>
      <c r="I9" s="119">
        <v>0</v>
      </c>
      <c r="J9" s="120">
        <f t="shared" si="1"/>
        <v>0</v>
      </c>
      <c r="K9" s="121">
        <v>0</v>
      </c>
      <c r="L9" s="122">
        <f t="shared" si="2"/>
        <v>0</v>
      </c>
      <c r="M9" s="122">
        <f t="shared" si="3"/>
        <v>0</v>
      </c>
      <c r="N9" s="122">
        <v>0</v>
      </c>
      <c r="O9" s="122">
        <f t="shared" si="4"/>
        <v>0</v>
      </c>
      <c r="P9" s="122">
        <f t="shared" ref="P9:P14" si="5">(I9*K9)+N9</f>
        <v>0</v>
      </c>
      <c r="Q9" s="141"/>
      <c r="R9" s="142"/>
    </row>
    <row r="10" spans="1:18">
      <c r="A10" s="64">
        <f>IF(F10&lt;&gt;"",1+MAX($A$2:A9),"")</f>
        <v>3</v>
      </c>
      <c r="B10" s="65"/>
      <c r="C10" s="65"/>
      <c r="D10" s="66" t="s">
        <v>28</v>
      </c>
      <c r="E10" s="67">
        <v>1</v>
      </c>
      <c r="F10" s="68">
        <v>0</v>
      </c>
      <c r="G10" s="69">
        <f t="shared" si="0"/>
        <v>1</v>
      </c>
      <c r="H10" s="67" t="s">
        <v>26</v>
      </c>
      <c r="I10" s="119">
        <v>0</v>
      </c>
      <c r="J10" s="120">
        <f t="shared" si="1"/>
        <v>0</v>
      </c>
      <c r="K10" s="121">
        <v>0</v>
      </c>
      <c r="L10" s="122">
        <f t="shared" si="2"/>
        <v>0</v>
      </c>
      <c r="M10" s="122">
        <f t="shared" si="3"/>
        <v>0</v>
      </c>
      <c r="N10" s="122">
        <v>0</v>
      </c>
      <c r="O10" s="122">
        <f t="shared" si="4"/>
        <v>0</v>
      </c>
      <c r="P10" s="122">
        <f t="shared" si="5"/>
        <v>0</v>
      </c>
      <c r="Q10" s="141"/>
      <c r="R10" s="142"/>
    </row>
    <row r="11" spans="1:18">
      <c r="A11" s="64">
        <f>IF(F11&lt;&gt;"",1+MAX($A$2:A10),"")</f>
        <v>4</v>
      </c>
      <c r="B11" s="65"/>
      <c r="C11" s="65"/>
      <c r="D11" s="66" t="s">
        <v>29</v>
      </c>
      <c r="E11" s="67">
        <v>1</v>
      </c>
      <c r="F11" s="68">
        <v>0</v>
      </c>
      <c r="G11" s="69">
        <f t="shared" si="0"/>
        <v>1</v>
      </c>
      <c r="H11" s="67" t="s">
        <v>26</v>
      </c>
      <c r="I11" s="119">
        <v>0</v>
      </c>
      <c r="J11" s="120">
        <f t="shared" si="1"/>
        <v>0</v>
      </c>
      <c r="K11" s="121">
        <v>0</v>
      </c>
      <c r="L11" s="122">
        <f t="shared" si="2"/>
        <v>0</v>
      </c>
      <c r="M11" s="122">
        <f t="shared" si="3"/>
        <v>0</v>
      </c>
      <c r="N11" s="122">
        <v>0</v>
      </c>
      <c r="O11" s="122">
        <f t="shared" si="4"/>
        <v>0</v>
      </c>
      <c r="P11" s="122">
        <f t="shared" si="5"/>
        <v>0</v>
      </c>
      <c r="Q11" s="141"/>
      <c r="R11" s="142"/>
    </row>
    <row r="12" spans="1:18">
      <c r="A12" s="64">
        <f>IF(F12&lt;&gt;"",1+MAX($A$2:A11),"")</f>
        <v>5</v>
      </c>
      <c r="B12" s="65"/>
      <c r="C12" s="65"/>
      <c r="D12" s="66" t="s">
        <v>30</v>
      </c>
      <c r="E12" s="67">
        <v>1</v>
      </c>
      <c r="F12" s="68">
        <v>0</v>
      </c>
      <c r="G12" s="69">
        <f t="shared" si="0"/>
        <v>1</v>
      </c>
      <c r="H12" s="67" t="s">
        <v>26</v>
      </c>
      <c r="I12" s="119">
        <v>0</v>
      </c>
      <c r="J12" s="120">
        <f t="shared" si="1"/>
        <v>0</v>
      </c>
      <c r="K12" s="121">
        <v>0</v>
      </c>
      <c r="L12" s="122">
        <f t="shared" si="2"/>
        <v>0</v>
      </c>
      <c r="M12" s="122">
        <f t="shared" si="3"/>
        <v>0</v>
      </c>
      <c r="N12" s="122">
        <v>0</v>
      </c>
      <c r="O12" s="122">
        <f t="shared" si="4"/>
        <v>0</v>
      </c>
      <c r="P12" s="122">
        <f t="shared" si="5"/>
        <v>0</v>
      </c>
      <c r="Q12" s="141"/>
      <c r="R12" s="142"/>
    </row>
    <row r="13" spans="1:18">
      <c r="A13" s="64">
        <f>IF(F13&lt;&gt;"",1+MAX($A$2:A12),"")</f>
        <v>6</v>
      </c>
      <c r="B13" s="65"/>
      <c r="C13" s="65"/>
      <c r="D13" s="66" t="s">
        <v>31</v>
      </c>
      <c r="E13" s="67">
        <v>1</v>
      </c>
      <c r="F13" s="68">
        <v>0</v>
      </c>
      <c r="G13" s="69">
        <f t="shared" si="0"/>
        <v>1</v>
      </c>
      <c r="H13" s="67" t="s">
        <v>26</v>
      </c>
      <c r="I13" s="119">
        <v>0</v>
      </c>
      <c r="J13" s="120">
        <f t="shared" si="1"/>
        <v>0</v>
      </c>
      <c r="K13" s="121">
        <v>0</v>
      </c>
      <c r="L13" s="122">
        <f t="shared" si="2"/>
        <v>0</v>
      </c>
      <c r="M13" s="122">
        <f t="shared" si="3"/>
        <v>0</v>
      </c>
      <c r="N13" s="122">
        <v>0</v>
      </c>
      <c r="O13" s="122">
        <f t="shared" si="4"/>
        <v>0</v>
      </c>
      <c r="P13" s="122">
        <f t="shared" si="5"/>
        <v>0</v>
      </c>
      <c r="Q13" s="141"/>
      <c r="R13" s="142"/>
    </row>
    <row r="14" ht="16.35" spans="1:18">
      <c r="A14" s="64">
        <f>IF(F14&lt;&gt;"",1+MAX($A$2:A13),"")</f>
        <v>7</v>
      </c>
      <c r="B14" s="65"/>
      <c r="C14" s="65"/>
      <c r="D14" s="70" t="s">
        <v>32</v>
      </c>
      <c r="E14" s="71">
        <v>1</v>
      </c>
      <c r="F14" s="72">
        <v>0</v>
      </c>
      <c r="G14" s="73">
        <f t="shared" si="0"/>
        <v>1</v>
      </c>
      <c r="H14" s="71" t="s">
        <v>26</v>
      </c>
      <c r="I14" s="123">
        <v>0</v>
      </c>
      <c r="J14" s="124">
        <f t="shared" si="1"/>
        <v>0</v>
      </c>
      <c r="K14" s="125">
        <v>0</v>
      </c>
      <c r="L14" s="126">
        <f t="shared" si="2"/>
        <v>0</v>
      </c>
      <c r="M14" s="126">
        <f t="shared" si="3"/>
        <v>0</v>
      </c>
      <c r="N14" s="126">
        <v>0</v>
      </c>
      <c r="O14" s="126">
        <f t="shared" si="4"/>
        <v>0</v>
      </c>
      <c r="P14" s="122">
        <f t="shared" si="5"/>
        <v>0</v>
      </c>
      <c r="Q14" s="141"/>
      <c r="R14" s="142"/>
    </row>
    <row r="15" s="31" customFormat="1" ht="16.35" spans="1:18">
      <c r="A15" s="74" t="str">
        <f>IF(F15&lt;&gt;"",1+MAX($A$2:A14),"")</f>
        <v/>
      </c>
      <c r="B15" s="75"/>
      <c r="C15" s="76"/>
      <c r="D15" s="77" t="s">
        <v>33</v>
      </c>
      <c r="E15" s="78"/>
      <c r="F15" s="78"/>
      <c r="G15" s="78"/>
      <c r="H15" s="78"/>
      <c r="I15" s="78"/>
      <c r="J15" s="78"/>
      <c r="K15" s="127"/>
      <c r="L15" s="127"/>
      <c r="M15" s="127"/>
      <c r="N15" s="127"/>
      <c r="O15" s="127"/>
      <c r="P15" s="127"/>
      <c r="Q15" s="143">
        <f>SUM(Q8:Q14)</f>
        <v>117000</v>
      </c>
      <c r="R15" s="144"/>
    </row>
    <row r="16" s="31" customFormat="1" spans="1:18">
      <c r="A16" s="74" t="str">
        <f>IF(F16&lt;&gt;"",1+MAX($A$2:A15),"")</f>
        <v/>
      </c>
      <c r="B16" s="75"/>
      <c r="C16" s="75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145"/>
      <c r="R16" s="144"/>
    </row>
    <row r="17" s="33" customFormat="1" spans="1:19">
      <c r="A17" s="54" t="str">
        <f>IF(F17&lt;&gt;"",1+MAX($A$2:A16),"")</f>
        <v/>
      </c>
      <c r="B17" s="55"/>
      <c r="C17" s="55">
        <v>2</v>
      </c>
      <c r="D17" s="57" t="s">
        <v>34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140"/>
      <c r="S17" s="146"/>
    </row>
    <row r="18" spans="1:18">
      <c r="A18" s="80" t="str">
        <f>IF(F18&lt;&gt;"",1+MAX($A$2:A17),"")</f>
        <v/>
      </c>
      <c r="B18" s="81"/>
      <c r="C18" s="82"/>
      <c r="D18" s="83" t="s">
        <v>35</v>
      </c>
      <c r="E18" s="84"/>
      <c r="F18" s="68"/>
      <c r="G18" s="69"/>
      <c r="H18" s="69"/>
      <c r="I18" s="69"/>
      <c r="J18" s="69"/>
      <c r="K18" s="128"/>
      <c r="L18" s="128"/>
      <c r="M18" s="128"/>
      <c r="N18" s="128"/>
      <c r="O18" s="128"/>
      <c r="P18" s="128"/>
      <c r="Q18" s="147"/>
      <c r="R18" s="142"/>
    </row>
    <row r="19" spans="1:18">
      <c r="A19" s="58">
        <f>IF(F19&lt;&gt;"",1+MAX($A$2:A18),"")</f>
        <v>8</v>
      </c>
      <c r="B19" s="85" t="s">
        <v>36</v>
      </c>
      <c r="C19" s="59"/>
      <c r="D19" s="86" t="s">
        <v>37</v>
      </c>
      <c r="E19" s="67">
        <v>955</v>
      </c>
      <c r="F19" s="62">
        <v>0</v>
      </c>
      <c r="G19" s="63">
        <f t="shared" ref="G19:G24" si="6">(F19*E19)+E19</f>
        <v>955</v>
      </c>
      <c r="H19" s="67" t="s">
        <v>38</v>
      </c>
      <c r="I19" s="119">
        <v>0.028</v>
      </c>
      <c r="J19" s="120">
        <f t="shared" ref="J19:J24" si="7">+I19*G19</f>
        <v>26.74</v>
      </c>
      <c r="K19" s="121">
        <f>'LABOR SHEET'!$C$5</f>
        <v>45</v>
      </c>
      <c r="L19" s="122">
        <f>I19*K19</f>
        <v>1.26</v>
      </c>
      <c r="M19" s="122">
        <f t="shared" ref="M19:M24" si="8">K19*J19</f>
        <v>1203.3</v>
      </c>
      <c r="N19" s="122">
        <v>0</v>
      </c>
      <c r="O19" s="122">
        <f t="shared" ref="O19:O24" si="9">N19*G19</f>
        <v>0</v>
      </c>
      <c r="P19" s="122">
        <f t="shared" ref="P19:P24" si="10">(I19*K19)+N19</f>
        <v>1.26</v>
      </c>
      <c r="Q19" s="148">
        <f t="shared" ref="Q19:Q24" si="11">P19*G19</f>
        <v>1203.3</v>
      </c>
      <c r="R19" s="142"/>
    </row>
    <row r="20" spans="1:18">
      <c r="A20" s="58">
        <f>IF(F20&lt;&gt;"",1+MAX($A$2:A19),"")</f>
        <v>9</v>
      </c>
      <c r="B20" s="87"/>
      <c r="C20" s="65"/>
      <c r="D20" s="86" t="s">
        <v>39</v>
      </c>
      <c r="E20" s="67">
        <v>355</v>
      </c>
      <c r="F20" s="68">
        <v>0</v>
      </c>
      <c r="G20" s="63">
        <f t="shared" si="6"/>
        <v>355</v>
      </c>
      <c r="H20" s="67" t="s">
        <v>40</v>
      </c>
      <c r="I20" s="119">
        <v>0.122</v>
      </c>
      <c r="J20" s="120">
        <f t="shared" si="7"/>
        <v>43.31</v>
      </c>
      <c r="K20" s="121">
        <f>'LABOR SHEET'!$C$5</f>
        <v>45</v>
      </c>
      <c r="L20" s="122">
        <f t="shared" ref="L19:L24" si="12">I20*K20</f>
        <v>5.49</v>
      </c>
      <c r="M20" s="122">
        <f t="shared" si="8"/>
        <v>1948.95</v>
      </c>
      <c r="N20" s="122">
        <v>0</v>
      </c>
      <c r="O20" s="122">
        <f t="shared" si="9"/>
        <v>0</v>
      </c>
      <c r="P20" s="122">
        <f t="shared" si="10"/>
        <v>5.49</v>
      </c>
      <c r="Q20" s="148">
        <f t="shared" si="11"/>
        <v>1948.95</v>
      </c>
      <c r="R20" s="142"/>
    </row>
    <row r="21" spans="1:18">
      <c r="A21" s="64">
        <f>IF(F21&lt;&gt;"",1+MAX($A$2:A20),"")</f>
        <v>10</v>
      </c>
      <c r="B21" s="87"/>
      <c r="C21" s="65"/>
      <c r="D21" s="86" t="s">
        <v>41</v>
      </c>
      <c r="E21" s="67">
        <v>675</v>
      </c>
      <c r="F21" s="62">
        <v>0</v>
      </c>
      <c r="G21" s="63">
        <f t="shared" si="6"/>
        <v>675</v>
      </c>
      <c r="H21" s="67" t="s">
        <v>38</v>
      </c>
      <c r="I21" s="119">
        <v>0.024</v>
      </c>
      <c r="J21" s="120">
        <f t="shared" si="7"/>
        <v>16.2</v>
      </c>
      <c r="K21" s="121">
        <f>'LABOR SHEET'!$C$5</f>
        <v>45</v>
      </c>
      <c r="L21" s="122">
        <f t="shared" si="12"/>
        <v>1.08</v>
      </c>
      <c r="M21" s="122">
        <f t="shared" si="8"/>
        <v>729</v>
      </c>
      <c r="N21" s="122">
        <v>0</v>
      </c>
      <c r="O21" s="122">
        <f t="shared" si="9"/>
        <v>0</v>
      </c>
      <c r="P21" s="122">
        <f t="shared" si="10"/>
        <v>1.08</v>
      </c>
      <c r="Q21" s="148">
        <f t="shared" si="11"/>
        <v>729</v>
      </c>
      <c r="R21" s="142"/>
    </row>
    <row r="22" spans="1:18">
      <c r="A22" s="64">
        <f>IF(F22&lt;&gt;"",1+MAX($A$2:A21),"")</f>
        <v>11</v>
      </c>
      <c r="B22" s="87"/>
      <c r="C22" s="65"/>
      <c r="D22" s="86" t="s">
        <v>42</v>
      </c>
      <c r="E22" s="67">
        <v>636</v>
      </c>
      <c r="F22" s="68">
        <v>0</v>
      </c>
      <c r="G22" s="63">
        <f t="shared" si="6"/>
        <v>636</v>
      </c>
      <c r="H22" s="67" t="s">
        <v>40</v>
      </c>
      <c r="I22" s="119">
        <v>0.1</v>
      </c>
      <c r="J22" s="120">
        <f t="shared" si="7"/>
        <v>63.6</v>
      </c>
      <c r="K22" s="121">
        <f>'LABOR SHEET'!$C$5</f>
        <v>45</v>
      </c>
      <c r="L22" s="122">
        <f t="shared" si="12"/>
        <v>4.5</v>
      </c>
      <c r="M22" s="122">
        <f t="shared" si="8"/>
        <v>2862</v>
      </c>
      <c r="N22" s="122">
        <v>0</v>
      </c>
      <c r="O22" s="122">
        <f t="shared" si="9"/>
        <v>0</v>
      </c>
      <c r="P22" s="122">
        <f t="shared" si="10"/>
        <v>4.5</v>
      </c>
      <c r="Q22" s="148">
        <f t="shared" si="11"/>
        <v>2862</v>
      </c>
      <c r="R22" s="142"/>
    </row>
    <row r="23" spans="1:18">
      <c r="A23" s="64">
        <f>IF(F23&lt;&gt;"",1+MAX($A$2:A22),"")</f>
        <v>12</v>
      </c>
      <c r="B23" s="87"/>
      <c r="C23" s="65"/>
      <c r="D23" s="86" t="s">
        <v>43</v>
      </c>
      <c r="E23" s="67">
        <v>7205</v>
      </c>
      <c r="F23" s="62">
        <v>0</v>
      </c>
      <c r="G23" s="63">
        <f t="shared" si="6"/>
        <v>7205</v>
      </c>
      <c r="H23" s="67" t="s">
        <v>38</v>
      </c>
      <c r="I23" s="119">
        <v>0.028</v>
      </c>
      <c r="J23" s="120">
        <f t="shared" si="7"/>
        <v>201.74</v>
      </c>
      <c r="K23" s="121">
        <f>'LABOR SHEET'!$C$5</f>
        <v>45</v>
      </c>
      <c r="L23" s="122">
        <f t="shared" si="12"/>
        <v>1.26</v>
      </c>
      <c r="M23" s="122">
        <f t="shared" si="8"/>
        <v>9078.3</v>
      </c>
      <c r="N23" s="122">
        <v>0</v>
      </c>
      <c r="O23" s="122">
        <f t="shared" si="9"/>
        <v>0</v>
      </c>
      <c r="P23" s="122">
        <f t="shared" si="10"/>
        <v>1.26</v>
      </c>
      <c r="Q23" s="148">
        <f t="shared" si="11"/>
        <v>9078.3</v>
      </c>
      <c r="R23" s="142"/>
    </row>
    <row r="24" spans="1:18">
      <c r="A24" s="64">
        <f>IF(F24&lt;&gt;"",1+MAX($A$2:A23),"")</f>
        <v>13</v>
      </c>
      <c r="B24" s="87"/>
      <c r="C24" s="65"/>
      <c r="D24" s="86" t="s">
        <v>44</v>
      </c>
      <c r="E24" s="67">
        <v>49</v>
      </c>
      <c r="F24" s="68">
        <v>0</v>
      </c>
      <c r="G24" s="63">
        <f t="shared" si="6"/>
        <v>49</v>
      </c>
      <c r="H24" s="67" t="s">
        <v>40</v>
      </c>
      <c r="I24" s="119">
        <v>0.045</v>
      </c>
      <c r="J24" s="120">
        <f t="shared" si="7"/>
        <v>2.205</v>
      </c>
      <c r="K24" s="121">
        <f>'LABOR SHEET'!$C$5</f>
        <v>45</v>
      </c>
      <c r="L24" s="122">
        <f t="shared" si="12"/>
        <v>2.025</v>
      </c>
      <c r="M24" s="122">
        <f t="shared" si="8"/>
        <v>99.225</v>
      </c>
      <c r="N24" s="122">
        <v>0</v>
      </c>
      <c r="O24" s="122">
        <f t="shared" si="9"/>
        <v>0</v>
      </c>
      <c r="P24" s="122">
        <f t="shared" si="10"/>
        <v>2.025</v>
      </c>
      <c r="Q24" s="148">
        <f t="shared" si="11"/>
        <v>99.225</v>
      </c>
      <c r="R24" s="142"/>
    </row>
    <row r="25" spans="1:18">
      <c r="A25" s="64"/>
      <c r="B25" s="87"/>
      <c r="C25" s="88"/>
      <c r="D25" s="86"/>
      <c r="E25" s="67"/>
      <c r="F25" s="68"/>
      <c r="G25" s="63"/>
      <c r="H25" s="67"/>
      <c r="I25" s="119"/>
      <c r="J25" s="120"/>
      <c r="K25" s="121"/>
      <c r="L25" s="122"/>
      <c r="M25" s="122"/>
      <c r="N25" s="122"/>
      <c r="O25" s="122"/>
      <c r="P25" s="122"/>
      <c r="Q25" s="148"/>
      <c r="R25" s="142"/>
    </row>
    <row r="26" spans="1:18">
      <c r="A26" s="80" t="str">
        <f>IF(F26&lt;&gt;"",1+MAX($A$2:A24),"")</f>
        <v/>
      </c>
      <c r="B26" s="87"/>
      <c r="C26" s="82"/>
      <c r="D26" s="83" t="s">
        <v>45</v>
      </c>
      <c r="E26" s="67"/>
      <c r="F26" s="68"/>
      <c r="G26" s="63"/>
      <c r="H26" s="69"/>
      <c r="I26" s="69"/>
      <c r="J26" s="69"/>
      <c r="K26" s="128"/>
      <c r="L26" s="128"/>
      <c r="M26" s="122">
        <f t="shared" ref="M26:M34" si="13">K26*J26</f>
        <v>0</v>
      </c>
      <c r="N26" s="128"/>
      <c r="O26" s="128"/>
      <c r="P26" s="128"/>
      <c r="Q26" s="149"/>
      <c r="R26" s="142"/>
    </row>
    <row r="27" spans="1:18">
      <c r="A27" s="58">
        <f>IF(F27&lt;&gt;"",1+MAX($A$2:A26),"")</f>
        <v>14</v>
      </c>
      <c r="B27" s="87"/>
      <c r="C27" s="59"/>
      <c r="D27" s="86" t="s">
        <v>46</v>
      </c>
      <c r="E27" s="67">
        <f>44*2</f>
        <v>88</v>
      </c>
      <c r="F27" s="62">
        <v>0</v>
      </c>
      <c r="G27" s="63">
        <f t="shared" ref="G27:G32" si="14">(F27*E27)+E27</f>
        <v>88</v>
      </c>
      <c r="H27" s="67" t="s">
        <v>47</v>
      </c>
      <c r="I27" s="119">
        <v>2.85</v>
      </c>
      <c r="J27" s="120">
        <f t="shared" ref="J27:J32" si="15">+I27*G27</f>
        <v>250.8</v>
      </c>
      <c r="K27" s="121">
        <f>'LABOR SHEET'!$C$5</f>
        <v>45</v>
      </c>
      <c r="L27" s="122">
        <f t="shared" ref="L27:L32" si="16">I27*K27</f>
        <v>128.25</v>
      </c>
      <c r="M27" s="122">
        <f t="shared" si="13"/>
        <v>11286</v>
      </c>
      <c r="N27" s="122">
        <v>0</v>
      </c>
      <c r="O27" s="122">
        <f t="shared" ref="O27:O32" si="17">N27*G27</f>
        <v>0</v>
      </c>
      <c r="P27" s="122">
        <f t="shared" ref="P27:P32" si="18">(I27*K27)+N27</f>
        <v>128.25</v>
      </c>
      <c r="Q27" s="148">
        <f t="shared" ref="Q27:Q32" si="19">P27*G27</f>
        <v>11286</v>
      </c>
      <c r="R27" s="142"/>
    </row>
    <row r="28" spans="1:18">
      <c r="A28" s="64">
        <f>IF(F28&lt;&gt;"",1+MAX($A$2:A27),"")</f>
        <v>15</v>
      </c>
      <c r="B28" s="87"/>
      <c r="C28" s="65"/>
      <c r="D28" s="86" t="s">
        <v>46</v>
      </c>
      <c r="E28" s="67">
        <v>41</v>
      </c>
      <c r="F28" s="68">
        <v>0</v>
      </c>
      <c r="G28" s="63">
        <f t="shared" si="14"/>
        <v>41</v>
      </c>
      <c r="H28" s="67" t="s">
        <v>47</v>
      </c>
      <c r="I28" s="119">
        <v>2.85</v>
      </c>
      <c r="J28" s="120">
        <f t="shared" si="15"/>
        <v>116.85</v>
      </c>
      <c r="K28" s="121">
        <f>'LABOR SHEET'!$C$5</f>
        <v>45</v>
      </c>
      <c r="L28" s="122">
        <f t="shared" si="16"/>
        <v>128.25</v>
      </c>
      <c r="M28" s="122">
        <f t="shared" si="13"/>
        <v>5258.25</v>
      </c>
      <c r="N28" s="122">
        <v>0</v>
      </c>
      <c r="O28" s="122">
        <f t="shared" si="17"/>
        <v>0</v>
      </c>
      <c r="P28" s="122">
        <f t="shared" si="18"/>
        <v>128.25</v>
      </c>
      <c r="Q28" s="148">
        <f t="shared" si="19"/>
        <v>5258.25</v>
      </c>
      <c r="R28" s="142"/>
    </row>
    <row r="29" spans="1:18">
      <c r="A29" s="64">
        <f>IF(F29&lt;&gt;"",1+MAX($A$2:A28),"")</f>
        <v>16</v>
      </c>
      <c r="B29" s="87"/>
      <c r="C29" s="65"/>
      <c r="D29" s="86" t="s">
        <v>46</v>
      </c>
      <c r="E29" s="67">
        <v>53</v>
      </c>
      <c r="F29" s="68">
        <v>0</v>
      </c>
      <c r="G29" s="63">
        <f t="shared" si="14"/>
        <v>53</v>
      </c>
      <c r="H29" s="67" t="s">
        <v>47</v>
      </c>
      <c r="I29" s="119">
        <v>2.85</v>
      </c>
      <c r="J29" s="120">
        <f t="shared" si="15"/>
        <v>151.05</v>
      </c>
      <c r="K29" s="121">
        <f>'LABOR SHEET'!$C$5</f>
        <v>45</v>
      </c>
      <c r="L29" s="122">
        <f t="shared" si="16"/>
        <v>128.25</v>
      </c>
      <c r="M29" s="122">
        <f t="shared" si="13"/>
        <v>6797.25</v>
      </c>
      <c r="N29" s="122">
        <v>0</v>
      </c>
      <c r="O29" s="122">
        <f t="shared" si="17"/>
        <v>0</v>
      </c>
      <c r="P29" s="122">
        <f t="shared" si="18"/>
        <v>128.25</v>
      </c>
      <c r="Q29" s="148">
        <f t="shared" si="19"/>
        <v>6797.25</v>
      </c>
      <c r="R29" s="142"/>
    </row>
    <row r="30" spans="1:18">
      <c r="A30" s="64">
        <f>IF(F30&lt;&gt;"",1+MAX($A$2:A29),"")</f>
        <v>17</v>
      </c>
      <c r="B30" s="87"/>
      <c r="C30" s="65"/>
      <c r="D30" s="86" t="s">
        <v>46</v>
      </c>
      <c r="E30" s="67">
        <v>50</v>
      </c>
      <c r="F30" s="68">
        <v>0</v>
      </c>
      <c r="G30" s="63">
        <f t="shared" si="14"/>
        <v>50</v>
      </c>
      <c r="H30" s="67" t="s">
        <v>47</v>
      </c>
      <c r="I30" s="119">
        <v>2.85</v>
      </c>
      <c r="J30" s="120">
        <f t="shared" si="15"/>
        <v>142.5</v>
      </c>
      <c r="K30" s="121">
        <f>'LABOR SHEET'!$C$5</f>
        <v>45</v>
      </c>
      <c r="L30" s="122">
        <f t="shared" si="16"/>
        <v>128.25</v>
      </c>
      <c r="M30" s="122">
        <f t="shared" si="13"/>
        <v>6412.5</v>
      </c>
      <c r="N30" s="122">
        <v>0</v>
      </c>
      <c r="O30" s="122">
        <f t="shared" si="17"/>
        <v>0</v>
      </c>
      <c r="P30" s="122">
        <f t="shared" si="18"/>
        <v>128.25</v>
      </c>
      <c r="Q30" s="148">
        <f t="shared" si="19"/>
        <v>6412.5</v>
      </c>
      <c r="R30" s="142"/>
    </row>
    <row r="31" spans="1:18">
      <c r="A31" s="64">
        <f>IF(F31&lt;&gt;"",1+MAX($A$2:A30),"")</f>
        <v>18</v>
      </c>
      <c r="B31" s="87"/>
      <c r="C31" s="65"/>
      <c r="D31" s="86" t="s">
        <v>46</v>
      </c>
      <c r="E31" s="67">
        <v>49</v>
      </c>
      <c r="F31" s="68">
        <v>0</v>
      </c>
      <c r="G31" s="63">
        <f t="shared" si="14"/>
        <v>49</v>
      </c>
      <c r="H31" s="67" t="s">
        <v>47</v>
      </c>
      <c r="I31" s="119">
        <v>2.85</v>
      </c>
      <c r="J31" s="120">
        <f t="shared" si="15"/>
        <v>139.65</v>
      </c>
      <c r="K31" s="121">
        <f>'LABOR SHEET'!$C$5</f>
        <v>45</v>
      </c>
      <c r="L31" s="122">
        <f t="shared" si="16"/>
        <v>128.25</v>
      </c>
      <c r="M31" s="122">
        <f t="shared" si="13"/>
        <v>6284.25</v>
      </c>
      <c r="N31" s="122">
        <v>0</v>
      </c>
      <c r="O31" s="122">
        <f t="shared" si="17"/>
        <v>0</v>
      </c>
      <c r="P31" s="122">
        <f t="shared" si="18"/>
        <v>128.25</v>
      </c>
      <c r="Q31" s="148">
        <f t="shared" si="19"/>
        <v>6284.25</v>
      </c>
      <c r="R31" s="142"/>
    </row>
    <row r="32" spans="1:18">
      <c r="A32" s="64">
        <f>IF(F32&lt;&gt;"",1+MAX($A$2:A31),"")</f>
        <v>19</v>
      </c>
      <c r="B32" s="87"/>
      <c r="C32" s="65"/>
      <c r="D32" s="86" t="s">
        <v>46</v>
      </c>
      <c r="E32" s="67">
        <v>61</v>
      </c>
      <c r="F32" s="68">
        <v>0</v>
      </c>
      <c r="G32" s="63">
        <f t="shared" si="14"/>
        <v>61</v>
      </c>
      <c r="H32" s="67" t="s">
        <v>47</v>
      </c>
      <c r="I32" s="119">
        <v>2.85</v>
      </c>
      <c r="J32" s="120">
        <f t="shared" si="15"/>
        <v>173.85</v>
      </c>
      <c r="K32" s="121">
        <f>'LABOR SHEET'!$C$5</f>
        <v>45</v>
      </c>
      <c r="L32" s="122">
        <f t="shared" si="16"/>
        <v>128.25</v>
      </c>
      <c r="M32" s="122">
        <f t="shared" si="13"/>
        <v>7823.25</v>
      </c>
      <c r="N32" s="122">
        <v>0</v>
      </c>
      <c r="O32" s="122">
        <f t="shared" si="17"/>
        <v>0</v>
      </c>
      <c r="P32" s="122">
        <f t="shared" si="18"/>
        <v>128.25</v>
      </c>
      <c r="Q32" s="148">
        <f t="shared" si="19"/>
        <v>7823.25</v>
      </c>
      <c r="R32" s="142"/>
    </row>
    <row r="33" spans="1:18">
      <c r="A33" s="58">
        <f>IF(F33&lt;&gt;"",1+MAX($A$2:A32),"")</f>
        <v>20</v>
      </c>
      <c r="B33" s="87"/>
      <c r="C33" s="59"/>
      <c r="D33" s="89" t="s">
        <v>46</v>
      </c>
      <c r="E33" s="67">
        <f>90+1401</f>
        <v>1491</v>
      </c>
      <c r="F33" s="62">
        <v>0</v>
      </c>
      <c r="G33" s="63">
        <f t="shared" ref="G26:G34" si="20">(F33*E33)+E33</f>
        <v>1491</v>
      </c>
      <c r="H33" s="67" t="s">
        <v>47</v>
      </c>
      <c r="I33" s="119">
        <v>2.85</v>
      </c>
      <c r="J33" s="120">
        <f t="shared" ref="J33:J34" si="21">+I33*G33</f>
        <v>4249.35</v>
      </c>
      <c r="K33" s="121">
        <f>'LABOR SHEET'!$C$5</f>
        <v>45</v>
      </c>
      <c r="L33" s="122">
        <f t="shared" ref="L33:L34" si="22">I33*K33</f>
        <v>128.25</v>
      </c>
      <c r="M33" s="122">
        <f t="shared" si="13"/>
        <v>191220.75</v>
      </c>
      <c r="N33" s="122">
        <v>0</v>
      </c>
      <c r="O33" s="122">
        <f t="shared" ref="O33:O34" si="23">N33*G33</f>
        <v>0</v>
      </c>
      <c r="P33" s="122">
        <f t="shared" ref="P33:P34" si="24">(I33*K33)+N33</f>
        <v>128.25</v>
      </c>
      <c r="Q33" s="148">
        <f t="shared" ref="Q33:Q34" si="25">P33*G33</f>
        <v>191220.75</v>
      </c>
      <c r="R33" s="142"/>
    </row>
    <row r="34" spans="1:18">
      <c r="A34" s="64">
        <f>IF(F34&lt;&gt;"",1+MAX($A$2:A33),"")</f>
        <v>21</v>
      </c>
      <c r="B34" s="90"/>
      <c r="C34" s="65"/>
      <c r="D34" s="86" t="s">
        <v>48</v>
      </c>
      <c r="E34" s="67">
        <v>50</v>
      </c>
      <c r="F34" s="68">
        <v>0</v>
      </c>
      <c r="G34" s="63">
        <f t="shared" si="20"/>
        <v>50</v>
      </c>
      <c r="H34" s="67" t="s">
        <v>47</v>
      </c>
      <c r="I34" s="119">
        <v>2.85</v>
      </c>
      <c r="J34" s="120">
        <f t="shared" si="21"/>
        <v>142.5</v>
      </c>
      <c r="K34" s="121">
        <f>'LABOR SHEET'!$C$5</f>
        <v>45</v>
      </c>
      <c r="L34" s="122">
        <f t="shared" si="22"/>
        <v>128.25</v>
      </c>
      <c r="M34" s="122">
        <f t="shared" si="13"/>
        <v>6412.5</v>
      </c>
      <c r="N34" s="122">
        <v>0</v>
      </c>
      <c r="O34" s="122">
        <f t="shared" si="23"/>
        <v>0</v>
      </c>
      <c r="P34" s="122">
        <f t="shared" si="24"/>
        <v>128.25</v>
      </c>
      <c r="Q34" s="148">
        <f t="shared" si="25"/>
        <v>6412.5</v>
      </c>
      <c r="R34" s="142"/>
    </row>
    <row r="35" spans="1:18">
      <c r="A35" s="91"/>
      <c r="B35" s="90"/>
      <c r="C35" s="65"/>
      <c r="D35" s="86"/>
      <c r="E35" s="67"/>
      <c r="F35" s="68"/>
      <c r="G35" s="63"/>
      <c r="H35" s="71"/>
      <c r="I35" s="123"/>
      <c r="J35" s="120"/>
      <c r="K35" s="121"/>
      <c r="L35" s="122"/>
      <c r="M35" s="122"/>
      <c r="N35" s="122"/>
      <c r="O35" s="122"/>
      <c r="P35" s="126"/>
      <c r="Q35" s="150"/>
      <c r="R35" s="142"/>
    </row>
    <row r="36" ht="16.35" spans="1:18">
      <c r="A36" s="91">
        <f>IF(F36&lt;&gt;"",1+MAX($A$2:A34),"")</f>
        <v>22</v>
      </c>
      <c r="B36" s="81"/>
      <c r="C36" s="65"/>
      <c r="D36" s="66" t="s">
        <v>49</v>
      </c>
      <c r="E36" s="67">
        <v>1</v>
      </c>
      <c r="F36" s="68">
        <v>0</v>
      </c>
      <c r="G36" s="63">
        <f>(F36*E36)+E36</f>
        <v>1</v>
      </c>
      <c r="H36" s="67" t="s">
        <v>26</v>
      </c>
      <c r="I36" s="119">
        <v>0</v>
      </c>
      <c r="J36" s="120">
        <f>+I36*G36</f>
        <v>0</v>
      </c>
      <c r="K36" s="121">
        <f>'LABOR SHEET'!$C$5</f>
        <v>45</v>
      </c>
      <c r="L36" s="122">
        <f>I36*K36</f>
        <v>0</v>
      </c>
      <c r="M36" s="122">
        <f>K36*J36</f>
        <v>0</v>
      </c>
      <c r="N36" s="122">
        <f>1250*4</f>
        <v>5000</v>
      </c>
      <c r="O36" s="122">
        <f>N36*G36</f>
        <v>5000</v>
      </c>
      <c r="P36" s="122">
        <f>(I36*K36)+N36</f>
        <v>5000</v>
      </c>
      <c r="Q36" s="149">
        <f>P36*G36</f>
        <v>5000</v>
      </c>
      <c r="R36" s="142"/>
    </row>
    <row r="37" s="31" customFormat="1" ht="16.35" spans="1:18">
      <c r="A37" s="74" t="str">
        <f>IF(F37&lt;&gt;"",1+MAX($A$2:A36),"")</f>
        <v/>
      </c>
      <c r="B37" s="92"/>
      <c r="C37" s="76"/>
      <c r="D37" s="77" t="s">
        <v>33</v>
      </c>
      <c r="E37" s="78"/>
      <c r="F37" s="78"/>
      <c r="G37" s="78"/>
      <c r="H37" s="78"/>
      <c r="I37" s="78"/>
      <c r="J37" s="129"/>
      <c r="K37" s="129"/>
      <c r="L37" s="129"/>
      <c r="M37" s="129"/>
      <c r="N37" s="129"/>
      <c r="O37" s="127"/>
      <c r="P37" s="127"/>
      <c r="Q37" s="151">
        <f>SUM(Q19:Q36)</f>
        <v>262415.525</v>
      </c>
      <c r="R37" s="144"/>
    </row>
    <row r="38" s="31" customFormat="1" spans="1:18">
      <c r="A38" s="93" t="str">
        <f>IF(F38&lt;&gt;"",1+MAX($A$2:A37),"")</f>
        <v/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152"/>
      <c r="R38" s="144"/>
    </row>
    <row r="39" s="33" customFormat="1" spans="1:19">
      <c r="A39" s="54" t="str">
        <f>IF(F39&lt;&gt;"",1+MAX($A$2:A38),"")</f>
        <v/>
      </c>
      <c r="B39" s="55"/>
      <c r="C39" s="55">
        <v>31</v>
      </c>
      <c r="D39" s="57" t="s">
        <v>50</v>
      </c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153"/>
      <c r="S39" s="146"/>
    </row>
    <row r="40" s="33" customFormat="1" spans="1:36">
      <c r="A40" s="94" t="str">
        <f>IF(F40&lt;&gt;"",1+MAX($A$2:A39),"")</f>
        <v/>
      </c>
      <c r="B40" s="95"/>
      <c r="C40" s="69"/>
      <c r="D40" s="96" t="s">
        <v>51</v>
      </c>
      <c r="E40" s="67"/>
      <c r="F40" s="67"/>
      <c r="G40" s="67"/>
      <c r="H40" s="67"/>
      <c r="I40" s="130"/>
      <c r="J40" s="131"/>
      <c r="K40" s="132"/>
      <c r="L40" s="122"/>
      <c r="M40" s="122"/>
      <c r="N40" s="122"/>
      <c r="O40" s="122"/>
      <c r="P40" s="122"/>
      <c r="Q40" s="154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  <c r="AD40" s="155"/>
      <c r="AE40" s="155"/>
      <c r="AF40" s="155"/>
      <c r="AG40" s="155"/>
      <c r="AH40" s="155"/>
      <c r="AI40" s="155"/>
      <c r="AJ40" s="155"/>
    </row>
    <row r="41" s="33" customFormat="1" spans="1:36">
      <c r="A41" s="94">
        <f>IF(F41&lt;&gt;"",1+MAX($A$2:A40),"")</f>
        <v>23</v>
      </c>
      <c r="B41" s="97" t="s">
        <v>52</v>
      </c>
      <c r="C41" s="98"/>
      <c r="D41" s="86" t="s">
        <v>53</v>
      </c>
      <c r="E41" s="69">
        <v>1685.98</v>
      </c>
      <c r="F41" s="62">
        <v>0</v>
      </c>
      <c r="G41" s="99">
        <f t="shared" ref="G41:G43" si="26">E41*(1+F41)</f>
        <v>1685.98</v>
      </c>
      <c r="H41" s="67" t="s">
        <v>54</v>
      </c>
      <c r="I41" s="119">
        <v>0.22</v>
      </c>
      <c r="J41" s="120">
        <f t="shared" ref="J41:J43" si="27">+I41*G41</f>
        <v>370.9156</v>
      </c>
      <c r="K41" s="121">
        <f>'LABOR SHEET'!$C$4</f>
        <v>45</v>
      </c>
      <c r="L41" s="122">
        <f t="shared" ref="L41:L43" si="28">I41*K41</f>
        <v>9.9</v>
      </c>
      <c r="M41" s="122">
        <f t="shared" ref="M41:M43" si="29">K41*J41</f>
        <v>16691.202</v>
      </c>
      <c r="N41" s="122">
        <v>5</v>
      </c>
      <c r="O41" s="122">
        <f t="shared" ref="O41:O43" si="30">N41*G41</f>
        <v>8429.9</v>
      </c>
      <c r="P41" s="122">
        <f t="shared" ref="P41:P43" si="31">(I41*K41)+N41</f>
        <v>14.9</v>
      </c>
      <c r="Q41" s="148">
        <f t="shared" ref="Q41:Q43" si="32">P41*G41</f>
        <v>25121.102</v>
      </c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</row>
    <row r="42" s="33" customFormat="1" spans="1:36">
      <c r="A42" s="94">
        <f>IF(F42&lt;&gt;"",1+MAX($A$2:A41),"")</f>
        <v>24</v>
      </c>
      <c r="B42" s="100"/>
      <c r="C42" s="98"/>
      <c r="D42" s="86" t="s">
        <v>55</v>
      </c>
      <c r="E42" s="69">
        <v>6718.51</v>
      </c>
      <c r="F42" s="62">
        <v>0</v>
      </c>
      <c r="G42" s="99">
        <f t="shared" si="26"/>
        <v>6718.51</v>
      </c>
      <c r="H42" s="67" t="s">
        <v>54</v>
      </c>
      <c r="I42" s="119">
        <v>0.2</v>
      </c>
      <c r="J42" s="120">
        <f t="shared" si="27"/>
        <v>1343.702</v>
      </c>
      <c r="K42" s="121">
        <f>'LABOR SHEET'!$C$4</f>
        <v>45</v>
      </c>
      <c r="L42" s="122">
        <f t="shared" si="28"/>
        <v>9</v>
      </c>
      <c r="M42" s="122">
        <f t="shared" si="29"/>
        <v>60466.59</v>
      </c>
      <c r="N42" s="122">
        <v>5</v>
      </c>
      <c r="O42" s="122">
        <f t="shared" si="30"/>
        <v>33592.55</v>
      </c>
      <c r="P42" s="122">
        <f t="shared" si="31"/>
        <v>14</v>
      </c>
      <c r="Q42" s="148">
        <f t="shared" si="32"/>
        <v>94059.14</v>
      </c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</row>
    <row r="43" s="33" customFormat="1" spans="1:36">
      <c r="A43" s="94">
        <f>IF(F43&lt;&gt;"",1+MAX($A$2:A42),"")</f>
        <v>25</v>
      </c>
      <c r="B43" s="100"/>
      <c r="C43" s="98"/>
      <c r="D43" s="101" t="s">
        <v>56</v>
      </c>
      <c r="E43" s="69">
        <f>6718.51-1685.98-1475+704</f>
        <v>4261.53</v>
      </c>
      <c r="F43" s="62">
        <v>0</v>
      </c>
      <c r="G43" s="99">
        <f t="shared" si="26"/>
        <v>4261.53</v>
      </c>
      <c r="H43" s="67" t="s">
        <v>54</v>
      </c>
      <c r="I43" s="119">
        <v>0.44</v>
      </c>
      <c r="J43" s="120">
        <f t="shared" si="27"/>
        <v>1875.0732</v>
      </c>
      <c r="K43" s="121">
        <f>'LABOR SHEET'!$C$4</f>
        <v>45</v>
      </c>
      <c r="L43" s="122">
        <f t="shared" si="28"/>
        <v>19.8</v>
      </c>
      <c r="M43" s="122">
        <f t="shared" si="29"/>
        <v>84378.294</v>
      </c>
      <c r="N43" s="122">
        <v>10</v>
      </c>
      <c r="O43" s="122">
        <f t="shared" si="30"/>
        <v>42615.3</v>
      </c>
      <c r="P43" s="122">
        <f t="shared" si="31"/>
        <v>29.8</v>
      </c>
      <c r="Q43" s="148">
        <f t="shared" si="32"/>
        <v>126993.594</v>
      </c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</row>
    <row r="44" s="33" customFormat="1" ht="16.35" spans="1:36">
      <c r="A44" s="94" t="str">
        <f>IF(F44&lt;&gt;"",1+MAX($A$2:A43),"")</f>
        <v/>
      </c>
      <c r="B44" s="102"/>
      <c r="C44" s="98"/>
      <c r="D44" s="66"/>
      <c r="E44" s="69"/>
      <c r="F44" s="103"/>
      <c r="G44" s="99"/>
      <c r="H44" s="67"/>
      <c r="I44" s="119"/>
      <c r="J44" s="120"/>
      <c r="K44" s="121"/>
      <c r="L44" s="122"/>
      <c r="M44" s="122"/>
      <c r="N44" s="122"/>
      <c r="O44" s="122"/>
      <c r="P44" s="122"/>
      <c r="Q44" s="154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</row>
    <row r="45" s="33" customFormat="1" ht="16.35" spans="1:19">
      <c r="A45" s="94" t="str">
        <f>IF(F45&lt;&gt;"",1+MAX($A$2:A44),"")</f>
        <v/>
      </c>
      <c r="B45" s="104"/>
      <c r="C45" s="105"/>
      <c r="D45" s="77" t="s">
        <v>33</v>
      </c>
      <c r="E45" s="106"/>
      <c r="F45" s="106"/>
      <c r="G45" s="107"/>
      <c r="H45" s="106"/>
      <c r="I45" s="106"/>
      <c r="J45" s="133"/>
      <c r="K45" s="133"/>
      <c r="L45" s="134"/>
      <c r="M45" s="135"/>
      <c r="N45" s="134"/>
      <c r="O45" s="134"/>
      <c r="P45" s="136"/>
      <c r="Q45" s="143">
        <f>SUM(Q40:Q43)</f>
        <v>246173.836</v>
      </c>
      <c r="S45" s="146"/>
    </row>
    <row r="46" s="33" customFormat="1" spans="1:19">
      <c r="A46" s="108" t="str">
        <f>IF(F46&lt;&gt;"",1+MAX($A$2:A45),"")</f>
        <v/>
      </c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56"/>
      <c r="S46" s="146"/>
    </row>
    <row r="47" s="33" customFormat="1" spans="1:19">
      <c r="A47" s="54" t="str">
        <f>IF(F47&lt;&gt;"",1+MAX($A$2:A46),"")</f>
        <v/>
      </c>
      <c r="B47" s="55"/>
      <c r="C47" s="55">
        <v>32</v>
      </c>
      <c r="D47" s="57" t="s">
        <v>57</v>
      </c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153"/>
      <c r="S47" s="146"/>
    </row>
    <row r="48" s="33" customFormat="1" spans="1:36">
      <c r="A48" s="94" t="str">
        <f>IF(F48&lt;&gt;"",1+MAX($A$2:A47),"")</f>
        <v/>
      </c>
      <c r="B48" s="95"/>
      <c r="C48" s="69"/>
      <c r="D48" s="96" t="s">
        <v>58</v>
      </c>
      <c r="E48" s="67"/>
      <c r="F48" s="67"/>
      <c r="G48" s="67"/>
      <c r="H48" s="67"/>
      <c r="I48" s="130"/>
      <c r="J48" s="131"/>
      <c r="K48" s="132"/>
      <c r="L48" s="122"/>
      <c r="M48" s="122"/>
      <c r="N48" s="122"/>
      <c r="O48" s="122"/>
      <c r="P48" s="122"/>
      <c r="Q48" s="154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</row>
    <row r="49" s="33" customFormat="1" spans="1:36">
      <c r="A49" s="94" t="str">
        <f>IF(F49&lt;&gt;"",1+MAX($A$2:A48),"")</f>
        <v/>
      </c>
      <c r="B49" s="110" t="s">
        <v>59</v>
      </c>
      <c r="C49" s="98"/>
      <c r="D49" s="111" t="s">
        <v>60</v>
      </c>
      <c r="E49" s="67"/>
      <c r="F49" s="103"/>
      <c r="G49" s="99"/>
      <c r="H49" s="67"/>
      <c r="I49" s="119"/>
      <c r="J49" s="120"/>
      <c r="K49" s="121"/>
      <c r="L49" s="122"/>
      <c r="M49" s="122"/>
      <c r="N49" s="122"/>
      <c r="O49" s="122"/>
      <c r="P49" s="122"/>
      <c r="Q49" s="148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</row>
    <row r="50" s="33" customFormat="1" spans="1:36">
      <c r="A50" s="94">
        <f>IF(F50&lt;&gt;"",1+MAX($A$2:A49),"")</f>
        <v>26</v>
      </c>
      <c r="B50" s="112"/>
      <c r="C50" s="98"/>
      <c r="D50" s="86" t="s">
        <v>61</v>
      </c>
      <c r="E50" s="67">
        <v>46</v>
      </c>
      <c r="F50" s="68">
        <v>0.05</v>
      </c>
      <c r="G50" s="99">
        <f>E50*(1+F50)</f>
        <v>48.3</v>
      </c>
      <c r="H50" s="67" t="s">
        <v>40</v>
      </c>
      <c r="I50" s="119">
        <f>0.024*8</f>
        <v>0.192</v>
      </c>
      <c r="J50" s="120">
        <f>+I50*G50</f>
        <v>9.2736</v>
      </c>
      <c r="K50" s="121">
        <f>'LABOR SHEET'!$C$5</f>
        <v>45</v>
      </c>
      <c r="L50" s="122">
        <f>I50*K50</f>
        <v>8.64</v>
      </c>
      <c r="M50" s="122">
        <f>K50*J50</f>
        <v>417.312</v>
      </c>
      <c r="N50" s="122">
        <f>2.7*8</f>
        <v>21.6</v>
      </c>
      <c r="O50" s="122">
        <f>N50*G50</f>
        <v>1043.28</v>
      </c>
      <c r="P50" s="122">
        <f>(I50*K50)+N50</f>
        <v>30.24</v>
      </c>
      <c r="Q50" s="148">
        <f>P50*G50</f>
        <v>1460.592</v>
      </c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</row>
    <row r="51" s="33" customFormat="1" spans="1:36">
      <c r="A51" s="94"/>
      <c r="B51" s="112"/>
      <c r="C51" s="98"/>
      <c r="D51" s="86"/>
      <c r="E51" s="67"/>
      <c r="F51" s="68"/>
      <c r="G51" s="99"/>
      <c r="H51" s="67"/>
      <c r="I51" s="119"/>
      <c r="J51" s="120"/>
      <c r="K51" s="121"/>
      <c r="L51" s="122"/>
      <c r="M51" s="122"/>
      <c r="N51" s="122"/>
      <c r="O51" s="122"/>
      <c r="P51" s="122"/>
      <c r="Q51" s="148"/>
      <c r="R51" s="155"/>
      <c r="S51" s="155"/>
      <c r="T51" s="155"/>
      <c r="U51" s="155"/>
      <c r="V51" s="155"/>
      <c r="W51" s="155"/>
      <c r="X51" s="155"/>
      <c r="Y51" s="155"/>
      <c r="Z51" s="155"/>
      <c r="AA51" s="155"/>
      <c r="AB51" s="155"/>
      <c r="AC51" s="155"/>
      <c r="AD51" s="155"/>
      <c r="AE51" s="155"/>
      <c r="AF51" s="155"/>
      <c r="AG51" s="155"/>
      <c r="AH51" s="155"/>
      <c r="AI51" s="155"/>
      <c r="AJ51" s="155"/>
    </row>
    <row r="52" s="33" customFormat="1" spans="1:36">
      <c r="A52" s="94" t="str">
        <f>IF(F52&lt;&gt;"",1+MAX($A$2:A50),"")</f>
        <v/>
      </c>
      <c r="B52" s="112"/>
      <c r="C52" s="98"/>
      <c r="D52" s="111" t="s">
        <v>62</v>
      </c>
      <c r="E52" s="67"/>
      <c r="F52" s="103"/>
      <c r="G52" s="99"/>
      <c r="H52" s="67"/>
      <c r="I52" s="119"/>
      <c r="J52" s="120"/>
      <c r="K52" s="121"/>
      <c r="L52" s="122"/>
      <c r="M52" s="122"/>
      <c r="N52" s="122"/>
      <c r="O52" s="122"/>
      <c r="P52" s="122"/>
      <c r="Q52" s="148"/>
      <c r="R52" s="155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</row>
    <row r="53" s="33" customFormat="1" ht="31.2" spans="1:36">
      <c r="A53" s="94">
        <f>IF(F53&lt;&gt;"",1+MAX($A$2:A52),"")</f>
        <v>27</v>
      </c>
      <c r="B53" s="112"/>
      <c r="C53" s="98"/>
      <c r="D53" s="89" t="s">
        <v>63</v>
      </c>
      <c r="E53" s="67">
        <v>14989</v>
      </c>
      <c r="F53" s="62">
        <v>0.1</v>
      </c>
      <c r="G53" s="99">
        <f>E53*(1+F53)</f>
        <v>16487.9</v>
      </c>
      <c r="H53" s="67" t="s">
        <v>38</v>
      </c>
      <c r="I53" s="119">
        <v>0.032</v>
      </c>
      <c r="J53" s="120">
        <f>+I53*G53</f>
        <v>527.6128</v>
      </c>
      <c r="K53" s="121">
        <f>'LABOR SHEET'!$C$5</f>
        <v>45</v>
      </c>
      <c r="L53" s="122">
        <f>I53*K53</f>
        <v>1.44</v>
      </c>
      <c r="M53" s="122">
        <f>K53*J53</f>
        <v>23742.576</v>
      </c>
      <c r="N53" s="122">
        <v>1</v>
      </c>
      <c r="O53" s="122">
        <f>N53*G53</f>
        <v>16487.9</v>
      </c>
      <c r="P53" s="122">
        <f>(I53*K53)+N53</f>
        <v>2.44</v>
      </c>
      <c r="Q53" s="148">
        <f>P53*G53</f>
        <v>40230.476</v>
      </c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</row>
    <row r="54" s="33" customFormat="1" spans="1:36">
      <c r="A54" s="94">
        <f>IF(F54&lt;&gt;"",1+MAX($A$2:A53),"")</f>
        <v>28</v>
      </c>
      <c r="B54" s="112"/>
      <c r="C54" s="98"/>
      <c r="D54" s="113" t="s">
        <v>64</v>
      </c>
      <c r="E54" s="69">
        <f>0.75*14989/27</f>
        <v>416.361111111111</v>
      </c>
      <c r="F54" s="62">
        <v>0.1</v>
      </c>
      <c r="G54" s="99">
        <f>E54*(1+F54)</f>
        <v>457.997222222222</v>
      </c>
      <c r="H54" s="67" t="s">
        <v>54</v>
      </c>
      <c r="I54" s="119">
        <v>1</v>
      </c>
      <c r="J54" s="120">
        <f>+I54*G54</f>
        <v>457.997222222222</v>
      </c>
      <c r="K54" s="121">
        <f>'LABOR SHEET'!$C$5</f>
        <v>45</v>
      </c>
      <c r="L54" s="122">
        <f>I54*K54</f>
        <v>45</v>
      </c>
      <c r="M54" s="122">
        <f>K54*J54</f>
        <v>20609.875</v>
      </c>
      <c r="N54" s="122">
        <v>68.2</v>
      </c>
      <c r="O54" s="122">
        <f>N54*G54</f>
        <v>31235.4105555555</v>
      </c>
      <c r="P54" s="122">
        <f>(I54*K54)+N54</f>
        <v>113.2</v>
      </c>
      <c r="Q54" s="148">
        <f>P54*G54</f>
        <v>51845.2855555555</v>
      </c>
      <c r="R54" s="155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55"/>
      <c r="AD54" s="155"/>
      <c r="AE54" s="155"/>
      <c r="AF54" s="155"/>
      <c r="AG54" s="155"/>
      <c r="AH54" s="155"/>
      <c r="AI54" s="155"/>
      <c r="AJ54" s="155"/>
    </row>
    <row r="55" s="33" customFormat="1" spans="1:36">
      <c r="A55" s="94">
        <f>IF(F55&lt;&gt;"",1+MAX($A$2:A54),"")</f>
        <v>29</v>
      </c>
      <c r="B55" s="112"/>
      <c r="C55" s="98"/>
      <c r="D55" s="113" t="s">
        <v>65</v>
      </c>
      <c r="E55" s="67">
        <v>14989</v>
      </c>
      <c r="F55" s="62">
        <v>0.1</v>
      </c>
      <c r="G55" s="99">
        <f>E55*(1+F55)</f>
        <v>16487.9</v>
      </c>
      <c r="H55" s="67" t="s">
        <v>38</v>
      </c>
      <c r="I55" s="119">
        <v>0.007</v>
      </c>
      <c r="J55" s="120">
        <f>+I55*G55</f>
        <v>115.4153</v>
      </c>
      <c r="K55" s="121">
        <f>'LABOR SHEET'!$C$5</f>
        <v>45</v>
      </c>
      <c r="L55" s="122">
        <f>I55*K55</f>
        <v>0.315</v>
      </c>
      <c r="M55" s="122">
        <f>K55*J55</f>
        <v>5193.6885</v>
      </c>
      <c r="N55" s="122">
        <v>0.4</v>
      </c>
      <c r="O55" s="122">
        <f>N55*G55</f>
        <v>6595.16</v>
      </c>
      <c r="P55" s="122">
        <f>(I55*K55)+N55</f>
        <v>0.715</v>
      </c>
      <c r="Q55" s="148">
        <f>P55*G55</f>
        <v>11788.8485</v>
      </c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</row>
    <row r="56" s="33" customFormat="1" spans="1:36">
      <c r="A56" s="94"/>
      <c r="B56" s="112"/>
      <c r="C56" s="98"/>
      <c r="D56" s="113"/>
      <c r="E56" s="67"/>
      <c r="F56" s="62"/>
      <c r="G56" s="99"/>
      <c r="H56" s="67"/>
      <c r="I56" s="119"/>
      <c r="J56" s="120"/>
      <c r="K56" s="121"/>
      <c r="L56" s="122"/>
      <c r="M56" s="122"/>
      <c r="N56" s="122"/>
      <c r="O56" s="122"/>
      <c r="P56" s="122"/>
      <c r="Q56" s="148"/>
      <c r="R56" s="155"/>
      <c r="S56" s="155"/>
      <c r="T56" s="155"/>
      <c r="U56" s="155"/>
      <c r="V56" s="155"/>
      <c r="W56" s="155"/>
      <c r="X56" s="155"/>
      <c r="Y56" s="155"/>
      <c r="Z56" s="155"/>
      <c r="AA56" s="155"/>
      <c r="AB56" s="155"/>
      <c r="AC56" s="155"/>
      <c r="AD56" s="155"/>
      <c r="AE56" s="155"/>
      <c r="AF56" s="155"/>
      <c r="AG56" s="155"/>
      <c r="AH56" s="155"/>
      <c r="AI56" s="155"/>
      <c r="AJ56" s="155"/>
    </row>
    <row r="57" s="33" customFormat="1" spans="1:36">
      <c r="A57" s="94" t="str">
        <f>IF(F57&lt;&gt;"",1+MAX($A$2:A55),"")</f>
        <v/>
      </c>
      <c r="B57" s="112"/>
      <c r="C57" s="98"/>
      <c r="D57" s="111" t="s">
        <v>66</v>
      </c>
      <c r="E57" s="67"/>
      <c r="F57" s="103"/>
      <c r="G57" s="99"/>
      <c r="H57" s="67"/>
      <c r="I57" s="119"/>
      <c r="J57" s="120"/>
      <c r="K57" s="121"/>
      <c r="L57" s="122"/>
      <c r="M57" s="122"/>
      <c r="N57" s="122"/>
      <c r="O57" s="122"/>
      <c r="P57" s="122"/>
      <c r="Q57" s="148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</row>
    <row r="58" s="33" customFormat="1" ht="31.2" spans="1:36">
      <c r="A58" s="94">
        <f>IF(F58&lt;&gt;"",1+MAX($A$2:A57),"")</f>
        <v>30</v>
      </c>
      <c r="B58" s="112"/>
      <c r="C58" s="98"/>
      <c r="D58" s="89" t="s">
        <v>67</v>
      </c>
      <c r="E58" s="69">
        <f>0.5*2148/27</f>
        <v>39.7777777777778</v>
      </c>
      <c r="F58" s="62">
        <v>0.1</v>
      </c>
      <c r="G58" s="99">
        <f>E58*(1+F58)</f>
        <v>43.7555555555556</v>
      </c>
      <c r="H58" s="67" t="s">
        <v>54</v>
      </c>
      <c r="I58" s="119">
        <v>2.7</v>
      </c>
      <c r="J58" s="120">
        <f>+I58*G58</f>
        <v>118.14</v>
      </c>
      <c r="K58" s="121">
        <f>'LABOR SHEET'!$C$5</f>
        <v>45</v>
      </c>
      <c r="L58" s="122">
        <f>I58*K58</f>
        <v>121.5</v>
      </c>
      <c r="M58" s="122">
        <f>K58*J58</f>
        <v>5316.3</v>
      </c>
      <c r="N58" s="122">
        <v>235</v>
      </c>
      <c r="O58" s="122">
        <f>N58*G58</f>
        <v>10282.5555555556</v>
      </c>
      <c r="P58" s="122">
        <f>(I58*K58)+N58</f>
        <v>356.5</v>
      </c>
      <c r="Q58" s="148">
        <f>P58*G58</f>
        <v>15598.8555555556</v>
      </c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</row>
    <row r="59" s="33" customFormat="1" spans="1:36">
      <c r="A59" s="94">
        <f>IF(F59&lt;&gt;"",1+MAX($A$2:A58),"")</f>
        <v>31</v>
      </c>
      <c r="B59" s="112"/>
      <c r="C59" s="98"/>
      <c r="D59" s="89" t="s">
        <v>65</v>
      </c>
      <c r="E59" s="67">
        <v>2148</v>
      </c>
      <c r="F59" s="62">
        <v>0.1</v>
      </c>
      <c r="G59" s="99">
        <f>E59*(1+F59)</f>
        <v>2362.8</v>
      </c>
      <c r="H59" s="67" t="s">
        <v>38</v>
      </c>
      <c r="I59" s="119">
        <v>0.007</v>
      </c>
      <c r="J59" s="120">
        <f>+I59*G59</f>
        <v>16.5396</v>
      </c>
      <c r="K59" s="121">
        <f>'LABOR SHEET'!$C$5</f>
        <v>45</v>
      </c>
      <c r="L59" s="122">
        <f>I59*K59</f>
        <v>0.315</v>
      </c>
      <c r="M59" s="122">
        <f>K59*J59</f>
        <v>744.282</v>
      </c>
      <c r="N59" s="122">
        <v>0.4</v>
      </c>
      <c r="O59" s="122">
        <f>N59*G59</f>
        <v>945.12</v>
      </c>
      <c r="P59" s="122">
        <f>(I59*K59)+N59</f>
        <v>0.715</v>
      </c>
      <c r="Q59" s="148">
        <f>P59*G59</f>
        <v>1689.402</v>
      </c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</row>
    <row r="60" s="33" customFormat="1" spans="1:36">
      <c r="A60" s="94">
        <f>IF(F60&lt;&gt;"",1+MAX($A$2:A59),"")</f>
        <v>32</v>
      </c>
      <c r="B60" s="112"/>
      <c r="C60" s="98"/>
      <c r="D60" s="113" t="s">
        <v>68</v>
      </c>
      <c r="E60" s="69">
        <f>2148/30*2</f>
        <v>143.2</v>
      </c>
      <c r="F60" s="68">
        <v>0.05</v>
      </c>
      <c r="G60" s="99">
        <f>E60*(1+F60)</f>
        <v>150.36</v>
      </c>
      <c r="H60" s="67" t="s">
        <v>40</v>
      </c>
      <c r="I60" s="119">
        <v>0.018</v>
      </c>
      <c r="J60" s="120">
        <f>+I60*G60</f>
        <v>2.70648</v>
      </c>
      <c r="K60" s="121">
        <f>'LABOR SHEET'!$C$5</f>
        <v>45</v>
      </c>
      <c r="L60" s="122">
        <f>I60*K60</f>
        <v>0.81</v>
      </c>
      <c r="M60" s="122">
        <f>K60*J60</f>
        <v>121.7916</v>
      </c>
      <c r="N60" s="122">
        <v>0.82</v>
      </c>
      <c r="O60" s="122">
        <f>N60*G60</f>
        <v>123.2952</v>
      </c>
      <c r="P60" s="122">
        <f>(I60*K60)+N60</f>
        <v>1.63</v>
      </c>
      <c r="Q60" s="148">
        <f>P60*G60</f>
        <v>245.0868</v>
      </c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</row>
    <row r="61" s="33" customFormat="1" spans="1:36">
      <c r="A61" s="94">
        <f>IF(F61&lt;&gt;"",1+MAX($A$2:A60),"")</f>
        <v>33</v>
      </c>
      <c r="B61" s="112"/>
      <c r="C61" s="98"/>
      <c r="D61" s="113" t="s">
        <v>69</v>
      </c>
      <c r="E61" s="69">
        <f>2148/30*2</f>
        <v>143.2</v>
      </c>
      <c r="F61" s="68">
        <v>0.05</v>
      </c>
      <c r="G61" s="99">
        <f t="shared" ref="G61:G64" si="33">E61*(1+F61)</f>
        <v>150.36</v>
      </c>
      <c r="H61" s="67" t="s">
        <v>40</v>
      </c>
      <c r="I61" s="119">
        <v>0.01</v>
      </c>
      <c r="J61" s="120">
        <f t="shared" ref="J61:J64" si="34">+I61*G61</f>
        <v>1.5036</v>
      </c>
      <c r="K61" s="121">
        <f>'LABOR SHEET'!$C$5</f>
        <v>45</v>
      </c>
      <c r="L61" s="122">
        <f t="shared" ref="L61:L64" si="35">I61*K61</f>
        <v>0.45</v>
      </c>
      <c r="M61" s="122">
        <f t="shared" ref="M61:M64" si="36">K61*J61</f>
        <v>67.662</v>
      </c>
      <c r="N61" s="122">
        <v>0.22</v>
      </c>
      <c r="O61" s="122">
        <f t="shared" ref="O61:O64" si="37">N61*G61</f>
        <v>33.0792</v>
      </c>
      <c r="P61" s="122">
        <f t="shared" ref="P61:P64" si="38">(I61*K61)+N61</f>
        <v>0.67</v>
      </c>
      <c r="Q61" s="148">
        <f t="shared" ref="Q61:Q64" si="39">P61*G61</f>
        <v>100.7412</v>
      </c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</row>
    <row r="62" s="33" customFormat="1" spans="1:36">
      <c r="A62" s="94">
        <f>IF(F62&lt;&gt;"",1+MAX($A$2:A61),"")</f>
        <v>34</v>
      </c>
      <c r="B62" s="112"/>
      <c r="C62" s="98"/>
      <c r="D62" s="113" t="s">
        <v>70</v>
      </c>
      <c r="E62" s="69">
        <f>2148/30*2</f>
        <v>143.2</v>
      </c>
      <c r="F62" s="68">
        <v>0.05</v>
      </c>
      <c r="G62" s="99">
        <f t="shared" si="33"/>
        <v>150.36</v>
      </c>
      <c r="H62" s="67" t="s">
        <v>40</v>
      </c>
      <c r="I62" s="119">
        <v>0.02</v>
      </c>
      <c r="J62" s="120">
        <f t="shared" si="34"/>
        <v>3.0072</v>
      </c>
      <c r="K62" s="121">
        <f>'LABOR SHEET'!$C$5</f>
        <v>45</v>
      </c>
      <c r="L62" s="122">
        <f t="shared" si="35"/>
        <v>0.9</v>
      </c>
      <c r="M62" s="122">
        <f t="shared" si="36"/>
        <v>135.324</v>
      </c>
      <c r="N62" s="122">
        <v>1.25</v>
      </c>
      <c r="O62" s="122">
        <f t="shared" si="37"/>
        <v>187.95</v>
      </c>
      <c r="P62" s="122">
        <f t="shared" si="38"/>
        <v>2.15</v>
      </c>
      <c r="Q62" s="148">
        <f t="shared" si="39"/>
        <v>323.274</v>
      </c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</row>
    <row r="63" s="33" customFormat="1" spans="1:36">
      <c r="A63" s="94">
        <f>IF(F63&lt;&gt;"",1+MAX($A$2:A62),"")</f>
        <v>35</v>
      </c>
      <c r="B63" s="112"/>
      <c r="C63" s="98"/>
      <c r="D63" s="113" t="s">
        <v>71</v>
      </c>
      <c r="E63" s="69">
        <f>2148/20*2</f>
        <v>214.8</v>
      </c>
      <c r="F63" s="68">
        <v>0.05</v>
      </c>
      <c r="G63" s="99">
        <f t="shared" si="33"/>
        <v>225.54</v>
      </c>
      <c r="H63" s="67" t="s">
        <v>40</v>
      </c>
      <c r="I63" s="119">
        <v>0.018</v>
      </c>
      <c r="J63" s="120">
        <f t="shared" si="34"/>
        <v>4.05972</v>
      </c>
      <c r="K63" s="121">
        <f>'LABOR SHEET'!$C$5</f>
        <v>45</v>
      </c>
      <c r="L63" s="122">
        <f t="shared" si="35"/>
        <v>0.81</v>
      </c>
      <c r="M63" s="122">
        <f t="shared" si="36"/>
        <v>182.6874</v>
      </c>
      <c r="N63" s="122">
        <v>0.82</v>
      </c>
      <c r="O63" s="122">
        <f t="shared" si="37"/>
        <v>184.9428</v>
      </c>
      <c r="P63" s="122">
        <f t="shared" si="38"/>
        <v>1.63</v>
      </c>
      <c r="Q63" s="148">
        <f t="shared" si="39"/>
        <v>367.6302</v>
      </c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</row>
    <row r="64" s="33" customFormat="1" spans="1:36">
      <c r="A64" s="94">
        <f>IF(F64&lt;&gt;"",1+MAX($A$2:A63),"")</f>
        <v>36</v>
      </c>
      <c r="B64" s="112"/>
      <c r="C64" s="98"/>
      <c r="D64" s="113" t="s">
        <v>72</v>
      </c>
      <c r="E64" s="69">
        <f>327*0.5</f>
        <v>163.5</v>
      </c>
      <c r="F64" s="62">
        <v>0.1</v>
      </c>
      <c r="G64" s="99">
        <f t="shared" si="33"/>
        <v>179.85</v>
      </c>
      <c r="H64" s="67" t="s">
        <v>38</v>
      </c>
      <c r="I64" s="119">
        <v>0.018</v>
      </c>
      <c r="J64" s="120">
        <f t="shared" si="34"/>
        <v>3.2373</v>
      </c>
      <c r="K64" s="121">
        <f>'LABOR SHEET'!$C$5</f>
        <v>45</v>
      </c>
      <c r="L64" s="122">
        <f t="shared" si="35"/>
        <v>0.81</v>
      </c>
      <c r="M64" s="122">
        <f t="shared" si="36"/>
        <v>145.6785</v>
      </c>
      <c r="N64" s="122">
        <v>3</v>
      </c>
      <c r="O64" s="122">
        <f t="shared" si="37"/>
        <v>539.55</v>
      </c>
      <c r="P64" s="122">
        <f t="shared" si="38"/>
        <v>3.81</v>
      </c>
      <c r="Q64" s="148">
        <f t="shared" si="39"/>
        <v>685.2285</v>
      </c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</row>
    <row r="65" s="33" customFormat="1" spans="1:36">
      <c r="A65" s="94"/>
      <c r="B65" s="112"/>
      <c r="C65" s="98"/>
      <c r="D65" s="113"/>
      <c r="E65" s="69"/>
      <c r="F65" s="62"/>
      <c r="G65" s="99"/>
      <c r="H65" s="67"/>
      <c r="I65" s="119"/>
      <c r="J65" s="120"/>
      <c r="K65" s="121"/>
      <c r="L65" s="122"/>
      <c r="M65" s="122"/>
      <c r="N65" s="122"/>
      <c r="O65" s="122"/>
      <c r="P65" s="122"/>
      <c r="Q65" s="148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</row>
    <row r="66" s="33" customFormat="1" spans="1:36">
      <c r="A66" s="94" t="str">
        <f>IF(F66&lt;&gt;"",1+MAX($A$2:A64),"")</f>
        <v/>
      </c>
      <c r="B66" s="112"/>
      <c r="C66" s="98"/>
      <c r="D66" s="111" t="s">
        <v>73</v>
      </c>
      <c r="E66" s="67"/>
      <c r="F66" s="103"/>
      <c r="G66" s="99"/>
      <c r="H66" s="67"/>
      <c r="I66" s="119"/>
      <c r="J66" s="120"/>
      <c r="K66" s="121"/>
      <c r="L66" s="122"/>
      <c r="M66" s="122"/>
      <c r="N66" s="122"/>
      <c r="O66" s="122"/>
      <c r="P66" s="122"/>
      <c r="Q66" s="148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  <c r="AH66" s="155"/>
      <c r="AI66" s="155"/>
      <c r="AJ66" s="155"/>
    </row>
    <row r="67" s="33" customFormat="1" spans="1:36">
      <c r="A67" s="94">
        <f>IF(F67&lt;&gt;"",1+MAX($A$2:A66),"")</f>
        <v>37</v>
      </c>
      <c r="B67" s="112"/>
      <c r="C67" s="98"/>
      <c r="D67" s="89" t="s">
        <v>74</v>
      </c>
      <c r="E67" s="69">
        <f>0.34*5346/27</f>
        <v>67.32</v>
      </c>
      <c r="F67" s="62">
        <v>0.1</v>
      </c>
      <c r="G67" s="99">
        <f t="shared" ref="G67:G71" si="40">E67*(1+F67)</f>
        <v>74.052</v>
      </c>
      <c r="H67" s="67" t="s">
        <v>54</v>
      </c>
      <c r="I67" s="119">
        <v>2.6</v>
      </c>
      <c r="J67" s="120">
        <f>+I67*G67</f>
        <v>192.5352</v>
      </c>
      <c r="K67" s="121">
        <f>'LABOR SHEET'!$C$5</f>
        <v>45</v>
      </c>
      <c r="L67" s="122">
        <f>I67*K67</f>
        <v>117</v>
      </c>
      <c r="M67" s="122">
        <f>K67*J67</f>
        <v>8664.084</v>
      </c>
      <c r="N67" s="122">
        <v>198</v>
      </c>
      <c r="O67" s="122">
        <f t="shared" ref="O67:O71" si="41">N67*G67</f>
        <v>14662.296</v>
      </c>
      <c r="P67" s="122">
        <f t="shared" ref="P67:P71" si="42">(I67*K67)+N67</f>
        <v>315</v>
      </c>
      <c r="Q67" s="148">
        <f t="shared" ref="Q67:Q71" si="43">P67*G67</f>
        <v>23326.38</v>
      </c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</row>
    <row r="68" s="33" customFormat="1" spans="1:36">
      <c r="A68" s="94">
        <f>IF(F68&lt;&gt;"",1+MAX($A$2:A67),"")</f>
        <v>38</v>
      </c>
      <c r="B68" s="112"/>
      <c r="C68" s="98"/>
      <c r="D68" s="113" t="s">
        <v>75</v>
      </c>
      <c r="E68" s="67">
        <v>5346</v>
      </c>
      <c r="F68" s="62">
        <v>0.1</v>
      </c>
      <c r="G68" s="99">
        <f t="shared" si="40"/>
        <v>5880.6</v>
      </c>
      <c r="H68" s="67" t="s">
        <v>38</v>
      </c>
      <c r="I68" s="119">
        <v>0.008</v>
      </c>
      <c r="J68" s="120">
        <f t="shared" ref="J67:J71" si="44">+I68*G68</f>
        <v>47.0448</v>
      </c>
      <c r="K68" s="121">
        <f>'LABOR SHEET'!$C$5</f>
        <v>45</v>
      </c>
      <c r="L68" s="122">
        <f t="shared" ref="L67:L71" si="45">I68*K68</f>
        <v>0.36</v>
      </c>
      <c r="M68" s="122">
        <f t="shared" ref="M67:M71" si="46">K68*J68</f>
        <v>2117.016</v>
      </c>
      <c r="N68" s="122">
        <v>0.55</v>
      </c>
      <c r="O68" s="122">
        <f t="shared" si="41"/>
        <v>3234.33</v>
      </c>
      <c r="P68" s="122">
        <f t="shared" si="42"/>
        <v>0.91</v>
      </c>
      <c r="Q68" s="148">
        <f t="shared" si="43"/>
        <v>5351.346</v>
      </c>
      <c r="R68" s="155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  <c r="AC68" s="155"/>
      <c r="AD68" s="155"/>
      <c r="AE68" s="155"/>
      <c r="AF68" s="155"/>
      <c r="AG68" s="155"/>
      <c r="AH68" s="155"/>
      <c r="AI68" s="155"/>
      <c r="AJ68" s="155"/>
    </row>
    <row r="69" s="33" customFormat="1" spans="1:36">
      <c r="A69" s="94">
        <f>IF(F69&lt;&gt;"",1+MAX($A$2:A68),"")</f>
        <v>39</v>
      </c>
      <c r="B69" s="112"/>
      <c r="C69" s="98"/>
      <c r="D69" s="113" t="s">
        <v>76</v>
      </c>
      <c r="E69" s="69">
        <f>0.084*5346/27</f>
        <v>16.632</v>
      </c>
      <c r="F69" s="62">
        <v>0.1</v>
      </c>
      <c r="G69" s="99">
        <f t="shared" si="40"/>
        <v>18.2952</v>
      </c>
      <c r="H69" s="67" t="s">
        <v>54</v>
      </c>
      <c r="I69" s="119">
        <v>0.8</v>
      </c>
      <c r="J69" s="120">
        <f t="shared" si="44"/>
        <v>14.63616</v>
      </c>
      <c r="K69" s="121">
        <f>'LABOR SHEET'!$C$5</f>
        <v>45</v>
      </c>
      <c r="L69" s="122">
        <f t="shared" si="45"/>
        <v>36</v>
      </c>
      <c r="M69" s="122">
        <f t="shared" si="46"/>
        <v>658.6272</v>
      </c>
      <c r="N69" s="122">
        <v>63</v>
      </c>
      <c r="O69" s="122">
        <f t="shared" si="41"/>
        <v>1152.5976</v>
      </c>
      <c r="P69" s="122">
        <f t="shared" si="42"/>
        <v>99</v>
      </c>
      <c r="Q69" s="148">
        <f t="shared" si="43"/>
        <v>1811.2248</v>
      </c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  <c r="AC69" s="155"/>
      <c r="AD69" s="155"/>
      <c r="AE69" s="155"/>
      <c r="AF69" s="155"/>
      <c r="AG69" s="155"/>
      <c r="AH69" s="155"/>
      <c r="AI69" s="155"/>
      <c r="AJ69" s="155"/>
    </row>
    <row r="70" s="33" customFormat="1" spans="1:36">
      <c r="A70" s="94">
        <f>IF(F70&lt;&gt;"",1+MAX($A$2:A69),"")</f>
        <v>40</v>
      </c>
      <c r="B70" s="112"/>
      <c r="C70" s="98"/>
      <c r="D70" s="113" t="s">
        <v>77</v>
      </c>
      <c r="E70" s="67">
        <v>5346</v>
      </c>
      <c r="F70" s="62">
        <v>0.1</v>
      </c>
      <c r="G70" s="99">
        <f t="shared" si="40"/>
        <v>5880.6</v>
      </c>
      <c r="H70" s="67" t="s">
        <v>38</v>
      </c>
      <c r="I70" s="119">
        <v>0.007</v>
      </c>
      <c r="J70" s="120">
        <f t="shared" si="44"/>
        <v>41.1642</v>
      </c>
      <c r="K70" s="121">
        <f>'LABOR SHEET'!$C$5</f>
        <v>45</v>
      </c>
      <c r="L70" s="122">
        <f t="shared" si="45"/>
        <v>0.315</v>
      </c>
      <c r="M70" s="122">
        <f t="shared" si="46"/>
        <v>1852.389</v>
      </c>
      <c r="N70" s="122">
        <v>0.4</v>
      </c>
      <c r="O70" s="122">
        <f t="shared" si="41"/>
        <v>2352.24</v>
      </c>
      <c r="P70" s="122">
        <f t="shared" si="42"/>
        <v>0.715</v>
      </c>
      <c r="Q70" s="148">
        <f t="shared" si="43"/>
        <v>4204.629</v>
      </c>
      <c r="R70" s="155"/>
      <c r="S70" s="155"/>
      <c r="T70" s="155"/>
      <c r="U70" s="155"/>
      <c r="V70" s="155"/>
      <c r="W70" s="155"/>
      <c r="X70" s="155"/>
      <c r="Y70" s="155"/>
      <c r="Z70" s="155"/>
      <c r="AA70" s="155"/>
      <c r="AB70" s="155"/>
      <c r="AC70" s="155"/>
      <c r="AD70" s="155"/>
      <c r="AE70" s="155"/>
      <c r="AF70" s="155"/>
      <c r="AG70" s="155"/>
      <c r="AH70" s="155"/>
      <c r="AI70" s="155"/>
      <c r="AJ70" s="155"/>
    </row>
    <row r="71" s="33" customFormat="1" spans="1:36">
      <c r="A71" s="94">
        <f>IF(F71&lt;&gt;"",1+MAX($A$2:A70),"")</f>
        <v>41</v>
      </c>
      <c r="B71" s="112"/>
      <c r="C71" s="98"/>
      <c r="D71" s="113" t="s">
        <v>72</v>
      </c>
      <c r="E71" s="69">
        <f>2162*0.5</f>
        <v>1081</v>
      </c>
      <c r="F71" s="62">
        <v>0.1</v>
      </c>
      <c r="G71" s="99">
        <f t="shared" si="40"/>
        <v>1189.1</v>
      </c>
      <c r="H71" s="67" t="s">
        <v>38</v>
      </c>
      <c r="I71" s="119">
        <v>0.018</v>
      </c>
      <c r="J71" s="120">
        <f t="shared" si="44"/>
        <v>21.4038</v>
      </c>
      <c r="K71" s="121">
        <f>'LABOR SHEET'!$C$5</f>
        <v>45</v>
      </c>
      <c r="L71" s="122">
        <f t="shared" si="45"/>
        <v>0.81</v>
      </c>
      <c r="M71" s="122">
        <f t="shared" si="46"/>
        <v>963.171</v>
      </c>
      <c r="N71" s="122">
        <v>3</v>
      </c>
      <c r="O71" s="122">
        <f t="shared" si="41"/>
        <v>3567.3</v>
      </c>
      <c r="P71" s="122">
        <f t="shared" si="42"/>
        <v>3.81</v>
      </c>
      <c r="Q71" s="148">
        <f t="shared" si="43"/>
        <v>4530.471</v>
      </c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5"/>
      <c r="AE71" s="155"/>
      <c r="AF71" s="155"/>
      <c r="AG71" s="155"/>
      <c r="AH71" s="155"/>
      <c r="AI71" s="155"/>
      <c r="AJ71" s="155"/>
    </row>
    <row r="72" s="33" customFormat="1" spans="1:36">
      <c r="A72" s="94"/>
      <c r="B72" s="112"/>
      <c r="C72" s="98"/>
      <c r="D72" s="113"/>
      <c r="E72" s="69"/>
      <c r="F72" s="62"/>
      <c r="G72" s="99"/>
      <c r="H72" s="67"/>
      <c r="I72" s="119"/>
      <c r="J72" s="120"/>
      <c r="K72" s="121"/>
      <c r="L72" s="122"/>
      <c r="M72" s="122"/>
      <c r="N72" s="122"/>
      <c r="O72" s="122"/>
      <c r="P72" s="122"/>
      <c r="Q72" s="148"/>
      <c r="R72" s="155"/>
      <c r="S72" s="155"/>
      <c r="T72" s="155"/>
      <c r="U72" s="155"/>
      <c r="V72" s="155"/>
      <c r="W72" s="155"/>
      <c r="X72" s="155"/>
      <c r="Y72" s="155"/>
      <c r="Z72" s="155"/>
      <c r="AA72" s="155"/>
      <c r="AB72" s="155"/>
      <c r="AC72" s="155"/>
      <c r="AD72" s="155"/>
      <c r="AE72" s="155"/>
      <c r="AF72" s="155"/>
      <c r="AG72" s="155"/>
      <c r="AH72" s="155"/>
      <c r="AI72" s="155"/>
      <c r="AJ72" s="155"/>
    </row>
    <row r="73" s="33" customFormat="1" spans="1:36">
      <c r="A73" s="94">
        <f>IF(F73&lt;&gt;"",1+MAX($A$2:A72),"")</f>
        <v>42</v>
      </c>
      <c r="B73" s="112"/>
      <c r="C73" s="98"/>
      <c r="D73" s="89" t="s">
        <v>78</v>
      </c>
      <c r="E73" s="69">
        <f>834*0.34/27</f>
        <v>10.5022222222222</v>
      </c>
      <c r="F73" s="62">
        <v>0.1</v>
      </c>
      <c r="G73" s="99">
        <f t="shared" ref="G73:G78" si="47">E73*(1+F73)</f>
        <v>11.5524444444444</v>
      </c>
      <c r="H73" s="67" t="s">
        <v>54</v>
      </c>
      <c r="I73" s="119">
        <v>2.6</v>
      </c>
      <c r="J73" s="120">
        <f>+I73*G73</f>
        <v>30.0363555555554</v>
      </c>
      <c r="K73" s="121">
        <f>'LABOR SHEET'!$C$5</f>
        <v>45</v>
      </c>
      <c r="L73" s="122">
        <f>I73*K73</f>
        <v>117</v>
      </c>
      <c r="M73" s="122">
        <f>K73*J73</f>
        <v>1351.63599999999</v>
      </c>
      <c r="N73" s="122">
        <v>198</v>
      </c>
      <c r="O73" s="122">
        <f>N73*G73</f>
        <v>2287.38399999999</v>
      </c>
      <c r="P73" s="122">
        <f>(I73*K73)+N73</f>
        <v>315</v>
      </c>
      <c r="Q73" s="148">
        <f>P73*G73</f>
        <v>3639.01999999999</v>
      </c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  <c r="AC73" s="155"/>
      <c r="AD73" s="155"/>
      <c r="AE73" s="155"/>
      <c r="AF73" s="155"/>
      <c r="AG73" s="155"/>
      <c r="AH73" s="155"/>
      <c r="AI73" s="155"/>
      <c r="AJ73" s="155"/>
    </row>
    <row r="74" s="33" customFormat="1" spans="1:36">
      <c r="A74" s="94">
        <f>IF(F74&lt;&gt;"",1+MAX($A$2:A73),"")</f>
        <v>43</v>
      </c>
      <c r="B74" s="112"/>
      <c r="C74" s="98"/>
      <c r="D74" s="113" t="s">
        <v>79</v>
      </c>
      <c r="E74" s="69">
        <f>834*0.376</f>
        <v>313.584</v>
      </c>
      <c r="F74" s="68">
        <v>0.05</v>
      </c>
      <c r="G74" s="99">
        <f t="shared" si="47"/>
        <v>329.2632</v>
      </c>
      <c r="H74" s="67" t="s">
        <v>80</v>
      </c>
      <c r="I74" s="119">
        <v>0.011</v>
      </c>
      <c r="J74" s="120">
        <f t="shared" ref="J73:J78" si="48">+I74*G74</f>
        <v>3.6218952</v>
      </c>
      <c r="K74" s="121">
        <f>'LABOR SHEET'!$C$5</f>
        <v>45</v>
      </c>
      <c r="L74" s="122">
        <f t="shared" ref="L73:L78" si="49">I74*K74</f>
        <v>0.495</v>
      </c>
      <c r="M74" s="122">
        <f t="shared" ref="M73:M78" si="50">K74*J74</f>
        <v>162.985284</v>
      </c>
      <c r="N74" s="122">
        <v>1</v>
      </c>
      <c r="O74" s="122">
        <f t="shared" ref="O73:O78" si="51">N74*G74</f>
        <v>329.2632</v>
      </c>
      <c r="P74" s="122">
        <f t="shared" ref="P73:P78" si="52">(I74*K74)+N74</f>
        <v>1.495</v>
      </c>
      <c r="Q74" s="148">
        <f t="shared" ref="Q73:Q78" si="53">P74*G74</f>
        <v>492.248484</v>
      </c>
      <c r="R74" s="155"/>
      <c r="S74" s="155"/>
      <c r="T74" s="155"/>
      <c r="U74" s="155"/>
      <c r="V74" s="155"/>
      <c r="W74" s="155"/>
      <c r="X74" s="155"/>
      <c r="Y74" s="155"/>
      <c r="Z74" s="155"/>
      <c r="AA74" s="155"/>
      <c r="AB74" s="155"/>
      <c r="AC74" s="155"/>
      <c r="AD74" s="155"/>
      <c r="AE74" s="155"/>
      <c r="AF74" s="155"/>
      <c r="AG74" s="155"/>
      <c r="AH74" s="155"/>
      <c r="AI74" s="155"/>
      <c r="AJ74" s="155"/>
    </row>
    <row r="75" s="33" customFormat="1" spans="1:36">
      <c r="A75" s="94">
        <f>IF(F75&lt;&gt;"",1+MAX($A$2:A74),"")</f>
        <v>44</v>
      </c>
      <c r="B75" s="112"/>
      <c r="C75" s="98"/>
      <c r="D75" s="113" t="s">
        <v>81</v>
      </c>
      <c r="E75" s="69">
        <f>0.376*834</f>
        <v>313.584</v>
      </c>
      <c r="F75" s="68">
        <v>0.05</v>
      </c>
      <c r="G75" s="99">
        <f t="shared" si="47"/>
        <v>329.2632</v>
      </c>
      <c r="H75" s="67" t="s">
        <v>80</v>
      </c>
      <c r="I75" s="119">
        <v>0.011</v>
      </c>
      <c r="J75" s="120">
        <f t="shared" si="48"/>
        <v>3.6218952</v>
      </c>
      <c r="K75" s="121">
        <f>'LABOR SHEET'!$C$5</f>
        <v>45</v>
      </c>
      <c r="L75" s="122">
        <f t="shared" si="49"/>
        <v>0.495</v>
      </c>
      <c r="M75" s="122">
        <f t="shared" si="50"/>
        <v>162.985284</v>
      </c>
      <c r="N75" s="122">
        <v>1</v>
      </c>
      <c r="O75" s="122">
        <f t="shared" si="51"/>
        <v>329.2632</v>
      </c>
      <c r="P75" s="122">
        <f t="shared" si="52"/>
        <v>1.495</v>
      </c>
      <c r="Q75" s="148">
        <f t="shared" si="53"/>
        <v>492.248484</v>
      </c>
      <c r="R75" s="155"/>
      <c r="S75" s="155"/>
      <c r="T75" s="155"/>
      <c r="U75" s="155"/>
      <c r="V75" s="155"/>
      <c r="W75" s="155"/>
      <c r="X75" s="155"/>
      <c r="Y75" s="155"/>
      <c r="Z75" s="155"/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</row>
    <row r="76" s="33" customFormat="1" spans="1:36">
      <c r="A76" s="94">
        <f>IF(F76&lt;&gt;"",1+MAX($A$2:A75),"")</f>
        <v>45</v>
      </c>
      <c r="B76" s="112"/>
      <c r="C76" s="98"/>
      <c r="D76" s="113" t="s">
        <v>82</v>
      </c>
      <c r="E76" s="69">
        <f>0.16*834/27</f>
        <v>4.94222222222222</v>
      </c>
      <c r="F76" s="62">
        <v>0.1</v>
      </c>
      <c r="G76" s="99">
        <f t="shared" si="47"/>
        <v>5.43644444444444</v>
      </c>
      <c r="H76" s="67" t="s">
        <v>54</v>
      </c>
      <c r="I76" s="119">
        <v>0.8</v>
      </c>
      <c r="J76" s="120">
        <f t="shared" si="48"/>
        <v>4.34915555555555</v>
      </c>
      <c r="K76" s="121">
        <f>'LABOR SHEET'!$C$5</f>
        <v>45</v>
      </c>
      <c r="L76" s="122">
        <f t="shared" si="49"/>
        <v>36</v>
      </c>
      <c r="M76" s="122">
        <f t="shared" si="50"/>
        <v>195.712</v>
      </c>
      <c r="N76" s="122">
        <v>63</v>
      </c>
      <c r="O76" s="122">
        <f t="shared" si="51"/>
        <v>342.496</v>
      </c>
      <c r="P76" s="122">
        <f t="shared" si="52"/>
        <v>99</v>
      </c>
      <c r="Q76" s="148">
        <f t="shared" si="53"/>
        <v>538.208</v>
      </c>
      <c r="R76" s="155"/>
      <c r="S76" s="155"/>
      <c r="T76" s="155"/>
      <c r="U76" s="155"/>
      <c r="V76" s="155"/>
      <c r="W76" s="155"/>
      <c r="X76" s="155"/>
      <c r="Y76" s="155"/>
      <c r="Z76" s="155"/>
      <c r="AA76" s="155"/>
      <c r="AB76" s="155"/>
      <c r="AC76" s="155"/>
      <c r="AD76" s="155"/>
      <c r="AE76" s="155"/>
      <c r="AF76" s="155"/>
      <c r="AG76" s="155"/>
      <c r="AH76" s="155"/>
      <c r="AI76" s="155"/>
      <c r="AJ76" s="155"/>
    </row>
    <row r="77" s="33" customFormat="1" spans="1:36">
      <c r="A77" s="94">
        <f>IF(F77&lt;&gt;"",1+MAX($A$2:A76),"")</f>
        <v>46</v>
      </c>
      <c r="B77" s="112"/>
      <c r="C77" s="98"/>
      <c r="D77" s="113" t="s">
        <v>77</v>
      </c>
      <c r="E77" s="67">
        <v>834</v>
      </c>
      <c r="F77" s="62">
        <v>0.1</v>
      </c>
      <c r="G77" s="99">
        <f t="shared" si="47"/>
        <v>917.4</v>
      </c>
      <c r="H77" s="67" t="s">
        <v>38</v>
      </c>
      <c r="I77" s="119">
        <v>0.007</v>
      </c>
      <c r="J77" s="120">
        <f t="shared" si="48"/>
        <v>6.4218</v>
      </c>
      <c r="K77" s="121">
        <f>'LABOR SHEET'!$C$5</f>
        <v>45</v>
      </c>
      <c r="L77" s="122">
        <f t="shared" si="49"/>
        <v>0.315</v>
      </c>
      <c r="M77" s="122">
        <f t="shared" si="50"/>
        <v>288.981</v>
      </c>
      <c r="N77" s="122">
        <v>0.4</v>
      </c>
      <c r="O77" s="122">
        <f t="shared" si="51"/>
        <v>366.96</v>
      </c>
      <c r="P77" s="122">
        <f t="shared" si="52"/>
        <v>0.715</v>
      </c>
      <c r="Q77" s="148">
        <f t="shared" si="53"/>
        <v>655.941</v>
      </c>
      <c r="R77" s="155"/>
      <c r="S77" s="155"/>
      <c r="T77" s="155"/>
      <c r="U77" s="155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</row>
    <row r="78" s="33" customFormat="1" spans="1:36">
      <c r="A78" s="94">
        <f>IF(F78&lt;&gt;"",1+MAX($A$2:A77),"")</f>
        <v>47</v>
      </c>
      <c r="B78" s="112"/>
      <c r="C78" s="98"/>
      <c r="D78" s="113" t="s">
        <v>72</v>
      </c>
      <c r="E78" s="69">
        <f>310*0.5</f>
        <v>155</v>
      </c>
      <c r="F78" s="62">
        <v>0.1</v>
      </c>
      <c r="G78" s="99">
        <f t="shared" si="47"/>
        <v>170.5</v>
      </c>
      <c r="H78" s="67" t="s">
        <v>38</v>
      </c>
      <c r="I78" s="119">
        <v>0.018</v>
      </c>
      <c r="J78" s="120">
        <f t="shared" si="48"/>
        <v>3.069</v>
      </c>
      <c r="K78" s="121">
        <f>'LABOR SHEET'!$C$5</f>
        <v>45</v>
      </c>
      <c r="L78" s="122">
        <f t="shared" si="49"/>
        <v>0.81</v>
      </c>
      <c r="M78" s="122">
        <f t="shared" si="50"/>
        <v>138.105</v>
      </c>
      <c r="N78" s="122">
        <v>3</v>
      </c>
      <c r="O78" s="122">
        <f t="shared" si="51"/>
        <v>511.5</v>
      </c>
      <c r="P78" s="122">
        <f t="shared" si="52"/>
        <v>3.81</v>
      </c>
      <c r="Q78" s="148">
        <f t="shared" si="53"/>
        <v>649.605</v>
      </c>
      <c r="R78" s="155"/>
      <c r="S78" s="155"/>
      <c r="T78" s="155"/>
      <c r="U78" s="155"/>
      <c r="V78" s="155"/>
      <c r="W78" s="155"/>
      <c r="X78" s="155"/>
      <c r="Y78" s="155"/>
      <c r="Z78" s="155"/>
      <c r="AA78" s="155"/>
      <c r="AB78" s="155"/>
      <c r="AC78" s="155"/>
      <c r="AD78" s="155"/>
      <c r="AE78" s="155"/>
      <c r="AF78" s="155"/>
      <c r="AG78" s="155"/>
      <c r="AH78" s="155"/>
      <c r="AI78" s="155"/>
      <c r="AJ78" s="155"/>
    </row>
    <row r="79" s="33" customFormat="1" spans="1:36">
      <c r="A79" s="94"/>
      <c r="B79" s="112"/>
      <c r="C79" s="98"/>
      <c r="D79" s="113"/>
      <c r="E79" s="69"/>
      <c r="F79" s="62"/>
      <c r="G79" s="99"/>
      <c r="H79" s="67"/>
      <c r="I79" s="119"/>
      <c r="J79" s="120"/>
      <c r="K79" s="121"/>
      <c r="L79" s="122"/>
      <c r="M79" s="122"/>
      <c r="N79" s="122"/>
      <c r="O79" s="122"/>
      <c r="P79" s="122"/>
      <c r="Q79" s="148"/>
      <c r="R79" s="155"/>
      <c r="S79" s="155"/>
      <c r="T79" s="155"/>
      <c r="U79" s="155"/>
      <c r="V79" s="155"/>
      <c r="W79" s="155"/>
      <c r="X79" s="155"/>
      <c r="Y79" s="155"/>
      <c r="Z79" s="155"/>
      <c r="AA79" s="155"/>
      <c r="AB79" s="155"/>
      <c r="AC79" s="155"/>
      <c r="AD79" s="155"/>
      <c r="AE79" s="155"/>
      <c r="AF79" s="155"/>
      <c r="AG79" s="155"/>
      <c r="AH79" s="155"/>
      <c r="AI79" s="155"/>
      <c r="AJ79" s="155"/>
    </row>
    <row r="80" s="33" customFormat="1" spans="1:36">
      <c r="A80" s="94" t="str">
        <f>IF(F80&lt;&gt;"",1+MAX($A$2:A78),"")</f>
        <v/>
      </c>
      <c r="B80" s="112"/>
      <c r="C80" s="98"/>
      <c r="D80" s="111" t="s">
        <v>83</v>
      </c>
      <c r="E80" s="67"/>
      <c r="F80" s="103"/>
      <c r="G80" s="99"/>
      <c r="H80" s="67"/>
      <c r="I80" s="119"/>
      <c r="J80" s="120"/>
      <c r="K80" s="121"/>
      <c r="L80" s="122"/>
      <c r="M80" s="122"/>
      <c r="N80" s="122"/>
      <c r="O80" s="122"/>
      <c r="P80" s="122"/>
      <c r="Q80" s="148"/>
      <c r="R80" s="155"/>
      <c r="S80" s="155"/>
      <c r="T80" s="155"/>
      <c r="U80" s="155"/>
      <c r="V80" s="155"/>
      <c r="W80" s="155"/>
      <c r="X80" s="155"/>
      <c r="Y80" s="155"/>
      <c r="Z80" s="155"/>
      <c r="AA80" s="155"/>
      <c r="AB80" s="155"/>
      <c r="AC80" s="155"/>
      <c r="AD80" s="155"/>
      <c r="AE80" s="155"/>
      <c r="AF80" s="155"/>
      <c r="AG80" s="155"/>
      <c r="AH80" s="155"/>
      <c r="AI80" s="155"/>
      <c r="AJ80" s="155"/>
    </row>
    <row r="81" s="33" customFormat="1" spans="1:36">
      <c r="A81" s="94">
        <f>IF(F81&lt;&gt;"",1+MAX($A$2:A80),"")</f>
        <v>48</v>
      </c>
      <c r="B81" s="112"/>
      <c r="C81" s="98"/>
      <c r="D81" s="89" t="s">
        <v>84</v>
      </c>
      <c r="E81" s="69">
        <f>0.5*0.75*2390/27</f>
        <v>33.1944444444444</v>
      </c>
      <c r="F81" s="62">
        <v>0.1</v>
      </c>
      <c r="G81" s="99">
        <f>E81*(1+F81)</f>
        <v>36.5138888888888</v>
      </c>
      <c r="H81" s="67" t="s">
        <v>54</v>
      </c>
      <c r="I81" s="119">
        <v>2.7</v>
      </c>
      <c r="J81" s="120">
        <f t="shared" ref="J81:J83" si="54">+I81*G81</f>
        <v>98.5874999999999</v>
      </c>
      <c r="K81" s="121">
        <f>'LABOR SHEET'!$C$5</f>
        <v>45</v>
      </c>
      <c r="L81" s="122">
        <f t="shared" ref="L81:L83" si="55">I81*K81</f>
        <v>121.5</v>
      </c>
      <c r="M81" s="122">
        <f t="shared" ref="M81:M83" si="56">K81*J81</f>
        <v>4436.43749999999</v>
      </c>
      <c r="N81" s="122">
        <v>180</v>
      </c>
      <c r="O81" s="122">
        <f>N81*G81</f>
        <v>6572.49999999999</v>
      </c>
      <c r="P81" s="122">
        <f>(I81*K81)+N81</f>
        <v>301.5</v>
      </c>
      <c r="Q81" s="148">
        <f>P81*G81</f>
        <v>11008.9375</v>
      </c>
      <c r="R81" s="155"/>
      <c r="S81" s="155"/>
      <c r="T81" s="155"/>
      <c r="U81" s="155"/>
      <c r="V81" s="155"/>
      <c r="W81" s="155"/>
      <c r="X81" s="155"/>
      <c r="Y81" s="155"/>
      <c r="Z81" s="155"/>
      <c r="AA81" s="155"/>
      <c r="AB81" s="155"/>
      <c r="AC81" s="155"/>
      <c r="AD81" s="155"/>
      <c r="AE81" s="155"/>
      <c r="AF81" s="155"/>
      <c r="AG81" s="155"/>
      <c r="AH81" s="155"/>
      <c r="AI81" s="155"/>
      <c r="AJ81" s="155"/>
    </row>
    <row r="82" s="33" customFormat="1" spans="1:36">
      <c r="A82" s="94">
        <f>IF(F82&lt;&gt;"",1+MAX($A$2:A81),"")</f>
        <v>49</v>
      </c>
      <c r="B82" s="112"/>
      <c r="C82" s="98"/>
      <c r="D82" s="113" t="s">
        <v>85</v>
      </c>
      <c r="E82" s="67">
        <f>2*2390*0.376</f>
        <v>1797.28</v>
      </c>
      <c r="F82" s="68">
        <v>0.05</v>
      </c>
      <c r="G82" s="99">
        <f>E82*(1+F82)</f>
        <v>1887.144</v>
      </c>
      <c r="H82" s="67" t="s">
        <v>80</v>
      </c>
      <c r="I82" s="119">
        <v>0.011</v>
      </c>
      <c r="J82" s="120">
        <f t="shared" si="54"/>
        <v>20.758584</v>
      </c>
      <c r="K82" s="121">
        <f>'LABOR SHEET'!$C$5</f>
        <v>45</v>
      </c>
      <c r="L82" s="122">
        <f t="shared" si="55"/>
        <v>0.495</v>
      </c>
      <c r="M82" s="122">
        <f t="shared" si="56"/>
        <v>934.13628</v>
      </c>
      <c r="N82" s="122">
        <v>1</v>
      </c>
      <c r="O82" s="122">
        <f>N82*G82</f>
        <v>1887.144</v>
      </c>
      <c r="P82" s="122">
        <f>(I82*K82)+N82</f>
        <v>1.495</v>
      </c>
      <c r="Q82" s="148">
        <f>P82*G82</f>
        <v>2821.28028</v>
      </c>
      <c r="R82" s="155"/>
      <c r="S82" s="155"/>
      <c r="T82" s="155"/>
      <c r="U82" s="155"/>
      <c r="V82" s="155"/>
      <c r="W82" s="155"/>
      <c r="X82" s="155"/>
      <c r="Y82" s="155"/>
      <c r="Z82" s="155"/>
      <c r="AA82" s="155"/>
      <c r="AB82" s="155"/>
      <c r="AC82" s="155"/>
      <c r="AD82" s="155"/>
      <c r="AE82" s="155"/>
      <c r="AF82" s="155"/>
      <c r="AG82" s="155"/>
      <c r="AH82" s="155"/>
      <c r="AI82" s="155"/>
      <c r="AJ82" s="155"/>
    </row>
    <row r="83" s="33" customFormat="1" spans="1:36">
      <c r="A83" s="94">
        <f>IF(F83&lt;&gt;"",1+MAX($A$2:A82),"")</f>
        <v>50</v>
      </c>
      <c r="B83" s="112"/>
      <c r="C83" s="98"/>
      <c r="D83" s="113" t="s">
        <v>72</v>
      </c>
      <c r="E83" s="69">
        <f>2390*0.5*2</f>
        <v>2390</v>
      </c>
      <c r="F83" s="62">
        <v>0.1</v>
      </c>
      <c r="G83" s="99">
        <f>E83*(1+F83)</f>
        <v>2629</v>
      </c>
      <c r="H83" s="67" t="s">
        <v>38</v>
      </c>
      <c r="I83" s="119">
        <v>0.018</v>
      </c>
      <c r="J83" s="120">
        <f t="shared" si="54"/>
        <v>47.322</v>
      </c>
      <c r="K83" s="121">
        <f>'LABOR SHEET'!$C$5</f>
        <v>45</v>
      </c>
      <c r="L83" s="122">
        <f t="shared" si="55"/>
        <v>0.81</v>
      </c>
      <c r="M83" s="122">
        <f t="shared" si="56"/>
        <v>2129.49</v>
      </c>
      <c r="N83" s="122">
        <v>3</v>
      </c>
      <c r="O83" s="122">
        <f>N83*G83</f>
        <v>7887</v>
      </c>
      <c r="P83" s="122">
        <f>(I83*K83)+N83</f>
        <v>3.81</v>
      </c>
      <c r="Q83" s="148">
        <f>P83*G83</f>
        <v>10016.49</v>
      </c>
      <c r="R83" s="155"/>
      <c r="S83" s="155"/>
      <c r="T83" s="155"/>
      <c r="U83" s="155"/>
      <c r="V83" s="155"/>
      <c r="W83" s="155"/>
      <c r="X83" s="155"/>
      <c r="Y83" s="155"/>
      <c r="Z83" s="155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</row>
    <row r="84" s="33" customFormat="1" spans="1:36">
      <c r="A84" s="94"/>
      <c r="B84" s="112"/>
      <c r="C84" s="98"/>
      <c r="D84" s="113"/>
      <c r="E84" s="69"/>
      <c r="F84" s="62"/>
      <c r="G84" s="99"/>
      <c r="H84" s="67"/>
      <c r="I84" s="119"/>
      <c r="J84" s="120"/>
      <c r="K84" s="121"/>
      <c r="L84" s="122"/>
      <c r="M84" s="122"/>
      <c r="N84" s="122"/>
      <c r="O84" s="122"/>
      <c r="P84" s="122"/>
      <c r="Q84" s="148"/>
      <c r="R84" s="155"/>
      <c r="S84" s="155"/>
      <c r="T84" s="155"/>
      <c r="U84" s="155"/>
      <c r="V84" s="155"/>
      <c r="W84" s="155"/>
      <c r="X84" s="155"/>
      <c r="Y84" s="155"/>
      <c r="Z84" s="155"/>
      <c r="AA84" s="155"/>
      <c r="AB84" s="155"/>
      <c r="AC84" s="155"/>
      <c r="AD84" s="155"/>
      <c r="AE84" s="155"/>
      <c r="AF84" s="155"/>
      <c r="AG84" s="155"/>
      <c r="AH84" s="155"/>
      <c r="AI84" s="155"/>
      <c r="AJ84" s="155"/>
    </row>
    <row r="85" s="33" customFormat="1" spans="1:36">
      <c r="A85" s="94">
        <f>IF(F85&lt;&gt;"",1+MAX($A$2:A83),"")</f>
        <v>51</v>
      </c>
      <c r="B85" s="112"/>
      <c r="C85" s="98"/>
      <c r="D85" s="89" t="s">
        <v>86</v>
      </c>
      <c r="E85" s="69">
        <f>150*1.67*0.75/27</f>
        <v>6.95833333333333</v>
      </c>
      <c r="F85" s="62">
        <v>0.1</v>
      </c>
      <c r="G85" s="99">
        <f>E85*(1+F85)</f>
        <v>7.65416666666666</v>
      </c>
      <c r="H85" s="67" t="s">
        <v>54</v>
      </c>
      <c r="I85" s="119">
        <v>2.7</v>
      </c>
      <c r="J85" s="120">
        <f t="shared" ref="J85:J87" si="57">+I85*G85</f>
        <v>20.66625</v>
      </c>
      <c r="K85" s="121">
        <f>'LABOR SHEET'!$C$5</f>
        <v>45</v>
      </c>
      <c r="L85" s="122">
        <f t="shared" ref="L85:L87" si="58">I85*K85</f>
        <v>121.5</v>
      </c>
      <c r="M85" s="122">
        <f t="shared" ref="M85:M87" si="59">K85*J85</f>
        <v>929.98125</v>
      </c>
      <c r="N85" s="122">
        <v>180</v>
      </c>
      <c r="O85" s="122">
        <f>N85*G85</f>
        <v>1377.75</v>
      </c>
      <c r="P85" s="122">
        <f>(I85*K85)+N85</f>
        <v>301.5</v>
      </c>
      <c r="Q85" s="148">
        <f>P85*G85</f>
        <v>2307.73125</v>
      </c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  <c r="AC85" s="155"/>
      <c r="AD85" s="155"/>
      <c r="AE85" s="155"/>
      <c r="AF85" s="155"/>
      <c r="AG85" s="155"/>
      <c r="AH85" s="155"/>
      <c r="AI85" s="155"/>
      <c r="AJ85" s="155"/>
    </row>
    <row r="86" s="33" customFormat="1" spans="1:36">
      <c r="A86" s="94">
        <f>IF(F86&lt;&gt;"",1+MAX($A$2:A85),"")</f>
        <v>52</v>
      </c>
      <c r="B86" s="112"/>
      <c r="C86" s="98"/>
      <c r="D86" s="113" t="s">
        <v>87</v>
      </c>
      <c r="E86" s="67">
        <f>150*2*0.376</f>
        <v>112.8</v>
      </c>
      <c r="F86" s="68">
        <v>0.05</v>
      </c>
      <c r="G86" s="99">
        <f>E86*(1+F86)</f>
        <v>118.44</v>
      </c>
      <c r="H86" s="67" t="s">
        <v>80</v>
      </c>
      <c r="I86" s="119">
        <v>0.011</v>
      </c>
      <c r="J86" s="120">
        <f t="shared" si="57"/>
        <v>1.30284</v>
      </c>
      <c r="K86" s="121">
        <f>'LABOR SHEET'!$C$5</f>
        <v>45</v>
      </c>
      <c r="L86" s="122">
        <f t="shared" si="58"/>
        <v>0.495</v>
      </c>
      <c r="M86" s="122">
        <f t="shared" si="59"/>
        <v>58.6278</v>
      </c>
      <c r="N86" s="122">
        <v>0.9</v>
      </c>
      <c r="O86" s="122">
        <f>N86*G86</f>
        <v>106.596</v>
      </c>
      <c r="P86" s="122">
        <f>(I86*K86)+N86</f>
        <v>1.395</v>
      </c>
      <c r="Q86" s="148">
        <f>P86*G86</f>
        <v>165.2238</v>
      </c>
      <c r="R86" s="155"/>
      <c r="S86" s="155"/>
      <c r="T86" s="155"/>
      <c r="U86" s="155"/>
      <c r="V86" s="155"/>
      <c r="W86" s="155"/>
      <c r="X86" s="155"/>
      <c r="Y86" s="155"/>
      <c r="Z86" s="155"/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</row>
    <row r="87" s="33" customFormat="1" spans="1:36">
      <c r="A87" s="94">
        <f>IF(F87&lt;&gt;"",1+MAX($A$2:A86),"")</f>
        <v>53</v>
      </c>
      <c r="B87" s="112"/>
      <c r="C87" s="98"/>
      <c r="D87" s="113" t="s">
        <v>72</v>
      </c>
      <c r="E87" s="69">
        <f>150*1.67*2</f>
        <v>501</v>
      </c>
      <c r="F87" s="62">
        <v>0.1</v>
      </c>
      <c r="G87" s="99">
        <f>E87*(1+F87)</f>
        <v>551.1</v>
      </c>
      <c r="H87" s="67" t="s">
        <v>38</v>
      </c>
      <c r="I87" s="119">
        <v>0.018</v>
      </c>
      <c r="J87" s="120">
        <f t="shared" si="57"/>
        <v>9.9198</v>
      </c>
      <c r="K87" s="121">
        <f>'LABOR SHEET'!$C$5</f>
        <v>45</v>
      </c>
      <c r="L87" s="122">
        <f t="shared" si="58"/>
        <v>0.81</v>
      </c>
      <c r="M87" s="122">
        <f t="shared" si="59"/>
        <v>446.391</v>
      </c>
      <c r="N87" s="122">
        <v>3</v>
      </c>
      <c r="O87" s="122">
        <f>N87*G87</f>
        <v>1653.3</v>
      </c>
      <c r="P87" s="122">
        <f>(I87*K87)+N87</f>
        <v>3.81</v>
      </c>
      <c r="Q87" s="148">
        <f>P87*G87</f>
        <v>2099.691</v>
      </c>
      <c r="R87" s="155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  <c r="AC87" s="155"/>
      <c r="AD87" s="155"/>
      <c r="AE87" s="155"/>
      <c r="AF87" s="155"/>
      <c r="AG87" s="155"/>
      <c r="AH87" s="155"/>
      <c r="AI87" s="155"/>
      <c r="AJ87" s="155"/>
    </row>
    <row r="88" s="33" customFormat="1" spans="1:36">
      <c r="A88" s="94"/>
      <c r="B88" s="112"/>
      <c r="C88" s="98"/>
      <c r="D88" s="113"/>
      <c r="E88" s="69"/>
      <c r="F88" s="62"/>
      <c r="G88" s="99"/>
      <c r="H88" s="67"/>
      <c r="I88" s="119"/>
      <c r="J88" s="120"/>
      <c r="K88" s="121"/>
      <c r="L88" s="122"/>
      <c r="M88" s="122"/>
      <c r="N88" s="122"/>
      <c r="O88" s="122"/>
      <c r="P88" s="122"/>
      <c r="Q88" s="148"/>
      <c r="R88" s="155"/>
      <c r="S88" s="155"/>
      <c r="T88" s="155"/>
      <c r="U88" s="155"/>
      <c r="V88" s="155"/>
      <c r="W88" s="155"/>
      <c r="X88" s="155"/>
      <c r="Y88" s="155"/>
      <c r="Z88" s="155"/>
      <c r="AA88" s="155"/>
      <c r="AB88" s="155"/>
      <c r="AC88" s="155"/>
      <c r="AD88" s="155"/>
      <c r="AE88" s="155"/>
      <c r="AF88" s="155"/>
      <c r="AG88" s="155"/>
      <c r="AH88" s="155"/>
      <c r="AI88" s="155"/>
      <c r="AJ88" s="155"/>
    </row>
    <row r="89" s="33" customFormat="1" spans="1:36">
      <c r="A89" s="94">
        <f>IF(F89&lt;&gt;"",1+MAX($A$2:A88),"")</f>
        <v>54</v>
      </c>
      <c r="B89" s="112"/>
      <c r="C89" s="98"/>
      <c r="D89" s="89" t="s">
        <v>88</v>
      </c>
      <c r="E89" s="157">
        <f>0.75*1*156/27</f>
        <v>4.33333333333333</v>
      </c>
      <c r="F89" s="62">
        <v>0.1</v>
      </c>
      <c r="G89" s="99">
        <f t="shared" ref="G89:G91" si="60">E89*(1+F89)</f>
        <v>4.76666666666667</v>
      </c>
      <c r="H89" s="67" t="s">
        <v>54</v>
      </c>
      <c r="I89" s="119">
        <v>2.7</v>
      </c>
      <c r="J89" s="120">
        <f t="shared" ref="J89:J91" si="61">+I89*G89</f>
        <v>12.87</v>
      </c>
      <c r="K89" s="121">
        <f>'LABOR SHEET'!$C$5</f>
        <v>45</v>
      </c>
      <c r="L89" s="122">
        <f t="shared" ref="L89:L91" si="62">I89*K89</f>
        <v>121.5</v>
      </c>
      <c r="M89" s="122">
        <f t="shared" ref="M89:M91" si="63">K89*J89</f>
        <v>579.15</v>
      </c>
      <c r="N89" s="122">
        <v>180</v>
      </c>
      <c r="O89" s="122">
        <f t="shared" ref="O89:O91" si="64">N89*G89</f>
        <v>858.000000000001</v>
      </c>
      <c r="P89" s="122">
        <f t="shared" ref="P89:P91" si="65">(I89*K89)+N89</f>
        <v>301.5</v>
      </c>
      <c r="Q89" s="148">
        <f t="shared" ref="Q89:Q91" si="66">P89*G89</f>
        <v>1437.15</v>
      </c>
      <c r="R89" s="155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  <c r="AC89" s="155"/>
      <c r="AD89" s="155"/>
      <c r="AE89" s="155"/>
      <c r="AF89" s="155"/>
      <c r="AG89" s="155"/>
      <c r="AH89" s="155"/>
      <c r="AI89" s="155"/>
      <c r="AJ89" s="155"/>
    </row>
    <row r="90" s="33" customFormat="1" spans="1:36">
      <c r="A90" s="94">
        <f>IF(F90&lt;&gt;"",1+MAX($A$2:A89),"")</f>
        <v>55</v>
      </c>
      <c r="B90" s="112"/>
      <c r="C90" s="98"/>
      <c r="D90" s="113" t="s">
        <v>89</v>
      </c>
      <c r="E90" s="67">
        <f>156/1.5*1.5</f>
        <v>156</v>
      </c>
      <c r="F90" s="68">
        <v>0.05</v>
      </c>
      <c r="G90" s="99">
        <f t="shared" si="60"/>
        <v>163.8</v>
      </c>
      <c r="H90" s="67" t="s">
        <v>40</v>
      </c>
      <c r="I90" s="119">
        <v>0.011</v>
      </c>
      <c r="J90" s="120">
        <f t="shared" si="61"/>
        <v>1.8018</v>
      </c>
      <c r="K90" s="121">
        <f>'LABOR SHEET'!$C$5</f>
        <v>45</v>
      </c>
      <c r="L90" s="122">
        <f t="shared" si="62"/>
        <v>0.495</v>
      </c>
      <c r="M90" s="122">
        <f t="shared" si="63"/>
        <v>81.081</v>
      </c>
      <c r="N90" s="122">
        <v>1</v>
      </c>
      <c r="O90" s="122">
        <f t="shared" si="64"/>
        <v>163.8</v>
      </c>
      <c r="P90" s="122">
        <f t="shared" si="65"/>
        <v>1.495</v>
      </c>
      <c r="Q90" s="148">
        <f t="shared" si="66"/>
        <v>244.881</v>
      </c>
      <c r="R90" s="155"/>
      <c r="S90" s="155"/>
      <c r="T90" s="155"/>
      <c r="U90" s="155"/>
      <c r="V90" s="155"/>
      <c r="W90" s="155"/>
      <c r="X90" s="155"/>
      <c r="Y90" s="155"/>
      <c r="Z90" s="155"/>
      <c r="AA90" s="155"/>
      <c r="AB90" s="155"/>
      <c r="AC90" s="155"/>
      <c r="AD90" s="155"/>
      <c r="AE90" s="155"/>
      <c r="AF90" s="155"/>
      <c r="AG90" s="155"/>
      <c r="AH90" s="155"/>
      <c r="AI90" s="155"/>
      <c r="AJ90" s="155"/>
    </row>
    <row r="91" s="33" customFormat="1" spans="1:36">
      <c r="A91" s="94">
        <f>IF(F91&lt;&gt;"",1+MAX($A$2:A90),"")</f>
        <v>56</v>
      </c>
      <c r="B91" s="112"/>
      <c r="C91" s="98"/>
      <c r="D91" s="113" t="s">
        <v>72</v>
      </c>
      <c r="E91" s="69">
        <f>156*1*2</f>
        <v>312</v>
      </c>
      <c r="F91" s="62">
        <v>0.1</v>
      </c>
      <c r="G91" s="99">
        <f t="shared" si="60"/>
        <v>343.2</v>
      </c>
      <c r="H91" s="67" t="s">
        <v>38</v>
      </c>
      <c r="I91" s="119">
        <v>0.018</v>
      </c>
      <c r="J91" s="120">
        <f t="shared" si="61"/>
        <v>6.1776</v>
      </c>
      <c r="K91" s="121">
        <f>'LABOR SHEET'!$C$5</f>
        <v>45</v>
      </c>
      <c r="L91" s="122">
        <f t="shared" si="62"/>
        <v>0.81</v>
      </c>
      <c r="M91" s="122">
        <f t="shared" si="63"/>
        <v>277.992</v>
      </c>
      <c r="N91" s="122">
        <v>3</v>
      </c>
      <c r="O91" s="122">
        <f t="shared" si="64"/>
        <v>1029.6</v>
      </c>
      <c r="P91" s="122">
        <f t="shared" si="65"/>
        <v>3.81</v>
      </c>
      <c r="Q91" s="148">
        <f t="shared" si="66"/>
        <v>1307.592</v>
      </c>
      <c r="R91" s="155"/>
      <c r="S91" s="155"/>
      <c r="T91" s="155"/>
      <c r="U91" s="155"/>
      <c r="V91" s="155"/>
      <c r="W91" s="155"/>
      <c r="X91" s="155"/>
      <c r="Y91" s="155"/>
      <c r="Z91" s="155"/>
      <c r="AA91" s="155"/>
      <c r="AB91" s="155"/>
      <c r="AC91" s="155"/>
      <c r="AD91" s="155"/>
      <c r="AE91" s="155"/>
      <c r="AF91" s="155"/>
      <c r="AG91" s="155"/>
      <c r="AH91" s="155"/>
      <c r="AI91" s="155"/>
      <c r="AJ91" s="155"/>
    </row>
    <row r="92" s="33" customFormat="1" spans="1:36">
      <c r="A92" s="94"/>
      <c r="B92" s="112"/>
      <c r="C92" s="98"/>
      <c r="D92" s="113"/>
      <c r="E92" s="69"/>
      <c r="F92" s="62"/>
      <c r="G92" s="99"/>
      <c r="H92" s="67"/>
      <c r="I92" s="119"/>
      <c r="J92" s="120"/>
      <c r="K92" s="121"/>
      <c r="L92" s="122"/>
      <c r="M92" s="122"/>
      <c r="N92" s="122"/>
      <c r="O92" s="122"/>
      <c r="P92" s="122"/>
      <c r="Q92" s="148"/>
      <c r="R92" s="155"/>
      <c r="S92" s="155"/>
      <c r="T92" s="155"/>
      <c r="U92" s="155"/>
      <c r="V92" s="155"/>
      <c r="W92" s="155"/>
      <c r="X92" s="155"/>
      <c r="Y92" s="155"/>
      <c r="Z92" s="155"/>
      <c r="AA92" s="155"/>
      <c r="AB92" s="155"/>
      <c r="AC92" s="155"/>
      <c r="AD92" s="155"/>
      <c r="AE92" s="155"/>
      <c r="AF92" s="155"/>
      <c r="AG92" s="155"/>
      <c r="AH92" s="155"/>
      <c r="AI92" s="155"/>
      <c r="AJ92" s="155"/>
    </row>
    <row r="93" s="33" customFormat="1" spans="1:36">
      <c r="A93" s="94" t="str">
        <f>IF(F93&lt;&gt;"",1+MAX($A$2:A91),"")</f>
        <v/>
      </c>
      <c r="B93" s="112"/>
      <c r="C93" s="98"/>
      <c r="D93" s="111" t="s">
        <v>90</v>
      </c>
      <c r="E93" s="67"/>
      <c r="F93" s="103"/>
      <c r="G93" s="99"/>
      <c r="H93" s="67"/>
      <c r="I93" s="119"/>
      <c r="J93" s="120"/>
      <c r="K93" s="121"/>
      <c r="L93" s="122"/>
      <c r="M93" s="122"/>
      <c r="N93" s="122"/>
      <c r="O93" s="122"/>
      <c r="P93" s="122"/>
      <c r="Q93" s="148"/>
      <c r="R93" s="155"/>
      <c r="S93" s="155"/>
      <c r="T93" s="155"/>
      <c r="U93" s="155"/>
      <c r="V93" s="155"/>
      <c r="W93" s="155"/>
      <c r="X93" s="155"/>
      <c r="Y93" s="155"/>
      <c r="Z93" s="155"/>
      <c r="AA93" s="155"/>
      <c r="AB93" s="155"/>
      <c r="AC93" s="155"/>
      <c r="AD93" s="155"/>
      <c r="AE93" s="155"/>
      <c r="AF93" s="155"/>
      <c r="AG93" s="155"/>
      <c r="AH93" s="155"/>
      <c r="AI93" s="155"/>
      <c r="AJ93" s="155"/>
    </row>
    <row r="94" s="33" customFormat="1" spans="1:36">
      <c r="A94" s="94">
        <f>IF(F94&lt;&gt;"",1+MAX($A$2:A93),"")</f>
        <v>57</v>
      </c>
      <c r="B94" s="112"/>
      <c r="C94" s="98"/>
      <c r="D94" s="86" t="s">
        <v>91</v>
      </c>
      <c r="E94" s="67">
        <v>87</v>
      </c>
      <c r="F94" s="103">
        <v>0</v>
      </c>
      <c r="G94" s="99">
        <f t="shared" ref="G94:G97" si="67">E94*(1+F94)</f>
        <v>87</v>
      </c>
      <c r="H94" s="67" t="s">
        <v>47</v>
      </c>
      <c r="I94" s="119">
        <v>1.285</v>
      </c>
      <c r="J94" s="120">
        <f t="shared" ref="J94:J97" si="68">+I94*G94</f>
        <v>111.795</v>
      </c>
      <c r="K94" s="121">
        <f>'LABOR SHEET'!$C$5</f>
        <v>45</v>
      </c>
      <c r="L94" s="122">
        <f t="shared" ref="L94:L97" si="69">I94*K94</f>
        <v>57.825</v>
      </c>
      <c r="M94" s="122">
        <f t="shared" ref="M94:M97" si="70">K94*J94</f>
        <v>5030.775</v>
      </c>
      <c r="N94" s="122">
        <v>124</v>
      </c>
      <c r="O94" s="122">
        <f t="shared" ref="O94:O97" si="71">N94*G94</f>
        <v>10788</v>
      </c>
      <c r="P94" s="122">
        <f t="shared" ref="P94:P97" si="72">(I94*K94)+N94</f>
        <v>181.825</v>
      </c>
      <c r="Q94" s="148">
        <f t="shared" ref="Q94:Q97" si="73">P94*G94</f>
        <v>15818.775</v>
      </c>
      <c r="R94" s="155"/>
      <c r="S94" s="155"/>
      <c r="T94" s="155"/>
      <c r="U94" s="155"/>
      <c r="V94" s="155"/>
      <c r="W94" s="155"/>
      <c r="X94" s="155"/>
      <c r="Y94" s="155"/>
      <c r="Z94" s="155"/>
      <c r="AA94" s="155"/>
      <c r="AB94" s="155"/>
      <c r="AC94" s="155"/>
      <c r="AD94" s="155"/>
      <c r="AE94" s="155"/>
      <c r="AF94" s="155"/>
      <c r="AG94" s="155"/>
      <c r="AH94" s="155"/>
      <c r="AI94" s="155"/>
      <c r="AJ94" s="155"/>
    </row>
    <row r="95" s="33" customFormat="1" ht="31.2" spans="1:36">
      <c r="A95" s="94">
        <f>IF(F95&lt;&gt;"",1+MAX($A$2:A94),"")</f>
        <v>58</v>
      </c>
      <c r="B95" s="112"/>
      <c r="C95" s="98"/>
      <c r="D95" s="89" t="s">
        <v>92</v>
      </c>
      <c r="E95" s="67">
        <v>34116</v>
      </c>
      <c r="F95" s="62">
        <v>0.1</v>
      </c>
      <c r="G95" s="99">
        <f t="shared" si="67"/>
        <v>37527.6</v>
      </c>
      <c r="H95" s="67" t="s">
        <v>38</v>
      </c>
      <c r="I95" s="119">
        <v>0.038</v>
      </c>
      <c r="J95" s="120">
        <f t="shared" si="68"/>
        <v>1426.0488</v>
      </c>
      <c r="K95" s="121">
        <f>'LABOR SHEET'!$C$5</f>
        <v>45</v>
      </c>
      <c r="L95" s="122">
        <f t="shared" si="69"/>
        <v>1.71</v>
      </c>
      <c r="M95" s="122">
        <f t="shared" si="70"/>
        <v>64172.196</v>
      </c>
      <c r="N95" s="122">
        <v>1.24</v>
      </c>
      <c r="O95" s="122">
        <f t="shared" si="71"/>
        <v>46534.224</v>
      </c>
      <c r="P95" s="122">
        <f t="shared" si="72"/>
        <v>2.95</v>
      </c>
      <c r="Q95" s="148">
        <f t="shared" si="73"/>
        <v>110706.42</v>
      </c>
      <c r="R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  <c r="AC95" s="155"/>
      <c r="AD95" s="155"/>
      <c r="AE95" s="155"/>
      <c r="AF95" s="155"/>
      <c r="AG95" s="155"/>
      <c r="AH95" s="155"/>
      <c r="AI95" s="155"/>
      <c r="AJ95" s="155"/>
    </row>
    <row r="96" s="33" customFormat="1" spans="1:36">
      <c r="A96" s="94">
        <f>IF(F96&lt;&gt;"",1+MAX($A$2:A95),"")</f>
        <v>59</v>
      </c>
      <c r="B96" s="112"/>
      <c r="C96" s="98"/>
      <c r="D96" s="113" t="s">
        <v>93</v>
      </c>
      <c r="E96" s="69">
        <f>34116*1/27</f>
        <v>1263.55555555556</v>
      </c>
      <c r="F96" s="62">
        <v>0.1</v>
      </c>
      <c r="G96" s="99">
        <f t="shared" si="67"/>
        <v>1389.91111111111</v>
      </c>
      <c r="H96" s="67" t="s">
        <v>54</v>
      </c>
      <c r="I96" s="119">
        <v>1</v>
      </c>
      <c r="J96" s="120">
        <f t="shared" si="68"/>
        <v>1389.91111111111</v>
      </c>
      <c r="K96" s="121">
        <f>'LABOR SHEET'!$C$5</f>
        <v>45</v>
      </c>
      <c r="L96" s="122">
        <f t="shared" si="69"/>
        <v>45</v>
      </c>
      <c r="M96" s="122">
        <f t="shared" si="70"/>
        <v>62545.9999999999</v>
      </c>
      <c r="N96" s="122">
        <v>62</v>
      </c>
      <c r="O96" s="122">
        <f t="shared" si="71"/>
        <v>86174.4888888888</v>
      </c>
      <c r="P96" s="122">
        <f t="shared" si="72"/>
        <v>107</v>
      </c>
      <c r="Q96" s="148">
        <f t="shared" si="73"/>
        <v>148720.488888889</v>
      </c>
      <c r="R96" s="155"/>
      <c r="S96" s="155"/>
      <c r="T96" s="155"/>
      <c r="U96" s="155"/>
      <c r="V96" s="155"/>
      <c r="W96" s="155"/>
      <c r="X96" s="155"/>
      <c r="Y96" s="155"/>
      <c r="Z96" s="155"/>
      <c r="AA96" s="155"/>
      <c r="AB96" s="155"/>
      <c r="AC96" s="155"/>
      <c r="AD96" s="155"/>
      <c r="AE96" s="155"/>
      <c r="AF96" s="155"/>
      <c r="AG96" s="155"/>
      <c r="AH96" s="155"/>
      <c r="AI96" s="155"/>
      <c r="AJ96" s="155"/>
    </row>
    <row r="97" s="33" customFormat="1" spans="1:36">
      <c r="A97" s="94">
        <f>IF(F97&lt;&gt;"",1+MAX($A$2:A96),"")</f>
        <v>60</v>
      </c>
      <c r="B97" s="112"/>
      <c r="C97" s="98"/>
      <c r="D97" s="113" t="s">
        <v>65</v>
      </c>
      <c r="E97" s="67">
        <v>34116</v>
      </c>
      <c r="F97" s="62">
        <v>0.1</v>
      </c>
      <c r="G97" s="99">
        <f t="shared" si="67"/>
        <v>37527.6</v>
      </c>
      <c r="H97" s="67" t="s">
        <v>38</v>
      </c>
      <c r="I97" s="119">
        <v>0.007</v>
      </c>
      <c r="J97" s="120">
        <f t="shared" si="68"/>
        <v>262.6932</v>
      </c>
      <c r="K97" s="121">
        <f>'LABOR SHEET'!$C$5</f>
        <v>45</v>
      </c>
      <c r="L97" s="122">
        <f t="shared" si="69"/>
        <v>0.315</v>
      </c>
      <c r="M97" s="122">
        <f t="shared" si="70"/>
        <v>11821.194</v>
      </c>
      <c r="N97" s="122">
        <v>0.4</v>
      </c>
      <c r="O97" s="122">
        <f t="shared" si="71"/>
        <v>15011.04</v>
      </c>
      <c r="P97" s="122">
        <f t="shared" si="72"/>
        <v>0.715</v>
      </c>
      <c r="Q97" s="148">
        <f t="shared" si="73"/>
        <v>26832.234</v>
      </c>
      <c r="R97" s="155"/>
      <c r="S97" s="155"/>
      <c r="T97" s="155"/>
      <c r="U97" s="155"/>
      <c r="V97" s="155"/>
      <c r="W97" s="155"/>
      <c r="X97" s="155"/>
      <c r="Y97" s="155"/>
      <c r="Z97" s="155"/>
      <c r="AA97" s="155"/>
      <c r="AB97" s="155"/>
      <c r="AC97" s="155"/>
      <c r="AD97" s="155"/>
      <c r="AE97" s="155"/>
      <c r="AF97" s="155"/>
      <c r="AG97" s="155"/>
      <c r="AH97" s="155"/>
      <c r="AI97" s="155"/>
      <c r="AJ97" s="155"/>
    </row>
    <row r="98" s="33" customFormat="1" spans="1:36">
      <c r="A98" s="94"/>
      <c r="B98" s="112"/>
      <c r="C98" s="98"/>
      <c r="D98" s="113"/>
      <c r="E98" s="67"/>
      <c r="F98" s="62"/>
      <c r="G98" s="99"/>
      <c r="H98" s="67"/>
      <c r="I98" s="119"/>
      <c r="J98" s="120"/>
      <c r="K98" s="121"/>
      <c r="L98" s="122"/>
      <c r="M98" s="122"/>
      <c r="N98" s="122"/>
      <c r="O98" s="122"/>
      <c r="P98" s="122"/>
      <c r="Q98" s="148"/>
      <c r="R98" s="155"/>
      <c r="S98" s="155"/>
      <c r="T98" s="155"/>
      <c r="U98" s="155"/>
      <c r="V98" s="155"/>
      <c r="W98" s="155"/>
      <c r="X98" s="155"/>
      <c r="Y98" s="155"/>
      <c r="Z98" s="155"/>
      <c r="AA98" s="155"/>
      <c r="AB98" s="155"/>
      <c r="AC98" s="155"/>
      <c r="AD98" s="155"/>
      <c r="AE98" s="155"/>
      <c r="AF98" s="155"/>
      <c r="AG98" s="155"/>
      <c r="AH98" s="155"/>
      <c r="AI98" s="155"/>
      <c r="AJ98" s="155"/>
    </row>
    <row r="99" s="33" customFormat="1" spans="1:36">
      <c r="A99" s="94" t="str">
        <f>IF(F99&lt;&gt;"",1+MAX($A$2:A97),"")</f>
        <v/>
      </c>
      <c r="B99" s="112"/>
      <c r="C99" s="98"/>
      <c r="D99" s="111" t="s">
        <v>94</v>
      </c>
      <c r="E99" s="67"/>
      <c r="F99" s="103"/>
      <c r="G99" s="99"/>
      <c r="H99" s="67"/>
      <c r="I99" s="119"/>
      <c r="J99" s="120"/>
      <c r="K99" s="121"/>
      <c r="L99" s="122"/>
      <c r="M99" s="122"/>
      <c r="N99" s="122"/>
      <c r="O99" s="122"/>
      <c r="P99" s="122"/>
      <c r="Q99" s="148"/>
      <c r="R99" s="155"/>
      <c r="S99" s="155"/>
      <c r="T99" s="155"/>
      <c r="U99" s="155"/>
      <c r="V99" s="155"/>
      <c r="W99" s="155"/>
      <c r="X99" s="155"/>
      <c r="Y99" s="155"/>
      <c r="Z99" s="155"/>
      <c r="AA99" s="155"/>
      <c r="AB99" s="155"/>
      <c r="AC99" s="155"/>
      <c r="AD99" s="155"/>
      <c r="AE99" s="155"/>
      <c r="AF99" s="155"/>
      <c r="AG99" s="155"/>
      <c r="AH99" s="155"/>
      <c r="AI99" s="155"/>
      <c r="AJ99" s="155"/>
    </row>
    <row r="100" s="33" customFormat="1" spans="1:36">
      <c r="A100" s="94">
        <f>IF(F100&lt;&gt;"",1+MAX($A$2:A99),"")</f>
        <v>61</v>
      </c>
      <c r="B100" s="112"/>
      <c r="C100" s="69"/>
      <c r="D100" s="86" t="s">
        <v>95</v>
      </c>
      <c r="E100" s="67">
        <v>6</v>
      </c>
      <c r="F100" s="103">
        <v>0</v>
      </c>
      <c r="G100" s="99">
        <f t="shared" ref="G100" si="74">E100*(1+F100)</f>
        <v>6</v>
      </c>
      <c r="H100" s="67" t="s">
        <v>47</v>
      </c>
      <c r="I100" s="119">
        <v>0.5</v>
      </c>
      <c r="J100" s="120">
        <f t="shared" ref="J100:J102" si="75">+I100*G100</f>
        <v>3</v>
      </c>
      <c r="K100" s="121">
        <f>'LABOR SHEET'!$C$5</f>
        <v>45</v>
      </c>
      <c r="L100" s="122">
        <f t="shared" ref="L100:L102" si="76">I100*K100</f>
        <v>22.5</v>
      </c>
      <c r="M100" s="122">
        <f t="shared" ref="M100:M102" si="77">K100*J100</f>
        <v>135</v>
      </c>
      <c r="N100" s="122">
        <v>72</v>
      </c>
      <c r="O100" s="122">
        <f>N100*G100</f>
        <v>432</v>
      </c>
      <c r="P100" s="122">
        <f>(I100*K100)+N100</f>
        <v>94.5</v>
      </c>
      <c r="Q100" s="148">
        <f>P100*G100</f>
        <v>567</v>
      </c>
      <c r="R100" s="155"/>
      <c r="S100" s="155"/>
      <c r="T100" s="155"/>
      <c r="U100" s="155"/>
      <c r="V100" s="155"/>
      <c r="W100" s="155"/>
      <c r="X100" s="155"/>
      <c r="Y100" s="155"/>
      <c r="Z100" s="155"/>
      <c r="AA100" s="155"/>
      <c r="AB100" s="155"/>
      <c r="AC100" s="155"/>
      <c r="AD100" s="155"/>
      <c r="AE100" s="155"/>
      <c r="AF100" s="155"/>
      <c r="AG100" s="155"/>
      <c r="AH100" s="155"/>
      <c r="AI100" s="155"/>
      <c r="AJ100" s="155"/>
    </row>
    <row r="101" s="33" customFormat="1" ht="31.2" spans="1:36">
      <c r="A101" s="94">
        <f>IF(F101&lt;&gt;"",1+MAX($A$2:A100),"")</f>
        <v>62</v>
      </c>
      <c r="B101" s="112"/>
      <c r="C101" s="98"/>
      <c r="D101" s="89" t="s">
        <v>96</v>
      </c>
      <c r="E101" s="67">
        <v>3</v>
      </c>
      <c r="F101" s="103">
        <v>0</v>
      </c>
      <c r="G101" s="99">
        <f t="shared" ref="G101:G105" si="78">E101*(1+F101)</f>
        <v>3</v>
      </c>
      <c r="H101" s="67" t="s">
        <v>47</v>
      </c>
      <c r="I101" s="119">
        <v>0.72</v>
      </c>
      <c r="J101" s="120">
        <f t="shared" si="75"/>
        <v>2.16</v>
      </c>
      <c r="K101" s="121">
        <f>'LABOR SHEET'!$C$5</f>
        <v>45</v>
      </c>
      <c r="L101" s="122">
        <f t="shared" si="76"/>
        <v>32.4</v>
      </c>
      <c r="M101" s="122">
        <f t="shared" si="77"/>
        <v>97.2</v>
      </c>
      <c r="N101" s="122">
        <v>88</v>
      </c>
      <c r="O101" s="122">
        <f t="shared" ref="O101:O105" si="79">N101*G101</f>
        <v>264</v>
      </c>
      <c r="P101" s="122">
        <f t="shared" ref="P101:P105" si="80">(I101*K101)+N101</f>
        <v>120.4</v>
      </c>
      <c r="Q101" s="148">
        <f t="shared" ref="Q101:Q105" si="81">P101*G101</f>
        <v>361.2</v>
      </c>
      <c r="R101" s="155"/>
      <c r="S101" s="155"/>
      <c r="T101" s="155"/>
      <c r="U101" s="155"/>
      <c r="V101" s="155"/>
      <c r="W101" s="155"/>
      <c r="X101" s="155"/>
      <c r="Y101" s="155"/>
      <c r="Z101" s="155"/>
      <c r="AA101" s="155"/>
      <c r="AB101" s="155"/>
      <c r="AC101" s="155"/>
      <c r="AD101" s="155"/>
      <c r="AE101" s="155"/>
      <c r="AF101" s="155"/>
      <c r="AG101" s="155"/>
      <c r="AH101" s="155"/>
      <c r="AI101" s="155"/>
      <c r="AJ101" s="155"/>
    </row>
    <row r="102" s="33" customFormat="1" spans="1:36">
      <c r="A102" s="94">
        <f>IF(F102&lt;&gt;"",1+MAX($A$2:A101),"")</f>
        <v>63</v>
      </c>
      <c r="B102" s="112"/>
      <c r="C102" s="98"/>
      <c r="D102" s="86" t="s">
        <v>97</v>
      </c>
      <c r="E102" s="67">
        <v>2</v>
      </c>
      <c r="F102" s="103">
        <v>0</v>
      </c>
      <c r="G102" s="99">
        <f t="shared" si="78"/>
        <v>2</v>
      </c>
      <c r="H102" s="67" t="s">
        <v>47</v>
      </c>
      <c r="I102" s="119">
        <v>0.5</v>
      </c>
      <c r="J102" s="120">
        <f t="shared" si="75"/>
        <v>1</v>
      </c>
      <c r="K102" s="121">
        <f>'LABOR SHEET'!$C$5</f>
        <v>45</v>
      </c>
      <c r="L102" s="122">
        <f t="shared" si="76"/>
        <v>22.5</v>
      </c>
      <c r="M102" s="122">
        <f t="shared" si="77"/>
        <v>45</v>
      </c>
      <c r="N102" s="122">
        <v>72</v>
      </c>
      <c r="O102" s="122">
        <f t="shared" si="79"/>
        <v>144</v>
      </c>
      <c r="P102" s="122">
        <f t="shared" si="80"/>
        <v>94.5</v>
      </c>
      <c r="Q102" s="148">
        <f t="shared" si="81"/>
        <v>189</v>
      </c>
      <c r="R102" s="155"/>
      <c r="S102" s="155"/>
      <c r="T102" s="155"/>
      <c r="U102" s="155"/>
      <c r="V102" s="155"/>
      <c r="W102" s="155"/>
      <c r="X102" s="155"/>
      <c r="Y102" s="155"/>
      <c r="Z102" s="155"/>
      <c r="AA102" s="155"/>
      <c r="AB102" s="155"/>
      <c r="AC102" s="155"/>
      <c r="AD102" s="155"/>
      <c r="AE102" s="155"/>
      <c r="AF102" s="155"/>
      <c r="AG102" s="155"/>
      <c r="AH102" s="155"/>
      <c r="AI102" s="155"/>
      <c r="AJ102" s="155"/>
    </row>
    <row r="103" s="33" customFormat="1" spans="1:36">
      <c r="A103" s="94">
        <f>IF(F103&lt;&gt;"",1+MAX($A$2:A102),"")</f>
        <v>64</v>
      </c>
      <c r="B103" s="112"/>
      <c r="C103" s="98"/>
      <c r="D103" s="86" t="s">
        <v>98</v>
      </c>
      <c r="E103" s="67">
        <v>2408</v>
      </c>
      <c r="F103" s="68">
        <v>0.05</v>
      </c>
      <c r="G103" s="99">
        <f t="shared" si="78"/>
        <v>2528.4</v>
      </c>
      <c r="H103" s="67" t="s">
        <v>40</v>
      </c>
      <c r="I103" s="119">
        <v>0.032</v>
      </c>
      <c r="J103" s="120">
        <f t="shared" ref="J101:J105" si="82">+I103*G103</f>
        <v>80.9088</v>
      </c>
      <c r="K103" s="121">
        <f>'LABOR SHEET'!$C$5</f>
        <v>45</v>
      </c>
      <c r="L103" s="122">
        <f t="shared" ref="L101:L105" si="83">I103*K103</f>
        <v>1.44</v>
      </c>
      <c r="M103" s="122">
        <f t="shared" ref="M101:M105" si="84">K103*J103</f>
        <v>3640.896</v>
      </c>
      <c r="N103" s="122">
        <v>2.1</v>
      </c>
      <c r="O103" s="122">
        <f t="shared" si="79"/>
        <v>5309.64</v>
      </c>
      <c r="P103" s="122">
        <f t="shared" si="80"/>
        <v>3.54</v>
      </c>
      <c r="Q103" s="148">
        <f t="shared" si="81"/>
        <v>8950.536</v>
      </c>
      <c r="R103" s="155"/>
      <c r="S103" s="155"/>
      <c r="T103" s="155"/>
      <c r="U103" s="155"/>
      <c r="V103" s="155"/>
      <c r="W103" s="155"/>
      <c r="X103" s="155"/>
      <c r="Y103" s="155"/>
      <c r="Z103" s="155"/>
      <c r="AA103" s="155"/>
      <c r="AB103" s="155"/>
      <c r="AC103" s="155"/>
      <c r="AD103" s="155"/>
      <c r="AE103" s="155"/>
      <c r="AF103" s="155"/>
      <c r="AG103" s="155"/>
      <c r="AH103" s="155"/>
      <c r="AI103" s="155"/>
      <c r="AJ103" s="155"/>
    </row>
    <row r="104" s="33" customFormat="1" ht="31.2" spans="1:36">
      <c r="A104" s="94">
        <f>IF(F104&lt;&gt;"",1+MAX($A$2:A103),"")</f>
        <v>65</v>
      </c>
      <c r="B104" s="112"/>
      <c r="C104" s="98"/>
      <c r="D104" s="89" t="s">
        <v>99</v>
      </c>
      <c r="E104" s="67">
        <v>1638</v>
      </c>
      <c r="F104" s="68">
        <v>0.05</v>
      </c>
      <c r="G104" s="99">
        <f t="shared" si="78"/>
        <v>1719.9</v>
      </c>
      <c r="H104" s="67" t="s">
        <v>40</v>
      </c>
      <c r="I104" s="119">
        <v>0.048</v>
      </c>
      <c r="J104" s="120">
        <f t="shared" si="82"/>
        <v>82.5552</v>
      </c>
      <c r="K104" s="121">
        <f>'LABOR SHEET'!$C$5</f>
        <v>45</v>
      </c>
      <c r="L104" s="122">
        <f t="shared" si="83"/>
        <v>2.16</v>
      </c>
      <c r="M104" s="122">
        <f t="shared" si="84"/>
        <v>3714.984</v>
      </c>
      <c r="N104" s="122">
        <v>2.4</v>
      </c>
      <c r="O104" s="122">
        <f t="shared" si="79"/>
        <v>4127.76</v>
      </c>
      <c r="P104" s="122">
        <f t="shared" si="80"/>
        <v>4.56</v>
      </c>
      <c r="Q104" s="148">
        <f t="shared" si="81"/>
        <v>7842.744</v>
      </c>
      <c r="R104" s="155"/>
      <c r="S104" s="155"/>
      <c r="T104" s="155"/>
      <c r="U104" s="155"/>
      <c r="V104" s="155"/>
      <c r="W104" s="155"/>
      <c r="X104" s="155"/>
      <c r="Y104" s="155"/>
      <c r="Z104" s="155"/>
      <c r="AA104" s="155"/>
      <c r="AB104" s="155"/>
      <c r="AC104" s="155"/>
      <c r="AD104" s="155"/>
      <c r="AE104" s="155"/>
      <c r="AF104" s="155"/>
      <c r="AG104" s="155"/>
      <c r="AH104" s="155"/>
      <c r="AI104" s="155"/>
      <c r="AJ104" s="155"/>
    </row>
    <row r="105" s="33" customFormat="1" spans="1:36">
      <c r="A105" s="94">
        <f>IF(F105&lt;&gt;"",1+MAX($A$2:A104),"")</f>
        <v>66</v>
      </c>
      <c r="B105" s="112"/>
      <c r="C105" s="98"/>
      <c r="D105" s="86" t="s">
        <v>100</v>
      </c>
      <c r="E105" s="67">
        <v>1</v>
      </c>
      <c r="F105" s="103">
        <v>0</v>
      </c>
      <c r="G105" s="99">
        <f t="shared" si="78"/>
        <v>1</v>
      </c>
      <c r="H105" s="67" t="s">
        <v>47</v>
      </c>
      <c r="I105" s="119">
        <v>0.5</v>
      </c>
      <c r="J105" s="120">
        <f t="shared" si="82"/>
        <v>0.5</v>
      </c>
      <c r="K105" s="121">
        <f>'LABOR SHEET'!$C$5</f>
        <v>45</v>
      </c>
      <c r="L105" s="122">
        <f t="shared" si="83"/>
        <v>22.5</v>
      </c>
      <c r="M105" s="122">
        <f t="shared" si="84"/>
        <v>22.5</v>
      </c>
      <c r="N105" s="122">
        <v>72</v>
      </c>
      <c r="O105" s="122">
        <f t="shared" si="79"/>
        <v>72</v>
      </c>
      <c r="P105" s="122">
        <f t="shared" si="80"/>
        <v>94.5</v>
      </c>
      <c r="Q105" s="148">
        <f t="shared" si="81"/>
        <v>94.5</v>
      </c>
      <c r="R105" s="155"/>
      <c r="S105" s="155"/>
      <c r="T105" s="155"/>
      <c r="U105" s="155"/>
      <c r="V105" s="155"/>
      <c r="W105" s="155"/>
      <c r="X105" s="155"/>
      <c r="Y105" s="155"/>
      <c r="Z105" s="155"/>
      <c r="AA105" s="155"/>
      <c r="AB105" s="155"/>
      <c r="AC105" s="155"/>
      <c r="AD105" s="155"/>
      <c r="AE105" s="155"/>
      <c r="AF105" s="155"/>
      <c r="AG105" s="155"/>
      <c r="AH105" s="155"/>
      <c r="AI105" s="155"/>
      <c r="AJ105" s="155"/>
    </row>
    <row r="106" s="33" customFormat="1" spans="1:36">
      <c r="A106" s="94"/>
      <c r="B106" s="112"/>
      <c r="C106" s="98"/>
      <c r="D106" s="86"/>
      <c r="E106" s="67"/>
      <c r="F106" s="103"/>
      <c r="G106" s="99"/>
      <c r="H106" s="67"/>
      <c r="I106" s="119"/>
      <c r="J106" s="120"/>
      <c r="K106" s="121"/>
      <c r="L106" s="122"/>
      <c r="M106" s="122"/>
      <c r="N106" s="122"/>
      <c r="O106" s="122"/>
      <c r="P106" s="122"/>
      <c r="Q106" s="148"/>
      <c r="R106" s="155"/>
      <c r="S106" s="155"/>
      <c r="T106" s="155"/>
      <c r="U106" s="155"/>
      <c r="V106" s="155"/>
      <c r="W106" s="155"/>
      <c r="X106" s="155"/>
      <c r="Y106" s="155"/>
      <c r="Z106" s="155"/>
      <c r="AA106" s="155"/>
      <c r="AB106" s="155"/>
      <c r="AC106" s="155"/>
      <c r="AD106" s="155"/>
      <c r="AE106" s="155"/>
      <c r="AF106" s="155"/>
      <c r="AG106" s="155"/>
      <c r="AH106" s="155"/>
      <c r="AI106" s="155"/>
      <c r="AJ106" s="155"/>
    </row>
    <row r="107" s="33" customFormat="1" spans="1:36">
      <c r="A107" s="94" t="str">
        <f>IF(F107&lt;&gt;"",1+MAX($A$2:A105),"")</f>
        <v/>
      </c>
      <c r="B107" s="112"/>
      <c r="C107" s="98"/>
      <c r="D107" s="111" t="s">
        <v>101</v>
      </c>
      <c r="E107" s="67"/>
      <c r="F107" s="103"/>
      <c r="G107" s="99"/>
      <c r="H107" s="67"/>
      <c r="I107" s="119"/>
      <c r="J107" s="120"/>
      <c r="K107" s="121"/>
      <c r="L107" s="122"/>
      <c r="M107" s="122"/>
      <c r="N107" s="122"/>
      <c r="O107" s="122"/>
      <c r="P107" s="122"/>
      <c r="Q107" s="148"/>
      <c r="R107" s="155"/>
      <c r="S107" s="155"/>
      <c r="T107" s="155"/>
      <c r="U107" s="155"/>
      <c r="V107" s="155"/>
      <c r="W107" s="155"/>
      <c r="X107" s="155"/>
      <c r="Y107" s="155"/>
      <c r="Z107" s="155"/>
      <c r="AA107" s="155"/>
      <c r="AB107" s="155"/>
      <c r="AC107" s="155"/>
      <c r="AD107" s="155"/>
      <c r="AE107" s="155"/>
      <c r="AF107" s="155"/>
      <c r="AG107" s="155"/>
      <c r="AH107" s="155"/>
      <c r="AI107" s="155"/>
      <c r="AJ107" s="155"/>
    </row>
    <row r="108" s="33" customFormat="1" spans="1:36">
      <c r="A108" s="94">
        <f>IF(F108&lt;&gt;"",1+MAX($A$2:A107),"")</f>
        <v>67</v>
      </c>
      <c r="B108" s="112"/>
      <c r="C108" s="98"/>
      <c r="D108" s="89" t="s">
        <v>102</v>
      </c>
      <c r="E108" s="69">
        <f>0.5*863/27</f>
        <v>15.9814814814815</v>
      </c>
      <c r="F108" s="62">
        <v>0.1</v>
      </c>
      <c r="G108" s="99">
        <f t="shared" ref="G108:G111" si="85">E108*(1+F108)</f>
        <v>17.5796296296296</v>
      </c>
      <c r="H108" s="67" t="s">
        <v>54</v>
      </c>
      <c r="I108" s="119">
        <v>2.4</v>
      </c>
      <c r="J108" s="120">
        <f t="shared" ref="J108:J111" si="86">+I108*G108</f>
        <v>42.191111111111</v>
      </c>
      <c r="K108" s="121">
        <f>'LABOR SHEET'!$C$5</f>
        <v>45</v>
      </c>
      <c r="L108" s="122">
        <f t="shared" ref="L108:L111" si="87">I108*K108</f>
        <v>108</v>
      </c>
      <c r="M108" s="122">
        <f t="shared" ref="M108:M111" si="88">K108*J108</f>
        <v>1898.59999999999</v>
      </c>
      <c r="N108" s="122">
        <v>180</v>
      </c>
      <c r="O108" s="122">
        <f t="shared" ref="O108:O111" si="89">N108*G108</f>
        <v>3164.33333333333</v>
      </c>
      <c r="P108" s="122">
        <f t="shared" ref="P108:P111" si="90">(I108*K108)+N108</f>
        <v>288</v>
      </c>
      <c r="Q108" s="148">
        <f t="shared" ref="Q108:Q111" si="91">P108*G108</f>
        <v>5062.93333333333</v>
      </c>
      <c r="R108" s="155"/>
      <c r="S108" s="155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155"/>
      <c r="AG108" s="155"/>
      <c r="AH108" s="155"/>
      <c r="AI108" s="155"/>
      <c r="AJ108" s="155"/>
    </row>
    <row r="109" s="33" customFormat="1" spans="1:36">
      <c r="A109" s="94">
        <f>IF(F109&lt;&gt;"",1+MAX($A$2:A108),"")</f>
        <v>68</v>
      </c>
      <c r="B109" s="112"/>
      <c r="C109" s="98"/>
      <c r="D109" s="89" t="s">
        <v>103</v>
      </c>
      <c r="E109" s="69">
        <f>343*1*0.5/27</f>
        <v>6.35185185185185</v>
      </c>
      <c r="F109" s="62">
        <v>0.1</v>
      </c>
      <c r="G109" s="99">
        <f t="shared" si="85"/>
        <v>6.98703703703704</v>
      </c>
      <c r="H109" s="67" t="s">
        <v>54</v>
      </c>
      <c r="I109" s="119">
        <v>2.6</v>
      </c>
      <c r="J109" s="120">
        <f t="shared" si="86"/>
        <v>18.1662962962963</v>
      </c>
      <c r="K109" s="121">
        <f>'LABOR SHEET'!$C$5</f>
        <v>45</v>
      </c>
      <c r="L109" s="122">
        <f t="shared" si="87"/>
        <v>117</v>
      </c>
      <c r="M109" s="122">
        <f t="shared" si="88"/>
        <v>817.483333333333</v>
      </c>
      <c r="N109" s="122">
        <v>180</v>
      </c>
      <c r="O109" s="122">
        <f t="shared" si="89"/>
        <v>1257.66666666667</v>
      </c>
      <c r="P109" s="122">
        <f t="shared" si="90"/>
        <v>297</v>
      </c>
      <c r="Q109" s="148">
        <f t="shared" si="91"/>
        <v>2075.15</v>
      </c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  <c r="AC109" s="155"/>
      <c r="AD109" s="155"/>
      <c r="AE109" s="155"/>
      <c r="AF109" s="155"/>
      <c r="AG109" s="155"/>
      <c r="AH109" s="155"/>
      <c r="AI109" s="155"/>
      <c r="AJ109" s="155"/>
    </row>
    <row r="110" s="33" customFormat="1" spans="1:36">
      <c r="A110" s="94">
        <f>IF(F110&lt;&gt;"",1+MAX($A$2:A109),"")</f>
        <v>69</v>
      </c>
      <c r="B110" s="112"/>
      <c r="C110" s="98"/>
      <c r="D110" s="113" t="s">
        <v>104</v>
      </c>
      <c r="E110" s="67">
        <f>863/1*2*0.668</f>
        <v>1152.968</v>
      </c>
      <c r="F110" s="68">
        <v>0.05</v>
      </c>
      <c r="G110" s="99">
        <f t="shared" si="85"/>
        <v>1210.6164</v>
      </c>
      <c r="H110" s="67" t="s">
        <v>80</v>
      </c>
      <c r="I110" s="119">
        <v>0.011</v>
      </c>
      <c r="J110" s="120">
        <f t="shared" si="86"/>
        <v>13.3167804</v>
      </c>
      <c r="K110" s="121">
        <f>'LABOR SHEET'!$C$5</f>
        <v>45</v>
      </c>
      <c r="L110" s="122">
        <f t="shared" si="87"/>
        <v>0.495</v>
      </c>
      <c r="M110" s="122">
        <f t="shared" si="88"/>
        <v>599.255118</v>
      </c>
      <c r="N110" s="122">
        <v>0.9</v>
      </c>
      <c r="O110" s="122">
        <f t="shared" si="89"/>
        <v>1089.55476</v>
      </c>
      <c r="P110" s="122">
        <f t="shared" si="90"/>
        <v>1.395</v>
      </c>
      <c r="Q110" s="148">
        <f t="shared" si="91"/>
        <v>1688.809878</v>
      </c>
      <c r="R110" s="155"/>
      <c r="S110" s="155"/>
      <c r="T110" s="155"/>
      <c r="U110" s="155"/>
      <c r="V110" s="155"/>
      <c r="W110" s="155"/>
      <c r="X110" s="155"/>
      <c r="Y110" s="155"/>
      <c r="Z110" s="155"/>
      <c r="AA110" s="155"/>
      <c r="AB110" s="155"/>
      <c r="AC110" s="155"/>
      <c r="AD110" s="155"/>
      <c r="AE110" s="155"/>
      <c r="AF110" s="155"/>
      <c r="AG110" s="155"/>
      <c r="AH110" s="155"/>
      <c r="AI110" s="155"/>
      <c r="AJ110" s="155"/>
    </row>
    <row r="111" s="33" customFormat="1" spans="1:36">
      <c r="A111" s="94">
        <f>IF(F111&lt;&gt;"",1+MAX($A$2:A110),"")</f>
        <v>70</v>
      </c>
      <c r="B111" s="112"/>
      <c r="C111" s="98"/>
      <c r="D111" s="113" t="s">
        <v>105</v>
      </c>
      <c r="E111" s="67">
        <f>0.668*343</f>
        <v>229.124</v>
      </c>
      <c r="F111" s="68">
        <v>0.05</v>
      </c>
      <c r="G111" s="99">
        <f t="shared" si="85"/>
        <v>240.5802</v>
      </c>
      <c r="H111" s="67" t="s">
        <v>80</v>
      </c>
      <c r="I111" s="119">
        <v>0.011</v>
      </c>
      <c r="J111" s="120">
        <f t="shared" si="86"/>
        <v>2.6463822</v>
      </c>
      <c r="K111" s="121">
        <f>'LABOR SHEET'!$C$5</f>
        <v>45</v>
      </c>
      <c r="L111" s="122">
        <f t="shared" si="87"/>
        <v>0.495</v>
      </c>
      <c r="M111" s="122">
        <f t="shared" si="88"/>
        <v>119.087199</v>
      </c>
      <c r="N111" s="122">
        <v>0.9</v>
      </c>
      <c r="O111" s="122">
        <f t="shared" si="89"/>
        <v>216.52218</v>
      </c>
      <c r="P111" s="122">
        <f t="shared" si="90"/>
        <v>1.395</v>
      </c>
      <c r="Q111" s="148">
        <f t="shared" si="91"/>
        <v>335.609379</v>
      </c>
      <c r="R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  <c r="AC111" s="155"/>
      <c r="AD111" s="155"/>
      <c r="AE111" s="155"/>
      <c r="AF111" s="155"/>
      <c r="AG111" s="155"/>
      <c r="AH111" s="155"/>
      <c r="AI111" s="155"/>
      <c r="AJ111" s="155"/>
    </row>
    <row r="112" s="33" customFormat="1" spans="1:36">
      <c r="A112" s="94"/>
      <c r="B112" s="112"/>
      <c r="C112" s="98"/>
      <c r="D112" s="113"/>
      <c r="E112" s="67"/>
      <c r="F112" s="68"/>
      <c r="G112" s="99"/>
      <c r="H112" s="67"/>
      <c r="I112" s="119"/>
      <c r="J112" s="120"/>
      <c r="K112" s="121"/>
      <c r="L112" s="122"/>
      <c r="M112" s="122"/>
      <c r="N112" s="122"/>
      <c r="O112" s="122"/>
      <c r="P112" s="122"/>
      <c r="Q112" s="148"/>
      <c r="R112" s="155"/>
      <c r="S112" s="155"/>
      <c r="T112" s="155"/>
      <c r="U112" s="155"/>
      <c r="V112" s="155"/>
      <c r="W112" s="155"/>
      <c r="X112" s="155"/>
      <c r="Y112" s="155"/>
      <c r="Z112" s="155"/>
      <c r="AA112" s="155"/>
      <c r="AB112" s="155"/>
      <c r="AC112" s="155"/>
      <c r="AD112" s="155"/>
      <c r="AE112" s="155"/>
      <c r="AF112" s="155"/>
      <c r="AG112" s="155"/>
      <c r="AH112" s="155"/>
      <c r="AI112" s="155"/>
      <c r="AJ112" s="155"/>
    </row>
    <row r="113" s="33" customFormat="1" spans="1:36">
      <c r="A113" s="94" t="str">
        <f>IF(F113&lt;&gt;"",1+MAX($A$2:A111),"")</f>
        <v/>
      </c>
      <c r="B113" s="112"/>
      <c r="C113" s="98"/>
      <c r="D113" s="111" t="s">
        <v>106</v>
      </c>
      <c r="E113" s="67"/>
      <c r="F113" s="103"/>
      <c r="G113" s="99"/>
      <c r="H113" s="67"/>
      <c r="I113" s="119"/>
      <c r="J113" s="120"/>
      <c r="K113" s="121"/>
      <c r="L113" s="122"/>
      <c r="M113" s="122"/>
      <c r="N113" s="122"/>
      <c r="O113" s="122"/>
      <c r="P113" s="122"/>
      <c r="Q113" s="148"/>
      <c r="R113" s="155"/>
      <c r="S113" s="155"/>
      <c r="T113" s="155"/>
      <c r="U113" s="155"/>
      <c r="V113" s="155"/>
      <c r="W113" s="155"/>
      <c r="X113" s="155"/>
      <c r="Y113" s="155"/>
      <c r="Z113" s="155"/>
      <c r="AA113" s="155"/>
      <c r="AB113" s="155"/>
      <c r="AC113" s="155"/>
      <c r="AD113" s="155"/>
      <c r="AE113" s="155"/>
      <c r="AF113" s="155"/>
      <c r="AG113" s="155"/>
      <c r="AH113" s="155"/>
      <c r="AI113" s="155"/>
      <c r="AJ113" s="155"/>
    </row>
    <row r="114" s="33" customFormat="1" spans="1:36">
      <c r="A114" s="94">
        <f>IF(F114&lt;&gt;"",1+MAX($A$2:A113),"")</f>
        <v>71</v>
      </c>
      <c r="B114" s="112"/>
      <c r="C114" s="98"/>
      <c r="D114" s="86" t="s">
        <v>107</v>
      </c>
      <c r="E114" s="67">
        <v>38</v>
      </c>
      <c r="F114" s="68">
        <v>0.05</v>
      </c>
      <c r="G114" s="99">
        <f>E114*(1+F114)</f>
        <v>39.9</v>
      </c>
      <c r="H114" s="67" t="s">
        <v>40</v>
      </c>
      <c r="I114" s="119">
        <v>0.052</v>
      </c>
      <c r="J114" s="120">
        <f>+I114*G114</f>
        <v>2.0748</v>
      </c>
      <c r="K114" s="121">
        <f>'LABOR SHEET'!$C$5</f>
        <v>45</v>
      </c>
      <c r="L114" s="122">
        <f>I114*K114</f>
        <v>2.34</v>
      </c>
      <c r="M114" s="122">
        <f>K114*J114</f>
        <v>93.366</v>
      </c>
      <c r="N114" s="122">
        <v>12</v>
      </c>
      <c r="O114" s="122">
        <f>N114*G114</f>
        <v>478.8</v>
      </c>
      <c r="P114" s="122">
        <f>(I114*K114)+N114</f>
        <v>14.34</v>
      </c>
      <c r="Q114" s="148">
        <f>P114*G114</f>
        <v>572.166</v>
      </c>
      <c r="R114" s="155"/>
      <c r="S114" s="155"/>
      <c r="T114" s="155"/>
      <c r="U114" s="155"/>
      <c r="V114" s="155"/>
      <c r="W114" s="155"/>
      <c r="X114" s="155"/>
      <c r="Y114" s="155"/>
      <c r="Z114" s="155"/>
      <c r="AA114" s="155"/>
      <c r="AB114" s="155"/>
      <c r="AC114" s="155"/>
      <c r="AD114" s="155"/>
      <c r="AE114" s="155"/>
      <c r="AF114" s="155"/>
      <c r="AG114" s="155"/>
      <c r="AH114" s="155"/>
      <c r="AI114" s="155"/>
      <c r="AJ114" s="155"/>
    </row>
    <row r="115" s="33" customFormat="1" spans="1:36">
      <c r="A115" s="94"/>
      <c r="B115" s="112"/>
      <c r="C115" s="98"/>
      <c r="D115" s="86"/>
      <c r="E115" s="67"/>
      <c r="F115" s="68"/>
      <c r="G115" s="99"/>
      <c r="H115" s="67"/>
      <c r="I115" s="119"/>
      <c r="J115" s="120"/>
      <c r="K115" s="121"/>
      <c r="L115" s="122"/>
      <c r="M115" s="122"/>
      <c r="N115" s="122"/>
      <c r="O115" s="122"/>
      <c r="P115" s="122"/>
      <c r="Q115" s="148"/>
      <c r="R115" s="155"/>
      <c r="S115" s="155"/>
      <c r="T115" s="155"/>
      <c r="U115" s="155"/>
      <c r="V115" s="155"/>
      <c r="W115" s="155"/>
      <c r="X115" s="155"/>
      <c r="Y115" s="155"/>
      <c r="Z115" s="155"/>
      <c r="AA115" s="155"/>
      <c r="AB115" s="155"/>
      <c r="AC115" s="155"/>
      <c r="AD115" s="155"/>
      <c r="AE115" s="155"/>
      <c r="AF115" s="155"/>
      <c r="AG115" s="155"/>
      <c r="AH115" s="155"/>
      <c r="AI115" s="155"/>
      <c r="AJ115" s="155"/>
    </row>
    <row r="116" s="33" customFormat="1" spans="1:36">
      <c r="A116" s="94" t="str">
        <f>IF(F116&lt;&gt;"",1+MAX($A$2:A114),"")</f>
        <v/>
      </c>
      <c r="B116" s="112"/>
      <c r="C116" s="98"/>
      <c r="D116" s="111" t="s">
        <v>108</v>
      </c>
      <c r="E116" s="67"/>
      <c r="F116" s="103"/>
      <c r="G116" s="99"/>
      <c r="H116" s="67"/>
      <c r="I116" s="119"/>
      <c r="J116" s="120"/>
      <c r="K116" s="121"/>
      <c r="L116" s="122"/>
      <c r="M116" s="122"/>
      <c r="N116" s="122"/>
      <c r="O116" s="122"/>
      <c r="P116" s="122"/>
      <c r="Q116" s="148"/>
      <c r="R116" s="155"/>
      <c r="S116" s="155"/>
      <c r="T116" s="155"/>
      <c r="U116" s="155"/>
      <c r="V116" s="155"/>
      <c r="W116" s="155"/>
      <c r="X116" s="155"/>
      <c r="Y116" s="155"/>
      <c r="Z116" s="155"/>
      <c r="AA116" s="155"/>
      <c r="AB116" s="155"/>
      <c r="AC116" s="155"/>
      <c r="AD116" s="155"/>
      <c r="AE116" s="155"/>
      <c r="AF116" s="155"/>
      <c r="AG116" s="155"/>
      <c r="AH116" s="155"/>
      <c r="AI116" s="155"/>
      <c r="AJ116" s="155"/>
    </row>
    <row r="117" s="33" customFormat="1" spans="1:36">
      <c r="A117" s="94">
        <f>IF(F117&lt;&gt;"",1+MAX($A$2:A116),"")</f>
        <v>72</v>
      </c>
      <c r="B117" s="112"/>
      <c r="C117" s="98"/>
      <c r="D117" s="89" t="s">
        <v>109</v>
      </c>
      <c r="E117" s="69">
        <f>0.34*1066/27</f>
        <v>13.4237037037037</v>
      </c>
      <c r="F117" s="62">
        <v>0.1</v>
      </c>
      <c r="G117" s="99">
        <f>E117*(1+F117)</f>
        <v>14.7660740740741</v>
      </c>
      <c r="H117" s="67" t="s">
        <v>54</v>
      </c>
      <c r="I117" s="119">
        <v>2.6</v>
      </c>
      <c r="J117" s="120">
        <f t="shared" ref="J116:J121" si="92">+I117*G117</f>
        <v>38.3917925925926</v>
      </c>
      <c r="K117" s="121">
        <f>'LABOR SHEET'!$C$5</f>
        <v>45</v>
      </c>
      <c r="L117" s="122">
        <f t="shared" ref="L116:L121" si="93">I117*K117</f>
        <v>117</v>
      </c>
      <c r="M117" s="122">
        <f t="shared" ref="M116:M121" si="94">K117*J117</f>
        <v>1727.63066666667</v>
      </c>
      <c r="N117" s="122">
        <v>198</v>
      </c>
      <c r="O117" s="122">
        <f>N117*G117</f>
        <v>2923.68266666667</v>
      </c>
      <c r="P117" s="122">
        <f>(I117*K117)+N117</f>
        <v>315</v>
      </c>
      <c r="Q117" s="148">
        <f>P117*G117</f>
        <v>4651.31333333333</v>
      </c>
      <c r="R117" s="155"/>
      <c r="S117" s="155"/>
      <c r="T117" s="155"/>
      <c r="U117" s="155"/>
      <c r="V117" s="155"/>
      <c r="W117" s="155"/>
      <c r="X117" s="155"/>
      <c r="Y117" s="155"/>
      <c r="Z117" s="155"/>
      <c r="AA117" s="155"/>
      <c r="AB117" s="155"/>
      <c r="AC117" s="155"/>
      <c r="AD117" s="155"/>
      <c r="AE117" s="155"/>
      <c r="AF117" s="155"/>
      <c r="AG117" s="155"/>
      <c r="AH117" s="155"/>
      <c r="AI117" s="155"/>
      <c r="AJ117" s="155"/>
    </row>
    <row r="118" s="33" customFormat="1" spans="1:36">
      <c r="A118" s="94">
        <f>IF(F118&lt;&gt;"",1+MAX($A$2:A117),"")</f>
        <v>73</v>
      </c>
      <c r="B118" s="112"/>
      <c r="C118" s="98"/>
      <c r="D118" s="113" t="s">
        <v>110</v>
      </c>
      <c r="E118" s="67">
        <v>1066</v>
      </c>
      <c r="F118" s="62">
        <v>0.1</v>
      </c>
      <c r="G118" s="99">
        <f>E118*(1+F118)</f>
        <v>1172.6</v>
      </c>
      <c r="H118" s="67" t="s">
        <v>38</v>
      </c>
      <c r="I118" s="119">
        <v>0.008</v>
      </c>
      <c r="J118" s="120">
        <f t="shared" si="92"/>
        <v>9.3808</v>
      </c>
      <c r="K118" s="121">
        <f>'LABOR SHEET'!$C$5</f>
        <v>45</v>
      </c>
      <c r="L118" s="122">
        <f t="shared" si="93"/>
        <v>0.36</v>
      </c>
      <c r="M118" s="122">
        <f t="shared" si="94"/>
        <v>422.136</v>
      </c>
      <c r="N118" s="122">
        <v>0.55</v>
      </c>
      <c r="O118" s="122">
        <f>N118*G118</f>
        <v>644.93</v>
      </c>
      <c r="P118" s="122">
        <f>(I118*K118)+N118</f>
        <v>0.91</v>
      </c>
      <c r="Q118" s="148">
        <f>P118*G118</f>
        <v>1067.066</v>
      </c>
      <c r="R118" s="155"/>
      <c r="S118" s="155"/>
      <c r="T118" s="155"/>
      <c r="U118" s="155"/>
      <c r="V118" s="155"/>
      <c r="W118" s="155"/>
      <c r="X118" s="155"/>
      <c r="Y118" s="155"/>
      <c r="Z118" s="155"/>
      <c r="AA118" s="155"/>
      <c r="AB118" s="155"/>
      <c r="AC118" s="155"/>
      <c r="AD118" s="155"/>
      <c r="AE118" s="155"/>
      <c r="AF118" s="155"/>
      <c r="AG118" s="155"/>
      <c r="AH118" s="155"/>
      <c r="AI118" s="155"/>
      <c r="AJ118" s="155"/>
    </row>
    <row r="119" s="33" customFormat="1" spans="1:36">
      <c r="A119" s="94">
        <f>IF(F119&lt;&gt;"",1+MAX($A$2:A118),"")</f>
        <v>74</v>
      </c>
      <c r="B119" s="112"/>
      <c r="C119" s="98"/>
      <c r="D119" s="113" t="s">
        <v>76</v>
      </c>
      <c r="E119" s="157">
        <f>0.083*1066/27</f>
        <v>3.27696296296296</v>
      </c>
      <c r="F119" s="62">
        <v>0.1</v>
      </c>
      <c r="G119" s="99">
        <f>E119*(1+F119)</f>
        <v>3.60465925925926</v>
      </c>
      <c r="H119" s="67" t="s">
        <v>38</v>
      </c>
      <c r="I119" s="119">
        <v>0.8</v>
      </c>
      <c r="J119" s="120">
        <f t="shared" si="92"/>
        <v>2.88372740740741</v>
      </c>
      <c r="K119" s="121">
        <f>'LABOR SHEET'!$C$5</f>
        <v>45</v>
      </c>
      <c r="L119" s="122">
        <f t="shared" si="93"/>
        <v>36</v>
      </c>
      <c r="M119" s="122">
        <f t="shared" si="94"/>
        <v>129.767733333333</v>
      </c>
      <c r="N119" s="122">
        <v>63</v>
      </c>
      <c r="O119" s="122">
        <f>N119*G119</f>
        <v>227.093533333333</v>
      </c>
      <c r="P119" s="122">
        <f>(I119*K119)+N119</f>
        <v>99</v>
      </c>
      <c r="Q119" s="148">
        <f>P119*G119</f>
        <v>356.861266666666</v>
      </c>
      <c r="R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  <c r="AC119" s="155"/>
      <c r="AD119" s="155"/>
      <c r="AE119" s="155"/>
      <c r="AF119" s="155"/>
      <c r="AG119" s="155"/>
      <c r="AH119" s="155"/>
      <c r="AI119" s="155"/>
      <c r="AJ119" s="155"/>
    </row>
    <row r="120" s="33" customFormat="1" spans="1:36">
      <c r="A120" s="94">
        <f>IF(F120&lt;&gt;"",1+MAX($A$2:A119),"")</f>
        <v>75</v>
      </c>
      <c r="B120" s="112"/>
      <c r="C120" s="98"/>
      <c r="D120" s="113" t="s">
        <v>77</v>
      </c>
      <c r="E120" s="67">
        <v>1066</v>
      </c>
      <c r="F120" s="62">
        <v>0.1</v>
      </c>
      <c r="G120" s="99">
        <f>E120*(1+F120)</f>
        <v>1172.6</v>
      </c>
      <c r="H120" s="67" t="s">
        <v>38</v>
      </c>
      <c r="I120" s="119">
        <v>0.007</v>
      </c>
      <c r="J120" s="120">
        <f t="shared" si="92"/>
        <v>8.2082</v>
      </c>
      <c r="K120" s="121">
        <f>'LABOR SHEET'!$C$5</f>
        <v>45</v>
      </c>
      <c r="L120" s="122">
        <f t="shared" si="93"/>
        <v>0.315</v>
      </c>
      <c r="M120" s="122">
        <f t="shared" si="94"/>
        <v>369.369</v>
      </c>
      <c r="N120" s="122">
        <v>0.4</v>
      </c>
      <c r="O120" s="122">
        <f>N120*G120</f>
        <v>469.04</v>
      </c>
      <c r="P120" s="122">
        <f>(I120*K120)+N120</f>
        <v>0.715</v>
      </c>
      <c r="Q120" s="148">
        <f>P120*G120</f>
        <v>838.409</v>
      </c>
      <c r="R120" s="155"/>
      <c r="S120" s="155"/>
      <c r="T120" s="155"/>
      <c r="U120" s="155"/>
      <c r="V120" s="155"/>
      <c r="W120" s="155"/>
      <c r="X120" s="155"/>
      <c r="Y120" s="155"/>
      <c r="Z120" s="155"/>
      <c r="AA120" s="155"/>
      <c r="AB120" s="155"/>
      <c r="AC120" s="155"/>
      <c r="AD120" s="155"/>
      <c r="AE120" s="155"/>
      <c r="AF120" s="155"/>
      <c r="AG120" s="155"/>
      <c r="AH120" s="155"/>
      <c r="AI120" s="155"/>
      <c r="AJ120" s="155"/>
    </row>
    <row r="121" s="33" customFormat="1" spans="1:36">
      <c r="A121" s="94">
        <f>IF(F121&lt;&gt;"",1+MAX($A$2:A120),"")</f>
        <v>76</v>
      </c>
      <c r="B121" s="112"/>
      <c r="C121" s="98"/>
      <c r="D121" s="113" t="s">
        <v>72</v>
      </c>
      <c r="E121" s="69">
        <f>550*1.5*2</f>
        <v>1650</v>
      </c>
      <c r="F121" s="62">
        <v>0.1</v>
      </c>
      <c r="G121" s="99">
        <f>E121*(1+F121)</f>
        <v>1815</v>
      </c>
      <c r="H121" s="67" t="s">
        <v>38</v>
      </c>
      <c r="I121" s="119">
        <v>0.018</v>
      </c>
      <c r="J121" s="120">
        <f t="shared" si="92"/>
        <v>32.67</v>
      </c>
      <c r="K121" s="121">
        <f>'LABOR SHEET'!$C$5</f>
        <v>45</v>
      </c>
      <c r="L121" s="122">
        <f t="shared" si="93"/>
        <v>0.81</v>
      </c>
      <c r="M121" s="122">
        <f t="shared" si="94"/>
        <v>1470.15</v>
      </c>
      <c r="N121" s="122">
        <v>3</v>
      </c>
      <c r="O121" s="122">
        <f>N121*G121</f>
        <v>5445</v>
      </c>
      <c r="P121" s="122">
        <f>(I121*K121)+N121</f>
        <v>3.81</v>
      </c>
      <c r="Q121" s="148">
        <f>P121*G121</f>
        <v>6915.15</v>
      </c>
      <c r="R121" s="155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  <c r="AC121" s="155"/>
      <c r="AD121" s="155"/>
      <c r="AE121" s="155"/>
      <c r="AF121" s="155"/>
      <c r="AG121" s="155"/>
      <c r="AH121" s="155"/>
      <c r="AI121" s="155"/>
      <c r="AJ121" s="155"/>
    </row>
    <row r="122" s="33" customFormat="1" spans="1:36">
      <c r="A122" s="94"/>
      <c r="B122" s="112"/>
      <c r="C122" s="98"/>
      <c r="D122" s="113"/>
      <c r="E122" s="69"/>
      <c r="F122" s="62"/>
      <c r="G122" s="99"/>
      <c r="H122" s="67"/>
      <c r="I122" s="119"/>
      <c r="J122" s="120"/>
      <c r="K122" s="121"/>
      <c r="L122" s="122"/>
      <c r="M122" s="122"/>
      <c r="N122" s="122"/>
      <c r="O122" s="122"/>
      <c r="P122" s="122"/>
      <c r="Q122" s="148"/>
      <c r="R122" s="155"/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  <c r="AC122" s="155"/>
      <c r="AD122" s="155"/>
      <c r="AE122" s="155"/>
      <c r="AF122" s="155"/>
      <c r="AG122" s="155"/>
      <c r="AH122" s="155"/>
      <c r="AI122" s="155"/>
      <c r="AJ122" s="155"/>
    </row>
    <row r="123" s="33" customFormat="1" spans="1:36">
      <c r="A123" s="94" t="str">
        <f>IF(F123&lt;&gt;"",1+MAX($A$2:A121),"")</f>
        <v/>
      </c>
      <c r="B123" s="112"/>
      <c r="C123" s="98"/>
      <c r="D123" s="111" t="s">
        <v>111</v>
      </c>
      <c r="E123" s="67"/>
      <c r="F123" s="103"/>
      <c r="G123" s="99"/>
      <c r="H123" s="67"/>
      <c r="I123" s="119"/>
      <c r="J123" s="120"/>
      <c r="K123" s="121"/>
      <c r="L123" s="122"/>
      <c r="M123" s="122"/>
      <c r="N123" s="122"/>
      <c r="O123" s="122"/>
      <c r="P123" s="122"/>
      <c r="Q123" s="148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  <c r="AC123" s="155"/>
      <c r="AD123" s="155"/>
      <c r="AE123" s="155"/>
      <c r="AF123" s="155"/>
      <c r="AG123" s="155"/>
      <c r="AH123" s="155"/>
      <c r="AI123" s="155"/>
      <c r="AJ123" s="155"/>
    </row>
    <row r="124" s="33" customFormat="1" spans="1:36">
      <c r="A124" s="94">
        <f>IF(F124&lt;&gt;"",1+MAX($A$2:A123),"")</f>
        <v>77</v>
      </c>
      <c r="B124" s="112"/>
      <c r="C124" s="98"/>
      <c r="D124" s="86" t="s">
        <v>112</v>
      </c>
      <c r="E124" s="69">
        <f>7*208/27</f>
        <v>53.9259259259259</v>
      </c>
      <c r="F124" s="62">
        <v>0.1</v>
      </c>
      <c r="G124" s="99">
        <f>E124*(1+F124)</f>
        <v>59.3185185185185</v>
      </c>
      <c r="H124" s="67" t="s">
        <v>54</v>
      </c>
      <c r="I124" s="119">
        <v>0.6</v>
      </c>
      <c r="J124" s="120">
        <f>+I124*G124</f>
        <v>35.5911111111111</v>
      </c>
      <c r="K124" s="121">
        <f>'LABOR SHEET'!$C$5</f>
        <v>45</v>
      </c>
      <c r="L124" s="122">
        <f>I124*K124</f>
        <v>27</v>
      </c>
      <c r="M124" s="122">
        <f>K124*J124</f>
        <v>1601.6</v>
      </c>
      <c r="N124" s="122">
        <v>65</v>
      </c>
      <c r="O124" s="122">
        <f>N124*G124</f>
        <v>3855.7037037037</v>
      </c>
      <c r="P124" s="122">
        <f>(I124*K124)+N124</f>
        <v>92</v>
      </c>
      <c r="Q124" s="148">
        <f>P124*G124</f>
        <v>5457.3037037037</v>
      </c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  <c r="AC124" s="155"/>
      <c r="AD124" s="155"/>
      <c r="AE124" s="155"/>
      <c r="AF124" s="155"/>
      <c r="AG124" s="155"/>
      <c r="AH124" s="155"/>
      <c r="AI124" s="155"/>
      <c r="AJ124" s="155"/>
    </row>
    <row r="125" s="33" customFormat="1" spans="1:36">
      <c r="A125" s="94">
        <f>IF(F125&lt;&gt;"",1+MAX($A$2:A124),"")</f>
        <v>78</v>
      </c>
      <c r="B125" s="112"/>
      <c r="C125" s="98"/>
      <c r="D125" s="113" t="s">
        <v>113</v>
      </c>
      <c r="E125" s="69">
        <f>7*208/27</f>
        <v>53.9259259259259</v>
      </c>
      <c r="F125" s="62">
        <v>0</v>
      </c>
      <c r="G125" s="99">
        <f>E125*(1+F125)</f>
        <v>53.9259259259259</v>
      </c>
      <c r="H125" s="67" t="s">
        <v>54</v>
      </c>
      <c r="I125" s="119">
        <v>0.22</v>
      </c>
      <c r="J125" s="120">
        <f>+I125*G125</f>
        <v>11.8637037037037</v>
      </c>
      <c r="K125" s="121">
        <f>'LABOR SHEET'!$C$4</f>
        <v>45</v>
      </c>
      <c r="L125" s="122">
        <f>I125*K125</f>
        <v>9.9</v>
      </c>
      <c r="M125" s="122">
        <f>K125*J125</f>
        <v>533.866666666666</v>
      </c>
      <c r="N125" s="122">
        <v>5</v>
      </c>
      <c r="O125" s="122">
        <f>N125*G125</f>
        <v>269.62962962963</v>
      </c>
      <c r="P125" s="122">
        <f>(I125*K125)+N125</f>
        <v>14.9</v>
      </c>
      <c r="Q125" s="148">
        <f>P125*G125</f>
        <v>803.496296296296</v>
      </c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  <c r="AF125" s="155"/>
      <c r="AG125" s="155"/>
      <c r="AH125" s="155"/>
      <c r="AI125" s="155"/>
      <c r="AJ125" s="155"/>
    </row>
    <row r="126" s="33" customFormat="1" spans="1:36">
      <c r="A126" s="94"/>
      <c r="B126" s="112"/>
      <c r="C126" s="98"/>
      <c r="D126" s="113"/>
      <c r="E126" s="69"/>
      <c r="F126" s="62"/>
      <c r="G126" s="99"/>
      <c r="H126" s="67"/>
      <c r="I126" s="119"/>
      <c r="J126" s="120"/>
      <c r="K126" s="121"/>
      <c r="L126" s="122"/>
      <c r="M126" s="122"/>
      <c r="N126" s="122"/>
      <c r="O126" s="122"/>
      <c r="P126" s="122"/>
      <c r="Q126" s="148"/>
      <c r="R126" s="155"/>
      <c r="S126" s="155"/>
      <c r="T126" s="155"/>
      <c r="U126" s="155"/>
      <c r="V126" s="155"/>
      <c r="W126" s="155"/>
      <c r="X126" s="155"/>
      <c r="Y126" s="155"/>
      <c r="Z126" s="155"/>
      <c r="AA126" s="155"/>
      <c r="AB126" s="155"/>
      <c r="AC126" s="155"/>
      <c r="AD126" s="155"/>
      <c r="AE126" s="155"/>
      <c r="AF126" s="155"/>
      <c r="AG126" s="155"/>
      <c r="AH126" s="155"/>
      <c r="AI126" s="155"/>
      <c r="AJ126" s="155"/>
    </row>
    <row r="127" s="33" customFormat="1" spans="1:36">
      <c r="A127" s="94" t="str">
        <f>IF(F127&lt;&gt;"",1+MAX($A$2:A125),"")</f>
        <v/>
      </c>
      <c r="B127" s="112"/>
      <c r="C127" s="98"/>
      <c r="D127" s="111" t="s">
        <v>114</v>
      </c>
      <c r="E127" s="67"/>
      <c r="F127" s="103"/>
      <c r="G127" s="99"/>
      <c r="H127" s="67"/>
      <c r="I127" s="119"/>
      <c r="J127" s="120"/>
      <c r="K127" s="121"/>
      <c r="L127" s="122"/>
      <c r="M127" s="122"/>
      <c r="N127" s="122"/>
      <c r="O127" s="122"/>
      <c r="P127" s="122"/>
      <c r="Q127" s="148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  <c r="AD127" s="155"/>
      <c r="AE127" s="155"/>
      <c r="AF127" s="155"/>
      <c r="AG127" s="155"/>
      <c r="AH127" s="155"/>
      <c r="AI127" s="155"/>
      <c r="AJ127" s="155"/>
    </row>
    <row r="128" s="33" customFormat="1" spans="1:36">
      <c r="A128" s="94">
        <f>IF(F128&lt;&gt;"",1+MAX($A$2:A127),"")</f>
        <v>79</v>
      </c>
      <c r="B128" s="112"/>
      <c r="C128" s="98"/>
      <c r="D128" s="89" t="s">
        <v>115</v>
      </c>
      <c r="E128" s="67">
        <v>3</v>
      </c>
      <c r="F128" s="103">
        <v>0</v>
      </c>
      <c r="G128" s="99">
        <f>E128*(1+F128)</f>
        <v>3</v>
      </c>
      <c r="H128" s="67" t="s">
        <v>47</v>
      </c>
      <c r="I128" s="119">
        <v>0.72</v>
      </c>
      <c r="J128" s="120">
        <f>+I128*G128</f>
        <v>2.16</v>
      </c>
      <c r="K128" s="121">
        <f>'LABOR SHEET'!$C$5</f>
        <v>45</v>
      </c>
      <c r="L128" s="122">
        <f>I128*K128</f>
        <v>32.4</v>
      </c>
      <c r="M128" s="122">
        <f>K128*J128</f>
        <v>97.2</v>
      </c>
      <c r="N128" s="122">
        <v>124</v>
      </c>
      <c r="O128" s="122">
        <f t="shared" ref="O128:O130" si="95">N128*G128</f>
        <v>372</v>
      </c>
      <c r="P128" s="122">
        <f t="shared" ref="P128:P130" si="96">(I128*K128)+N128</f>
        <v>156.4</v>
      </c>
      <c r="Q128" s="148">
        <f t="shared" ref="Q128:Q130" si="97">P128*G128</f>
        <v>469.2</v>
      </c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  <c r="AC128" s="155"/>
      <c r="AD128" s="155"/>
      <c r="AE128" s="155"/>
      <c r="AF128" s="155"/>
      <c r="AG128" s="155"/>
      <c r="AH128" s="155"/>
      <c r="AI128" s="155"/>
      <c r="AJ128" s="155"/>
    </row>
    <row r="129" s="33" customFormat="1" spans="1:36">
      <c r="A129" s="94">
        <f>IF(F129&lt;&gt;"",1+MAX($A$2:A128),"")</f>
        <v>80</v>
      </c>
      <c r="B129" s="112"/>
      <c r="C129" s="98"/>
      <c r="D129" s="89" t="s">
        <v>116</v>
      </c>
      <c r="E129" s="67">
        <v>3</v>
      </c>
      <c r="F129" s="103">
        <v>0</v>
      </c>
      <c r="G129" s="99">
        <f>E129*(1+F129)</f>
        <v>3</v>
      </c>
      <c r="H129" s="67" t="s">
        <v>47</v>
      </c>
      <c r="I129" s="119">
        <v>0.72</v>
      </c>
      <c r="J129" s="120">
        <f>+I129*G129</f>
        <v>2.16</v>
      </c>
      <c r="K129" s="121">
        <f>'LABOR SHEET'!$C$5</f>
        <v>45</v>
      </c>
      <c r="L129" s="122">
        <f>I129*K129</f>
        <v>32.4</v>
      </c>
      <c r="M129" s="122">
        <f>K129*J129</f>
        <v>97.2</v>
      </c>
      <c r="N129" s="122">
        <v>124</v>
      </c>
      <c r="O129" s="122">
        <f t="shared" si="95"/>
        <v>372</v>
      </c>
      <c r="P129" s="122">
        <f t="shared" si="96"/>
        <v>156.4</v>
      </c>
      <c r="Q129" s="148">
        <f t="shared" si="97"/>
        <v>469.2</v>
      </c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  <c r="AC129" s="155"/>
      <c r="AD129" s="155"/>
      <c r="AE129" s="155"/>
      <c r="AF129" s="155"/>
      <c r="AG129" s="155"/>
      <c r="AH129" s="155"/>
      <c r="AI129" s="155"/>
      <c r="AJ129" s="155"/>
    </row>
    <row r="130" s="33" customFormat="1" spans="1:36">
      <c r="A130" s="94">
        <f>IF(F130&lt;&gt;"",1+MAX($A$2:A129),"")</f>
        <v>81</v>
      </c>
      <c r="B130" s="112"/>
      <c r="C130" s="98"/>
      <c r="D130" s="89" t="s">
        <v>117</v>
      </c>
      <c r="E130" s="67">
        <v>3</v>
      </c>
      <c r="F130" s="103">
        <v>0</v>
      </c>
      <c r="G130" s="99">
        <f>E130*(1+F130)</f>
        <v>3</v>
      </c>
      <c r="H130" s="67" t="s">
        <v>47</v>
      </c>
      <c r="I130" s="119">
        <v>0.72</v>
      </c>
      <c r="J130" s="120">
        <f>+I130*G130</f>
        <v>2.16</v>
      </c>
      <c r="K130" s="121">
        <f>'LABOR SHEET'!$C$5</f>
        <v>45</v>
      </c>
      <c r="L130" s="122">
        <f>I130*K130</f>
        <v>32.4</v>
      </c>
      <c r="M130" s="122">
        <f>K130*J130</f>
        <v>97.2</v>
      </c>
      <c r="N130" s="122">
        <v>124</v>
      </c>
      <c r="O130" s="122">
        <f t="shared" si="95"/>
        <v>372</v>
      </c>
      <c r="P130" s="122">
        <f t="shared" si="96"/>
        <v>156.4</v>
      </c>
      <c r="Q130" s="148">
        <f t="shared" si="97"/>
        <v>469.2</v>
      </c>
      <c r="R130" s="155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  <c r="AC130" s="155"/>
      <c r="AD130" s="155"/>
      <c r="AE130" s="155"/>
      <c r="AF130" s="155"/>
      <c r="AG130" s="155"/>
      <c r="AH130" s="155"/>
      <c r="AI130" s="155"/>
      <c r="AJ130" s="155"/>
    </row>
    <row r="131" s="33" customFormat="1" spans="1:36">
      <c r="A131" s="94"/>
      <c r="B131" s="112"/>
      <c r="C131" s="98"/>
      <c r="D131" s="89"/>
      <c r="E131" s="67"/>
      <c r="F131" s="103"/>
      <c r="G131" s="99"/>
      <c r="H131" s="67"/>
      <c r="I131" s="119"/>
      <c r="J131" s="120"/>
      <c r="K131" s="121"/>
      <c r="L131" s="122"/>
      <c r="M131" s="122"/>
      <c r="N131" s="122"/>
      <c r="O131" s="122"/>
      <c r="P131" s="122"/>
      <c r="Q131" s="148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  <c r="AD131" s="155"/>
      <c r="AE131" s="155"/>
      <c r="AF131" s="155"/>
      <c r="AG131" s="155"/>
      <c r="AH131" s="155"/>
      <c r="AI131" s="155"/>
      <c r="AJ131" s="155"/>
    </row>
    <row r="132" s="33" customFormat="1" spans="1:36">
      <c r="A132" s="94" t="str">
        <f>IF(F132&lt;&gt;"",1+MAX($A$2:A130),"")</f>
        <v/>
      </c>
      <c r="B132" s="112"/>
      <c r="C132" s="98"/>
      <c r="D132" s="111" t="s">
        <v>118</v>
      </c>
      <c r="E132" s="67"/>
      <c r="F132" s="103"/>
      <c r="G132" s="99"/>
      <c r="H132" s="67"/>
      <c r="I132" s="119"/>
      <c r="J132" s="120"/>
      <c r="K132" s="121"/>
      <c r="L132" s="122"/>
      <c r="M132" s="122"/>
      <c r="N132" s="122"/>
      <c r="O132" s="122"/>
      <c r="P132" s="122"/>
      <c r="Q132" s="148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  <c r="AC132" s="155"/>
      <c r="AD132" s="155"/>
      <c r="AE132" s="155"/>
      <c r="AF132" s="155"/>
      <c r="AG132" s="155"/>
      <c r="AH132" s="155"/>
      <c r="AI132" s="155"/>
      <c r="AJ132" s="155"/>
    </row>
    <row r="133" s="33" customFormat="1" spans="1:36">
      <c r="A133" s="94">
        <f>IF(F133&lt;&gt;"",1+MAX($A$2:A132),"")</f>
        <v>82</v>
      </c>
      <c r="B133" s="112"/>
      <c r="C133" s="98"/>
      <c r="D133" s="89" t="s">
        <v>119</v>
      </c>
      <c r="E133" s="69">
        <f>1*1*3.1416/4*2.5*9/27</f>
        <v>0.6545</v>
      </c>
      <c r="F133" s="62">
        <v>0.1</v>
      </c>
      <c r="G133" s="99">
        <f t="shared" ref="G133:G136" si="98">E133*(1+F133)</f>
        <v>0.71995</v>
      </c>
      <c r="H133" s="67" t="s">
        <v>54</v>
      </c>
      <c r="I133" s="119">
        <v>2.42</v>
      </c>
      <c r="J133" s="120">
        <f t="shared" ref="J133:J136" si="99">+I133*G133</f>
        <v>1.742279</v>
      </c>
      <c r="K133" s="121">
        <f>'LABOR SHEET'!$C$5</f>
        <v>45</v>
      </c>
      <c r="L133" s="122">
        <f t="shared" ref="L133:L136" si="100">I133*K133</f>
        <v>108.9</v>
      </c>
      <c r="M133" s="122">
        <f t="shared" ref="M133:M136" si="101">K133*J133</f>
        <v>78.402555</v>
      </c>
      <c r="N133" s="122">
        <v>180</v>
      </c>
      <c r="O133" s="122">
        <f t="shared" ref="O133:O136" si="102">N133*G133</f>
        <v>129.591</v>
      </c>
      <c r="P133" s="122">
        <f t="shared" ref="P133:P136" si="103">(I133*K133)+N133</f>
        <v>288.9</v>
      </c>
      <c r="Q133" s="148">
        <f t="shared" ref="Q133:Q136" si="104">P133*G133</f>
        <v>207.993555</v>
      </c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  <c r="AC133" s="155"/>
      <c r="AD133" s="155"/>
      <c r="AE133" s="155"/>
      <c r="AF133" s="155"/>
      <c r="AG133" s="155"/>
      <c r="AH133" s="155"/>
      <c r="AI133" s="155"/>
      <c r="AJ133" s="155"/>
    </row>
    <row r="134" s="33" customFormat="1" spans="1:36">
      <c r="A134" s="94">
        <f>IF(F134&lt;&gt;"",1+MAX($A$2:A133),"")</f>
        <v>83</v>
      </c>
      <c r="B134" s="112"/>
      <c r="C134" s="98"/>
      <c r="D134" s="113" t="s">
        <v>72</v>
      </c>
      <c r="E134" s="67">
        <f>3.14*2.5*9</f>
        <v>70.65</v>
      </c>
      <c r="F134" s="62">
        <v>0.1</v>
      </c>
      <c r="G134" s="99">
        <f t="shared" si="98"/>
        <v>77.715</v>
      </c>
      <c r="H134" s="67" t="s">
        <v>38</v>
      </c>
      <c r="I134" s="119">
        <v>0.018</v>
      </c>
      <c r="J134" s="120">
        <f t="shared" si="99"/>
        <v>1.39887</v>
      </c>
      <c r="K134" s="121">
        <f>'LABOR SHEET'!$C$5</f>
        <v>45</v>
      </c>
      <c r="L134" s="122">
        <f t="shared" si="100"/>
        <v>0.81</v>
      </c>
      <c r="M134" s="122">
        <f t="shared" si="101"/>
        <v>62.94915</v>
      </c>
      <c r="N134" s="122">
        <v>3</v>
      </c>
      <c r="O134" s="122">
        <f t="shared" si="102"/>
        <v>233.145</v>
      </c>
      <c r="P134" s="122">
        <f t="shared" si="103"/>
        <v>3.81</v>
      </c>
      <c r="Q134" s="148">
        <f t="shared" si="104"/>
        <v>296.09415</v>
      </c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  <c r="AC134" s="155"/>
      <c r="AD134" s="155"/>
      <c r="AE134" s="155"/>
      <c r="AF134" s="155"/>
      <c r="AG134" s="155"/>
      <c r="AH134" s="155"/>
      <c r="AI134" s="155"/>
      <c r="AJ134" s="155"/>
    </row>
    <row r="135" s="33" customFormat="1" spans="1:36">
      <c r="A135" s="94">
        <f>IF(F135&lt;&gt;"",1+MAX($A$2:A134),"")</f>
        <v>84</v>
      </c>
      <c r="B135" s="112"/>
      <c r="C135" s="98"/>
      <c r="D135" s="113" t="s">
        <v>113</v>
      </c>
      <c r="E135" s="69">
        <f>1.5*1.5*3.1416/4*2.5*9/27</f>
        <v>1.472625</v>
      </c>
      <c r="F135" s="62">
        <v>0</v>
      </c>
      <c r="G135" s="99">
        <f t="shared" si="98"/>
        <v>1.472625</v>
      </c>
      <c r="H135" s="67" t="s">
        <v>54</v>
      </c>
      <c r="I135" s="119">
        <v>0.22</v>
      </c>
      <c r="J135" s="120">
        <f t="shared" si="99"/>
        <v>0.3239775</v>
      </c>
      <c r="K135" s="121">
        <f>'LABOR SHEET'!$C$4</f>
        <v>45</v>
      </c>
      <c r="L135" s="122">
        <f t="shared" si="100"/>
        <v>9.9</v>
      </c>
      <c r="M135" s="122">
        <f t="shared" si="101"/>
        <v>14.5789875</v>
      </c>
      <c r="N135" s="122">
        <v>5</v>
      </c>
      <c r="O135" s="122">
        <f t="shared" si="102"/>
        <v>7.363125</v>
      </c>
      <c r="P135" s="122">
        <f t="shared" si="103"/>
        <v>14.9</v>
      </c>
      <c r="Q135" s="148">
        <f t="shared" si="104"/>
        <v>21.9421125</v>
      </c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  <c r="AC135" s="155"/>
      <c r="AD135" s="155"/>
      <c r="AE135" s="155"/>
      <c r="AF135" s="155"/>
      <c r="AG135" s="155"/>
      <c r="AH135" s="155"/>
      <c r="AI135" s="155"/>
      <c r="AJ135" s="155"/>
    </row>
    <row r="136" s="33" customFormat="1" spans="1:36">
      <c r="A136" s="94">
        <f>IF(F136&lt;&gt;"",1+MAX($A$2:A135),"")</f>
        <v>85</v>
      </c>
      <c r="B136" s="112"/>
      <c r="C136" s="98"/>
      <c r="D136" s="113" t="s">
        <v>120</v>
      </c>
      <c r="E136" s="67">
        <f>1-0.7</f>
        <v>0.3</v>
      </c>
      <c r="F136" s="62">
        <v>0</v>
      </c>
      <c r="G136" s="99">
        <f t="shared" si="98"/>
        <v>0.3</v>
      </c>
      <c r="H136" s="67" t="s">
        <v>54</v>
      </c>
      <c r="I136" s="119">
        <v>0.2</v>
      </c>
      <c r="J136" s="120">
        <f t="shared" si="99"/>
        <v>0.06</v>
      </c>
      <c r="K136" s="121">
        <f>'LABOR SHEET'!$C$4</f>
        <v>45</v>
      </c>
      <c r="L136" s="122">
        <f t="shared" si="100"/>
        <v>9</v>
      </c>
      <c r="M136" s="122">
        <f t="shared" si="101"/>
        <v>2.7</v>
      </c>
      <c r="N136" s="122">
        <v>5</v>
      </c>
      <c r="O136" s="122">
        <f t="shared" si="102"/>
        <v>1.5</v>
      </c>
      <c r="P136" s="122">
        <f t="shared" si="103"/>
        <v>14</v>
      </c>
      <c r="Q136" s="148">
        <f t="shared" si="104"/>
        <v>4.2</v>
      </c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  <c r="AC136" s="155"/>
      <c r="AD136" s="155"/>
      <c r="AE136" s="155"/>
      <c r="AF136" s="155"/>
      <c r="AG136" s="155"/>
      <c r="AH136" s="155"/>
      <c r="AI136" s="155"/>
      <c r="AJ136" s="155"/>
    </row>
    <row r="137" s="33" customFormat="1" spans="1:36">
      <c r="A137" s="94"/>
      <c r="B137" s="112"/>
      <c r="C137" s="98"/>
      <c r="D137" s="113"/>
      <c r="E137" s="67"/>
      <c r="F137" s="62"/>
      <c r="G137" s="99"/>
      <c r="H137" s="67"/>
      <c r="I137" s="119"/>
      <c r="J137" s="120"/>
      <c r="K137" s="121"/>
      <c r="L137" s="122"/>
      <c r="M137" s="122"/>
      <c r="N137" s="122"/>
      <c r="O137" s="122"/>
      <c r="P137" s="122"/>
      <c r="Q137" s="148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  <c r="AC137" s="155"/>
      <c r="AD137" s="155"/>
      <c r="AE137" s="155"/>
      <c r="AF137" s="155"/>
      <c r="AG137" s="155"/>
      <c r="AH137" s="155"/>
      <c r="AI137" s="155"/>
      <c r="AJ137" s="155"/>
    </row>
    <row r="138" s="33" customFormat="1" spans="1:36">
      <c r="A138" s="94" t="str">
        <f>IF(F138&lt;&gt;"",1+MAX($A$2:A136),"")</f>
        <v/>
      </c>
      <c r="B138" s="112"/>
      <c r="C138" s="98"/>
      <c r="D138" s="111" t="s">
        <v>121</v>
      </c>
      <c r="E138" s="67"/>
      <c r="F138" s="103"/>
      <c r="G138" s="99"/>
      <c r="H138" s="67"/>
      <c r="I138" s="119"/>
      <c r="J138" s="120"/>
      <c r="K138" s="121"/>
      <c r="L138" s="122"/>
      <c r="M138" s="122"/>
      <c r="N138" s="122"/>
      <c r="O138" s="122"/>
      <c r="P138" s="122"/>
      <c r="Q138" s="148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  <c r="AC138" s="155"/>
      <c r="AD138" s="155"/>
      <c r="AE138" s="155"/>
      <c r="AF138" s="155"/>
      <c r="AG138" s="155"/>
      <c r="AH138" s="155"/>
      <c r="AI138" s="155"/>
      <c r="AJ138" s="155"/>
    </row>
    <row r="139" s="33" customFormat="1" spans="1:36">
      <c r="A139" s="94">
        <f>IF(F139&lt;&gt;"",1+MAX($A$2:A138),"")</f>
        <v>86</v>
      </c>
      <c r="B139" s="112"/>
      <c r="C139" s="98"/>
      <c r="D139" s="89" t="s">
        <v>122</v>
      </c>
      <c r="E139" s="69">
        <f>2.5*2.5*2.5*6/27</f>
        <v>3.47222222222222</v>
      </c>
      <c r="F139" s="62">
        <v>0.1</v>
      </c>
      <c r="G139" s="99">
        <f t="shared" ref="G139:G142" si="105">E139*(1+F139)</f>
        <v>3.81944444444444</v>
      </c>
      <c r="H139" s="67" t="s">
        <v>54</v>
      </c>
      <c r="I139" s="119">
        <v>2.42</v>
      </c>
      <c r="J139" s="120">
        <f>+I139*G139</f>
        <v>9.24305555555554</v>
      </c>
      <c r="K139" s="121">
        <f>'LABOR SHEET'!$C$5</f>
        <v>45</v>
      </c>
      <c r="L139" s="122">
        <f>I139*K139</f>
        <v>108.9</v>
      </c>
      <c r="M139" s="122">
        <f>K139*J139</f>
        <v>415.937499999999</v>
      </c>
      <c r="N139" s="122">
        <v>180</v>
      </c>
      <c r="O139" s="122">
        <f>N139*G139</f>
        <v>687.499999999999</v>
      </c>
      <c r="P139" s="122">
        <f>(I139*K139)+N139</f>
        <v>288.9</v>
      </c>
      <c r="Q139" s="148">
        <f>P139*G139</f>
        <v>1103.4375</v>
      </c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  <c r="AD139" s="155"/>
      <c r="AE139" s="155"/>
      <c r="AF139" s="155"/>
      <c r="AG139" s="155"/>
      <c r="AH139" s="155"/>
      <c r="AI139" s="155"/>
      <c r="AJ139" s="155"/>
    </row>
    <row r="140" s="33" customFormat="1" spans="1:36">
      <c r="A140" s="94">
        <f>IF(F140&lt;&gt;"",1+MAX($A$2:A139),"")</f>
        <v>87</v>
      </c>
      <c r="B140" s="112"/>
      <c r="C140" s="98"/>
      <c r="D140" s="113" t="s">
        <v>72</v>
      </c>
      <c r="E140" s="67">
        <f>2.5*4*6</f>
        <v>60</v>
      </c>
      <c r="F140" s="62">
        <v>0.1</v>
      </c>
      <c r="G140" s="99">
        <f t="shared" si="105"/>
        <v>66</v>
      </c>
      <c r="H140" s="67" t="s">
        <v>38</v>
      </c>
      <c r="I140" s="119">
        <v>0.018</v>
      </c>
      <c r="J140" s="120">
        <f t="shared" ref="J139:J142" si="106">+I140*G140</f>
        <v>1.188</v>
      </c>
      <c r="K140" s="121">
        <f>'LABOR SHEET'!$C$5</f>
        <v>45</v>
      </c>
      <c r="L140" s="122">
        <f t="shared" ref="L139:L142" si="107">I140*K140</f>
        <v>0.81</v>
      </c>
      <c r="M140" s="122">
        <f t="shared" ref="M139:M142" si="108">K140*J140</f>
        <v>53.46</v>
      </c>
      <c r="N140" s="122">
        <v>3</v>
      </c>
      <c r="O140" s="122">
        <f t="shared" ref="O139:O142" si="109">N140*G140</f>
        <v>198</v>
      </c>
      <c r="P140" s="122">
        <f t="shared" ref="P139:P142" si="110">(I140*K140)+N140</f>
        <v>3.81</v>
      </c>
      <c r="Q140" s="148">
        <f t="shared" ref="Q139:Q142" si="111">P140*G140</f>
        <v>251.46</v>
      </c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  <c r="AC140" s="155"/>
      <c r="AD140" s="155"/>
      <c r="AE140" s="155"/>
      <c r="AF140" s="155"/>
      <c r="AG140" s="155"/>
      <c r="AH140" s="155"/>
      <c r="AI140" s="155"/>
      <c r="AJ140" s="155"/>
    </row>
    <row r="141" s="33" customFormat="1" spans="1:36">
      <c r="A141" s="94">
        <f>IF(F141&lt;&gt;"",1+MAX($A$2:A140),"")</f>
        <v>88</v>
      </c>
      <c r="B141" s="112"/>
      <c r="C141" s="98"/>
      <c r="D141" s="113" t="s">
        <v>113</v>
      </c>
      <c r="E141" s="69">
        <f>3.5*3.5*2.5*6/27</f>
        <v>6.80555555555556</v>
      </c>
      <c r="F141" s="62">
        <v>0</v>
      </c>
      <c r="G141" s="99">
        <f t="shared" si="105"/>
        <v>6.80555555555556</v>
      </c>
      <c r="H141" s="67" t="s">
        <v>54</v>
      </c>
      <c r="I141" s="119">
        <v>0.22</v>
      </c>
      <c r="J141" s="120">
        <f t="shared" si="106"/>
        <v>1.49722222222222</v>
      </c>
      <c r="K141" s="121">
        <f>'LABOR SHEET'!$C$4</f>
        <v>45</v>
      </c>
      <c r="L141" s="122">
        <f t="shared" si="107"/>
        <v>9.9</v>
      </c>
      <c r="M141" s="122">
        <f t="shared" si="108"/>
        <v>67.3749999999999</v>
      </c>
      <c r="N141" s="122">
        <v>5</v>
      </c>
      <c r="O141" s="122">
        <f t="shared" si="109"/>
        <v>34.0277777777778</v>
      </c>
      <c r="P141" s="122">
        <f t="shared" si="110"/>
        <v>14.9</v>
      </c>
      <c r="Q141" s="148">
        <f t="shared" si="111"/>
        <v>101.402777777778</v>
      </c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  <c r="AC141" s="155"/>
      <c r="AD141" s="155"/>
      <c r="AE141" s="155"/>
      <c r="AF141" s="155"/>
      <c r="AG141" s="155"/>
      <c r="AH141" s="155"/>
      <c r="AI141" s="155"/>
      <c r="AJ141" s="155"/>
    </row>
    <row r="142" s="33" customFormat="1" spans="1:36">
      <c r="A142" s="94">
        <f>IF(F142&lt;&gt;"",1+MAX($A$2:A141),"")</f>
        <v>89</v>
      </c>
      <c r="B142" s="112"/>
      <c r="C142" s="98"/>
      <c r="D142" s="113" t="s">
        <v>120</v>
      </c>
      <c r="E142" s="67">
        <v>4</v>
      </c>
      <c r="F142" s="62">
        <v>0</v>
      </c>
      <c r="G142" s="99">
        <f t="shared" si="105"/>
        <v>4</v>
      </c>
      <c r="H142" s="67" t="s">
        <v>54</v>
      </c>
      <c r="I142" s="119">
        <v>0.2</v>
      </c>
      <c r="J142" s="120">
        <f t="shared" si="106"/>
        <v>0.8</v>
      </c>
      <c r="K142" s="121">
        <f>'LABOR SHEET'!$C$4</f>
        <v>45</v>
      </c>
      <c r="L142" s="122">
        <f t="shared" si="107"/>
        <v>9</v>
      </c>
      <c r="M142" s="122">
        <f t="shared" si="108"/>
        <v>36</v>
      </c>
      <c r="N142" s="122">
        <v>5</v>
      </c>
      <c r="O142" s="122">
        <f t="shared" si="109"/>
        <v>20</v>
      </c>
      <c r="P142" s="122">
        <f t="shared" si="110"/>
        <v>14</v>
      </c>
      <c r="Q142" s="148">
        <f t="shared" si="111"/>
        <v>56</v>
      </c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  <c r="AC142" s="155"/>
      <c r="AD142" s="155"/>
      <c r="AE142" s="155"/>
      <c r="AF142" s="155"/>
      <c r="AG142" s="155"/>
      <c r="AH142" s="155"/>
      <c r="AI142" s="155"/>
      <c r="AJ142" s="155"/>
    </row>
    <row r="143" s="33" customFormat="1" spans="1:36">
      <c r="A143" s="94"/>
      <c r="B143" s="112"/>
      <c r="C143" s="98"/>
      <c r="D143" s="113"/>
      <c r="E143" s="67"/>
      <c r="F143" s="62"/>
      <c r="G143" s="99"/>
      <c r="H143" s="67"/>
      <c r="I143" s="119"/>
      <c r="J143" s="120"/>
      <c r="K143" s="121"/>
      <c r="L143" s="122"/>
      <c r="M143" s="122"/>
      <c r="N143" s="122"/>
      <c r="O143" s="122"/>
      <c r="P143" s="122"/>
      <c r="Q143" s="148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  <c r="AC143" s="155"/>
      <c r="AD143" s="155"/>
      <c r="AE143" s="155"/>
      <c r="AF143" s="155"/>
      <c r="AG143" s="155"/>
      <c r="AH143" s="155"/>
      <c r="AI143" s="155"/>
      <c r="AJ143" s="155"/>
    </row>
    <row r="144" s="33" customFormat="1" spans="1:36">
      <c r="A144" s="94" t="str">
        <f>IF(F144&lt;&gt;"",1+MAX($A$2:A142),"")</f>
        <v/>
      </c>
      <c r="B144" s="112"/>
      <c r="C144" s="98"/>
      <c r="D144" s="111" t="s">
        <v>123</v>
      </c>
      <c r="E144" s="67"/>
      <c r="F144" s="103"/>
      <c r="G144" s="99"/>
      <c r="H144" s="67"/>
      <c r="I144" s="119"/>
      <c r="J144" s="120"/>
      <c r="K144" s="121"/>
      <c r="L144" s="122"/>
      <c r="M144" s="122"/>
      <c r="N144" s="122"/>
      <c r="O144" s="122"/>
      <c r="P144" s="122"/>
      <c r="Q144" s="148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/>
      <c r="AH144" s="155"/>
      <c r="AI144" s="155"/>
      <c r="AJ144" s="155"/>
    </row>
    <row r="145" s="33" customFormat="1" spans="1:36">
      <c r="A145" s="94">
        <f>IF(F145&lt;&gt;"",1+MAX($A$2:A144),"")</f>
        <v>90</v>
      </c>
      <c r="B145" s="112"/>
      <c r="C145" s="98"/>
      <c r="D145" s="86" t="s">
        <v>124</v>
      </c>
      <c r="E145" s="67">
        <v>346</v>
      </c>
      <c r="F145" s="68">
        <v>0.05</v>
      </c>
      <c r="G145" s="99">
        <f>E145*(1+F145)</f>
        <v>363.3</v>
      </c>
      <c r="H145" s="67" t="s">
        <v>40</v>
      </c>
      <c r="I145" s="119">
        <v>0.32</v>
      </c>
      <c r="J145" s="120">
        <f>+I145*G145</f>
        <v>116.256</v>
      </c>
      <c r="K145" s="121">
        <f>'LABOR SHEET'!$C$5</f>
        <v>45</v>
      </c>
      <c r="L145" s="122">
        <f>I145*K145</f>
        <v>14.4</v>
      </c>
      <c r="M145" s="122">
        <f>K145*J145</f>
        <v>5231.52</v>
      </c>
      <c r="N145" s="122">
        <v>38</v>
      </c>
      <c r="O145" s="122">
        <f>N145*G145</f>
        <v>13805.4</v>
      </c>
      <c r="P145" s="122">
        <f>(I145*K145)+N145</f>
        <v>52.4</v>
      </c>
      <c r="Q145" s="148">
        <f>P145*G145</f>
        <v>19036.92</v>
      </c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  <c r="AI145" s="155"/>
      <c r="AJ145" s="155"/>
    </row>
    <row r="146" s="33" customFormat="1" spans="1:36">
      <c r="A146" s="94"/>
      <c r="B146" s="112"/>
      <c r="C146" s="98"/>
      <c r="D146" s="86"/>
      <c r="E146" s="67"/>
      <c r="F146" s="68"/>
      <c r="G146" s="99"/>
      <c r="H146" s="67"/>
      <c r="I146" s="119"/>
      <c r="J146" s="120"/>
      <c r="K146" s="121"/>
      <c r="L146" s="122"/>
      <c r="M146" s="122"/>
      <c r="N146" s="122"/>
      <c r="O146" s="122"/>
      <c r="P146" s="122"/>
      <c r="Q146" s="148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  <c r="AC146" s="155"/>
      <c r="AD146" s="155"/>
      <c r="AE146" s="155"/>
      <c r="AF146" s="155"/>
      <c r="AG146" s="155"/>
      <c r="AH146" s="155"/>
      <c r="AI146" s="155"/>
      <c r="AJ146" s="155"/>
    </row>
    <row r="147" s="33" customFormat="1" spans="1:36">
      <c r="A147" s="94" t="str">
        <f>IF(F147&lt;&gt;"",1+MAX($A$2:A145),"")</f>
        <v/>
      </c>
      <c r="B147" s="112"/>
      <c r="C147" s="98"/>
      <c r="D147" s="111" t="s">
        <v>125</v>
      </c>
      <c r="E147" s="67"/>
      <c r="F147" s="103"/>
      <c r="G147" s="99"/>
      <c r="H147" s="67"/>
      <c r="I147" s="119"/>
      <c r="J147" s="120"/>
      <c r="K147" s="121"/>
      <c r="L147" s="122"/>
      <c r="M147" s="122"/>
      <c r="N147" s="122"/>
      <c r="O147" s="122"/>
      <c r="P147" s="122"/>
      <c r="Q147" s="148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  <c r="AC147" s="155"/>
      <c r="AD147" s="155"/>
      <c r="AE147" s="155"/>
      <c r="AF147" s="155"/>
      <c r="AG147" s="155"/>
      <c r="AH147" s="155"/>
      <c r="AI147" s="155"/>
      <c r="AJ147" s="155"/>
    </row>
    <row r="148" s="33" customFormat="1" ht="31.2" spans="1:36">
      <c r="A148" s="94">
        <f>IF(F148&lt;&gt;"",1+MAX($A$2:A147),"")</f>
        <v>91</v>
      </c>
      <c r="B148" s="112"/>
      <c r="C148" s="98"/>
      <c r="D148" s="89" t="s">
        <v>126</v>
      </c>
      <c r="E148" s="67">
        <v>6</v>
      </c>
      <c r="F148" s="103">
        <v>0</v>
      </c>
      <c r="G148" s="99">
        <f>E148*(1+F148)</f>
        <v>6</v>
      </c>
      <c r="H148" s="67" t="s">
        <v>47</v>
      </c>
      <c r="I148" s="119">
        <f>0.3*8</f>
        <v>2.4</v>
      </c>
      <c r="J148" s="120">
        <f>+I148*G148</f>
        <v>14.4</v>
      </c>
      <c r="K148" s="121">
        <f>'LABOR SHEET'!$C$5</f>
        <v>45</v>
      </c>
      <c r="L148" s="122">
        <f>I148*K148</f>
        <v>108</v>
      </c>
      <c r="M148" s="122">
        <f>K148*J148</f>
        <v>648</v>
      </c>
      <c r="N148" s="122">
        <f>34*8</f>
        <v>272</v>
      </c>
      <c r="O148" s="122">
        <f>N148*G148</f>
        <v>1632</v>
      </c>
      <c r="P148" s="122">
        <f>(I148*K148)+N148</f>
        <v>380</v>
      </c>
      <c r="Q148" s="148">
        <f>P148*G148</f>
        <v>2280</v>
      </c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  <c r="AC148" s="155"/>
      <c r="AD148" s="155"/>
      <c r="AE148" s="155"/>
      <c r="AF148" s="155"/>
      <c r="AG148" s="155"/>
      <c r="AH148" s="155"/>
      <c r="AI148" s="155"/>
      <c r="AJ148" s="155"/>
    </row>
    <row r="149" s="33" customFormat="1" spans="1:36">
      <c r="A149" s="94"/>
      <c r="B149" s="112"/>
      <c r="C149" s="98"/>
      <c r="D149" s="89"/>
      <c r="E149" s="67"/>
      <c r="F149" s="103"/>
      <c r="G149" s="99"/>
      <c r="H149" s="67"/>
      <c r="I149" s="119"/>
      <c r="J149" s="120"/>
      <c r="K149" s="121"/>
      <c r="L149" s="122"/>
      <c r="M149" s="122"/>
      <c r="N149" s="122"/>
      <c r="O149" s="122"/>
      <c r="P149" s="122"/>
      <c r="Q149" s="148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  <c r="AC149" s="155"/>
      <c r="AD149" s="155"/>
      <c r="AE149" s="155"/>
      <c r="AF149" s="155"/>
      <c r="AG149" s="155"/>
      <c r="AH149" s="155"/>
      <c r="AI149" s="155"/>
      <c r="AJ149" s="155"/>
    </row>
    <row r="150" s="33" customFormat="1" spans="1:36">
      <c r="A150" s="94" t="str">
        <f>IF(F150&lt;&gt;"",1+MAX($A$2:A148),"")</f>
        <v/>
      </c>
      <c r="B150" s="112"/>
      <c r="C150" s="98"/>
      <c r="D150" s="111" t="s">
        <v>127</v>
      </c>
      <c r="E150" s="67"/>
      <c r="F150" s="103"/>
      <c r="G150" s="99"/>
      <c r="H150" s="67"/>
      <c r="I150" s="119"/>
      <c r="J150" s="120"/>
      <c r="K150" s="121"/>
      <c r="L150" s="122"/>
      <c r="M150" s="122"/>
      <c r="N150" s="122"/>
      <c r="O150" s="122"/>
      <c r="P150" s="122"/>
      <c r="Q150" s="148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  <c r="AC150" s="155"/>
      <c r="AD150" s="155"/>
      <c r="AE150" s="155"/>
      <c r="AF150" s="155"/>
      <c r="AG150" s="155"/>
      <c r="AH150" s="155"/>
      <c r="AI150" s="155"/>
      <c r="AJ150" s="155"/>
    </row>
    <row r="151" s="33" customFormat="1" ht="46.8" spans="1:36">
      <c r="A151" s="94">
        <f>IF(F151&lt;&gt;"",1+MAX($A$2:A150),"")</f>
        <v>92</v>
      </c>
      <c r="B151" s="112"/>
      <c r="C151" s="98"/>
      <c r="D151" s="89" t="s">
        <v>128</v>
      </c>
      <c r="E151" s="69">
        <f>0.5*2935/27</f>
        <v>54.3518518518519</v>
      </c>
      <c r="F151" s="62">
        <v>0.1</v>
      </c>
      <c r="G151" s="99">
        <f>E151*(1+F151)</f>
        <v>59.7870370370371</v>
      </c>
      <c r="H151" s="67" t="s">
        <v>54</v>
      </c>
      <c r="I151" s="119">
        <v>2.7</v>
      </c>
      <c r="J151" s="120">
        <f t="shared" ref="J151:J153" si="112">+I151*G151</f>
        <v>161.425</v>
      </c>
      <c r="K151" s="121">
        <f>'LABOR SHEET'!$C$5</f>
        <v>45</v>
      </c>
      <c r="L151" s="122">
        <f t="shared" ref="L151:L153" si="113">I151*K151</f>
        <v>121.5</v>
      </c>
      <c r="M151" s="122">
        <f t="shared" ref="M151:M153" si="114">K151*J151</f>
        <v>7264.12500000001</v>
      </c>
      <c r="N151" s="122">
        <v>235</v>
      </c>
      <c r="O151" s="122">
        <f>N151*G151</f>
        <v>14049.9537037037</v>
      </c>
      <c r="P151" s="122">
        <f>(I151*K151)+N151</f>
        <v>356.5</v>
      </c>
      <c r="Q151" s="148">
        <f>P151*G151</f>
        <v>21314.0787037037</v>
      </c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  <c r="AC151" s="155"/>
      <c r="AD151" s="155"/>
      <c r="AE151" s="155"/>
      <c r="AF151" s="155"/>
      <c r="AG151" s="155"/>
      <c r="AH151" s="155"/>
      <c r="AI151" s="155"/>
      <c r="AJ151" s="155"/>
    </row>
    <row r="152" s="33" customFormat="1" spans="1:36">
      <c r="A152" s="94">
        <f>IF(F152&lt;&gt;"",1+MAX($A$2:A151),"")</f>
        <v>93</v>
      </c>
      <c r="B152" s="112"/>
      <c r="C152" s="98"/>
      <c r="D152" s="113" t="s">
        <v>77</v>
      </c>
      <c r="E152" s="67">
        <v>2935</v>
      </c>
      <c r="F152" s="62">
        <v>0.1</v>
      </c>
      <c r="G152" s="99">
        <f>E152*(1+F152)</f>
        <v>3228.5</v>
      </c>
      <c r="H152" s="67" t="s">
        <v>38</v>
      </c>
      <c r="I152" s="119">
        <v>0.007</v>
      </c>
      <c r="J152" s="120">
        <f t="shared" si="112"/>
        <v>22.5995</v>
      </c>
      <c r="K152" s="121">
        <f>'LABOR SHEET'!$C$5</f>
        <v>45</v>
      </c>
      <c r="L152" s="122">
        <f t="shared" si="113"/>
        <v>0.315</v>
      </c>
      <c r="M152" s="122">
        <f t="shared" si="114"/>
        <v>1016.9775</v>
      </c>
      <c r="N152" s="122">
        <v>0.4</v>
      </c>
      <c r="O152" s="122">
        <f>N152*G152</f>
        <v>1291.4</v>
      </c>
      <c r="P152" s="122">
        <f>(I152*K152)+N152</f>
        <v>0.715</v>
      </c>
      <c r="Q152" s="148">
        <f>P152*G152</f>
        <v>2308.3775</v>
      </c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  <c r="AC152" s="155"/>
      <c r="AD152" s="155"/>
      <c r="AE152" s="155"/>
      <c r="AF152" s="155"/>
      <c r="AG152" s="155"/>
      <c r="AH152" s="155"/>
      <c r="AI152" s="155"/>
      <c r="AJ152" s="155"/>
    </row>
    <row r="153" s="33" customFormat="1" spans="1:36">
      <c r="A153" s="94">
        <f>IF(F153&lt;&gt;"",1+MAX($A$2:A152),"")</f>
        <v>94</v>
      </c>
      <c r="B153" s="112"/>
      <c r="C153" s="98"/>
      <c r="D153" s="113" t="s">
        <v>72</v>
      </c>
      <c r="E153" s="67">
        <f>427*0.5</f>
        <v>213.5</v>
      </c>
      <c r="F153" s="62">
        <v>0.1</v>
      </c>
      <c r="G153" s="99">
        <f>E153*(1+F153)</f>
        <v>234.85</v>
      </c>
      <c r="H153" s="67" t="s">
        <v>38</v>
      </c>
      <c r="I153" s="119">
        <v>0.018</v>
      </c>
      <c r="J153" s="120">
        <f t="shared" si="112"/>
        <v>4.2273</v>
      </c>
      <c r="K153" s="121">
        <f>'LABOR SHEET'!$C$5</f>
        <v>45</v>
      </c>
      <c r="L153" s="122">
        <f t="shared" si="113"/>
        <v>0.81</v>
      </c>
      <c r="M153" s="122">
        <f t="shared" si="114"/>
        <v>190.2285</v>
      </c>
      <c r="N153" s="122">
        <v>3</v>
      </c>
      <c r="O153" s="122">
        <f>N153*G153</f>
        <v>704.55</v>
      </c>
      <c r="P153" s="122">
        <f>(I153*K153)+N153</f>
        <v>3.81</v>
      </c>
      <c r="Q153" s="148">
        <f>P153*G153</f>
        <v>894.7785</v>
      </c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  <c r="AC153" s="155"/>
      <c r="AD153" s="155"/>
      <c r="AE153" s="155"/>
      <c r="AF153" s="155"/>
      <c r="AG153" s="155"/>
      <c r="AH153" s="155"/>
      <c r="AI153" s="155"/>
      <c r="AJ153" s="155"/>
    </row>
    <row r="154" s="33" customFormat="1" spans="1:36">
      <c r="A154" s="94"/>
      <c r="B154" s="112"/>
      <c r="C154" s="98"/>
      <c r="D154" s="113"/>
      <c r="E154" s="67"/>
      <c r="F154" s="62"/>
      <c r="G154" s="99"/>
      <c r="H154" s="67"/>
      <c r="I154" s="119"/>
      <c r="J154" s="120"/>
      <c r="K154" s="121"/>
      <c r="L154" s="122"/>
      <c r="M154" s="122"/>
      <c r="N154" s="122"/>
      <c r="O154" s="122"/>
      <c r="P154" s="122"/>
      <c r="Q154" s="148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  <c r="AC154" s="155"/>
      <c r="AD154" s="155"/>
      <c r="AE154" s="155"/>
      <c r="AF154" s="155"/>
      <c r="AG154" s="155"/>
      <c r="AH154" s="155"/>
      <c r="AI154" s="155"/>
      <c r="AJ154" s="155"/>
    </row>
    <row r="155" s="33" customFormat="1" spans="1:36">
      <c r="A155" s="94" t="str">
        <f>IF(F155&lt;&gt;"",1+MAX($A$2:A153),"")</f>
        <v/>
      </c>
      <c r="B155" s="112"/>
      <c r="C155" s="98"/>
      <c r="D155" s="111" t="s">
        <v>129</v>
      </c>
      <c r="E155" s="67"/>
      <c r="F155" s="103"/>
      <c r="G155" s="99"/>
      <c r="H155" s="67"/>
      <c r="I155" s="119"/>
      <c r="J155" s="120"/>
      <c r="K155" s="121"/>
      <c r="L155" s="122"/>
      <c r="M155" s="122"/>
      <c r="N155" s="122"/>
      <c r="O155" s="122"/>
      <c r="P155" s="122"/>
      <c r="Q155" s="148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  <c r="AC155" s="155"/>
      <c r="AD155" s="155"/>
      <c r="AE155" s="155"/>
      <c r="AF155" s="155"/>
      <c r="AG155" s="155"/>
      <c r="AH155" s="155"/>
      <c r="AI155" s="155"/>
      <c r="AJ155" s="155"/>
    </row>
    <row r="156" s="33" customFormat="1" spans="1:36">
      <c r="A156" s="94">
        <f>IF(F156&lt;&gt;"",1+MAX($A$2:A155),"")</f>
        <v>95</v>
      </c>
      <c r="B156" s="112"/>
      <c r="C156" s="98"/>
      <c r="D156" s="86" t="s">
        <v>130</v>
      </c>
      <c r="E156" s="67">
        <v>97</v>
      </c>
      <c r="F156" s="62">
        <v>0.1</v>
      </c>
      <c r="G156" s="99">
        <f>E156*(1+F156)</f>
        <v>106.7</v>
      </c>
      <c r="H156" s="67" t="s">
        <v>38</v>
      </c>
      <c r="I156" s="119">
        <v>0.048</v>
      </c>
      <c r="J156" s="120">
        <f t="shared" ref="J156:J158" si="115">+I156*G156</f>
        <v>5.1216</v>
      </c>
      <c r="K156" s="121">
        <f>'LABOR SHEET'!$C$5</f>
        <v>45</v>
      </c>
      <c r="L156" s="122">
        <f t="shared" ref="L156:L158" si="116">I156*K156</f>
        <v>2.16</v>
      </c>
      <c r="M156" s="122">
        <f t="shared" ref="M156:M158" si="117">K156*J156</f>
        <v>230.472</v>
      </c>
      <c r="N156" s="122">
        <v>4.14</v>
      </c>
      <c r="O156" s="122">
        <f>N156*G156</f>
        <v>441.738</v>
      </c>
      <c r="P156" s="122">
        <f>(I156*K156)+N156</f>
        <v>6.3</v>
      </c>
      <c r="Q156" s="148">
        <f>P156*G156</f>
        <v>672.21</v>
      </c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  <c r="AC156" s="155"/>
      <c r="AD156" s="155"/>
      <c r="AE156" s="155"/>
      <c r="AF156" s="155"/>
      <c r="AG156" s="155"/>
      <c r="AH156" s="155"/>
      <c r="AI156" s="155"/>
      <c r="AJ156" s="155"/>
    </row>
    <row r="157" s="33" customFormat="1" spans="1:36">
      <c r="A157" s="94">
        <f>IF(F157&lt;&gt;"",1+MAX($A$2:A156),"")</f>
        <v>96</v>
      </c>
      <c r="B157" s="112"/>
      <c r="C157" s="98"/>
      <c r="D157" s="113" t="s">
        <v>77</v>
      </c>
      <c r="E157" s="67">
        <v>97</v>
      </c>
      <c r="F157" s="62">
        <v>0.1</v>
      </c>
      <c r="G157" s="99">
        <f>E157*(1+F157)</f>
        <v>106.7</v>
      </c>
      <c r="H157" s="67" t="s">
        <v>38</v>
      </c>
      <c r="I157" s="119">
        <v>0.007</v>
      </c>
      <c r="J157" s="120">
        <f t="shared" si="115"/>
        <v>0.7469</v>
      </c>
      <c r="K157" s="121">
        <f>'LABOR SHEET'!$C$5</f>
        <v>45</v>
      </c>
      <c r="L157" s="122">
        <f t="shared" si="116"/>
        <v>0.315</v>
      </c>
      <c r="M157" s="122">
        <f t="shared" si="117"/>
        <v>33.6105</v>
      </c>
      <c r="N157" s="122">
        <v>0.4</v>
      </c>
      <c r="O157" s="122">
        <f>N157*G157</f>
        <v>42.68</v>
      </c>
      <c r="P157" s="122">
        <f>(I157*K157)+N157</f>
        <v>0.715</v>
      </c>
      <c r="Q157" s="148">
        <f>P157*G157</f>
        <v>76.2905</v>
      </c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  <c r="AC157" s="155"/>
      <c r="AD157" s="155"/>
      <c r="AE157" s="155"/>
      <c r="AF157" s="155"/>
      <c r="AG157" s="155"/>
      <c r="AH157" s="155"/>
      <c r="AI157" s="155"/>
      <c r="AJ157" s="155"/>
    </row>
    <row r="158" s="33" customFormat="1" spans="1:36">
      <c r="A158" s="94">
        <f>IF(F158&lt;&gt;"",1+MAX($A$2:A157),"")</f>
        <v>97</v>
      </c>
      <c r="B158" s="112"/>
      <c r="C158" s="98"/>
      <c r="D158" s="113" t="s">
        <v>72</v>
      </c>
      <c r="E158" s="69">
        <f>65*0.5</f>
        <v>32.5</v>
      </c>
      <c r="F158" s="62">
        <v>0.1</v>
      </c>
      <c r="G158" s="99">
        <f>E158*(1+F158)</f>
        <v>35.75</v>
      </c>
      <c r="H158" s="67" t="s">
        <v>38</v>
      </c>
      <c r="I158" s="119">
        <v>0.018</v>
      </c>
      <c r="J158" s="120">
        <f t="shared" si="115"/>
        <v>0.6435</v>
      </c>
      <c r="K158" s="121">
        <f>'LABOR SHEET'!$C$5</f>
        <v>45</v>
      </c>
      <c r="L158" s="122">
        <f t="shared" si="116"/>
        <v>0.81</v>
      </c>
      <c r="M158" s="122">
        <f t="shared" si="117"/>
        <v>28.9575</v>
      </c>
      <c r="N158" s="122">
        <v>3</v>
      </c>
      <c r="O158" s="122">
        <f>N158*G158</f>
        <v>107.25</v>
      </c>
      <c r="P158" s="122">
        <f>(I158*K158)+N158</f>
        <v>3.81</v>
      </c>
      <c r="Q158" s="148">
        <f>P158*G158</f>
        <v>136.2075</v>
      </c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  <c r="AC158" s="155"/>
      <c r="AD158" s="155"/>
      <c r="AE158" s="155"/>
      <c r="AF158" s="155"/>
      <c r="AG158" s="155"/>
      <c r="AH158" s="155"/>
      <c r="AI158" s="155"/>
      <c r="AJ158" s="155"/>
    </row>
    <row r="159" s="33" customFormat="1" spans="1:36">
      <c r="A159" s="94"/>
      <c r="B159" s="112"/>
      <c r="C159" s="98"/>
      <c r="D159" s="113"/>
      <c r="E159" s="69"/>
      <c r="F159" s="62"/>
      <c r="G159" s="99"/>
      <c r="H159" s="67"/>
      <c r="I159" s="119"/>
      <c r="J159" s="120"/>
      <c r="K159" s="121"/>
      <c r="L159" s="122"/>
      <c r="M159" s="122"/>
      <c r="N159" s="122"/>
      <c r="O159" s="122"/>
      <c r="P159" s="122"/>
      <c r="Q159" s="148"/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  <c r="AC159" s="155"/>
      <c r="AD159" s="155"/>
      <c r="AE159" s="155"/>
      <c r="AF159" s="155"/>
      <c r="AG159" s="155"/>
      <c r="AH159" s="155"/>
      <c r="AI159" s="155"/>
      <c r="AJ159" s="155"/>
    </row>
    <row r="160" s="33" customFormat="1" spans="1:36">
      <c r="A160" s="94" t="str">
        <f>IF(F160&lt;&gt;"",1+MAX($A$2:A158),"")</f>
        <v/>
      </c>
      <c r="B160" s="112"/>
      <c r="C160" s="98"/>
      <c r="D160" s="111" t="s">
        <v>131</v>
      </c>
      <c r="E160" s="67"/>
      <c r="F160" s="103"/>
      <c r="G160" s="99"/>
      <c r="H160" s="67"/>
      <c r="I160" s="119"/>
      <c r="J160" s="120"/>
      <c r="K160" s="121"/>
      <c r="L160" s="122"/>
      <c r="M160" s="122"/>
      <c r="N160" s="122"/>
      <c r="O160" s="122"/>
      <c r="P160" s="122"/>
      <c r="Q160" s="148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  <c r="AC160" s="155"/>
      <c r="AD160" s="155"/>
      <c r="AE160" s="155"/>
      <c r="AF160" s="155"/>
      <c r="AG160" s="155"/>
      <c r="AH160" s="155"/>
      <c r="AI160" s="155"/>
      <c r="AJ160" s="155"/>
    </row>
    <row r="161" s="33" customFormat="1" spans="1:36">
      <c r="A161" s="94">
        <f>IF(F161&lt;&gt;"",1+MAX($A$2:A160),"")</f>
        <v>98</v>
      </c>
      <c r="B161" s="112"/>
      <c r="C161" s="98"/>
      <c r="D161" s="86" t="s">
        <v>132</v>
      </c>
      <c r="E161" s="67">
        <v>23</v>
      </c>
      <c r="F161" s="62">
        <v>0.1</v>
      </c>
      <c r="G161" s="99">
        <f>E161*(1+F161)</f>
        <v>25.3</v>
      </c>
      <c r="H161" s="67" t="s">
        <v>38</v>
      </c>
      <c r="I161" s="119">
        <v>0.042</v>
      </c>
      <c r="J161" s="120">
        <f t="shared" ref="J161:J164" si="118">+I161*G161</f>
        <v>1.0626</v>
      </c>
      <c r="K161" s="121">
        <f>'LABOR SHEET'!$C$5</f>
        <v>45</v>
      </c>
      <c r="L161" s="122">
        <f t="shared" ref="L161:L164" si="119">I161*K161</f>
        <v>1.89</v>
      </c>
      <c r="M161" s="122">
        <f t="shared" ref="M161:M164" si="120">K161*J161</f>
        <v>47.817</v>
      </c>
      <c r="N161" s="122">
        <v>3.98</v>
      </c>
      <c r="O161" s="122">
        <f>N161*G161</f>
        <v>100.694</v>
      </c>
      <c r="P161" s="122">
        <f>(I161*K161)+N161</f>
        <v>5.87</v>
      </c>
      <c r="Q161" s="148">
        <f>P161*G161</f>
        <v>148.511</v>
      </c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  <c r="AC161" s="155"/>
      <c r="AD161" s="155"/>
      <c r="AE161" s="155"/>
      <c r="AF161" s="155"/>
      <c r="AG161" s="155"/>
      <c r="AH161" s="155"/>
      <c r="AI161" s="155"/>
      <c r="AJ161" s="155"/>
    </row>
    <row r="162" s="33" customFormat="1" spans="1:36">
      <c r="A162" s="94">
        <f>IF(F162&lt;&gt;"",1+MAX($A$2:A161),"")</f>
        <v>99</v>
      </c>
      <c r="B162" s="112"/>
      <c r="C162" s="98"/>
      <c r="D162" s="158" t="s">
        <v>133</v>
      </c>
      <c r="E162" s="67">
        <f>23/1*2*0.668</f>
        <v>30.728</v>
      </c>
      <c r="F162" s="68">
        <v>0.05</v>
      </c>
      <c r="G162" s="99">
        <f>E162*(1+F162)</f>
        <v>32.2644</v>
      </c>
      <c r="H162" s="67" t="s">
        <v>80</v>
      </c>
      <c r="I162" s="119">
        <v>0.011</v>
      </c>
      <c r="J162" s="120">
        <f t="shared" si="118"/>
        <v>0.3549084</v>
      </c>
      <c r="K162" s="121">
        <f>'LABOR SHEET'!$C$5</f>
        <v>45</v>
      </c>
      <c r="L162" s="122">
        <f t="shared" si="119"/>
        <v>0.495</v>
      </c>
      <c r="M162" s="122">
        <f t="shared" si="120"/>
        <v>15.970878</v>
      </c>
      <c r="N162" s="122">
        <v>0.9</v>
      </c>
      <c r="O162" s="122">
        <f>N162*G162</f>
        <v>29.03796</v>
      </c>
      <c r="P162" s="122">
        <f>(I162*K162)+N162</f>
        <v>1.395</v>
      </c>
      <c r="Q162" s="148">
        <f>P162*G162</f>
        <v>45.008838</v>
      </c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  <c r="AD162" s="155"/>
      <c r="AE162" s="155"/>
      <c r="AF162" s="155"/>
      <c r="AG162" s="155"/>
      <c r="AH162" s="155"/>
      <c r="AI162" s="155"/>
      <c r="AJ162" s="155"/>
    </row>
    <row r="163" s="33" customFormat="1" spans="1:36">
      <c r="A163" s="94">
        <f>IF(F163&lt;&gt;"",1+MAX($A$2:A162),"")</f>
        <v>100</v>
      </c>
      <c r="B163" s="112"/>
      <c r="C163" s="98"/>
      <c r="D163" s="113" t="s">
        <v>77</v>
      </c>
      <c r="E163" s="67">
        <v>23</v>
      </c>
      <c r="F163" s="62">
        <v>0.1</v>
      </c>
      <c r="G163" s="99">
        <f t="shared" ref="G163:G164" si="121">E163*(1+F163)</f>
        <v>25.3</v>
      </c>
      <c r="H163" s="67" t="s">
        <v>38</v>
      </c>
      <c r="I163" s="119">
        <v>0.007</v>
      </c>
      <c r="J163" s="120">
        <f t="shared" si="118"/>
        <v>0.1771</v>
      </c>
      <c r="K163" s="121">
        <f>'LABOR SHEET'!$C$5</f>
        <v>45</v>
      </c>
      <c r="L163" s="122">
        <f t="shared" si="119"/>
        <v>0.315</v>
      </c>
      <c r="M163" s="122">
        <f t="shared" si="120"/>
        <v>7.9695</v>
      </c>
      <c r="N163" s="122">
        <v>0.4</v>
      </c>
      <c r="O163" s="122">
        <f t="shared" ref="O163:O164" si="122">N163*G163</f>
        <v>10.12</v>
      </c>
      <c r="P163" s="122">
        <f t="shared" ref="P163:P164" si="123">(I163*K163)+N163</f>
        <v>0.715</v>
      </c>
      <c r="Q163" s="148">
        <f t="shared" ref="Q163:Q164" si="124">P163*G163</f>
        <v>18.0895</v>
      </c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/>
      <c r="AH163" s="155"/>
      <c r="AI163" s="155"/>
      <c r="AJ163" s="155"/>
    </row>
    <row r="164" s="33" customFormat="1" spans="1:36">
      <c r="A164" s="94">
        <f>IF(F164&lt;&gt;"",1+MAX($A$2:A163),"")</f>
        <v>101</v>
      </c>
      <c r="B164" s="112"/>
      <c r="C164" s="98"/>
      <c r="D164" s="113" t="s">
        <v>72</v>
      </c>
      <c r="E164" s="69">
        <v>10</v>
      </c>
      <c r="F164" s="62">
        <v>0.1</v>
      </c>
      <c r="G164" s="99">
        <f t="shared" si="121"/>
        <v>11</v>
      </c>
      <c r="H164" s="67" t="s">
        <v>38</v>
      </c>
      <c r="I164" s="119">
        <v>0.018</v>
      </c>
      <c r="J164" s="120">
        <f t="shared" si="118"/>
        <v>0.198</v>
      </c>
      <c r="K164" s="121">
        <f>'LABOR SHEET'!$C$5</f>
        <v>45</v>
      </c>
      <c r="L164" s="122">
        <f t="shared" si="119"/>
        <v>0.81</v>
      </c>
      <c r="M164" s="122">
        <f t="shared" si="120"/>
        <v>8.91</v>
      </c>
      <c r="N164" s="122">
        <v>3</v>
      </c>
      <c r="O164" s="122">
        <f t="shared" si="122"/>
        <v>33</v>
      </c>
      <c r="P164" s="122">
        <f t="shared" si="123"/>
        <v>3.81</v>
      </c>
      <c r="Q164" s="148">
        <f t="shared" si="124"/>
        <v>41.91</v>
      </c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  <c r="AC164" s="155"/>
      <c r="AD164" s="155"/>
      <c r="AE164" s="155"/>
      <c r="AF164" s="155"/>
      <c r="AG164" s="155"/>
      <c r="AH164" s="155"/>
      <c r="AI164" s="155"/>
      <c r="AJ164" s="155"/>
    </row>
    <row r="165" s="33" customFormat="1" spans="1:36">
      <c r="A165" s="94" t="str">
        <f>IF(F165&lt;&gt;"",1+MAX($A$2:A164),"")</f>
        <v/>
      </c>
      <c r="B165" s="112"/>
      <c r="C165" s="69"/>
      <c r="D165" s="96" t="s">
        <v>134</v>
      </c>
      <c r="E165" s="67"/>
      <c r="F165" s="67"/>
      <c r="G165" s="67"/>
      <c r="H165" s="67"/>
      <c r="I165" s="130"/>
      <c r="J165" s="131"/>
      <c r="K165" s="132"/>
      <c r="L165" s="122"/>
      <c r="M165" s="122"/>
      <c r="N165" s="122"/>
      <c r="O165" s="122"/>
      <c r="P165" s="122"/>
      <c r="Q165" s="154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  <c r="AC165" s="155"/>
      <c r="AD165" s="155"/>
      <c r="AE165" s="155"/>
      <c r="AF165" s="155"/>
      <c r="AG165" s="155"/>
      <c r="AH165" s="155"/>
      <c r="AI165" s="155"/>
      <c r="AJ165" s="155"/>
    </row>
    <row r="166" s="33" customFormat="1" spans="1:36">
      <c r="A166" s="94" t="str">
        <f>IF(F166&lt;&gt;"",1+MAX($A$2:A165),"")</f>
        <v/>
      </c>
      <c r="B166" s="112"/>
      <c r="C166" s="98"/>
      <c r="D166" s="111" t="s">
        <v>135</v>
      </c>
      <c r="E166" s="67"/>
      <c r="F166" s="103"/>
      <c r="G166" s="99"/>
      <c r="H166" s="67"/>
      <c r="I166" s="119"/>
      <c r="J166" s="120"/>
      <c r="K166" s="121"/>
      <c r="L166" s="122"/>
      <c r="M166" s="122"/>
      <c r="N166" s="122"/>
      <c r="O166" s="122"/>
      <c r="P166" s="122"/>
      <c r="Q166" s="148"/>
      <c r="R166" s="155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  <c r="AC166" s="155"/>
      <c r="AD166" s="155"/>
      <c r="AE166" s="155"/>
      <c r="AF166" s="155"/>
      <c r="AG166" s="155"/>
      <c r="AH166" s="155"/>
      <c r="AI166" s="155"/>
      <c r="AJ166" s="155"/>
    </row>
    <row r="167" s="33" customFormat="1" spans="1:36">
      <c r="A167" s="94">
        <f>IF(F167&lt;&gt;"",1+MAX($A$2:A166),"")</f>
        <v>102</v>
      </c>
      <c r="B167" s="112"/>
      <c r="C167" s="98"/>
      <c r="D167" s="89" t="s">
        <v>136</v>
      </c>
      <c r="E167" s="67">
        <v>1759</v>
      </c>
      <c r="F167" s="68">
        <v>0.05</v>
      </c>
      <c r="G167" s="99">
        <f t="shared" ref="G167:G170" si="125">E167*(1+F167)</f>
        <v>1846.95</v>
      </c>
      <c r="H167" s="67" t="s">
        <v>40</v>
      </c>
      <c r="I167" s="119">
        <v>0.052</v>
      </c>
      <c r="J167" s="120">
        <f t="shared" ref="J167:J170" si="126">+I167*G167</f>
        <v>96.0414</v>
      </c>
      <c r="K167" s="121">
        <f>'LABOR SHEET'!$C$3</f>
        <v>70</v>
      </c>
      <c r="L167" s="122">
        <f t="shared" ref="L167:L170" si="127">I167*K167</f>
        <v>3.64</v>
      </c>
      <c r="M167" s="122">
        <f t="shared" ref="M167:M170" si="128">K167*J167</f>
        <v>6722.898</v>
      </c>
      <c r="N167" s="122">
        <v>6.17</v>
      </c>
      <c r="O167" s="122">
        <f t="shared" ref="O167:O170" si="129">N167*G167</f>
        <v>11395.6815</v>
      </c>
      <c r="P167" s="122">
        <f t="shared" ref="P167:P170" si="130">(I167*K167)+N167</f>
        <v>9.81</v>
      </c>
      <c r="Q167" s="148">
        <f t="shared" ref="Q167:Q170" si="131">P167*G167</f>
        <v>18118.5795</v>
      </c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  <c r="AC167" s="155"/>
      <c r="AD167" s="155"/>
      <c r="AE167" s="155"/>
      <c r="AF167" s="155"/>
      <c r="AG167" s="155"/>
      <c r="AH167" s="155"/>
      <c r="AI167" s="155"/>
      <c r="AJ167" s="155"/>
    </row>
    <row r="168" s="33" customFormat="1" spans="1:36">
      <c r="A168" s="94">
        <f>IF(F168&lt;&gt;"",1+MAX($A$2:A167),"")</f>
        <v>103</v>
      </c>
      <c r="B168" s="112"/>
      <c r="C168" s="98"/>
      <c r="D168" s="89" t="s">
        <v>137</v>
      </c>
      <c r="E168" s="67">
        <v>52</v>
      </c>
      <c r="F168" s="68">
        <v>0.05</v>
      </c>
      <c r="G168" s="99">
        <f t="shared" si="125"/>
        <v>54.6</v>
      </c>
      <c r="H168" s="67" t="s">
        <v>40</v>
      </c>
      <c r="I168" s="119">
        <v>0.04</v>
      </c>
      <c r="J168" s="120">
        <f t="shared" si="126"/>
        <v>2.184</v>
      </c>
      <c r="K168" s="121">
        <f>'LABOR SHEET'!$C$3</f>
        <v>70</v>
      </c>
      <c r="L168" s="122">
        <f t="shared" si="127"/>
        <v>2.8</v>
      </c>
      <c r="M168" s="122">
        <f t="shared" si="128"/>
        <v>152.88</v>
      </c>
      <c r="N168" s="122">
        <v>5.15</v>
      </c>
      <c r="O168" s="122">
        <f t="shared" si="129"/>
        <v>281.19</v>
      </c>
      <c r="P168" s="122">
        <f t="shared" si="130"/>
        <v>7.95</v>
      </c>
      <c r="Q168" s="148">
        <f t="shared" si="131"/>
        <v>434.07</v>
      </c>
      <c r="R168" s="155"/>
      <c r="S168" s="155"/>
      <c r="T168" s="155"/>
      <c r="U168" s="155"/>
      <c r="V168" s="155"/>
      <c r="W168" s="155"/>
      <c r="X168" s="155"/>
      <c r="Y168" s="155"/>
      <c r="Z168" s="155"/>
      <c r="AA168" s="155"/>
      <c r="AB168" s="155"/>
      <c r="AC168" s="155"/>
      <c r="AD168" s="155"/>
      <c r="AE168" s="155"/>
      <c r="AF168" s="155"/>
      <c r="AG168" s="155"/>
      <c r="AH168" s="155"/>
      <c r="AI168" s="155"/>
      <c r="AJ168" s="155"/>
    </row>
    <row r="169" s="33" customFormat="1" spans="1:36">
      <c r="A169" s="94">
        <f>IF(F169&lt;&gt;"",1+MAX($A$2:A168),"")</f>
        <v>104</v>
      </c>
      <c r="B169" s="112"/>
      <c r="C169" s="98"/>
      <c r="D169" s="89" t="s">
        <v>138</v>
      </c>
      <c r="E169" s="67">
        <v>9</v>
      </c>
      <c r="F169" s="68">
        <v>0.05</v>
      </c>
      <c r="G169" s="99">
        <f t="shared" si="125"/>
        <v>9.45</v>
      </c>
      <c r="H169" s="67" t="s">
        <v>40</v>
      </c>
      <c r="I169" s="119">
        <v>0.027</v>
      </c>
      <c r="J169" s="120">
        <f t="shared" si="126"/>
        <v>0.25515</v>
      </c>
      <c r="K169" s="121">
        <f>'LABOR SHEET'!$C$3</f>
        <v>70</v>
      </c>
      <c r="L169" s="122">
        <f t="shared" si="127"/>
        <v>1.89</v>
      </c>
      <c r="M169" s="122">
        <f t="shared" si="128"/>
        <v>17.8605</v>
      </c>
      <c r="N169" s="122">
        <v>3.55</v>
      </c>
      <c r="O169" s="122">
        <f t="shared" si="129"/>
        <v>33.5475</v>
      </c>
      <c r="P169" s="122">
        <f t="shared" si="130"/>
        <v>5.44</v>
      </c>
      <c r="Q169" s="148">
        <f t="shared" si="131"/>
        <v>51.408</v>
      </c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  <c r="AC169" s="155"/>
      <c r="AD169" s="155"/>
      <c r="AE169" s="155"/>
      <c r="AF169" s="155"/>
      <c r="AG169" s="155"/>
      <c r="AH169" s="155"/>
      <c r="AI169" s="155"/>
      <c r="AJ169" s="155"/>
    </row>
    <row r="170" s="33" customFormat="1" spans="1:36">
      <c r="A170" s="94">
        <f>IF(F170&lt;&gt;"",1+MAX($A$2:A169),"")</f>
        <v>105</v>
      </c>
      <c r="B170" s="112"/>
      <c r="C170" s="98"/>
      <c r="D170" s="86" t="s">
        <v>139</v>
      </c>
      <c r="E170" s="67">
        <v>1448</v>
      </c>
      <c r="F170" s="68">
        <v>0.05</v>
      </c>
      <c r="G170" s="99">
        <f t="shared" si="125"/>
        <v>1520.4</v>
      </c>
      <c r="H170" s="67" t="s">
        <v>40</v>
      </c>
      <c r="I170" s="119">
        <v>0.038</v>
      </c>
      <c r="J170" s="120">
        <f t="shared" si="126"/>
        <v>57.7752</v>
      </c>
      <c r="K170" s="121">
        <f>'LABOR SHEET'!$C$3</f>
        <v>70</v>
      </c>
      <c r="L170" s="122">
        <f t="shared" si="127"/>
        <v>2.66</v>
      </c>
      <c r="M170" s="122">
        <f t="shared" si="128"/>
        <v>4044.264</v>
      </c>
      <c r="N170" s="122">
        <v>4.77</v>
      </c>
      <c r="O170" s="122">
        <f t="shared" si="129"/>
        <v>7252.308</v>
      </c>
      <c r="P170" s="122">
        <f t="shared" si="130"/>
        <v>7.43</v>
      </c>
      <c r="Q170" s="148">
        <f t="shared" si="131"/>
        <v>11296.572</v>
      </c>
      <c r="R170" s="155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  <c r="AC170" s="155"/>
      <c r="AD170" s="155"/>
      <c r="AE170" s="155"/>
      <c r="AF170" s="155"/>
      <c r="AG170" s="155"/>
      <c r="AH170" s="155"/>
      <c r="AI170" s="155"/>
      <c r="AJ170" s="155"/>
    </row>
    <row r="171" s="33" customFormat="1" spans="1:36">
      <c r="A171" s="94">
        <f>IF(F171&lt;&gt;"",1+MAX($A$2:A170),"")</f>
        <v>106</v>
      </c>
      <c r="B171" s="112"/>
      <c r="C171" s="98"/>
      <c r="D171" s="86" t="s">
        <v>140</v>
      </c>
      <c r="E171" s="67">
        <v>501</v>
      </c>
      <c r="F171" s="68">
        <v>0.05</v>
      </c>
      <c r="G171" s="99">
        <f t="shared" ref="G171:G174" si="132">E171*(1+F171)</f>
        <v>526.05</v>
      </c>
      <c r="H171" s="67" t="s">
        <v>40</v>
      </c>
      <c r="I171" s="119">
        <v>0.035</v>
      </c>
      <c r="J171" s="120">
        <f t="shared" ref="J171:J174" si="133">+I171*G171</f>
        <v>18.41175</v>
      </c>
      <c r="K171" s="121">
        <f>'LABOR SHEET'!$C$3</f>
        <v>70</v>
      </c>
      <c r="L171" s="122">
        <f t="shared" ref="L171:L174" si="134">I171*K171</f>
        <v>2.45</v>
      </c>
      <c r="M171" s="122">
        <f t="shared" ref="M171:M174" si="135">K171*J171</f>
        <v>1288.8225</v>
      </c>
      <c r="N171" s="122">
        <v>3.7</v>
      </c>
      <c r="O171" s="122">
        <f t="shared" ref="O171:O174" si="136">N171*G171</f>
        <v>1946.385</v>
      </c>
      <c r="P171" s="122">
        <f t="shared" ref="P171:P174" si="137">(I171*K171)+N171</f>
        <v>6.15</v>
      </c>
      <c r="Q171" s="148">
        <f t="shared" ref="Q171:Q174" si="138">P171*G171</f>
        <v>3235.2075</v>
      </c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  <c r="AC171" s="155"/>
      <c r="AD171" s="155"/>
      <c r="AE171" s="155"/>
      <c r="AF171" s="155"/>
      <c r="AG171" s="155"/>
      <c r="AH171" s="155"/>
      <c r="AI171" s="155"/>
      <c r="AJ171" s="155"/>
    </row>
    <row r="172" s="33" customFormat="1" spans="1:36">
      <c r="A172" s="94">
        <f>IF(F172&lt;&gt;"",1+MAX($A$2:A171),"")</f>
        <v>107</v>
      </c>
      <c r="B172" s="112"/>
      <c r="C172" s="98"/>
      <c r="D172" s="86" t="s">
        <v>141</v>
      </c>
      <c r="E172" s="67">
        <v>2305</v>
      </c>
      <c r="F172" s="68">
        <v>0.05</v>
      </c>
      <c r="G172" s="99">
        <f t="shared" si="132"/>
        <v>2420.25</v>
      </c>
      <c r="H172" s="67" t="s">
        <v>40</v>
      </c>
      <c r="I172" s="119">
        <v>0.025</v>
      </c>
      <c r="J172" s="120">
        <f t="shared" si="133"/>
        <v>60.50625</v>
      </c>
      <c r="K172" s="121">
        <f>'LABOR SHEET'!$C$3</f>
        <v>70</v>
      </c>
      <c r="L172" s="122">
        <f t="shared" si="134"/>
        <v>1.75</v>
      </c>
      <c r="M172" s="122">
        <f t="shared" si="135"/>
        <v>4235.4375</v>
      </c>
      <c r="N172" s="122">
        <v>3.1</v>
      </c>
      <c r="O172" s="122">
        <f t="shared" si="136"/>
        <v>7502.775</v>
      </c>
      <c r="P172" s="122">
        <f t="shared" si="137"/>
        <v>4.85</v>
      </c>
      <c r="Q172" s="148">
        <f t="shared" si="138"/>
        <v>11738.2125</v>
      </c>
      <c r="R172" s="155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  <c r="AC172" s="155"/>
      <c r="AD172" s="155"/>
      <c r="AE172" s="155"/>
      <c r="AF172" s="155"/>
      <c r="AG172" s="155"/>
      <c r="AH172" s="155"/>
      <c r="AI172" s="155"/>
      <c r="AJ172" s="155"/>
    </row>
    <row r="173" s="33" customFormat="1" spans="1:36">
      <c r="A173" s="94">
        <f>IF(F173&lt;&gt;"",1+MAX($A$2:A172),"")</f>
        <v>108</v>
      </c>
      <c r="B173" s="112"/>
      <c r="C173" s="98"/>
      <c r="D173" s="86" t="s">
        <v>142</v>
      </c>
      <c r="E173" s="67">
        <v>195</v>
      </c>
      <c r="F173" s="68">
        <v>0.05</v>
      </c>
      <c r="G173" s="99">
        <f t="shared" si="132"/>
        <v>204.75</v>
      </c>
      <c r="H173" s="67" t="s">
        <v>40</v>
      </c>
      <c r="I173" s="119">
        <v>0.271</v>
      </c>
      <c r="J173" s="120">
        <f t="shared" si="133"/>
        <v>55.48725</v>
      </c>
      <c r="K173" s="121">
        <f>'LABOR SHEET'!$C$3</f>
        <v>70</v>
      </c>
      <c r="L173" s="122">
        <f t="shared" si="134"/>
        <v>18.97</v>
      </c>
      <c r="M173" s="122">
        <f t="shared" si="135"/>
        <v>3884.1075</v>
      </c>
      <c r="N173" s="122">
        <v>5</v>
      </c>
      <c r="O173" s="122">
        <f t="shared" si="136"/>
        <v>1023.75</v>
      </c>
      <c r="P173" s="122">
        <f t="shared" si="137"/>
        <v>23.97</v>
      </c>
      <c r="Q173" s="148">
        <f t="shared" si="138"/>
        <v>4907.8575</v>
      </c>
      <c r="R173" s="155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  <c r="AC173" s="155"/>
      <c r="AD173" s="155"/>
      <c r="AE173" s="155"/>
      <c r="AF173" s="155"/>
      <c r="AG173" s="155"/>
      <c r="AH173" s="155"/>
      <c r="AI173" s="155"/>
      <c r="AJ173" s="155"/>
    </row>
    <row r="174" s="33" customFormat="1" spans="1:36">
      <c r="A174" s="94">
        <f>IF(F174&lt;&gt;"",1+MAX($A$2:A173),"")</f>
        <v>109</v>
      </c>
      <c r="B174" s="112"/>
      <c r="C174" s="98"/>
      <c r="D174" s="86" t="s">
        <v>143</v>
      </c>
      <c r="E174" s="67">
        <v>225</v>
      </c>
      <c r="F174" s="68">
        <v>0.05</v>
      </c>
      <c r="G174" s="99">
        <f t="shared" si="132"/>
        <v>236.25</v>
      </c>
      <c r="H174" s="67" t="s">
        <v>40</v>
      </c>
      <c r="I174" s="119">
        <v>0.333</v>
      </c>
      <c r="J174" s="120">
        <f t="shared" si="133"/>
        <v>78.67125</v>
      </c>
      <c r="K174" s="121">
        <f>'LABOR SHEET'!$C$3</f>
        <v>70</v>
      </c>
      <c r="L174" s="122">
        <f t="shared" si="134"/>
        <v>23.31</v>
      </c>
      <c r="M174" s="122">
        <f t="shared" si="135"/>
        <v>5506.9875</v>
      </c>
      <c r="N174" s="122">
        <v>10.45</v>
      </c>
      <c r="O174" s="122">
        <f t="shared" si="136"/>
        <v>2468.8125</v>
      </c>
      <c r="P174" s="122">
        <f t="shared" si="137"/>
        <v>33.76</v>
      </c>
      <c r="Q174" s="148">
        <f t="shared" si="138"/>
        <v>7975.8</v>
      </c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  <c r="AC174" s="155"/>
      <c r="AD174" s="155"/>
      <c r="AE174" s="155"/>
      <c r="AF174" s="155"/>
      <c r="AG174" s="155"/>
      <c r="AH174" s="155"/>
      <c r="AI174" s="155"/>
      <c r="AJ174" s="155"/>
    </row>
    <row r="175" s="33" customFormat="1" spans="1:36">
      <c r="A175" s="94"/>
      <c r="B175" s="112"/>
      <c r="C175" s="98"/>
      <c r="D175" s="86"/>
      <c r="E175" s="67"/>
      <c r="F175" s="68"/>
      <c r="G175" s="99"/>
      <c r="H175" s="67"/>
      <c r="I175" s="119"/>
      <c r="J175" s="120"/>
      <c r="K175" s="121"/>
      <c r="L175" s="122"/>
      <c r="M175" s="122"/>
      <c r="N175" s="122"/>
      <c r="O175" s="122"/>
      <c r="P175" s="122"/>
      <c r="Q175" s="148"/>
      <c r="R175" s="155"/>
      <c r="S175" s="155"/>
      <c r="T175" s="155"/>
      <c r="U175" s="155"/>
      <c r="V175" s="155"/>
      <c r="W175" s="155"/>
      <c r="X175" s="155"/>
      <c r="Y175" s="155"/>
      <c r="Z175" s="155"/>
      <c r="AA175" s="155"/>
      <c r="AB175" s="155"/>
      <c r="AC175" s="155"/>
      <c r="AD175" s="155"/>
      <c r="AE175" s="155"/>
      <c r="AF175" s="155"/>
      <c r="AG175" s="155"/>
      <c r="AH175" s="155"/>
      <c r="AI175" s="155"/>
      <c r="AJ175" s="155"/>
    </row>
    <row r="176" s="33" customFormat="1" spans="1:36">
      <c r="A176" s="94" t="str">
        <f>IF(F176&lt;&gt;"",1+MAX($A$2:A174),"")</f>
        <v/>
      </c>
      <c r="B176" s="112"/>
      <c r="C176" s="98"/>
      <c r="D176" s="111" t="s">
        <v>144</v>
      </c>
      <c r="E176" s="67"/>
      <c r="F176" s="103"/>
      <c r="G176" s="99"/>
      <c r="H176" s="67"/>
      <c r="I176" s="119"/>
      <c r="J176" s="120"/>
      <c r="K176" s="121"/>
      <c r="L176" s="122"/>
      <c r="M176" s="122"/>
      <c r="N176" s="122"/>
      <c r="O176" s="122"/>
      <c r="P176" s="122"/>
      <c r="Q176" s="148"/>
      <c r="R176" s="155"/>
      <c r="S176" s="155"/>
      <c r="T176" s="155"/>
      <c r="U176" s="155"/>
      <c r="V176" s="155"/>
      <c r="W176" s="155"/>
      <c r="X176" s="155"/>
      <c r="Y176" s="155"/>
      <c r="Z176" s="155"/>
      <c r="AA176" s="155"/>
      <c r="AB176" s="155"/>
      <c r="AC176" s="155"/>
      <c r="AD176" s="155"/>
      <c r="AE176" s="155"/>
      <c r="AF176" s="155"/>
      <c r="AG176" s="155"/>
      <c r="AH176" s="155"/>
      <c r="AI176" s="155"/>
      <c r="AJ176" s="155"/>
    </row>
    <row r="177" s="33" customFormat="1" spans="1:36">
      <c r="A177" s="94">
        <f>IF(F177&lt;&gt;"",1+MAX($A$2:A176),"")</f>
        <v>110</v>
      </c>
      <c r="B177" s="112"/>
      <c r="C177" s="98"/>
      <c r="D177" s="89" t="s">
        <v>113</v>
      </c>
      <c r="E177" s="69">
        <f>6074*0.5*0.5/27</f>
        <v>56.2407407407407</v>
      </c>
      <c r="F177" s="62">
        <v>0</v>
      </c>
      <c r="G177" s="99">
        <f>E177*(1+F177)</f>
        <v>56.2407407407407</v>
      </c>
      <c r="H177" s="67" t="s">
        <v>54</v>
      </c>
      <c r="I177" s="119">
        <v>0.22</v>
      </c>
      <c r="J177" s="120">
        <f>+I177*G177</f>
        <v>12.372962962963</v>
      </c>
      <c r="K177" s="121">
        <f>'LABOR SHEET'!$C$3</f>
        <v>70</v>
      </c>
      <c r="L177" s="122">
        <f>I177*K177</f>
        <v>15.4</v>
      </c>
      <c r="M177" s="122">
        <f>K177*J177</f>
        <v>866.107407407407</v>
      </c>
      <c r="N177" s="122">
        <v>5</v>
      </c>
      <c r="O177" s="122">
        <f>N177*G177</f>
        <v>281.203703703703</v>
      </c>
      <c r="P177" s="122">
        <f>(I177*K177)+N177</f>
        <v>20.4</v>
      </c>
      <c r="Q177" s="148">
        <f>P177*G177</f>
        <v>1147.31111111111</v>
      </c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  <c r="AC177" s="155"/>
      <c r="AD177" s="155"/>
      <c r="AE177" s="155"/>
      <c r="AF177" s="155"/>
      <c r="AG177" s="155"/>
      <c r="AH177" s="155"/>
      <c r="AI177" s="155"/>
      <c r="AJ177" s="155"/>
    </row>
    <row r="178" s="33" customFormat="1" spans="1:36">
      <c r="A178" s="94">
        <f>IF(F178&lt;&gt;"",1+MAX($A$2:A177),"")</f>
        <v>111</v>
      </c>
      <c r="B178" s="112"/>
      <c r="C178" s="98"/>
      <c r="D178" s="89" t="s">
        <v>120</v>
      </c>
      <c r="E178" s="67">
        <v>50</v>
      </c>
      <c r="F178" s="62">
        <v>0</v>
      </c>
      <c r="G178" s="99">
        <f>E178*(1+F178)</f>
        <v>50</v>
      </c>
      <c r="H178" s="67" t="s">
        <v>54</v>
      </c>
      <c r="I178" s="119">
        <v>0.2</v>
      </c>
      <c r="J178" s="120">
        <f>+I178*G178</f>
        <v>10</v>
      </c>
      <c r="K178" s="121">
        <f>'LABOR SHEET'!$C$3</f>
        <v>70</v>
      </c>
      <c r="L178" s="122">
        <f>I178*K178</f>
        <v>14</v>
      </c>
      <c r="M178" s="122">
        <f>K178*J178</f>
        <v>700</v>
      </c>
      <c r="N178" s="122">
        <v>5</v>
      </c>
      <c r="O178" s="122">
        <f>N178*G178</f>
        <v>250</v>
      </c>
      <c r="P178" s="122">
        <f>(I178*K178)+N178</f>
        <v>19</v>
      </c>
      <c r="Q178" s="148">
        <f>P178*G178</f>
        <v>950</v>
      </c>
      <c r="R178" s="155"/>
      <c r="S178" s="155"/>
      <c r="T178" s="155"/>
      <c r="U178" s="155"/>
      <c r="V178" s="155"/>
      <c r="W178" s="155"/>
      <c r="X178" s="155"/>
      <c r="Y178" s="155"/>
      <c r="Z178" s="155"/>
      <c r="AA178" s="155"/>
      <c r="AB178" s="155"/>
      <c r="AC178" s="155"/>
      <c r="AD178" s="155"/>
      <c r="AE178" s="155"/>
      <c r="AF178" s="155"/>
      <c r="AG178" s="155"/>
      <c r="AH178" s="155"/>
      <c r="AI178" s="155"/>
      <c r="AJ178" s="155"/>
    </row>
    <row r="179" s="33" customFormat="1" spans="1:36">
      <c r="A179" s="94"/>
      <c r="B179" s="112"/>
      <c r="C179" s="98"/>
      <c r="D179" s="89"/>
      <c r="E179" s="67"/>
      <c r="F179" s="62"/>
      <c r="G179" s="99"/>
      <c r="H179" s="67"/>
      <c r="I179" s="119"/>
      <c r="J179" s="120"/>
      <c r="K179" s="121"/>
      <c r="L179" s="122"/>
      <c r="M179" s="122"/>
      <c r="N179" s="122"/>
      <c r="O179" s="122"/>
      <c r="P179" s="122"/>
      <c r="Q179" s="148"/>
      <c r="R179" s="155"/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  <c r="AC179" s="155"/>
      <c r="AD179" s="155"/>
      <c r="AE179" s="155"/>
      <c r="AF179" s="155"/>
      <c r="AG179" s="155"/>
      <c r="AH179" s="155"/>
      <c r="AI179" s="155"/>
      <c r="AJ179" s="155"/>
    </row>
    <row r="180" s="33" customFormat="1" spans="1:36">
      <c r="A180" s="94" t="str">
        <f>IF(F180&lt;&gt;"",1+MAX($A$2:A178),"")</f>
        <v/>
      </c>
      <c r="B180" s="112"/>
      <c r="C180" s="98"/>
      <c r="D180" s="111" t="s">
        <v>145</v>
      </c>
      <c r="E180" s="67"/>
      <c r="F180" s="103"/>
      <c r="G180" s="99"/>
      <c r="H180" s="67"/>
      <c r="I180" s="119"/>
      <c r="J180" s="120"/>
      <c r="K180" s="121">
        <f>'LABOR SHEET'!$C$3</f>
        <v>70</v>
      </c>
      <c r="L180" s="122"/>
      <c r="M180" s="122"/>
      <c r="N180" s="122"/>
      <c r="O180" s="122"/>
      <c r="P180" s="122"/>
      <c r="Q180" s="148"/>
      <c r="R180" s="155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  <c r="AC180" s="155"/>
      <c r="AD180" s="155"/>
      <c r="AE180" s="155"/>
      <c r="AF180" s="155"/>
      <c r="AG180" s="155"/>
      <c r="AH180" s="155"/>
      <c r="AI180" s="155"/>
      <c r="AJ180" s="155"/>
    </row>
    <row r="181" s="33" customFormat="1" ht="78" spans="1:36">
      <c r="A181" s="94">
        <f>IF(F181&lt;&gt;"",1+MAX($A$2:A180),"")</f>
        <v>112</v>
      </c>
      <c r="B181" s="112"/>
      <c r="C181" s="98"/>
      <c r="D181" s="89" t="s">
        <v>146</v>
      </c>
      <c r="E181" s="67">
        <v>3147</v>
      </c>
      <c r="F181" s="62">
        <v>0.1</v>
      </c>
      <c r="G181" s="99">
        <f>E181*(1+F181)</f>
        <v>3461.7</v>
      </c>
      <c r="H181" s="67" t="s">
        <v>38</v>
      </c>
      <c r="I181" s="119">
        <v>0.006</v>
      </c>
      <c r="J181" s="120">
        <f>+I181*G181</f>
        <v>20.7702</v>
      </c>
      <c r="K181" s="121">
        <f>'LABOR SHEET'!$C$3</f>
        <v>70</v>
      </c>
      <c r="L181" s="122">
        <f>I181*K181</f>
        <v>0.42</v>
      </c>
      <c r="M181" s="122">
        <f>K181*J181</f>
        <v>1453.914</v>
      </c>
      <c r="N181" s="122">
        <v>0.71</v>
      </c>
      <c r="O181" s="122">
        <f>N181*G181</f>
        <v>2457.807</v>
      </c>
      <c r="P181" s="122">
        <f>(I181*K181)+N181</f>
        <v>1.13</v>
      </c>
      <c r="Q181" s="148">
        <f>P181*G181</f>
        <v>3911.721</v>
      </c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  <c r="AC181" s="155"/>
      <c r="AD181" s="155"/>
      <c r="AE181" s="155"/>
      <c r="AF181" s="155"/>
      <c r="AG181" s="155"/>
      <c r="AH181" s="155"/>
      <c r="AI181" s="155"/>
      <c r="AJ181" s="155"/>
    </row>
    <row r="182" s="33" customFormat="1" spans="1:36">
      <c r="A182" s="94">
        <f>IF(F182&lt;&gt;"",1+MAX($A$2:A181),"")</f>
        <v>113</v>
      </c>
      <c r="B182" s="112"/>
      <c r="C182" s="98"/>
      <c r="D182" s="86" t="s">
        <v>147</v>
      </c>
      <c r="E182" s="67">
        <v>13287</v>
      </c>
      <c r="F182" s="62">
        <v>0.1</v>
      </c>
      <c r="G182" s="99">
        <f>E182*(1+F182)</f>
        <v>14615.7</v>
      </c>
      <c r="H182" s="67" t="s">
        <v>38</v>
      </c>
      <c r="I182" s="119">
        <v>0.008</v>
      </c>
      <c r="J182" s="120">
        <f>+I182*G182</f>
        <v>116.9256</v>
      </c>
      <c r="K182" s="121">
        <f>'LABOR SHEET'!$C$3</f>
        <v>70</v>
      </c>
      <c r="L182" s="122">
        <f>I182*K182</f>
        <v>0.56</v>
      </c>
      <c r="M182" s="122">
        <f>K182*J182</f>
        <v>8184.792</v>
      </c>
      <c r="N182" s="122">
        <v>0.85</v>
      </c>
      <c r="O182" s="122">
        <f>N182*G182</f>
        <v>12423.345</v>
      </c>
      <c r="P182" s="122">
        <f>(I182*K182)+N182</f>
        <v>1.41</v>
      </c>
      <c r="Q182" s="148">
        <f>P182*G182</f>
        <v>20608.137</v>
      </c>
      <c r="R182" s="155"/>
      <c r="S182" s="155"/>
      <c r="T182" s="155"/>
      <c r="U182" s="155"/>
      <c r="V182" s="155"/>
      <c r="W182" s="155"/>
      <c r="X182" s="155"/>
      <c r="Y182" s="155"/>
      <c r="Z182" s="155"/>
      <c r="AA182" s="155"/>
      <c r="AB182" s="155"/>
      <c r="AC182" s="155"/>
      <c r="AD182" s="155"/>
      <c r="AE182" s="155"/>
      <c r="AF182" s="155"/>
      <c r="AG182" s="155"/>
      <c r="AH182" s="155"/>
      <c r="AI182" s="155"/>
      <c r="AJ182" s="155"/>
    </row>
    <row r="183" s="33" customFormat="1" spans="1:36">
      <c r="A183" s="94"/>
      <c r="B183" s="112"/>
      <c r="C183" s="98"/>
      <c r="D183" s="86"/>
      <c r="E183" s="67"/>
      <c r="F183" s="62"/>
      <c r="G183" s="99"/>
      <c r="H183" s="67"/>
      <c r="I183" s="119"/>
      <c r="J183" s="120"/>
      <c r="K183" s="121"/>
      <c r="L183" s="122"/>
      <c r="M183" s="122"/>
      <c r="N183" s="122"/>
      <c r="O183" s="122"/>
      <c r="P183" s="122"/>
      <c r="Q183" s="148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  <c r="AC183" s="155"/>
      <c r="AD183" s="155"/>
      <c r="AE183" s="155"/>
      <c r="AF183" s="155"/>
      <c r="AG183" s="155"/>
      <c r="AH183" s="155"/>
      <c r="AI183" s="155"/>
      <c r="AJ183" s="155"/>
    </row>
    <row r="184" s="33" customFormat="1" spans="1:36">
      <c r="A184" s="94" t="str">
        <f>IF(F184&lt;&gt;"",1+MAX($A$2:A182),"")</f>
        <v/>
      </c>
      <c r="B184" s="112"/>
      <c r="C184" s="98"/>
      <c r="D184" s="111" t="s">
        <v>148</v>
      </c>
      <c r="E184" s="67"/>
      <c r="F184" s="103"/>
      <c r="G184" s="99"/>
      <c r="H184" s="67"/>
      <c r="I184" s="119"/>
      <c r="J184" s="120"/>
      <c r="K184" s="121"/>
      <c r="L184" s="122"/>
      <c r="M184" s="122"/>
      <c r="N184" s="122"/>
      <c r="O184" s="122"/>
      <c r="P184" s="122"/>
      <c r="Q184" s="148"/>
      <c r="R184" s="155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  <c r="AC184" s="155"/>
      <c r="AD184" s="155"/>
      <c r="AE184" s="155"/>
      <c r="AF184" s="155"/>
      <c r="AG184" s="155"/>
      <c r="AH184" s="155"/>
      <c r="AI184" s="155"/>
      <c r="AJ184" s="155"/>
    </row>
    <row r="185" s="33" customFormat="1" ht="46.8" spans="1:36">
      <c r="A185" s="94">
        <f>IF(F185&lt;&gt;"",1+MAX($A$2:A184),"")</f>
        <v>114</v>
      </c>
      <c r="B185" s="112"/>
      <c r="C185" s="98"/>
      <c r="D185" s="89" t="s">
        <v>149</v>
      </c>
      <c r="E185" s="67">
        <v>4</v>
      </c>
      <c r="F185" s="103">
        <v>0</v>
      </c>
      <c r="G185" s="99">
        <f t="shared" ref="G185:G188" si="139">E185*(1+F185)</f>
        <v>4</v>
      </c>
      <c r="H185" s="67" t="s">
        <v>47</v>
      </c>
      <c r="I185" s="119">
        <v>0.48</v>
      </c>
      <c r="J185" s="120">
        <f t="shared" ref="J185:J188" si="140">+I185*G185</f>
        <v>1.92</v>
      </c>
      <c r="K185" s="121">
        <f>'LABOR SHEET'!$C$3</f>
        <v>70</v>
      </c>
      <c r="L185" s="122">
        <f t="shared" ref="L185:L188" si="141">I185*K185</f>
        <v>33.6</v>
      </c>
      <c r="M185" s="122">
        <f t="shared" ref="M185:M188" si="142">K185*J185</f>
        <v>134.4</v>
      </c>
      <c r="N185" s="122">
        <v>42</v>
      </c>
      <c r="O185" s="122">
        <f t="shared" ref="O185:O188" si="143">N185*G185</f>
        <v>168</v>
      </c>
      <c r="P185" s="122">
        <f t="shared" ref="P185:P188" si="144">(I185*K185)+N185</f>
        <v>75.6</v>
      </c>
      <c r="Q185" s="148">
        <f t="shared" ref="Q185:Q188" si="145">P185*G185</f>
        <v>302.4</v>
      </c>
      <c r="R185" s="155"/>
      <c r="S185" s="155"/>
      <c r="T185" s="155"/>
      <c r="U185" s="155"/>
      <c r="V185" s="155"/>
      <c r="W185" s="155"/>
      <c r="X185" s="155"/>
      <c r="Y185" s="155"/>
      <c r="Z185" s="155"/>
      <c r="AA185" s="155"/>
      <c r="AB185" s="155"/>
      <c r="AC185" s="155"/>
      <c r="AD185" s="155"/>
      <c r="AE185" s="155"/>
      <c r="AF185" s="155"/>
      <c r="AG185" s="155"/>
      <c r="AH185" s="155"/>
      <c r="AI185" s="155"/>
      <c r="AJ185" s="155"/>
    </row>
    <row r="186" s="33" customFormat="1" ht="62.4" spans="1:36">
      <c r="A186" s="94">
        <f>IF(F186&lt;&gt;"",1+MAX($A$2:A185),"")</f>
        <v>115</v>
      </c>
      <c r="B186" s="112"/>
      <c r="C186" s="159"/>
      <c r="D186" s="89" t="s">
        <v>150</v>
      </c>
      <c r="E186" s="67">
        <v>4</v>
      </c>
      <c r="F186" s="103">
        <v>0</v>
      </c>
      <c r="G186" s="99">
        <f t="shared" si="139"/>
        <v>4</v>
      </c>
      <c r="H186" s="67" t="s">
        <v>47</v>
      </c>
      <c r="I186" s="119">
        <v>0.55</v>
      </c>
      <c r="J186" s="120">
        <f t="shared" si="140"/>
        <v>2.2</v>
      </c>
      <c r="K186" s="121">
        <f>'LABOR SHEET'!$C$3</f>
        <v>70</v>
      </c>
      <c r="L186" s="122">
        <f t="shared" si="141"/>
        <v>38.5</v>
      </c>
      <c r="M186" s="122">
        <f t="shared" si="142"/>
        <v>154</v>
      </c>
      <c r="N186" s="122">
        <v>58.5</v>
      </c>
      <c r="O186" s="122">
        <f t="shared" si="143"/>
        <v>234</v>
      </c>
      <c r="P186" s="122">
        <f t="shared" si="144"/>
        <v>97</v>
      </c>
      <c r="Q186" s="148">
        <f t="shared" si="145"/>
        <v>388</v>
      </c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  <c r="AC186" s="155"/>
      <c r="AD186" s="155"/>
      <c r="AE186" s="155"/>
      <c r="AF186" s="155"/>
      <c r="AG186" s="155"/>
      <c r="AH186" s="155"/>
      <c r="AI186" s="155"/>
      <c r="AJ186" s="155"/>
    </row>
    <row r="187" s="33" customFormat="1" ht="46.8" spans="1:36">
      <c r="A187" s="94">
        <f>IF(F187&lt;&gt;"",1+MAX($A$2:A186),"")</f>
        <v>116</v>
      </c>
      <c r="B187" s="112"/>
      <c r="C187" s="98"/>
      <c r="D187" s="89" t="s">
        <v>151</v>
      </c>
      <c r="E187" s="67">
        <v>9</v>
      </c>
      <c r="F187" s="103">
        <v>0</v>
      </c>
      <c r="G187" s="99">
        <f t="shared" si="139"/>
        <v>9</v>
      </c>
      <c r="H187" s="67" t="s">
        <v>47</v>
      </c>
      <c r="I187" s="119">
        <v>0.4</v>
      </c>
      <c r="J187" s="120">
        <f t="shared" si="140"/>
        <v>3.6</v>
      </c>
      <c r="K187" s="121">
        <f>'LABOR SHEET'!$C$3</f>
        <v>70</v>
      </c>
      <c r="L187" s="122">
        <f t="shared" si="141"/>
        <v>28</v>
      </c>
      <c r="M187" s="122">
        <f t="shared" si="142"/>
        <v>252</v>
      </c>
      <c r="N187" s="122">
        <f>6.05+6.05+30</f>
        <v>42.1</v>
      </c>
      <c r="O187" s="122">
        <f t="shared" si="143"/>
        <v>378.9</v>
      </c>
      <c r="P187" s="122">
        <f t="shared" si="144"/>
        <v>70.1</v>
      </c>
      <c r="Q187" s="148">
        <f t="shared" si="145"/>
        <v>630.9</v>
      </c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  <c r="AC187" s="155"/>
      <c r="AD187" s="155"/>
      <c r="AE187" s="155"/>
      <c r="AF187" s="155"/>
      <c r="AG187" s="155"/>
      <c r="AH187" s="155"/>
      <c r="AI187" s="155"/>
      <c r="AJ187" s="155"/>
    </row>
    <row r="188" s="33" customFormat="1" ht="46.8" spans="1:36">
      <c r="A188" s="94">
        <f>IF(F188&lt;&gt;"",1+MAX($A$2:A187),"")</f>
        <v>117</v>
      </c>
      <c r="B188" s="112"/>
      <c r="C188" s="98"/>
      <c r="D188" s="89" t="s">
        <v>152</v>
      </c>
      <c r="E188" s="67">
        <v>26</v>
      </c>
      <c r="F188" s="103">
        <v>0</v>
      </c>
      <c r="G188" s="99">
        <f t="shared" si="139"/>
        <v>26</v>
      </c>
      <c r="H188" s="67" t="s">
        <v>47</v>
      </c>
      <c r="I188" s="119">
        <v>0.88</v>
      </c>
      <c r="J188" s="120">
        <f t="shared" si="140"/>
        <v>22.88</v>
      </c>
      <c r="K188" s="121">
        <f>'LABOR SHEET'!$C$3</f>
        <v>70</v>
      </c>
      <c r="L188" s="122">
        <f t="shared" si="141"/>
        <v>61.6</v>
      </c>
      <c r="M188" s="122">
        <f t="shared" si="142"/>
        <v>1601.6</v>
      </c>
      <c r="N188" s="122">
        <v>207.19</v>
      </c>
      <c r="O188" s="122">
        <f t="shared" si="143"/>
        <v>5386.94</v>
      </c>
      <c r="P188" s="122">
        <f t="shared" si="144"/>
        <v>268.79</v>
      </c>
      <c r="Q188" s="148">
        <f t="shared" si="145"/>
        <v>6988.54</v>
      </c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  <c r="AC188" s="155"/>
      <c r="AD188" s="155"/>
      <c r="AE188" s="155"/>
      <c r="AF188" s="155"/>
      <c r="AG188" s="155"/>
      <c r="AH188" s="155"/>
      <c r="AI188" s="155"/>
      <c r="AJ188" s="155"/>
    </row>
    <row r="189" s="33" customFormat="1" ht="62.4" spans="1:36">
      <c r="A189" s="94">
        <f>IF(F189&lt;&gt;"",1+MAX($A$2:A188),"")</f>
        <v>118</v>
      </c>
      <c r="B189" s="112"/>
      <c r="C189" s="98"/>
      <c r="D189" s="89" t="s">
        <v>153</v>
      </c>
      <c r="E189" s="67">
        <v>3</v>
      </c>
      <c r="F189" s="103">
        <v>0</v>
      </c>
      <c r="G189" s="99">
        <f t="shared" ref="G189:G193" si="146">E189*(1+F189)</f>
        <v>3</v>
      </c>
      <c r="H189" s="67" t="s">
        <v>47</v>
      </c>
      <c r="I189" s="119">
        <v>0.74</v>
      </c>
      <c r="J189" s="120">
        <f t="shared" ref="J189:J193" si="147">+I189*G189</f>
        <v>2.22</v>
      </c>
      <c r="K189" s="121">
        <f>'LABOR SHEET'!$C$3</f>
        <v>70</v>
      </c>
      <c r="L189" s="122">
        <f t="shared" ref="L189:L193" si="148">I189*K189</f>
        <v>51.8</v>
      </c>
      <c r="M189" s="122">
        <f t="shared" ref="M189:M193" si="149">K189*J189</f>
        <v>155.4</v>
      </c>
      <c r="N189" s="122">
        <v>139.99</v>
      </c>
      <c r="O189" s="122">
        <f t="shared" ref="O189:O193" si="150">N189*G189</f>
        <v>419.97</v>
      </c>
      <c r="P189" s="122">
        <f t="shared" ref="P189:P193" si="151">(I189*K189)+N189</f>
        <v>191.79</v>
      </c>
      <c r="Q189" s="148">
        <f t="shared" ref="Q189:Q193" si="152">P189*G189</f>
        <v>575.37</v>
      </c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  <c r="AC189" s="155"/>
      <c r="AD189" s="155"/>
      <c r="AE189" s="155"/>
      <c r="AF189" s="155"/>
      <c r="AG189" s="155"/>
      <c r="AH189" s="155"/>
      <c r="AI189" s="155"/>
      <c r="AJ189" s="155"/>
    </row>
    <row r="190" s="33" customFormat="1" ht="93.6" spans="1:36">
      <c r="A190" s="94">
        <f>IF(F190&lt;&gt;"",1+MAX($A$2:A189),"")</f>
        <v>119</v>
      </c>
      <c r="B190" s="112"/>
      <c r="C190" s="98"/>
      <c r="D190" s="89" t="s">
        <v>154</v>
      </c>
      <c r="E190" s="67">
        <v>99</v>
      </c>
      <c r="F190" s="103">
        <v>0</v>
      </c>
      <c r="G190" s="99">
        <f t="shared" si="146"/>
        <v>99</v>
      </c>
      <c r="H190" s="67" t="s">
        <v>47</v>
      </c>
      <c r="I190" s="119">
        <v>0.38</v>
      </c>
      <c r="J190" s="120">
        <f t="shared" si="147"/>
        <v>37.62</v>
      </c>
      <c r="K190" s="121">
        <f>'LABOR SHEET'!$C$3</f>
        <v>70</v>
      </c>
      <c r="L190" s="122">
        <f t="shared" si="148"/>
        <v>26.6</v>
      </c>
      <c r="M190" s="122">
        <f t="shared" si="149"/>
        <v>2633.4</v>
      </c>
      <c r="N190" s="122">
        <v>26</v>
      </c>
      <c r="O190" s="122">
        <f t="shared" si="150"/>
        <v>2574</v>
      </c>
      <c r="P190" s="122">
        <f t="shared" si="151"/>
        <v>52.6</v>
      </c>
      <c r="Q190" s="148">
        <f t="shared" si="152"/>
        <v>5207.4</v>
      </c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  <c r="AC190" s="155"/>
      <c r="AD190" s="155"/>
      <c r="AE190" s="155"/>
      <c r="AF190" s="155"/>
      <c r="AG190" s="155"/>
      <c r="AH190" s="155"/>
      <c r="AI190" s="155"/>
      <c r="AJ190" s="155"/>
    </row>
    <row r="191" s="33" customFormat="1" ht="93.6" spans="1:36">
      <c r="A191" s="94">
        <f>IF(F191&lt;&gt;"",1+MAX($A$2:A190),"")</f>
        <v>120</v>
      </c>
      <c r="B191" s="112"/>
      <c r="C191" s="98"/>
      <c r="D191" s="89" t="s">
        <v>155</v>
      </c>
      <c r="E191" s="67">
        <v>53</v>
      </c>
      <c r="F191" s="103">
        <v>0</v>
      </c>
      <c r="G191" s="99">
        <f t="shared" si="146"/>
        <v>53</v>
      </c>
      <c r="H191" s="67" t="s">
        <v>47</v>
      </c>
      <c r="I191" s="119">
        <v>0.34</v>
      </c>
      <c r="J191" s="120">
        <f t="shared" si="147"/>
        <v>18.02</v>
      </c>
      <c r="K191" s="121">
        <f>'LABOR SHEET'!$C$3</f>
        <v>70</v>
      </c>
      <c r="L191" s="122">
        <f t="shared" si="148"/>
        <v>23.8</v>
      </c>
      <c r="M191" s="122">
        <f t="shared" si="149"/>
        <v>1261.4</v>
      </c>
      <c r="N191" s="122">
        <v>24</v>
      </c>
      <c r="O191" s="122">
        <f t="shared" si="150"/>
        <v>1272</v>
      </c>
      <c r="P191" s="122">
        <f t="shared" si="151"/>
        <v>47.8</v>
      </c>
      <c r="Q191" s="148">
        <f t="shared" si="152"/>
        <v>2533.4</v>
      </c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  <c r="AC191" s="155"/>
      <c r="AD191" s="155"/>
      <c r="AE191" s="155"/>
      <c r="AF191" s="155"/>
      <c r="AG191" s="155"/>
      <c r="AH191" s="155"/>
      <c r="AI191" s="155"/>
      <c r="AJ191" s="155"/>
    </row>
    <row r="192" s="33" customFormat="1" ht="93.6" spans="1:36">
      <c r="A192" s="94">
        <f>IF(F192&lt;&gt;"",1+MAX($A$2:A191),"")</f>
        <v>121</v>
      </c>
      <c r="B192" s="112"/>
      <c r="C192" s="98"/>
      <c r="D192" s="89" t="s">
        <v>156</v>
      </c>
      <c r="E192" s="67">
        <v>93</v>
      </c>
      <c r="F192" s="103">
        <v>0</v>
      </c>
      <c r="G192" s="99">
        <f t="shared" si="146"/>
        <v>93</v>
      </c>
      <c r="H192" s="67" t="s">
        <v>47</v>
      </c>
      <c r="I192" s="119">
        <v>0.32</v>
      </c>
      <c r="J192" s="120">
        <f t="shared" si="147"/>
        <v>29.76</v>
      </c>
      <c r="K192" s="121">
        <f>'LABOR SHEET'!$C$3</f>
        <v>70</v>
      </c>
      <c r="L192" s="122">
        <f t="shared" si="148"/>
        <v>22.4</v>
      </c>
      <c r="M192" s="122">
        <f t="shared" si="149"/>
        <v>2083.2</v>
      </c>
      <c r="N192" s="122">
        <v>21</v>
      </c>
      <c r="O192" s="122">
        <f t="shared" si="150"/>
        <v>1953</v>
      </c>
      <c r="P192" s="122">
        <f t="shared" si="151"/>
        <v>43.4</v>
      </c>
      <c r="Q192" s="148">
        <f t="shared" si="152"/>
        <v>4036.2</v>
      </c>
      <c r="R192" s="155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  <c r="AC192" s="155"/>
      <c r="AD192" s="155"/>
      <c r="AE192" s="155"/>
      <c r="AF192" s="155"/>
      <c r="AG192" s="155"/>
      <c r="AH192" s="155"/>
      <c r="AI192" s="155"/>
      <c r="AJ192" s="155"/>
    </row>
    <row r="193" s="33" customFormat="1" spans="1:36">
      <c r="A193" s="94">
        <f>IF(F193&lt;&gt;"",1+MAX($A$2:A192),"")</f>
        <v>122</v>
      </c>
      <c r="B193" s="112"/>
      <c r="C193" s="98"/>
      <c r="D193" s="86" t="s">
        <v>157</v>
      </c>
      <c r="E193" s="67">
        <v>1</v>
      </c>
      <c r="F193" s="103">
        <v>0</v>
      </c>
      <c r="G193" s="99">
        <f t="shared" si="146"/>
        <v>1</v>
      </c>
      <c r="H193" s="67" t="s">
        <v>47</v>
      </c>
      <c r="I193" s="119">
        <v>2.85</v>
      </c>
      <c r="J193" s="120">
        <f t="shared" si="147"/>
        <v>2.85</v>
      </c>
      <c r="K193" s="121">
        <f>'LABOR SHEET'!$C$3</f>
        <v>70</v>
      </c>
      <c r="L193" s="122">
        <f t="shared" si="148"/>
        <v>199.5</v>
      </c>
      <c r="M193" s="122">
        <f t="shared" si="149"/>
        <v>199.5</v>
      </c>
      <c r="N193" s="122">
        <v>658.29</v>
      </c>
      <c r="O193" s="122">
        <f t="shared" si="150"/>
        <v>658.29</v>
      </c>
      <c r="P193" s="122">
        <f t="shared" si="151"/>
        <v>857.79</v>
      </c>
      <c r="Q193" s="148">
        <f t="shared" si="152"/>
        <v>857.79</v>
      </c>
      <c r="R193" s="155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  <c r="AC193" s="155"/>
      <c r="AD193" s="155"/>
      <c r="AE193" s="155"/>
      <c r="AF193" s="155"/>
      <c r="AG193" s="155"/>
      <c r="AH193" s="155"/>
      <c r="AI193" s="155"/>
      <c r="AJ193" s="155"/>
    </row>
    <row r="194" s="33" customFormat="1" ht="62.4" spans="1:36">
      <c r="A194" s="94">
        <f>IF(F194&lt;&gt;"",1+MAX($A$2:A193),"")</f>
        <v>123</v>
      </c>
      <c r="B194" s="112"/>
      <c r="C194" s="98"/>
      <c r="D194" s="89" t="s">
        <v>158</v>
      </c>
      <c r="E194" s="67">
        <v>2</v>
      </c>
      <c r="F194" s="62">
        <v>0</v>
      </c>
      <c r="G194" s="99">
        <f t="shared" ref="G194:G200" si="153">E194*(1+F194)</f>
        <v>2</v>
      </c>
      <c r="H194" s="67" t="s">
        <v>47</v>
      </c>
      <c r="I194" s="119">
        <v>3.1</v>
      </c>
      <c r="J194" s="120">
        <f t="shared" ref="J194:J200" si="154">+I194*G194</f>
        <v>6.2</v>
      </c>
      <c r="K194" s="121">
        <f>'LABOR SHEET'!$C$3</f>
        <v>70</v>
      </c>
      <c r="L194" s="122">
        <f t="shared" ref="L194:L200" si="155">I194*K194</f>
        <v>217</v>
      </c>
      <c r="M194" s="122">
        <f t="shared" ref="M194:M200" si="156">K194*J194</f>
        <v>434</v>
      </c>
      <c r="N194" s="122">
        <v>369.08</v>
      </c>
      <c r="O194" s="122">
        <f t="shared" ref="O194:O200" si="157">N194*G194</f>
        <v>738.16</v>
      </c>
      <c r="P194" s="122">
        <f t="shared" ref="P194:P200" si="158">(I194*K194)+N194</f>
        <v>586.08</v>
      </c>
      <c r="Q194" s="148">
        <f t="shared" ref="Q194:Q200" si="159">P194*G194</f>
        <v>1172.16</v>
      </c>
      <c r="R194" s="155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  <c r="AC194" s="155"/>
      <c r="AD194" s="155"/>
      <c r="AE194" s="155"/>
      <c r="AF194" s="155"/>
      <c r="AG194" s="155"/>
      <c r="AH194" s="155"/>
      <c r="AI194" s="155"/>
      <c r="AJ194" s="155"/>
    </row>
    <row r="195" s="33" customFormat="1" ht="46.8" spans="1:36">
      <c r="A195" s="94">
        <f>IF(F195&lt;&gt;"",1+MAX($A$2:A194),"")</f>
        <v>124</v>
      </c>
      <c r="B195" s="112"/>
      <c r="C195" s="98"/>
      <c r="D195" s="89" t="s">
        <v>159</v>
      </c>
      <c r="E195" s="67">
        <v>3</v>
      </c>
      <c r="F195" s="103">
        <v>0</v>
      </c>
      <c r="G195" s="99">
        <f t="shared" si="153"/>
        <v>3</v>
      </c>
      <c r="H195" s="67" t="s">
        <v>47</v>
      </c>
      <c r="I195" s="119">
        <v>2.8</v>
      </c>
      <c r="J195" s="120">
        <f t="shared" si="154"/>
        <v>8.4</v>
      </c>
      <c r="K195" s="121">
        <f>'LABOR SHEET'!$C$3</f>
        <v>70</v>
      </c>
      <c r="L195" s="122">
        <f t="shared" si="155"/>
        <v>196</v>
      </c>
      <c r="M195" s="122">
        <f t="shared" si="156"/>
        <v>588</v>
      </c>
      <c r="N195" s="122">
        <v>378</v>
      </c>
      <c r="O195" s="122">
        <f t="shared" si="157"/>
        <v>1134</v>
      </c>
      <c r="P195" s="122">
        <f t="shared" si="158"/>
        <v>574</v>
      </c>
      <c r="Q195" s="148">
        <f t="shared" si="159"/>
        <v>1722</v>
      </c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  <c r="AD195" s="155"/>
      <c r="AE195" s="155"/>
      <c r="AF195" s="155"/>
      <c r="AG195" s="155"/>
      <c r="AH195" s="155"/>
      <c r="AI195" s="155"/>
      <c r="AJ195" s="155"/>
    </row>
    <row r="196" s="33" customFormat="1" ht="31.2" spans="1:36">
      <c r="A196" s="94">
        <f>IF(F196&lt;&gt;"",1+MAX($A$2:A195),"")</f>
        <v>125</v>
      </c>
      <c r="B196" s="112"/>
      <c r="C196" s="98"/>
      <c r="D196" s="89" t="s">
        <v>160</v>
      </c>
      <c r="E196" s="67">
        <v>2</v>
      </c>
      <c r="F196" s="103">
        <v>0</v>
      </c>
      <c r="G196" s="99">
        <f t="shared" si="153"/>
        <v>2</v>
      </c>
      <c r="H196" s="67" t="s">
        <v>47</v>
      </c>
      <c r="I196" s="119">
        <v>1</v>
      </c>
      <c r="J196" s="120">
        <f t="shared" si="154"/>
        <v>2</v>
      </c>
      <c r="K196" s="121">
        <f>'LABOR SHEET'!$C$3</f>
        <v>70</v>
      </c>
      <c r="L196" s="122">
        <f t="shared" si="155"/>
        <v>70</v>
      </c>
      <c r="M196" s="122">
        <f t="shared" si="156"/>
        <v>140</v>
      </c>
      <c r="N196" s="122">
        <v>78</v>
      </c>
      <c r="O196" s="122">
        <f t="shared" si="157"/>
        <v>156</v>
      </c>
      <c r="P196" s="122">
        <f t="shared" si="158"/>
        <v>148</v>
      </c>
      <c r="Q196" s="148">
        <f t="shared" si="159"/>
        <v>296</v>
      </c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  <c r="AC196" s="155"/>
      <c r="AD196" s="155"/>
      <c r="AE196" s="155"/>
      <c r="AF196" s="155"/>
      <c r="AG196" s="155"/>
      <c r="AH196" s="155"/>
      <c r="AI196" s="155"/>
      <c r="AJ196" s="155"/>
    </row>
    <row r="197" s="33" customFormat="1" ht="46.8" spans="1:36">
      <c r="A197" s="94">
        <f>IF(F197&lt;&gt;"",1+MAX($A$2:A196),"")</f>
        <v>126</v>
      </c>
      <c r="B197" s="112"/>
      <c r="C197" s="98"/>
      <c r="D197" s="89" t="s">
        <v>161</v>
      </c>
      <c r="E197" s="67">
        <v>29</v>
      </c>
      <c r="F197" s="103">
        <v>0</v>
      </c>
      <c r="G197" s="99">
        <f t="shared" si="153"/>
        <v>29</v>
      </c>
      <c r="H197" s="67" t="s">
        <v>47</v>
      </c>
      <c r="I197" s="119">
        <v>0.25</v>
      </c>
      <c r="J197" s="120">
        <f t="shared" si="154"/>
        <v>7.25</v>
      </c>
      <c r="K197" s="121">
        <f>'LABOR SHEET'!$C$3</f>
        <v>70</v>
      </c>
      <c r="L197" s="122">
        <f t="shared" si="155"/>
        <v>17.5</v>
      </c>
      <c r="M197" s="122">
        <f t="shared" si="156"/>
        <v>507.5</v>
      </c>
      <c r="N197" s="122">
        <f>37</f>
        <v>37</v>
      </c>
      <c r="O197" s="122">
        <f t="shared" si="157"/>
        <v>1073</v>
      </c>
      <c r="P197" s="122">
        <f t="shared" si="158"/>
        <v>54.5</v>
      </c>
      <c r="Q197" s="148">
        <f t="shared" si="159"/>
        <v>1580.5</v>
      </c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  <c r="AC197" s="155"/>
      <c r="AD197" s="155"/>
      <c r="AE197" s="155"/>
      <c r="AF197" s="155"/>
      <c r="AG197" s="155"/>
      <c r="AH197" s="155"/>
      <c r="AI197" s="155"/>
      <c r="AJ197" s="155"/>
    </row>
    <row r="198" s="33" customFormat="1" ht="31.2" spans="1:36">
      <c r="A198" s="94">
        <f>IF(F198&lt;&gt;"",1+MAX($A$2:A197),"")</f>
        <v>127</v>
      </c>
      <c r="B198" s="112"/>
      <c r="C198" s="98"/>
      <c r="D198" s="89" t="s">
        <v>162</v>
      </c>
      <c r="E198" s="67">
        <v>2</v>
      </c>
      <c r="F198" s="103">
        <v>0</v>
      </c>
      <c r="G198" s="99">
        <f t="shared" si="153"/>
        <v>2</v>
      </c>
      <c r="H198" s="67" t="s">
        <v>47</v>
      </c>
      <c r="I198" s="119">
        <v>3.385</v>
      </c>
      <c r="J198" s="120">
        <f t="shared" si="154"/>
        <v>6.77</v>
      </c>
      <c r="K198" s="121">
        <f>'LABOR SHEET'!$C$3</f>
        <v>70</v>
      </c>
      <c r="L198" s="122">
        <f t="shared" si="155"/>
        <v>236.95</v>
      </c>
      <c r="M198" s="122">
        <f t="shared" si="156"/>
        <v>473.9</v>
      </c>
      <c r="N198" s="122">
        <v>371.89</v>
      </c>
      <c r="O198" s="122">
        <f t="shared" si="157"/>
        <v>743.78</v>
      </c>
      <c r="P198" s="122">
        <f t="shared" si="158"/>
        <v>608.84</v>
      </c>
      <c r="Q198" s="148">
        <f t="shared" si="159"/>
        <v>1217.68</v>
      </c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  <c r="AC198" s="155"/>
      <c r="AD198" s="155"/>
      <c r="AE198" s="155"/>
      <c r="AF198" s="155"/>
      <c r="AG198" s="155"/>
      <c r="AH198" s="155"/>
      <c r="AI198" s="155"/>
      <c r="AJ198" s="155"/>
    </row>
    <row r="199" s="33" customFormat="1" ht="46.8" spans="1:36">
      <c r="A199" s="94">
        <f>IF(F199&lt;&gt;"",1+MAX($A$2:A198),"")</f>
        <v>128</v>
      </c>
      <c r="B199" s="112"/>
      <c r="C199" s="98"/>
      <c r="D199" s="89" t="s">
        <v>163</v>
      </c>
      <c r="E199" s="67">
        <v>1</v>
      </c>
      <c r="F199" s="103">
        <v>0</v>
      </c>
      <c r="G199" s="99">
        <f t="shared" si="153"/>
        <v>1</v>
      </c>
      <c r="H199" s="67" t="s">
        <v>47</v>
      </c>
      <c r="I199" s="119">
        <v>1.7</v>
      </c>
      <c r="J199" s="120">
        <f t="shared" si="154"/>
        <v>1.7</v>
      </c>
      <c r="K199" s="121">
        <f>'LABOR SHEET'!$C$3</f>
        <v>70</v>
      </c>
      <c r="L199" s="122">
        <f t="shared" si="155"/>
        <v>119</v>
      </c>
      <c r="M199" s="122">
        <f t="shared" si="156"/>
        <v>119</v>
      </c>
      <c r="N199" s="122">
        <v>108.24</v>
      </c>
      <c r="O199" s="122">
        <f t="shared" si="157"/>
        <v>108.24</v>
      </c>
      <c r="P199" s="122">
        <f t="shared" si="158"/>
        <v>227.24</v>
      </c>
      <c r="Q199" s="148">
        <f t="shared" si="159"/>
        <v>227.24</v>
      </c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  <c r="AC199" s="155"/>
      <c r="AD199" s="155"/>
      <c r="AE199" s="155"/>
      <c r="AF199" s="155"/>
      <c r="AG199" s="155"/>
      <c r="AH199" s="155"/>
      <c r="AI199" s="155"/>
      <c r="AJ199" s="155"/>
    </row>
    <row r="200" s="33" customFormat="1" spans="1:36">
      <c r="A200" s="94">
        <f>IF(F200&lt;&gt;"",1+MAX($A$2:A199),"")</f>
        <v>129</v>
      </c>
      <c r="B200" s="112"/>
      <c r="C200" s="98"/>
      <c r="D200" s="86" t="s">
        <v>164</v>
      </c>
      <c r="E200" s="67">
        <v>2</v>
      </c>
      <c r="F200" s="103">
        <v>0</v>
      </c>
      <c r="G200" s="99">
        <f t="shared" si="153"/>
        <v>2</v>
      </c>
      <c r="H200" s="67" t="s">
        <v>47</v>
      </c>
      <c r="I200" s="119">
        <v>0.7</v>
      </c>
      <c r="J200" s="120">
        <f t="shared" si="154"/>
        <v>1.4</v>
      </c>
      <c r="K200" s="121">
        <f>'LABOR SHEET'!$C$3</f>
        <v>70</v>
      </c>
      <c r="L200" s="122">
        <f t="shared" si="155"/>
        <v>49</v>
      </c>
      <c r="M200" s="122">
        <f t="shared" si="156"/>
        <v>98</v>
      </c>
      <c r="N200" s="122">
        <v>88</v>
      </c>
      <c r="O200" s="122">
        <f t="shared" si="157"/>
        <v>176</v>
      </c>
      <c r="P200" s="122">
        <f t="shared" si="158"/>
        <v>137</v>
      </c>
      <c r="Q200" s="148">
        <f t="shared" si="159"/>
        <v>274</v>
      </c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  <c r="AC200" s="155"/>
      <c r="AD200" s="155"/>
      <c r="AE200" s="155"/>
      <c r="AF200" s="155"/>
      <c r="AG200" s="155"/>
      <c r="AH200" s="155"/>
      <c r="AI200" s="155"/>
      <c r="AJ200" s="155"/>
    </row>
    <row r="201" s="33" customFormat="1" spans="1:36">
      <c r="A201" s="94"/>
      <c r="B201" s="112"/>
      <c r="C201" s="98"/>
      <c r="D201" s="86"/>
      <c r="E201" s="67"/>
      <c r="F201" s="103"/>
      <c r="G201" s="99"/>
      <c r="H201" s="67"/>
      <c r="I201" s="119"/>
      <c r="J201" s="120"/>
      <c r="K201" s="121"/>
      <c r="L201" s="122"/>
      <c r="M201" s="122"/>
      <c r="N201" s="122"/>
      <c r="O201" s="122"/>
      <c r="P201" s="122"/>
      <c r="Q201" s="148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  <c r="AC201" s="155"/>
      <c r="AD201" s="155"/>
      <c r="AE201" s="155"/>
      <c r="AF201" s="155"/>
      <c r="AG201" s="155"/>
      <c r="AH201" s="155"/>
      <c r="AI201" s="155"/>
      <c r="AJ201" s="155"/>
    </row>
    <row r="202" s="33" customFormat="1" spans="1:36">
      <c r="A202" s="94" t="str">
        <f>IF(F202&lt;&gt;"",1+MAX($A$2:A200),"")</f>
        <v/>
      </c>
      <c r="B202" s="112"/>
      <c r="C202" s="98"/>
      <c r="D202" s="96" t="s">
        <v>165</v>
      </c>
      <c r="E202" s="67"/>
      <c r="F202" s="103"/>
      <c r="G202" s="99"/>
      <c r="H202" s="67"/>
      <c r="I202" s="119"/>
      <c r="J202" s="120"/>
      <c r="K202" s="121"/>
      <c r="L202" s="122"/>
      <c r="M202" s="122"/>
      <c r="N202" s="122"/>
      <c r="O202" s="122"/>
      <c r="P202" s="122"/>
      <c r="Q202" s="148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  <c r="AC202" s="155"/>
      <c r="AD202" s="155"/>
      <c r="AE202" s="155"/>
      <c r="AF202" s="155"/>
      <c r="AG202" s="155"/>
      <c r="AH202" s="155"/>
      <c r="AI202" s="155"/>
      <c r="AJ202" s="155"/>
    </row>
    <row r="203" s="33" customFormat="1" spans="1:36">
      <c r="A203" s="94" t="str">
        <f>IF(F203&lt;&gt;"",1+MAX($A$2:A202),"")</f>
        <v/>
      </c>
      <c r="B203" s="112"/>
      <c r="C203" s="98"/>
      <c r="D203" s="111" t="s">
        <v>166</v>
      </c>
      <c r="E203" s="67"/>
      <c r="F203" s="103"/>
      <c r="G203" s="99"/>
      <c r="H203" s="67"/>
      <c r="I203" s="119"/>
      <c r="J203" s="120"/>
      <c r="K203" s="121"/>
      <c r="L203" s="122"/>
      <c r="M203" s="122"/>
      <c r="N203" s="122"/>
      <c r="O203" s="122"/>
      <c r="P203" s="122"/>
      <c r="Q203" s="148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  <c r="AC203" s="155"/>
      <c r="AD203" s="155"/>
      <c r="AE203" s="155"/>
      <c r="AF203" s="155"/>
      <c r="AG203" s="155"/>
      <c r="AH203" s="155"/>
      <c r="AI203" s="155"/>
      <c r="AJ203" s="155"/>
    </row>
    <row r="204" s="33" customFormat="1" ht="46.8" spans="1:36">
      <c r="A204" s="94">
        <f>IF(F204&lt;&gt;"",1+MAX($A$2:A203),"")</f>
        <v>130</v>
      </c>
      <c r="B204" s="112"/>
      <c r="C204" s="98"/>
      <c r="D204" s="89" t="s">
        <v>167</v>
      </c>
      <c r="E204" s="67">
        <v>6</v>
      </c>
      <c r="F204" s="103">
        <v>0</v>
      </c>
      <c r="G204" s="99">
        <f>E204*(1+F204)</f>
        <v>6</v>
      </c>
      <c r="H204" s="67" t="s">
        <v>47</v>
      </c>
      <c r="I204" s="119">
        <v>3.1</v>
      </c>
      <c r="J204" s="120">
        <f>+I204*G204</f>
        <v>18.6</v>
      </c>
      <c r="K204" s="121">
        <f>'LABOR SHEET'!$C$5</f>
        <v>45</v>
      </c>
      <c r="L204" s="122">
        <f>I204*K204</f>
        <v>139.5</v>
      </c>
      <c r="M204" s="122">
        <f>K204*J204</f>
        <v>837</v>
      </c>
      <c r="N204" s="122">
        <v>254</v>
      </c>
      <c r="O204" s="122">
        <f>N204*G204</f>
        <v>1524</v>
      </c>
      <c r="P204" s="122">
        <f>(I204*K204)+N204</f>
        <v>393.5</v>
      </c>
      <c r="Q204" s="148">
        <f>P204*G204</f>
        <v>2361</v>
      </c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  <c r="AC204" s="155"/>
      <c r="AD204" s="155"/>
      <c r="AE204" s="155"/>
      <c r="AF204" s="155"/>
      <c r="AG204" s="155"/>
      <c r="AH204" s="155"/>
      <c r="AI204" s="155"/>
      <c r="AJ204" s="155"/>
    </row>
    <row r="205" s="33" customFormat="1" ht="46.8" spans="1:36">
      <c r="A205" s="94">
        <f>IF(F205&lt;&gt;"",1+MAX($A$2:A204),"")</f>
        <v>131</v>
      </c>
      <c r="B205" s="112"/>
      <c r="C205" s="98"/>
      <c r="D205" s="89" t="s">
        <v>168</v>
      </c>
      <c r="E205" s="67">
        <v>9</v>
      </c>
      <c r="F205" s="103">
        <v>0</v>
      </c>
      <c r="G205" s="99">
        <f t="shared" ref="G205:G208" si="160">E205*(1+F205)</f>
        <v>9</v>
      </c>
      <c r="H205" s="67" t="s">
        <v>47</v>
      </c>
      <c r="I205" s="119">
        <v>3.85</v>
      </c>
      <c r="J205" s="120">
        <f t="shared" ref="J205:J208" si="161">+I205*G205</f>
        <v>34.65</v>
      </c>
      <c r="K205" s="121">
        <f>'LABOR SHEET'!$C$5</f>
        <v>45</v>
      </c>
      <c r="L205" s="122">
        <f t="shared" ref="L205:L208" si="162">I205*K205</f>
        <v>173.25</v>
      </c>
      <c r="M205" s="122">
        <f t="shared" ref="M205:M208" si="163">K205*J205</f>
        <v>1559.25</v>
      </c>
      <c r="N205" s="122">
        <v>287</v>
      </c>
      <c r="O205" s="122">
        <f t="shared" ref="O205:O208" si="164">N205*G205</f>
        <v>2583</v>
      </c>
      <c r="P205" s="122">
        <f t="shared" ref="P205:P208" si="165">(I205*K205)+N205</f>
        <v>460.25</v>
      </c>
      <c r="Q205" s="148">
        <f t="shared" ref="Q205:Q208" si="166">P205*G205</f>
        <v>4142.25</v>
      </c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  <c r="AC205" s="155"/>
      <c r="AD205" s="155"/>
      <c r="AE205" s="155"/>
      <c r="AF205" s="155"/>
      <c r="AG205" s="155"/>
      <c r="AH205" s="155"/>
      <c r="AI205" s="155"/>
      <c r="AJ205" s="155"/>
    </row>
    <row r="206" s="33" customFormat="1" ht="31.2" spans="1:36">
      <c r="A206" s="94">
        <f>IF(F206&lt;&gt;"",1+MAX($A$2:A205),"")</f>
        <v>132</v>
      </c>
      <c r="B206" s="112"/>
      <c r="C206" s="98"/>
      <c r="D206" s="89" t="s">
        <v>169</v>
      </c>
      <c r="E206" s="67">
        <v>14</v>
      </c>
      <c r="F206" s="103">
        <v>0</v>
      </c>
      <c r="G206" s="99">
        <f t="shared" si="160"/>
        <v>14</v>
      </c>
      <c r="H206" s="67" t="s">
        <v>47</v>
      </c>
      <c r="I206" s="119">
        <v>3.1</v>
      </c>
      <c r="J206" s="120">
        <f t="shared" si="161"/>
        <v>43.4</v>
      </c>
      <c r="K206" s="121">
        <f>'LABOR SHEET'!$C$5</f>
        <v>45</v>
      </c>
      <c r="L206" s="122">
        <f t="shared" si="162"/>
        <v>139.5</v>
      </c>
      <c r="M206" s="122">
        <f t="shared" si="163"/>
        <v>1953</v>
      </c>
      <c r="N206" s="122">
        <v>244</v>
      </c>
      <c r="O206" s="122">
        <f t="shared" si="164"/>
        <v>3416</v>
      </c>
      <c r="P206" s="122">
        <f t="shared" si="165"/>
        <v>383.5</v>
      </c>
      <c r="Q206" s="148">
        <f t="shared" si="166"/>
        <v>5369</v>
      </c>
      <c r="R206" s="155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  <c r="AC206" s="155"/>
      <c r="AD206" s="155"/>
      <c r="AE206" s="155"/>
      <c r="AF206" s="155"/>
      <c r="AG206" s="155"/>
      <c r="AH206" s="155"/>
      <c r="AI206" s="155"/>
      <c r="AJ206" s="155"/>
    </row>
    <row r="207" s="33" customFormat="1" ht="46.8" spans="1:36">
      <c r="A207" s="94">
        <f>IF(F207&lt;&gt;"",1+MAX($A$2:A206),"")</f>
        <v>133</v>
      </c>
      <c r="B207" s="112"/>
      <c r="C207" s="98"/>
      <c r="D207" s="89" t="s">
        <v>170</v>
      </c>
      <c r="E207" s="67">
        <v>6</v>
      </c>
      <c r="F207" s="103">
        <v>0</v>
      </c>
      <c r="G207" s="99">
        <f t="shared" si="160"/>
        <v>6</v>
      </c>
      <c r="H207" s="67" t="s">
        <v>47</v>
      </c>
      <c r="I207" s="119">
        <v>4.2</v>
      </c>
      <c r="J207" s="120">
        <f t="shared" si="161"/>
        <v>25.2</v>
      </c>
      <c r="K207" s="121">
        <f>'LABOR SHEET'!$C$5</f>
        <v>45</v>
      </c>
      <c r="L207" s="122">
        <f t="shared" si="162"/>
        <v>189</v>
      </c>
      <c r="M207" s="122">
        <f t="shared" si="163"/>
        <v>1134</v>
      </c>
      <c r="N207" s="122">
        <v>545</v>
      </c>
      <c r="O207" s="122">
        <f t="shared" si="164"/>
        <v>3270</v>
      </c>
      <c r="P207" s="122">
        <f t="shared" si="165"/>
        <v>734</v>
      </c>
      <c r="Q207" s="148">
        <f t="shared" si="166"/>
        <v>4404</v>
      </c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  <c r="AC207" s="155"/>
      <c r="AD207" s="155"/>
      <c r="AE207" s="155"/>
      <c r="AF207" s="155"/>
      <c r="AG207" s="155"/>
      <c r="AH207" s="155"/>
      <c r="AI207" s="155"/>
      <c r="AJ207" s="155"/>
    </row>
    <row r="208" s="33" customFormat="1" spans="1:36">
      <c r="A208" s="94">
        <f>IF(F208&lt;&gt;"",1+MAX($A$2:A207),"")</f>
        <v>134</v>
      </c>
      <c r="B208" s="112"/>
      <c r="C208" s="160"/>
      <c r="D208" s="89" t="s">
        <v>171</v>
      </c>
      <c r="E208" s="67">
        <f>35*3</f>
        <v>105</v>
      </c>
      <c r="F208" s="103">
        <v>0</v>
      </c>
      <c r="G208" s="99">
        <f t="shared" si="160"/>
        <v>105</v>
      </c>
      <c r="H208" s="67" t="s">
        <v>47</v>
      </c>
      <c r="I208" s="119">
        <v>0.006</v>
      </c>
      <c r="J208" s="120">
        <f t="shared" si="161"/>
        <v>0.63</v>
      </c>
      <c r="K208" s="121">
        <f>'LABOR SHEET'!$C$5</f>
        <v>45</v>
      </c>
      <c r="L208" s="122">
        <f t="shared" si="162"/>
        <v>0.27</v>
      </c>
      <c r="M208" s="122">
        <f t="shared" si="163"/>
        <v>28.35</v>
      </c>
      <c r="N208" s="122">
        <v>0.79</v>
      </c>
      <c r="O208" s="122">
        <f t="shared" si="164"/>
        <v>82.95</v>
      </c>
      <c r="P208" s="122">
        <f t="shared" si="165"/>
        <v>1.06</v>
      </c>
      <c r="Q208" s="148">
        <f t="shared" si="166"/>
        <v>111.3</v>
      </c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  <c r="AC208" s="155"/>
      <c r="AD208" s="155"/>
      <c r="AE208" s="155"/>
      <c r="AF208" s="155"/>
      <c r="AG208" s="155"/>
      <c r="AH208" s="155"/>
      <c r="AI208" s="155"/>
      <c r="AJ208" s="155"/>
    </row>
    <row r="209" s="33" customFormat="1" spans="1:36">
      <c r="A209" s="94"/>
      <c r="B209" s="112"/>
      <c r="C209" s="160"/>
      <c r="D209" s="89"/>
      <c r="E209" s="67"/>
      <c r="F209" s="103"/>
      <c r="G209" s="99"/>
      <c r="H209" s="67"/>
      <c r="I209" s="119"/>
      <c r="J209" s="120"/>
      <c r="K209" s="121"/>
      <c r="L209" s="122"/>
      <c r="M209" s="122"/>
      <c r="N209" s="122"/>
      <c r="O209" s="122"/>
      <c r="P209" s="122"/>
      <c r="Q209" s="148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  <c r="AC209" s="155"/>
      <c r="AD209" s="155"/>
      <c r="AE209" s="155"/>
      <c r="AF209" s="155"/>
      <c r="AG209" s="155"/>
      <c r="AH209" s="155"/>
      <c r="AI209" s="155"/>
      <c r="AJ209" s="155"/>
    </row>
    <row r="210" s="33" customFormat="1" spans="1:36">
      <c r="A210" s="94" t="str">
        <f>IF(F210&lt;&gt;"",1+MAX($A$2:A208),"")</f>
        <v/>
      </c>
      <c r="B210" s="112"/>
      <c r="C210" s="98"/>
      <c r="D210" s="111" t="s">
        <v>172</v>
      </c>
      <c r="E210" s="67"/>
      <c r="F210" s="103"/>
      <c r="G210" s="99"/>
      <c r="H210" s="67"/>
      <c r="I210" s="119"/>
      <c r="J210" s="120"/>
      <c r="K210" s="121"/>
      <c r="L210" s="122"/>
      <c r="M210" s="122"/>
      <c r="N210" s="122"/>
      <c r="O210" s="122"/>
      <c r="P210" s="122"/>
      <c r="Q210" s="148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  <c r="AC210" s="155"/>
      <c r="AD210" s="155"/>
      <c r="AE210" s="155"/>
      <c r="AF210" s="155"/>
      <c r="AG210" s="155"/>
      <c r="AH210" s="155"/>
      <c r="AI210" s="155"/>
      <c r="AJ210" s="155"/>
    </row>
    <row r="211" s="33" customFormat="1" ht="46.8" spans="1:36">
      <c r="A211" s="94">
        <f>IF(F211&lt;&gt;"",1+MAX($A$2:A210),"")</f>
        <v>135</v>
      </c>
      <c r="B211" s="112"/>
      <c r="C211" s="98"/>
      <c r="D211" s="89" t="s">
        <v>173</v>
      </c>
      <c r="E211" s="67">
        <v>15</v>
      </c>
      <c r="F211" s="103">
        <v>0</v>
      </c>
      <c r="G211" s="99">
        <f t="shared" ref="G211:G216" si="167">E211*(1+F211)</f>
        <v>15</v>
      </c>
      <c r="H211" s="67" t="s">
        <v>47</v>
      </c>
      <c r="I211" s="119">
        <v>1.1</v>
      </c>
      <c r="J211" s="120">
        <f t="shared" ref="J211:J216" si="168">+I211*G211</f>
        <v>16.5</v>
      </c>
      <c r="K211" s="121">
        <f>'LABOR SHEET'!$C$5</f>
        <v>45</v>
      </c>
      <c r="L211" s="122">
        <f t="shared" ref="L211:L216" si="169">I211*K211</f>
        <v>49.5</v>
      </c>
      <c r="M211" s="122">
        <f t="shared" ref="M211:M216" si="170">K211*J211</f>
        <v>742.5</v>
      </c>
      <c r="N211" s="122">
        <v>38</v>
      </c>
      <c r="O211" s="122">
        <f t="shared" ref="O211:O216" si="171">N211*G211</f>
        <v>570</v>
      </c>
      <c r="P211" s="122">
        <f t="shared" ref="P211:P216" si="172">(I211*K211)+N211</f>
        <v>87.5</v>
      </c>
      <c r="Q211" s="148">
        <f t="shared" ref="Q211:Q216" si="173">P211*G211</f>
        <v>1312.5</v>
      </c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  <c r="AC211" s="155"/>
      <c r="AD211" s="155"/>
      <c r="AE211" s="155"/>
      <c r="AF211" s="155"/>
      <c r="AG211" s="155"/>
      <c r="AH211" s="155"/>
      <c r="AI211" s="155"/>
      <c r="AJ211" s="155"/>
    </row>
    <row r="212" s="33" customFormat="1" ht="46.8" spans="1:36">
      <c r="A212" s="94">
        <f>IF(F212&lt;&gt;"",1+MAX($A$2:A211),"")</f>
        <v>136</v>
      </c>
      <c r="B212" s="112"/>
      <c r="C212" s="98"/>
      <c r="D212" s="89" t="s">
        <v>174</v>
      </c>
      <c r="E212" s="67">
        <v>74</v>
      </c>
      <c r="F212" s="103">
        <v>0</v>
      </c>
      <c r="G212" s="99">
        <f t="shared" si="167"/>
        <v>74</v>
      </c>
      <c r="H212" s="67" t="s">
        <v>47</v>
      </c>
      <c r="I212" s="119">
        <v>1.2</v>
      </c>
      <c r="J212" s="120">
        <f t="shared" si="168"/>
        <v>88.8</v>
      </c>
      <c r="K212" s="121">
        <f>'LABOR SHEET'!$C$5</f>
        <v>45</v>
      </c>
      <c r="L212" s="122">
        <f t="shared" si="169"/>
        <v>54</v>
      </c>
      <c r="M212" s="122">
        <f t="shared" si="170"/>
        <v>3996</v>
      </c>
      <c r="N212" s="122">
        <v>92.55</v>
      </c>
      <c r="O212" s="122">
        <f t="shared" si="171"/>
        <v>6848.7</v>
      </c>
      <c r="P212" s="122">
        <f t="shared" si="172"/>
        <v>146.55</v>
      </c>
      <c r="Q212" s="148">
        <f t="shared" si="173"/>
        <v>10844.7</v>
      </c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  <c r="AC212" s="155"/>
      <c r="AD212" s="155"/>
      <c r="AE212" s="155"/>
      <c r="AF212" s="155"/>
      <c r="AG212" s="155"/>
      <c r="AH212" s="155"/>
      <c r="AI212" s="155"/>
      <c r="AJ212" s="155"/>
    </row>
    <row r="213" s="33" customFormat="1" ht="31.2" spans="1:36">
      <c r="A213" s="94">
        <f>IF(F213&lt;&gt;"",1+MAX($A$2:A212),"")</f>
        <v>137</v>
      </c>
      <c r="B213" s="112"/>
      <c r="C213" s="98"/>
      <c r="D213" s="89" t="s">
        <v>175</v>
      </c>
      <c r="E213" s="67">
        <v>31</v>
      </c>
      <c r="F213" s="103">
        <v>0</v>
      </c>
      <c r="G213" s="99">
        <f t="shared" si="167"/>
        <v>31</v>
      </c>
      <c r="H213" s="67" t="s">
        <v>47</v>
      </c>
      <c r="I213" s="119">
        <v>1.1</v>
      </c>
      <c r="J213" s="120">
        <f t="shared" si="168"/>
        <v>34.1</v>
      </c>
      <c r="K213" s="121">
        <f>'LABOR SHEET'!$C$5</f>
        <v>45</v>
      </c>
      <c r="L213" s="122">
        <f t="shared" si="169"/>
        <v>49.5</v>
      </c>
      <c r="M213" s="122">
        <f t="shared" si="170"/>
        <v>1534.5</v>
      </c>
      <c r="N213" s="122">
        <v>44</v>
      </c>
      <c r="O213" s="122">
        <f t="shared" si="171"/>
        <v>1364</v>
      </c>
      <c r="P213" s="122">
        <f t="shared" si="172"/>
        <v>93.5</v>
      </c>
      <c r="Q213" s="148">
        <f t="shared" si="173"/>
        <v>2898.5</v>
      </c>
      <c r="R213" s="155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  <c r="AC213" s="155"/>
      <c r="AD213" s="155"/>
      <c r="AE213" s="155"/>
      <c r="AF213" s="155"/>
      <c r="AG213" s="155"/>
      <c r="AH213" s="155"/>
      <c r="AI213" s="155"/>
      <c r="AJ213" s="155"/>
    </row>
    <row r="214" s="33" customFormat="1" ht="31.2" spans="1:36">
      <c r="A214" s="94">
        <f>IF(F214&lt;&gt;"",1+MAX($A$2:A213),"")</f>
        <v>138</v>
      </c>
      <c r="B214" s="112"/>
      <c r="C214" s="98"/>
      <c r="D214" s="89" t="s">
        <v>176</v>
      </c>
      <c r="E214" s="67">
        <v>32</v>
      </c>
      <c r="F214" s="103">
        <v>0</v>
      </c>
      <c r="G214" s="99">
        <f t="shared" si="167"/>
        <v>32</v>
      </c>
      <c r="H214" s="67" t="s">
        <v>47</v>
      </c>
      <c r="I214" s="119">
        <v>1.2</v>
      </c>
      <c r="J214" s="120">
        <f t="shared" si="168"/>
        <v>38.4</v>
      </c>
      <c r="K214" s="121">
        <f>'LABOR SHEET'!$C$5</f>
        <v>45</v>
      </c>
      <c r="L214" s="122">
        <f t="shared" si="169"/>
        <v>54</v>
      </c>
      <c r="M214" s="122">
        <f t="shared" si="170"/>
        <v>1728</v>
      </c>
      <c r="N214" s="122">
        <v>88</v>
      </c>
      <c r="O214" s="122">
        <f t="shared" si="171"/>
        <v>2816</v>
      </c>
      <c r="P214" s="122">
        <f t="shared" si="172"/>
        <v>142</v>
      </c>
      <c r="Q214" s="148">
        <f t="shared" si="173"/>
        <v>4544</v>
      </c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  <c r="AC214" s="155"/>
      <c r="AD214" s="155"/>
      <c r="AE214" s="155"/>
      <c r="AF214" s="155"/>
      <c r="AG214" s="155"/>
      <c r="AH214" s="155"/>
      <c r="AI214" s="155"/>
      <c r="AJ214" s="155"/>
    </row>
    <row r="215" s="33" customFormat="1" ht="46.8" spans="1:36">
      <c r="A215" s="94">
        <f>IF(F215&lt;&gt;"",1+MAX($A$2:A214),"")</f>
        <v>139</v>
      </c>
      <c r="B215" s="112"/>
      <c r="C215" s="98"/>
      <c r="D215" s="89" t="s">
        <v>177</v>
      </c>
      <c r="E215" s="67">
        <v>4</v>
      </c>
      <c r="F215" s="103">
        <v>0</v>
      </c>
      <c r="G215" s="99">
        <f t="shared" si="167"/>
        <v>4</v>
      </c>
      <c r="H215" s="67" t="s">
        <v>47</v>
      </c>
      <c r="I215" s="119">
        <v>1</v>
      </c>
      <c r="J215" s="120">
        <f t="shared" si="168"/>
        <v>4</v>
      </c>
      <c r="K215" s="121">
        <f>'LABOR SHEET'!$C$5</f>
        <v>45</v>
      </c>
      <c r="L215" s="122">
        <f t="shared" si="169"/>
        <v>45</v>
      </c>
      <c r="M215" s="122">
        <f t="shared" si="170"/>
        <v>180</v>
      </c>
      <c r="N215" s="122">
        <v>140</v>
      </c>
      <c r="O215" s="122">
        <f t="shared" si="171"/>
        <v>560</v>
      </c>
      <c r="P215" s="122">
        <f t="shared" si="172"/>
        <v>185</v>
      </c>
      <c r="Q215" s="148">
        <f t="shared" si="173"/>
        <v>740</v>
      </c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  <c r="AC215" s="155"/>
      <c r="AD215" s="155"/>
      <c r="AE215" s="155"/>
      <c r="AF215" s="155"/>
      <c r="AG215" s="155"/>
      <c r="AH215" s="155"/>
      <c r="AI215" s="155"/>
      <c r="AJ215" s="155"/>
    </row>
    <row r="216" s="33" customFormat="1" spans="1:36">
      <c r="A216" s="94">
        <f>IF(F216&lt;&gt;"",1+MAX($A$2:A215),"")</f>
        <v>140</v>
      </c>
      <c r="B216" s="112"/>
      <c r="C216" s="98"/>
      <c r="D216" s="89" t="s">
        <v>178</v>
      </c>
      <c r="E216" s="67">
        <f>156*2</f>
        <v>312</v>
      </c>
      <c r="F216" s="103">
        <v>0</v>
      </c>
      <c r="G216" s="99">
        <f t="shared" si="167"/>
        <v>312</v>
      </c>
      <c r="H216" s="67" t="s">
        <v>47</v>
      </c>
      <c r="I216" s="119">
        <v>0.006</v>
      </c>
      <c r="J216" s="120">
        <f t="shared" si="168"/>
        <v>1.872</v>
      </c>
      <c r="K216" s="121">
        <f>'LABOR SHEET'!$C$5</f>
        <v>45</v>
      </c>
      <c r="L216" s="122">
        <f t="shared" si="169"/>
        <v>0.27</v>
      </c>
      <c r="M216" s="122">
        <f t="shared" si="170"/>
        <v>84.24</v>
      </c>
      <c r="N216" s="122">
        <v>0.79</v>
      </c>
      <c r="O216" s="122">
        <f t="shared" si="171"/>
        <v>246.48</v>
      </c>
      <c r="P216" s="122">
        <f t="shared" si="172"/>
        <v>1.06</v>
      </c>
      <c r="Q216" s="148">
        <f t="shared" si="173"/>
        <v>330.72</v>
      </c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  <c r="AC216" s="155"/>
      <c r="AD216" s="155"/>
      <c r="AE216" s="155"/>
      <c r="AF216" s="155"/>
      <c r="AG216" s="155"/>
      <c r="AH216" s="155"/>
      <c r="AI216" s="155"/>
      <c r="AJ216" s="155"/>
    </row>
    <row r="217" s="33" customFormat="1" spans="1:36">
      <c r="A217" s="94"/>
      <c r="B217" s="112"/>
      <c r="C217" s="98"/>
      <c r="D217" s="89"/>
      <c r="E217" s="67"/>
      <c r="F217" s="103"/>
      <c r="G217" s="99"/>
      <c r="H217" s="67"/>
      <c r="I217" s="119"/>
      <c r="J217" s="120"/>
      <c r="K217" s="121"/>
      <c r="L217" s="122"/>
      <c r="M217" s="122"/>
      <c r="N217" s="122"/>
      <c r="O217" s="122"/>
      <c r="P217" s="122"/>
      <c r="Q217" s="148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  <c r="AC217" s="155"/>
      <c r="AD217" s="155"/>
      <c r="AE217" s="155"/>
      <c r="AF217" s="155"/>
      <c r="AG217" s="155"/>
      <c r="AH217" s="155"/>
      <c r="AI217" s="155"/>
      <c r="AJ217" s="155"/>
    </row>
    <row r="218" s="33" customFormat="1" spans="1:36">
      <c r="A218" s="94" t="str">
        <f>IF(F218&lt;&gt;"",1+MAX($A$2:A216),"")</f>
        <v/>
      </c>
      <c r="B218" s="112"/>
      <c r="C218" s="98"/>
      <c r="D218" s="111" t="s">
        <v>179</v>
      </c>
      <c r="E218" s="67"/>
      <c r="F218" s="103"/>
      <c r="G218" s="99"/>
      <c r="H218" s="67"/>
      <c r="I218" s="119"/>
      <c r="J218" s="120"/>
      <c r="K218" s="121"/>
      <c r="L218" s="122"/>
      <c r="M218" s="122"/>
      <c r="N218" s="122"/>
      <c r="O218" s="122"/>
      <c r="P218" s="122"/>
      <c r="Q218" s="148"/>
      <c r="R218" s="155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  <c r="AC218" s="155"/>
      <c r="AD218" s="155"/>
      <c r="AE218" s="155"/>
      <c r="AF218" s="155"/>
      <c r="AG218" s="155"/>
      <c r="AH218" s="155"/>
      <c r="AI218" s="155"/>
      <c r="AJ218" s="155"/>
    </row>
    <row r="219" s="33" customFormat="1" ht="31.2" spans="1:36">
      <c r="A219" s="94">
        <f>IF(F219&lt;&gt;"",1+MAX($A$2:A218),"")</f>
        <v>141</v>
      </c>
      <c r="B219" s="112"/>
      <c r="C219" s="98"/>
      <c r="D219" s="89" t="s">
        <v>180</v>
      </c>
      <c r="E219" s="67">
        <v>46794</v>
      </c>
      <c r="F219" s="62">
        <v>0.1</v>
      </c>
      <c r="G219" s="99">
        <f>E219*(1+F219)</f>
        <v>51473.4</v>
      </c>
      <c r="H219" s="67" t="s">
        <v>38</v>
      </c>
      <c r="I219" s="119">
        <v>0.007</v>
      </c>
      <c r="J219" s="120">
        <f>+I219*G219</f>
        <v>360.3138</v>
      </c>
      <c r="K219" s="121">
        <f>'LABOR SHEET'!$C$5</f>
        <v>45</v>
      </c>
      <c r="L219" s="122">
        <f>I219*K219</f>
        <v>0.315</v>
      </c>
      <c r="M219" s="122">
        <f>K219*J219</f>
        <v>16214.121</v>
      </c>
      <c r="N219" s="122">
        <v>0.45</v>
      </c>
      <c r="O219" s="122">
        <f>N219*G219</f>
        <v>23163.03</v>
      </c>
      <c r="P219" s="122">
        <f>(I219*K219)+N219</f>
        <v>0.765</v>
      </c>
      <c r="Q219" s="148">
        <f>P219*G219</f>
        <v>39377.151</v>
      </c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  <c r="AC219" s="155"/>
      <c r="AD219" s="155"/>
      <c r="AE219" s="155"/>
      <c r="AF219" s="155"/>
      <c r="AG219" s="155"/>
      <c r="AH219" s="155"/>
      <c r="AI219" s="155"/>
      <c r="AJ219" s="155"/>
    </row>
    <row r="220" s="33" customFormat="1" spans="1:36">
      <c r="A220" s="94"/>
      <c r="B220" s="112"/>
      <c r="C220" s="98"/>
      <c r="D220" s="89"/>
      <c r="E220" s="67"/>
      <c r="F220" s="62"/>
      <c r="G220" s="99"/>
      <c r="H220" s="67"/>
      <c r="I220" s="119"/>
      <c r="J220" s="120"/>
      <c r="K220" s="121"/>
      <c r="L220" s="122"/>
      <c r="M220" s="122"/>
      <c r="N220" s="122"/>
      <c r="O220" s="122"/>
      <c r="P220" s="122"/>
      <c r="Q220" s="148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  <c r="AC220" s="155"/>
      <c r="AD220" s="155"/>
      <c r="AE220" s="155"/>
      <c r="AF220" s="155"/>
      <c r="AG220" s="155"/>
      <c r="AH220" s="155"/>
      <c r="AI220" s="155"/>
      <c r="AJ220" s="155"/>
    </row>
    <row r="221" s="33" customFormat="1" spans="1:36">
      <c r="A221" s="94" t="str">
        <f>IF(F221&lt;&gt;"",1+MAX($A$2:A219),"")</f>
        <v/>
      </c>
      <c r="B221" s="112"/>
      <c r="C221" s="98"/>
      <c r="D221" s="111" t="s">
        <v>181</v>
      </c>
      <c r="E221" s="67"/>
      <c r="F221" s="103"/>
      <c r="G221" s="99"/>
      <c r="H221" s="67"/>
      <c r="I221" s="119"/>
      <c r="J221" s="120"/>
      <c r="K221" s="121"/>
      <c r="L221" s="122"/>
      <c r="M221" s="122"/>
      <c r="N221" s="122"/>
      <c r="O221" s="122"/>
      <c r="P221" s="122"/>
      <c r="Q221" s="148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  <c r="AC221" s="155"/>
      <c r="AD221" s="155"/>
      <c r="AE221" s="155"/>
      <c r="AF221" s="155"/>
      <c r="AG221" s="155"/>
      <c r="AH221" s="155"/>
      <c r="AI221" s="155"/>
      <c r="AJ221" s="155"/>
    </row>
    <row r="222" s="33" customFormat="1" spans="1:36">
      <c r="A222" s="94">
        <f>IF(F222&lt;&gt;"",1+MAX($A$2:A221),"")</f>
        <v>142</v>
      </c>
      <c r="B222" s="112"/>
      <c r="C222" s="98"/>
      <c r="D222" s="89" t="s">
        <v>182</v>
      </c>
      <c r="E222" s="69">
        <f>0.25*2007/27</f>
        <v>18.5833333333333</v>
      </c>
      <c r="F222" s="62">
        <v>0.1</v>
      </c>
      <c r="G222" s="99">
        <f>E222*(1+F222)</f>
        <v>20.4416666666666</v>
      </c>
      <c r="H222" s="67" t="s">
        <v>54</v>
      </c>
      <c r="I222" s="119">
        <v>0.6</v>
      </c>
      <c r="J222" s="120">
        <f>+I222*G222</f>
        <v>12.265</v>
      </c>
      <c r="K222" s="121">
        <f>'LABOR SHEET'!$C$5</f>
        <v>45</v>
      </c>
      <c r="L222" s="122">
        <f>I222*K222</f>
        <v>27</v>
      </c>
      <c r="M222" s="122">
        <f>K222*J222</f>
        <v>551.924999999999</v>
      </c>
      <c r="N222" s="122">
        <v>65</v>
      </c>
      <c r="O222" s="122">
        <f>N222*G222</f>
        <v>1328.70833333333</v>
      </c>
      <c r="P222" s="122">
        <f>(I222*K222)+N222</f>
        <v>92</v>
      </c>
      <c r="Q222" s="148">
        <f>P222*G222</f>
        <v>1880.63333333333</v>
      </c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  <c r="AC222" s="155"/>
      <c r="AD222" s="155"/>
      <c r="AE222" s="155"/>
      <c r="AF222" s="155"/>
      <c r="AG222" s="155"/>
      <c r="AH222" s="155"/>
      <c r="AI222" s="155"/>
      <c r="AJ222" s="155"/>
    </row>
    <row r="223" s="33" customFormat="1" spans="1:36">
      <c r="A223" s="94">
        <f>IF(F223&lt;&gt;"",1+MAX($A$2:A222),"")</f>
        <v>143</v>
      </c>
      <c r="B223" s="112"/>
      <c r="C223" s="98"/>
      <c r="D223" s="113" t="s">
        <v>183</v>
      </c>
      <c r="E223" s="67">
        <v>2007</v>
      </c>
      <c r="F223" s="62">
        <v>0.1</v>
      </c>
      <c r="G223" s="99">
        <f>E223*(1+F223)</f>
        <v>2207.7</v>
      </c>
      <c r="H223" s="67" t="s">
        <v>38</v>
      </c>
      <c r="I223" s="119">
        <f>0.005+0.002</f>
        <v>0.007</v>
      </c>
      <c r="J223" s="120">
        <f>+I223*G223</f>
        <v>15.4539</v>
      </c>
      <c r="K223" s="121">
        <f>'LABOR SHEET'!$C$5</f>
        <v>45</v>
      </c>
      <c r="L223" s="122">
        <f>I223*K223</f>
        <v>0.315</v>
      </c>
      <c r="M223" s="122">
        <f>K223*J223</f>
        <v>695.4255</v>
      </c>
      <c r="N223" s="122">
        <v>0.88</v>
      </c>
      <c r="O223" s="122">
        <f>N223*G223</f>
        <v>1942.776</v>
      </c>
      <c r="P223" s="122">
        <f>(I223*K223)+N223</f>
        <v>1.195</v>
      </c>
      <c r="Q223" s="148">
        <f>P223*G223</f>
        <v>2638.2015</v>
      </c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  <c r="AC223" s="155"/>
      <c r="AD223" s="155"/>
      <c r="AE223" s="155"/>
      <c r="AF223" s="155"/>
      <c r="AG223" s="155"/>
      <c r="AH223" s="155"/>
      <c r="AI223" s="155"/>
      <c r="AJ223" s="155"/>
    </row>
    <row r="224" s="33" customFormat="1" spans="1:36">
      <c r="A224" s="94">
        <f>IF(F224&lt;&gt;"",1+MAX($A$2:A223),"")</f>
        <v>144</v>
      </c>
      <c r="B224" s="112"/>
      <c r="C224" s="98"/>
      <c r="D224" s="113" t="s">
        <v>77</v>
      </c>
      <c r="E224" s="67">
        <v>2007</v>
      </c>
      <c r="F224" s="62">
        <v>0.1</v>
      </c>
      <c r="G224" s="99">
        <f>E224*(1+F224)</f>
        <v>2207.7</v>
      </c>
      <c r="H224" s="67" t="s">
        <v>38</v>
      </c>
      <c r="I224" s="119">
        <v>0.007</v>
      </c>
      <c r="J224" s="120">
        <f>+I224*G224</f>
        <v>15.4539</v>
      </c>
      <c r="K224" s="121">
        <f>'LABOR SHEET'!$C$5</f>
        <v>45</v>
      </c>
      <c r="L224" s="122">
        <f>I224*K224</f>
        <v>0.315</v>
      </c>
      <c r="M224" s="122">
        <f>K224*J224</f>
        <v>695.4255</v>
      </c>
      <c r="N224" s="122">
        <v>0.4</v>
      </c>
      <c r="O224" s="122">
        <f>N224*G224</f>
        <v>883.08</v>
      </c>
      <c r="P224" s="122">
        <f>(I224*K224)+N224</f>
        <v>0.715</v>
      </c>
      <c r="Q224" s="148">
        <f>P224*G224</f>
        <v>1578.5055</v>
      </c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  <c r="AC224" s="155"/>
      <c r="AD224" s="155"/>
      <c r="AE224" s="155"/>
      <c r="AF224" s="155"/>
      <c r="AG224" s="155"/>
      <c r="AH224" s="155"/>
      <c r="AI224" s="155"/>
      <c r="AJ224" s="155"/>
    </row>
    <row r="225" s="33" customFormat="1" spans="1:36">
      <c r="A225" s="94"/>
      <c r="B225" s="112"/>
      <c r="C225" s="98"/>
      <c r="D225" s="113"/>
      <c r="E225" s="67"/>
      <c r="F225" s="62"/>
      <c r="G225" s="99"/>
      <c r="H225" s="67"/>
      <c r="I225" s="119"/>
      <c r="J225" s="120"/>
      <c r="K225" s="121"/>
      <c r="L225" s="122"/>
      <c r="M225" s="122"/>
      <c r="N225" s="122"/>
      <c r="O225" s="122"/>
      <c r="P225" s="122"/>
      <c r="Q225" s="148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  <c r="AC225" s="155"/>
      <c r="AD225" s="155"/>
      <c r="AE225" s="155"/>
      <c r="AF225" s="155"/>
      <c r="AG225" s="155"/>
      <c r="AH225" s="155"/>
      <c r="AI225" s="155"/>
      <c r="AJ225" s="155"/>
    </row>
    <row r="226" s="33" customFormat="1" spans="1:36">
      <c r="A226" s="94" t="str">
        <f>IF(F226&lt;&gt;"",1+MAX($A$2:A224),"")</f>
        <v/>
      </c>
      <c r="B226" s="112"/>
      <c r="C226" s="98"/>
      <c r="D226" s="111" t="s">
        <v>184</v>
      </c>
      <c r="E226" s="67"/>
      <c r="F226" s="103"/>
      <c r="G226" s="99"/>
      <c r="H226" s="67"/>
      <c r="I226" s="119"/>
      <c r="J226" s="120"/>
      <c r="K226" s="121"/>
      <c r="L226" s="122"/>
      <c r="M226" s="122"/>
      <c r="N226" s="122"/>
      <c r="O226" s="122"/>
      <c r="P226" s="122"/>
      <c r="Q226" s="148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  <c r="AD226" s="155"/>
      <c r="AE226" s="155"/>
      <c r="AF226" s="155"/>
      <c r="AG226" s="155"/>
      <c r="AH226" s="155"/>
      <c r="AI226" s="155"/>
      <c r="AJ226" s="155"/>
    </row>
    <row r="227" s="33" customFormat="1" spans="1:36">
      <c r="A227" s="94">
        <f>IF(F227&lt;&gt;"",1+MAX($A$2:A226),"")</f>
        <v>145</v>
      </c>
      <c r="B227" s="112"/>
      <c r="C227" s="98"/>
      <c r="D227" s="89" t="s">
        <v>185</v>
      </c>
      <c r="E227" s="69">
        <f>0.34*2304/27</f>
        <v>29.0133333333333</v>
      </c>
      <c r="F227" s="62">
        <v>0.1</v>
      </c>
      <c r="G227" s="99">
        <f>E227*(1+F227)</f>
        <v>31.9146666666666</v>
      </c>
      <c r="H227" s="67" t="s">
        <v>54</v>
      </c>
      <c r="I227" s="119">
        <v>1</v>
      </c>
      <c r="J227" s="120">
        <f>+I227*G227</f>
        <v>31.9146666666666</v>
      </c>
      <c r="K227" s="121">
        <f>'LABOR SHEET'!$C$5</f>
        <v>45</v>
      </c>
      <c r="L227" s="122">
        <f>I227*K227</f>
        <v>45</v>
      </c>
      <c r="M227" s="122">
        <f>K227*J227</f>
        <v>1436.16</v>
      </c>
      <c r="N227" s="122">
        <v>76</v>
      </c>
      <c r="O227" s="122">
        <f>N227*G227</f>
        <v>2425.51466666666</v>
      </c>
      <c r="P227" s="122">
        <f>(I227*K227)+N227</f>
        <v>121</v>
      </c>
      <c r="Q227" s="148">
        <f>P227*G227</f>
        <v>3861.67466666666</v>
      </c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  <c r="AC227" s="155"/>
      <c r="AD227" s="155"/>
      <c r="AE227" s="155"/>
      <c r="AF227" s="155"/>
      <c r="AG227" s="155"/>
      <c r="AH227" s="155"/>
      <c r="AI227" s="155"/>
      <c r="AJ227" s="155"/>
    </row>
    <row r="228" s="33" customFormat="1" spans="1:36">
      <c r="A228" s="94">
        <f>IF(F228&lt;&gt;"",1+MAX($A$2:A227),"")</f>
        <v>146</v>
      </c>
      <c r="B228" s="112"/>
      <c r="C228" s="98"/>
      <c r="D228" s="113" t="s">
        <v>186</v>
      </c>
      <c r="E228" s="67">
        <v>2304</v>
      </c>
      <c r="F228" s="62">
        <v>0.1</v>
      </c>
      <c r="G228" s="99">
        <f>E228*(1+F228)</f>
        <v>2534.4</v>
      </c>
      <c r="H228" s="67" t="s">
        <v>38</v>
      </c>
      <c r="I228" s="119">
        <v>0.006</v>
      </c>
      <c r="J228" s="120">
        <f>+I228*G228</f>
        <v>15.2064</v>
      </c>
      <c r="K228" s="121">
        <f>'LABOR SHEET'!$C$5</f>
        <v>45</v>
      </c>
      <c r="L228" s="122">
        <f>I228*K228</f>
        <v>0.27</v>
      </c>
      <c r="M228" s="122">
        <f>K228*J228</f>
        <v>684.288</v>
      </c>
      <c r="N228" s="122">
        <v>0.52</v>
      </c>
      <c r="O228" s="122">
        <f>N228*G228</f>
        <v>1317.888</v>
      </c>
      <c r="P228" s="122">
        <f>(I228*K228)+N228</f>
        <v>0.79</v>
      </c>
      <c r="Q228" s="148">
        <f>P228*G228</f>
        <v>2002.176</v>
      </c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  <c r="AC228" s="155"/>
      <c r="AD228" s="155"/>
      <c r="AE228" s="155"/>
      <c r="AF228" s="155"/>
      <c r="AG228" s="155"/>
      <c r="AH228" s="155"/>
      <c r="AI228" s="155"/>
      <c r="AJ228" s="155"/>
    </row>
    <row r="229" s="33" customFormat="1" spans="1:36">
      <c r="A229" s="94">
        <f>IF(F229&lt;&gt;"",1+MAX($A$2:A228),"")</f>
        <v>147</v>
      </c>
      <c r="B229" s="112"/>
      <c r="C229" s="98"/>
      <c r="D229" s="113" t="s">
        <v>187</v>
      </c>
      <c r="E229" s="67">
        <v>2304</v>
      </c>
      <c r="F229" s="62">
        <v>0.1</v>
      </c>
      <c r="G229" s="99">
        <f>E229*(1+F229)</f>
        <v>2534.4</v>
      </c>
      <c r="H229" s="67" t="s">
        <v>38</v>
      </c>
      <c r="I229" s="119">
        <v>0.007</v>
      </c>
      <c r="J229" s="120">
        <f>+I229*G229</f>
        <v>17.7408</v>
      </c>
      <c r="K229" s="121">
        <f>'LABOR SHEET'!$C$5</f>
        <v>45</v>
      </c>
      <c r="L229" s="122">
        <f>I229*K229</f>
        <v>0.315</v>
      </c>
      <c r="M229" s="122">
        <f>K229*J229</f>
        <v>798.336</v>
      </c>
      <c r="N229" s="122">
        <v>0.4</v>
      </c>
      <c r="O229" s="122">
        <f>N229*G229</f>
        <v>1013.76</v>
      </c>
      <c r="P229" s="122">
        <f>(I229*K229)+N229</f>
        <v>0.715</v>
      </c>
      <c r="Q229" s="148">
        <f>P229*G229</f>
        <v>1812.096</v>
      </c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  <c r="AC229" s="155"/>
      <c r="AD229" s="155"/>
      <c r="AE229" s="155"/>
      <c r="AF229" s="155"/>
      <c r="AG229" s="155"/>
      <c r="AH229" s="155"/>
      <c r="AI229" s="155"/>
      <c r="AJ229" s="155"/>
    </row>
    <row r="230" s="33" customFormat="1" spans="1:36">
      <c r="A230" s="94"/>
      <c r="B230" s="112"/>
      <c r="C230" s="98"/>
      <c r="D230" s="113"/>
      <c r="E230" s="67"/>
      <c r="F230" s="62"/>
      <c r="G230" s="99"/>
      <c r="H230" s="67"/>
      <c r="I230" s="119"/>
      <c r="J230" s="120"/>
      <c r="K230" s="121"/>
      <c r="L230" s="122"/>
      <c r="M230" s="122"/>
      <c r="N230" s="122"/>
      <c r="O230" s="122"/>
      <c r="P230" s="122"/>
      <c r="Q230" s="148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  <c r="AC230" s="155"/>
      <c r="AD230" s="155"/>
      <c r="AE230" s="155"/>
      <c r="AF230" s="155"/>
      <c r="AG230" s="155"/>
      <c r="AH230" s="155"/>
      <c r="AI230" s="155"/>
      <c r="AJ230" s="155"/>
    </row>
    <row r="231" s="33" customFormat="1" spans="1:36">
      <c r="A231" s="94" t="str">
        <f>IF(F231&lt;&gt;"",1+MAX($A$2:A229),"")</f>
        <v/>
      </c>
      <c r="B231" s="112"/>
      <c r="C231" s="98"/>
      <c r="D231" s="111" t="s">
        <v>188</v>
      </c>
      <c r="E231" s="67"/>
      <c r="F231" s="103"/>
      <c r="G231" s="99"/>
      <c r="H231" s="67"/>
      <c r="I231" s="119"/>
      <c r="J231" s="120"/>
      <c r="K231" s="121"/>
      <c r="L231" s="122"/>
      <c r="M231" s="122"/>
      <c r="N231" s="122"/>
      <c r="O231" s="122"/>
      <c r="P231" s="122"/>
      <c r="Q231" s="148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  <c r="AC231" s="155"/>
      <c r="AD231" s="155"/>
      <c r="AE231" s="155"/>
      <c r="AF231" s="155"/>
      <c r="AG231" s="155"/>
      <c r="AH231" s="155"/>
      <c r="AI231" s="155"/>
      <c r="AJ231" s="155"/>
    </row>
    <row r="232" s="33" customFormat="1" ht="31.2" spans="1:36">
      <c r="A232" s="94">
        <f>IF(F232&lt;&gt;"",1+MAX($A$2:A231),"")</f>
        <v>148</v>
      </c>
      <c r="B232" s="112"/>
      <c r="C232" s="98"/>
      <c r="D232" s="89" t="s">
        <v>189</v>
      </c>
      <c r="E232" s="67">
        <v>1176</v>
      </c>
      <c r="F232" s="68">
        <v>0.05</v>
      </c>
      <c r="G232" s="99">
        <f>E232*(1+F232)</f>
        <v>1234.8</v>
      </c>
      <c r="H232" s="67" t="s">
        <v>40</v>
      </c>
      <c r="I232" s="119">
        <v>0.03</v>
      </c>
      <c r="J232" s="120">
        <f>+I232*G232</f>
        <v>37.044</v>
      </c>
      <c r="K232" s="121">
        <f>'LABOR SHEET'!$C$5</f>
        <v>45</v>
      </c>
      <c r="L232" s="122">
        <f>I232*K232</f>
        <v>1.35</v>
      </c>
      <c r="M232" s="122">
        <f>K232*J232</f>
        <v>1666.98</v>
      </c>
      <c r="N232" s="122">
        <v>2.7</v>
      </c>
      <c r="O232" s="122">
        <f>N232*G232</f>
        <v>3333.96</v>
      </c>
      <c r="P232" s="122">
        <f>(I232*K232)+N232</f>
        <v>4.05</v>
      </c>
      <c r="Q232" s="148">
        <f>P232*G232</f>
        <v>5000.94</v>
      </c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5"/>
      <c r="AH232" s="155"/>
      <c r="AI232" s="155"/>
      <c r="AJ232" s="155"/>
    </row>
    <row r="233" s="33" customFormat="1" spans="1:36">
      <c r="A233" s="94"/>
      <c r="B233" s="112"/>
      <c r="C233" s="98"/>
      <c r="D233" s="89"/>
      <c r="E233" s="67"/>
      <c r="F233" s="68"/>
      <c r="G233" s="99"/>
      <c r="H233" s="67"/>
      <c r="I233" s="119"/>
      <c r="J233" s="120"/>
      <c r="K233" s="121"/>
      <c r="L233" s="122"/>
      <c r="M233" s="122"/>
      <c r="N233" s="122"/>
      <c r="O233" s="122"/>
      <c r="P233" s="122"/>
      <c r="Q233" s="148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  <c r="AC233" s="155"/>
      <c r="AD233" s="155"/>
      <c r="AE233" s="155"/>
      <c r="AF233" s="155"/>
      <c r="AG233" s="155"/>
      <c r="AH233" s="155"/>
      <c r="AI233" s="155"/>
      <c r="AJ233" s="155"/>
    </row>
    <row r="234" s="33" customFormat="1" spans="1:36">
      <c r="A234" s="94" t="str">
        <f>IF(F234&lt;&gt;"",1+MAX($A$2:A232),"")</f>
        <v/>
      </c>
      <c r="B234" s="112"/>
      <c r="C234" s="98"/>
      <c r="D234" s="111" t="s">
        <v>190</v>
      </c>
      <c r="E234" s="67"/>
      <c r="F234" s="103"/>
      <c r="G234" s="99"/>
      <c r="H234" s="67"/>
      <c r="I234" s="119"/>
      <c r="J234" s="120"/>
      <c r="K234" s="121"/>
      <c r="L234" s="122"/>
      <c r="M234" s="122"/>
      <c r="N234" s="122"/>
      <c r="O234" s="122"/>
      <c r="P234" s="122"/>
      <c r="Q234" s="148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  <c r="AC234" s="155"/>
      <c r="AD234" s="155"/>
      <c r="AE234" s="155"/>
      <c r="AF234" s="155"/>
      <c r="AG234" s="155"/>
      <c r="AH234" s="155"/>
      <c r="AI234" s="155"/>
      <c r="AJ234" s="155"/>
    </row>
    <row r="235" s="33" customFormat="1" spans="1:36">
      <c r="A235" s="94">
        <f>IF(F235&lt;&gt;"",1+MAX($A$2:A234),"")</f>
        <v>149</v>
      </c>
      <c r="B235" s="112"/>
      <c r="C235" s="98"/>
      <c r="D235" s="89" t="s">
        <v>191</v>
      </c>
      <c r="E235" s="67">
        <v>5898</v>
      </c>
      <c r="F235" s="62">
        <v>0.1</v>
      </c>
      <c r="G235" s="99">
        <f>E235*(1+F235)</f>
        <v>6487.8</v>
      </c>
      <c r="H235" s="67" t="s">
        <v>38</v>
      </c>
      <c r="I235" s="119">
        <v>0.018</v>
      </c>
      <c r="J235" s="120">
        <f>+I235*G235</f>
        <v>116.7804</v>
      </c>
      <c r="K235" s="121">
        <f>'LABOR SHEET'!$C$5</f>
        <v>45</v>
      </c>
      <c r="L235" s="122">
        <f>I235*K235</f>
        <v>0.81</v>
      </c>
      <c r="M235" s="122">
        <f>K235*J235</f>
        <v>5255.118</v>
      </c>
      <c r="N235" s="122">
        <v>0.22</v>
      </c>
      <c r="O235" s="122">
        <f>N235*G235</f>
        <v>1427.316</v>
      </c>
      <c r="P235" s="122">
        <f>(I235*K235)+N235</f>
        <v>1.03</v>
      </c>
      <c r="Q235" s="148">
        <f>P235*G235</f>
        <v>6682.434</v>
      </c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  <c r="AC235" s="155"/>
      <c r="AD235" s="155"/>
      <c r="AE235" s="155"/>
      <c r="AF235" s="155"/>
      <c r="AG235" s="155"/>
      <c r="AH235" s="155"/>
      <c r="AI235" s="155"/>
      <c r="AJ235" s="155"/>
    </row>
    <row r="236" s="33" customFormat="1" spans="1:36">
      <c r="A236" s="94">
        <f>IF(F236&lt;&gt;"",1+MAX($A$2:A235),"")</f>
        <v>150</v>
      </c>
      <c r="B236" s="112"/>
      <c r="C236" s="98"/>
      <c r="D236" s="113" t="s">
        <v>192</v>
      </c>
      <c r="E236" s="69">
        <f>1*5898/27</f>
        <v>218.444444444444</v>
      </c>
      <c r="F236" s="62">
        <v>0</v>
      </c>
      <c r="G236" s="99">
        <f t="shared" ref="G236:G237" si="174">E236*(1+F236)</f>
        <v>218.444444444444</v>
      </c>
      <c r="H236" s="67" t="s">
        <v>54</v>
      </c>
      <c r="I236" s="119">
        <v>0.22</v>
      </c>
      <c r="J236" s="120">
        <f>+I236*G236</f>
        <v>48.0577777777777</v>
      </c>
      <c r="K236" s="121">
        <f>'LABOR SHEET'!$C$4</f>
        <v>45</v>
      </c>
      <c r="L236" s="122">
        <f>I236*K236</f>
        <v>9.9</v>
      </c>
      <c r="M236" s="122">
        <f>K236*J236</f>
        <v>2162.6</v>
      </c>
      <c r="N236" s="122">
        <v>5</v>
      </c>
      <c r="O236" s="122">
        <f>N236*G236</f>
        <v>1092.22222222222</v>
      </c>
      <c r="P236" s="122">
        <f>(I236*K236)+N236</f>
        <v>14.9</v>
      </c>
      <c r="Q236" s="148">
        <f>P236*G236</f>
        <v>3254.82222222222</v>
      </c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  <c r="AC236" s="155"/>
      <c r="AD236" s="155"/>
      <c r="AE236" s="155"/>
      <c r="AF236" s="155"/>
      <c r="AG236" s="155"/>
      <c r="AH236" s="155"/>
      <c r="AI236" s="155"/>
      <c r="AJ236" s="155"/>
    </row>
    <row r="237" s="33" customFormat="1" spans="1:36">
      <c r="A237" s="94">
        <f>IF(F237&lt;&gt;"",1+MAX($A$2:A236),"")</f>
        <v>151</v>
      </c>
      <c r="B237" s="112"/>
      <c r="C237" s="98"/>
      <c r="D237" s="113" t="s">
        <v>193</v>
      </c>
      <c r="E237" s="69">
        <f>1*5898/27</f>
        <v>218.444444444444</v>
      </c>
      <c r="F237" s="62">
        <v>0.1</v>
      </c>
      <c r="G237" s="99">
        <f t="shared" si="174"/>
        <v>240.288888888889</v>
      </c>
      <c r="H237" s="67" t="s">
        <v>54</v>
      </c>
      <c r="I237" s="119">
        <v>0.72</v>
      </c>
      <c r="J237" s="120">
        <f t="shared" ref="J236:J237" si="175">+I237*G237</f>
        <v>173.008</v>
      </c>
      <c r="K237" s="121">
        <f>'LABOR SHEET'!$C$5</f>
        <v>45</v>
      </c>
      <c r="L237" s="122">
        <f t="shared" ref="L236:L237" si="176">I237*K237</f>
        <v>32.4</v>
      </c>
      <c r="M237" s="122">
        <f t="shared" ref="M236:M237" si="177">K237*J237</f>
        <v>7785.36</v>
      </c>
      <c r="N237" s="122">
        <v>42</v>
      </c>
      <c r="O237" s="122">
        <f t="shared" ref="O236:O237" si="178">N237*G237</f>
        <v>10092.1333333333</v>
      </c>
      <c r="P237" s="122">
        <f t="shared" ref="P236:P237" si="179">(I237*K237)+N237</f>
        <v>74.4</v>
      </c>
      <c r="Q237" s="148">
        <f t="shared" ref="Q236:Q237" si="180">P237*G237</f>
        <v>17877.4933333333</v>
      </c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  <c r="AC237" s="155"/>
      <c r="AD237" s="155"/>
      <c r="AE237" s="155"/>
      <c r="AF237" s="155"/>
      <c r="AG237" s="155"/>
      <c r="AH237" s="155"/>
      <c r="AI237" s="155"/>
      <c r="AJ237" s="155"/>
    </row>
    <row r="238" s="33" customFormat="1" spans="1:36">
      <c r="A238" s="94"/>
      <c r="B238" s="112"/>
      <c r="C238" s="98"/>
      <c r="D238" s="113"/>
      <c r="E238" s="69"/>
      <c r="F238" s="62"/>
      <c r="G238" s="99"/>
      <c r="H238" s="67"/>
      <c r="I238" s="119"/>
      <c r="J238" s="120"/>
      <c r="K238" s="121"/>
      <c r="L238" s="122"/>
      <c r="M238" s="122"/>
      <c r="N238" s="122"/>
      <c r="O238" s="122"/>
      <c r="P238" s="122"/>
      <c r="Q238" s="148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  <c r="AC238" s="155"/>
      <c r="AD238" s="155"/>
      <c r="AE238" s="155"/>
      <c r="AF238" s="155"/>
      <c r="AG238" s="155"/>
      <c r="AH238" s="155"/>
      <c r="AI238" s="155"/>
      <c r="AJ238" s="155"/>
    </row>
    <row r="239" s="33" customFormat="1" spans="1:36">
      <c r="A239" s="94" t="str">
        <f>IF(F239&lt;&gt;"",1+MAX($A$2:A237),"")</f>
        <v/>
      </c>
      <c r="B239" s="112"/>
      <c r="C239" s="98"/>
      <c r="D239" s="111" t="s">
        <v>194</v>
      </c>
      <c r="E239" s="67"/>
      <c r="F239" s="103"/>
      <c r="G239" s="99"/>
      <c r="H239" s="67"/>
      <c r="I239" s="119"/>
      <c r="J239" s="120"/>
      <c r="K239" s="121"/>
      <c r="L239" s="122"/>
      <c r="M239" s="122"/>
      <c r="N239" s="122"/>
      <c r="O239" s="122"/>
      <c r="P239" s="122"/>
      <c r="Q239" s="148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  <c r="AC239" s="155"/>
      <c r="AD239" s="155"/>
      <c r="AE239" s="155"/>
      <c r="AF239" s="155"/>
      <c r="AG239" s="155"/>
      <c r="AH239" s="155"/>
      <c r="AI239" s="155"/>
      <c r="AJ239" s="155"/>
    </row>
    <row r="240" s="33" customFormat="1" spans="1:36">
      <c r="A240" s="94">
        <f>IF(F240&lt;&gt;"",1+MAX($A$2:A239),"")</f>
        <v>152</v>
      </c>
      <c r="B240" s="112"/>
      <c r="C240" s="98"/>
      <c r="D240" s="86" t="s">
        <v>195</v>
      </c>
      <c r="E240" s="69">
        <f>3*203/27</f>
        <v>22.5555555555556</v>
      </c>
      <c r="F240" s="62">
        <v>0.1</v>
      </c>
      <c r="G240" s="99">
        <f t="shared" ref="G240" si="181">E240*(1+F240)</f>
        <v>24.8111111111111</v>
      </c>
      <c r="H240" s="67" t="s">
        <v>54</v>
      </c>
      <c r="I240" s="119">
        <v>0.72</v>
      </c>
      <c r="J240" s="120">
        <f>+I240*G240</f>
        <v>17.864</v>
      </c>
      <c r="K240" s="121">
        <f>'LABOR SHEET'!$C$5</f>
        <v>45</v>
      </c>
      <c r="L240" s="122">
        <f>I240*K240</f>
        <v>32.4</v>
      </c>
      <c r="M240" s="122">
        <f>K240*J240</f>
        <v>803.88</v>
      </c>
      <c r="N240" s="122">
        <v>42</v>
      </c>
      <c r="O240" s="122">
        <f>N240*G240</f>
        <v>1042.06666666667</v>
      </c>
      <c r="P240" s="122">
        <f>(I240*K240)+N240</f>
        <v>74.4</v>
      </c>
      <c r="Q240" s="148">
        <f>P240*G240</f>
        <v>1845.94666666667</v>
      </c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  <c r="AC240" s="155"/>
      <c r="AD240" s="155"/>
      <c r="AE240" s="155"/>
      <c r="AF240" s="155"/>
      <c r="AG240" s="155"/>
      <c r="AH240" s="155"/>
      <c r="AI240" s="155"/>
      <c r="AJ240" s="155"/>
    </row>
    <row r="241" s="33" customFormat="1" spans="1:36">
      <c r="A241" s="94"/>
      <c r="B241" s="112"/>
      <c r="C241" s="98"/>
      <c r="D241" s="86"/>
      <c r="E241" s="69"/>
      <c r="F241" s="62"/>
      <c r="G241" s="99"/>
      <c r="H241" s="67"/>
      <c r="I241" s="119"/>
      <c r="J241" s="120"/>
      <c r="K241" s="121"/>
      <c r="L241" s="122"/>
      <c r="M241" s="122"/>
      <c r="N241" s="122"/>
      <c r="O241" s="122"/>
      <c r="P241" s="122"/>
      <c r="Q241" s="148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  <c r="AC241" s="155"/>
      <c r="AD241" s="155"/>
      <c r="AE241" s="155"/>
      <c r="AF241" s="155"/>
      <c r="AG241" s="155"/>
      <c r="AH241" s="155"/>
      <c r="AI241" s="155"/>
      <c r="AJ241" s="155"/>
    </row>
    <row r="242" s="33" customFormat="1" spans="1:36">
      <c r="A242" s="94" t="str">
        <f>IF(F242&lt;&gt;"",1+MAX($A$2:A240),"")</f>
        <v/>
      </c>
      <c r="B242" s="112"/>
      <c r="C242" s="98"/>
      <c r="D242" s="96" t="s">
        <v>196</v>
      </c>
      <c r="E242" s="67"/>
      <c r="F242" s="103"/>
      <c r="G242" s="99"/>
      <c r="H242" s="67"/>
      <c r="I242" s="119"/>
      <c r="J242" s="120"/>
      <c r="K242" s="121"/>
      <c r="L242" s="122"/>
      <c r="M242" s="122"/>
      <c r="N242" s="122"/>
      <c r="O242" s="122"/>
      <c r="P242" s="122"/>
      <c r="Q242" s="148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  <c r="AC242" s="155"/>
      <c r="AD242" s="155"/>
      <c r="AE242" s="155"/>
      <c r="AF242" s="155"/>
      <c r="AG242" s="155"/>
      <c r="AH242" s="155"/>
      <c r="AI242" s="155"/>
      <c r="AJ242" s="155"/>
    </row>
    <row r="243" s="33" customFormat="1" spans="1:36">
      <c r="A243" s="94">
        <f>IF(F243&lt;&gt;"",1+MAX($A$2:A242),"")</f>
        <v>153</v>
      </c>
      <c r="B243" s="112"/>
      <c r="C243" s="98"/>
      <c r="D243" s="86" t="s">
        <v>197</v>
      </c>
      <c r="E243" s="67">
        <v>700</v>
      </c>
      <c r="F243" s="68">
        <v>0.05</v>
      </c>
      <c r="G243" s="99">
        <f t="shared" ref="G243:G247" si="182">E243*(1+F243)</f>
        <v>735</v>
      </c>
      <c r="H243" s="67" t="s">
        <v>40</v>
      </c>
      <c r="I243" s="119">
        <v>0.018</v>
      </c>
      <c r="J243" s="120">
        <f t="shared" ref="J243:J247" si="183">+I243*G243</f>
        <v>13.23</v>
      </c>
      <c r="K243" s="121">
        <f>'LABOR SHEET'!$C$5</f>
        <v>45</v>
      </c>
      <c r="L243" s="122">
        <f t="shared" ref="L243:L247" si="184">I243*K243</f>
        <v>0.81</v>
      </c>
      <c r="M243" s="122">
        <f t="shared" ref="M243:M247" si="185">K243*J243</f>
        <v>595.35</v>
      </c>
      <c r="N243" s="122">
        <v>4</v>
      </c>
      <c r="O243" s="122">
        <f t="shared" ref="O243:O247" si="186">N243*G243</f>
        <v>2940</v>
      </c>
      <c r="P243" s="122">
        <f t="shared" ref="P243:P247" si="187">(I243*K243)+N243</f>
        <v>4.81</v>
      </c>
      <c r="Q243" s="148">
        <f t="shared" ref="Q243:Q247" si="188">P243*G243</f>
        <v>3535.35</v>
      </c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  <c r="AC243" s="155"/>
      <c r="AD243" s="155"/>
      <c r="AE243" s="155"/>
      <c r="AF243" s="155"/>
      <c r="AG243" s="155"/>
      <c r="AH243" s="155"/>
      <c r="AI243" s="155"/>
      <c r="AJ243" s="155"/>
    </row>
    <row r="244" s="33" customFormat="1" spans="1:36">
      <c r="A244" s="94">
        <f>IF(F244&lt;&gt;"",1+MAX($A$2:A243),"")</f>
        <v>154</v>
      </c>
      <c r="B244" s="112"/>
      <c r="C244" s="98"/>
      <c r="D244" s="86" t="s">
        <v>198</v>
      </c>
      <c r="E244" s="67">
        <v>443</v>
      </c>
      <c r="F244" s="68">
        <v>0.05</v>
      </c>
      <c r="G244" s="99">
        <f t="shared" si="182"/>
        <v>465.15</v>
      </c>
      <c r="H244" s="67" t="s">
        <v>40</v>
      </c>
      <c r="I244" s="119">
        <v>0.024</v>
      </c>
      <c r="J244" s="120">
        <f t="shared" si="183"/>
        <v>11.1636</v>
      </c>
      <c r="K244" s="121">
        <f>'LABOR SHEET'!$C$5</f>
        <v>45</v>
      </c>
      <c r="L244" s="122">
        <f t="shared" si="184"/>
        <v>1.08</v>
      </c>
      <c r="M244" s="122">
        <f t="shared" si="185"/>
        <v>502.362</v>
      </c>
      <c r="N244" s="122">
        <v>1.2</v>
      </c>
      <c r="O244" s="122">
        <f t="shared" si="186"/>
        <v>558.18</v>
      </c>
      <c r="P244" s="122">
        <f t="shared" si="187"/>
        <v>2.28</v>
      </c>
      <c r="Q244" s="148">
        <f t="shared" si="188"/>
        <v>1060.542</v>
      </c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  <c r="AC244" s="155"/>
      <c r="AD244" s="155"/>
      <c r="AE244" s="155"/>
      <c r="AF244" s="155"/>
      <c r="AG244" s="155"/>
      <c r="AH244" s="155"/>
      <c r="AI244" s="155"/>
      <c r="AJ244" s="155"/>
    </row>
    <row r="245" s="33" customFormat="1" spans="1:36">
      <c r="A245" s="94">
        <f>IF(F245&lt;&gt;"",1+MAX($A$2:A244),"")</f>
        <v>155</v>
      </c>
      <c r="B245" s="112"/>
      <c r="C245" s="98"/>
      <c r="D245" s="86" t="s">
        <v>198</v>
      </c>
      <c r="E245" s="67">
        <v>104</v>
      </c>
      <c r="F245" s="68">
        <v>0.05</v>
      </c>
      <c r="G245" s="99">
        <f t="shared" si="182"/>
        <v>109.2</v>
      </c>
      <c r="H245" s="67" t="s">
        <v>40</v>
      </c>
      <c r="I245" s="119">
        <v>0.024</v>
      </c>
      <c r="J245" s="120">
        <f t="shared" si="183"/>
        <v>2.6208</v>
      </c>
      <c r="K245" s="121">
        <f>'LABOR SHEET'!$C$5</f>
        <v>45</v>
      </c>
      <c r="L245" s="122">
        <f t="shared" si="184"/>
        <v>1.08</v>
      </c>
      <c r="M245" s="122">
        <f t="shared" si="185"/>
        <v>117.936</v>
      </c>
      <c r="N245" s="122">
        <v>1.2</v>
      </c>
      <c r="O245" s="122">
        <f t="shared" si="186"/>
        <v>131.04</v>
      </c>
      <c r="P245" s="122">
        <f t="shared" si="187"/>
        <v>2.28</v>
      </c>
      <c r="Q245" s="148">
        <f t="shared" si="188"/>
        <v>248.976</v>
      </c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  <c r="AC245" s="155"/>
      <c r="AD245" s="155"/>
      <c r="AE245" s="155"/>
      <c r="AF245" s="155"/>
      <c r="AG245" s="155"/>
      <c r="AH245" s="155"/>
      <c r="AI245" s="155"/>
      <c r="AJ245" s="155"/>
    </row>
    <row r="246" s="33" customFormat="1" spans="1:36">
      <c r="A246" s="94">
        <f>IF(F246&lt;&gt;"",1+MAX($A$2:A245),"")</f>
        <v>156</v>
      </c>
      <c r="B246" s="112"/>
      <c r="C246" s="98"/>
      <c r="D246" s="86" t="s">
        <v>199</v>
      </c>
      <c r="E246" s="67">
        <v>2</v>
      </c>
      <c r="F246" s="103">
        <v>0</v>
      </c>
      <c r="G246" s="99">
        <f t="shared" si="182"/>
        <v>2</v>
      </c>
      <c r="H246" s="67" t="s">
        <v>47</v>
      </c>
      <c r="I246" s="119">
        <v>5.1</v>
      </c>
      <c r="J246" s="120">
        <f t="shared" si="183"/>
        <v>10.2</v>
      </c>
      <c r="K246" s="121">
        <f>'LABOR SHEET'!$C$5</f>
        <v>45</v>
      </c>
      <c r="L246" s="122">
        <f t="shared" si="184"/>
        <v>229.5</v>
      </c>
      <c r="M246" s="122">
        <f t="shared" si="185"/>
        <v>459</v>
      </c>
      <c r="N246" s="122">
        <f>1199+499</f>
        <v>1698</v>
      </c>
      <c r="O246" s="122">
        <f t="shared" si="186"/>
        <v>3396</v>
      </c>
      <c r="P246" s="122">
        <f t="shared" si="187"/>
        <v>1927.5</v>
      </c>
      <c r="Q246" s="148">
        <f t="shared" si="188"/>
        <v>3855</v>
      </c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  <c r="AC246" s="155"/>
      <c r="AD246" s="155"/>
      <c r="AE246" s="155"/>
      <c r="AF246" s="155"/>
      <c r="AG246" s="155"/>
      <c r="AH246" s="155"/>
      <c r="AI246" s="155"/>
      <c r="AJ246" s="155"/>
    </row>
    <row r="247" s="33" customFormat="1" spans="1:36">
      <c r="A247" s="94">
        <f>IF(F247&lt;&gt;"",1+MAX($A$2:A246),"")</f>
        <v>157</v>
      </c>
      <c r="B247" s="112"/>
      <c r="C247" s="98"/>
      <c r="D247" s="86" t="s">
        <v>200</v>
      </c>
      <c r="E247" s="67">
        <v>23</v>
      </c>
      <c r="F247" s="103">
        <v>0</v>
      </c>
      <c r="G247" s="99">
        <f t="shared" si="182"/>
        <v>23</v>
      </c>
      <c r="H247" s="67" t="s">
        <v>47</v>
      </c>
      <c r="I247" s="119">
        <v>0.88</v>
      </c>
      <c r="J247" s="120">
        <f t="shared" si="183"/>
        <v>20.24</v>
      </c>
      <c r="K247" s="121">
        <f>'LABOR SHEET'!$C$5</f>
        <v>45</v>
      </c>
      <c r="L247" s="122">
        <f t="shared" si="184"/>
        <v>39.6</v>
      </c>
      <c r="M247" s="122">
        <f t="shared" si="185"/>
        <v>910.8</v>
      </c>
      <c r="N247" s="122">
        <v>72</v>
      </c>
      <c r="O247" s="122">
        <f t="shared" si="186"/>
        <v>1656</v>
      </c>
      <c r="P247" s="122">
        <f t="shared" si="187"/>
        <v>111.6</v>
      </c>
      <c r="Q247" s="148">
        <f t="shared" si="188"/>
        <v>2566.8</v>
      </c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  <c r="AC247" s="155"/>
      <c r="AD247" s="155"/>
      <c r="AE247" s="155"/>
      <c r="AF247" s="155"/>
      <c r="AG247" s="155"/>
      <c r="AH247" s="155"/>
      <c r="AI247" s="155"/>
      <c r="AJ247" s="155"/>
    </row>
    <row r="248" s="33" customFormat="1" ht="16.35" spans="1:36">
      <c r="A248" s="94" t="str">
        <f>IF(F248&lt;&gt;"",1+MAX($A$2:A247),"")</f>
        <v/>
      </c>
      <c r="B248" s="161"/>
      <c r="C248" s="98"/>
      <c r="D248" s="66"/>
      <c r="E248" s="69"/>
      <c r="F248" s="103"/>
      <c r="G248" s="99"/>
      <c r="H248" s="67"/>
      <c r="I248" s="119"/>
      <c r="J248" s="120"/>
      <c r="K248" s="121"/>
      <c r="L248" s="122"/>
      <c r="M248" s="122"/>
      <c r="N248" s="122"/>
      <c r="O248" s="122"/>
      <c r="P248" s="122"/>
      <c r="Q248" s="154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  <c r="AC248" s="155"/>
      <c r="AD248" s="155"/>
      <c r="AE248" s="155"/>
      <c r="AF248" s="155"/>
      <c r="AG248" s="155"/>
      <c r="AH248" s="155"/>
      <c r="AI248" s="155"/>
      <c r="AJ248" s="155"/>
    </row>
    <row r="249" s="33" customFormat="1" ht="16.35" spans="1:19">
      <c r="A249" s="94" t="str">
        <f>IF(F249&lt;&gt;"",1+MAX($A$2:A248),"")</f>
        <v/>
      </c>
      <c r="B249" s="162"/>
      <c r="C249" s="105"/>
      <c r="D249" s="77" t="s">
        <v>33</v>
      </c>
      <c r="E249" s="106"/>
      <c r="F249" s="106"/>
      <c r="G249" s="107"/>
      <c r="H249" s="106"/>
      <c r="I249" s="106"/>
      <c r="J249" s="133"/>
      <c r="K249" s="133"/>
      <c r="L249" s="134"/>
      <c r="M249" s="135"/>
      <c r="N249" s="134"/>
      <c r="O249" s="134"/>
      <c r="P249" s="136"/>
      <c r="Q249" s="143">
        <f>SUM(Q48:Q247)</f>
        <v>850286.565458648</v>
      </c>
      <c r="S249" s="146"/>
    </row>
    <row r="250" s="33" customFormat="1" spans="1:19">
      <c r="A250" s="108" t="str">
        <f>IF(F250&lt;&gt;"",1+MAX($A$2:A249),"")</f>
        <v/>
      </c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56"/>
      <c r="S250" s="146"/>
    </row>
    <row r="251" s="33" customFormat="1" spans="1:19">
      <c r="A251" s="54" t="str">
        <f>IF(F251&lt;&gt;"",1+MAX($A$2:A250),"")</f>
        <v/>
      </c>
      <c r="B251" s="163"/>
      <c r="C251" s="55">
        <v>33</v>
      </c>
      <c r="D251" s="57" t="s">
        <v>201</v>
      </c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153"/>
      <c r="S251" s="146"/>
    </row>
    <row r="252" s="33" customFormat="1" spans="1:36">
      <c r="A252" s="94" t="str">
        <f>IF(F252&lt;&gt;"",1+MAX($A$2:A251),"")</f>
        <v/>
      </c>
      <c r="B252" s="164"/>
      <c r="C252" s="69"/>
      <c r="D252" s="96" t="s">
        <v>202</v>
      </c>
      <c r="E252" s="67"/>
      <c r="F252" s="67"/>
      <c r="G252" s="67"/>
      <c r="H252" s="67"/>
      <c r="I252" s="130"/>
      <c r="J252" s="131"/>
      <c r="K252" s="132"/>
      <c r="L252" s="122"/>
      <c r="M252" s="122"/>
      <c r="N252" s="122"/>
      <c r="O252" s="122"/>
      <c r="P252" s="122"/>
      <c r="Q252" s="154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  <c r="AC252" s="155"/>
      <c r="AD252" s="155"/>
      <c r="AE252" s="155"/>
      <c r="AF252" s="155"/>
      <c r="AG252" s="155"/>
      <c r="AH252" s="155"/>
      <c r="AI252" s="155"/>
      <c r="AJ252" s="155"/>
    </row>
    <row r="253" s="33" customFormat="1" spans="1:36">
      <c r="A253" s="94" t="str">
        <f>IF(F253&lt;&gt;"",1+MAX($A$2:A252),"")</f>
        <v/>
      </c>
      <c r="B253" s="165" t="s">
        <v>59</v>
      </c>
      <c r="C253" s="98"/>
      <c r="D253" s="111" t="s">
        <v>203</v>
      </c>
      <c r="E253" s="67"/>
      <c r="F253" s="103"/>
      <c r="G253" s="99"/>
      <c r="H253" s="67"/>
      <c r="I253" s="119"/>
      <c r="J253" s="120"/>
      <c r="K253" s="121"/>
      <c r="L253" s="122"/>
      <c r="M253" s="122"/>
      <c r="N253" s="122"/>
      <c r="O253" s="122"/>
      <c r="P253" s="122"/>
      <c r="Q253" s="148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  <c r="AC253" s="155"/>
      <c r="AD253" s="155"/>
      <c r="AE253" s="155"/>
      <c r="AF253" s="155"/>
      <c r="AG253" s="155"/>
      <c r="AH253" s="155"/>
      <c r="AI253" s="155"/>
      <c r="AJ253" s="155"/>
    </row>
    <row r="254" s="33" customFormat="1" spans="1:36">
      <c r="A254" s="94">
        <f>IF(F254&lt;&gt;"",1+MAX($A$2:A253),"")</f>
        <v>158</v>
      </c>
      <c r="B254" s="166"/>
      <c r="C254" s="98"/>
      <c r="D254" s="89" t="s">
        <v>204</v>
      </c>
      <c r="E254" s="67">
        <v>326</v>
      </c>
      <c r="F254" s="68">
        <v>0.05</v>
      </c>
      <c r="G254" s="99">
        <f t="shared" ref="G254:G260" si="189">E254*(1+F254)</f>
        <v>342.3</v>
      </c>
      <c r="H254" s="67" t="s">
        <v>40</v>
      </c>
      <c r="I254" s="119">
        <v>0.41</v>
      </c>
      <c r="J254" s="120">
        <f t="shared" ref="J254:J257" si="190">+I254*G254</f>
        <v>140.343</v>
      </c>
      <c r="K254" s="121">
        <f>'LABOR SHEET'!$C$3</f>
        <v>70</v>
      </c>
      <c r="L254" s="122">
        <f t="shared" ref="L254:L257" si="191">I254*K254</f>
        <v>28.7</v>
      </c>
      <c r="M254" s="122">
        <f t="shared" ref="M254:M257" si="192">K254*J254</f>
        <v>9824.01</v>
      </c>
      <c r="N254" s="122">
        <v>17.95</v>
      </c>
      <c r="O254" s="122">
        <f t="shared" ref="O254:O260" si="193">N254*G254</f>
        <v>6144.285</v>
      </c>
      <c r="P254" s="122">
        <f t="shared" ref="P254:P260" si="194">(I254*K254)+N254</f>
        <v>46.65</v>
      </c>
      <c r="Q254" s="148">
        <f t="shared" ref="Q254:Q260" si="195">P254*G254</f>
        <v>15968.295</v>
      </c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  <c r="AC254" s="155"/>
      <c r="AD254" s="155"/>
      <c r="AE254" s="155"/>
      <c r="AF254" s="155"/>
      <c r="AG254" s="155"/>
      <c r="AH254" s="155"/>
      <c r="AI254" s="155"/>
      <c r="AJ254" s="155"/>
    </row>
    <row r="255" s="33" customFormat="1" spans="1:36">
      <c r="A255" s="94">
        <f>IF(F255&lt;&gt;"",1+MAX($A$2:A254),"")</f>
        <v>159</v>
      </c>
      <c r="B255" s="166"/>
      <c r="C255" s="98"/>
      <c r="D255" s="86" t="s">
        <v>205</v>
      </c>
      <c r="E255" s="67">
        <v>28</v>
      </c>
      <c r="F255" s="68">
        <v>0.05</v>
      </c>
      <c r="G255" s="99">
        <f t="shared" si="189"/>
        <v>29.4</v>
      </c>
      <c r="H255" s="67" t="s">
        <v>40</v>
      </c>
      <c r="I255" s="119">
        <v>0.435</v>
      </c>
      <c r="J255" s="120">
        <f t="shared" si="190"/>
        <v>12.789</v>
      </c>
      <c r="K255" s="121">
        <f>'LABOR SHEET'!$C$3</f>
        <v>70</v>
      </c>
      <c r="L255" s="122">
        <f t="shared" si="191"/>
        <v>30.45</v>
      </c>
      <c r="M255" s="122">
        <f t="shared" si="192"/>
        <v>895.23</v>
      </c>
      <c r="N255" s="122">
        <v>19.35</v>
      </c>
      <c r="O255" s="122">
        <f t="shared" si="193"/>
        <v>568.89</v>
      </c>
      <c r="P255" s="122">
        <f t="shared" si="194"/>
        <v>49.8</v>
      </c>
      <c r="Q255" s="148">
        <f t="shared" si="195"/>
        <v>1464.12</v>
      </c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  <c r="AC255" s="155"/>
      <c r="AD255" s="155"/>
      <c r="AE255" s="155"/>
      <c r="AF255" s="155"/>
      <c r="AG255" s="155"/>
      <c r="AH255" s="155"/>
      <c r="AI255" s="155"/>
      <c r="AJ255" s="155"/>
    </row>
    <row r="256" s="33" customFormat="1" spans="1:36">
      <c r="A256" s="94">
        <f>IF(F256&lt;&gt;"",1+MAX($A$2:A255),"")</f>
        <v>160</v>
      </c>
      <c r="B256" s="166"/>
      <c r="C256" s="98"/>
      <c r="D256" s="86" t="s">
        <v>206</v>
      </c>
      <c r="E256" s="67">
        <v>34</v>
      </c>
      <c r="F256" s="68">
        <v>0.05</v>
      </c>
      <c r="G256" s="99">
        <f t="shared" si="189"/>
        <v>35.7</v>
      </c>
      <c r="H256" s="67" t="s">
        <v>40</v>
      </c>
      <c r="I256" s="119">
        <v>0.635</v>
      </c>
      <c r="J256" s="120">
        <f t="shared" si="190"/>
        <v>22.6695</v>
      </c>
      <c r="K256" s="121">
        <f>'LABOR SHEET'!$C$3</f>
        <v>70</v>
      </c>
      <c r="L256" s="122">
        <f t="shared" si="191"/>
        <v>44.45</v>
      </c>
      <c r="M256" s="122">
        <f t="shared" si="192"/>
        <v>1586.865</v>
      </c>
      <c r="N256" s="122">
        <v>32.5</v>
      </c>
      <c r="O256" s="122">
        <f t="shared" si="193"/>
        <v>1160.25</v>
      </c>
      <c r="P256" s="122">
        <f t="shared" si="194"/>
        <v>76.95</v>
      </c>
      <c r="Q256" s="148">
        <f t="shared" si="195"/>
        <v>2747.115</v>
      </c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  <c r="AC256" s="155"/>
      <c r="AD256" s="155"/>
      <c r="AE256" s="155"/>
      <c r="AF256" s="155"/>
      <c r="AG256" s="155"/>
      <c r="AH256" s="155"/>
      <c r="AI256" s="155"/>
      <c r="AJ256" s="155"/>
    </row>
    <row r="257" s="33" customFormat="1" spans="1:36">
      <c r="A257" s="94">
        <f>IF(F257&lt;&gt;"",1+MAX($A$2:A256),"")</f>
        <v>161</v>
      </c>
      <c r="B257" s="166"/>
      <c r="C257" s="98"/>
      <c r="D257" s="86" t="s">
        <v>207</v>
      </c>
      <c r="E257" s="67">
        <v>365</v>
      </c>
      <c r="F257" s="68">
        <v>0.05</v>
      </c>
      <c r="G257" s="99">
        <f t="shared" si="189"/>
        <v>383.25</v>
      </c>
      <c r="H257" s="67" t="s">
        <v>40</v>
      </c>
      <c r="I257" s="119">
        <v>0.41</v>
      </c>
      <c r="J257" s="120">
        <f t="shared" si="190"/>
        <v>157.1325</v>
      </c>
      <c r="K257" s="121">
        <f>'LABOR SHEET'!$C$3</f>
        <v>70</v>
      </c>
      <c r="L257" s="122">
        <f t="shared" si="191"/>
        <v>28.7</v>
      </c>
      <c r="M257" s="122">
        <f t="shared" si="192"/>
        <v>10999.275</v>
      </c>
      <c r="N257" s="122">
        <v>17.95</v>
      </c>
      <c r="O257" s="122">
        <f t="shared" si="193"/>
        <v>6879.3375</v>
      </c>
      <c r="P257" s="122">
        <f t="shared" si="194"/>
        <v>46.65</v>
      </c>
      <c r="Q257" s="148">
        <f t="shared" si="195"/>
        <v>17878.6125</v>
      </c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  <c r="AC257" s="155"/>
      <c r="AD257" s="155"/>
      <c r="AE257" s="155"/>
      <c r="AF257" s="155"/>
      <c r="AG257" s="155"/>
      <c r="AH257" s="155"/>
      <c r="AI257" s="155"/>
      <c r="AJ257" s="155"/>
    </row>
    <row r="258" s="33" customFormat="1" spans="1:36">
      <c r="A258" s="94">
        <f>IF(F258&lt;&gt;"",1+MAX($A$2:A257),"")</f>
        <v>162</v>
      </c>
      <c r="B258" s="166"/>
      <c r="C258" s="98"/>
      <c r="D258" s="86" t="s">
        <v>208</v>
      </c>
      <c r="E258" s="67">
        <v>950</v>
      </c>
      <c r="F258" s="68">
        <v>0.05</v>
      </c>
      <c r="G258" s="99">
        <f t="shared" si="189"/>
        <v>997.5</v>
      </c>
      <c r="H258" s="67" t="s">
        <v>40</v>
      </c>
      <c r="I258" s="119">
        <v>0.333</v>
      </c>
      <c r="J258" s="120">
        <f t="shared" ref="J258:J260" si="196">+I258*G258</f>
        <v>332.1675</v>
      </c>
      <c r="K258" s="121">
        <f>'LABOR SHEET'!$C$3</f>
        <v>70</v>
      </c>
      <c r="L258" s="122">
        <f t="shared" ref="L258:L260" si="197">I258*K258</f>
        <v>23.31</v>
      </c>
      <c r="M258" s="122">
        <f t="shared" ref="M258:M260" si="198">K258*J258</f>
        <v>23251.725</v>
      </c>
      <c r="N258" s="122">
        <v>10.45</v>
      </c>
      <c r="O258" s="122">
        <f t="shared" si="193"/>
        <v>10423.875</v>
      </c>
      <c r="P258" s="122">
        <f t="shared" si="194"/>
        <v>33.76</v>
      </c>
      <c r="Q258" s="148">
        <f t="shared" si="195"/>
        <v>33675.6</v>
      </c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  <c r="AC258" s="155"/>
      <c r="AD258" s="155"/>
      <c r="AE258" s="155"/>
      <c r="AF258" s="155"/>
      <c r="AG258" s="155"/>
      <c r="AH258" s="155"/>
      <c r="AI258" s="155"/>
      <c r="AJ258" s="155"/>
    </row>
    <row r="259" s="33" customFormat="1" spans="1:36">
      <c r="A259" s="94">
        <f>IF(F259&lt;&gt;"",1+MAX($A$2:A258),"")</f>
        <v>163</v>
      </c>
      <c r="B259" s="166"/>
      <c r="C259" s="98"/>
      <c r="D259" s="86" t="s">
        <v>209</v>
      </c>
      <c r="E259" s="167">
        <v>168</v>
      </c>
      <c r="F259" s="68">
        <v>0.05</v>
      </c>
      <c r="G259" s="99">
        <f t="shared" si="189"/>
        <v>176.4</v>
      </c>
      <c r="H259" s="67" t="s">
        <v>40</v>
      </c>
      <c r="I259" s="119">
        <v>0.302</v>
      </c>
      <c r="J259" s="120">
        <f t="shared" si="196"/>
        <v>53.2728</v>
      </c>
      <c r="K259" s="121">
        <f>'LABOR SHEET'!$C$3</f>
        <v>70</v>
      </c>
      <c r="L259" s="122">
        <f t="shared" si="197"/>
        <v>21.14</v>
      </c>
      <c r="M259" s="122">
        <f t="shared" si="198"/>
        <v>3729.096</v>
      </c>
      <c r="N259" s="122">
        <v>8.15</v>
      </c>
      <c r="O259" s="122">
        <f t="shared" si="193"/>
        <v>1437.66</v>
      </c>
      <c r="P259" s="122">
        <f t="shared" si="194"/>
        <v>29.29</v>
      </c>
      <c r="Q259" s="148">
        <f t="shared" si="195"/>
        <v>5166.756</v>
      </c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5"/>
      <c r="AI259" s="155"/>
      <c r="AJ259" s="155"/>
    </row>
    <row r="260" s="33" customFormat="1" spans="1:36">
      <c r="A260" s="94">
        <f>IF(F260&lt;&gt;"",1+MAX($A$2:A259),"")</f>
        <v>164</v>
      </c>
      <c r="B260" s="166"/>
      <c r="C260" s="98"/>
      <c r="D260" s="86" t="s">
        <v>210</v>
      </c>
      <c r="E260" s="167">
        <v>61</v>
      </c>
      <c r="F260" s="68">
        <v>0.05</v>
      </c>
      <c r="G260" s="99">
        <f t="shared" si="189"/>
        <v>64.05</v>
      </c>
      <c r="H260" s="67" t="s">
        <v>40</v>
      </c>
      <c r="I260" s="119">
        <v>0.41</v>
      </c>
      <c r="J260" s="120">
        <f t="shared" si="196"/>
        <v>26.2605</v>
      </c>
      <c r="K260" s="121">
        <f>'LABOR SHEET'!$C$3</f>
        <v>70</v>
      </c>
      <c r="L260" s="122">
        <f t="shared" si="197"/>
        <v>28.7</v>
      </c>
      <c r="M260" s="122">
        <f t="shared" si="198"/>
        <v>1838.235</v>
      </c>
      <c r="N260" s="122">
        <v>17.95</v>
      </c>
      <c r="O260" s="122">
        <f t="shared" si="193"/>
        <v>1149.6975</v>
      </c>
      <c r="P260" s="122">
        <f t="shared" si="194"/>
        <v>46.65</v>
      </c>
      <c r="Q260" s="148">
        <f t="shared" si="195"/>
        <v>2987.9325</v>
      </c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  <c r="AC260" s="155"/>
      <c r="AD260" s="155"/>
      <c r="AE260" s="155"/>
      <c r="AF260" s="155"/>
      <c r="AG260" s="155"/>
      <c r="AH260" s="155"/>
      <c r="AI260" s="155"/>
      <c r="AJ260" s="155"/>
    </row>
    <row r="261" s="33" customFormat="1" spans="1:36">
      <c r="A261" s="94"/>
      <c r="B261" s="166"/>
      <c r="C261" s="98"/>
      <c r="D261" s="86"/>
      <c r="E261" s="167"/>
      <c r="F261" s="68"/>
      <c r="G261" s="99"/>
      <c r="H261" s="67"/>
      <c r="I261" s="119"/>
      <c r="J261" s="120"/>
      <c r="K261" s="121"/>
      <c r="L261" s="122"/>
      <c r="M261" s="122"/>
      <c r="N261" s="122"/>
      <c r="O261" s="122"/>
      <c r="P261" s="122"/>
      <c r="Q261" s="148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  <c r="AC261" s="155"/>
      <c r="AD261" s="155"/>
      <c r="AE261" s="155"/>
      <c r="AF261" s="155"/>
      <c r="AG261" s="155"/>
      <c r="AH261" s="155"/>
      <c r="AI261" s="155"/>
      <c r="AJ261" s="155"/>
    </row>
    <row r="262" s="33" customFormat="1" spans="1:36">
      <c r="A262" s="94" t="str">
        <f>IF(F262&lt;&gt;"",1+MAX($A$2:A260),"")</f>
        <v/>
      </c>
      <c r="B262" s="166"/>
      <c r="C262" s="98"/>
      <c r="D262" s="111" t="s">
        <v>211</v>
      </c>
      <c r="E262" s="167"/>
      <c r="F262" s="103"/>
      <c r="G262" s="99"/>
      <c r="H262" s="67"/>
      <c r="I262" s="119"/>
      <c r="J262" s="120"/>
      <c r="K262" s="121"/>
      <c r="L262" s="122"/>
      <c r="M262" s="122"/>
      <c r="N262" s="122"/>
      <c r="O262" s="122"/>
      <c r="P262" s="122"/>
      <c r="Q262" s="148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  <c r="AC262" s="155"/>
      <c r="AD262" s="155"/>
      <c r="AE262" s="155"/>
      <c r="AF262" s="155"/>
      <c r="AG262" s="155"/>
      <c r="AH262" s="155"/>
      <c r="AI262" s="155"/>
      <c r="AJ262" s="155"/>
    </row>
    <row r="263" s="33" customFormat="1" spans="1:36">
      <c r="A263" s="94">
        <f>IF(F263&lt;&gt;"",1+MAX($A$2:A262),"")</f>
        <v>165</v>
      </c>
      <c r="B263" s="166"/>
      <c r="C263" s="98"/>
      <c r="D263" s="89" t="s">
        <v>212</v>
      </c>
      <c r="E263" s="167">
        <v>501</v>
      </c>
      <c r="F263" s="68">
        <v>0.05</v>
      </c>
      <c r="G263" s="99">
        <f>E263*(1+F263)</f>
        <v>526.05</v>
      </c>
      <c r="H263" s="67" t="s">
        <v>40</v>
      </c>
      <c r="I263" s="119">
        <v>0.118</v>
      </c>
      <c r="J263" s="120">
        <f t="shared" ref="J263:J267" si="199">+I263*G263</f>
        <v>62.0739</v>
      </c>
      <c r="K263" s="121">
        <f>'LABOR SHEET'!$C$3</f>
        <v>70</v>
      </c>
      <c r="L263" s="122">
        <f t="shared" ref="L263:L267" si="200">I263*K263</f>
        <v>8.26</v>
      </c>
      <c r="M263" s="122">
        <f t="shared" ref="M263:M267" si="201">K263*J263</f>
        <v>4345.173</v>
      </c>
      <c r="N263" s="122">
        <v>7.25</v>
      </c>
      <c r="O263" s="122">
        <f t="shared" ref="O262:O267" si="202">N263*G263</f>
        <v>3813.8625</v>
      </c>
      <c r="P263" s="122">
        <f t="shared" ref="P262:P267" si="203">(I263*K263)+N263</f>
        <v>15.51</v>
      </c>
      <c r="Q263" s="148">
        <f t="shared" ref="Q262:Q267" si="204">P263*G263</f>
        <v>8159.0355</v>
      </c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5"/>
      <c r="AE263" s="155"/>
      <c r="AF263" s="155"/>
      <c r="AG263" s="155"/>
      <c r="AH263" s="155"/>
      <c r="AI263" s="155"/>
      <c r="AJ263" s="155"/>
    </row>
    <row r="264" s="33" customFormat="1" spans="1:36">
      <c r="A264" s="94">
        <f>IF(F264&lt;&gt;"",1+MAX($A$2:A263),"")</f>
        <v>166</v>
      </c>
      <c r="B264" s="166"/>
      <c r="C264" s="98"/>
      <c r="D264" s="86" t="s">
        <v>213</v>
      </c>
      <c r="E264" s="167">
        <v>149</v>
      </c>
      <c r="F264" s="68">
        <v>0.05</v>
      </c>
      <c r="G264" s="99">
        <f>E264*(1+F264)</f>
        <v>156.45</v>
      </c>
      <c r="H264" s="67" t="s">
        <v>40</v>
      </c>
      <c r="I264" s="119">
        <v>0.271</v>
      </c>
      <c r="J264" s="120">
        <f t="shared" si="199"/>
        <v>42.39795</v>
      </c>
      <c r="K264" s="121">
        <f>'LABOR SHEET'!$C$3</f>
        <v>70</v>
      </c>
      <c r="L264" s="122">
        <f t="shared" si="200"/>
        <v>18.97</v>
      </c>
      <c r="M264" s="122">
        <f t="shared" si="201"/>
        <v>2967.8565</v>
      </c>
      <c r="N264" s="122">
        <v>5</v>
      </c>
      <c r="O264" s="122">
        <f t="shared" si="202"/>
        <v>782.25</v>
      </c>
      <c r="P264" s="122">
        <f t="shared" si="203"/>
        <v>23.97</v>
      </c>
      <c r="Q264" s="148">
        <f t="shared" si="204"/>
        <v>3750.1065</v>
      </c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  <c r="AC264" s="155"/>
      <c r="AD264" s="155"/>
      <c r="AE264" s="155"/>
      <c r="AF264" s="155"/>
      <c r="AG264" s="155"/>
      <c r="AH264" s="155"/>
      <c r="AI264" s="155"/>
      <c r="AJ264" s="155"/>
    </row>
    <row r="265" s="33" customFormat="1" spans="1:36">
      <c r="A265" s="94">
        <f>IF(F265&lt;&gt;"",1+MAX($A$2:A264),"")</f>
        <v>167</v>
      </c>
      <c r="B265" s="166"/>
      <c r="C265" s="98"/>
      <c r="D265" s="86" t="s">
        <v>214</v>
      </c>
      <c r="E265" s="167">
        <v>244</v>
      </c>
      <c r="F265" s="68">
        <v>0.05</v>
      </c>
      <c r="G265" s="99">
        <f>E265*(1+F265)</f>
        <v>256.2</v>
      </c>
      <c r="H265" s="67" t="s">
        <v>40</v>
      </c>
      <c r="I265" s="119">
        <v>0.41</v>
      </c>
      <c r="J265" s="120">
        <f t="shared" si="199"/>
        <v>105.042</v>
      </c>
      <c r="K265" s="121">
        <f>'LABOR SHEET'!$C$3</f>
        <v>70</v>
      </c>
      <c r="L265" s="122">
        <f t="shared" si="200"/>
        <v>28.7</v>
      </c>
      <c r="M265" s="122">
        <f t="shared" si="201"/>
        <v>7352.94</v>
      </c>
      <c r="N265" s="122">
        <v>17.95</v>
      </c>
      <c r="O265" s="122">
        <f t="shared" si="202"/>
        <v>4598.79</v>
      </c>
      <c r="P265" s="122">
        <f t="shared" si="203"/>
        <v>46.65</v>
      </c>
      <c r="Q265" s="148">
        <f t="shared" si="204"/>
        <v>11951.73</v>
      </c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  <c r="AC265" s="155"/>
      <c r="AD265" s="155"/>
      <c r="AE265" s="155"/>
      <c r="AF265" s="155"/>
      <c r="AG265" s="155"/>
      <c r="AH265" s="155"/>
      <c r="AI265" s="155"/>
      <c r="AJ265" s="155"/>
    </row>
    <row r="266" s="33" customFormat="1" spans="1:36">
      <c r="A266" s="94">
        <f>IF(F266&lt;&gt;"",1+MAX($A$2:A265),"")</f>
        <v>168</v>
      </c>
      <c r="B266" s="166"/>
      <c r="C266" s="98"/>
      <c r="D266" s="86" t="s">
        <v>215</v>
      </c>
      <c r="E266" s="167">
        <v>229</v>
      </c>
      <c r="F266" s="68">
        <v>0.05</v>
      </c>
      <c r="G266" s="99">
        <f>E266*(1+F266)</f>
        <v>240.45</v>
      </c>
      <c r="H266" s="67" t="s">
        <v>40</v>
      </c>
      <c r="I266" s="119">
        <v>0.271</v>
      </c>
      <c r="J266" s="120">
        <f t="shared" si="199"/>
        <v>65.16195</v>
      </c>
      <c r="K266" s="121">
        <f>'LABOR SHEET'!$C$3</f>
        <v>70</v>
      </c>
      <c r="L266" s="122">
        <f t="shared" si="200"/>
        <v>18.97</v>
      </c>
      <c r="M266" s="122">
        <f t="shared" si="201"/>
        <v>4561.3365</v>
      </c>
      <c r="N266" s="122">
        <v>5</v>
      </c>
      <c r="O266" s="122">
        <f t="shared" si="202"/>
        <v>1202.25</v>
      </c>
      <c r="P266" s="122">
        <f t="shared" si="203"/>
        <v>23.97</v>
      </c>
      <c r="Q266" s="148">
        <f t="shared" si="204"/>
        <v>5763.5865</v>
      </c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155"/>
      <c r="AI266" s="155"/>
      <c r="AJ266" s="155"/>
    </row>
    <row r="267" s="33" customFormat="1" spans="1:36">
      <c r="A267" s="94">
        <f>IF(F267&lt;&gt;"",1+MAX($A$2:A266),"")</f>
        <v>169</v>
      </c>
      <c r="B267" s="166"/>
      <c r="C267" s="98"/>
      <c r="D267" s="86" t="s">
        <v>216</v>
      </c>
      <c r="E267" s="167">
        <v>175</v>
      </c>
      <c r="F267" s="68">
        <v>0.05</v>
      </c>
      <c r="G267" s="99">
        <f>E267*(1+F267)</f>
        <v>183.75</v>
      </c>
      <c r="H267" s="67" t="s">
        <v>40</v>
      </c>
      <c r="I267" s="119">
        <v>0.222</v>
      </c>
      <c r="J267" s="120">
        <f t="shared" si="199"/>
        <v>40.7925</v>
      </c>
      <c r="K267" s="121">
        <f>'LABOR SHEET'!$C$3</f>
        <v>70</v>
      </c>
      <c r="L267" s="122">
        <f t="shared" si="200"/>
        <v>15.54</v>
      </c>
      <c r="M267" s="122">
        <f t="shared" si="201"/>
        <v>2855.475</v>
      </c>
      <c r="N267" s="122">
        <v>4.41</v>
      </c>
      <c r="O267" s="122">
        <f t="shared" si="202"/>
        <v>810.3375</v>
      </c>
      <c r="P267" s="122">
        <f t="shared" si="203"/>
        <v>19.95</v>
      </c>
      <c r="Q267" s="148">
        <f t="shared" si="204"/>
        <v>3665.8125</v>
      </c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  <c r="AC267" s="155"/>
      <c r="AD267" s="155"/>
      <c r="AE267" s="155"/>
      <c r="AF267" s="155"/>
      <c r="AG267" s="155"/>
      <c r="AH267" s="155"/>
      <c r="AI267" s="155"/>
      <c r="AJ267" s="155"/>
    </row>
    <row r="268" s="33" customFormat="1" spans="1:36">
      <c r="A268" s="94"/>
      <c r="B268" s="166"/>
      <c r="C268" s="98"/>
      <c r="D268" s="86"/>
      <c r="E268" s="167"/>
      <c r="F268" s="68"/>
      <c r="G268" s="99"/>
      <c r="H268" s="67"/>
      <c r="I268" s="119"/>
      <c r="J268" s="120"/>
      <c r="K268" s="121"/>
      <c r="L268" s="122"/>
      <c r="M268" s="122"/>
      <c r="N268" s="122"/>
      <c r="O268" s="122"/>
      <c r="P268" s="122"/>
      <c r="Q268" s="148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  <c r="AC268" s="155"/>
      <c r="AD268" s="155"/>
      <c r="AE268" s="155"/>
      <c r="AF268" s="155"/>
      <c r="AG268" s="155"/>
      <c r="AH268" s="155"/>
      <c r="AI268" s="155"/>
      <c r="AJ268" s="155"/>
    </row>
    <row r="269" s="33" customFormat="1" spans="1:36">
      <c r="A269" s="94" t="str">
        <f>IF(F269&lt;&gt;"",1+MAX($A$2:A267),"")</f>
        <v/>
      </c>
      <c r="B269" s="166"/>
      <c r="C269" s="98"/>
      <c r="D269" s="111" t="s">
        <v>217</v>
      </c>
      <c r="E269" s="167"/>
      <c r="F269" s="103"/>
      <c r="G269" s="99"/>
      <c r="H269" s="67"/>
      <c r="I269" s="119"/>
      <c r="J269" s="120"/>
      <c r="K269" s="121"/>
      <c r="L269" s="122"/>
      <c r="M269" s="122"/>
      <c r="N269" s="122"/>
      <c r="O269" s="122"/>
      <c r="P269" s="122"/>
      <c r="Q269" s="148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  <c r="AC269" s="155"/>
      <c r="AD269" s="155"/>
      <c r="AE269" s="155"/>
      <c r="AF269" s="155"/>
      <c r="AG269" s="155"/>
      <c r="AH269" s="155"/>
      <c r="AI269" s="155"/>
      <c r="AJ269" s="155"/>
    </row>
    <row r="270" s="33" customFormat="1" spans="1:36">
      <c r="A270" s="94">
        <f>IF(F270&lt;&gt;"",1+MAX($A$2:A269),"")</f>
        <v>170</v>
      </c>
      <c r="B270" s="166"/>
      <c r="C270" s="98"/>
      <c r="D270" s="86" t="s">
        <v>218</v>
      </c>
      <c r="E270" s="167">
        <v>519</v>
      </c>
      <c r="F270" s="68">
        <v>0.05</v>
      </c>
      <c r="G270" s="99">
        <f>E270*(1+F270)</f>
        <v>544.95</v>
      </c>
      <c r="H270" s="67" t="s">
        <v>40</v>
      </c>
      <c r="I270" s="119">
        <v>0.271</v>
      </c>
      <c r="J270" s="120">
        <f>+I270*G270</f>
        <v>147.68145</v>
      </c>
      <c r="K270" s="121">
        <f>'LABOR SHEET'!$C$3</f>
        <v>70</v>
      </c>
      <c r="L270" s="122">
        <f>I270*K270</f>
        <v>18.97</v>
      </c>
      <c r="M270" s="122">
        <f>K270*J270</f>
        <v>10337.7015</v>
      </c>
      <c r="N270" s="122">
        <v>6.3</v>
      </c>
      <c r="O270" s="122">
        <f>N270*G270</f>
        <v>3433.185</v>
      </c>
      <c r="P270" s="122">
        <f>(I270*K270)+N270</f>
        <v>25.27</v>
      </c>
      <c r="Q270" s="148">
        <f>P270*G270</f>
        <v>13770.8865</v>
      </c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  <c r="AC270" s="155"/>
      <c r="AD270" s="155"/>
      <c r="AE270" s="155"/>
      <c r="AF270" s="155"/>
      <c r="AG270" s="155"/>
      <c r="AH270" s="155"/>
      <c r="AI270" s="155"/>
      <c r="AJ270" s="155"/>
    </row>
    <row r="271" s="33" customFormat="1" spans="1:36">
      <c r="A271" s="94"/>
      <c r="B271" s="166"/>
      <c r="C271" s="98"/>
      <c r="D271" s="86"/>
      <c r="E271" s="167"/>
      <c r="F271" s="68"/>
      <c r="G271" s="99"/>
      <c r="H271" s="67"/>
      <c r="I271" s="119"/>
      <c r="J271" s="120"/>
      <c r="K271" s="121"/>
      <c r="L271" s="122"/>
      <c r="M271" s="122"/>
      <c r="N271" s="122"/>
      <c r="O271" s="122"/>
      <c r="P271" s="122"/>
      <c r="Q271" s="148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  <c r="AC271" s="155"/>
      <c r="AD271" s="155"/>
      <c r="AE271" s="155"/>
      <c r="AF271" s="155"/>
      <c r="AG271" s="155"/>
      <c r="AH271" s="155"/>
      <c r="AI271" s="155"/>
      <c r="AJ271" s="155"/>
    </row>
    <row r="272" s="33" customFormat="1" spans="1:36">
      <c r="A272" s="94" t="str">
        <f>IF(F272&lt;&gt;"",1+MAX($A$2:A270),"")</f>
        <v/>
      </c>
      <c r="B272" s="166"/>
      <c r="C272" s="98"/>
      <c r="D272" s="111" t="s">
        <v>219</v>
      </c>
      <c r="E272" s="167"/>
      <c r="F272" s="103"/>
      <c r="G272" s="99"/>
      <c r="H272" s="67"/>
      <c r="I272" s="119"/>
      <c r="J272" s="120"/>
      <c r="K272" s="121"/>
      <c r="L272" s="122"/>
      <c r="M272" s="122"/>
      <c r="N272" s="122"/>
      <c r="O272" s="122"/>
      <c r="P272" s="122"/>
      <c r="Q272" s="148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  <c r="AC272" s="155"/>
      <c r="AD272" s="155"/>
      <c r="AE272" s="155"/>
      <c r="AF272" s="155"/>
      <c r="AG272" s="155"/>
      <c r="AH272" s="155"/>
      <c r="AI272" s="155"/>
      <c r="AJ272" s="155"/>
    </row>
    <row r="273" s="33" customFormat="1" spans="1:36">
      <c r="A273" s="94">
        <f>IF(F273&lt;&gt;"",1+MAX($A$2:A272),"")</f>
        <v>171</v>
      </c>
      <c r="B273" s="166"/>
      <c r="C273" s="98"/>
      <c r="D273" s="86" t="s">
        <v>220</v>
      </c>
      <c r="E273" s="167">
        <v>639</v>
      </c>
      <c r="F273" s="68">
        <v>0.05</v>
      </c>
      <c r="G273" s="99">
        <f>E273*(1+F273)</f>
        <v>670.95</v>
      </c>
      <c r="H273" s="67" t="s">
        <v>40</v>
      </c>
      <c r="I273" s="119">
        <v>0.333</v>
      </c>
      <c r="J273" s="120">
        <f>+I273*G273</f>
        <v>223.42635</v>
      </c>
      <c r="K273" s="121">
        <f>'LABOR SHEET'!$C$3</f>
        <v>70</v>
      </c>
      <c r="L273" s="122">
        <f>I273*K273</f>
        <v>23.31</v>
      </c>
      <c r="M273" s="122">
        <f>K273*J273</f>
        <v>15639.8445</v>
      </c>
      <c r="N273" s="122">
        <v>8</v>
      </c>
      <c r="O273" s="122">
        <f>N273*G273</f>
        <v>5367.6</v>
      </c>
      <c r="P273" s="122">
        <f>(I273*K273)+N273</f>
        <v>31.31</v>
      </c>
      <c r="Q273" s="148">
        <f>P273*G273</f>
        <v>21007.4445</v>
      </c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  <c r="AC273" s="155"/>
      <c r="AD273" s="155"/>
      <c r="AE273" s="155"/>
      <c r="AF273" s="155"/>
      <c r="AG273" s="155"/>
      <c r="AH273" s="155"/>
      <c r="AI273" s="155"/>
      <c r="AJ273" s="155"/>
    </row>
    <row r="274" s="33" customFormat="1" spans="1:36">
      <c r="A274" s="94"/>
      <c r="B274" s="166"/>
      <c r="C274" s="98"/>
      <c r="D274" s="86"/>
      <c r="E274" s="167"/>
      <c r="F274" s="68"/>
      <c r="G274" s="99"/>
      <c r="H274" s="67"/>
      <c r="I274" s="119"/>
      <c r="J274" s="120"/>
      <c r="K274" s="121"/>
      <c r="L274" s="122"/>
      <c r="M274" s="122"/>
      <c r="N274" s="122"/>
      <c r="O274" s="122"/>
      <c r="P274" s="122"/>
      <c r="Q274" s="148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  <c r="AC274" s="155"/>
      <c r="AD274" s="155"/>
      <c r="AE274" s="155"/>
      <c r="AF274" s="155"/>
      <c r="AG274" s="155"/>
      <c r="AH274" s="155"/>
      <c r="AI274" s="155"/>
      <c r="AJ274" s="155"/>
    </row>
    <row r="275" s="33" customFormat="1" spans="1:36">
      <c r="A275" s="94" t="str">
        <f>IF(F275&lt;&gt;"",1+MAX($A$2:A273),"")</f>
        <v/>
      </c>
      <c r="B275" s="166"/>
      <c r="C275" s="98"/>
      <c r="D275" s="111" t="s">
        <v>221</v>
      </c>
      <c r="E275" s="167"/>
      <c r="F275" s="103"/>
      <c r="G275" s="99"/>
      <c r="H275" s="67"/>
      <c r="I275" s="119"/>
      <c r="J275" s="120"/>
      <c r="K275" s="121"/>
      <c r="L275" s="122"/>
      <c r="M275" s="122"/>
      <c r="N275" s="122"/>
      <c r="O275" s="122"/>
      <c r="P275" s="122"/>
      <c r="Q275" s="148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  <c r="AC275" s="155"/>
      <c r="AD275" s="155"/>
      <c r="AE275" s="155"/>
      <c r="AF275" s="155"/>
      <c r="AG275" s="155"/>
      <c r="AH275" s="155"/>
      <c r="AI275" s="155"/>
      <c r="AJ275" s="155"/>
    </row>
    <row r="276" s="33" customFormat="1" spans="1:36">
      <c r="A276" s="94">
        <f>IF(F276&lt;&gt;"",1+MAX($A$2:A275),"")</f>
        <v>172</v>
      </c>
      <c r="B276" s="166"/>
      <c r="C276" s="98"/>
      <c r="D276" s="89" t="s">
        <v>222</v>
      </c>
      <c r="E276" s="69">
        <f>1861*2*3.5/27</f>
        <v>482.481481481481</v>
      </c>
      <c r="F276" s="62">
        <v>0</v>
      </c>
      <c r="G276" s="99">
        <f t="shared" ref="G276:G278" si="205">E276*(1+F276)</f>
        <v>482.481481481481</v>
      </c>
      <c r="H276" s="67" t="s">
        <v>54</v>
      </c>
      <c r="I276" s="119">
        <v>0.22</v>
      </c>
      <c r="J276" s="120">
        <f>+I276*G276</f>
        <v>106.145925925926</v>
      </c>
      <c r="K276" s="121">
        <f>'LABOR SHEET'!$C$4</f>
        <v>45</v>
      </c>
      <c r="L276" s="122">
        <f>I276*K276</f>
        <v>9.9</v>
      </c>
      <c r="M276" s="122">
        <f>K276*J276</f>
        <v>4776.56666666666</v>
      </c>
      <c r="N276" s="122">
        <v>5</v>
      </c>
      <c r="O276" s="122">
        <f>N276*G276</f>
        <v>2412.40740740741</v>
      </c>
      <c r="P276" s="122">
        <f>(I276*K276)+N276</f>
        <v>14.9</v>
      </c>
      <c r="Q276" s="148">
        <f>P276*G276</f>
        <v>7188.97407407407</v>
      </c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  <c r="AC276" s="155"/>
      <c r="AD276" s="155"/>
      <c r="AE276" s="155"/>
      <c r="AF276" s="155"/>
      <c r="AG276" s="155"/>
      <c r="AH276" s="155"/>
      <c r="AI276" s="155"/>
      <c r="AJ276" s="155"/>
    </row>
    <row r="277" s="33" customFormat="1" spans="1:36">
      <c r="A277" s="94">
        <f>IF(F277&lt;&gt;"",1+MAX($A$2:A276),"")</f>
        <v>173</v>
      </c>
      <c r="B277" s="166"/>
      <c r="C277" s="98"/>
      <c r="D277" s="89" t="s">
        <v>223</v>
      </c>
      <c r="E277" s="69">
        <f>1861*2*0.16/27</f>
        <v>22.0562962962963</v>
      </c>
      <c r="F277" s="62">
        <v>0.1</v>
      </c>
      <c r="G277" s="99">
        <f t="shared" si="205"/>
        <v>24.2619259259259</v>
      </c>
      <c r="H277" s="67" t="s">
        <v>54</v>
      </c>
      <c r="I277" s="119">
        <v>0.6</v>
      </c>
      <c r="J277" s="120">
        <f t="shared" ref="J276:J278" si="206">+I277*G277</f>
        <v>14.5571555555555</v>
      </c>
      <c r="K277" s="121">
        <f>'LABOR SHEET'!$C$3</f>
        <v>70</v>
      </c>
      <c r="L277" s="122">
        <f t="shared" ref="L276:L278" si="207">I277*K277</f>
        <v>42</v>
      </c>
      <c r="M277" s="122">
        <f t="shared" ref="M276:M278" si="208">K277*J277</f>
        <v>1019.00088888889</v>
      </c>
      <c r="N277" s="122">
        <v>38</v>
      </c>
      <c r="O277" s="122">
        <f t="shared" ref="O276:O278" si="209">N277*G277</f>
        <v>921.953185185184</v>
      </c>
      <c r="P277" s="122">
        <f t="shared" ref="P276:P278" si="210">(I277*K277)+N277</f>
        <v>80</v>
      </c>
      <c r="Q277" s="148">
        <f t="shared" ref="Q276:Q278" si="211">P277*G277</f>
        <v>1940.95407407407</v>
      </c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  <c r="AC277" s="155"/>
      <c r="AD277" s="155"/>
      <c r="AE277" s="155"/>
      <c r="AF277" s="155"/>
      <c r="AG277" s="155"/>
      <c r="AH277" s="155"/>
      <c r="AI277" s="155"/>
      <c r="AJ277" s="155"/>
    </row>
    <row r="278" s="33" customFormat="1" spans="1:36">
      <c r="A278" s="94">
        <f>IF(F278&lt;&gt;"",1+MAX($A$2:A277),"")</f>
        <v>174</v>
      </c>
      <c r="B278" s="166"/>
      <c r="C278" s="98"/>
      <c r="D278" s="89" t="s">
        <v>224</v>
      </c>
      <c r="E278" s="69">
        <v>457</v>
      </c>
      <c r="F278" s="62">
        <v>0</v>
      </c>
      <c r="G278" s="99">
        <f t="shared" si="205"/>
        <v>457</v>
      </c>
      <c r="H278" s="67" t="s">
        <v>54</v>
      </c>
      <c r="I278" s="119">
        <v>0.2</v>
      </c>
      <c r="J278" s="120">
        <f t="shared" si="206"/>
        <v>91.4</v>
      </c>
      <c r="K278" s="121">
        <f>'LABOR SHEET'!$C$4</f>
        <v>45</v>
      </c>
      <c r="L278" s="122">
        <f t="shared" si="207"/>
        <v>9</v>
      </c>
      <c r="M278" s="122">
        <f t="shared" si="208"/>
        <v>4113</v>
      </c>
      <c r="N278" s="122">
        <v>5</v>
      </c>
      <c r="O278" s="122">
        <f t="shared" si="209"/>
        <v>2285</v>
      </c>
      <c r="P278" s="122">
        <f t="shared" si="210"/>
        <v>14</v>
      </c>
      <c r="Q278" s="148">
        <f t="shared" si="211"/>
        <v>6398</v>
      </c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  <c r="AC278" s="155"/>
      <c r="AD278" s="155"/>
      <c r="AE278" s="155"/>
      <c r="AF278" s="155"/>
      <c r="AG278" s="155"/>
      <c r="AH278" s="155"/>
      <c r="AI278" s="155"/>
      <c r="AJ278" s="155"/>
    </row>
    <row r="279" s="33" customFormat="1" spans="1:36">
      <c r="A279" s="94"/>
      <c r="B279" s="166"/>
      <c r="C279" s="98"/>
      <c r="D279" s="89"/>
      <c r="E279" s="69"/>
      <c r="F279" s="62"/>
      <c r="G279" s="99"/>
      <c r="H279" s="67"/>
      <c r="I279" s="119"/>
      <c r="J279" s="120"/>
      <c r="K279" s="121"/>
      <c r="L279" s="122"/>
      <c r="M279" s="122"/>
      <c r="N279" s="122"/>
      <c r="O279" s="122"/>
      <c r="P279" s="122"/>
      <c r="Q279" s="148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  <c r="AC279" s="155"/>
      <c r="AD279" s="155"/>
      <c r="AE279" s="155"/>
      <c r="AF279" s="155"/>
      <c r="AG279" s="155"/>
      <c r="AH279" s="155"/>
      <c r="AI279" s="155"/>
      <c r="AJ279" s="155"/>
    </row>
    <row r="280" s="33" customFormat="1" spans="1:36">
      <c r="A280" s="94" t="str">
        <f>IF(F280&lt;&gt;"",1+MAX($A$2:A278),"")</f>
        <v/>
      </c>
      <c r="B280" s="166"/>
      <c r="C280" s="98"/>
      <c r="D280" s="111" t="s">
        <v>225</v>
      </c>
      <c r="E280" s="67"/>
      <c r="F280" s="103"/>
      <c r="G280" s="99"/>
      <c r="H280" s="67"/>
      <c r="I280" s="119"/>
      <c r="J280" s="120"/>
      <c r="K280" s="121"/>
      <c r="L280" s="122"/>
      <c r="M280" s="122"/>
      <c r="N280" s="122"/>
      <c r="O280" s="122"/>
      <c r="P280" s="122"/>
      <c r="Q280" s="148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155"/>
      <c r="AF280" s="155"/>
      <c r="AG280" s="155"/>
      <c r="AH280" s="155"/>
      <c r="AI280" s="155"/>
      <c r="AJ280" s="155"/>
    </row>
    <row r="281" s="33" customFormat="1" spans="1:36">
      <c r="A281" s="94">
        <f>IF(F281&lt;&gt;"",1+MAX($A$2:A280),"")</f>
        <v>175</v>
      </c>
      <c r="B281" s="166"/>
      <c r="C281" s="98"/>
      <c r="D281" s="89" t="s">
        <v>226</v>
      </c>
      <c r="E281" s="69">
        <f>2527*2*3.5/27</f>
        <v>655.148148148148</v>
      </c>
      <c r="F281" s="62">
        <v>0</v>
      </c>
      <c r="G281" s="99">
        <f>E281*(1+F281)</f>
        <v>655.148148148148</v>
      </c>
      <c r="H281" s="67" t="s">
        <v>54</v>
      </c>
      <c r="I281" s="119">
        <v>0.22</v>
      </c>
      <c r="J281" s="120">
        <f>+I281*G281</f>
        <v>144.132592592593</v>
      </c>
      <c r="K281" s="121">
        <f>'LABOR SHEET'!$C$4</f>
        <v>45</v>
      </c>
      <c r="L281" s="122">
        <f>I281*K281</f>
        <v>9.9</v>
      </c>
      <c r="M281" s="122">
        <f>K281*J281</f>
        <v>6485.96666666667</v>
      </c>
      <c r="N281" s="122">
        <v>5</v>
      </c>
      <c r="O281" s="122">
        <f>N281*G281</f>
        <v>3275.74074074074</v>
      </c>
      <c r="P281" s="122">
        <f>(I281*K281)+N281</f>
        <v>14.9</v>
      </c>
      <c r="Q281" s="148">
        <f>P281*G281</f>
        <v>9761.70740740741</v>
      </c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  <c r="AC281" s="155"/>
      <c r="AD281" s="155"/>
      <c r="AE281" s="155"/>
      <c r="AF281" s="155"/>
      <c r="AG281" s="155"/>
      <c r="AH281" s="155"/>
      <c r="AI281" s="155"/>
      <c r="AJ281" s="155"/>
    </row>
    <row r="282" s="33" customFormat="1" spans="1:36">
      <c r="A282" s="94">
        <f>IF(F282&lt;&gt;"",1+MAX($A$2:A281),"")</f>
        <v>176</v>
      </c>
      <c r="B282" s="166"/>
      <c r="C282" s="98"/>
      <c r="D282" s="89" t="s">
        <v>227</v>
      </c>
      <c r="E282" s="69">
        <f>2527*2*1.5/27</f>
        <v>280.777777777778</v>
      </c>
      <c r="F282" s="62">
        <v>0.1</v>
      </c>
      <c r="G282" s="99">
        <f>E282*(1+F282)</f>
        <v>308.855555555556</v>
      </c>
      <c r="H282" s="67" t="s">
        <v>54</v>
      </c>
      <c r="I282" s="119">
        <v>0.6</v>
      </c>
      <c r="J282" s="120">
        <f>+I282*G282</f>
        <v>185.313333333334</v>
      </c>
      <c r="K282" s="121">
        <f>'LABOR SHEET'!$C$3</f>
        <v>70</v>
      </c>
      <c r="L282" s="122">
        <f>I282*K282</f>
        <v>42</v>
      </c>
      <c r="M282" s="122">
        <f>K282*J282</f>
        <v>12971.9333333333</v>
      </c>
      <c r="N282" s="122">
        <v>38</v>
      </c>
      <c r="O282" s="122">
        <f>N282*G282</f>
        <v>11736.5111111111</v>
      </c>
      <c r="P282" s="122">
        <f>(I282*K282)+N282</f>
        <v>80</v>
      </c>
      <c r="Q282" s="148">
        <f>P282*G282</f>
        <v>24708.4444444445</v>
      </c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  <c r="AC282" s="155"/>
      <c r="AD282" s="155"/>
      <c r="AE282" s="155"/>
      <c r="AF282" s="155"/>
      <c r="AG282" s="155"/>
      <c r="AH282" s="155"/>
      <c r="AI282" s="155"/>
      <c r="AJ282" s="155"/>
    </row>
    <row r="283" s="33" customFormat="1" spans="1:36">
      <c r="A283" s="94">
        <f>IF(F283&lt;&gt;"",1+MAX($A$2:A282),"")</f>
        <v>177</v>
      </c>
      <c r="B283" s="166"/>
      <c r="C283" s="98"/>
      <c r="D283" s="89" t="s">
        <v>228</v>
      </c>
      <c r="E283" s="69">
        <v>183</v>
      </c>
      <c r="F283" s="62">
        <v>0.1</v>
      </c>
      <c r="G283" s="99">
        <f>E283*(1+F283)</f>
        <v>201.3</v>
      </c>
      <c r="H283" s="67" t="s">
        <v>54</v>
      </c>
      <c r="I283" s="119">
        <v>1</v>
      </c>
      <c r="J283" s="120">
        <f>+I283*G283</f>
        <v>201.3</v>
      </c>
      <c r="K283" s="121">
        <f>'LABOR SHEET'!$C$3</f>
        <v>70</v>
      </c>
      <c r="L283" s="122">
        <f>I283*K283</f>
        <v>70</v>
      </c>
      <c r="M283" s="122">
        <f>K283*J283</f>
        <v>14091</v>
      </c>
      <c r="N283" s="122">
        <v>76</v>
      </c>
      <c r="O283" s="122">
        <f>N283*G283</f>
        <v>15298.8</v>
      </c>
      <c r="P283" s="122">
        <f>(I283*K283)+N283</f>
        <v>146</v>
      </c>
      <c r="Q283" s="148">
        <f>P283*G283</f>
        <v>29389.8</v>
      </c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  <c r="AC283" s="155"/>
      <c r="AD283" s="155"/>
      <c r="AE283" s="155"/>
      <c r="AF283" s="155"/>
      <c r="AG283" s="155"/>
      <c r="AH283" s="155"/>
      <c r="AI283" s="155"/>
      <c r="AJ283" s="155"/>
    </row>
    <row r="284" s="33" customFormat="1" spans="1:36">
      <c r="A284" s="94">
        <f>IF(F284&lt;&gt;"",1+MAX($A$2:A283),"")</f>
        <v>178</v>
      </c>
      <c r="B284" s="166"/>
      <c r="C284" s="98"/>
      <c r="D284" s="89" t="s">
        <v>229</v>
      </c>
      <c r="E284" s="69">
        <f>2527*2*1/27</f>
        <v>187.185185185185</v>
      </c>
      <c r="F284" s="62">
        <v>0</v>
      </c>
      <c r="G284" s="99">
        <f>E284*(1+F284)</f>
        <v>187.185185185185</v>
      </c>
      <c r="H284" s="67" t="s">
        <v>54</v>
      </c>
      <c r="I284" s="119">
        <v>0.2</v>
      </c>
      <c r="J284" s="120">
        <f>+I284*G284</f>
        <v>37.437037037037</v>
      </c>
      <c r="K284" s="121">
        <f>'LABOR SHEET'!$C$4</f>
        <v>45</v>
      </c>
      <c r="L284" s="122">
        <f>I284*K284</f>
        <v>9</v>
      </c>
      <c r="M284" s="122">
        <f>K284*J284</f>
        <v>1684.66666666667</v>
      </c>
      <c r="N284" s="122">
        <v>5</v>
      </c>
      <c r="O284" s="122">
        <f>N284*G284</f>
        <v>935.925925925925</v>
      </c>
      <c r="P284" s="122">
        <f>(I284*K284)+N284</f>
        <v>14</v>
      </c>
      <c r="Q284" s="148">
        <f>P284*G284</f>
        <v>2620.59259259259</v>
      </c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  <c r="AC284" s="155"/>
      <c r="AD284" s="155"/>
      <c r="AE284" s="155"/>
      <c r="AF284" s="155"/>
      <c r="AG284" s="155"/>
      <c r="AH284" s="155"/>
      <c r="AI284" s="155"/>
      <c r="AJ284" s="155"/>
    </row>
    <row r="285" s="33" customFormat="1" spans="1:36">
      <c r="A285" s="94"/>
      <c r="B285" s="166"/>
      <c r="C285" s="98"/>
      <c r="D285" s="89"/>
      <c r="E285" s="69"/>
      <c r="F285" s="62"/>
      <c r="G285" s="99"/>
      <c r="H285" s="67"/>
      <c r="I285" s="119"/>
      <c r="J285" s="120"/>
      <c r="K285" s="121"/>
      <c r="L285" s="122"/>
      <c r="M285" s="122"/>
      <c r="N285" s="122"/>
      <c r="O285" s="122"/>
      <c r="P285" s="122"/>
      <c r="Q285" s="148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  <c r="AC285" s="155"/>
      <c r="AD285" s="155"/>
      <c r="AE285" s="155"/>
      <c r="AF285" s="155"/>
      <c r="AG285" s="155"/>
      <c r="AH285" s="155"/>
      <c r="AI285" s="155"/>
      <c r="AJ285" s="155"/>
    </row>
    <row r="286" s="33" customFormat="1" spans="1:36">
      <c r="A286" s="94" t="str">
        <f>IF(F286&lt;&gt;"",1+MAX($A$2:A284),"")</f>
        <v/>
      </c>
      <c r="B286" s="166"/>
      <c r="C286" s="98"/>
      <c r="D286" s="111" t="s">
        <v>230</v>
      </c>
      <c r="E286" s="67"/>
      <c r="F286" s="103"/>
      <c r="G286" s="99"/>
      <c r="H286" s="67"/>
      <c r="I286" s="119"/>
      <c r="J286" s="120"/>
      <c r="K286" s="121"/>
      <c r="L286" s="122"/>
      <c r="M286" s="122"/>
      <c r="N286" s="122"/>
      <c r="O286" s="122"/>
      <c r="P286" s="122"/>
      <c r="Q286" s="148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  <c r="AC286" s="155"/>
      <c r="AD286" s="155"/>
      <c r="AE286" s="155"/>
      <c r="AF286" s="155"/>
      <c r="AG286" s="155"/>
      <c r="AH286" s="155"/>
      <c r="AI286" s="155"/>
      <c r="AJ286" s="155"/>
    </row>
    <row r="287" s="33" customFormat="1" spans="1:36">
      <c r="A287" s="94">
        <f>IF(F287&lt;&gt;"",1+MAX($A$2:A286),"")</f>
        <v>179</v>
      </c>
      <c r="B287" s="166"/>
      <c r="C287" s="98"/>
      <c r="D287" s="89" t="s">
        <v>231</v>
      </c>
      <c r="E287" s="157">
        <f>0.67*94/27</f>
        <v>2.33259259259259</v>
      </c>
      <c r="F287" s="62">
        <v>0.1</v>
      </c>
      <c r="G287" s="99">
        <f>E287*(1+F287)</f>
        <v>2.56585185185185</v>
      </c>
      <c r="H287" s="67" t="s">
        <v>54</v>
      </c>
      <c r="I287" s="119">
        <v>1.2</v>
      </c>
      <c r="J287" s="120">
        <f>+I287*G287</f>
        <v>3.07902222222222</v>
      </c>
      <c r="K287" s="121">
        <f>'LABOR SHEET'!$C$3</f>
        <v>70</v>
      </c>
      <c r="L287" s="122">
        <f>I287*K287</f>
        <v>84</v>
      </c>
      <c r="M287" s="122">
        <f>K287*J287</f>
        <v>215.531555555555</v>
      </c>
      <c r="N287" s="122">
        <v>58</v>
      </c>
      <c r="O287" s="122">
        <f>N287*G287</f>
        <v>148.819407407407</v>
      </c>
      <c r="P287" s="122">
        <f>(I287*K287)+N287</f>
        <v>142</v>
      </c>
      <c r="Q287" s="148">
        <f>P287*G287</f>
        <v>364.350962962963</v>
      </c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  <c r="AC287" s="155"/>
      <c r="AD287" s="155"/>
      <c r="AE287" s="155"/>
      <c r="AF287" s="155"/>
      <c r="AG287" s="155"/>
      <c r="AH287" s="155"/>
      <c r="AI287" s="155"/>
      <c r="AJ287" s="155"/>
    </row>
    <row r="288" s="33" customFormat="1" spans="1:36">
      <c r="A288" s="94"/>
      <c r="B288" s="166"/>
      <c r="C288" s="98"/>
      <c r="D288" s="89"/>
      <c r="E288" s="157"/>
      <c r="F288" s="62"/>
      <c r="G288" s="99"/>
      <c r="H288" s="67"/>
      <c r="I288" s="119"/>
      <c r="J288" s="120"/>
      <c r="K288" s="121"/>
      <c r="L288" s="122"/>
      <c r="M288" s="122"/>
      <c r="N288" s="122"/>
      <c r="O288" s="122"/>
      <c r="P288" s="122"/>
      <c r="Q288" s="148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  <c r="AC288" s="155"/>
      <c r="AD288" s="155"/>
      <c r="AE288" s="155"/>
      <c r="AF288" s="155"/>
      <c r="AG288" s="155"/>
      <c r="AH288" s="155"/>
      <c r="AI288" s="155"/>
      <c r="AJ288" s="155"/>
    </row>
    <row r="289" s="33" customFormat="1" spans="1:36">
      <c r="A289" s="94" t="str">
        <f>IF(F289&lt;&gt;"",1+MAX($A$2:A287),"")</f>
        <v/>
      </c>
      <c r="B289" s="166"/>
      <c r="C289" s="98"/>
      <c r="D289" s="111" t="s">
        <v>148</v>
      </c>
      <c r="E289" s="67"/>
      <c r="F289" s="103"/>
      <c r="G289" s="99"/>
      <c r="H289" s="67"/>
      <c r="I289" s="119"/>
      <c r="J289" s="120"/>
      <c r="K289" s="121"/>
      <c r="L289" s="122"/>
      <c r="M289" s="122"/>
      <c r="N289" s="122"/>
      <c r="O289" s="122"/>
      <c r="P289" s="122"/>
      <c r="Q289" s="154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  <c r="AC289" s="155"/>
      <c r="AD289" s="155"/>
      <c r="AE289" s="155"/>
      <c r="AF289" s="155"/>
      <c r="AG289" s="155"/>
      <c r="AH289" s="155"/>
      <c r="AI289" s="155"/>
      <c r="AJ289" s="155"/>
    </row>
    <row r="290" s="33" customFormat="1" spans="1:36">
      <c r="A290" s="94">
        <f>IF(F290&lt;&gt;"",1+MAX($A$2:A289),"")</f>
        <v>180</v>
      </c>
      <c r="B290" s="166"/>
      <c r="C290" s="98"/>
      <c r="D290" s="86" t="s">
        <v>232</v>
      </c>
      <c r="E290" s="67">
        <v>3</v>
      </c>
      <c r="F290" s="103">
        <v>0</v>
      </c>
      <c r="G290" s="99">
        <f t="shared" ref="G290:G294" si="212">E290*(1+F290)</f>
        <v>3</v>
      </c>
      <c r="H290" s="67" t="s">
        <v>47</v>
      </c>
      <c r="I290" s="119">
        <v>0.5</v>
      </c>
      <c r="J290" s="120">
        <f t="shared" ref="J290:J301" si="213">+I290*G290</f>
        <v>1.5</v>
      </c>
      <c r="K290" s="121">
        <f>'LABOR SHEET'!$C$3</f>
        <v>70</v>
      </c>
      <c r="L290" s="122">
        <f t="shared" ref="L290:L301" si="214">I290*K290</f>
        <v>35</v>
      </c>
      <c r="M290" s="122">
        <f t="shared" ref="M290:M301" si="215">K290*J290</f>
        <v>105</v>
      </c>
      <c r="N290" s="122">
        <v>44</v>
      </c>
      <c r="O290" s="122">
        <f t="shared" ref="O290:O301" si="216">N290*G290</f>
        <v>132</v>
      </c>
      <c r="P290" s="122">
        <f t="shared" ref="P290:P301" si="217">(I290*K290)+N290</f>
        <v>79</v>
      </c>
      <c r="Q290" s="148">
        <f t="shared" ref="Q290:Q301" si="218">P290*G290</f>
        <v>237</v>
      </c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155"/>
      <c r="AI290" s="155"/>
      <c r="AJ290" s="155"/>
    </row>
    <row r="291" s="33" customFormat="1" ht="31.2" spans="1:36">
      <c r="A291" s="94">
        <f>IF(F291&lt;&gt;"",1+MAX($A$2:A290),"")</f>
        <v>181</v>
      </c>
      <c r="B291" s="166"/>
      <c r="C291" s="98"/>
      <c r="D291" s="89" t="s">
        <v>233</v>
      </c>
      <c r="E291" s="67">
        <v>1</v>
      </c>
      <c r="F291" s="103">
        <v>0</v>
      </c>
      <c r="G291" s="99">
        <f t="shared" si="212"/>
        <v>1</v>
      </c>
      <c r="H291" s="67" t="s">
        <v>47</v>
      </c>
      <c r="I291" s="119">
        <v>3.5</v>
      </c>
      <c r="J291" s="120">
        <f t="shared" si="213"/>
        <v>3.5</v>
      </c>
      <c r="K291" s="121">
        <f>'LABOR SHEET'!$C$3</f>
        <v>70</v>
      </c>
      <c r="L291" s="122">
        <f t="shared" si="214"/>
        <v>245</v>
      </c>
      <c r="M291" s="122">
        <f t="shared" si="215"/>
        <v>245</v>
      </c>
      <c r="N291" s="122">
        <v>1788</v>
      </c>
      <c r="O291" s="122">
        <f t="shared" si="216"/>
        <v>1788</v>
      </c>
      <c r="P291" s="122">
        <f t="shared" si="217"/>
        <v>2033</v>
      </c>
      <c r="Q291" s="148">
        <f t="shared" si="218"/>
        <v>2033</v>
      </c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  <c r="AC291" s="155"/>
      <c r="AD291" s="155"/>
      <c r="AE291" s="155"/>
      <c r="AF291" s="155"/>
      <c r="AG291" s="155"/>
      <c r="AH291" s="155"/>
      <c r="AI291" s="155"/>
      <c r="AJ291" s="155"/>
    </row>
    <row r="292" s="33" customFormat="1" spans="1:36">
      <c r="A292" s="94">
        <f>IF(F292&lt;&gt;"",1+MAX($A$2:A291),"")</f>
        <v>182</v>
      </c>
      <c r="B292" s="166"/>
      <c r="C292" s="98"/>
      <c r="D292" s="86" t="s">
        <v>234</v>
      </c>
      <c r="E292" s="67">
        <v>1</v>
      </c>
      <c r="F292" s="103">
        <v>0</v>
      </c>
      <c r="G292" s="99">
        <f t="shared" si="212"/>
        <v>1</v>
      </c>
      <c r="H292" s="67" t="s">
        <v>47</v>
      </c>
      <c r="I292" s="119">
        <v>2.1</v>
      </c>
      <c r="J292" s="120">
        <f t="shared" si="213"/>
        <v>2.1</v>
      </c>
      <c r="K292" s="121">
        <f>'LABOR SHEET'!$C$3</f>
        <v>70</v>
      </c>
      <c r="L292" s="122">
        <f t="shared" si="214"/>
        <v>147</v>
      </c>
      <c r="M292" s="122">
        <f t="shared" si="215"/>
        <v>147</v>
      </c>
      <c r="N292" s="122">
        <v>233.49</v>
      </c>
      <c r="O292" s="122">
        <f t="shared" si="216"/>
        <v>233.49</v>
      </c>
      <c r="P292" s="122">
        <f t="shared" si="217"/>
        <v>380.49</v>
      </c>
      <c r="Q292" s="148">
        <f t="shared" si="218"/>
        <v>380.49</v>
      </c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  <c r="AC292" s="155"/>
      <c r="AD292" s="155"/>
      <c r="AE292" s="155"/>
      <c r="AF292" s="155"/>
      <c r="AG292" s="155"/>
      <c r="AH292" s="155"/>
      <c r="AI292" s="155"/>
      <c r="AJ292" s="155"/>
    </row>
    <row r="293" s="33" customFormat="1" spans="1:36">
      <c r="A293" s="94">
        <f>IF(F293&lt;&gt;"",1+MAX($A$2:A292),"")</f>
        <v>183</v>
      </c>
      <c r="B293" s="166"/>
      <c r="C293" s="98"/>
      <c r="D293" s="86" t="s">
        <v>235</v>
      </c>
      <c r="E293" s="67">
        <v>2</v>
      </c>
      <c r="F293" s="103">
        <v>0</v>
      </c>
      <c r="G293" s="99">
        <f t="shared" si="212"/>
        <v>2</v>
      </c>
      <c r="H293" s="67" t="s">
        <v>47</v>
      </c>
      <c r="I293" s="119">
        <v>0.5</v>
      </c>
      <c r="J293" s="120">
        <f t="shared" si="213"/>
        <v>1</v>
      </c>
      <c r="K293" s="121">
        <f>'LABOR SHEET'!$C$3</f>
        <v>70</v>
      </c>
      <c r="L293" s="122">
        <f t="shared" si="214"/>
        <v>35</v>
      </c>
      <c r="M293" s="122">
        <f t="shared" si="215"/>
        <v>70</v>
      </c>
      <c r="N293" s="122">
        <v>44</v>
      </c>
      <c r="O293" s="122">
        <f t="shared" si="216"/>
        <v>88</v>
      </c>
      <c r="P293" s="122">
        <f t="shared" si="217"/>
        <v>79</v>
      </c>
      <c r="Q293" s="148">
        <f t="shared" si="218"/>
        <v>158</v>
      </c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  <c r="AC293" s="155"/>
      <c r="AD293" s="155"/>
      <c r="AE293" s="155"/>
      <c r="AF293" s="155"/>
      <c r="AG293" s="155"/>
      <c r="AH293" s="155"/>
      <c r="AI293" s="155"/>
      <c r="AJ293" s="155"/>
    </row>
    <row r="294" s="33" customFormat="1" spans="1:36">
      <c r="A294" s="94">
        <f>IF(F294&lt;&gt;"",1+MAX($A$2:A293),"")</f>
        <v>184</v>
      </c>
      <c r="B294" s="166"/>
      <c r="C294" s="98"/>
      <c r="D294" s="86" t="s">
        <v>236</v>
      </c>
      <c r="E294" s="67">
        <v>4</v>
      </c>
      <c r="F294" s="103">
        <v>0</v>
      </c>
      <c r="G294" s="99">
        <f t="shared" si="212"/>
        <v>4</v>
      </c>
      <c r="H294" s="67" t="s">
        <v>47</v>
      </c>
      <c r="I294" s="119">
        <v>0.5</v>
      </c>
      <c r="J294" s="120">
        <f t="shared" si="213"/>
        <v>2</v>
      </c>
      <c r="K294" s="121">
        <f>'LABOR SHEET'!$C$3</f>
        <v>70</v>
      </c>
      <c r="L294" s="122">
        <f t="shared" si="214"/>
        <v>35</v>
      </c>
      <c r="M294" s="122">
        <f t="shared" si="215"/>
        <v>140</v>
      </c>
      <c r="N294" s="122">
        <v>44</v>
      </c>
      <c r="O294" s="122">
        <f t="shared" si="216"/>
        <v>176</v>
      </c>
      <c r="P294" s="122">
        <f t="shared" si="217"/>
        <v>79</v>
      </c>
      <c r="Q294" s="148">
        <f t="shared" si="218"/>
        <v>316</v>
      </c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  <c r="AC294" s="155"/>
      <c r="AD294" s="155"/>
      <c r="AE294" s="155"/>
      <c r="AF294" s="155"/>
      <c r="AG294" s="155"/>
      <c r="AH294" s="155"/>
      <c r="AI294" s="155"/>
      <c r="AJ294" s="155"/>
    </row>
    <row r="295" s="33" customFormat="1" spans="1:36">
      <c r="A295" s="94">
        <f>IF(F295&lt;&gt;"",1+MAX($A$2:A294),"")</f>
        <v>185</v>
      </c>
      <c r="B295" s="166"/>
      <c r="C295" s="98"/>
      <c r="D295" s="86" t="s">
        <v>237</v>
      </c>
      <c r="E295" s="67">
        <v>3</v>
      </c>
      <c r="F295" s="103">
        <v>0</v>
      </c>
      <c r="G295" s="99">
        <f t="shared" ref="G295:G315" si="219">E295*(1+F295)</f>
        <v>3</v>
      </c>
      <c r="H295" s="67" t="s">
        <v>47</v>
      </c>
      <c r="I295" s="119">
        <v>0.7</v>
      </c>
      <c r="J295" s="120">
        <f t="shared" si="213"/>
        <v>2.1</v>
      </c>
      <c r="K295" s="121">
        <f>'LABOR SHEET'!$C$3</f>
        <v>70</v>
      </c>
      <c r="L295" s="122">
        <f t="shared" si="214"/>
        <v>49</v>
      </c>
      <c r="M295" s="122">
        <f t="shared" si="215"/>
        <v>147</v>
      </c>
      <c r="N295" s="122">
        <v>100</v>
      </c>
      <c r="O295" s="122">
        <f t="shared" si="216"/>
        <v>300</v>
      </c>
      <c r="P295" s="122">
        <f t="shared" si="217"/>
        <v>149</v>
      </c>
      <c r="Q295" s="148">
        <f t="shared" si="218"/>
        <v>447</v>
      </c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  <c r="AC295" s="155"/>
      <c r="AD295" s="155"/>
      <c r="AE295" s="155"/>
      <c r="AF295" s="155"/>
      <c r="AG295" s="155"/>
      <c r="AH295" s="155"/>
      <c r="AI295" s="155"/>
      <c r="AJ295" s="155"/>
    </row>
    <row r="296" s="33" customFormat="1" spans="1:36">
      <c r="A296" s="94">
        <f>IF(F296&lt;&gt;"",1+MAX($A$2:A295),"")</f>
        <v>186</v>
      </c>
      <c r="B296" s="166"/>
      <c r="C296" s="98"/>
      <c r="D296" s="86" t="s">
        <v>238</v>
      </c>
      <c r="E296" s="67">
        <v>5</v>
      </c>
      <c r="F296" s="103">
        <v>0</v>
      </c>
      <c r="G296" s="99">
        <f t="shared" si="219"/>
        <v>5</v>
      </c>
      <c r="H296" s="67" t="s">
        <v>47</v>
      </c>
      <c r="I296" s="119">
        <v>0.5</v>
      </c>
      <c r="J296" s="120">
        <f t="shared" si="213"/>
        <v>2.5</v>
      </c>
      <c r="K296" s="121">
        <f>'LABOR SHEET'!$C$3</f>
        <v>70</v>
      </c>
      <c r="L296" s="122">
        <f t="shared" si="214"/>
        <v>35</v>
      </c>
      <c r="M296" s="122">
        <f t="shared" si="215"/>
        <v>175</v>
      </c>
      <c r="N296" s="122">
        <v>44</v>
      </c>
      <c r="O296" s="122">
        <f t="shared" si="216"/>
        <v>220</v>
      </c>
      <c r="P296" s="122">
        <f t="shared" si="217"/>
        <v>79</v>
      </c>
      <c r="Q296" s="148">
        <f t="shared" si="218"/>
        <v>395</v>
      </c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  <c r="AC296" s="155"/>
      <c r="AD296" s="155"/>
      <c r="AE296" s="155"/>
      <c r="AF296" s="155"/>
      <c r="AG296" s="155"/>
      <c r="AH296" s="155"/>
      <c r="AI296" s="155"/>
      <c r="AJ296" s="155"/>
    </row>
    <row r="297" s="33" customFormat="1" spans="1:36">
      <c r="A297" s="94">
        <f>IF(F297&lt;&gt;"",1+MAX($A$2:A296),"")</f>
        <v>187</v>
      </c>
      <c r="B297" s="166"/>
      <c r="C297" s="98"/>
      <c r="D297" s="86" t="s">
        <v>239</v>
      </c>
      <c r="E297" s="67">
        <v>4</v>
      </c>
      <c r="F297" s="103">
        <v>0</v>
      </c>
      <c r="G297" s="99">
        <f t="shared" si="219"/>
        <v>4</v>
      </c>
      <c r="H297" s="67" t="s">
        <v>47</v>
      </c>
      <c r="I297" s="119">
        <v>0.5</v>
      </c>
      <c r="J297" s="120">
        <f t="shared" si="213"/>
        <v>2</v>
      </c>
      <c r="K297" s="121">
        <f>'LABOR SHEET'!$C$3</f>
        <v>70</v>
      </c>
      <c r="L297" s="122">
        <f t="shared" si="214"/>
        <v>35</v>
      </c>
      <c r="M297" s="122">
        <f t="shared" si="215"/>
        <v>140</v>
      </c>
      <c r="N297" s="122">
        <v>44</v>
      </c>
      <c r="O297" s="122">
        <f t="shared" si="216"/>
        <v>176</v>
      </c>
      <c r="P297" s="122">
        <f t="shared" si="217"/>
        <v>79</v>
      </c>
      <c r="Q297" s="148">
        <f t="shared" si="218"/>
        <v>316</v>
      </c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  <c r="AC297" s="155"/>
      <c r="AD297" s="155"/>
      <c r="AE297" s="155"/>
      <c r="AF297" s="155"/>
      <c r="AG297" s="155"/>
      <c r="AH297" s="155"/>
      <c r="AI297" s="155"/>
      <c r="AJ297" s="155"/>
    </row>
    <row r="298" s="33" customFormat="1" spans="1:36">
      <c r="A298" s="94">
        <f>IF(F298&lt;&gt;"",1+MAX($A$2:A297),"")</f>
        <v>188</v>
      </c>
      <c r="B298" s="166"/>
      <c r="C298" s="98"/>
      <c r="D298" s="86" t="s">
        <v>240</v>
      </c>
      <c r="E298" s="67">
        <v>1</v>
      </c>
      <c r="F298" s="103">
        <v>0</v>
      </c>
      <c r="G298" s="99">
        <f t="shared" si="219"/>
        <v>1</v>
      </c>
      <c r="H298" s="67" t="s">
        <v>47</v>
      </c>
      <c r="I298" s="119">
        <v>0.7</v>
      </c>
      <c r="J298" s="120">
        <f t="shared" si="213"/>
        <v>0.7</v>
      </c>
      <c r="K298" s="121">
        <f>'LABOR SHEET'!$C$3</f>
        <v>70</v>
      </c>
      <c r="L298" s="122">
        <f t="shared" si="214"/>
        <v>49</v>
      </c>
      <c r="M298" s="122">
        <f t="shared" si="215"/>
        <v>49</v>
      </c>
      <c r="N298" s="122">
        <v>100</v>
      </c>
      <c r="O298" s="122">
        <f t="shared" si="216"/>
        <v>100</v>
      </c>
      <c r="P298" s="122">
        <f t="shared" si="217"/>
        <v>149</v>
      </c>
      <c r="Q298" s="148">
        <f t="shared" si="218"/>
        <v>149</v>
      </c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  <c r="AC298" s="155"/>
      <c r="AD298" s="155"/>
      <c r="AE298" s="155"/>
      <c r="AF298" s="155"/>
      <c r="AG298" s="155"/>
      <c r="AH298" s="155"/>
      <c r="AI298" s="155"/>
      <c r="AJ298" s="155"/>
    </row>
    <row r="299" s="33" customFormat="1" spans="1:36">
      <c r="A299" s="94">
        <f>IF(F299&lt;&gt;"",1+MAX($A$2:A298),"")</f>
        <v>189</v>
      </c>
      <c r="B299" s="166"/>
      <c r="C299" s="98"/>
      <c r="D299" s="86" t="s">
        <v>241</v>
      </c>
      <c r="E299" s="67">
        <v>8</v>
      </c>
      <c r="F299" s="103">
        <v>0</v>
      </c>
      <c r="G299" s="99">
        <f t="shared" si="219"/>
        <v>8</v>
      </c>
      <c r="H299" s="67" t="s">
        <v>47</v>
      </c>
      <c r="I299" s="119">
        <v>0.5</v>
      </c>
      <c r="J299" s="120">
        <f t="shared" si="213"/>
        <v>4</v>
      </c>
      <c r="K299" s="121">
        <f>'LABOR SHEET'!$C$3</f>
        <v>70</v>
      </c>
      <c r="L299" s="122">
        <f t="shared" si="214"/>
        <v>35</v>
      </c>
      <c r="M299" s="122">
        <f t="shared" si="215"/>
        <v>280</v>
      </c>
      <c r="N299" s="122">
        <v>44</v>
      </c>
      <c r="O299" s="122">
        <f t="shared" si="216"/>
        <v>352</v>
      </c>
      <c r="P299" s="122">
        <f t="shared" si="217"/>
        <v>79</v>
      </c>
      <c r="Q299" s="148">
        <f t="shared" si="218"/>
        <v>632</v>
      </c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  <c r="AC299" s="155"/>
      <c r="AD299" s="155"/>
      <c r="AE299" s="155"/>
      <c r="AF299" s="155"/>
      <c r="AG299" s="155"/>
      <c r="AH299" s="155"/>
      <c r="AI299" s="155"/>
      <c r="AJ299" s="155"/>
    </row>
    <row r="300" s="33" customFormat="1" spans="1:36">
      <c r="A300" s="94">
        <f>IF(F300&lt;&gt;"",1+MAX($A$2:A299),"")</f>
        <v>190</v>
      </c>
      <c r="B300" s="166"/>
      <c r="C300" s="98"/>
      <c r="D300" s="86" t="s">
        <v>242</v>
      </c>
      <c r="E300" s="67">
        <v>20</v>
      </c>
      <c r="F300" s="103">
        <v>0</v>
      </c>
      <c r="G300" s="99">
        <f t="shared" si="219"/>
        <v>20</v>
      </c>
      <c r="H300" s="67" t="s">
        <v>47</v>
      </c>
      <c r="I300" s="119">
        <f>0.4</f>
        <v>0.4</v>
      </c>
      <c r="J300" s="120">
        <f t="shared" si="213"/>
        <v>8</v>
      </c>
      <c r="K300" s="121">
        <f>'LABOR SHEET'!$C$3</f>
        <v>70</v>
      </c>
      <c r="L300" s="122">
        <f t="shared" si="214"/>
        <v>28</v>
      </c>
      <c r="M300" s="122">
        <f t="shared" si="215"/>
        <v>560</v>
      </c>
      <c r="N300" s="122">
        <f>20+10</f>
        <v>30</v>
      </c>
      <c r="O300" s="122">
        <f t="shared" si="216"/>
        <v>600</v>
      </c>
      <c r="P300" s="122">
        <f t="shared" si="217"/>
        <v>58</v>
      </c>
      <c r="Q300" s="148">
        <f t="shared" si="218"/>
        <v>1160</v>
      </c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  <c r="AC300" s="155"/>
      <c r="AD300" s="155"/>
      <c r="AE300" s="155"/>
      <c r="AF300" s="155"/>
      <c r="AG300" s="155"/>
      <c r="AH300" s="155"/>
      <c r="AI300" s="155"/>
      <c r="AJ300" s="155"/>
    </row>
    <row r="301" s="33" customFormat="1" spans="1:36">
      <c r="A301" s="94">
        <f>IF(F301&lt;&gt;"",1+MAX($A$2:A300),"")</f>
        <v>191</v>
      </c>
      <c r="B301" s="166"/>
      <c r="C301" s="98"/>
      <c r="D301" s="86" t="s">
        <v>243</v>
      </c>
      <c r="E301" s="67">
        <v>4</v>
      </c>
      <c r="F301" s="103">
        <v>0</v>
      </c>
      <c r="G301" s="99">
        <f t="shared" si="219"/>
        <v>4</v>
      </c>
      <c r="H301" s="67" t="s">
        <v>47</v>
      </c>
      <c r="I301" s="119">
        <v>0.58</v>
      </c>
      <c r="J301" s="120">
        <f t="shared" si="213"/>
        <v>2.32</v>
      </c>
      <c r="K301" s="121">
        <f>'LABOR SHEET'!$C$3</f>
        <v>70</v>
      </c>
      <c r="L301" s="122">
        <f t="shared" si="214"/>
        <v>40.6</v>
      </c>
      <c r="M301" s="122">
        <f t="shared" si="215"/>
        <v>162.4</v>
      </c>
      <c r="N301" s="122">
        <v>70</v>
      </c>
      <c r="O301" s="122">
        <f t="shared" si="216"/>
        <v>280</v>
      </c>
      <c r="P301" s="122">
        <f t="shared" si="217"/>
        <v>110.6</v>
      </c>
      <c r="Q301" s="148">
        <f t="shared" si="218"/>
        <v>442.4</v>
      </c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  <c r="AC301" s="155"/>
      <c r="AD301" s="155"/>
      <c r="AE301" s="155"/>
      <c r="AF301" s="155"/>
      <c r="AG301" s="155"/>
      <c r="AH301" s="155"/>
      <c r="AI301" s="155"/>
      <c r="AJ301" s="155"/>
    </row>
    <row r="302" s="33" customFormat="1" ht="31.2" spans="1:36">
      <c r="A302" s="94">
        <f>IF(F302&lt;&gt;"",1+MAX($A$2:A301),"")</f>
        <v>192</v>
      </c>
      <c r="B302" s="166"/>
      <c r="C302" s="98"/>
      <c r="D302" s="89" t="s">
        <v>244</v>
      </c>
      <c r="E302" s="67">
        <v>4</v>
      </c>
      <c r="F302" s="103">
        <v>0</v>
      </c>
      <c r="G302" s="99">
        <f t="shared" si="219"/>
        <v>4</v>
      </c>
      <c r="H302" s="67" t="s">
        <v>47</v>
      </c>
      <c r="I302" s="119">
        <v>1</v>
      </c>
      <c r="J302" s="120">
        <f t="shared" ref="J302:J307" si="220">+I302*G302</f>
        <v>4</v>
      </c>
      <c r="K302" s="121">
        <f>'LABOR SHEET'!$C$3</f>
        <v>70</v>
      </c>
      <c r="L302" s="122">
        <f t="shared" ref="L302:L307" si="221">I302*K302</f>
        <v>70</v>
      </c>
      <c r="M302" s="122">
        <f t="shared" ref="M302:M307" si="222">K302*J302</f>
        <v>280</v>
      </c>
      <c r="N302" s="122">
        <v>42</v>
      </c>
      <c r="O302" s="122">
        <f t="shared" ref="O302:O307" si="223">N302*G302</f>
        <v>168</v>
      </c>
      <c r="P302" s="122">
        <f t="shared" ref="P302:P307" si="224">(I302*K302)+N302</f>
        <v>112</v>
      </c>
      <c r="Q302" s="148">
        <f t="shared" ref="Q302:Q307" si="225">P302*G302</f>
        <v>448</v>
      </c>
      <c r="R302" s="155"/>
      <c r="S302" s="155"/>
      <c r="T302" s="155"/>
      <c r="U302" s="155"/>
      <c r="V302" s="155"/>
      <c r="W302" s="155"/>
      <c r="X302" s="155"/>
      <c r="Y302" s="155"/>
      <c r="Z302" s="155"/>
      <c r="AA302" s="155"/>
      <c r="AB302" s="155"/>
      <c r="AC302" s="155"/>
      <c r="AD302" s="155"/>
      <c r="AE302" s="155"/>
      <c r="AF302" s="155"/>
      <c r="AG302" s="155"/>
      <c r="AH302" s="155"/>
      <c r="AI302" s="155"/>
      <c r="AJ302" s="155"/>
    </row>
    <row r="303" s="33" customFormat="1" spans="1:36">
      <c r="A303" s="94">
        <f>IF(F303&lt;&gt;"",1+MAX($A$2:A302),"")</f>
        <v>193</v>
      </c>
      <c r="B303" s="166"/>
      <c r="C303" s="98"/>
      <c r="D303" s="86" t="s">
        <v>245</v>
      </c>
      <c r="E303" s="67">
        <v>1</v>
      </c>
      <c r="F303" s="103">
        <v>0</v>
      </c>
      <c r="G303" s="99">
        <f t="shared" si="219"/>
        <v>1</v>
      </c>
      <c r="H303" s="67" t="s">
        <v>47</v>
      </c>
      <c r="I303" s="119">
        <v>4.525</v>
      </c>
      <c r="J303" s="120">
        <f t="shared" si="220"/>
        <v>4.525</v>
      </c>
      <c r="K303" s="121">
        <f>'LABOR SHEET'!$C$3</f>
        <v>70</v>
      </c>
      <c r="L303" s="122">
        <f t="shared" si="221"/>
        <v>316.75</v>
      </c>
      <c r="M303" s="122">
        <f t="shared" si="222"/>
        <v>316.75</v>
      </c>
      <c r="N303" s="122">
        <v>650</v>
      </c>
      <c r="O303" s="122">
        <f t="shared" si="223"/>
        <v>650</v>
      </c>
      <c r="P303" s="122">
        <f t="shared" si="224"/>
        <v>966.75</v>
      </c>
      <c r="Q303" s="148">
        <f t="shared" si="225"/>
        <v>966.75</v>
      </c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  <c r="AC303" s="155"/>
      <c r="AD303" s="155"/>
      <c r="AE303" s="155"/>
      <c r="AF303" s="155"/>
      <c r="AG303" s="155"/>
      <c r="AH303" s="155"/>
      <c r="AI303" s="155"/>
      <c r="AJ303" s="155"/>
    </row>
    <row r="304" s="33" customFormat="1" spans="1:36">
      <c r="A304" s="94">
        <f>IF(F304&lt;&gt;"",1+MAX($A$2:A303),"")</f>
        <v>194</v>
      </c>
      <c r="B304" s="166"/>
      <c r="C304" s="98"/>
      <c r="D304" s="86" t="s">
        <v>246</v>
      </c>
      <c r="E304" s="67">
        <v>1</v>
      </c>
      <c r="F304" s="103">
        <v>0</v>
      </c>
      <c r="G304" s="99">
        <f t="shared" si="219"/>
        <v>1</v>
      </c>
      <c r="H304" s="67" t="s">
        <v>47</v>
      </c>
      <c r="I304" s="119">
        <v>1.1</v>
      </c>
      <c r="J304" s="120">
        <f t="shared" si="220"/>
        <v>1.1</v>
      </c>
      <c r="K304" s="121">
        <f>'LABOR SHEET'!$C$3</f>
        <v>70</v>
      </c>
      <c r="L304" s="122">
        <f t="shared" si="221"/>
        <v>77</v>
      </c>
      <c r="M304" s="122">
        <f t="shared" si="222"/>
        <v>77</v>
      </c>
      <c r="N304" s="122">
        <v>200</v>
      </c>
      <c r="O304" s="122">
        <f t="shared" si="223"/>
        <v>200</v>
      </c>
      <c r="P304" s="122">
        <f t="shared" si="224"/>
        <v>277</v>
      </c>
      <c r="Q304" s="148">
        <f t="shared" si="225"/>
        <v>277</v>
      </c>
      <c r="R304" s="155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  <c r="AC304" s="155"/>
      <c r="AD304" s="155"/>
      <c r="AE304" s="155"/>
      <c r="AF304" s="155"/>
      <c r="AG304" s="155"/>
      <c r="AH304" s="155"/>
      <c r="AI304" s="155"/>
      <c r="AJ304" s="155"/>
    </row>
    <row r="305" s="33" customFormat="1" spans="1:36">
      <c r="A305" s="94">
        <f>IF(F305&lt;&gt;"",1+MAX($A$2:A304),"")</f>
        <v>195</v>
      </c>
      <c r="B305" s="166"/>
      <c r="C305" s="98"/>
      <c r="D305" s="86" t="s">
        <v>247</v>
      </c>
      <c r="E305" s="67">
        <v>3</v>
      </c>
      <c r="F305" s="103">
        <v>0</v>
      </c>
      <c r="G305" s="99">
        <f t="shared" si="219"/>
        <v>3</v>
      </c>
      <c r="H305" s="67" t="s">
        <v>47</v>
      </c>
      <c r="I305" s="119">
        <v>1.85</v>
      </c>
      <c r="J305" s="120">
        <f t="shared" si="220"/>
        <v>5.55</v>
      </c>
      <c r="K305" s="121">
        <f>'LABOR SHEET'!$C$3</f>
        <v>70</v>
      </c>
      <c r="L305" s="122">
        <f t="shared" si="221"/>
        <v>129.5</v>
      </c>
      <c r="M305" s="122">
        <f t="shared" si="222"/>
        <v>388.5</v>
      </c>
      <c r="N305" s="122">
        <v>407.04</v>
      </c>
      <c r="O305" s="122">
        <f t="shared" si="223"/>
        <v>1221.12</v>
      </c>
      <c r="P305" s="122">
        <f t="shared" si="224"/>
        <v>536.54</v>
      </c>
      <c r="Q305" s="148">
        <f t="shared" si="225"/>
        <v>1609.62</v>
      </c>
      <c r="R305" s="155"/>
      <c r="S305" s="155"/>
      <c r="T305" s="155"/>
      <c r="U305" s="155"/>
      <c r="V305" s="155"/>
      <c r="W305" s="155"/>
      <c r="X305" s="155"/>
      <c r="Y305" s="155"/>
      <c r="Z305" s="155"/>
      <c r="AA305" s="155"/>
      <c r="AB305" s="155"/>
      <c r="AC305" s="155"/>
      <c r="AD305" s="155"/>
      <c r="AE305" s="155"/>
      <c r="AF305" s="155"/>
      <c r="AG305" s="155"/>
      <c r="AH305" s="155"/>
      <c r="AI305" s="155"/>
      <c r="AJ305" s="155"/>
    </row>
    <row r="306" s="33" customFormat="1" ht="31.2" spans="1:36">
      <c r="A306" s="94">
        <f>IF(F306&lt;&gt;"",1+MAX($A$2:A305),"")</f>
        <v>196</v>
      </c>
      <c r="B306" s="166"/>
      <c r="C306" s="98"/>
      <c r="D306" s="89" t="s">
        <v>248</v>
      </c>
      <c r="E306" s="67">
        <v>1</v>
      </c>
      <c r="F306" s="103">
        <v>0</v>
      </c>
      <c r="G306" s="99">
        <f t="shared" si="219"/>
        <v>1</v>
      </c>
      <c r="H306" s="67" t="s">
        <v>47</v>
      </c>
      <c r="I306" s="119">
        <v>1.5</v>
      </c>
      <c r="J306" s="120">
        <f t="shared" si="220"/>
        <v>1.5</v>
      </c>
      <c r="K306" s="121">
        <f>'LABOR SHEET'!$C$3</f>
        <v>70</v>
      </c>
      <c r="L306" s="122">
        <f t="shared" si="221"/>
        <v>105</v>
      </c>
      <c r="M306" s="122">
        <f t="shared" si="222"/>
        <v>105</v>
      </c>
      <c r="N306" s="122">
        <v>306.48</v>
      </c>
      <c r="O306" s="122">
        <f t="shared" si="223"/>
        <v>306.48</v>
      </c>
      <c r="P306" s="122">
        <f t="shared" si="224"/>
        <v>411.48</v>
      </c>
      <c r="Q306" s="148">
        <f t="shared" si="225"/>
        <v>411.48</v>
      </c>
      <c r="R306" s="155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  <c r="AC306" s="155"/>
      <c r="AD306" s="155"/>
      <c r="AE306" s="155"/>
      <c r="AF306" s="155"/>
      <c r="AG306" s="155"/>
      <c r="AH306" s="155"/>
      <c r="AI306" s="155"/>
      <c r="AJ306" s="155"/>
    </row>
    <row r="307" s="33" customFormat="1" spans="1:36">
      <c r="A307" s="94">
        <f>IF(F307&lt;&gt;"",1+MAX($A$2:A306),"")</f>
        <v>197</v>
      </c>
      <c r="B307" s="166"/>
      <c r="C307" s="98"/>
      <c r="D307" s="86" t="s">
        <v>249</v>
      </c>
      <c r="E307" s="67">
        <v>1</v>
      </c>
      <c r="F307" s="103">
        <v>0</v>
      </c>
      <c r="G307" s="99">
        <f t="shared" si="219"/>
        <v>1</v>
      </c>
      <c r="H307" s="67" t="s">
        <v>47</v>
      </c>
      <c r="I307" s="119">
        <v>8.8</v>
      </c>
      <c r="J307" s="120">
        <f t="shared" si="220"/>
        <v>8.8</v>
      </c>
      <c r="K307" s="121">
        <f>'LABOR SHEET'!$C$3</f>
        <v>70</v>
      </c>
      <c r="L307" s="122">
        <f t="shared" si="221"/>
        <v>616</v>
      </c>
      <c r="M307" s="122">
        <f t="shared" si="222"/>
        <v>616</v>
      </c>
      <c r="N307" s="122">
        <v>12082</v>
      </c>
      <c r="O307" s="122">
        <f t="shared" si="223"/>
        <v>12082</v>
      </c>
      <c r="P307" s="122">
        <f t="shared" si="224"/>
        <v>12698</v>
      </c>
      <c r="Q307" s="148">
        <f t="shared" si="225"/>
        <v>12698</v>
      </c>
      <c r="R307" s="155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  <c r="AC307" s="155"/>
      <c r="AD307" s="155"/>
      <c r="AE307" s="155"/>
      <c r="AF307" s="155"/>
      <c r="AG307" s="155"/>
      <c r="AH307" s="155"/>
      <c r="AI307" s="155"/>
      <c r="AJ307" s="155"/>
    </row>
    <row r="308" s="33" customFormat="1" spans="1:36">
      <c r="A308" s="94">
        <f>IF(F308&lt;&gt;"",1+MAX($A$2:A307),"")</f>
        <v>198</v>
      </c>
      <c r="B308" s="166"/>
      <c r="C308" s="98"/>
      <c r="D308" s="86" t="s">
        <v>250</v>
      </c>
      <c r="E308" s="67">
        <v>2</v>
      </c>
      <c r="F308" s="103">
        <v>0</v>
      </c>
      <c r="G308" s="99">
        <f t="shared" si="219"/>
        <v>2</v>
      </c>
      <c r="H308" s="67" t="s">
        <v>47</v>
      </c>
      <c r="I308" s="119">
        <v>3.42</v>
      </c>
      <c r="J308" s="120">
        <f t="shared" ref="J308:J315" si="226">+I308*G308</f>
        <v>6.84</v>
      </c>
      <c r="K308" s="121">
        <f>'LABOR SHEET'!$C$3</f>
        <v>70</v>
      </c>
      <c r="L308" s="122">
        <f t="shared" ref="L308:L315" si="227">I308*K308</f>
        <v>239.4</v>
      </c>
      <c r="M308" s="122">
        <f t="shared" ref="M308:M315" si="228">K308*J308</f>
        <v>478.8</v>
      </c>
      <c r="N308" s="122">
        <v>1880</v>
      </c>
      <c r="O308" s="122">
        <f t="shared" ref="O308:O315" si="229">N308*G308</f>
        <v>3760</v>
      </c>
      <c r="P308" s="122">
        <f t="shared" ref="P308:P315" si="230">(I308*K308)+N308</f>
        <v>2119.4</v>
      </c>
      <c r="Q308" s="148">
        <f t="shared" ref="Q308:Q315" si="231">P308*G308</f>
        <v>4238.8</v>
      </c>
      <c r="R308" s="155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  <c r="AC308" s="155"/>
      <c r="AD308" s="155"/>
      <c r="AE308" s="155"/>
      <c r="AF308" s="155"/>
      <c r="AG308" s="155"/>
      <c r="AH308" s="155"/>
      <c r="AI308" s="155"/>
      <c r="AJ308" s="155"/>
    </row>
    <row r="309" s="33" customFormat="1" spans="1:36">
      <c r="A309" s="94">
        <f>IF(F309&lt;&gt;"",1+MAX($A$2:A308),"")</f>
        <v>199</v>
      </c>
      <c r="B309" s="166"/>
      <c r="C309" s="98"/>
      <c r="D309" s="86" t="s">
        <v>251</v>
      </c>
      <c r="E309" s="67">
        <v>1</v>
      </c>
      <c r="F309" s="62">
        <v>0</v>
      </c>
      <c r="G309" s="99">
        <f t="shared" si="219"/>
        <v>1</v>
      </c>
      <c r="H309" s="67" t="s">
        <v>47</v>
      </c>
      <c r="I309" s="119">
        <v>4.855</v>
      </c>
      <c r="J309" s="120">
        <f t="shared" si="226"/>
        <v>4.855</v>
      </c>
      <c r="K309" s="121">
        <f>'LABOR SHEET'!$C$3</f>
        <v>70</v>
      </c>
      <c r="L309" s="122">
        <f t="shared" si="227"/>
        <v>339.85</v>
      </c>
      <c r="M309" s="122">
        <f t="shared" si="228"/>
        <v>339.85</v>
      </c>
      <c r="N309" s="122">
        <v>2250</v>
      </c>
      <c r="O309" s="122">
        <f t="shared" si="229"/>
        <v>2250</v>
      </c>
      <c r="P309" s="122">
        <f t="shared" si="230"/>
        <v>2589.85</v>
      </c>
      <c r="Q309" s="148">
        <f t="shared" si="231"/>
        <v>2589.85</v>
      </c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  <c r="AC309" s="155"/>
      <c r="AD309" s="155"/>
      <c r="AE309" s="155"/>
      <c r="AF309" s="155"/>
      <c r="AG309" s="155"/>
      <c r="AH309" s="155"/>
      <c r="AI309" s="155"/>
      <c r="AJ309" s="155"/>
    </row>
    <row r="310" s="33" customFormat="1" spans="1:36">
      <c r="A310" s="94">
        <f>IF(F310&lt;&gt;"",1+MAX($A$2:A309),"")</f>
        <v>200</v>
      </c>
      <c r="B310" s="166"/>
      <c r="C310" s="98"/>
      <c r="D310" s="86" t="s">
        <v>252</v>
      </c>
      <c r="E310" s="67">
        <v>2</v>
      </c>
      <c r="F310" s="103">
        <v>0</v>
      </c>
      <c r="G310" s="99">
        <f t="shared" si="219"/>
        <v>2</v>
      </c>
      <c r="H310" s="67" t="s">
        <v>47</v>
      </c>
      <c r="I310" s="119">
        <v>0.7</v>
      </c>
      <c r="J310" s="120">
        <f t="shared" si="226"/>
        <v>1.4</v>
      </c>
      <c r="K310" s="121">
        <f>'LABOR SHEET'!$C$3</f>
        <v>70</v>
      </c>
      <c r="L310" s="122">
        <f t="shared" si="227"/>
        <v>49</v>
      </c>
      <c r="M310" s="122">
        <f t="shared" si="228"/>
        <v>98</v>
      </c>
      <c r="N310" s="122">
        <v>85</v>
      </c>
      <c r="O310" s="122">
        <f t="shared" si="229"/>
        <v>170</v>
      </c>
      <c r="P310" s="122">
        <f t="shared" si="230"/>
        <v>134</v>
      </c>
      <c r="Q310" s="148">
        <f t="shared" si="231"/>
        <v>268</v>
      </c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  <c r="AC310" s="155"/>
      <c r="AD310" s="155"/>
      <c r="AE310" s="155"/>
      <c r="AF310" s="155"/>
      <c r="AG310" s="155"/>
      <c r="AH310" s="155"/>
      <c r="AI310" s="155"/>
      <c r="AJ310" s="155"/>
    </row>
    <row r="311" s="33" customFormat="1" spans="1:36">
      <c r="A311" s="94">
        <f>IF(F311&lt;&gt;"",1+MAX($A$2:A310),"")</f>
        <v>201</v>
      </c>
      <c r="B311" s="166"/>
      <c r="C311" s="98"/>
      <c r="D311" s="86" t="s">
        <v>253</v>
      </c>
      <c r="E311" s="67">
        <v>2</v>
      </c>
      <c r="F311" s="103">
        <v>0</v>
      </c>
      <c r="G311" s="99">
        <f t="shared" si="219"/>
        <v>2</v>
      </c>
      <c r="H311" s="67" t="s">
        <v>47</v>
      </c>
      <c r="I311" s="119">
        <v>8.8</v>
      </c>
      <c r="J311" s="120">
        <f t="shared" si="226"/>
        <v>17.6</v>
      </c>
      <c r="K311" s="121">
        <f>'LABOR SHEET'!$C$3</f>
        <v>70</v>
      </c>
      <c r="L311" s="122">
        <f t="shared" si="227"/>
        <v>616</v>
      </c>
      <c r="M311" s="122">
        <f t="shared" si="228"/>
        <v>1232</v>
      </c>
      <c r="N311" s="122">
        <v>4800</v>
      </c>
      <c r="O311" s="122">
        <f t="shared" si="229"/>
        <v>9600</v>
      </c>
      <c r="P311" s="122">
        <f t="shared" si="230"/>
        <v>5416</v>
      </c>
      <c r="Q311" s="148">
        <f t="shared" si="231"/>
        <v>10832</v>
      </c>
      <c r="R311" s="155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  <c r="AC311" s="155"/>
      <c r="AD311" s="155"/>
      <c r="AE311" s="155"/>
      <c r="AF311" s="155"/>
      <c r="AG311" s="155"/>
      <c r="AH311" s="155"/>
      <c r="AI311" s="155"/>
      <c r="AJ311" s="155"/>
    </row>
    <row r="312" s="33" customFormat="1" spans="1:36">
      <c r="A312" s="94">
        <f>IF(F312&lt;&gt;"",1+MAX($A$2:A311),"")</f>
        <v>202</v>
      </c>
      <c r="B312" s="166"/>
      <c r="C312" s="98"/>
      <c r="D312" s="86" t="s">
        <v>254</v>
      </c>
      <c r="E312" s="67">
        <v>2</v>
      </c>
      <c r="F312" s="103">
        <v>0</v>
      </c>
      <c r="G312" s="99">
        <f t="shared" si="219"/>
        <v>2</v>
      </c>
      <c r="H312" s="67" t="s">
        <v>47</v>
      </c>
      <c r="I312" s="119">
        <v>4.1</v>
      </c>
      <c r="J312" s="120">
        <f t="shared" si="226"/>
        <v>8.2</v>
      </c>
      <c r="K312" s="121">
        <f>'LABOR SHEET'!$C$3</f>
        <v>70</v>
      </c>
      <c r="L312" s="122">
        <f t="shared" si="227"/>
        <v>287</v>
      </c>
      <c r="M312" s="122">
        <f t="shared" si="228"/>
        <v>574</v>
      </c>
      <c r="N312" s="122">
        <v>560</v>
      </c>
      <c r="O312" s="122">
        <f t="shared" si="229"/>
        <v>1120</v>
      </c>
      <c r="P312" s="122">
        <f t="shared" si="230"/>
        <v>847</v>
      </c>
      <c r="Q312" s="148">
        <f t="shared" si="231"/>
        <v>1694</v>
      </c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  <c r="AC312" s="155"/>
      <c r="AD312" s="155"/>
      <c r="AE312" s="155"/>
      <c r="AF312" s="155"/>
      <c r="AG312" s="155"/>
      <c r="AH312" s="155"/>
      <c r="AI312" s="155"/>
      <c r="AJ312" s="155"/>
    </row>
    <row r="313" s="33" customFormat="1" spans="1:36">
      <c r="A313" s="94">
        <f>IF(F313&lt;&gt;"",1+MAX($A$2:A312),"")</f>
        <v>203</v>
      </c>
      <c r="B313" s="166"/>
      <c r="C313" s="98"/>
      <c r="D313" s="86" t="s">
        <v>255</v>
      </c>
      <c r="E313" s="67">
        <v>1</v>
      </c>
      <c r="F313" s="62">
        <v>0</v>
      </c>
      <c r="G313" s="99">
        <f t="shared" si="219"/>
        <v>1</v>
      </c>
      <c r="H313" s="67" t="s">
        <v>47</v>
      </c>
      <c r="I313" s="119">
        <v>4.8</v>
      </c>
      <c r="J313" s="120">
        <f t="shared" si="226"/>
        <v>4.8</v>
      </c>
      <c r="K313" s="121">
        <f>'LABOR SHEET'!$C$3</f>
        <v>70</v>
      </c>
      <c r="L313" s="122">
        <f t="shared" si="227"/>
        <v>336</v>
      </c>
      <c r="M313" s="122">
        <f t="shared" si="228"/>
        <v>336</v>
      </c>
      <c r="N313" s="122">
        <v>1426</v>
      </c>
      <c r="O313" s="122">
        <f t="shared" si="229"/>
        <v>1426</v>
      </c>
      <c r="P313" s="122">
        <f t="shared" si="230"/>
        <v>1762</v>
      </c>
      <c r="Q313" s="148">
        <f t="shared" si="231"/>
        <v>1762</v>
      </c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  <c r="AC313" s="155"/>
      <c r="AD313" s="155"/>
      <c r="AE313" s="155"/>
      <c r="AF313" s="155"/>
      <c r="AG313" s="155"/>
      <c r="AH313" s="155"/>
      <c r="AI313" s="155"/>
      <c r="AJ313" s="155"/>
    </row>
    <row r="314" s="33" customFormat="1" spans="1:36">
      <c r="A314" s="94">
        <f>IF(F314&lt;&gt;"",1+MAX($A$2:A313),"")</f>
        <v>204</v>
      </c>
      <c r="B314" s="166"/>
      <c r="C314" s="98"/>
      <c r="D314" s="86" t="s">
        <v>256</v>
      </c>
      <c r="E314" s="67">
        <v>1</v>
      </c>
      <c r="F314" s="62">
        <v>0</v>
      </c>
      <c r="G314" s="99">
        <f t="shared" si="219"/>
        <v>1</v>
      </c>
      <c r="H314" s="67" t="s">
        <v>47</v>
      </c>
      <c r="I314" s="119">
        <v>3.85</v>
      </c>
      <c r="J314" s="120">
        <f t="shared" si="226"/>
        <v>3.85</v>
      </c>
      <c r="K314" s="121">
        <f>'LABOR SHEET'!$C$3</f>
        <v>70</v>
      </c>
      <c r="L314" s="122">
        <f t="shared" si="227"/>
        <v>269.5</v>
      </c>
      <c r="M314" s="122">
        <f t="shared" si="228"/>
        <v>269.5</v>
      </c>
      <c r="N314" s="122">
        <v>923.39</v>
      </c>
      <c r="O314" s="122">
        <f t="shared" si="229"/>
        <v>923.39</v>
      </c>
      <c r="P314" s="122">
        <f t="shared" si="230"/>
        <v>1192.89</v>
      </c>
      <c r="Q314" s="148">
        <f t="shared" si="231"/>
        <v>1192.89</v>
      </c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  <c r="AC314" s="155"/>
      <c r="AD314" s="155"/>
      <c r="AE314" s="155"/>
      <c r="AF314" s="155"/>
      <c r="AG314" s="155"/>
      <c r="AH314" s="155"/>
      <c r="AI314" s="155"/>
      <c r="AJ314" s="155"/>
    </row>
    <row r="315" s="33" customFormat="1" spans="1:36">
      <c r="A315" s="94">
        <f>IF(F315&lt;&gt;"",1+MAX($A$2:A314),"")</f>
        <v>205</v>
      </c>
      <c r="B315" s="166"/>
      <c r="C315" s="98"/>
      <c r="D315" s="86" t="s">
        <v>257</v>
      </c>
      <c r="E315" s="67">
        <v>1</v>
      </c>
      <c r="F315" s="103">
        <v>0</v>
      </c>
      <c r="G315" s="99">
        <f t="shared" si="219"/>
        <v>1</v>
      </c>
      <c r="H315" s="67" t="s">
        <v>47</v>
      </c>
      <c r="I315" s="119">
        <v>0.5</v>
      </c>
      <c r="J315" s="120">
        <f t="shared" si="226"/>
        <v>0.5</v>
      </c>
      <c r="K315" s="121">
        <f>'LABOR SHEET'!$C$3</f>
        <v>70</v>
      </c>
      <c r="L315" s="122">
        <f t="shared" si="227"/>
        <v>35</v>
      </c>
      <c r="M315" s="122">
        <f t="shared" si="228"/>
        <v>35</v>
      </c>
      <c r="N315" s="122">
        <v>44</v>
      </c>
      <c r="O315" s="122">
        <f t="shared" si="229"/>
        <v>44</v>
      </c>
      <c r="P315" s="122">
        <f t="shared" si="230"/>
        <v>79</v>
      </c>
      <c r="Q315" s="148">
        <f t="shared" si="231"/>
        <v>79</v>
      </c>
      <c r="R315" s="155"/>
      <c r="S315" s="155"/>
      <c r="T315" s="155"/>
      <c r="U315" s="155"/>
      <c r="V315" s="155"/>
      <c r="W315" s="155"/>
      <c r="X315" s="155"/>
      <c r="Y315" s="155"/>
      <c r="Z315" s="155"/>
      <c r="AA315" s="155"/>
      <c r="AB315" s="155"/>
      <c r="AC315" s="155"/>
      <c r="AD315" s="155"/>
      <c r="AE315" s="155"/>
      <c r="AF315" s="155"/>
      <c r="AG315" s="155"/>
      <c r="AH315" s="155"/>
      <c r="AI315" s="155"/>
      <c r="AJ315" s="155"/>
    </row>
    <row r="316" s="33" customFormat="1" spans="1:36">
      <c r="A316" s="94"/>
      <c r="B316" s="166"/>
      <c r="C316" s="98"/>
      <c r="D316" s="86"/>
      <c r="E316" s="67"/>
      <c r="F316" s="103"/>
      <c r="G316" s="99"/>
      <c r="H316" s="67"/>
      <c r="I316" s="119"/>
      <c r="J316" s="120"/>
      <c r="K316" s="121"/>
      <c r="L316" s="122"/>
      <c r="M316" s="122"/>
      <c r="N316" s="122"/>
      <c r="O316" s="122"/>
      <c r="P316" s="122"/>
      <c r="Q316" s="148"/>
      <c r="R316" s="155"/>
      <c r="S316" s="155"/>
      <c r="T316" s="155"/>
      <c r="U316" s="155"/>
      <c r="V316" s="155"/>
      <c r="W316" s="155"/>
      <c r="X316" s="155"/>
      <c r="Y316" s="155"/>
      <c r="Z316" s="155"/>
      <c r="AA316" s="155"/>
      <c r="AB316" s="155"/>
      <c r="AC316" s="155"/>
      <c r="AD316" s="155"/>
      <c r="AE316" s="155"/>
      <c r="AF316" s="155"/>
      <c r="AG316" s="155"/>
      <c r="AH316" s="155"/>
      <c r="AI316" s="155"/>
      <c r="AJ316" s="155"/>
    </row>
    <row r="317" s="33" customFormat="1" spans="1:36">
      <c r="A317" s="94" t="str">
        <f>IF(F317&lt;&gt;"",1+MAX($A$2:A315),"")</f>
        <v/>
      </c>
      <c r="B317" s="166"/>
      <c r="C317" s="98"/>
      <c r="D317" s="111" t="s">
        <v>258</v>
      </c>
      <c r="E317" s="67"/>
      <c r="F317" s="103"/>
      <c r="G317" s="99"/>
      <c r="H317" s="67"/>
      <c r="I317" s="119"/>
      <c r="J317" s="120"/>
      <c r="K317" s="121"/>
      <c r="L317" s="122"/>
      <c r="M317" s="122"/>
      <c r="N317" s="122"/>
      <c r="O317" s="122"/>
      <c r="P317" s="122"/>
      <c r="Q317" s="148"/>
      <c r="R317" s="155"/>
      <c r="S317" s="155"/>
      <c r="T317" s="155"/>
      <c r="U317" s="155"/>
      <c r="V317" s="155"/>
      <c r="W317" s="155"/>
      <c r="X317" s="155"/>
      <c r="Y317" s="155"/>
      <c r="Z317" s="155"/>
      <c r="AA317" s="155"/>
      <c r="AB317" s="155"/>
      <c r="AC317" s="155"/>
      <c r="AD317" s="155"/>
      <c r="AE317" s="155"/>
      <c r="AF317" s="155"/>
      <c r="AG317" s="155"/>
      <c r="AH317" s="155"/>
      <c r="AI317" s="155"/>
      <c r="AJ317" s="155"/>
    </row>
    <row r="318" s="33" customFormat="1" spans="1:36">
      <c r="A318" s="94">
        <f>IF(F318&lt;&gt;"",1+MAX($A$2:A317),"")</f>
        <v>206</v>
      </c>
      <c r="B318" s="166"/>
      <c r="C318" s="98"/>
      <c r="D318" s="86" t="s">
        <v>259</v>
      </c>
      <c r="E318" s="67">
        <v>1</v>
      </c>
      <c r="F318" s="103">
        <v>0</v>
      </c>
      <c r="G318" s="99">
        <f t="shared" ref="G318:G322" si="232">E318*(1+F318)</f>
        <v>1</v>
      </c>
      <c r="H318" s="67" t="s">
        <v>47</v>
      </c>
      <c r="I318" s="119">
        <v>2.85</v>
      </c>
      <c r="J318" s="120">
        <f>+I318*G318</f>
        <v>2.85</v>
      </c>
      <c r="K318" s="121">
        <f>'LABOR SHEET'!$C$3</f>
        <v>70</v>
      </c>
      <c r="L318" s="122">
        <f>I318*K318</f>
        <v>199.5</v>
      </c>
      <c r="M318" s="122">
        <f>K318*J318</f>
        <v>199.5</v>
      </c>
      <c r="N318" s="122">
        <v>425</v>
      </c>
      <c r="O318" s="122">
        <f>N318*G318</f>
        <v>425</v>
      </c>
      <c r="P318" s="122">
        <f>(I318*K318)+N318</f>
        <v>624.5</v>
      </c>
      <c r="Q318" s="148">
        <f>P318*G318</f>
        <v>624.5</v>
      </c>
      <c r="R318" s="155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  <c r="AC318" s="155"/>
      <c r="AD318" s="155"/>
      <c r="AE318" s="155"/>
      <c r="AF318" s="155"/>
      <c r="AG318" s="155"/>
      <c r="AH318" s="155"/>
      <c r="AI318" s="155"/>
      <c r="AJ318" s="155"/>
    </row>
    <row r="319" s="33" customFormat="1" spans="1:36">
      <c r="A319" s="94">
        <f>IF(F319&lt;&gt;"",1+MAX($A$2:A318),"")</f>
        <v>207</v>
      </c>
      <c r="B319" s="166"/>
      <c r="C319" s="160"/>
      <c r="D319" s="86" t="s">
        <v>260</v>
      </c>
      <c r="E319" s="67">
        <v>1</v>
      </c>
      <c r="F319" s="103">
        <v>0</v>
      </c>
      <c r="G319" s="99">
        <f t="shared" si="232"/>
        <v>1</v>
      </c>
      <c r="H319" s="67" t="s">
        <v>47</v>
      </c>
      <c r="I319" s="119">
        <v>4.7</v>
      </c>
      <c r="J319" s="120">
        <f>+I319*G319</f>
        <v>4.7</v>
      </c>
      <c r="K319" s="121">
        <f>'LABOR SHEET'!$C$3</f>
        <v>70</v>
      </c>
      <c r="L319" s="122">
        <f>I319*K319</f>
        <v>329</v>
      </c>
      <c r="M319" s="122">
        <f>K319*J319</f>
        <v>329</v>
      </c>
      <c r="N319" s="122">
        <v>726</v>
      </c>
      <c r="O319" s="122">
        <f>N319*G319</f>
        <v>726</v>
      </c>
      <c r="P319" s="122">
        <f>(I319*K319)+N319</f>
        <v>1055</v>
      </c>
      <c r="Q319" s="148">
        <f>P319*G319</f>
        <v>1055</v>
      </c>
      <c r="R319" s="155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  <c r="AC319" s="155"/>
      <c r="AD319" s="155"/>
      <c r="AE319" s="155"/>
      <c r="AF319" s="155"/>
      <c r="AG319" s="155"/>
      <c r="AH319" s="155"/>
      <c r="AI319" s="155"/>
      <c r="AJ319" s="155"/>
    </row>
    <row r="320" s="33" customFormat="1" spans="1:36">
      <c r="A320" s="94">
        <f>IF(F320&lt;&gt;"",1+MAX($A$2:A319),"")</f>
        <v>208</v>
      </c>
      <c r="B320" s="166"/>
      <c r="C320" s="160"/>
      <c r="D320" s="86" t="s">
        <v>261</v>
      </c>
      <c r="E320" s="67">
        <v>4</v>
      </c>
      <c r="F320" s="103">
        <v>0</v>
      </c>
      <c r="G320" s="99">
        <f t="shared" si="232"/>
        <v>4</v>
      </c>
      <c r="H320" s="67" t="s">
        <v>47</v>
      </c>
      <c r="I320" s="119">
        <v>5.89</v>
      </c>
      <c r="J320" s="120">
        <f>+I320*G320</f>
        <v>23.56</v>
      </c>
      <c r="K320" s="121">
        <f>'LABOR SHEET'!$C$3</f>
        <v>70</v>
      </c>
      <c r="L320" s="122">
        <f>I320*K320</f>
        <v>412.3</v>
      </c>
      <c r="M320" s="122">
        <f>K320*J320</f>
        <v>1649.2</v>
      </c>
      <c r="N320" s="122">
        <v>908</v>
      </c>
      <c r="O320" s="122">
        <f>N320*G320</f>
        <v>3632</v>
      </c>
      <c r="P320" s="122">
        <f>(I320*K320)+N320</f>
        <v>1320.3</v>
      </c>
      <c r="Q320" s="148">
        <f>P320*G320</f>
        <v>5281.2</v>
      </c>
      <c r="R320" s="155"/>
      <c r="S320" s="155"/>
      <c r="T320" s="155"/>
      <c r="U320" s="155"/>
      <c r="V320" s="155"/>
      <c r="W320" s="155"/>
      <c r="X320" s="155"/>
      <c r="Y320" s="155"/>
      <c r="Z320" s="155"/>
      <c r="AA320" s="155"/>
      <c r="AB320" s="155"/>
      <c r="AC320" s="155"/>
      <c r="AD320" s="155"/>
      <c r="AE320" s="155"/>
      <c r="AF320" s="155"/>
      <c r="AG320" s="155"/>
      <c r="AH320" s="155"/>
      <c r="AI320" s="155"/>
      <c r="AJ320" s="155"/>
    </row>
    <row r="321" s="33" customFormat="1" spans="1:36">
      <c r="A321" s="94">
        <f>IF(F321&lt;&gt;"",1+MAX($A$2:A320),"")</f>
        <v>209</v>
      </c>
      <c r="B321" s="166"/>
      <c r="C321" s="160"/>
      <c r="D321" s="86" t="s">
        <v>262</v>
      </c>
      <c r="E321" s="67">
        <v>1</v>
      </c>
      <c r="F321" s="103">
        <v>0</v>
      </c>
      <c r="G321" s="99">
        <f t="shared" si="232"/>
        <v>1</v>
      </c>
      <c r="H321" s="67" t="s">
        <v>47</v>
      </c>
      <c r="I321" s="119">
        <v>5.2</v>
      </c>
      <c r="J321" s="120">
        <f>+I321*G321</f>
        <v>5.2</v>
      </c>
      <c r="K321" s="121">
        <f>'LABOR SHEET'!$C$3</f>
        <v>70</v>
      </c>
      <c r="L321" s="122">
        <f>I321*K321</f>
        <v>364</v>
      </c>
      <c r="M321" s="122">
        <f>K321*J321</f>
        <v>364</v>
      </c>
      <c r="N321" s="122">
        <v>802</v>
      </c>
      <c r="O321" s="122">
        <f>N321*G321</f>
        <v>802</v>
      </c>
      <c r="P321" s="122">
        <f>(I321*K321)+N321</f>
        <v>1166</v>
      </c>
      <c r="Q321" s="148">
        <f>P321*G321</f>
        <v>1166</v>
      </c>
      <c r="R321" s="155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5"/>
      <c r="AC321" s="155"/>
      <c r="AD321" s="155"/>
      <c r="AE321" s="155"/>
      <c r="AF321" s="155"/>
      <c r="AG321" s="155"/>
      <c r="AH321" s="155"/>
      <c r="AI321" s="155"/>
      <c r="AJ321" s="155"/>
    </row>
    <row r="322" s="33" customFormat="1" spans="1:36">
      <c r="A322" s="94">
        <f>IF(F322&lt;&gt;"",1+MAX($A$2:A321),"")</f>
        <v>210</v>
      </c>
      <c r="B322" s="166"/>
      <c r="C322" s="160"/>
      <c r="D322" s="86" t="s">
        <v>263</v>
      </c>
      <c r="E322" s="67">
        <v>7</v>
      </c>
      <c r="F322" s="103">
        <v>0</v>
      </c>
      <c r="G322" s="99">
        <f t="shared" si="232"/>
        <v>7</v>
      </c>
      <c r="H322" s="67" t="s">
        <v>47</v>
      </c>
      <c r="I322" s="119">
        <v>4.412</v>
      </c>
      <c r="J322" s="120">
        <f>+I322*G322</f>
        <v>30.884</v>
      </c>
      <c r="K322" s="121">
        <f>'LABOR SHEET'!$C$3</f>
        <v>70</v>
      </c>
      <c r="L322" s="122">
        <f>I322*K322</f>
        <v>308.84</v>
      </c>
      <c r="M322" s="122">
        <f>K322*J322</f>
        <v>2161.88</v>
      </c>
      <c r="N322" s="122">
        <v>681</v>
      </c>
      <c r="O322" s="122">
        <f>N322*G322</f>
        <v>4767</v>
      </c>
      <c r="P322" s="122">
        <f>(I322*K322)+N322</f>
        <v>989.84</v>
      </c>
      <c r="Q322" s="148">
        <f>P322*G322</f>
        <v>6928.88</v>
      </c>
      <c r="R322" s="155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  <c r="AC322" s="155"/>
      <c r="AD322" s="155"/>
      <c r="AE322" s="155"/>
      <c r="AF322" s="155"/>
      <c r="AG322" s="155"/>
      <c r="AH322" s="155"/>
      <c r="AI322" s="155"/>
      <c r="AJ322" s="155"/>
    </row>
    <row r="323" s="33" customFormat="1" spans="1:36">
      <c r="A323" s="94"/>
      <c r="B323" s="166"/>
      <c r="C323" s="160"/>
      <c r="D323" s="86"/>
      <c r="E323" s="67"/>
      <c r="F323" s="103"/>
      <c r="G323" s="99"/>
      <c r="H323" s="67"/>
      <c r="I323" s="119"/>
      <c r="J323" s="120"/>
      <c r="K323" s="121"/>
      <c r="L323" s="122"/>
      <c r="M323" s="122"/>
      <c r="N323" s="122"/>
      <c r="O323" s="122"/>
      <c r="P323" s="122"/>
      <c r="Q323" s="148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  <c r="AD323" s="155"/>
      <c r="AE323" s="155"/>
      <c r="AF323" s="155"/>
      <c r="AG323" s="155"/>
      <c r="AH323" s="155"/>
      <c r="AI323" s="155"/>
      <c r="AJ323" s="155"/>
    </row>
    <row r="324" s="33" customFormat="1" spans="1:36">
      <c r="A324" s="94" t="str">
        <f>IF(F324&lt;&gt;"",1+MAX($A$2:A322),"")</f>
        <v/>
      </c>
      <c r="B324" s="166"/>
      <c r="C324" s="98"/>
      <c r="D324" s="111" t="s">
        <v>264</v>
      </c>
      <c r="E324" s="67"/>
      <c r="F324" s="103"/>
      <c r="G324" s="99"/>
      <c r="H324" s="67"/>
      <c r="I324" s="119"/>
      <c r="J324" s="120"/>
      <c r="K324" s="121"/>
      <c r="L324" s="122"/>
      <c r="M324" s="122"/>
      <c r="N324" s="122"/>
      <c r="O324" s="122"/>
      <c r="P324" s="122"/>
      <c r="Q324" s="148"/>
      <c r="R324" s="155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  <c r="AC324" s="155"/>
      <c r="AD324" s="155"/>
      <c r="AE324" s="155"/>
      <c r="AF324" s="155"/>
      <c r="AG324" s="155"/>
      <c r="AH324" s="155"/>
      <c r="AI324" s="155"/>
      <c r="AJ324" s="155"/>
    </row>
    <row r="325" s="33" customFormat="1" ht="46.8" spans="1:36">
      <c r="A325" s="94">
        <f>IF(F325&lt;&gt;"",1+MAX($A$2:A324),"")</f>
        <v>211</v>
      </c>
      <c r="B325" s="166"/>
      <c r="C325" s="98"/>
      <c r="D325" s="89" t="s">
        <v>265</v>
      </c>
      <c r="E325" s="67">
        <v>1</v>
      </c>
      <c r="F325" s="103">
        <v>0</v>
      </c>
      <c r="G325" s="99">
        <f t="shared" ref="G325:G333" si="233">E325*(1+F325)</f>
        <v>1</v>
      </c>
      <c r="H325" s="67" t="s">
        <v>47</v>
      </c>
      <c r="I325" s="119">
        <v>10.8</v>
      </c>
      <c r="J325" s="120">
        <f>+I325*G325</f>
        <v>10.8</v>
      </c>
      <c r="K325" s="121">
        <f>'LABOR SHEET'!$C$3</f>
        <v>70</v>
      </c>
      <c r="L325" s="122">
        <f>I325*K325</f>
        <v>756</v>
      </c>
      <c r="M325" s="122">
        <f>K325*J325</f>
        <v>756</v>
      </c>
      <c r="N325" s="122">
        <v>5700</v>
      </c>
      <c r="O325" s="122">
        <f>N325*G325</f>
        <v>5700</v>
      </c>
      <c r="P325" s="122">
        <f>(I325*K325)+N325</f>
        <v>6456</v>
      </c>
      <c r="Q325" s="148">
        <f>P325*G325</f>
        <v>6456</v>
      </c>
      <c r="R325" s="155"/>
      <c r="S325" s="155"/>
      <c r="T325" s="155"/>
      <c r="U325" s="155"/>
      <c r="V325" s="155"/>
      <c r="W325" s="155"/>
      <c r="X325" s="155"/>
      <c r="Y325" s="155"/>
      <c r="Z325" s="155"/>
      <c r="AA325" s="155"/>
      <c r="AB325" s="155"/>
      <c r="AC325" s="155"/>
      <c r="AD325" s="155"/>
      <c r="AE325" s="155"/>
      <c r="AF325" s="155"/>
      <c r="AG325" s="155"/>
      <c r="AH325" s="155"/>
      <c r="AI325" s="155"/>
      <c r="AJ325" s="155"/>
    </row>
    <row r="326" s="33" customFormat="1" ht="109.2" spans="1:36">
      <c r="A326" s="94">
        <f>IF(F326&lt;&gt;"",1+MAX($A$2:A325),"")</f>
        <v>212</v>
      </c>
      <c r="B326" s="166"/>
      <c r="C326" s="98"/>
      <c r="D326" s="168" t="s">
        <v>266</v>
      </c>
      <c r="E326" s="167">
        <v>1</v>
      </c>
      <c r="F326" s="103">
        <v>0</v>
      </c>
      <c r="G326" s="99">
        <f t="shared" si="233"/>
        <v>1</v>
      </c>
      <c r="H326" s="167" t="s">
        <v>47</v>
      </c>
      <c r="I326" s="119">
        <v>8.5</v>
      </c>
      <c r="J326" s="120">
        <f>+I326*G326</f>
        <v>8.5</v>
      </c>
      <c r="K326" s="121">
        <f>'LABOR SHEET'!$C$3</f>
        <v>70</v>
      </c>
      <c r="L326" s="122">
        <f>I326*K326</f>
        <v>595</v>
      </c>
      <c r="M326" s="122">
        <f>K326*J326</f>
        <v>595</v>
      </c>
      <c r="N326" s="122">
        <v>0</v>
      </c>
      <c r="O326" s="122">
        <f>N326*G326</f>
        <v>0</v>
      </c>
      <c r="P326" s="122">
        <f>(I326*K326)+N326</f>
        <v>595</v>
      </c>
      <c r="Q326" s="148">
        <f>P326*G326</f>
        <v>595</v>
      </c>
      <c r="R326" s="155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  <c r="AC326" s="155"/>
      <c r="AD326" s="155"/>
      <c r="AE326" s="155"/>
      <c r="AF326" s="155"/>
      <c r="AG326" s="155"/>
      <c r="AH326" s="155"/>
      <c r="AI326" s="155"/>
      <c r="AJ326" s="155"/>
    </row>
    <row r="327" s="33" customFormat="1" ht="46.8" spans="1:36">
      <c r="A327" s="94">
        <f>IF(F327&lt;&gt;"",1+MAX($A$2:A326),"")</f>
        <v>213</v>
      </c>
      <c r="B327" s="166"/>
      <c r="C327" s="98"/>
      <c r="D327" s="89" t="s">
        <v>267</v>
      </c>
      <c r="E327" s="67">
        <v>1</v>
      </c>
      <c r="F327" s="103">
        <v>0</v>
      </c>
      <c r="G327" s="99">
        <f t="shared" si="233"/>
        <v>1</v>
      </c>
      <c r="H327" s="67" t="s">
        <v>47</v>
      </c>
      <c r="I327" s="119">
        <v>4.1</v>
      </c>
      <c r="J327" s="120">
        <f>+I327*G327</f>
        <v>4.1</v>
      </c>
      <c r="K327" s="121">
        <f>'LABOR SHEET'!$C$3</f>
        <v>70</v>
      </c>
      <c r="L327" s="122">
        <f>I327*K327</f>
        <v>287</v>
      </c>
      <c r="M327" s="122">
        <f>K327*J327</f>
        <v>287</v>
      </c>
      <c r="N327" s="122">
        <v>3240</v>
      </c>
      <c r="O327" s="122">
        <f>N327*G327</f>
        <v>3240</v>
      </c>
      <c r="P327" s="122">
        <f>(I327*K327)+N327</f>
        <v>3527</v>
      </c>
      <c r="Q327" s="148">
        <f>P327*G327</f>
        <v>3527</v>
      </c>
      <c r="R327" s="155"/>
      <c r="S327" s="155"/>
      <c r="T327" s="155"/>
      <c r="U327" s="155"/>
      <c r="V327" s="155"/>
      <c r="W327" s="155"/>
      <c r="X327" s="155"/>
      <c r="Y327" s="155"/>
      <c r="Z327" s="155"/>
      <c r="AA327" s="155"/>
      <c r="AB327" s="155"/>
      <c r="AC327" s="155"/>
      <c r="AD327" s="155"/>
      <c r="AE327" s="155"/>
      <c r="AF327" s="155"/>
      <c r="AG327" s="155"/>
      <c r="AH327" s="155"/>
      <c r="AI327" s="155"/>
      <c r="AJ327" s="155"/>
    </row>
    <row r="328" s="33" customFormat="1" spans="1:36">
      <c r="A328" s="94">
        <f>IF(F328&lt;&gt;"",1+MAX($A$2:A327),"")</f>
        <v>214</v>
      </c>
      <c r="B328" s="166"/>
      <c r="C328" s="98"/>
      <c r="D328" s="86" t="s">
        <v>268</v>
      </c>
      <c r="E328" s="67">
        <v>3</v>
      </c>
      <c r="F328" s="103">
        <v>0</v>
      </c>
      <c r="G328" s="99">
        <f t="shared" si="233"/>
        <v>3</v>
      </c>
      <c r="H328" s="67" t="s">
        <v>47</v>
      </c>
      <c r="I328" s="119">
        <v>2.1</v>
      </c>
      <c r="J328" s="120">
        <f t="shared" ref="J328:J333" si="234">+I328*G328</f>
        <v>6.3</v>
      </c>
      <c r="K328" s="121">
        <f>'LABOR SHEET'!$C$3</f>
        <v>70</v>
      </c>
      <c r="L328" s="122">
        <f t="shared" ref="L328:L333" si="235">I328*K328</f>
        <v>147</v>
      </c>
      <c r="M328" s="122">
        <f t="shared" ref="M328:M333" si="236">K328*J328</f>
        <v>441</v>
      </c>
      <c r="N328" s="122">
        <v>388</v>
      </c>
      <c r="O328" s="122">
        <f t="shared" ref="O328:O333" si="237">N328*G328</f>
        <v>1164</v>
      </c>
      <c r="P328" s="122">
        <f t="shared" ref="P328:P333" si="238">(I328*K328)+N328</f>
        <v>535</v>
      </c>
      <c r="Q328" s="148">
        <f t="shared" ref="Q328:Q333" si="239">P328*G328</f>
        <v>1605</v>
      </c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  <c r="AC328" s="155"/>
      <c r="AD328" s="155"/>
      <c r="AE328" s="155"/>
      <c r="AF328" s="155"/>
      <c r="AG328" s="155"/>
      <c r="AH328" s="155"/>
      <c r="AI328" s="155"/>
      <c r="AJ328" s="155"/>
    </row>
    <row r="329" s="33" customFormat="1" spans="1:36">
      <c r="A329" s="94">
        <f>IF(F329&lt;&gt;"",1+MAX($A$2:A328),"")</f>
        <v>215</v>
      </c>
      <c r="B329" s="166"/>
      <c r="C329" s="98"/>
      <c r="D329" s="86" t="s">
        <v>269</v>
      </c>
      <c r="E329" s="67">
        <v>30</v>
      </c>
      <c r="F329" s="103">
        <v>0.05</v>
      </c>
      <c r="G329" s="99">
        <f t="shared" si="233"/>
        <v>31.5</v>
      </c>
      <c r="H329" s="67" t="s">
        <v>40</v>
      </c>
      <c r="I329" s="119">
        <v>0.41</v>
      </c>
      <c r="J329" s="120">
        <f t="shared" si="234"/>
        <v>12.915</v>
      </c>
      <c r="K329" s="121">
        <f>'LABOR SHEET'!$C$3</f>
        <v>70</v>
      </c>
      <c r="L329" s="122">
        <f t="shared" si="235"/>
        <v>28.7</v>
      </c>
      <c r="M329" s="122">
        <f t="shared" si="236"/>
        <v>904.05</v>
      </c>
      <c r="N329" s="122">
        <v>17.95</v>
      </c>
      <c r="O329" s="122">
        <f t="shared" si="237"/>
        <v>565.425</v>
      </c>
      <c r="P329" s="122">
        <f t="shared" si="238"/>
        <v>46.65</v>
      </c>
      <c r="Q329" s="148">
        <f t="shared" si="239"/>
        <v>1469.475</v>
      </c>
      <c r="R329" s="155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  <c r="AC329" s="155"/>
      <c r="AD329" s="155"/>
      <c r="AE329" s="155"/>
      <c r="AF329" s="155"/>
      <c r="AG329" s="155"/>
      <c r="AH329" s="155"/>
      <c r="AI329" s="155"/>
      <c r="AJ329" s="155"/>
    </row>
    <row r="330" s="33" customFormat="1" spans="1:36">
      <c r="A330" s="94">
        <f>IF(F330&lt;&gt;"",1+MAX($A$2:A329),"")</f>
        <v>216</v>
      </c>
      <c r="B330" s="166"/>
      <c r="C330" s="98"/>
      <c r="D330" s="86" t="s">
        <v>270</v>
      </c>
      <c r="E330" s="67">
        <v>30</v>
      </c>
      <c r="F330" s="103">
        <v>0.05</v>
      </c>
      <c r="G330" s="99">
        <f t="shared" si="233"/>
        <v>31.5</v>
      </c>
      <c r="H330" s="67" t="s">
        <v>40</v>
      </c>
      <c r="I330" s="119">
        <v>0.41</v>
      </c>
      <c r="J330" s="120">
        <f t="shared" si="234"/>
        <v>12.915</v>
      </c>
      <c r="K330" s="121">
        <f>'LABOR SHEET'!$C$3</f>
        <v>70</v>
      </c>
      <c r="L330" s="122">
        <f t="shared" si="235"/>
        <v>28.7</v>
      </c>
      <c r="M330" s="122">
        <f t="shared" si="236"/>
        <v>904.05</v>
      </c>
      <c r="N330" s="122">
        <v>17.95</v>
      </c>
      <c r="O330" s="122">
        <f t="shared" si="237"/>
        <v>565.425</v>
      </c>
      <c r="P330" s="122">
        <f t="shared" si="238"/>
        <v>46.65</v>
      </c>
      <c r="Q330" s="148">
        <f t="shared" si="239"/>
        <v>1469.475</v>
      </c>
      <c r="R330" s="155"/>
      <c r="S330" s="155"/>
      <c r="T330" s="155"/>
      <c r="U330" s="155"/>
      <c r="V330" s="155"/>
      <c r="W330" s="155"/>
      <c r="X330" s="155"/>
      <c r="Y330" s="155"/>
      <c r="Z330" s="155"/>
      <c r="AA330" s="155"/>
      <c r="AB330" s="155"/>
      <c r="AC330" s="155"/>
      <c r="AD330" s="155"/>
      <c r="AE330" s="155"/>
      <c r="AF330" s="155"/>
      <c r="AG330" s="155"/>
      <c r="AH330" s="155"/>
      <c r="AI330" s="155"/>
      <c r="AJ330" s="155"/>
    </row>
    <row r="331" s="33" customFormat="1" spans="1:36">
      <c r="A331" s="94">
        <f>IF(F331&lt;&gt;"",1+MAX($A$2:A330),"")</f>
        <v>217</v>
      </c>
      <c r="B331" s="166"/>
      <c r="C331" s="98"/>
      <c r="D331" s="86" t="s">
        <v>271</v>
      </c>
      <c r="E331" s="67">
        <v>12</v>
      </c>
      <c r="F331" s="103">
        <v>0.05</v>
      </c>
      <c r="G331" s="99">
        <f t="shared" si="233"/>
        <v>12.6</v>
      </c>
      <c r="H331" s="67" t="s">
        <v>40</v>
      </c>
      <c r="I331" s="119">
        <v>0.271</v>
      </c>
      <c r="J331" s="120">
        <f t="shared" si="234"/>
        <v>3.4146</v>
      </c>
      <c r="K331" s="121">
        <f>'LABOR SHEET'!$C$3</f>
        <v>70</v>
      </c>
      <c r="L331" s="122">
        <f t="shared" si="235"/>
        <v>18.97</v>
      </c>
      <c r="M331" s="122">
        <f t="shared" si="236"/>
        <v>239.022</v>
      </c>
      <c r="N331" s="122">
        <v>5</v>
      </c>
      <c r="O331" s="122">
        <f t="shared" si="237"/>
        <v>63</v>
      </c>
      <c r="P331" s="122">
        <f t="shared" si="238"/>
        <v>23.97</v>
      </c>
      <c r="Q331" s="148">
        <f t="shared" si="239"/>
        <v>302.022</v>
      </c>
      <c r="R331" s="155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5"/>
      <c r="AC331" s="155"/>
      <c r="AD331" s="155"/>
      <c r="AE331" s="155"/>
      <c r="AF331" s="155"/>
      <c r="AG331" s="155"/>
      <c r="AH331" s="155"/>
      <c r="AI331" s="155"/>
      <c r="AJ331" s="155"/>
    </row>
    <row r="332" s="33" customFormat="1" spans="1:36">
      <c r="A332" s="94">
        <f>IF(F332&lt;&gt;"",1+MAX($A$2:A331),"")</f>
        <v>218</v>
      </c>
      <c r="B332" s="166"/>
      <c r="C332" s="98"/>
      <c r="D332" s="86" t="s">
        <v>272</v>
      </c>
      <c r="E332" s="67">
        <v>3</v>
      </c>
      <c r="F332" s="103">
        <v>0.05</v>
      </c>
      <c r="G332" s="99">
        <f t="shared" si="233"/>
        <v>3.15</v>
      </c>
      <c r="H332" s="67" t="s">
        <v>40</v>
      </c>
      <c r="I332" s="119">
        <v>0.7</v>
      </c>
      <c r="J332" s="120">
        <f t="shared" si="234"/>
        <v>2.205</v>
      </c>
      <c r="K332" s="121">
        <f>'LABOR SHEET'!$C$3</f>
        <v>70</v>
      </c>
      <c r="L332" s="122">
        <f t="shared" si="235"/>
        <v>49</v>
      </c>
      <c r="M332" s="122">
        <f t="shared" si="236"/>
        <v>154.35</v>
      </c>
      <c r="N332" s="122">
        <v>82</v>
      </c>
      <c r="O332" s="122">
        <f t="shared" si="237"/>
        <v>258.3</v>
      </c>
      <c r="P332" s="122">
        <f t="shared" si="238"/>
        <v>131</v>
      </c>
      <c r="Q332" s="148">
        <f t="shared" si="239"/>
        <v>412.65</v>
      </c>
      <c r="R332" s="155"/>
      <c r="S332" s="155"/>
      <c r="T332" s="155"/>
      <c r="U332" s="155"/>
      <c r="V332" s="155"/>
      <c r="W332" s="155"/>
      <c r="X332" s="155"/>
      <c r="Y332" s="155"/>
      <c r="Z332" s="155"/>
      <c r="AA332" s="155"/>
      <c r="AB332" s="155"/>
      <c r="AC332" s="155"/>
      <c r="AD332" s="155"/>
      <c r="AE332" s="155"/>
      <c r="AF332" s="155"/>
      <c r="AG332" s="155"/>
      <c r="AH332" s="155"/>
      <c r="AI332" s="155"/>
      <c r="AJ332" s="155"/>
    </row>
    <row r="333" s="33" customFormat="1" spans="1:36">
      <c r="A333" s="94">
        <f>IF(F333&lt;&gt;"",1+MAX($A$2:A332),"")</f>
        <v>219</v>
      </c>
      <c r="B333" s="166"/>
      <c r="C333" s="98"/>
      <c r="D333" s="86" t="s">
        <v>273</v>
      </c>
      <c r="E333" s="67">
        <v>3</v>
      </c>
      <c r="F333" s="103">
        <v>0</v>
      </c>
      <c r="G333" s="99">
        <f t="shared" si="233"/>
        <v>3</v>
      </c>
      <c r="H333" s="67" t="s">
        <v>47</v>
      </c>
      <c r="I333" s="119">
        <v>3.42</v>
      </c>
      <c r="J333" s="120">
        <f t="shared" si="234"/>
        <v>10.26</v>
      </c>
      <c r="K333" s="121">
        <f>'LABOR SHEET'!$C$3</f>
        <v>70</v>
      </c>
      <c r="L333" s="122">
        <f t="shared" si="235"/>
        <v>239.4</v>
      </c>
      <c r="M333" s="122">
        <f t="shared" si="236"/>
        <v>718.2</v>
      </c>
      <c r="N333" s="122">
        <v>579</v>
      </c>
      <c r="O333" s="122">
        <f t="shared" si="237"/>
        <v>1737</v>
      </c>
      <c r="P333" s="122">
        <f t="shared" si="238"/>
        <v>818.4</v>
      </c>
      <c r="Q333" s="148">
        <f t="shared" si="239"/>
        <v>2455.2</v>
      </c>
      <c r="R333" s="155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  <c r="AC333" s="155"/>
      <c r="AD333" s="155"/>
      <c r="AE333" s="155"/>
      <c r="AF333" s="155"/>
      <c r="AG333" s="155"/>
      <c r="AH333" s="155"/>
      <c r="AI333" s="155"/>
      <c r="AJ333" s="155"/>
    </row>
    <row r="334" s="33" customFormat="1" spans="1:36">
      <c r="A334" s="94"/>
      <c r="B334" s="166"/>
      <c r="C334" s="98"/>
      <c r="D334" s="86"/>
      <c r="E334" s="67"/>
      <c r="F334" s="103"/>
      <c r="G334" s="99"/>
      <c r="H334" s="67"/>
      <c r="I334" s="119"/>
      <c r="J334" s="120"/>
      <c r="K334" s="121"/>
      <c r="L334" s="122"/>
      <c r="M334" s="122"/>
      <c r="N334" s="122"/>
      <c r="O334" s="122"/>
      <c r="P334" s="122"/>
      <c r="Q334" s="148"/>
      <c r="R334" s="155"/>
      <c r="S334" s="155"/>
      <c r="T334" s="155"/>
      <c r="U334" s="155"/>
      <c r="V334" s="155"/>
      <c r="W334" s="155"/>
      <c r="X334" s="155"/>
      <c r="Y334" s="155"/>
      <c r="Z334" s="155"/>
      <c r="AA334" s="155"/>
      <c r="AB334" s="155"/>
      <c r="AC334" s="155"/>
      <c r="AD334" s="155"/>
      <c r="AE334" s="155"/>
      <c r="AF334" s="155"/>
      <c r="AG334" s="155"/>
      <c r="AH334" s="155"/>
      <c r="AI334" s="155"/>
      <c r="AJ334" s="155"/>
    </row>
    <row r="335" s="33" customFormat="1" spans="1:36">
      <c r="A335" s="94" t="str">
        <f>IF(F335&lt;&gt;"",1+MAX($A$2:A333),"")</f>
        <v/>
      </c>
      <c r="B335" s="166"/>
      <c r="C335" s="98"/>
      <c r="D335" s="111" t="s">
        <v>274</v>
      </c>
      <c r="E335" s="67"/>
      <c r="F335" s="103"/>
      <c r="G335" s="99"/>
      <c r="H335" s="67"/>
      <c r="I335" s="119"/>
      <c r="J335" s="120"/>
      <c r="K335" s="121"/>
      <c r="L335" s="122"/>
      <c r="M335" s="122"/>
      <c r="N335" s="122"/>
      <c r="O335" s="122"/>
      <c r="P335" s="122"/>
      <c r="Q335" s="148"/>
      <c r="R335" s="155"/>
      <c r="S335" s="155"/>
      <c r="T335" s="155"/>
      <c r="U335" s="155"/>
      <c r="V335" s="155"/>
      <c r="W335" s="155"/>
      <c r="X335" s="155"/>
      <c r="Y335" s="155"/>
      <c r="Z335" s="155"/>
      <c r="AA335" s="155"/>
      <c r="AB335" s="155"/>
      <c r="AC335" s="155"/>
      <c r="AD335" s="155"/>
      <c r="AE335" s="155"/>
      <c r="AF335" s="155"/>
      <c r="AG335" s="155"/>
      <c r="AH335" s="155"/>
      <c r="AI335" s="155"/>
      <c r="AJ335" s="155"/>
    </row>
    <row r="336" s="33" customFormat="1" spans="1:36">
      <c r="A336" s="94">
        <f>IF(F336&lt;&gt;"",1+MAX($A$2:A335),"")</f>
        <v>220</v>
      </c>
      <c r="B336" s="166"/>
      <c r="C336" s="98"/>
      <c r="D336" s="89" t="s">
        <v>275</v>
      </c>
      <c r="E336" s="69">
        <f>1*2294/27</f>
        <v>84.962962962963</v>
      </c>
      <c r="F336" s="62">
        <v>0</v>
      </c>
      <c r="G336" s="99">
        <f t="shared" ref="G336:G337" si="240">E336*(1+F336)</f>
        <v>84.962962962963</v>
      </c>
      <c r="H336" s="67" t="s">
        <v>54</v>
      </c>
      <c r="I336" s="119">
        <v>1</v>
      </c>
      <c r="J336" s="120">
        <f t="shared" ref="J336:J337" si="241">+I336*G336</f>
        <v>84.962962962963</v>
      </c>
      <c r="K336" s="121">
        <f>'LABOR SHEET'!$C$3</f>
        <v>70</v>
      </c>
      <c r="L336" s="122">
        <f t="shared" ref="L336:L337" si="242">I336*K336</f>
        <v>70</v>
      </c>
      <c r="M336" s="122">
        <f t="shared" ref="M336:M337" si="243">K336*J336</f>
        <v>5947.40740740741</v>
      </c>
      <c r="N336" s="122">
        <v>76</v>
      </c>
      <c r="O336" s="122">
        <f t="shared" ref="O336:O337" si="244">N336*G336</f>
        <v>6457.18518518519</v>
      </c>
      <c r="P336" s="122">
        <f t="shared" ref="P336:P337" si="245">(I336*K336)+N336</f>
        <v>146</v>
      </c>
      <c r="Q336" s="148">
        <f t="shared" ref="Q336:Q337" si="246">P336*G336</f>
        <v>12404.5925925926</v>
      </c>
      <c r="R336" s="155"/>
      <c r="S336" s="155"/>
      <c r="T336" s="155"/>
      <c r="U336" s="155"/>
      <c r="V336" s="155"/>
      <c r="W336" s="155"/>
      <c r="X336" s="155"/>
      <c r="Y336" s="155"/>
      <c r="Z336" s="155"/>
      <c r="AA336" s="155"/>
      <c r="AB336" s="155"/>
      <c r="AC336" s="155"/>
      <c r="AD336" s="155"/>
      <c r="AE336" s="155"/>
      <c r="AF336" s="155"/>
      <c r="AG336" s="155"/>
      <c r="AH336" s="155"/>
      <c r="AI336" s="155"/>
      <c r="AJ336" s="155"/>
    </row>
    <row r="337" s="33" customFormat="1" spans="1:36">
      <c r="A337" s="94" t="str">
        <f>IF(F337&lt;&gt;"",1+MAX($A$2:A336),"")</f>
        <v/>
      </c>
      <c r="B337" s="166"/>
      <c r="C337" s="98"/>
      <c r="D337" s="169" t="s">
        <v>276</v>
      </c>
      <c r="E337" s="69"/>
      <c r="F337" s="62"/>
      <c r="G337" s="99"/>
      <c r="H337" s="67"/>
      <c r="I337" s="119"/>
      <c r="J337" s="120"/>
      <c r="K337" s="121"/>
      <c r="L337" s="122"/>
      <c r="M337" s="122"/>
      <c r="N337" s="122"/>
      <c r="O337" s="122"/>
      <c r="P337" s="122"/>
      <c r="Q337" s="148"/>
      <c r="R337" s="155"/>
      <c r="S337" s="155"/>
      <c r="T337" s="155"/>
      <c r="U337" s="155"/>
      <c r="V337" s="155"/>
      <c r="W337" s="155"/>
      <c r="X337" s="155"/>
      <c r="Y337" s="155"/>
      <c r="Z337" s="155"/>
      <c r="AA337" s="155"/>
      <c r="AB337" s="155"/>
      <c r="AC337" s="155"/>
      <c r="AD337" s="155"/>
      <c r="AE337" s="155"/>
      <c r="AF337" s="155"/>
      <c r="AG337" s="155"/>
      <c r="AH337" s="155"/>
      <c r="AI337" s="155"/>
      <c r="AJ337" s="155"/>
    </row>
    <row r="338" s="33" customFormat="1" ht="16.35" spans="1:36">
      <c r="A338" s="94" t="str">
        <f>IF(F338&lt;&gt;"",1+MAX($A$2:A337),"")</f>
        <v/>
      </c>
      <c r="B338" s="170"/>
      <c r="C338" s="98"/>
      <c r="D338" s="66"/>
      <c r="E338" s="69"/>
      <c r="F338" s="103"/>
      <c r="G338" s="99"/>
      <c r="H338" s="67"/>
      <c r="I338" s="119"/>
      <c r="J338" s="120"/>
      <c r="K338" s="121"/>
      <c r="L338" s="122"/>
      <c r="M338" s="122"/>
      <c r="N338" s="122"/>
      <c r="O338" s="122"/>
      <c r="P338" s="122"/>
      <c r="Q338" s="154"/>
      <c r="R338" s="155"/>
      <c r="S338" s="155"/>
      <c r="T338" s="155"/>
      <c r="U338" s="155"/>
      <c r="V338" s="155"/>
      <c r="W338" s="155"/>
      <c r="X338" s="155"/>
      <c r="Y338" s="155"/>
      <c r="Z338" s="155"/>
      <c r="AA338" s="155"/>
      <c r="AB338" s="155"/>
      <c r="AC338" s="155"/>
      <c r="AD338" s="155"/>
      <c r="AE338" s="155"/>
      <c r="AF338" s="155"/>
      <c r="AG338" s="155"/>
      <c r="AH338" s="155"/>
      <c r="AI338" s="155"/>
      <c r="AJ338" s="155"/>
    </row>
    <row r="339" s="33" customFormat="1" ht="16.35" spans="1:19">
      <c r="A339" s="94" t="s">
        <v>277</v>
      </c>
      <c r="B339" s="104"/>
      <c r="C339" s="105"/>
      <c r="D339" s="77" t="s">
        <v>33</v>
      </c>
      <c r="E339" s="106"/>
      <c r="F339" s="106"/>
      <c r="G339" s="107"/>
      <c r="H339" s="106"/>
      <c r="I339" s="106"/>
      <c r="J339" s="133"/>
      <c r="K339" s="133"/>
      <c r="L339" s="134"/>
      <c r="M339" s="135"/>
      <c r="N339" s="134"/>
      <c r="O339" s="134"/>
      <c r="P339" s="136"/>
      <c r="Q339" s="143">
        <f>SUM(Q252:Q337)</f>
        <v>321815.131148148</v>
      </c>
      <c r="S339" s="146"/>
    </row>
    <row r="340" s="34" customFormat="1" ht="31.2" spans="1:19">
      <c r="A340" s="94"/>
      <c r="B340" s="171"/>
      <c r="C340" s="171"/>
      <c r="D340" s="171"/>
      <c r="E340" s="171"/>
      <c r="F340" s="171"/>
      <c r="G340" s="171"/>
      <c r="H340" s="172" t="s">
        <v>278</v>
      </c>
      <c r="I340" s="200"/>
      <c r="J340" s="201">
        <f>SUM(J19:J337)</f>
        <v>19537.0244733815</v>
      </c>
      <c r="K340" s="202" t="s">
        <v>19</v>
      </c>
      <c r="L340" s="203"/>
      <c r="M340" s="204">
        <f>SUM(M19:M338)</f>
        <v>950377.550978092</v>
      </c>
      <c r="N340" s="205" t="s">
        <v>21</v>
      </c>
      <c r="O340" s="206">
        <f>SUM(O19:O338)</f>
        <v>730313.506628704</v>
      </c>
      <c r="P340" s="171"/>
      <c r="Q340" s="213"/>
      <c r="S340" s="214"/>
    </row>
    <row r="341" s="34" customFormat="1" spans="1:18">
      <c r="A341" s="173"/>
      <c r="B341" s="174"/>
      <c r="C341" s="175"/>
      <c r="D341" s="176" t="s">
        <v>279</v>
      </c>
      <c r="E341" s="177"/>
      <c r="F341" s="177"/>
      <c r="G341" s="178"/>
      <c r="H341" s="177"/>
      <c r="I341" s="177"/>
      <c r="J341" s="177"/>
      <c r="K341" s="177"/>
      <c r="L341" s="207"/>
      <c r="M341" s="207"/>
      <c r="N341" s="207"/>
      <c r="O341" s="207"/>
      <c r="P341" s="207"/>
      <c r="Q341" s="215">
        <f>SUM(Q8:Q339)/2</f>
        <v>1797691.0576068</v>
      </c>
      <c r="R341" s="216"/>
    </row>
    <row r="342" s="34" customFormat="1" spans="1:36">
      <c r="A342" s="173"/>
      <c r="B342" s="174"/>
      <c r="C342" s="179"/>
      <c r="D342" s="180" t="s">
        <v>280</v>
      </c>
      <c r="E342" s="181"/>
      <c r="F342" s="175"/>
      <c r="G342" s="181"/>
      <c r="H342" s="175"/>
      <c r="I342" s="175"/>
      <c r="J342" s="175"/>
      <c r="K342" s="175"/>
      <c r="L342" s="208">
        <v>0.05</v>
      </c>
      <c r="M342" s="208"/>
      <c r="N342" s="208"/>
      <c r="O342" s="208"/>
      <c r="P342" s="208"/>
      <c r="Q342" s="215">
        <f>Q341*L342</f>
        <v>89884.5528803398</v>
      </c>
      <c r="R342" s="217"/>
      <c r="S342" s="218"/>
      <c r="T342" s="218"/>
      <c r="U342" s="218"/>
      <c r="V342" s="218"/>
      <c r="W342" s="218"/>
      <c r="X342" s="218"/>
      <c r="Y342" s="218"/>
      <c r="Z342" s="218"/>
      <c r="AA342" s="218"/>
      <c r="AB342" s="218"/>
      <c r="AC342" s="218"/>
      <c r="AD342" s="218"/>
      <c r="AE342" s="218"/>
      <c r="AF342" s="218"/>
      <c r="AG342" s="218"/>
      <c r="AH342" s="218"/>
      <c r="AI342" s="218"/>
      <c r="AJ342" s="218"/>
    </row>
    <row r="343" s="34" customFormat="1" spans="1:36">
      <c r="A343" s="182"/>
      <c r="B343" s="183"/>
      <c r="C343" s="184"/>
      <c r="D343" s="185" t="s">
        <v>281</v>
      </c>
      <c r="E343" s="186"/>
      <c r="F343" s="187"/>
      <c r="G343" s="186"/>
      <c r="H343" s="187"/>
      <c r="I343" s="187"/>
      <c r="J343" s="187"/>
      <c r="K343" s="187"/>
      <c r="L343" s="209">
        <v>0.15</v>
      </c>
      <c r="M343" s="209"/>
      <c r="N343" s="209"/>
      <c r="O343" s="209"/>
      <c r="P343" s="209"/>
      <c r="Q343" s="219">
        <f>Q341*L343</f>
        <v>269653.658641019</v>
      </c>
      <c r="R343" s="218"/>
      <c r="S343" s="218"/>
      <c r="T343" s="218"/>
      <c r="U343" s="218"/>
      <c r="V343" s="218"/>
      <c r="W343" s="218"/>
      <c r="X343" s="218"/>
      <c r="Y343" s="218"/>
      <c r="Z343" s="218"/>
      <c r="AA343" s="218"/>
      <c r="AB343" s="218"/>
      <c r="AC343" s="218"/>
      <c r="AD343" s="218"/>
      <c r="AE343" s="218"/>
      <c r="AF343" s="218"/>
      <c r="AG343" s="218"/>
      <c r="AH343" s="218"/>
      <c r="AI343" s="218"/>
      <c r="AJ343" s="218"/>
    </row>
    <row r="344" s="34" customFormat="1" spans="1:36">
      <c r="A344" s="188"/>
      <c r="B344" s="189"/>
      <c r="C344" s="190"/>
      <c r="D344" s="191" t="s">
        <v>282</v>
      </c>
      <c r="E344" s="192"/>
      <c r="F344" s="193"/>
      <c r="G344" s="192"/>
      <c r="H344" s="193"/>
      <c r="I344" s="193"/>
      <c r="J344" s="193"/>
      <c r="K344" s="193"/>
      <c r="L344" s="210">
        <v>0.0625</v>
      </c>
      <c r="M344" s="210"/>
      <c r="N344" s="210"/>
      <c r="O344" s="210"/>
      <c r="P344" s="210"/>
      <c r="Q344" s="220">
        <f>Q341*L344</f>
        <v>112355.691100425</v>
      </c>
      <c r="R344" s="218"/>
      <c r="S344" s="218"/>
      <c r="T344" s="218"/>
      <c r="U344" s="218"/>
      <c r="V344" s="218"/>
      <c r="W344" s="218"/>
      <c r="X344" s="218"/>
      <c r="Y344" s="218"/>
      <c r="Z344" s="218"/>
      <c r="AA344" s="218"/>
      <c r="AB344" s="218"/>
      <c r="AC344" s="218"/>
      <c r="AD344" s="218"/>
      <c r="AE344" s="218"/>
      <c r="AF344" s="218"/>
      <c r="AG344" s="218"/>
      <c r="AH344" s="218"/>
      <c r="AI344" s="218"/>
      <c r="AJ344" s="218"/>
    </row>
    <row r="345" s="34" customFormat="1" spans="1:36">
      <c r="A345" s="188"/>
      <c r="B345" s="189"/>
      <c r="C345" s="190"/>
      <c r="D345" s="191" t="s">
        <v>283</v>
      </c>
      <c r="E345" s="192"/>
      <c r="F345" s="193"/>
      <c r="G345" s="192"/>
      <c r="H345" s="193"/>
      <c r="I345" s="193"/>
      <c r="J345" s="193"/>
      <c r="K345" s="193"/>
      <c r="L345" s="211">
        <v>0.015</v>
      </c>
      <c r="M345" s="211"/>
      <c r="N345" s="211"/>
      <c r="O345" s="211"/>
      <c r="P345" s="211"/>
      <c r="Q345" s="220">
        <f>Q341*L345</f>
        <v>26965.365864102</v>
      </c>
      <c r="R345" s="218"/>
      <c r="S345" s="218"/>
      <c r="T345" s="218"/>
      <c r="U345" s="218"/>
      <c r="V345" s="218"/>
      <c r="W345" s="218"/>
      <c r="X345" s="218"/>
      <c r="Y345" s="218"/>
      <c r="Z345" s="218"/>
      <c r="AA345" s="218"/>
      <c r="AB345" s="218"/>
      <c r="AC345" s="218"/>
      <c r="AD345" s="218"/>
      <c r="AE345" s="218"/>
      <c r="AF345" s="218"/>
      <c r="AG345" s="218"/>
      <c r="AH345" s="218"/>
      <c r="AI345" s="218"/>
      <c r="AJ345" s="218"/>
    </row>
    <row r="346" s="34" customFormat="1" ht="16.35" spans="1:17">
      <c r="A346" s="194"/>
      <c r="B346" s="195"/>
      <c r="C346" s="196"/>
      <c r="D346" s="197" t="s">
        <v>284</v>
      </c>
      <c r="E346" s="198"/>
      <c r="F346" s="198"/>
      <c r="G346" s="199"/>
      <c r="H346" s="198"/>
      <c r="I346" s="198"/>
      <c r="J346" s="198"/>
      <c r="K346" s="198"/>
      <c r="L346" s="212"/>
      <c r="M346" s="212"/>
      <c r="N346" s="212"/>
      <c r="O346" s="212"/>
      <c r="P346" s="212"/>
      <c r="Q346" s="221">
        <f>SUM(Q341:Q345)</f>
        <v>2296550.32609268</v>
      </c>
    </row>
  </sheetData>
  <mergeCells count="11">
    <mergeCell ref="A2:Q2"/>
    <mergeCell ref="B3:C3"/>
    <mergeCell ref="B4:C4"/>
    <mergeCell ref="B5:C5"/>
    <mergeCell ref="H340:I340"/>
    <mergeCell ref="K340:L340"/>
    <mergeCell ref="B19:B34"/>
    <mergeCell ref="B41:B44"/>
    <mergeCell ref="B49:B248"/>
    <mergeCell ref="B253:B338"/>
    <mergeCell ref="Q8:Q14"/>
  </mergeCells>
  <printOptions horizontalCentered="1"/>
  <pageMargins left="0.7" right="0.7" top="0.75" bottom="0.75" header="0.3" footer="0.3"/>
  <pageSetup paperSize="9" scale="36" fitToHeight="0" orientation="portrait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H39"/>
  <sheetViews>
    <sheetView workbookViewId="0">
      <selection activeCell="C6" sqref="C6"/>
    </sheetView>
  </sheetViews>
  <sheetFormatPr defaultColWidth="9.125" defaultRowHeight="14.4" outlineLevelCol="7"/>
  <cols>
    <col min="1" max="1" width="26.875" style="1" customWidth="1"/>
    <col min="2" max="2" width="19.625" style="2" customWidth="1"/>
    <col min="3" max="3" width="20.5" style="2" customWidth="1"/>
    <col min="4" max="16384" width="9.125" style="2"/>
  </cols>
  <sheetData>
    <row r="1" ht="16.35" spans="1:3">
      <c r="A1" s="3"/>
      <c r="B1" s="4" t="s">
        <v>285</v>
      </c>
      <c r="C1" s="5" t="s">
        <v>286</v>
      </c>
    </row>
    <row r="2" ht="15.6" spans="1:3">
      <c r="A2" s="6"/>
      <c r="B2" s="7"/>
      <c r="C2" s="8"/>
    </row>
    <row r="3" ht="15.6" spans="1:4">
      <c r="A3" s="9" t="s">
        <v>287</v>
      </c>
      <c r="B3" s="10" t="s">
        <v>288</v>
      </c>
      <c r="C3" s="11">
        <v>70</v>
      </c>
      <c r="D3" s="12"/>
    </row>
    <row r="4" ht="15.6" spans="1:4">
      <c r="A4" s="9" t="s">
        <v>289</v>
      </c>
      <c r="B4" s="10" t="s">
        <v>290</v>
      </c>
      <c r="C4" s="11">
        <v>45</v>
      </c>
      <c r="D4" s="12"/>
    </row>
    <row r="5" ht="15.6" spans="1:3">
      <c r="A5" s="9" t="s">
        <v>291</v>
      </c>
      <c r="B5" s="10" t="s">
        <v>292</v>
      </c>
      <c r="C5" s="11">
        <v>45</v>
      </c>
    </row>
    <row r="6" ht="16.35" spans="1:3">
      <c r="A6" s="13"/>
      <c r="B6" s="14"/>
      <c r="C6" s="15"/>
    </row>
    <row r="7" ht="15.15" spans="1:3">
      <c r="A7" s="3"/>
      <c r="B7" s="3"/>
      <c r="C7" s="3"/>
    </row>
    <row r="8" ht="15.15" spans="1:3">
      <c r="A8" s="16" t="s">
        <v>293</v>
      </c>
      <c r="B8" s="17">
        <v>0</v>
      </c>
      <c r="C8" s="3"/>
    </row>
    <row r="9" ht="15.15" spans="1:3">
      <c r="A9" s="3"/>
      <c r="B9" s="3"/>
      <c r="C9" s="3"/>
    </row>
    <row r="10" ht="16.35" spans="1:3">
      <c r="A10" s="3"/>
      <c r="B10" s="18" t="s">
        <v>12</v>
      </c>
      <c r="C10" s="19"/>
    </row>
    <row r="11" ht="15.6" spans="1:3">
      <c r="A11" s="20" t="s">
        <v>294</v>
      </c>
      <c r="B11" s="21" t="s">
        <v>47</v>
      </c>
      <c r="C11" s="22">
        <v>0</v>
      </c>
    </row>
    <row r="12" ht="15.6" spans="1:3">
      <c r="A12" s="23" t="s">
        <v>295</v>
      </c>
      <c r="B12" s="24" t="s">
        <v>40</v>
      </c>
      <c r="C12" s="25">
        <v>0.05</v>
      </c>
    </row>
    <row r="13" ht="15.6" spans="1:3">
      <c r="A13" s="23" t="s">
        <v>296</v>
      </c>
      <c r="B13" s="24" t="s">
        <v>38</v>
      </c>
      <c r="C13" s="25">
        <v>0.1</v>
      </c>
    </row>
    <row r="14" ht="15.6" spans="1:3">
      <c r="A14" s="23" t="s">
        <v>297</v>
      </c>
      <c r="B14" s="24" t="s">
        <v>298</v>
      </c>
      <c r="C14" s="25">
        <v>0.1</v>
      </c>
    </row>
    <row r="15" ht="15.6" spans="1:3">
      <c r="A15" s="23" t="s">
        <v>299</v>
      </c>
      <c r="B15" s="24" t="s">
        <v>54</v>
      </c>
      <c r="C15" s="25">
        <v>0.1</v>
      </c>
    </row>
    <row r="16" ht="15.6" spans="1:3">
      <c r="A16" s="23" t="s">
        <v>300</v>
      </c>
      <c r="B16" s="24" t="s">
        <v>26</v>
      </c>
      <c r="C16" s="25">
        <v>0</v>
      </c>
    </row>
    <row r="17" ht="15.6" spans="1:3">
      <c r="A17" s="23" t="s">
        <v>301</v>
      </c>
      <c r="B17" s="24" t="s">
        <v>302</v>
      </c>
      <c r="C17" s="25">
        <v>0</v>
      </c>
    </row>
    <row r="18" ht="15.6" spans="1:3">
      <c r="A18" s="23" t="s">
        <v>303</v>
      </c>
      <c r="B18" s="24" t="s">
        <v>304</v>
      </c>
      <c r="C18" s="25">
        <v>0</v>
      </c>
    </row>
    <row r="19" ht="15.6" spans="1:3">
      <c r="A19" s="23" t="s">
        <v>305</v>
      </c>
      <c r="B19" s="24" t="s">
        <v>306</v>
      </c>
      <c r="C19" s="25">
        <v>0</v>
      </c>
    </row>
    <row r="20" ht="15.6" spans="1:3">
      <c r="A20" s="23" t="s">
        <v>307</v>
      </c>
      <c r="B20" s="24" t="s">
        <v>308</v>
      </c>
      <c r="C20" s="25">
        <v>0</v>
      </c>
    </row>
    <row r="21" ht="15.6" spans="1:3">
      <c r="A21" s="23" t="s">
        <v>309</v>
      </c>
      <c r="B21" s="24" t="s">
        <v>310</v>
      </c>
      <c r="C21" s="25">
        <v>0.1</v>
      </c>
    </row>
    <row r="22" ht="15.6" spans="1:3">
      <c r="A22" s="23" t="s">
        <v>311</v>
      </c>
      <c r="B22" s="24" t="s">
        <v>80</v>
      </c>
      <c r="C22" s="25">
        <v>0.1</v>
      </c>
    </row>
    <row r="23" ht="15.6" spans="1:3">
      <c r="A23" s="23" t="s">
        <v>312</v>
      </c>
      <c r="B23" s="24" t="s">
        <v>313</v>
      </c>
      <c r="C23" s="25">
        <v>0</v>
      </c>
    </row>
    <row r="24" ht="15.6" spans="1:3">
      <c r="A24" s="23" t="s">
        <v>314</v>
      </c>
      <c r="B24" s="24" t="s">
        <v>315</v>
      </c>
      <c r="C24" s="25">
        <v>0</v>
      </c>
    </row>
    <row r="25" ht="15.6" spans="1:3">
      <c r="A25" s="23" t="s">
        <v>316</v>
      </c>
      <c r="B25" s="24" t="s">
        <v>316</v>
      </c>
      <c r="C25" s="25">
        <v>0.1</v>
      </c>
    </row>
    <row r="26" ht="15.6" spans="1:3">
      <c r="A26" s="23" t="s">
        <v>317</v>
      </c>
      <c r="B26" s="24" t="s">
        <v>318</v>
      </c>
      <c r="C26" s="25">
        <v>0</v>
      </c>
    </row>
    <row r="27" ht="15.6" spans="1:3">
      <c r="A27" s="23" t="s">
        <v>319</v>
      </c>
      <c r="B27" s="24" t="s">
        <v>320</v>
      </c>
      <c r="C27" s="25">
        <v>0</v>
      </c>
    </row>
    <row r="28" ht="15.6" spans="1:3">
      <c r="A28" s="23" t="s">
        <v>321</v>
      </c>
      <c r="B28" s="24" t="s">
        <v>322</v>
      </c>
      <c r="C28" s="25">
        <v>0</v>
      </c>
    </row>
    <row r="29" ht="15.6" spans="1:3">
      <c r="A29" s="23" t="s">
        <v>312</v>
      </c>
      <c r="B29" s="24" t="s">
        <v>323</v>
      </c>
      <c r="C29" s="25">
        <v>0</v>
      </c>
    </row>
    <row r="30" ht="15.6" spans="1:3">
      <c r="A30" s="23" t="s">
        <v>324</v>
      </c>
      <c r="B30" s="24" t="s">
        <v>325</v>
      </c>
      <c r="C30" s="25">
        <v>0</v>
      </c>
    </row>
    <row r="31" ht="15.6" spans="1:3">
      <c r="A31" s="23" t="s">
        <v>326</v>
      </c>
      <c r="B31" s="24" t="s">
        <v>327</v>
      </c>
      <c r="C31" s="25">
        <v>0</v>
      </c>
    </row>
    <row r="32" ht="15.6" spans="1:3">
      <c r="A32" s="23" t="s">
        <v>328</v>
      </c>
      <c r="B32" s="24" t="s">
        <v>329</v>
      </c>
      <c r="C32" s="25">
        <v>0.1</v>
      </c>
    </row>
    <row r="33" ht="16.35" spans="1:3">
      <c r="A33" s="26" t="s">
        <v>330</v>
      </c>
      <c r="B33" s="27" t="s">
        <v>330</v>
      </c>
      <c r="C33" s="28">
        <v>0</v>
      </c>
    </row>
    <row r="36" spans="1:8">
      <c r="A36" s="29" t="s">
        <v>331</v>
      </c>
      <c r="B36" s="30"/>
      <c r="C36" s="30"/>
      <c r="D36" s="30"/>
      <c r="E36" s="30"/>
      <c r="F36" s="30"/>
      <c r="G36" s="30"/>
      <c r="H36" s="30"/>
    </row>
    <row r="37" spans="1:8">
      <c r="A37" s="30" t="s">
        <v>332</v>
      </c>
      <c r="B37" s="30"/>
      <c r="C37" s="30"/>
      <c r="D37" s="30"/>
      <c r="E37" s="30"/>
      <c r="F37" s="30"/>
      <c r="G37" s="30"/>
      <c r="H37" s="30"/>
    </row>
    <row r="38" spans="1:8">
      <c r="A38" s="30" t="s">
        <v>333</v>
      </c>
      <c r="B38" s="30"/>
      <c r="C38" s="30"/>
      <c r="D38" s="30"/>
      <c r="E38" s="30"/>
      <c r="F38" s="30"/>
      <c r="G38" s="30"/>
      <c r="H38" s="30"/>
    </row>
    <row r="39" spans="1:8">
      <c r="A39" s="30" t="s">
        <v>334</v>
      </c>
      <c r="B39" s="30"/>
      <c r="C39" s="30"/>
      <c r="D39" s="30"/>
      <c r="E39" s="30"/>
      <c r="F39" s="30"/>
      <c r="G39" s="30"/>
      <c r="H39" s="30"/>
    </row>
  </sheetData>
  <mergeCells count="1">
    <mergeCell ref="B10:C10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7021E2-8793-411E-B075-318530D433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Takeoff Breakdown</vt:lpstr>
      <vt:lpstr>LABOR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Mfbzone</dc:creator>
  <cp:lastModifiedBy>Huzaifa Malik</cp:lastModifiedBy>
  <dcterms:created xsi:type="dcterms:W3CDTF">2016-03-30T11:57:00Z</dcterms:created>
  <cp:lastPrinted>2023-01-11T20:23:00Z</cp:lastPrinted>
  <dcterms:modified xsi:type="dcterms:W3CDTF">2025-10-14T14:53:01Z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{F47021E2-8793-411E-B075-318530D4334E}</vt:lpwstr>
  </property>
  <property fmtid="{D5CDD505-2E9C-101B-9397-08002B2CF9AE}" pid="6" name="ICV">
    <vt:lpwstr>01A28A5F5238400C89C13C17579720B3_13</vt:lpwstr>
  </property>
  <property fmtid="{D5CDD505-2E9C-101B-9397-08002B2CF9AE}" pid="7" name="KSOProductBuildVer">
    <vt:lpwstr>1033-12.2.0.22549</vt:lpwstr>
  </property>
</Properties>
</file>