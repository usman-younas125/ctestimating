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ty\Desktop\Samples\"/>
    </mc:Choice>
  </mc:AlternateContent>
  <bookViews>
    <workbookView xWindow="0" yWindow="0" windowWidth="19200" windowHeight="8550" tabRatio="647" firstSheet="2" activeTab="2"/>
  </bookViews>
  <sheets>
    <sheet name="Chart1" sheetId="14" state="hidden" r:id="rId1"/>
    <sheet name="Sheet1" sheetId="15" state="hidden" r:id="rId2"/>
    <sheet name="HVAC Estimate" sheetId="16" r:id="rId3"/>
    <sheet name="Duct Takeoff" sheetId="17" r:id="rId4"/>
  </sheets>
  <definedNames>
    <definedName name="_xlnm._FilterDatabase" localSheetId="3" hidden="1">'Duct Takeoff'!$A$5:$F$46</definedName>
    <definedName name="_xlnm._FilterDatabase" localSheetId="2" hidden="1">'HVAC Estimate'!$A$5:$L$81</definedName>
    <definedName name="Total" localSheetId="3">#REF!</definedName>
    <definedName name="Total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4" i="16" l="1"/>
  <c r="K79" i="16"/>
  <c r="K9" i="16"/>
  <c r="L9" i="16" s="1"/>
  <c r="I9" i="16"/>
  <c r="H9" i="16"/>
  <c r="K8" i="16"/>
  <c r="L8" i="16" s="1"/>
  <c r="I8" i="16"/>
  <c r="H8" i="16"/>
  <c r="K19" i="16"/>
  <c r="K21" i="16"/>
  <c r="L21" i="16" s="1"/>
  <c r="I21" i="16"/>
  <c r="H21" i="16"/>
  <c r="K20" i="16"/>
  <c r="I20" i="16"/>
  <c r="H20" i="16"/>
  <c r="I19" i="16"/>
  <c r="H19" i="16"/>
  <c r="K18" i="16"/>
  <c r="I18" i="16"/>
  <c r="H18" i="16"/>
  <c r="K17" i="16"/>
  <c r="L17" i="16" s="1"/>
  <c r="I17" i="16"/>
  <c r="H17" i="16"/>
  <c r="K16" i="16"/>
  <c r="L16" i="16" s="1"/>
  <c r="I16" i="16"/>
  <c r="H16" i="16"/>
  <c r="K15" i="16"/>
  <c r="L15" i="16" s="1"/>
  <c r="I15" i="16"/>
  <c r="H15" i="16"/>
  <c r="K14" i="16"/>
  <c r="I14" i="16"/>
  <c r="H14" i="16"/>
  <c r="K13" i="16"/>
  <c r="L13" i="16" s="1"/>
  <c r="I13" i="16"/>
  <c r="H13" i="16"/>
  <c r="K12" i="16"/>
  <c r="L12" i="16" s="1"/>
  <c r="I12" i="16"/>
  <c r="H12" i="16"/>
  <c r="I24" i="16"/>
  <c r="H24" i="16"/>
  <c r="K27" i="16"/>
  <c r="I27" i="16"/>
  <c r="H27" i="16"/>
  <c r="K30" i="16"/>
  <c r="I30" i="16"/>
  <c r="H30" i="16"/>
  <c r="K33" i="16"/>
  <c r="L33" i="16" s="1"/>
  <c r="K34" i="16"/>
  <c r="I34" i="16"/>
  <c r="H34" i="16"/>
  <c r="I33" i="16"/>
  <c r="H33" i="16"/>
  <c r="K38" i="16"/>
  <c r="I38" i="16"/>
  <c r="H38" i="16"/>
  <c r="K37" i="16"/>
  <c r="L37" i="16" s="1"/>
  <c r="I37" i="16"/>
  <c r="H37" i="16"/>
  <c r="K42" i="16"/>
  <c r="L42" i="16" s="1"/>
  <c r="I42" i="16"/>
  <c r="H42" i="16"/>
  <c r="K41" i="16"/>
  <c r="L41" i="16" s="1"/>
  <c r="I41" i="16"/>
  <c r="H41" i="16"/>
  <c r="K45" i="16"/>
  <c r="L45" i="16" s="1"/>
  <c r="I45" i="16"/>
  <c r="H45" i="16"/>
  <c r="K48" i="16"/>
  <c r="L48" i="16" s="1"/>
  <c r="I48" i="16"/>
  <c r="H48" i="16"/>
  <c r="K51" i="16"/>
  <c r="L51" i="16" s="1"/>
  <c r="I51" i="16"/>
  <c r="H51" i="16"/>
  <c r="L19" i="16" l="1"/>
  <c r="L20" i="16"/>
  <c r="L18" i="16"/>
  <c r="L14" i="16"/>
  <c r="L24" i="16"/>
  <c r="L27" i="16"/>
  <c r="L30" i="16"/>
  <c r="L34" i="16"/>
  <c r="L38" i="16"/>
  <c r="K66" i="16"/>
  <c r="L66" i="16" s="1"/>
  <c r="I66" i="16"/>
  <c r="H66" i="16"/>
  <c r="K63" i="16"/>
  <c r="L63" i="16" s="1"/>
  <c r="I63" i="16"/>
  <c r="H63" i="16"/>
  <c r="K59" i="16"/>
  <c r="L59" i="16" s="1"/>
  <c r="I59" i="16"/>
  <c r="H59" i="16"/>
  <c r="K55" i="16"/>
  <c r="L55" i="16" s="1"/>
  <c r="I55" i="16"/>
  <c r="H55" i="16"/>
  <c r="K77" i="16"/>
  <c r="L77" i="16" s="1"/>
  <c r="I77" i="16"/>
  <c r="H77" i="16"/>
  <c r="K76" i="16"/>
  <c r="L76" i="16" s="1"/>
  <c r="I76" i="16"/>
  <c r="H76" i="16"/>
  <c r="K75" i="16"/>
  <c r="L75" i="16" s="1"/>
  <c r="I75" i="16"/>
  <c r="H75" i="16"/>
  <c r="K72" i="16" l="1"/>
  <c r="L72" i="16" s="1"/>
  <c r="K69" i="16"/>
  <c r="I69" i="16"/>
  <c r="H69" i="16"/>
  <c r="I72" i="16"/>
  <c r="H72" i="16"/>
  <c r="L69" i="16" l="1"/>
  <c r="K80" i="16"/>
  <c r="E45" i="17"/>
  <c r="E44" i="17"/>
  <c r="E43" i="17"/>
  <c r="E42" i="17"/>
  <c r="E39" i="17"/>
  <c r="E38" i="17"/>
  <c r="E37" i="17"/>
  <c r="E36" i="17"/>
  <c r="E35" i="17"/>
  <c r="E34" i="17"/>
  <c r="E33" i="17"/>
  <c r="E32" i="17"/>
  <c r="E29" i="17"/>
  <c r="E28" i="17"/>
  <c r="E27" i="17"/>
  <c r="E26" i="17"/>
  <c r="E25" i="17"/>
  <c r="E22" i="17"/>
  <c r="E21" i="17"/>
  <c r="E20" i="17"/>
  <c r="E16" i="17"/>
  <c r="E15" i="17"/>
  <c r="E14" i="17"/>
  <c r="E13" i="17"/>
  <c r="E12" i="17"/>
  <c r="E11" i="17"/>
  <c r="E10" i="17"/>
  <c r="E9" i="17"/>
  <c r="E77" i="16" l="1"/>
  <c r="E38" i="16" l="1"/>
  <c r="E9" i="16" l="1"/>
  <c r="E8" i="16"/>
  <c r="E45" i="16"/>
  <c r="E66" i="16"/>
  <c r="E63" i="16"/>
  <c r="E59" i="16"/>
  <c r="E55" i="16"/>
  <c r="E21" i="16" l="1"/>
  <c r="E20" i="16"/>
  <c r="E19" i="16"/>
  <c r="E18" i="16"/>
  <c r="E17" i="16"/>
  <c r="E16" i="16"/>
  <c r="E15" i="16"/>
  <c r="E14" i="16"/>
  <c r="E13" i="16"/>
  <c r="E51" i="16"/>
  <c r="E34" i="16"/>
  <c r="E33" i="16"/>
  <c r="E30" i="16"/>
  <c r="E27" i="16"/>
  <c r="E12" i="16" l="1"/>
  <c r="E48" i="16"/>
  <c r="E42" i="16"/>
  <c r="E41" i="16"/>
  <c r="E72" i="16" l="1"/>
  <c r="E24" i="16" l="1"/>
  <c r="E37" i="16" l="1"/>
  <c r="E76" i="16" l="1"/>
  <c r="E75" i="16"/>
  <c r="E69" i="16" l="1"/>
  <c r="K81" i="16" l="1"/>
  <c r="K82" i="16" s="1"/>
  <c r="K83" i="16" s="1"/>
</calcChain>
</file>

<file path=xl/sharedStrings.xml><?xml version="1.0" encoding="utf-8"?>
<sst xmlns="http://schemas.openxmlformats.org/spreadsheetml/2006/main" count="209" uniqueCount="138">
  <si>
    <t>DESCRIPTION</t>
  </si>
  <si>
    <t>QUANTITY</t>
  </si>
  <si>
    <t>QTY WITH
WASTAGE</t>
  </si>
  <si>
    <t>PROJECT:</t>
  </si>
  <si>
    <t>ADDRESS:</t>
  </si>
  <si>
    <t>EA</t>
  </si>
  <si>
    <t>LFT</t>
  </si>
  <si>
    <t>MANHOURS COST</t>
  </si>
  <si>
    <t>REV:</t>
  </si>
  <si>
    <t>SCOPE OF ESTIMATE:</t>
  </si>
  <si>
    <t>I</t>
  </si>
  <si>
    <t>SUPPLY &amp; INSTALLATION</t>
  </si>
  <si>
    <t>NOTES</t>
  </si>
  <si>
    <t>MANHOUR UNIT RATE</t>
  </si>
  <si>
    <t>SR.
NO.</t>
  </si>
  <si>
    <t>WASTAGE</t>
  </si>
  <si>
    <t>UNIT</t>
  </si>
  <si>
    <t>UNIT 
COST</t>
  </si>
  <si>
    <t>MATERIAL 
COST</t>
  </si>
  <si>
    <t>MANHOURS
UNIT RATE</t>
  </si>
  <si>
    <t>MANHOURS</t>
  </si>
  <si>
    <t>TOTAL TRADE
COST</t>
  </si>
  <si>
    <t xml:space="preserve">14 EAST, 4th STREET, SUITE 405, </t>
  </si>
  <si>
    <t>NEW YORK CITY, NY 10012</t>
  </si>
  <si>
    <t xml:space="preserve">TOTAL MATERIAL COST  </t>
  </si>
  <si>
    <t xml:space="preserve">TOTAL MANHOURS' COST  </t>
  </si>
  <si>
    <t xml:space="preserve">TOTAL COST  </t>
  </si>
  <si>
    <t xml:space="preserve">OVERHEADS &amp; PROFIT  </t>
  </si>
  <si>
    <t xml:space="preserve">TOTAL BID  </t>
  </si>
  <si>
    <t xml:space="preserve"> </t>
  </si>
  <si>
    <t>SHEET METAL DUCT</t>
  </si>
  <si>
    <t>DUCT INSULATION</t>
  </si>
  <si>
    <t>DUCT SUPPORT</t>
  </si>
  <si>
    <t>3/8" Threaded Rod</t>
  </si>
  <si>
    <t>1" x  22 Ga. Strap</t>
  </si>
  <si>
    <t xml:space="preserve">Condensate Drain </t>
  </si>
  <si>
    <t>Insulation</t>
  </si>
  <si>
    <t>REDUCERS</t>
  </si>
  <si>
    <t>TAKE-OFF</t>
  </si>
  <si>
    <t>8" Dia Supply Air Duct</t>
  </si>
  <si>
    <t>DUCT WEIGHT</t>
  </si>
  <si>
    <t>LB</t>
  </si>
  <si>
    <t>Galvanized Steel Duct Weight</t>
  </si>
  <si>
    <t>6" Dia EA Duct Elbow</t>
  </si>
  <si>
    <t>8" Dia Volume Damper</t>
  </si>
  <si>
    <t>14" Dia Supply Air Duct</t>
  </si>
  <si>
    <t>12" Dia Supply Air Duct</t>
  </si>
  <si>
    <t>10" Dia Supply Air Duct</t>
  </si>
  <si>
    <t>16"x14" Supply Air Duct</t>
  </si>
  <si>
    <t>16"x14" Return Air Duct</t>
  </si>
  <si>
    <t>16"x14" / 14" Dia Duct Take-off</t>
  </si>
  <si>
    <t>14" x 12" Dia Duct Reducer</t>
  </si>
  <si>
    <t>12" x 10" Dia Duct Reducer</t>
  </si>
  <si>
    <t>14" Dia SA Duct Elbow</t>
  </si>
  <si>
    <t>16"x14" RA Duct Elbow</t>
  </si>
  <si>
    <t>16"x14" SA Duct Elbow</t>
  </si>
  <si>
    <t>VOLUME DAMPER</t>
  </si>
  <si>
    <t>AIR DEVICES</t>
  </si>
  <si>
    <t>16"x14" Smoke Detector</t>
  </si>
  <si>
    <t>THERMOSTAT</t>
  </si>
  <si>
    <t>Thermostat</t>
  </si>
  <si>
    <t>ROOFTOP PACKAGE HEAT PUMP UNIT</t>
  </si>
  <si>
    <t>EXHAUST FAN</t>
  </si>
  <si>
    <t>AIR PURIFIER/ODOR CONTROLLER &amp; FILTER</t>
  </si>
  <si>
    <t>APF-1 Air Purifier/Odor Controller &amp; Filter, Manufacturer Agriair, Model# Agriair 1000-3 HO, 300-650 CFM, 115 Volts, 1 Phase, 60 HZ, 3 AMP, Plated Carbon Filter16"x24"x1", MERV II Plated Filter16"x24"x1", Dimension 14"x20"x27", Weight 40 LBS, With Variable Speed Blower</t>
  </si>
  <si>
    <t>ACTIVE CARBON FILTER</t>
  </si>
  <si>
    <t>FLT-1 Active Carbon Filter, Manufacturer CAN-FILTERS, Model# CAN 33, 200 CFM, Round Filter Outside Dimension 12"x13", Filter Weight 25.3 LBS, Carbon Weight 16.5 LBS, Carbon Depth 2'</t>
  </si>
  <si>
    <t>FLT-2 Active Carbon Filter, Manufacturer Flanders, Model# FCP301, Square Filter 24"x24"x4"</t>
  </si>
  <si>
    <t>EXHAUST DUCT CAP</t>
  </si>
  <si>
    <t>6" Dia Exhaust Air Duct</t>
  </si>
  <si>
    <t>6" Dia Exhaust Duct Cap</t>
  </si>
  <si>
    <t>Galvanized Steel Duct</t>
  </si>
  <si>
    <t>DUCT SMOKE DETECTOR</t>
  </si>
  <si>
    <t>FLEXIBLE DUCT</t>
  </si>
  <si>
    <t>CONDENSATE DRAIN PIPE</t>
  </si>
  <si>
    <t>CONDENSATE DRAIN PIPE INSULATION</t>
  </si>
  <si>
    <t>CONDENSATE DRAIN PIPE FITTING</t>
  </si>
  <si>
    <t>ELBOWS 90 DEGREE</t>
  </si>
  <si>
    <t>TEE</t>
  </si>
  <si>
    <t>1" Dia Tee</t>
  </si>
  <si>
    <t>BACKDRAFT DAMPER</t>
  </si>
  <si>
    <t>6" Dia Backdraft Damper</t>
  </si>
  <si>
    <t>8" Dia Flexible Duct</t>
  </si>
  <si>
    <t>10" x 8" Dia SA Duct Take-off</t>
  </si>
  <si>
    <t>Type "M" Copper</t>
  </si>
  <si>
    <t>RTU-1 Rooftop Package Heat Pump Unit, Manufacturer York, Model# PHE4B6031, Cooling 57500 BTU/HR, 208/230 Volts, 3 Phase, 60 HZ, Weight 530 LBS</t>
  </si>
  <si>
    <t>EF-1 Exhaust Fan, Make Can Fan, Model# S 600 6" CAN-FAN, 145 CFM, 2659 RPM, 120 Volts, 1 Phase, 60 HZ, Motor Power 75 Watt, Weight 12 Lbs</t>
  </si>
  <si>
    <t>10" Dia Return Air Duct</t>
  </si>
  <si>
    <t>12" Dia SA Duct Elbow</t>
  </si>
  <si>
    <t>8" Dia SA Duct Elbow</t>
  </si>
  <si>
    <t>10" Dia RA Duct Elbow</t>
  </si>
  <si>
    <t>14" x 8" Dia SA Duct Take-off</t>
  </si>
  <si>
    <t>12" x 8" Dia SA Duct Take-off</t>
  </si>
  <si>
    <t>8" x 8" Dia SA Duct Take-off</t>
  </si>
  <si>
    <t>16"x14" / 12" Dia Duct Take-off</t>
  </si>
  <si>
    <t>16"x14" / 8" Dia Duct Take-off</t>
  </si>
  <si>
    <t>10" x 8" Dia Duct Reducer</t>
  </si>
  <si>
    <t>14" x 8" Dia Duct Reducer</t>
  </si>
  <si>
    <t>14" x 14" Dia SA Duct Take-off</t>
  </si>
  <si>
    <t>Supply Air Diffuser, 250 CFM, 10" Dia Neck Size</t>
  </si>
  <si>
    <t>Supply Air Diffuser, 275 CFM, 10" Dia Neck Size</t>
  </si>
  <si>
    <t>Supply Air Diffuser, 125 CFM, 8" Dia Neck Size</t>
  </si>
  <si>
    <t>Supply Air Diffuser, 175 CFM, 8" Dia Neck Size</t>
  </si>
  <si>
    <t>Supply Air Diffuser, 200 CFM, 8" Dia Neck Size</t>
  </si>
  <si>
    <t>Supply Air Diffuser, 200 CFM, 10"x10" Neck Size</t>
  </si>
  <si>
    <t>Return Air Grille, 14"x14" Neck Size</t>
  </si>
  <si>
    <t>Transfer Air Grille, 20"x10" Neck Size</t>
  </si>
  <si>
    <t>Transfer Air Grille, 14"x10" Neck Size</t>
  </si>
  <si>
    <t>24"x24" Return Air Grille with Active Carbon Filter</t>
  </si>
  <si>
    <t>RTU Duct Smoke Detector</t>
  </si>
  <si>
    <t>10" Dia Volume Damper</t>
  </si>
  <si>
    <t>1" Condensation Drain Pipe with Closed Cell Elastomeric Thermal Insulation (ASSUMED)</t>
  </si>
  <si>
    <t>10" Dia Flexible Duct</t>
  </si>
  <si>
    <t>HVAC ESTIMATE</t>
  </si>
  <si>
    <t>SHEET METAL DUCT FITTINGS</t>
  </si>
  <si>
    <t>1" Dia Condensate Drain Pipe (Assumed)</t>
  </si>
  <si>
    <t>1" Dia Condensate Drain Pipe Insulation</t>
  </si>
  <si>
    <t>1" Dia Elbow</t>
  </si>
  <si>
    <t>DATE: 06/06/19</t>
  </si>
  <si>
    <t>Supply &amp; Return Duct w/ Fittings</t>
  </si>
  <si>
    <t>Exhaust Duct w/ Fittings</t>
  </si>
  <si>
    <t>Flexible Duct</t>
  </si>
  <si>
    <t>Air Devices</t>
  </si>
  <si>
    <t>Rooftop Unit</t>
  </si>
  <si>
    <t>Exhaust Fan</t>
  </si>
  <si>
    <t>Air Purifier</t>
  </si>
  <si>
    <t>Carbon Filter</t>
  </si>
  <si>
    <t>Dampers</t>
  </si>
  <si>
    <t>Duct Support</t>
  </si>
  <si>
    <t>2"x18 Ga. Band Clamp</t>
  </si>
  <si>
    <t>1 1/2" Thick Fire Retardant Fiberglass with a Reinforced Aluminum Foil Jacket  (Assumed)</t>
  </si>
  <si>
    <t>ELBOWS 45 DEGREE</t>
  </si>
  <si>
    <t>SF</t>
  </si>
  <si>
    <t>II</t>
  </si>
  <si>
    <t>Pricing and manhours are calculated from PHCC database.</t>
  </si>
  <si>
    <t>MR. NICE GUY, T.I.</t>
  </si>
  <si>
    <t>1080 JOSHUA WAY</t>
  </si>
  <si>
    <t>VISTA, CA. 92081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</si>
</sst>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  <numFmt numFmtId="166" formatCode="0.0"/>
  </numFmts>
  <fonts count="39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3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3" fontId="2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4" fillId="0" borderId="0"/>
    <xf numFmtId="0" fontId="23" fillId="0" borderId="0"/>
    <xf numFmtId="0" fontId="5" fillId="0" borderId="0"/>
    <xf numFmtId="0" fontId="24" fillId="0" borderId="0"/>
    <xf numFmtId="0" fontId="5" fillId="23" borderId="7" applyNumberFormat="0" applyFont="0" applyAlignment="0" applyProtection="0"/>
    <xf numFmtId="0" fontId="5" fillId="23" borderId="7" applyNumberFormat="0" applyFont="0" applyAlignment="0" applyProtection="0"/>
    <xf numFmtId="0" fontId="19" fillId="20" borderId="8" applyNumberForma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158">
    <xf numFmtId="0" fontId="0" fillId="0" borderId="0" xfId="0"/>
    <xf numFmtId="0" fontId="29" fillId="0" borderId="0" xfId="0" applyFont="1"/>
    <xf numFmtId="0" fontId="29" fillId="0" borderId="0" xfId="0" applyFont="1" applyAlignment="1">
      <alignment horizontal="center"/>
    </xf>
    <xf numFmtId="0" fontId="28" fillId="0" borderId="0" xfId="89" applyFont="1" applyAlignment="1">
      <alignment horizontal="left"/>
    </xf>
    <xf numFmtId="0" fontId="30" fillId="0" borderId="0" xfId="89" applyFont="1"/>
    <xf numFmtId="0" fontId="30" fillId="0" borderId="0" xfId="89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/>
    <xf numFmtId="0" fontId="30" fillId="0" borderId="0" xfId="89" applyFont="1" applyAlignment="1">
      <alignment horizontal="left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/>
    </xf>
    <xf numFmtId="0" fontId="33" fillId="24" borderId="10" xfId="0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42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 wrapText="1"/>
    </xf>
    <xf numFmtId="0" fontId="33" fillId="0" borderId="49" xfId="0" applyFont="1" applyFill="1" applyBorder="1" applyAlignment="1">
      <alignment horizontal="center" vertical="center" wrapText="1"/>
    </xf>
    <xf numFmtId="0" fontId="33" fillId="0" borderId="0" xfId="0" applyFont="1" applyFill="1"/>
    <xf numFmtId="0" fontId="29" fillId="0" borderId="0" xfId="0" applyFont="1" applyFill="1"/>
    <xf numFmtId="0" fontId="34" fillId="0" borderId="18" xfId="0" applyFont="1" applyBorder="1" applyAlignment="1">
      <alignment horizontal="center" vertical="center" wrapText="1"/>
    </xf>
    <xf numFmtId="9" fontId="34" fillId="25" borderId="18" xfId="0" applyNumberFormat="1" applyFont="1" applyFill="1" applyBorder="1" applyAlignment="1">
      <alignment horizontal="center" vertical="center"/>
    </xf>
    <xf numFmtId="0" fontId="34" fillId="0" borderId="18" xfId="0" applyNumberFormat="1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164" fontId="34" fillId="0" borderId="18" xfId="0" applyNumberFormat="1" applyFont="1" applyBorder="1" applyAlignment="1">
      <alignment vertical="center"/>
    </xf>
    <xf numFmtId="164" fontId="34" fillId="0" borderId="18" xfId="0" applyNumberFormat="1" applyFont="1" applyBorder="1" applyAlignment="1">
      <alignment horizontal="center" vertical="center"/>
    </xf>
    <xf numFmtId="1" fontId="34" fillId="0" borderId="39" xfId="0" applyNumberFormat="1" applyFont="1" applyBorder="1" applyAlignment="1">
      <alignment horizontal="center" vertical="center" wrapText="1"/>
    </xf>
    <xf numFmtId="164" fontId="34" fillId="0" borderId="32" xfId="0" applyNumberFormat="1" applyFont="1" applyBorder="1" applyAlignment="1">
      <alignment vertical="center"/>
    </xf>
    <xf numFmtId="164" fontId="34" fillId="0" borderId="14" xfId="0" applyNumberFormat="1" applyFont="1" applyBorder="1" applyAlignment="1">
      <alignment vertical="center"/>
    </xf>
    <xf numFmtId="43" fontId="29" fillId="0" borderId="0" xfId="0" applyNumberFormat="1" applyFont="1" applyBorder="1"/>
    <xf numFmtId="0" fontId="29" fillId="0" borderId="0" xfId="0" applyFont="1" applyBorder="1"/>
    <xf numFmtId="0" fontId="34" fillId="0" borderId="32" xfId="0" applyFont="1" applyBorder="1" applyAlignment="1">
      <alignment horizontal="center" vertical="center" wrapText="1"/>
    </xf>
    <xf numFmtId="9" fontId="34" fillId="25" borderId="11" xfId="0" applyNumberFormat="1" applyFont="1" applyFill="1" applyBorder="1" applyAlignment="1">
      <alignment horizontal="center" vertical="center"/>
    </xf>
    <xf numFmtId="0" fontId="34" fillId="0" borderId="11" xfId="0" applyNumberFormat="1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164" fontId="34" fillId="25" borderId="11" xfId="91" applyNumberFormat="1" applyFont="1" applyFill="1" applyBorder="1" applyAlignment="1">
      <alignment horizontal="center" vertical="center"/>
    </xf>
    <xf numFmtId="164" fontId="34" fillId="0" borderId="11" xfId="0" applyNumberFormat="1" applyFont="1" applyBorder="1" applyAlignment="1">
      <alignment vertical="center"/>
    </xf>
    <xf numFmtId="164" fontId="34" fillId="0" borderId="11" xfId="0" applyNumberFormat="1" applyFont="1" applyBorder="1" applyAlignment="1">
      <alignment horizontal="center" vertical="center"/>
    </xf>
    <xf numFmtId="1" fontId="34" fillId="0" borderId="14" xfId="0" applyNumberFormat="1" applyFont="1" applyBorder="1" applyAlignment="1">
      <alignment horizontal="center" vertical="center" wrapText="1"/>
    </xf>
    <xf numFmtId="0" fontId="34" fillId="0" borderId="33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1" fontId="34" fillId="0" borderId="11" xfId="0" applyNumberFormat="1" applyFont="1" applyFill="1" applyBorder="1" applyAlignment="1">
      <alignment horizontal="center" vertical="center"/>
    </xf>
    <xf numFmtId="0" fontId="34" fillId="25" borderId="46" xfId="0" applyFont="1" applyFill="1" applyBorder="1" applyAlignment="1">
      <alignment horizontal="center" vertical="center"/>
    </xf>
    <xf numFmtId="0" fontId="34" fillId="0" borderId="47" xfId="0" applyFont="1" applyBorder="1" applyAlignment="1">
      <alignment vertical="center"/>
    </xf>
    <xf numFmtId="0" fontId="34" fillId="0" borderId="11" xfId="0" applyFont="1" applyBorder="1" applyAlignment="1">
      <alignment horizontal="center" vertical="center" wrapText="1"/>
    </xf>
    <xf numFmtId="0" fontId="29" fillId="0" borderId="11" xfId="0" applyFont="1" applyBorder="1"/>
    <xf numFmtId="0" fontId="34" fillId="0" borderId="11" xfId="0" applyFont="1" applyBorder="1" applyAlignment="1">
      <alignment horizontal="center" vertical="center"/>
    </xf>
    <xf numFmtId="165" fontId="34" fillId="25" borderId="11" xfId="91" applyNumberFormat="1" applyFont="1" applyFill="1" applyBorder="1" applyAlignment="1">
      <alignment horizontal="center" vertical="center"/>
    </xf>
    <xf numFmtId="164" fontId="34" fillId="0" borderId="34" xfId="0" applyNumberFormat="1" applyFont="1" applyBorder="1" applyAlignment="1">
      <alignment vertical="center"/>
    </xf>
    <xf numFmtId="41" fontId="29" fillId="25" borderId="0" xfId="0" applyNumberFormat="1" applyFont="1" applyFill="1" applyBorder="1" applyAlignment="1">
      <alignment horizontal="center" vertical="center"/>
    </xf>
    <xf numFmtId="0" fontId="29" fillId="25" borderId="0" xfId="0" applyFont="1" applyFill="1"/>
    <xf numFmtId="0" fontId="34" fillId="27" borderId="22" xfId="0" applyFont="1" applyFill="1" applyBorder="1" applyAlignment="1">
      <alignment horizontal="center" vertical="center"/>
    </xf>
    <xf numFmtId="43" fontId="29" fillId="0" borderId="0" xfId="0" applyNumberFormat="1" applyFont="1"/>
    <xf numFmtId="0" fontId="34" fillId="25" borderId="18" xfId="0" applyFont="1" applyFill="1" applyBorder="1" applyAlignment="1">
      <alignment vertical="center"/>
    </xf>
    <xf numFmtId="0" fontId="34" fillId="0" borderId="31" xfId="0" applyFont="1" applyBorder="1" applyAlignment="1">
      <alignment horizontal="center" vertical="center" wrapText="1"/>
    </xf>
    <xf numFmtId="0" fontId="34" fillId="0" borderId="18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4" fillId="27" borderId="27" xfId="0" applyFont="1" applyFill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4" fillId="25" borderId="11" xfId="0" applyFont="1" applyFill="1" applyBorder="1" applyAlignment="1">
      <alignment horizontal="center" vertical="center" wrapText="1"/>
    </xf>
    <xf numFmtId="0" fontId="34" fillId="25" borderId="33" xfId="0" applyFont="1" applyFill="1" applyBorder="1" applyAlignment="1">
      <alignment horizontal="center" vertical="center"/>
    </xf>
    <xf numFmtId="0" fontId="34" fillId="0" borderId="35" xfId="0" applyFont="1" applyFill="1" applyBorder="1" applyAlignment="1">
      <alignment vertical="center" wrapText="1"/>
    </xf>
    <xf numFmtId="0" fontId="34" fillId="25" borderId="18" xfId="0" applyFont="1" applyFill="1" applyBorder="1" applyAlignment="1">
      <alignment vertical="center" wrapText="1"/>
    </xf>
    <xf numFmtId="0" fontId="34" fillId="25" borderId="31" xfId="0" applyFont="1" applyFill="1" applyBorder="1" applyAlignment="1">
      <alignment horizontal="center" vertical="center" wrapText="1"/>
    </xf>
    <xf numFmtId="9" fontId="34" fillId="25" borderId="31" xfId="0" applyNumberFormat="1" applyFont="1" applyFill="1" applyBorder="1" applyAlignment="1">
      <alignment horizontal="center" vertical="center"/>
    </xf>
    <xf numFmtId="0" fontId="34" fillId="0" borderId="31" xfId="0" applyNumberFormat="1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 vertical="center"/>
    </xf>
    <xf numFmtId="0" fontId="29" fillId="0" borderId="31" xfId="0" applyFont="1" applyBorder="1"/>
    <xf numFmtId="165" fontId="34" fillId="25" borderId="31" xfId="91" applyNumberFormat="1" applyFont="1" applyFill="1" applyBorder="1" applyAlignment="1">
      <alignment horizontal="center" vertical="center"/>
    </xf>
    <xf numFmtId="164" fontId="34" fillId="0" borderId="31" xfId="0" applyNumberFormat="1" applyFont="1" applyBorder="1" applyAlignment="1">
      <alignment vertical="center"/>
    </xf>
    <xf numFmtId="164" fontId="34" fillId="0" borderId="31" xfId="0" applyNumberFormat="1" applyFont="1" applyBorder="1" applyAlignment="1">
      <alignment horizontal="center" vertical="center"/>
    </xf>
    <xf numFmtId="1" fontId="34" fillId="0" borderId="41" xfId="0" applyNumberFormat="1" applyFont="1" applyBorder="1" applyAlignment="1">
      <alignment horizontal="center" vertical="center" wrapText="1"/>
    </xf>
    <xf numFmtId="164" fontId="34" fillId="0" borderId="48" xfId="0" applyNumberFormat="1" applyFont="1" applyBorder="1" applyAlignment="1">
      <alignment vertical="center"/>
    </xf>
    <xf numFmtId="164" fontId="34" fillId="0" borderId="41" xfId="0" applyNumberFormat="1" applyFont="1" applyBorder="1" applyAlignment="1">
      <alignment vertical="center"/>
    </xf>
    <xf numFmtId="0" fontId="34" fillId="25" borderId="18" xfId="0" applyFont="1" applyFill="1" applyBorder="1" applyAlignment="1">
      <alignment horizontal="left" vertical="center"/>
    </xf>
    <xf numFmtId="0" fontId="2" fillId="25" borderId="33" xfId="0" applyFont="1" applyFill="1" applyBorder="1" applyAlignment="1">
      <alignment horizontal="center" vertical="center"/>
    </xf>
    <xf numFmtId="0" fontId="34" fillId="25" borderId="18" xfId="0" applyFont="1" applyFill="1" applyBorder="1" applyAlignment="1">
      <alignment horizontal="center" vertical="center" wrapText="1"/>
    </xf>
    <xf numFmtId="165" fontId="34" fillId="25" borderId="18" xfId="91" applyNumberFormat="1" applyFont="1" applyFill="1" applyBorder="1" applyAlignment="1">
      <alignment horizontal="center" vertical="center"/>
    </xf>
    <xf numFmtId="164" fontId="34" fillId="0" borderId="40" xfId="0" applyNumberFormat="1" applyFont="1" applyBorder="1" applyAlignment="1">
      <alignment vertical="center"/>
    </xf>
    <xf numFmtId="164" fontId="34" fillId="0" borderId="39" xfId="0" applyNumberFormat="1" applyFont="1" applyBorder="1" applyAlignment="1">
      <alignment vertical="center"/>
    </xf>
    <xf numFmtId="0" fontId="34" fillId="0" borderId="11" xfId="0" applyFont="1" applyBorder="1" applyAlignment="1">
      <alignment horizontal="left" vertical="center"/>
    </xf>
    <xf numFmtId="0" fontId="2" fillId="25" borderId="11" xfId="0" applyFont="1" applyFill="1" applyBorder="1" applyAlignment="1">
      <alignment horizontal="center" vertical="center"/>
    </xf>
    <xf numFmtId="0" fontId="2" fillId="25" borderId="31" xfId="0" applyFont="1" applyFill="1" applyBorder="1" applyAlignment="1">
      <alignment horizontal="center" vertical="center"/>
    </xf>
    <xf numFmtId="0" fontId="34" fillId="0" borderId="31" xfId="0" applyFont="1" applyBorder="1" applyAlignment="1">
      <alignment vertical="center" wrapText="1"/>
    </xf>
    <xf numFmtId="9" fontId="32" fillId="24" borderId="12" xfId="92" applyFont="1" applyFill="1" applyBorder="1" applyAlignment="1">
      <alignment horizontal="center" vertical="top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35" fillId="0" borderId="22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30" fillId="0" borderId="0" xfId="0" applyNumberFormat="1" applyFont="1" applyAlignment="1">
      <alignment horizontal="center"/>
    </xf>
    <xf numFmtId="164" fontId="36" fillId="26" borderId="13" xfId="91" applyNumberFormat="1" applyFont="1" applyFill="1" applyBorder="1" applyAlignment="1">
      <alignment horizontal="center" vertical="center"/>
    </xf>
    <xf numFmtId="9" fontId="34" fillId="25" borderId="39" xfId="0" applyNumberFormat="1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horizontal="center" vertical="center"/>
    </xf>
    <xf numFmtId="9" fontId="34" fillId="25" borderId="14" xfId="0" applyNumberFormat="1" applyFont="1" applyFill="1" applyBorder="1" applyAlignment="1">
      <alignment horizontal="center" vertical="center"/>
    </xf>
    <xf numFmtId="0" fontId="34" fillId="27" borderId="15" xfId="0" applyFont="1" applyFill="1" applyBorder="1" applyAlignment="1">
      <alignment horizontal="center" vertical="center"/>
    </xf>
    <xf numFmtId="0" fontId="34" fillId="0" borderId="51" xfId="0" applyFont="1" applyBorder="1" applyAlignment="1">
      <alignment vertical="center"/>
    </xf>
    <xf numFmtId="0" fontId="34" fillId="0" borderId="52" xfId="0" applyFont="1" applyBorder="1" applyAlignment="1">
      <alignment horizontal="center" vertical="center" wrapText="1"/>
    </xf>
    <xf numFmtId="9" fontId="34" fillId="25" borderId="52" xfId="0" applyNumberFormat="1" applyFont="1" applyFill="1" applyBorder="1" applyAlignment="1">
      <alignment horizontal="center" vertical="center"/>
    </xf>
    <xf numFmtId="0" fontId="34" fillId="0" borderId="52" xfId="0" applyNumberFormat="1" applyFont="1" applyFill="1" applyBorder="1" applyAlignment="1">
      <alignment horizontal="center" vertical="center"/>
    </xf>
    <xf numFmtId="0" fontId="29" fillId="0" borderId="53" xfId="0" applyFont="1" applyFill="1" applyBorder="1" applyAlignment="1">
      <alignment horizontal="center" vertical="center"/>
    </xf>
    <xf numFmtId="0" fontId="27" fillId="24" borderId="10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44" fontId="34" fillId="0" borderId="11" xfId="91" applyFont="1" applyFill="1" applyBorder="1" applyAlignment="1">
      <alignment horizontal="right" vertical="center" wrapText="1"/>
    </xf>
    <xf numFmtId="1" fontId="34" fillId="0" borderId="18" xfId="0" applyNumberFormat="1" applyFont="1" applyBorder="1" applyAlignment="1">
      <alignment horizontal="center" vertical="center" wrapText="1"/>
    </xf>
    <xf numFmtId="1" fontId="34" fillId="0" borderId="11" xfId="0" applyNumberFormat="1" applyFont="1" applyBorder="1" applyAlignment="1">
      <alignment horizontal="center" vertical="center" wrapText="1"/>
    </xf>
    <xf numFmtId="165" fontId="34" fillId="0" borderId="11" xfId="91" applyNumberFormat="1" applyFont="1" applyFill="1" applyBorder="1" applyAlignment="1">
      <alignment horizontal="right" vertical="center" wrapText="1"/>
    </xf>
    <xf numFmtId="164" fontId="34" fillId="0" borderId="11" xfId="91" applyNumberFormat="1" applyFont="1" applyFill="1" applyBorder="1" applyAlignment="1">
      <alignment horizontal="right" vertical="center" wrapText="1"/>
    </xf>
    <xf numFmtId="164" fontId="34" fillId="28" borderId="11" xfId="0" applyNumberFormat="1" applyFont="1" applyFill="1" applyBorder="1" applyAlignment="1">
      <alignment horizontal="center" vertical="center"/>
    </xf>
    <xf numFmtId="166" fontId="34" fillId="0" borderId="11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29" fillId="29" borderId="0" xfId="0" applyFont="1" applyFill="1"/>
    <xf numFmtId="0" fontId="29" fillId="24" borderId="0" xfId="0" applyFont="1" applyFill="1"/>
    <xf numFmtId="0" fontId="37" fillId="24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3" fillId="24" borderId="10" xfId="0" applyFont="1" applyFill="1" applyBorder="1" applyAlignment="1">
      <alignment horizontal="left" vertical="center"/>
    </xf>
    <xf numFmtId="0" fontId="33" fillId="24" borderId="21" xfId="0" applyFont="1" applyFill="1" applyBorder="1" applyAlignment="1">
      <alignment horizontal="left" vertical="center"/>
    </xf>
    <xf numFmtId="0" fontId="34" fillId="0" borderId="50" xfId="0" applyFont="1" applyFill="1" applyBorder="1" applyAlignment="1">
      <alignment horizontal="left" vertical="center" wrapText="1"/>
    </xf>
    <xf numFmtId="0" fontId="34" fillId="0" borderId="42" xfId="0" applyFont="1" applyFill="1" applyBorder="1" applyAlignment="1">
      <alignment horizontal="left" vertical="center" wrapText="1"/>
    </xf>
    <xf numFmtId="0" fontId="34" fillId="25" borderId="19" xfId="0" applyFont="1" applyFill="1" applyBorder="1" applyAlignment="1">
      <alignment horizontal="left" vertical="center"/>
    </xf>
    <xf numFmtId="0" fontId="34" fillId="25" borderId="43" xfId="0" applyFont="1" applyFill="1" applyBorder="1" applyAlignment="1">
      <alignment horizontal="left" vertical="center"/>
    </xf>
    <xf numFmtId="0" fontId="27" fillId="24" borderId="19" xfId="0" applyFont="1" applyFill="1" applyBorder="1" applyAlignment="1">
      <alignment horizontal="left"/>
    </xf>
    <xf numFmtId="0" fontId="27" fillId="24" borderId="20" xfId="0" applyFont="1" applyFill="1" applyBorder="1" applyAlignment="1">
      <alignment horizontal="left"/>
    </xf>
    <xf numFmtId="0" fontId="27" fillId="24" borderId="21" xfId="0" applyFont="1" applyFill="1" applyBorder="1" applyAlignment="1">
      <alignment horizontal="left"/>
    </xf>
    <xf numFmtId="0" fontId="32" fillId="24" borderId="10" xfId="89" applyFont="1" applyFill="1" applyBorder="1" applyAlignment="1">
      <alignment horizontal="right" vertical="top"/>
    </xf>
    <xf numFmtId="0" fontId="32" fillId="24" borderId="20" xfId="89" applyFont="1" applyFill="1" applyBorder="1" applyAlignment="1">
      <alignment horizontal="right" vertical="top"/>
    </xf>
    <xf numFmtId="0" fontId="32" fillId="24" borderId="21" xfId="89" applyFont="1" applyFill="1" applyBorder="1" applyAlignment="1">
      <alignment horizontal="right" vertical="top"/>
    </xf>
    <xf numFmtId="164" fontId="32" fillId="24" borderId="10" xfId="91" applyNumberFormat="1" applyFont="1" applyFill="1" applyBorder="1" applyAlignment="1">
      <alignment horizontal="center" vertical="top"/>
    </xf>
    <xf numFmtId="164" fontId="32" fillId="24" borderId="21" xfId="91" applyNumberFormat="1" applyFont="1" applyFill="1" applyBorder="1" applyAlignment="1">
      <alignment horizontal="center" vertical="top"/>
    </xf>
    <xf numFmtId="0" fontId="35" fillId="0" borderId="10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0" fontId="35" fillId="0" borderId="21" xfId="0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0" fontId="35" fillId="0" borderId="23" xfId="0" applyFont="1" applyBorder="1" applyAlignment="1">
      <alignment horizontal="left" vertical="center"/>
    </xf>
    <xf numFmtId="0" fontId="35" fillId="0" borderId="24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35" fillId="0" borderId="11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0" fillId="0" borderId="0" xfId="89" applyFont="1" applyAlignment="1">
      <alignment horizontal="left" vertical="center"/>
    </xf>
    <xf numFmtId="0" fontId="33" fillId="24" borderId="28" xfId="0" applyFont="1" applyFill="1" applyBorder="1" applyAlignment="1">
      <alignment horizontal="center" vertical="center"/>
    </xf>
    <xf numFmtId="0" fontId="33" fillId="24" borderId="29" xfId="0" applyFont="1" applyFill="1" applyBorder="1" applyAlignment="1">
      <alignment horizontal="center" vertical="center"/>
    </xf>
    <xf numFmtId="0" fontId="27" fillId="24" borderId="10" xfId="0" applyFont="1" applyFill="1" applyBorder="1" applyAlignment="1">
      <alignment horizontal="left"/>
    </xf>
    <xf numFmtId="0" fontId="36" fillId="24" borderId="19" xfId="0" applyFont="1" applyFill="1" applyBorder="1" applyAlignment="1">
      <alignment horizontal="center"/>
    </xf>
    <xf numFmtId="0" fontId="36" fillId="24" borderId="30" xfId="0" applyFont="1" applyFill="1" applyBorder="1" applyAlignment="1">
      <alignment horizontal="center"/>
    </xf>
    <xf numFmtId="0" fontId="33" fillId="24" borderId="44" xfId="0" applyFont="1" applyFill="1" applyBorder="1" applyAlignment="1">
      <alignment horizontal="left" vertical="center"/>
    </xf>
    <xf numFmtId="0" fontId="33" fillId="24" borderId="45" xfId="0" applyFont="1" applyFill="1" applyBorder="1" applyAlignment="1">
      <alignment horizontal="left" vertical="center"/>
    </xf>
    <xf numFmtId="0" fontId="34" fillId="0" borderId="33" xfId="0" applyFont="1" applyFill="1" applyBorder="1" applyAlignment="1">
      <alignment horizontal="left" vertical="center"/>
    </xf>
    <xf numFmtId="0" fontId="34" fillId="0" borderId="18" xfId="0" applyFont="1" applyFill="1" applyBorder="1" applyAlignment="1">
      <alignment horizontal="left" vertical="center"/>
    </xf>
    <xf numFmtId="0" fontId="33" fillId="24" borderId="28" xfId="0" applyFont="1" applyFill="1" applyBorder="1" applyAlignment="1">
      <alignment horizontal="left" vertical="center"/>
    </xf>
    <xf numFmtId="0" fontId="33" fillId="24" borderId="29" xfId="0" applyFont="1" applyFill="1" applyBorder="1" applyAlignment="1">
      <alignment horizontal="left" vertical="center"/>
    </xf>
  </cellXfs>
  <cellStyles count="93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omma 2" xfId="55"/>
    <cellStyle name="Comma 2 2" xfId="90"/>
    <cellStyle name="Currency" xfId="91" builtinId="4"/>
    <cellStyle name="Explanatory Text 2" xfId="56"/>
    <cellStyle name="Explanatory Text 3" xfId="57"/>
    <cellStyle name="Good 2" xfId="58"/>
    <cellStyle name="Good 3" xfId="59"/>
    <cellStyle name="Heading 1 2" xfId="60"/>
    <cellStyle name="Heading 1 3" xfId="61"/>
    <cellStyle name="Heading 2 2" xfId="62"/>
    <cellStyle name="Heading 2 3" xfId="63"/>
    <cellStyle name="Heading 3 2" xfId="64"/>
    <cellStyle name="Heading 3 3" xfId="65"/>
    <cellStyle name="Heading 4 2" xfId="66"/>
    <cellStyle name="Heading 4 3" xfId="67"/>
    <cellStyle name="Input 2" xfId="68"/>
    <cellStyle name="Input 3" xfId="69"/>
    <cellStyle name="Linked Cell 2" xfId="70"/>
    <cellStyle name="Linked Cell 3" xfId="71"/>
    <cellStyle name="Neutral 2" xfId="72"/>
    <cellStyle name="Neutral 3" xfId="73"/>
    <cellStyle name="Normal" xfId="0" builtinId="0"/>
    <cellStyle name="Normal 2" xfId="89"/>
    <cellStyle name="Normal 2 2" xfId="74"/>
    <cellStyle name="Normal 2 3" xfId="75"/>
    <cellStyle name="Normal 3" xfId="76"/>
    <cellStyle name="Normal 4" xfId="88"/>
    <cellStyle name="Normal 6" xfId="77"/>
    <cellStyle name="Note 2" xfId="78"/>
    <cellStyle name="Note 3" xfId="79"/>
    <cellStyle name="Output 2" xfId="80"/>
    <cellStyle name="Output 3" xfId="81"/>
    <cellStyle name="Percent" xfId="92" builtinId="5"/>
    <cellStyle name="Title 2" xfId="82"/>
    <cellStyle name="Title 3" xfId="83"/>
    <cellStyle name="Total 2" xfId="84"/>
    <cellStyle name="Total 3" xfId="85"/>
    <cellStyle name="Warning Text 2" xfId="86"/>
    <cellStyle name="Warning Text 3" xfId="87"/>
  </cellStyles>
  <dxfs count="0"/>
  <tableStyles count="0" defaultTableStyle="TableStyleMedium9" defaultPivotStyle="PivotStyleLight16"/>
  <colors>
    <mruColors>
      <color rgb="FFFFFFFF"/>
      <color rgb="FF6DD9FF"/>
      <color rgb="FF2DC8FF"/>
      <color rgb="FF48B8E0"/>
      <color rgb="FFD4F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9F-5044-8E84-AA3962F77297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373288"/>
        <c:axId val="336376032"/>
      </c:barChart>
      <c:catAx>
        <c:axId val="33637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336376032"/>
        <c:crosses val="autoZero"/>
        <c:auto val="1"/>
        <c:lblAlgn val="ctr"/>
        <c:lblOffset val="100"/>
        <c:noMultiLvlLbl val="0"/>
      </c:catAx>
      <c:valAx>
        <c:axId val="336376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336373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69140625" defaultRowHeight="15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0"/>
  <sheetViews>
    <sheetView tabSelected="1" zoomScale="80" zoomScaleNormal="80" zoomScaleSheetLayoutView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"/>
    </sheetView>
  </sheetViews>
  <sheetFormatPr defaultColWidth="8.69140625" defaultRowHeight="15.5" x14ac:dyDescent="0.35"/>
  <cols>
    <col min="1" max="1" width="4.4609375" style="1" customWidth="1"/>
    <col min="2" max="2" width="53" style="1" customWidth="1"/>
    <col min="3" max="3" width="8.3046875" style="2" bestFit="1" customWidth="1"/>
    <col min="4" max="4" width="8.3046875" style="1" bestFit="1" customWidth="1"/>
    <col min="5" max="5" width="7.84375" style="2" bestFit="1" customWidth="1"/>
    <col min="6" max="6" width="5" style="1" bestFit="1" customWidth="1"/>
    <col min="7" max="7" width="6.07421875" style="1" bestFit="1" customWidth="1"/>
    <col min="8" max="8" width="8" style="1" bestFit="1" customWidth="1"/>
    <col min="9" max="11" width="9.4609375" style="1" bestFit="1" customWidth="1"/>
    <col min="12" max="12" width="11.69140625" style="1" customWidth="1"/>
    <col min="13" max="13" width="17.3046875" style="1" hidden="1" customWidth="1"/>
    <col min="14" max="14" width="10.69140625" style="1" hidden="1" customWidth="1"/>
    <col min="15" max="15" width="9.53515625" style="1" bestFit="1" customWidth="1"/>
    <col min="16" max="16384" width="8.69140625" style="1"/>
  </cols>
  <sheetData>
    <row r="1" spans="1:15" ht="15.65" customHeight="1" x14ac:dyDescent="0.35">
      <c r="A1" s="114"/>
      <c r="B1" s="113"/>
      <c r="C1" s="3" t="s">
        <v>3</v>
      </c>
      <c r="D1" s="3" t="s">
        <v>135</v>
      </c>
    </row>
    <row r="2" spans="1:15" ht="15.65" customHeight="1" x14ac:dyDescent="0.35">
      <c r="A2" s="4" t="s">
        <v>22</v>
      </c>
      <c r="C2" s="146" t="s">
        <v>4</v>
      </c>
      <c r="D2" s="5" t="s">
        <v>136</v>
      </c>
      <c r="F2" s="6"/>
      <c r="I2" s="7"/>
      <c r="J2" s="8"/>
      <c r="K2" s="8"/>
      <c r="L2" s="8"/>
    </row>
    <row r="3" spans="1:15" ht="15.65" customHeight="1" thickBot="1" x14ac:dyDescent="0.4">
      <c r="A3" s="4" t="s">
        <v>23</v>
      </c>
      <c r="C3" s="146"/>
      <c r="D3" s="111" t="s">
        <v>137</v>
      </c>
      <c r="F3" s="6"/>
      <c r="G3" s="1" t="s">
        <v>29</v>
      </c>
      <c r="I3" s="7"/>
      <c r="J3" s="8"/>
      <c r="K3" s="8"/>
      <c r="L3" s="8"/>
      <c r="M3" s="9"/>
    </row>
    <row r="4" spans="1:15" ht="15.65" customHeight="1" thickBot="1" x14ac:dyDescent="0.4">
      <c r="A4" s="10"/>
      <c r="C4" s="5" t="s">
        <v>8</v>
      </c>
      <c r="D4" s="91">
        <v>0</v>
      </c>
      <c r="J4" s="150" t="s">
        <v>13</v>
      </c>
      <c r="K4" s="151"/>
      <c r="L4" s="92">
        <v>115</v>
      </c>
    </row>
    <row r="5" spans="1:15" ht="41.15" customHeight="1" thickBot="1" x14ac:dyDescent="0.4">
      <c r="A5" s="11" t="s">
        <v>14</v>
      </c>
      <c r="B5" s="12" t="s">
        <v>0</v>
      </c>
      <c r="C5" s="12" t="s">
        <v>1</v>
      </c>
      <c r="D5" s="11" t="s">
        <v>15</v>
      </c>
      <c r="E5" s="11" t="s">
        <v>2</v>
      </c>
      <c r="F5" s="11" t="s">
        <v>16</v>
      </c>
      <c r="G5" s="11" t="s">
        <v>17</v>
      </c>
      <c r="H5" s="13" t="s">
        <v>18</v>
      </c>
      <c r="I5" s="13" t="s">
        <v>19</v>
      </c>
      <c r="J5" s="13" t="s">
        <v>20</v>
      </c>
      <c r="K5" s="13" t="s">
        <v>7</v>
      </c>
      <c r="L5" s="11" t="s">
        <v>21</v>
      </c>
      <c r="M5" s="14"/>
    </row>
    <row r="6" spans="1:15" s="19" customFormat="1" ht="16" thickBot="1" x14ac:dyDescent="0.4">
      <c r="A6" s="147" t="s">
        <v>113</v>
      </c>
      <c r="B6" s="148"/>
      <c r="C6" s="15"/>
      <c r="D6" s="16"/>
      <c r="E6" s="16"/>
      <c r="F6" s="16"/>
      <c r="G6" s="16"/>
      <c r="H6" s="16"/>
      <c r="I6" s="16"/>
      <c r="J6" s="16"/>
      <c r="K6" s="16"/>
      <c r="L6" s="17"/>
      <c r="M6" s="18"/>
    </row>
    <row r="7" spans="1:15" s="30" customFormat="1" ht="15.75" customHeight="1" thickBot="1" x14ac:dyDescent="0.4">
      <c r="A7" s="116" t="s">
        <v>73</v>
      </c>
      <c r="B7" s="117"/>
      <c r="C7" s="31"/>
      <c r="D7" s="32"/>
      <c r="E7" s="41"/>
      <c r="F7" s="34"/>
      <c r="G7" s="33"/>
      <c r="H7" s="34"/>
      <c r="I7" s="35"/>
      <c r="J7" s="36"/>
      <c r="K7" s="37"/>
      <c r="L7" s="38"/>
      <c r="M7" s="27"/>
      <c r="N7" s="28"/>
      <c r="O7" s="29"/>
    </row>
    <row r="8" spans="1:15" s="30" customFormat="1" ht="15.75" customHeight="1" x14ac:dyDescent="0.35">
      <c r="A8" s="39">
        <v>1</v>
      </c>
      <c r="B8" s="40" t="s">
        <v>82</v>
      </c>
      <c r="C8" s="31">
        <v>18</v>
      </c>
      <c r="D8" s="32">
        <v>0.1</v>
      </c>
      <c r="E8" s="41">
        <f t="shared" ref="E8:E9" si="0">C8*(1+D8)</f>
        <v>19.8</v>
      </c>
      <c r="F8" s="34" t="s">
        <v>6</v>
      </c>
      <c r="G8" s="104">
        <v>3.46</v>
      </c>
      <c r="H8" s="36">
        <f t="shared" ref="H8:H9" si="1">G8*E8</f>
        <v>68.507999999999996</v>
      </c>
      <c r="I8" s="37">
        <f t="shared" ref="I8:I9" si="2">L$4</f>
        <v>115</v>
      </c>
      <c r="J8" s="106">
        <v>2.2572000000000001</v>
      </c>
      <c r="K8" s="36">
        <f t="shared" ref="K8:K9" si="3">J8*I8</f>
        <v>259.57800000000003</v>
      </c>
      <c r="L8" s="28">
        <f t="shared" ref="L8:L9" si="4">K8+H8</f>
        <v>328.08600000000001</v>
      </c>
      <c r="M8" s="27"/>
      <c r="N8" s="28"/>
      <c r="O8" s="29"/>
    </row>
    <row r="9" spans="1:15" s="30" customFormat="1" ht="15.75" customHeight="1" x14ac:dyDescent="0.35">
      <c r="A9" s="39">
        <v>2</v>
      </c>
      <c r="B9" s="40" t="s">
        <v>112</v>
      </c>
      <c r="C9" s="31">
        <v>9</v>
      </c>
      <c r="D9" s="32">
        <v>0.1</v>
      </c>
      <c r="E9" s="41">
        <f t="shared" si="0"/>
        <v>9.9</v>
      </c>
      <c r="F9" s="34" t="s">
        <v>6</v>
      </c>
      <c r="G9" s="104">
        <v>3.01</v>
      </c>
      <c r="H9" s="36">
        <f t="shared" si="1"/>
        <v>29.798999999999999</v>
      </c>
      <c r="I9" s="37">
        <f t="shared" si="2"/>
        <v>115</v>
      </c>
      <c r="J9" s="106">
        <v>0.88109999999999999</v>
      </c>
      <c r="K9" s="36">
        <f t="shared" si="3"/>
        <v>101.3265</v>
      </c>
      <c r="L9" s="28">
        <f t="shared" si="4"/>
        <v>131.12549999999999</v>
      </c>
      <c r="M9" s="27"/>
      <c r="N9" s="28"/>
      <c r="O9" s="29"/>
    </row>
    <row r="10" spans="1:15" ht="15.75" customHeight="1" thickBot="1" x14ac:dyDescent="0.4">
      <c r="A10" s="51"/>
      <c r="B10" s="40"/>
      <c r="C10" s="44"/>
      <c r="D10" s="32"/>
      <c r="E10" s="33"/>
      <c r="F10" s="34"/>
      <c r="G10" s="45"/>
      <c r="H10" s="45"/>
      <c r="I10" s="47"/>
      <c r="J10" s="36"/>
      <c r="K10" s="37"/>
      <c r="L10" s="38"/>
      <c r="M10" s="27"/>
      <c r="N10" s="28"/>
      <c r="O10" s="52"/>
    </row>
    <row r="11" spans="1:15" ht="15.75" customHeight="1" thickBot="1" x14ac:dyDescent="0.4">
      <c r="A11" s="116" t="s">
        <v>57</v>
      </c>
      <c r="B11" s="117"/>
      <c r="C11" s="54"/>
      <c r="D11" s="32"/>
      <c r="E11" s="33"/>
      <c r="F11" s="34"/>
      <c r="G11" s="45"/>
      <c r="H11" s="45"/>
      <c r="I11" s="47"/>
      <c r="J11" s="36"/>
      <c r="K11" s="37"/>
      <c r="L11" s="38"/>
      <c r="M11" s="27"/>
      <c r="N11" s="28"/>
      <c r="O11" s="52"/>
    </row>
    <row r="12" spans="1:15" x14ac:dyDescent="0.35">
      <c r="A12" s="51">
        <v>1</v>
      </c>
      <c r="B12" s="55" t="s">
        <v>99</v>
      </c>
      <c r="C12" s="44">
        <v>1</v>
      </c>
      <c r="D12" s="32">
        <v>0</v>
      </c>
      <c r="E12" s="33">
        <f>C12*(1+D12)</f>
        <v>1</v>
      </c>
      <c r="F12" s="34" t="s">
        <v>5</v>
      </c>
      <c r="G12" s="109">
        <v>68</v>
      </c>
      <c r="H12" s="36">
        <f t="shared" ref="H12:H14" si="5">G12*E12</f>
        <v>68</v>
      </c>
      <c r="I12" s="37">
        <f t="shared" ref="I12:I14" si="6">L$4</f>
        <v>115</v>
      </c>
      <c r="J12" s="106">
        <v>0.5</v>
      </c>
      <c r="K12" s="36">
        <f t="shared" ref="K12:K14" si="7">J12*I12</f>
        <v>57.5</v>
      </c>
      <c r="L12" s="28">
        <f t="shared" ref="L12:L14" si="8">K12+H12</f>
        <v>125.5</v>
      </c>
      <c r="M12" s="27"/>
      <c r="N12" s="28"/>
      <c r="O12" s="52"/>
    </row>
    <row r="13" spans="1:15" x14ac:dyDescent="0.35">
      <c r="A13" s="51">
        <v>2</v>
      </c>
      <c r="B13" s="56" t="s">
        <v>100</v>
      </c>
      <c r="C13" s="44">
        <v>2</v>
      </c>
      <c r="D13" s="32">
        <v>0</v>
      </c>
      <c r="E13" s="33">
        <f t="shared" ref="E13:E21" si="9">C13*(1+D13)</f>
        <v>2</v>
      </c>
      <c r="F13" s="34" t="s">
        <v>5</v>
      </c>
      <c r="G13" s="109">
        <v>68</v>
      </c>
      <c r="H13" s="36">
        <f t="shared" si="5"/>
        <v>136</v>
      </c>
      <c r="I13" s="37">
        <f t="shared" si="6"/>
        <v>115</v>
      </c>
      <c r="J13" s="106">
        <v>1</v>
      </c>
      <c r="K13" s="36">
        <f t="shared" si="7"/>
        <v>115</v>
      </c>
      <c r="L13" s="28">
        <f t="shared" si="8"/>
        <v>251</v>
      </c>
      <c r="M13" s="27"/>
      <c r="N13" s="28"/>
      <c r="O13" s="52"/>
    </row>
    <row r="14" spans="1:15" x14ac:dyDescent="0.35">
      <c r="A14" s="51">
        <v>3</v>
      </c>
      <c r="B14" s="56" t="s">
        <v>101</v>
      </c>
      <c r="C14" s="44">
        <v>2</v>
      </c>
      <c r="D14" s="32">
        <v>0</v>
      </c>
      <c r="E14" s="33">
        <f t="shared" si="9"/>
        <v>2</v>
      </c>
      <c r="F14" s="34" t="s">
        <v>5</v>
      </c>
      <c r="G14" s="109">
        <v>54</v>
      </c>
      <c r="H14" s="36">
        <f t="shared" si="5"/>
        <v>108</v>
      </c>
      <c r="I14" s="37">
        <f t="shared" si="6"/>
        <v>115</v>
      </c>
      <c r="J14" s="106">
        <v>1</v>
      </c>
      <c r="K14" s="36">
        <f t="shared" si="7"/>
        <v>115</v>
      </c>
      <c r="L14" s="28">
        <f t="shared" si="8"/>
        <v>223</v>
      </c>
      <c r="M14" s="27"/>
      <c r="N14" s="28"/>
      <c r="O14" s="52"/>
    </row>
    <row r="15" spans="1:15" x14ac:dyDescent="0.35">
      <c r="A15" s="51">
        <v>4</v>
      </c>
      <c r="B15" s="56" t="s">
        <v>102</v>
      </c>
      <c r="C15" s="44">
        <v>2</v>
      </c>
      <c r="D15" s="32">
        <v>0</v>
      </c>
      <c r="E15" s="33">
        <f t="shared" si="9"/>
        <v>2</v>
      </c>
      <c r="F15" s="34" t="s">
        <v>5</v>
      </c>
      <c r="G15" s="109">
        <v>54</v>
      </c>
      <c r="H15" s="36">
        <f t="shared" ref="H15:H17" si="10">G15*E15</f>
        <v>108</v>
      </c>
      <c r="I15" s="37">
        <f t="shared" ref="I15:I17" si="11">L$4</f>
        <v>115</v>
      </c>
      <c r="J15" s="106">
        <v>1</v>
      </c>
      <c r="K15" s="36">
        <f t="shared" ref="K15:K17" si="12">J15*I15</f>
        <v>115</v>
      </c>
      <c r="L15" s="28">
        <f t="shared" ref="L15:L17" si="13">K15+H15</f>
        <v>223</v>
      </c>
      <c r="M15" s="27"/>
      <c r="N15" s="28"/>
      <c r="O15" s="52"/>
    </row>
    <row r="16" spans="1:15" x14ac:dyDescent="0.35">
      <c r="A16" s="51">
        <v>5</v>
      </c>
      <c r="B16" s="56" t="s">
        <v>103</v>
      </c>
      <c r="C16" s="44">
        <v>1</v>
      </c>
      <c r="D16" s="32">
        <v>0</v>
      </c>
      <c r="E16" s="33">
        <f t="shared" si="9"/>
        <v>1</v>
      </c>
      <c r="F16" s="34" t="s">
        <v>5</v>
      </c>
      <c r="G16" s="109">
        <v>54</v>
      </c>
      <c r="H16" s="36">
        <f t="shared" si="10"/>
        <v>54</v>
      </c>
      <c r="I16" s="37">
        <f t="shared" si="11"/>
        <v>115</v>
      </c>
      <c r="J16" s="106">
        <v>0.5</v>
      </c>
      <c r="K16" s="36">
        <f t="shared" si="12"/>
        <v>57.5</v>
      </c>
      <c r="L16" s="28">
        <f t="shared" si="13"/>
        <v>111.5</v>
      </c>
      <c r="M16" s="27"/>
      <c r="N16" s="28"/>
      <c r="O16" s="52"/>
    </row>
    <row r="17" spans="1:15" x14ac:dyDescent="0.35">
      <c r="A17" s="51">
        <v>6</v>
      </c>
      <c r="B17" s="56" t="s">
        <v>104</v>
      </c>
      <c r="C17" s="44">
        <v>1</v>
      </c>
      <c r="D17" s="32">
        <v>0</v>
      </c>
      <c r="E17" s="33">
        <f t="shared" si="9"/>
        <v>1</v>
      </c>
      <c r="F17" s="34" t="s">
        <v>5</v>
      </c>
      <c r="G17" s="109">
        <v>68</v>
      </c>
      <c r="H17" s="36">
        <f t="shared" si="10"/>
        <v>68</v>
      </c>
      <c r="I17" s="37">
        <f t="shared" si="11"/>
        <v>115</v>
      </c>
      <c r="J17" s="106">
        <v>0.5</v>
      </c>
      <c r="K17" s="36">
        <f t="shared" si="12"/>
        <v>57.5</v>
      </c>
      <c r="L17" s="28">
        <f t="shared" si="13"/>
        <v>125.5</v>
      </c>
      <c r="M17" s="27"/>
      <c r="N17" s="28"/>
      <c r="O17" s="52"/>
    </row>
    <row r="18" spans="1:15" x14ac:dyDescent="0.35">
      <c r="A18" s="51">
        <v>7</v>
      </c>
      <c r="B18" s="56" t="s">
        <v>105</v>
      </c>
      <c r="C18" s="44">
        <v>1</v>
      </c>
      <c r="D18" s="32">
        <v>0</v>
      </c>
      <c r="E18" s="33">
        <f t="shared" si="9"/>
        <v>1</v>
      </c>
      <c r="F18" s="34" t="s">
        <v>5</v>
      </c>
      <c r="G18" s="109">
        <v>31</v>
      </c>
      <c r="H18" s="36">
        <f t="shared" ref="H18" si="14">G18*E18</f>
        <v>31</v>
      </c>
      <c r="I18" s="37">
        <f t="shared" ref="I18" si="15">L$4</f>
        <v>115</v>
      </c>
      <c r="J18" s="110">
        <v>0.4</v>
      </c>
      <c r="K18" s="36">
        <f t="shared" ref="K18" si="16">J18*I18</f>
        <v>46</v>
      </c>
      <c r="L18" s="28">
        <f t="shared" ref="L18" si="17">K18+H18</f>
        <v>77</v>
      </c>
      <c r="M18" s="27"/>
      <c r="N18" s="28"/>
      <c r="O18" s="52"/>
    </row>
    <row r="19" spans="1:15" ht="15.75" customHeight="1" x14ac:dyDescent="0.35">
      <c r="A19" s="51">
        <v>8</v>
      </c>
      <c r="B19" s="56" t="s">
        <v>106</v>
      </c>
      <c r="C19" s="44">
        <v>1</v>
      </c>
      <c r="D19" s="32">
        <v>0</v>
      </c>
      <c r="E19" s="33">
        <f t="shared" si="9"/>
        <v>1</v>
      </c>
      <c r="F19" s="34" t="s">
        <v>5</v>
      </c>
      <c r="G19" s="109">
        <v>44</v>
      </c>
      <c r="H19" s="36">
        <f t="shared" ref="H19:H21" si="18">G19*E19</f>
        <v>44</v>
      </c>
      <c r="I19" s="37">
        <f t="shared" ref="I19:I21" si="19">L$4</f>
        <v>115</v>
      </c>
      <c r="J19" s="106">
        <v>0.8</v>
      </c>
      <c r="K19" s="36">
        <f t="shared" ref="K19:K21" si="20">J19*I19</f>
        <v>92</v>
      </c>
      <c r="L19" s="28">
        <f t="shared" ref="L19:L21" si="21">K19+H19</f>
        <v>136</v>
      </c>
      <c r="M19" s="27"/>
      <c r="N19" s="28"/>
      <c r="O19" s="52"/>
    </row>
    <row r="20" spans="1:15" x14ac:dyDescent="0.35">
      <c r="A20" s="51">
        <v>9</v>
      </c>
      <c r="B20" s="56" t="s">
        <v>107</v>
      </c>
      <c r="C20" s="44">
        <v>2</v>
      </c>
      <c r="D20" s="32">
        <v>0</v>
      </c>
      <c r="E20" s="33">
        <f t="shared" si="9"/>
        <v>2</v>
      </c>
      <c r="F20" s="34" t="s">
        <v>5</v>
      </c>
      <c r="G20" s="109">
        <v>28</v>
      </c>
      <c r="H20" s="36">
        <f t="shared" si="18"/>
        <v>56</v>
      </c>
      <c r="I20" s="37">
        <f t="shared" si="19"/>
        <v>115</v>
      </c>
      <c r="J20" s="106">
        <v>0.8</v>
      </c>
      <c r="K20" s="36">
        <f t="shared" si="20"/>
        <v>92</v>
      </c>
      <c r="L20" s="28">
        <f t="shared" si="21"/>
        <v>148</v>
      </c>
      <c r="M20" s="27"/>
      <c r="N20" s="28"/>
      <c r="O20" s="52"/>
    </row>
    <row r="21" spans="1:15" x14ac:dyDescent="0.35">
      <c r="A21" s="51">
        <v>10</v>
      </c>
      <c r="B21" s="56" t="s">
        <v>108</v>
      </c>
      <c r="C21" s="44">
        <v>1</v>
      </c>
      <c r="D21" s="32">
        <v>0</v>
      </c>
      <c r="E21" s="33">
        <f t="shared" si="9"/>
        <v>1</v>
      </c>
      <c r="F21" s="34" t="s">
        <v>5</v>
      </c>
      <c r="G21" s="109">
        <v>59</v>
      </c>
      <c r="H21" s="36">
        <f t="shared" si="18"/>
        <v>59</v>
      </c>
      <c r="I21" s="37">
        <f t="shared" si="19"/>
        <v>115</v>
      </c>
      <c r="J21" s="106">
        <v>0.95</v>
      </c>
      <c r="K21" s="36">
        <f t="shared" si="20"/>
        <v>109.25</v>
      </c>
      <c r="L21" s="28">
        <f t="shared" si="21"/>
        <v>168.25</v>
      </c>
      <c r="M21" s="27"/>
      <c r="N21" s="28"/>
      <c r="O21" s="52"/>
    </row>
    <row r="22" spans="1:15" ht="15.75" customHeight="1" thickBot="1" x14ac:dyDescent="0.4">
      <c r="A22" s="51"/>
      <c r="B22" s="40"/>
      <c r="C22" s="44"/>
      <c r="D22" s="32"/>
      <c r="E22" s="33"/>
      <c r="F22" s="34"/>
      <c r="G22" s="45"/>
      <c r="H22" s="45"/>
      <c r="I22" s="47"/>
      <c r="J22" s="36"/>
      <c r="K22" s="37"/>
      <c r="L22" s="38"/>
      <c r="M22" s="27"/>
      <c r="N22" s="28"/>
      <c r="O22" s="52"/>
    </row>
    <row r="23" spans="1:15" ht="15.75" customHeight="1" thickBot="1" x14ac:dyDescent="0.4">
      <c r="A23" s="116" t="s">
        <v>61</v>
      </c>
      <c r="B23" s="117"/>
      <c r="C23" s="44"/>
      <c r="D23" s="32"/>
      <c r="E23" s="33"/>
      <c r="F23" s="34"/>
      <c r="G23" s="45"/>
      <c r="H23" s="45"/>
      <c r="I23" s="47"/>
      <c r="J23" s="36"/>
      <c r="K23" s="37"/>
      <c r="L23" s="38"/>
      <c r="M23" s="27"/>
      <c r="N23" s="28"/>
      <c r="O23" s="52"/>
    </row>
    <row r="24" spans="1:15" ht="43.5" x14ac:dyDescent="0.35">
      <c r="A24" s="51">
        <v>1</v>
      </c>
      <c r="B24" s="55" t="s">
        <v>85</v>
      </c>
      <c r="C24" s="44">
        <v>1</v>
      </c>
      <c r="D24" s="32">
        <v>0</v>
      </c>
      <c r="E24" s="33">
        <f>C24*(1+D24)</f>
        <v>1</v>
      </c>
      <c r="F24" s="34" t="s">
        <v>5</v>
      </c>
      <c r="G24" s="109">
        <v>5100</v>
      </c>
      <c r="H24" s="36">
        <f t="shared" ref="H24" si="22">G24*E24</f>
        <v>5100</v>
      </c>
      <c r="I24" s="37">
        <f t="shared" ref="I24" si="23">L$4</f>
        <v>115</v>
      </c>
      <c r="J24" s="106">
        <v>20</v>
      </c>
      <c r="K24" s="36">
        <f t="shared" ref="K24" si="24">J24*I24</f>
        <v>2300</v>
      </c>
      <c r="L24" s="28">
        <f t="shared" ref="L24" si="25">K24+H24</f>
        <v>7400</v>
      </c>
      <c r="M24" s="27"/>
      <c r="N24" s="28"/>
      <c r="O24" s="52"/>
    </row>
    <row r="25" spans="1:15" ht="16" thickBot="1" x14ac:dyDescent="0.4">
      <c r="A25" s="51"/>
      <c r="B25" s="55"/>
      <c r="C25" s="44"/>
      <c r="D25" s="32"/>
      <c r="E25" s="33"/>
      <c r="F25" s="34"/>
      <c r="G25" s="45"/>
      <c r="H25" s="45"/>
      <c r="I25" s="47"/>
      <c r="J25" s="36"/>
      <c r="K25" s="37"/>
      <c r="L25" s="38"/>
      <c r="M25" s="27"/>
      <c r="N25" s="28"/>
      <c r="O25" s="52"/>
    </row>
    <row r="26" spans="1:15" ht="16" thickBot="1" x14ac:dyDescent="0.4">
      <c r="A26" s="116" t="s">
        <v>62</v>
      </c>
      <c r="B26" s="117"/>
      <c r="C26" s="44"/>
      <c r="D26" s="32"/>
      <c r="E26" s="33"/>
      <c r="F26" s="34"/>
      <c r="G26" s="45"/>
      <c r="H26" s="45"/>
      <c r="I26" s="47"/>
      <c r="J26" s="36"/>
      <c r="K26" s="37"/>
      <c r="L26" s="38"/>
      <c r="M26" s="27"/>
      <c r="N26" s="28"/>
      <c r="O26" s="52"/>
    </row>
    <row r="27" spans="1:15" ht="43.5" x14ac:dyDescent="0.35">
      <c r="A27" s="51">
        <v>1</v>
      </c>
      <c r="B27" s="55" t="s">
        <v>86</v>
      </c>
      <c r="C27" s="44">
        <v>2</v>
      </c>
      <c r="D27" s="32">
        <v>0</v>
      </c>
      <c r="E27" s="33">
        <f>C27*(1+D27)</f>
        <v>2</v>
      </c>
      <c r="F27" s="34" t="s">
        <v>5</v>
      </c>
      <c r="G27" s="109">
        <v>135.84</v>
      </c>
      <c r="H27" s="36">
        <f t="shared" ref="H27" si="26">G27*E27</f>
        <v>271.68</v>
      </c>
      <c r="I27" s="37">
        <f t="shared" ref="I27" si="27">L$4</f>
        <v>115</v>
      </c>
      <c r="J27" s="106">
        <v>3</v>
      </c>
      <c r="K27" s="36">
        <f t="shared" ref="K27" si="28">J27*I27</f>
        <v>345</v>
      </c>
      <c r="L27" s="28">
        <f t="shared" ref="L27" si="29">K27+H27</f>
        <v>616.68000000000006</v>
      </c>
      <c r="M27" s="27"/>
      <c r="N27" s="28"/>
      <c r="O27" s="52"/>
    </row>
    <row r="28" spans="1:15" ht="16" thickBot="1" x14ac:dyDescent="0.4">
      <c r="A28" s="51"/>
      <c r="B28" s="55"/>
      <c r="C28" s="44"/>
      <c r="D28" s="32"/>
      <c r="E28" s="33"/>
      <c r="F28" s="34"/>
      <c r="G28" s="45"/>
      <c r="H28" s="45"/>
      <c r="I28" s="47"/>
      <c r="J28" s="36"/>
      <c r="K28" s="37"/>
      <c r="L28" s="38"/>
      <c r="M28" s="27"/>
      <c r="N28" s="28"/>
      <c r="O28" s="52"/>
    </row>
    <row r="29" spans="1:15" ht="16" thickBot="1" x14ac:dyDescent="0.4">
      <c r="A29" s="116" t="s">
        <v>63</v>
      </c>
      <c r="B29" s="117"/>
      <c r="C29" s="44"/>
      <c r="D29" s="32"/>
      <c r="E29" s="33"/>
      <c r="F29" s="34"/>
      <c r="G29" s="45"/>
      <c r="H29" s="45"/>
      <c r="I29" s="47"/>
      <c r="J29" s="36"/>
      <c r="K29" s="37"/>
      <c r="L29" s="38"/>
      <c r="M29" s="27"/>
      <c r="N29" s="28"/>
      <c r="O29" s="52"/>
    </row>
    <row r="30" spans="1:15" ht="72.75" customHeight="1" x14ac:dyDescent="0.35">
      <c r="A30" s="51">
        <v>1</v>
      </c>
      <c r="B30" s="55" t="s">
        <v>64</v>
      </c>
      <c r="C30" s="44">
        <v>2</v>
      </c>
      <c r="D30" s="32">
        <v>0</v>
      </c>
      <c r="E30" s="33">
        <f>C30*(1+D30)</f>
        <v>2</v>
      </c>
      <c r="F30" s="34" t="s">
        <v>5</v>
      </c>
      <c r="G30" s="109">
        <v>3491</v>
      </c>
      <c r="H30" s="36">
        <f t="shared" ref="H30" si="30">G30*E30</f>
        <v>6982</v>
      </c>
      <c r="I30" s="37">
        <f t="shared" ref="I30" si="31">L$4</f>
        <v>115</v>
      </c>
      <c r="J30" s="106">
        <v>16</v>
      </c>
      <c r="K30" s="36">
        <f t="shared" ref="K30" si="32">J30*I30</f>
        <v>1840</v>
      </c>
      <c r="L30" s="28">
        <f t="shared" ref="L30" si="33">K30+H30</f>
        <v>8822</v>
      </c>
      <c r="M30" s="27"/>
      <c r="N30" s="28"/>
      <c r="O30" s="52"/>
    </row>
    <row r="31" spans="1:15" ht="16" thickBot="1" x14ac:dyDescent="0.4">
      <c r="A31" s="51"/>
      <c r="B31" s="55"/>
      <c r="C31" s="44"/>
      <c r="D31" s="32"/>
      <c r="E31" s="33"/>
      <c r="F31" s="34"/>
      <c r="G31" s="45"/>
      <c r="H31" s="45"/>
      <c r="I31" s="47"/>
      <c r="J31" s="36"/>
      <c r="K31" s="37"/>
      <c r="L31" s="38"/>
      <c r="M31" s="27"/>
      <c r="N31" s="28"/>
      <c r="O31" s="52"/>
    </row>
    <row r="32" spans="1:15" ht="16" thickBot="1" x14ac:dyDescent="0.4">
      <c r="A32" s="116" t="s">
        <v>65</v>
      </c>
      <c r="B32" s="117"/>
      <c r="C32" s="44"/>
      <c r="D32" s="32"/>
      <c r="E32" s="33"/>
      <c r="F32" s="34"/>
      <c r="G32" s="45"/>
      <c r="H32" s="45"/>
      <c r="I32" s="47"/>
      <c r="J32" s="36"/>
      <c r="K32" s="37"/>
      <c r="L32" s="38"/>
      <c r="M32" s="27"/>
      <c r="N32" s="28"/>
      <c r="O32" s="52"/>
    </row>
    <row r="33" spans="1:15" ht="43.5" x14ac:dyDescent="0.35">
      <c r="A33" s="51">
        <v>1</v>
      </c>
      <c r="B33" s="55" t="s">
        <v>66</v>
      </c>
      <c r="C33" s="44">
        <v>2</v>
      </c>
      <c r="D33" s="32">
        <v>0</v>
      </c>
      <c r="E33" s="33">
        <f t="shared" ref="E33:E34" si="34">C33*(1+D33)</f>
        <v>2</v>
      </c>
      <c r="F33" s="34" t="s">
        <v>5</v>
      </c>
      <c r="G33" s="109">
        <v>145.99</v>
      </c>
      <c r="H33" s="36">
        <f t="shared" ref="H33" si="35">G33*E33</f>
        <v>291.98</v>
      </c>
      <c r="I33" s="37">
        <f t="shared" ref="I33" si="36">L$4</f>
        <v>115</v>
      </c>
      <c r="J33" s="106">
        <v>1.9</v>
      </c>
      <c r="K33" s="36">
        <f t="shared" ref="K33" si="37">J33*I33</f>
        <v>218.5</v>
      </c>
      <c r="L33" s="28">
        <f t="shared" ref="L33" si="38">K33+H33</f>
        <v>510.48</v>
      </c>
      <c r="M33" s="27"/>
      <c r="N33" s="28"/>
      <c r="O33" s="52"/>
    </row>
    <row r="34" spans="1:15" ht="29" x14ac:dyDescent="0.35">
      <c r="A34" s="51">
        <v>2</v>
      </c>
      <c r="B34" s="55" t="s">
        <v>67</v>
      </c>
      <c r="C34" s="44">
        <v>1</v>
      </c>
      <c r="D34" s="32">
        <v>0</v>
      </c>
      <c r="E34" s="33">
        <f t="shared" si="34"/>
        <v>1</v>
      </c>
      <c r="F34" s="34" t="s">
        <v>5</v>
      </c>
      <c r="G34" s="109">
        <v>77.55</v>
      </c>
      <c r="H34" s="36">
        <f t="shared" ref="H34" si="39">G34*E34</f>
        <v>77.55</v>
      </c>
      <c r="I34" s="37">
        <f t="shared" ref="I34" si="40">L$4</f>
        <v>115</v>
      </c>
      <c r="J34" s="106">
        <v>0.75</v>
      </c>
      <c r="K34" s="36">
        <f t="shared" ref="K34" si="41">J34*I34</f>
        <v>86.25</v>
      </c>
      <c r="L34" s="28">
        <f t="shared" ref="L34" si="42">K34+H34</f>
        <v>163.80000000000001</v>
      </c>
      <c r="M34" s="27"/>
      <c r="N34" s="28"/>
      <c r="O34" s="52"/>
    </row>
    <row r="35" spans="1:15" ht="15.75" customHeight="1" thickBot="1" x14ac:dyDescent="0.4">
      <c r="A35" s="51"/>
      <c r="B35" s="40"/>
      <c r="C35" s="44"/>
      <c r="D35" s="32"/>
      <c r="E35" s="33"/>
      <c r="F35" s="34"/>
      <c r="G35" s="45"/>
      <c r="H35" s="45"/>
      <c r="I35" s="47"/>
      <c r="J35" s="36"/>
      <c r="K35" s="37"/>
      <c r="L35" s="38"/>
      <c r="M35" s="27"/>
      <c r="N35" s="28"/>
      <c r="O35" s="52"/>
    </row>
    <row r="36" spans="1:15" ht="15.75" customHeight="1" thickBot="1" x14ac:dyDescent="0.4">
      <c r="A36" s="116" t="s">
        <v>72</v>
      </c>
      <c r="B36" s="117"/>
      <c r="C36" s="44"/>
      <c r="D36" s="32"/>
      <c r="E36" s="33"/>
      <c r="F36" s="34"/>
      <c r="G36" s="45"/>
      <c r="H36" s="45"/>
      <c r="I36" s="47"/>
      <c r="J36" s="36"/>
      <c r="K36" s="37"/>
      <c r="L36" s="38"/>
      <c r="M36" s="27"/>
      <c r="N36" s="28"/>
      <c r="O36" s="52"/>
    </row>
    <row r="37" spans="1:15" ht="15.75" customHeight="1" x14ac:dyDescent="0.35">
      <c r="A37" s="51">
        <v>1</v>
      </c>
      <c r="B37" s="40" t="s">
        <v>58</v>
      </c>
      <c r="C37" s="44">
        <v>1</v>
      </c>
      <c r="D37" s="32">
        <v>0</v>
      </c>
      <c r="E37" s="33">
        <f>C37*(1+D37)</f>
        <v>1</v>
      </c>
      <c r="F37" s="34" t="s">
        <v>5</v>
      </c>
      <c r="G37" s="109">
        <v>54</v>
      </c>
      <c r="H37" s="36">
        <f t="shared" ref="H37:H38" si="43">G37*E37</f>
        <v>54</v>
      </c>
      <c r="I37" s="37">
        <f t="shared" ref="I37:I38" si="44">L$4</f>
        <v>115</v>
      </c>
      <c r="J37" s="106">
        <v>0.5</v>
      </c>
      <c r="K37" s="36">
        <f t="shared" ref="K37:K38" si="45">J37*I37</f>
        <v>57.5</v>
      </c>
      <c r="L37" s="28">
        <f t="shared" ref="L37:L38" si="46">K37+H37</f>
        <v>111.5</v>
      </c>
      <c r="M37" s="27"/>
      <c r="N37" s="28"/>
      <c r="O37" s="52"/>
    </row>
    <row r="38" spans="1:15" ht="15.75" customHeight="1" x14ac:dyDescent="0.35">
      <c r="A38" s="51">
        <v>2</v>
      </c>
      <c r="B38" s="40" t="s">
        <v>109</v>
      </c>
      <c r="C38" s="44">
        <v>1</v>
      </c>
      <c r="D38" s="32">
        <v>0</v>
      </c>
      <c r="E38" s="33">
        <f>C38*(1+D38)</f>
        <v>1</v>
      </c>
      <c r="F38" s="34" t="s">
        <v>5</v>
      </c>
      <c r="G38" s="109">
        <v>120</v>
      </c>
      <c r="H38" s="36">
        <f t="shared" si="43"/>
        <v>120</v>
      </c>
      <c r="I38" s="37">
        <f t="shared" si="44"/>
        <v>115</v>
      </c>
      <c r="J38" s="106">
        <v>1.5</v>
      </c>
      <c r="K38" s="36">
        <f t="shared" si="45"/>
        <v>172.5</v>
      </c>
      <c r="L38" s="28">
        <f t="shared" si="46"/>
        <v>292.5</v>
      </c>
      <c r="M38" s="27"/>
      <c r="N38" s="28"/>
      <c r="O38" s="52"/>
    </row>
    <row r="39" spans="1:15" ht="15.75" customHeight="1" thickBot="1" x14ac:dyDescent="0.4">
      <c r="A39" s="51"/>
      <c r="B39" s="40"/>
      <c r="C39" s="44"/>
      <c r="D39" s="32"/>
      <c r="E39" s="33"/>
      <c r="F39" s="34"/>
      <c r="G39" s="45"/>
      <c r="H39" s="45"/>
      <c r="I39" s="47"/>
      <c r="J39" s="36"/>
      <c r="K39" s="37"/>
      <c r="L39" s="38"/>
      <c r="M39" s="27"/>
      <c r="N39" s="28"/>
      <c r="O39" s="52"/>
    </row>
    <row r="40" spans="1:15" ht="15.75" customHeight="1" thickBot="1" x14ac:dyDescent="0.4">
      <c r="A40" s="116" t="s">
        <v>56</v>
      </c>
      <c r="B40" s="117"/>
      <c r="C40" s="44"/>
      <c r="D40" s="32"/>
      <c r="E40" s="33"/>
      <c r="F40" s="34"/>
      <c r="G40" s="45"/>
      <c r="H40" s="45"/>
      <c r="I40" s="47"/>
      <c r="J40" s="36"/>
      <c r="K40" s="37"/>
      <c r="L40" s="38"/>
      <c r="M40" s="27"/>
      <c r="N40" s="28"/>
      <c r="O40" s="52"/>
    </row>
    <row r="41" spans="1:15" ht="15.75" customHeight="1" x14ac:dyDescent="0.35">
      <c r="A41" s="51">
        <v>1</v>
      </c>
      <c r="B41" s="40" t="s">
        <v>44</v>
      </c>
      <c r="C41" s="44">
        <v>6</v>
      </c>
      <c r="D41" s="32">
        <v>0</v>
      </c>
      <c r="E41" s="33">
        <f t="shared" ref="E41:E42" si="47">C41*(1+D41)</f>
        <v>6</v>
      </c>
      <c r="F41" s="34" t="s">
        <v>5</v>
      </c>
      <c r="G41" s="109">
        <v>38</v>
      </c>
      <c r="H41" s="36">
        <f t="shared" ref="H41:H42" si="48">G41*E41</f>
        <v>228</v>
      </c>
      <c r="I41" s="37">
        <f t="shared" ref="I41:I42" si="49">L$4</f>
        <v>115</v>
      </c>
      <c r="J41" s="106">
        <v>3</v>
      </c>
      <c r="K41" s="36">
        <f t="shared" ref="K41:K42" si="50">J41*I41</f>
        <v>345</v>
      </c>
      <c r="L41" s="28">
        <f t="shared" ref="L41:L42" si="51">K41+H41</f>
        <v>573</v>
      </c>
      <c r="M41" s="27"/>
      <c r="N41" s="28"/>
      <c r="O41" s="52"/>
    </row>
    <row r="42" spans="1:15" ht="15.75" customHeight="1" x14ac:dyDescent="0.35">
      <c r="A42" s="51">
        <v>2</v>
      </c>
      <c r="B42" s="40" t="s">
        <v>110</v>
      </c>
      <c r="C42" s="44">
        <v>3</v>
      </c>
      <c r="D42" s="32">
        <v>0</v>
      </c>
      <c r="E42" s="33">
        <f t="shared" si="47"/>
        <v>3</v>
      </c>
      <c r="F42" s="34" t="s">
        <v>5</v>
      </c>
      <c r="G42" s="109">
        <v>40</v>
      </c>
      <c r="H42" s="36">
        <f t="shared" si="48"/>
        <v>120</v>
      </c>
      <c r="I42" s="37">
        <f t="shared" si="49"/>
        <v>115</v>
      </c>
      <c r="J42" s="106">
        <v>1.5</v>
      </c>
      <c r="K42" s="36">
        <f t="shared" si="50"/>
        <v>172.5</v>
      </c>
      <c r="L42" s="28">
        <f t="shared" si="51"/>
        <v>292.5</v>
      </c>
      <c r="M42" s="27"/>
      <c r="N42" s="28"/>
      <c r="O42" s="52"/>
    </row>
    <row r="43" spans="1:15" ht="15.75" customHeight="1" thickBot="1" x14ac:dyDescent="0.4">
      <c r="A43" s="51"/>
      <c r="B43" s="40"/>
      <c r="C43" s="44"/>
      <c r="D43" s="32"/>
      <c r="E43" s="33"/>
      <c r="F43" s="34"/>
      <c r="G43" s="45"/>
      <c r="H43" s="45"/>
      <c r="I43" s="47"/>
      <c r="J43" s="36"/>
      <c r="K43" s="37"/>
      <c r="L43" s="38"/>
      <c r="M43" s="27"/>
      <c r="N43" s="28"/>
      <c r="O43" s="52"/>
    </row>
    <row r="44" spans="1:15" ht="15.75" customHeight="1" thickBot="1" x14ac:dyDescent="0.4">
      <c r="A44" s="116" t="s">
        <v>80</v>
      </c>
      <c r="B44" s="117"/>
      <c r="C44" s="44"/>
      <c r="D44" s="32"/>
      <c r="E44" s="33"/>
      <c r="F44" s="34"/>
      <c r="G44" s="45"/>
      <c r="H44" s="45"/>
      <c r="I44" s="47"/>
      <c r="J44" s="36"/>
      <c r="K44" s="37"/>
      <c r="L44" s="38"/>
      <c r="M44" s="27"/>
      <c r="N44" s="28"/>
      <c r="O44" s="52"/>
    </row>
    <row r="45" spans="1:15" ht="15.75" customHeight="1" x14ac:dyDescent="0.35">
      <c r="A45" s="51">
        <v>1</v>
      </c>
      <c r="B45" s="40" t="s">
        <v>81</v>
      </c>
      <c r="C45" s="44">
        <v>2</v>
      </c>
      <c r="D45" s="32">
        <v>0</v>
      </c>
      <c r="E45" s="33">
        <f>C45*(1+D45)</f>
        <v>2</v>
      </c>
      <c r="F45" s="34" t="s">
        <v>5</v>
      </c>
      <c r="G45" s="109">
        <v>127</v>
      </c>
      <c r="H45" s="36">
        <f t="shared" ref="H45" si="52">G45*E45</f>
        <v>254</v>
      </c>
      <c r="I45" s="37">
        <f t="shared" ref="I45" si="53">L$4</f>
        <v>115</v>
      </c>
      <c r="J45" s="106">
        <v>1.5</v>
      </c>
      <c r="K45" s="36">
        <f t="shared" ref="K45" si="54">J45*I45</f>
        <v>172.5</v>
      </c>
      <c r="L45" s="28">
        <f t="shared" ref="L45" si="55">K45+H45</f>
        <v>426.5</v>
      </c>
      <c r="M45" s="27"/>
      <c r="N45" s="28"/>
      <c r="O45" s="52"/>
    </row>
    <row r="46" spans="1:15" ht="15.75" customHeight="1" thickBot="1" x14ac:dyDescent="0.4">
      <c r="A46" s="51"/>
      <c r="B46" s="40"/>
      <c r="C46" s="44"/>
      <c r="D46" s="32"/>
      <c r="E46" s="33"/>
      <c r="F46" s="34"/>
      <c r="G46" s="45"/>
      <c r="H46" s="45"/>
      <c r="I46" s="47"/>
      <c r="J46" s="36"/>
      <c r="K46" s="37"/>
      <c r="L46" s="38"/>
      <c r="M46" s="27"/>
      <c r="N46" s="28"/>
      <c r="O46" s="52"/>
    </row>
    <row r="47" spans="1:15" ht="15.75" customHeight="1" thickBot="1" x14ac:dyDescent="0.4">
      <c r="A47" s="116" t="s">
        <v>59</v>
      </c>
      <c r="B47" s="117"/>
      <c r="C47" s="44"/>
      <c r="D47" s="32"/>
      <c r="E47" s="33"/>
      <c r="F47" s="34"/>
      <c r="G47" s="45"/>
      <c r="H47" s="45"/>
      <c r="I47" s="47"/>
      <c r="J47" s="36"/>
      <c r="K47" s="37"/>
      <c r="L47" s="38"/>
      <c r="M47" s="27"/>
      <c r="N47" s="28"/>
      <c r="O47" s="52"/>
    </row>
    <row r="48" spans="1:15" ht="15.75" customHeight="1" x14ac:dyDescent="0.35">
      <c r="A48" s="51">
        <v>1</v>
      </c>
      <c r="B48" s="40" t="s">
        <v>60</v>
      </c>
      <c r="C48" s="44">
        <v>1</v>
      </c>
      <c r="D48" s="32">
        <v>0</v>
      </c>
      <c r="E48" s="33">
        <f>C48*(1+D48)</f>
        <v>1</v>
      </c>
      <c r="F48" s="34" t="s">
        <v>5</v>
      </c>
      <c r="G48" s="109">
        <v>48</v>
      </c>
      <c r="H48" s="36">
        <f t="shared" ref="H48" si="56">G48*E48</f>
        <v>48</v>
      </c>
      <c r="I48" s="37">
        <f t="shared" ref="I48" si="57">L$4</f>
        <v>115</v>
      </c>
      <c r="J48" s="106">
        <v>0.5</v>
      </c>
      <c r="K48" s="36">
        <f t="shared" ref="K48" si="58">J48*I48</f>
        <v>57.5</v>
      </c>
      <c r="L48" s="28">
        <f t="shared" ref="L48" si="59">K48+H48</f>
        <v>105.5</v>
      </c>
      <c r="M48" s="27"/>
      <c r="N48" s="28"/>
      <c r="O48" s="52"/>
    </row>
    <row r="49" spans="1:15" ht="15.75" customHeight="1" thickBot="1" x14ac:dyDescent="0.4">
      <c r="A49" s="51"/>
      <c r="B49" s="40"/>
      <c r="C49" s="44"/>
      <c r="D49" s="32"/>
      <c r="E49" s="33"/>
      <c r="F49" s="34"/>
      <c r="G49" s="45"/>
      <c r="H49" s="45"/>
      <c r="I49" s="47"/>
      <c r="J49" s="36"/>
      <c r="K49" s="37"/>
      <c r="L49" s="38"/>
      <c r="M49" s="27"/>
      <c r="N49" s="28"/>
      <c r="O49" s="52"/>
    </row>
    <row r="50" spans="1:15" ht="15.75" customHeight="1" thickBot="1" x14ac:dyDescent="0.4">
      <c r="A50" s="116" t="s">
        <v>68</v>
      </c>
      <c r="B50" s="117"/>
      <c r="C50" s="44"/>
      <c r="D50" s="32"/>
      <c r="E50" s="33"/>
      <c r="F50" s="34"/>
      <c r="G50" s="45"/>
      <c r="H50" s="45"/>
      <c r="I50" s="47"/>
      <c r="J50" s="36"/>
      <c r="K50" s="37"/>
      <c r="L50" s="38"/>
      <c r="M50" s="27"/>
      <c r="N50" s="28"/>
      <c r="O50" s="52"/>
    </row>
    <row r="51" spans="1:15" ht="15.75" customHeight="1" x14ac:dyDescent="0.35">
      <c r="A51" s="51">
        <v>1</v>
      </c>
      <c r="B51" s="40" t="s">
        <v>70</v>
      </c>
      <c r="C51" s="44">
        <v>2</v>
      </c>
      <c r="D51" s="32">
        <v>0</v>
      </c>
      <c r="E51" s="33">
        <f>C51*(1+D51)</f>
        <v>2</v>
      </c>
      <c r="F51" s="34" t="s">
        <v>5</v>
      </c>
      <c r="G51" s="108">
        <v>136.82</v>
      </c>
      <c r="H51" s="36">
        <f t="shared" ref="H51" si="60">G51*E51</f>
        <v>273.64</v>
      </c>
      <c r="I51" s="37">
        <f t="shared" ref="I51" si="61">L$4</f>
        <v>115</v>
      </c>
      <c r="J51" s="106">
        <v>1.5</v>
      </c>
      <c r="K51" s="36">
        <f t="shared" ref="K51" si="62">J51*I51</f>
        <v>172.5</v>
      </c>
      <c r="L51" s="28">
        <f t="shared" ref="L51" si="63">K51+H51</f>
        <v>446.14</v>
      </c>
      <c r="M51" s="27"/>
      <c r="N51" s="28"/>
      <c r="O51" s="52"/>
    </row>
    <row r="52" spans="1:15" ht="15.75" customHeight="1" thickBot="1" x14ac:dyDescent="0.4">
      <c r="A52" s="51"/>
      <c r="B52" s="40"/>
      <c r="C52" s="44"/>
      <c r="D52" s="32"/>
      <c r="E52" s="33"/>
      <c r="F52" s="34"/>
      <c r="G52" s="45"/>
      <c r="H52" s="45"/>
      <c r="I52" s="47"/>
      <c r="J52" s="36"/>
      <c r="K52" s="37"/>
      <c r="L52" s="38"/>
      <c r="M52" s="27"/>
      <c r="N52" s="28"/>
      <c r="O52" s="52"/>
    </row>
    <row r="53" spans="1:15" ht="15.75" customHeight="1" thickBot="1" x14ac:dyDescent="0.4">
      <c r="A53" s="116" t="s">
        <v>74</v>
      </c>
      <c r="B53" s="117"/>
      <c r="C53" s="44"/>
      <c r="D53" s="32"/>
      <c r="E53" s="33"/>
      <c r="F53" s="34"/>
      <c r="G53" s="45"/>
      <c r="H53" s="45"/>
      <c r="I53" s="47"/>
      <c r="J53" s="36"/>
      <c r="K53" s="37"/>
      <c r="L53" s="38"/>
      <c r="M53" s="27"/>
      <c r="N53" s="28"/>
      <c r="O53" s="52"/>
    </row>
    <row r="54" spans="1:15" ht="15.75" customHeight="1" x14ac:dyDescent="0.35">
      <c r="A54" s="120" t="s">
        <v>84</v>
      </c>
      <c r="B54" s="121"/>
      <c r="C54" s="44"/>
      <c r="D54" s="32"/>
      <c r="E54" s="33"/>
      <c r="F54" s="34"/>
      <c r="G54" s="45"/>
      <c r="H54" s="45"/>
      <c r="I54" s="47"/>
      <c r="J54" s="36"/>
      <c r="K54" s="37"/>
      <c r="L54" s="38"/>
      <c r="M54" s="27"/>
      <c r="N54" s="28"/>
      <c r="O54" s="52"/>
    </row>
    <row r="55" spans="1:15" ht="15.75" customHeight="1" x14ac:dyDescent="0.35">
      <c r="A55" s="57">
        <v>1</v>
      </c>
      <c r="B55" s="58" t="s">
        <v>115</v>
      </c>
      <c r="C55" s="44">
        <v>20</v>
      </c>
      <c r="D55" s="32">
        <v>0.1</v>
      </c>
      <c r="E55" s="33">
        <f t="shared" ref="E55" si="64">C55*(1+D55)</f>
        <v>22</v>
      </c>
      <c r="F55" s="34" t="s">
        <v>6</v>
      </c>
      <c r="G55" s="104">
        <v>5.01</v>
      </c>
      <c r="H55" s="36">
        <f t="shared" ref="H55" si="65">G55*E55</f>
        <v>110.22</v>
      </c>
      <c r="I55" s="37">
        <f t="shared" ref="I55" si="66">L$4</f>
        <v>115</v>
      </c>
      <c r="J55" s="106">
        <v>1.1000000000000001</v>
      </c>
      <c r="K55" s="36">
        <f t="shared" ref="K55" si="67">J55*I55</f>
        <v>126.50000000000001</v>
      </c>
      <c r="L55" s="28">
        <f t="shared" ref="L55" si="68">K55+H55</f>
        <v>236.72000000000003</v>
      </c>
      <c r="M55" s="27"/>
      <c r="N55" s="28"/>
      <c r="O55" s="52"/>
    </row>
    <row r="56" spans="1:15" ht="15.75" customHeight="1" thickBot="1" x14ac:dyDescent="0.4">
      <c r="A56" s="51"/>
      <c r="B56" s="40"/>
      <c r="C56" s="44"/>
      <c r="D56" s="32"/>
      <c r="E56" s="33"/>
      <c r="F56" s="34"/>
      <c r="G56" s="45"/>
      <c r="H56" s="45"/>
      <c r="I56" s="47"/>
      <c r="J56" s="36"/>
      <c r="K56" s="37"/>
      <c r="L56" s="38"/>
      <c r="M56" s="27"/>
      <c r="N56" s="28"/>
      <c r="O56" s="52"/>
    </row>
    <row r="57" spans="1:15" ht="15.75" customHeight="1" thickBot="1" x14ac:dyDescent="0.4">
      <c r="A57" s="116" t="s">
        <v>75</v>
      </c>
      <c r="B57" s="117"/>
      <c r="C57" s="44"/>
      <c r="D57" s="32"/>
      <c r="E57" s="33"/>
      <c r="F57" s="34"/>
      <c r="G57" s="45"/>
      <c r="H57" s="45"/>
      <c r="I57" s="47"/>
      <c r="J57" s="36"/>
      <c r="K57" s="37"/>
      <c r="L57" s="38"/>
      <c r="M57" s="27"/>
      <c r="N57" s="28"/>
      <c r="O57" s="52"/>
    </row>
    <row r="58" spans="1:15" ht="32.25" customHeight="1" x14ac:dyDescent="0.35">
      <c r="A58" s="118" t="s">
        <v>111</v>
      </c>
      <c r="B58" s="119"/>
      <c r="C58" s="44"/>
      <c r="D58" s="32"/>
      <c r="E58" s="33"/>
      <c r="F58" s="34"/>
      <c r="G58" s="45"/>
      <c r="H58" s="45"/>
      <c r="I58" s="47"/>
      <c r="J58" s="36"/>
      <c r="K58" s="37"/>
      <c r="L58" s="38"/>
      <c r="M58" s="27"/>
      <c r="N58" s="28"/>
      <c r="O58" s="52"/>
    </row>
    <row r="59" spans="1:15" ht="15.75" customHeight="1" x14ac:dyDescent="0.35">
      <c r="A59" s="51">
        <v>1</v>
      </c>
      <c r="B59" s="40" t="s">
        <v>116</v>
      </c>
      <c r="C59" s="44">
        <v>20</v>
      </c>
      <c r="D59" s="32">
        <v>0.1</v>
      </c>
      <c r="E59" s="33">
        <f t="shared" ref="E59" si="69">C59*(1+D59)</f>
        <v>22</v>
      </c>
      <c r="F59" s="34" t="s">
        <v>6</v>
      </c>
      <c r="G59" s="104">
        <v>2.0499999999999998</v>
      </c>
      <c r="H59" s="36">
        <f t="shared" ref="H59" si="70">G59*E59</f>
        <v>45.099999999999994</v>
      </c>
      <c r="I59" s="37">
        <f t="shared" ref="I59" si="71">L$4</f>
        <v>115</v>
      </c>
      <c r="J59" s="106">
        <v>0.88</v>
      </c>
      <c r="K59" s="36">
        <f t="shared" ref="K59" si="72">J59*I59</f>
        <v>101.2</v>
      </c>
      <c r="L59" s="28">
        <f t="shared" ref="L59" si="73">K59+H59</f>
        <v>146.30000000000001</v>
      </c>
      <c r="M59" s="27"/>
      <c r="N59" s="28"/>
      <c r="O59" s="52"/>
    </row>
    <row r="60" spans="1:15" ht="15.75" customHeight="1" thickBot="1" x14ac:dyDescent="0.4">
      <c r="A60" s="51"/>
      <c r="B60" s="40"/>
      <c r="C60" s="44"/>
      <c r="D60" s="32"/>
      <c r="E60" s="33"/>
      <c r="F60" s="34"/>
      <c r="G60" s="45"/>
      <c r="H60" s="45"/>
      <c r="I60" s="47"/>
      <c r="J60" s="36"/>
      <c r="K60" s="37"/>
      <c r="L60" s="38"/>
      <c r="M60" s="27"/>
      <c r="N60" s="28"/>
      <c r="O60" s="52"/>
    </row>
    <row r="61" spans="1:15" ht="15.75" customHeight="1" thickBot="1" x14ac:dyDescent="0.4">
      <c r="A61" s="116" t="s">
        <v>76</v>
      </c>
      <c r="B61" s="117"/>
      <c r="C61" s="44"/>
      <c r="D61" s="32"/>
      <c r="E61" s="33"/>
      <c r="F61" s="34"/>
      <c r="G61" s="45"/>
      <c r="H61" s="45"/>
      <c r="I61" s="47"/>
      <c r="J61" s="36"/>
      <c r="K61" s="37"/>
      <c r="L61" s="38"/>
      <c r="M61" s="27"/>
      <c r="N61" s="28"/>
      <c r="O61" s="52"/>
    </row>
    <row r="62" spans="1:15" ht="15.75" customHeight="1" thickBot="1" x14ac:dyDescent="0.4">
      <c r="A62" s="116" t="s">
        <v>77</v>
      </c>
      <c r="B62" s="117"/>
      <c r="C62" s="44"/>
      <c r="D62" s="32"/>
      <c r="E62" s="33"/>
      <c r="F62" s="34"/>
      <c r="G62" s="45"/>
      <c r="H62" s="45"/>
      <c r="I62" s="47"/>
      <c r="J62" s="36"/>
      <c r="K62" s="37"/>
      <c r="L62" s="38"/>
      <c r="M62" s="27"/>
      <c r="N62" s="28"/>
      <c r="O62" s="52"/>
    </row>
    <row r="63" spans="1:15" ht="15.75" customHeight="1" x14ac:dyDescent="0.35">
      <c r="A63" s="51">
        <v>1</v>
      </c>
      <c r="B63" s="40" t="s">
        <v>117</v>
      </c>
      <c r="C63" s="44">
        <v>3</v>
      </c>
      <c r="D63" s="32">
        <v>0</v>
      </c>
      <c r="E63" s="33">
        <f>C63*(1+D63)</f>
        <v>3</v>
      </c>
      <c r="F63" s="34" t="s">
        <v>5</v>
      </c>
      <c r="G63" s="104">
        <v>18.11</v>
      </c>
      <c r="H63" s="36">
        <f t="shared" ref="H63" si="74">G63*E63</f>
        <v>54.33</v>
      </c>
      <c r="I63" s="37">
        <f t="shared" ref="I63" si="75">L$4</f>
        <v>115</v>
      </c>
      <c r="J63" s="106">
        <v>1.5</v>
      </c>
      <c r="K63" s="36">
        <f t="shared" ref="K63" si="76">J63*I63</f>
        <v>172.5</v>
      </c>
      <c r="L63" s="28">
        <f t="shared" ref="L63" si="77">K63+H63</f>
        <v>226.82999999999998</v>
      </c>
      <c r="M63" s="27"/>
      <c r="N63" s="28"/>
      <c r="O63" s="52"/>
    </row>
    <row r="64" spans="1:15" ht="15.75" customHeight="1" thickBot="1" x14ac:dyDescent="0.4">
      <c r="A64" s="51"/>
      <c r="B64" s="40"/>
      <c r="C64" s="44"/>
      <c r="D64" s="32"/>
      <c r="E64" s="33"/>
      <c r="F64" s="34"/>
      <c r="G64" s="45"/>
      <c r="H64" s="45"/>
      <c r="I64" s="47"/>
      <c r="J64" s="36"/>
      <c r="K64" s="37"/>
      <c r="L64" s="38"/>
      <c r="M64" s="27"/>
      <c r="N64" s="28"/>
      <c r="O64" s="52"/>
    </row>
    <row r="65" spans="1:100" ht="15.75" customHeight="1" thickBot="1" x14ac:dyDescent="0.4">
      <c r="A65" s="116" t="s">
        <v>78</v>
      </c>
      <c r="B65" s="117"/>
      <c r="C65" s="44"/>
      <c r="D65" s="32"/>
      <c r="E65" s="33"/>
      <c r="F65" s="34"/>
      <c r="G65" s="45"/>
      <c r="H65" s="45"/>
      <c r="I65" s="47"/>
      <c r="J65" s="36"/>
      <c r="K65" s="37"/>
      <c r="L65" s="38"/>
      <c r="M65" s="27"/>
      <c r="N65" s="28"/>
      <c r="O65" s="52"/>
    </row>
    <row r="66" spans="1:100" ht="15.75" customHeight="1" x14ac:dyDescent="0.35">
      <c r="A66" s="51">
        <v>1</v>
      </c>
      <c r="B66" s="40" t="s">
        <v>79</v>
      </c>
      <c r="C66" s="44">
        <v>1</v>
      </c>
      <c r="D66" s="32">
        <v>0</v>
      </c>
      <c r="E66" s="33">
        <f>C66*(1+D66)</f>
        <v>1</v>
      </c>
      <c r="F66" s="34" t="s">
        <v>5</v>
      </c>
      <c r="G66" s="104">
        <v>41.52</v>
      </c>
      <c r="H66" s="36">
        <f t="shared" ref="H66" si="78">G66*E66</f>
        <v>41.52</v>
      </c>
      <c r="I66" s="37">
        <f t="shared" ref="I66" si="79">L$4</f>
        <v>115</v>
      </c>
      <c r="J66" s="106">
        <v>0.75</v>
      </c>
      <c r="K66" s="36">
        <f t="shared" ref="K66" si="80">J66*I66</f>
        <v>86.25</v>
      </c>
      <c r="L66" s="28">
        <f t="shared" ref="L66" si="81">K66+H66</f>
        <v>127.77000000000001</v>
      </c>
      <c r="M66" s="27"/>
      <c r="N66" s="28"/>
      <c r="O66" s="52"/>
    </row>
    <row r="67" spans="1:100" ht="15.75" customHeight="1" thickBot="1" x14ac:dyDescent="0.4">
      <c r="A67" s="51"/>
      <c r="B67" s="40"/>
      <c r="C67" s="44"/>
      <c r="D67" s="32"/>
      <c r="E67" s="33"/>
      <c r="F67" s="34"/>
      <c r="G67" s="45"/>
      <c r="H67" s="45"/>
      <c r="I67" s="47"/>
      <c r="J67" s="36"/>
      <c r="K67" s="37"/>
      <c r="L67" s="38"/>
      <c r="M67" s="27"/>
      <c r="N67" s="28"/>
      <c r="O67" s="52"/>
    </row>
    <row r="68" spans="1:100" ht="15.75" customHeight="1" thickBot="1" x14ac:dyDescent="0.4">
      <c r="A68" s="116" t="s">
        <v>31</v>
      </c>
      <c r="B68" s="117"/>
      <c r="C68" s="59"/>
      <c r="D68" s="32"/>
      <c r="E68" s="33"/>
      <c r="F68" s="34"/>
      <c r="G68" s="45"/>
      <c r="H68" s="45"/>
      <c r="I68" s="47"/>
      <c r="J68" s="36"/>
      <c r="K68" s="37"/>
      <c r="L68" s="38"/>
      <c r="M68" s="27"/>
      <c r="N68" s="28"/>
      <c r="O68" s="52"/>
    </row>
    <row r="69" spans="1:100" ht="29" x14ac:dyDescent="0.35">
      <c r="A69" s="60">
        <v>1</v>
      </c>
      <c r="B69" s="61" t="s">
        <v>130</v>
      </c>
      <c r="C69" s="59">
        <v>1166</v>
      </c>
      <c r="D69" s="32">
        <v>0</v>
      </c>
      <c r="E69" s="33">
        <f>C69*(1+D69)</f>
        <v>1166</v>
      </c>
      <c r="F69" s="34" t="s">
        <v>132</v>
      </c>
      <c r="G69" s="104">
        <v>1.1200000000000001</v>
      </c>
      <c r="H69" s="36">
        <f t="shared" ref="H69" si="82">G69*E69</f>
        <v>1305.92</v>
      </c>
      <c r="I69" s="37">
        <f t="shared" ref="I69" si="83">L$4</f>
        <v>115</v>
      </c>
      <c r="J69" s="106">
        <v>23.32</v>
      </c>
      <c r="K69" s="36">
        <f>J69*I69</f>
        <v>2681.8</v>
      </c>
      <c r="L69" s="28">
        <f t="shared" ref="L69" si="84">K69+H69</f>
        <v>3987.7200000000003</v>
      </c>
      <c r="M69" s="27"/>
      <c r="N69" s="28"/>
      <c r="O69" s="52"/>
    </row>
    <row r="70" spans="1:100" ht="15.75" customHeight="1" thickBot="1" x14ac:dyDescent="0.4">
      <c r="A70" s="60"/>
      <c r="B70" s="62"/>
      <c r="C70" s="59"/>
      <c r="D70" s="32"/>
      <c r="E70" s="33"/>
      <c r="F70" s="34"/>
      <c r="G70" s="45"/>
      <c r="H70" s="45"/>
      <c r="I70" s="47"/>
      <c r="J70" s="36"/>
      <c r="K70" s="37"/>
      <c r="L70" s="38"/>
      <c r="M70" s="27"/>
      <c r="N70" s="28"/>
      <c r="O70" s="52"/>
    </row>
    <row r="71" spans="1:100" ht="15.75" customHeight="1" thickBot="1" x14ac:dyDescent="0.4">
      <c r="A71" s="116" t="s">
        <v>40</v>
      </c>
      <c r="B71" s="117"/>
      <c r="C71" s="63"/>
      <c r="D71" s="64"/>
      <c r="E71" s="65"/>
      <c r="F71" s="66"/>
      <c r="G71" s="67"/>
      <c r="H71" s="45"/>
      <c r="I71" s="47"/>
      <c r="J71" s="36"/>
      <c r="K71" s="37"/>
      <c r="L71" s="38"/>
      <c r="M71" s="72"/>
      <c r="N71" s="73"/>
      <c r="O71" s="52"/>
    </row>
    <row r="72" spans="1:100" s="45" customFormat="1" ht="15.75" customHeight="1" x14ac:dyDescent="0.35">
      <c r="A72" s="60">
        <v>1</v>
      </c>
      <c r="B72" s="74" t="s">
        <v>42</v>
      </c>
      <c r="C72" s="59">
        <v>1378</v>
      </c>
      <c r="D72" s="32">
        <v>0</v>
      </c>
      <c r="E72" s="33">
        <f>C72*(1+D72)</f>
        <v>1378</v>
      </c>
      <c r="F72" s="34" t="s">
        <v>41</v>
      </c>
      <c r="G72" s="104">
        <v>3.25</v>
      </c>
      <c r="H72" s="24">
        <f t="shared" ref="H72" si="85">G72*E72</f>
        <v>4478.5</v>
      </c>
      <c r="I72" s="25">
        <f t="shared" ref="I72" si="86">L$4</f>
        <v>115</v>
      </c>
      <c r="J72" s="105">
        <v>68.900000000000006</v>
      </c>
      <c r="K72" s="24">
        <f t="shared" ref="K72" si="87">J72*I72</f>
        <v>7923.5000000000009</v>
      </c>
      <c r="L72" s="79">
        <f t="shared" ref="L72" si="88">K72+H72</f>
        <v>12402</v>
      </c>
      <c r="M72" s="27"/>
      <c r="N72" s="48"/>
      <c r="O72" s="29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</row>
    <row r="73" spans="1:100" ht="15.75" customHeight="1" thickBot="1" x14ac:dyDescent="0.4">
      <c r="A73" s="75"/>
      <c r="B73" s="55"/>
      <c r="C73" s="76"/>
      <c r="D73" s="76"/>
      <c r="E73" s="76"/>
      <c r="F73" s="21"/>
      <c r="G73" s="22"/>
      <c r="H73" s="23"/>
      <c r="I73" s="77"/>
      <c r="J73" s="24"/>
      <c r="K73" s="25"/>
      <c r="L73" s="26"/>
      <c r="M73" s="78"/>
      <c r="N73" s="79"/>
      <c r="O73" s="52"/>
    </row>
    <row r="74" spans="1:100" ht="15.75" customHeight="1" thickBot="1" x14ac:dyDescent="0.4">
      <c r="A74" s="116" t="s">
        <v>32</v>
      </c>
      <c r="B74" s="117"/>
      <c r="C74" s="59"/>
      <c r="D74" s="59"/>
      <c r="E74" s="59"/>
      <c r="F74" s="32"/>
      <c r="G74" s="33"/>
      <c r="H74" s="34"/>
      <c r="I74" s="47"/>
      <c r="J74" s="36"/>
      <c r="K74" s="37"/>
      <c r="L74" s="38"/>
      <c r="M74" s="27"/>
      <c r="N74" s="28"/>
      <c r="O74" s="52"/>
    </row>
    <row r="75" spans="1:100" ht="15.75" customHeight="1" x14ac:dyDescent="0.35">
      <c r="A75" s="75">
        <v>1</v>
      </c>
      <c r="B75" s="55" t="s">
        <v>33</v>
      </c>
      <c r="C75" s="59">
        <v>18</v>
      </c>
      <c r="D75" s="32">
        <v>0</v>
      </c>
      <c r="E75" s="33">
        <f>C75*(1+D75)</f>
        <v>18</v>
      </c>
      <c r="F75" s="34" t="s">
        <v>5</v>
      </c>
      <c r="G75" s="107">
        <v>2.8</v>
      </c>
      <c r="H75" s="24">
        <f t="shared" ref="H75:H77" si="89">G75*E75</f>
        <v>50.4</v>
      </c>
      <c r="I75" s="25">
        <f t="shared" ref="I75:I77" si="90">L$4</f>
        <v>115</v>
      </c>
      <c r="J75" s="105">
        <v>2.6999999999999997</v>
      </c>
      <c r="K75" s="24">
        <f t="shared" ref="K75:K77" si="91">J75*I75</f>
        <v>310.49999999999994</v>
      </c>
      <c r="L75" s="79">
        <f t="shared" ref="L75:L77" si="92">K75+H75</f>
        <v>360.89999999999992</v>
      </c>
      <c r="M75" s="27"/>
      <c r="N75" s="28"/>
      <c r="O75" s="52"/>
    </row>
    <row r="76" spans="1:100" ht="15.75" customHeight="1" x14ac:dyDescent="0.35">
      <c r="A76" s="75">
        <v>2</v>
      </c>
      <c r="B76" s="80" t="s">
        <v>34</v>
      </c>
      <c r="C76" s="59">
        <v>18</v>
      </c>
      <c r="D76" s="32">
        <v>0</v>
      </c>
      <c r="E76" s="33">
        <f>C76*(1+D76)</f>
        <v>18</v>
      </c>
      <c r="F76" s="34" t="s">
        <v>5</v>
      </c>
      <c r="G76" s="107">
        <v>7.8</v>
      </c>
      <c r="H76" s="36">
        <f t="shared" si="89"/>
        <v>140.4</v>
      </c>
      <c r="I76" s="37">
        <f t="shared" si="90"/>
        <v>115</v>
      </c>
      <c r="J76" s="106">
        <v>3.6</v>
      </c>
      <c r="K76" s="36">
        <f t="shared" si="91"/>
        <v>414</v>
      </c>
      <c r="L76" s="28">
        <f t="shared" si="92"/>
        <v>554.4</v>
      </c>
      <c r="M76" s="27"/>
      <c r="N76" s="28"/>
      <c r="O76" s="52"/>
    </row>
    <row r="77" spans="1:100" ht="15.75" customHeight="1" x14ac:dyDescent="0.35">
      <c r="A77" s="81">
        <v>3</v>
      </c>
      <c r="B77" s="80" t="s">
        <v>129</v>
      </c>
      <c r="C77" s="63">
        <v>5</v>
      </c>
      <c r="D77" s="32">
        <v>0</v>
      </c>
      <c r="E77" s="33">
        <f>C77*(1+D77)</f>
        <v>5</v>
      </c>
      <c r="F77" s="34" t="s">
        <v>5</v>
      </c>
      <c r="G77" s="107">
        <v>12.85</v>
      </c>
      <c r="H77" s="36">
        <f t="shared" si="89"/>
        <v>64.25</v>
      </c>
      <c r="I77" s="37">
        <f t="shared" si="90"/>
        <v>115</v>
      </c>
      <c r="J77" s="106">
        <v>2</v>
      </c>
      <c r="K77" s="36">
        <f t="shared" si="91"/>
        <v>230</v>
      </c>
      <c r="L77" s="28">
        <f t="shared" si="92"/>
        <v>294.25</v>
      </c>
      <c r="M77" s="27"/>
      <c r="N77" s="28"/>
      <c r="O77" s="52"/>
    </row>
    <row r="78" spans="1:100" ht="15.75" customHeight="1" thickBot="1" x14ac:dyDescent="0.4">
      <c r="A78" s="82"/>
      <c r="B78" s="83"/>
      <c r="C78" s="63"/>
      <c r="D78" s="63"/>
      <c r="E78" s="63"/>
      <c r="F78" s="64"/>
      <c r="G78" s="65"/>
      <c r="H78" s="66"/>
      <c r="I78" s="68"/>
      <c r="J78" s="69"/>
      <c r="K78" s="70"/>
      <c r="L78" s="71"/>
      <c r="M78" s="27"/>
      <c r="N78" s="28"/>
      <c r="O78" s="52"/>
    </row>
    <row r="79" spans="1:100" ht="16" thickBot="1" x14ac:dyDescent="0.4">
      <c r="A79" s="125" t="s">
        <v>24</v>
      </c>
      <c r="B79" s="126"/>
      <c r="C79" s="126"/>
      <c r="D79" s="126"/>
      <c r="E79" s="126"/>
      <c r="F79" s="126"/>
      <c r="G79" s="126"/>
      <c r="H79" s="126"/>
      <c r="I79" s="126"/>
      <c r="J79" s="127"/>
      <c r="K79" s="128">
        <f>SUM(H8:H77)</f>
        <v>20941.797000000002</v>
      </c>
      <c r="L79" s="129"/>
    </row>
    <row r="80" spans="1:100" ht="16" thickBot="1" x14ac:dyDescent="0.4">
      <c r="A80" s="125" t="s">
        <v>25</v>
      </c>
      <c r="B80" s="126"/>
      <c r="C80" s="126"/>
      <c r="D80" s="126"/>
      <c r="E80" s="126"/>
      <c r="F80" s="126"/>
      <c r="G80" s="126"/>
      <c r="H80" s="126"/>
      <c r="I80" s="126"/>
      <c r="J80" s="127"/>
      <c r="K80" s="128">
        <f>SUM(K8:K77)</f>
        <v>19203.654500000001</v>
      </c>
      <c r="L80" s="129"/>
    </row>
    <row r="81" spans="1:12" ht="16" thickBot="1" x14ac:dyDescent="0.4">
      <c r="A81" s="125" t="s">
        <v>26</v>
      </c>
      <c r="B81" s="126"/>
      <c r="C81" s="126"/>
      <c r="D81" s="126"/>
      <c r="E81" s="126"/>
      <c r="F81" s="126"/>
      <c r="G81" s="126"/>
      <c r="H81" s="126"/>
      <c r="I81" s="126"/>
      <c r="J81" s="127"/>
      <c r="K81" s="128">
        <f>K79+K80</f>
        <v>40145.451500000003</v>
      </c>
      <c r="L81" s="129"/>
    </row>
    <row r="82" spans="1:12" ht="16" thickBot="1" x14ac:dyDescent="0.4">
      <c r="A82" s="125" t="s">
        <v>27</v>
      </c>
      <c r="B82" s="126"/>
      <c r="C82" s="126"/>
      <c r="D82" s="126"/>
      <c r="E82" s="126"/>
      <c r="F82" s="126"/>
      <c r="G82" s="126"/>
      <c r="H82" s="126"/>
      <c r="I82" s="126"/>
      <c r="J82" s="84">
        <v>0.25</v>
      </c>
      <c r="K82" s="128">
        <f>K81*J82</f>
        <v>10036.362875000001</v>
      </c>
      <c r="L82" s="129"/>
    </row>
    <row r="83" spans="1:12" ht="16" thickBot="1" x14ac:dyDescent="0.4">
      <c r="A83" s="125" t="s">
        <v>28</v>
      </c>
      <c r="B83" s="126"/>
      <c r="C83" s="126"/>
      <c r="D83" s="126"/>
      <c r="E83" s="126"/>
      <c r="F83" s="126"/>
      <c r="G83" s="126"/>
      <c r="H83" s="126"/>
      <c r="I83" s="126"/>
      <c r="J83" s="127"/>
      <c r="K83" s="128">
        <f>K82+K81</f>
        <v>50181.814375000002</v>
      </c>
      <c r="L83" s="129"/>
    </row>
    <row r="84" spans="1:12" ht="16" thickBot="1" x14ac:dyDescent="0.4">
      <c r="A84" s="122" t="s">
        <v>9</v>
      </c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4"/>
    </row>
    <row r="85" spans="1:12" ht="16" thickBot="1" x14ac:dyDescent="0.4">
      <c r="A85" s="102" t="s">
        <v>10</v>
      </c>
      <c r="B85" s="149" t="s">
        <v>11</v>
      </c>
      <c r="C85" s="123"/>
      <c r="D85" s="123"/>
      <c r="E85" s="123"/>
      <c r="F85" s="123"/>
      <c r="G85" s="123"/>
      <c r="H85" s="123"/>
      <c r="I85" s="123"/>
      <c r="J85" s="123"/>
      <c r="K85" s="123"/>
      <c r="L85" s="124"/>
    </row>
    <row r="86" spans="1:12" x14ac:dyDescent="0.35">
      <c r="A86" s="85">
        <v>1</v>
      </c>
      <c r="B86" s="133" t="s">
        <v>119</v>
      </c>
      <c r="C86" s="134"/>
      <c r="D86" s="134"/>
      <c r="E86" s="134"/>
      <c r="F86" s="134"/>
      <c r="G86" s="134"/>
      <c r="H86" s="134"/>
      <c r="I86" s="134"/>
      <c r="J86" s="134"/>
      <c r="K86" s="134"/>
      <c r="L86" s="135"/>
    </row>
    <row r="87" spans="1:12" x14ac:dyDescent="0.35">
      <c r="A87" s="86">
        <v>2</v>
      </c>
      <c r="B87" s="136" t="s">
        <v>120</v>
      </c>
      <c r="C87" s="137"/>
      <c r="D87" s="137"/>
      <c r="E87" s="137"/>
      <c r="F87" s="137"/>
      <c r="G87" s="137"/>
      <c r="H87" s="137"/>
      <c r="I87" s="137"/>
      <c r="J87" s="137"/>
      <c r="K87" s="137"/>
      <c r="L87" s="138"/>
    </row>
    <row r="88" spans="1:12" x14ac:dyDescent="0.35">
      <c r="A88" s="85">
        <v>3</v>
      </c>
      <c r="B88" s="136" t="s">
        <v>121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8"/>
    </row>
    <row r="89" spans="1:12" x14ac:dyDescent="0.35">
      <c r="A89" s="85">
        <v>4</v>
      </c>
      <c r="B89" s="136" t="s">
        <v>122</v>
      </c>
      <c r="C89" s="137"/>
      <c r="D89" s="137"/>
      <c r="E89" s="137"/>
      <c r="F89" s="137"/>
      <c r="G89" s="137"/>
      <c r="H89" s="137"/>
      <c r="I89" s="137"/>
      <c r="J89" s="137"/>
      <c r="K89" s="137"/>
      <c r="L89" s="138"/>
    </row>
    <row r="90" spans="1:12" x14ac:dyDescent="0.35">
      <c r="A90" s="86">
        <v>5</v>
      </c>
      <c r="B90" s="136" t="s">
        <v>123</v>
      </c>
      <c r="C90" s="137"/>
      <c r="D90" s="137"/>
      <c r="E90" s="137"/>
      <c r="F90" s="137"/>
      <c r="G90" s="137"/>
      <c r="H90" s="137"/>
      <c r="I90" s="137"/>
      <c r="J90" s="137"/>
      <c r="K90" s="137"/>
      <c r="L90" s="138"/>
    </row>
    <row r="91" spans="1:12" x14ac:dyDescent="0.35">
      <c r="A91" s="87">
        <v>6</v>
      </c>
      <c r="B91" s="139" t="s">
        <v>124</v>
      </c>
      <c r="C91" s="140"/>
      <c r="D91" s="140"/>
      <c r="E91" s="140"/>
      <c r="F91" s="140"/>
      <c r="G91" s="140"/>
      <c r="H91" s="140"/>
      <c r="I91" s="140"/>
      <c r="J91" s="140"/>
      <c r="K91" s="140"/>
      <c r="L91" s="141"/>
    </row>
    <row r="92" spans="1:12" x14ac:dyDescent="0.35">
      <c r="A92" s="85">
        <v>7</v>
      </c>
      <c r="B92" s="133" t="s">
        <v>125</v>
      </c>
      <c r="C92" s="134"/>
      <c r="D92" s="134"/>
      <c r="E92" s="134"/>
      <c r="F92" s="134"/>
      <c r="G92" s="134"/>
      <c r="H92" s="134"/>
      <c r="I92" s="134"/>
      <c r="J92" s="134"/>
      <c r="K92" s="134"/>
      <c r="L92" s="135"/>
    </row>
    <row r="93" spans="1:12" x14ac:dyDescent="0.35">
      <c r="A93" s="85">
        <v>8</v>
      </c>
      <c r="B93" s="88" t="s">
        <v>126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5"/>
    </row>
    <row r="94" spans="1:12" x14ac:dyDescent="0.35">
      <c r="A94" s="85">
        <v>9</v>
      </c>
      <c r="B94" s="133" t="s">
        <v>127</v>
      </c>
      <c r="C94" s="134"/>
      <c r="D94" s="134"/>
      <c r="E94" s="134"/>
      <c r="F94" s="134"/>
      <c r="G94" s="134"/>
      <c r="H94" s="134"/>
      <c r="I94" s="134"/>
      <c r="J94" s="134"/>
      <c r="K94" s="134"/>
      <c r="L94" s="135"/>
    </row>
    <row r="95" spans="1:12" x14ac:dyDescent="0.35">
      <c r="A95" s="89">
        <v>10</v>
      </c>
      <c r="B95" s="136" t="s">
        <v>35</v>
      </c>
      <c r="C95" s="137"/>
      <c r="D95" s="137"/>
      <c r="E95" s="137"/>
      <c r="F95" s="137"/>
      <c r="G95" s="137"/>
      <c r="H95" s="137"/>
      <c r="I95" s="137"/>
      <c r="J95" s="137"/>
      <c r="K95" s="137"/>
      <c r="L95" s="138"/>
    </row>
    <row r="96" spans="1:12" x14ac:dyDescent="0.35">
      <c r="A96" s="89">
        <v>11</v>
      </c>
      <c r="B96" s="136" t="s">
        <v>36</v>
      </c>
      <c r="C96" s="137"/>
      <c r="D96" s="137"/>
      <c r="E96" s="137"/>
      <c r="F96" s="137"/>
      <c r="G96" s="137"/>
      <c r="H96" s="137"/>
      <c r="I96" s="137"/>
      <c r="J96" s="137"/>
      <c r="K96" s="137"/>
      <c r="L96" s="138"/>
    </row>
    <row r="97" spans="1:12" x14ac:dyDescent="0.35">
      <c r="A97" s="89">
        <v>12</v>
      </c>
      <c r="B97" s="136" t="s">
        <v>128</v>
      </c>
      <c r="C97" s="137"/>
      <c r="D97" s="137"/>
      <c r="E97" s="137"/>
      <c r="F97" s="137"/>
      <c r="G97" s="137"/>
      <c r="H97" s="137"/>
      <c r="I97" s="137"/>
      <c r="J97" s="137"/>
      <c r="K97" s="137"/>
      <c r="L97" s="138"/>
    </row>
    <row r="98" spans="1:12" ht="16" thickBot="1" x14ac:dyDescent="0.4">
      <c r="A98" s="90"/>
      <c r="B98" s="88"/>
      <c r="C98" s="142"/>
      <c r="D98" s="142"/>
      <c r="E98" s="142"/>
      <c r="F98" s="142"/>
      <c r="G98" s="142"/>
      <c r="H98" s="142"/>
      <c r="I98" s="142"/>
      <c r="J98" s="142"/>
      <c r="K98" s="142"/>
      <c r="L98" s="143"/>
    </row>
    <row r="99" spans="1:12" ht="16" thickBot="1" x14ac:dyDescent="0.4">
      <c r="A99" s="102" t="s">
        <v>133</v>
      </c>
      <c r="B99" s="149" t="s">
        <v>12</v>
      </c>
      <c r="C99" s="123"/>
      <c r="D99" s="123"/>
      <c r="E99" s="123"/>
      <c r="F99" s="123"/>
      <c r="G99" s="123"/>
      <c r="H99" s="123"/>
      <c r="I99" s="123"/>
      <c r="J99" s="123"/>
      <c r="K99" s="123"/>
      <c r="L99" s="124"/>
    </row>
    <row r="100" spans="1:12" ht="16" thickBot="1" x14ac:dyDescent="0.4">
      <c r="A100" s="103">
        <v>1</v>
      </c>
      <c r="B100" s="130" t="s">
        <v>134</v>
      </c>
      <c r="C100" s="131"/>
      <c r="D100" s="131"/>
      <c r="E100" s="131"/>
      <c r="F100" s="131"/>
      <c r="G100" s="131"/>
      <c r="H100" s="131"/>
      <c r="I100" s="131"/>
      <c r="J100" s="131"/>
      <c r="K100" s="131"/>
      <c r="L100" s="132"/>
    </row>
  </sheetData>
  <mergeCells count="51">
    <mergeCell ref="C2:C3"/>
    <mergeCell ref="A6:B6"/>
    <mergeCell ref="B99:L99"/>
    <mergeCell ref="J4:K4"/>
    <mergeCell ref="A79:J79"/>
    <mergeCell ref="K79:L79"/>
    <mergeCell ref="A80:J80"/>
    <mergeCell ref="K80:L80"/>
    <mergeCell ref="A81:J81"/>
    <mergeCell ref="K81:L81"/>
    <mergeCell ref="A82:I82"/>
    <mergeCell ref="K82:L82"/>
    <mergeCell ref="B85:L85"/>
    <mergeCell ref="A36:B36"/>
    <mergeCell ref="A23:B23"/>
    <mergeCell ref="A11:B11"/>
    <mergeCell ref="B100:L100"/>
    <mergeCell ref="B86:L86"/>
    <mergeCell ref="B87:L87"/>
    <mergeCell ref="B88:L88"/>
    <mergeCell ref="B89:L89"/>
    <mergeCell ref="B90:L90"/>
    <mergeCell ref="B92:L92"/>
    <mergeCell ref="B94:L94"/>
    <mergeCell ref="B91:L91"/>
    <mergeCell ref="C98:L98"/>
    <mergeCell ref="B95:L95"/>
    <mergeCell ref="B96:L96"/>
    <mergeCell ref="B97:L97"/>
    <mergeCell ref="C93:L93"/>
    <mergeCell ref="A62:B62"/>
    <mergeCell ref="A65:B65"/>
    <mergeCell ref="A74:B74"/>
    <mergeCell ref="A84:L84"/>
    <mergeCell ref="A83:J83"/>
    <mergeCell ref="K83:L83"/>
    <mergeCell ref="A68:B68"/>
    <mergeCell ref="A71:B71"/>
    <mergeCell ref="A7:B7"/>
    <mergeCell ref="A53:B53"/>
    <mergeCell ref="A57:B57"/>
    <mergeCell ref="A58:B58"/>
    <mergeCell ref="A61:B61"/>
    <mergeCell ref="A44:B44"/>
    <mergeCell ref="A54:B54"/>
    <mergeCell ref="A26:B26"/>
    <mergeCell ref="A29:B29"/>
    <mergeCell ref="A32:B32"/>
    <mergeCell ref="A47:B47"/>
    <mergeCell ref="A50:B50"/>
    <mergeCell ref="A40:B40"/>
  </mergeCells>
  <phoneticPr fontId="25" type="noConversion"/>
  <printOptions horizontalCentered="1" verticalCentered="1"/>
  <pageMargins left="0.7" right="0.7" top="0.75" bottom="0.75" header="0.3" footer="0.3"/>
  <pageSetup scale="2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="80" zoomScaleNormal="80" zoomScaleSheetLayoutView="15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9140625" defaultRowHeight="15.5" x14ac:dyDescent="0.35"/>
  <cols>
    <col min="1" max="1" width="4.4609375" style="1" customWidth="1"/>
    <col min="2" max="2" width="53" style="1" customWidth="1"/>
    <col min="3" max="3" width="8.3046875" style="2" bestFit="1" customWidth="1"/>
    <col min="4" max="4" width="8.3046875" style="1" bestFit="1" customWidth="1"/>
    <col min="5" max="5" width="7.84375" style="2" bestFit="1" customWidth="1"/>
    <col min="6" max="6" width="5" style="1" bestFit="1" customWidth="1"/>
    <col min="7" max="16384" width="8.69140625" style="1"/>
  </cols>
  <sheetData>
    <row r="1" spans="1:6" ht="18.5" x14ac:dyDescent="0.35">
      <c r="A1" s="115"/>
      <c r="B1" s="112"/>
      <c r="C1" s="3" t="s">
        <v>3</v>
      </c>
      <c r="D1" s="3"/>
    </row>
    <row r="2" spans="1:6" ht="19" customHeight="1" x14ac:dyDescent="0.35">
      <c r="A2" s="4" t="s">
        <v>22</v>
      </c>
      <c r="C2" s="146" t="s">
        <v>4</v>
      </c>
      <c r="D2" s="5"/>
      <c r="F2" s="6"/>
    </row>
    <row r="3" spans="1:6" ht="18.5" x14ac:dyDescent="0.35">
      <c r="A3" s="4" t="s">
        <v>23</v>
      </c>
      <c r="C3" s="146"/>
      <c r="D3" s="6"/>
      <c r="F3" s="6"/>
    </row>
    <row r="4" spans="1:6" ht="16" thickBot="1" x14ac:dyDescent="0.4">
      <c r="A4" s="10" t="s">
        <v>118</v>
      </c>
      <c r="C4" s="5" t="s">
        <v>8</v>
      </c>
      <c r="D4" s="91">
        <v>0</v>
      </c>
    </row>
    <row r="5" spans="1:6" ht="41.15" customHeight="1" thickBot="1" x14ac:dyDescent="0.4">
      <c r="A5" s="11" t="s">
        <v>14</v>
      </c>
      <c r="B5" s="12" t="s">
        <v>0</v>
      </c>
      <c r="C5" s="12" t="s">
        <v>1</v>
      </c>
      <c r="D5" s="11" t="s">
        <v>15</v>
      </c>
      <c r="E5" s="11" t="s">
        <v>2</v>
      </c>
      <c r="F5" s="11" t="s">
        <v>16</v>
      </c>
    </row>
    <row r="6" spans="1:6" s="19" customFormat="1" ht="16" thickBot="1" x14ac:dyDescent="0.4">
      <c r="A6" s="147" t="s">
        <v>113</v>
      </c>
      <c r="B6" s="148"/>
      <c r="C6" s="15"/>
      <c r="D6" s="16"/>
      <c r="E6" s="16"/>
      <c r="F6" s="17"/>
    </row>
    <row r="7" spans="1:6" s="30" customFormat="1" ht="15.75" customHeight="1" thickBot="1" x14ac:dyDescent="0.4">
      <c r="A7" s="152" t="s">
        <v>30</v>
      </c>
      <c r="B7" s="153"/>
      <c r="C7" s="20"/>
      <c r="D7" s="20"/>
      <c r="E7" s="20"/>
      <c r="F7" s="93"/>
    </row>
    <row r="8" spans="1:6" s="30" customFormat="1" ht="15.75" customHeight="1" x14ac:dyDescent="0.35">
      <c r="A8" s="154" t="s">
        <v>71</v>
      </c>
      <c r="B8" s="155"/>
      <c r="C8" s="31"/>
      <c r="D8" s="32"/>
      <c r="E8" s="33"/>
      <c r="F8" s="94"/>
    </row>
    <row r="9" spans="1:6" s="30" customFormat="1" ht="15.75" customHeight="1" x14ac:dyDescent="0.35">
      <c r="A9" s="39">
        <v>1</v>
      </c>
      <c r="B9" s="40" t="s">
        <v>45</v>
      </c>
      <c r="C9" s="31">
        <v>27</v>
      </c>
      <c r="D9" s="32">
        <v>0.1</v>
      </c>
      <c r="E9" s="41">
        <f t="shared" ref="E9:E16" si="0">C9*(1+D9)</f>
        <v>29.700000000000003</v>
      </c>
      <c r="F9" s="94" t="s">
        <v>6</v>
      </c>
    </row>
    <row r="10" spans="1:6" s="30" customFormat="1" ht="15.75" customHeight="1" x14ac:dyDescent="0.35">
      <c r="A10" s="39">
        <v>2</v>
      </c>
      <c r="B10" s="40" t="s">
        <v>46</v>
      </c>
      <c r="C10" s="31">
        <v>34</v>
      </c>
      <c r="D10" s="32">
        <v>0.1</v>
      </c>
      <c r="E10" s="41">
        <f t="shared" si="0"/>
        <v>37.400000000000006</v>
      </c>
      <c r="F10" s="94" t="s">
        <v>6</v>
      </c>
    </row>
    <row r="11" spans="1:6" s="30" customFormat="1" ht="15.75" customHeight="1" x14ac:dyDescent="0.35">
      <c r="A11" s="39">
        <v>3</v>
      </c>
      <c r="B11" s="40" t="s">
        <v>47</v>
      </c>
      <c r="C11" s="31">
        <v>23</v>
      </c>
      <c r="D11" s="32">
        <v>0.1</v>
      </c>
      <c r="E11" s="41">
        <f t="shared" si="0"/>
        <v>25.3</v>
      </c>
      <c r="F11" s="94" t="s">
        <v>6</v>
      </c>
    </row>
    <row r="12" spans="1:6" s="30" customFormat="1" ht="15.75" customHeight="1" x14ac:dyDescent="0.35">
      <c r="A12" s="39">
        <v>4</v>
      </c>
      <c r="B12" s="40" t="s">
        <v>39</v>
      </c>
      <c r="C12" s="31">
        <v>52</v>
      </c>
      <c r="D12" s="32">
        <v>0.1</v>
      </c>
      <c r="E12" s="41">
        <f t="shared" si="0"/>
        <v>57.2</v>
      </c>
      <c r="F12" s="94" t="s">
        <v>6</v>
      </c>
    </row>
    <row r="13" spans="1:6" s="30" customFormat="1" ht="15.75" customHeight="1" x14ac:dyDescent="0.35">
      <c r="A13" s="39">
        <v>5</v>
      </c>
      <c r="B13" s="40" t="s">
        <v>48</v>
      </c>
      <c r="C13" s="31">
        <v>8</v>
      </c>
      <c r="D13" s="32">
        <v>0.1</v>
      </c>
      <c r="E13" s="41">
        <f t="shared" si="0"/>
        <v>8.8000000000000007</v>
      </c>
      <c r="F13" s="94" t="s">
        <v>6</v>
      </c>
    </row>
    <row r="14" spans="1:6" s="30" customFormat="1" ht="15.75" customHeight="1" x14ac:dyDescent="0.35">
      <c r="A14" s="39">
        <v>6</v>
      </c>
      <c r="B14" s="40" t="s">
        <v>49</v>
      </c>
      <c r="C14" s="31">
        <v>8</v>
      </c>
      <c r="D14" s="32">
        <v>0.1</v>
      </c>
      <c r="E14" s="41">
        <f t="shared" si="0"/>
        <v>8.8000000000000007</v>
      </c>
      <c r="F14" s="94" t="s">
        <v>6</v>
      </c>
    </row>
    <row r="15" spans="1:6" s="30" customFormat="1" ht="15.75" customHeight="1" x14ac:dyDescent="0.35">
      <c r="A15" s="39">
        <v>7</v>
      </c>
      <c r="B15" s="40" t="s">
        <v>87</v>
      </c>
      <c r="C15" s="31">
        <v>8</v>
      </c>
      <c r="D15" s="32">
        <v>0.1</v>
      </c>
      <c r="E15" s="41">
        <f t="shared" si="0"/>
        <v>8.8000000000000007</v>
      </c>
      <c r="F15" s="94" t="s">
        <v>6</v>
      </c>
    </row>
    <row r="16" spans="1:6" s="30" customFormat="1" ht="15.75" customHeight="1" x14ac:dyDescent="0.35">
      <c r="A16" s="39">
        <v>8</v>
      </c>
      <c r="B16" s="40" t="s">
        <v>69</v>
      </c>
      <c r="C16" s="31">
        <v>24</v>
      </c>
      <c r="D16" s="32">
        <v>0.1</v>
      </c>
      <c r="E16" s="41">
        <f t="shared" si="0"/>
        <v>26.400000000000002</v>
      </c>
      <c r="F16" s="94" t="s">
        <v>6</v>
      </c>
    </row>
    <row r="17" spans="1:7" s="30" customFormat="1" ht="15.75" customHeight="1" thickBot="1" x14ac:dyDescent="0.4">
      <c r="A17" s="42"/>
      <c r="B17" s="43"/>
      <c r="C17" s="44"/>
      <c r="D17" s="32"/>
      <c r="E17" s="33"/>
      <c r="F17" s="94"/>
    </row>
    <row r="18" spans="1:7" s="30" customFormat="1" ht="15.75" customHeight="1" thickBot="1" x14ac:dyDescent="0.4">
      <c r="A18" s="156" t="s">
        <v>114</v>
      </c>
      <c r="B18" s="157"/>
      <c r="C18" s="44"/>
      <c r="D18" s="44"/>
      <c r="E18" s="44"/>
      <c r="F18" s="95"/>
    </row>
    <row r="19" spans="1:7" s="50" customFormat="1" ht="15.75" customHeight="1" thickBot="1" x14ac:dyDescent="0.4">
      <c r="A19" s="116" t="s">
        <v>77</v>
      </c>
      <c r="B19" s="117"/>
      <c r="C19" s="46"/>
      <c r="D19" s="46"/>
      <c r="E19" s="46"/>
      <c r="F19" s="95"/>
      <c r="G19" s="49"/>
    </row>
    <row r="20" spans="1:7" ht="15.75" customHeight="1" x14ac:dyDescent="0.35">
      <c r="A20" s="51">
        <v>1</v>
      </c>
      <c r="B20" s="40" t="s">
        <v>43</v>
      </c>
      <c r="C20" s="44">
        <v>2</v>
      </c>
      <c r="D20" s="32">
        <v>0</v>
      </c>
      <c r="E20" s="33">
        <f>C20*(1+D20)</f>
        <v>2</v>
      </c>
      <c r="F20" s="94" t="s">
        <v>5</v>
      </c>
    </row>
    <row r="21" spans="1:7" ht="15.75" customHeight="1" x14ac:dyDescent="0.35">
      <c r="A21" s="51">
        <v>2</v>
      </c>
      <c r="B21" s="40" t="s">
        <v>55</v>
      </c>
      <c r="C21" s="44">
        <v>1</v>
      </c>
      <c r="D21" s="32">
        <v>0</v>
      </c>
      <c r="E21" s="33">
        <f>C21*(1+D21)</f>
        <v>1</v>
      </c>
      <c r="F21" s="94" t="s">
        <v>5</v>
      </c>
    </row>
    <row r="22" spans="1:7" ht="15.75" customHeight="1" x14ac:dyDescent="0.35">
      <c r="A22" s="51">
        <v>3</v>
      </c>
      <c r="B22" s="40" t="s">
        <v>54</v>
      </c>
      <c r="C22" s="44">
        <v>1</v>
      </c>
      <c r="D22" s="32">
        <v>0</v>
      </c>
      <c r="E22" s="33">
        <f>C22*(1+D22)</f>
        <v>1</v>
      </c>
      <c r="F22" s="94" t="s">
        <v>5</v>
      </c>
    </row>
    <row r="23" spans="1:7" ht="15.75" customHeight="1" thickBot="1" x14ac:dyDescent="0.4">
      <c r="A23" s="51"/>
      <c r="B23" s="40"/>
      <c r="C23" s="44"/>
      <c r="D23" s="32"/>
      <c r="E23" s="33"/>
      <c r="F23" s="94"/>
    </row>
    <row r="24" spans="1:7" ht="15.75" customHeight="1" thickBot="1" x14ac:dyDescent="0.4">
      <c r="A24" s="116" t="s">
        <v>131</v>
      </c>
      <c r="B24" s="117"/>
      <c r="C24" s="44"/>
      <c r="D24" s="32"/>
      <c r="E24" s="33"/>
      <c r="F24" s="94"/>
    </row>
    <row r="25" spans="1:7" ht="15.75" customHeight="1" x14ac:dyDescent="0.35">
      <c r="A25" s="51">
        <v>1</v>
      </c>
      <c r="B25" s="40" t="s">
        <v>53</v>
      </c>
      <c r="C25" s="44">
        <v>3</v>
      </c>
      <c r="D25" s="32">
        <v>0</v>
      </c>
      <c r="E25" s="33">
        <f>C25*(1+D25)</f>
        <v>3</v>
      </c>
      <c r="F25" s="94" t="s">
        <v>5</v>
      </c>
    </row>
    <row r="26" spans="1:7" ht="15.75" customHeight="1" x14ac:dyDescent="0.35">
      <c r="A26" s="51">
        <v>2</v>
      </c>
      <c r="B26" s="40" t="s">
        <v>88</v>
      </c>
      <c r="C26" s="44">
        <v>2</v>
      </c>
      <c r="D26" s="32">
        <v>0</v>
      </c>
      <c r="E26" s="33">
        <f t="shared" ref="E26:E29" si="1">C26*(1+D26)</f>
        <v>2</v>
      </c>
      <c r="F26" s="94" t="s">
        <v>5</v>
      </c>
    </row>
    <row r="27" spans="1:7" ht="15.75" customHeight="1" x14ac:dyDescent="0.35">
      <c r="A27" s="51">
        <v>3</v>
      </c>
      <c r="B27" s="40" t="s">
        <v>89</v>
      </c>
      <c r="C27" s="44">
        <v>2</v>
      </c>
      <c r="D27" s="32">
        <v>0</v>
      </c>
      <c r="E27" s="33">
        <f t="shared" si="1"/>
        <v>2</v>
      </c>
      <c r="F27" s="94" t="s">
        <v>5</v>
      </c>
    </row>
    <row r="28" spans="1:7" ht="15.75" customHeight="1" x14ac:dyDescent="0.35">
      <c r="A28" s="51">
        <v>4</v>
      </c>
      <c r="B28" s="40" t="s">
        <v>90</v>
      </c>
      <c r="C28" s="44">
        <v>2</v>
      </c>
      <c r="D28" s="32">
        <v>0</v>
      </c>
      <c r="E28" s="33">
        <f t="shared" si="1"/>
        <v>2</v>
      </c>
      <c r="F28" s="94" t="s">
        <v>5</v>
      </c>
    </row>
    <row r="29" spans="1:7" ht="15.75" customHeight="1" x14ac:dyDescent="0.35">
      <c r="A29" s="51">
        <v>5</v>
      </c>
      <c r="B29" s="40" t="s">
        <v>43</v>
      </c>
      <c r="C29" s="44">
        <v>2</v>
      </c>
      <c r="D29" s="32">
        <v>0</v>
      </c>
      <c r="E29" s="33">
        <f t="shared" si="1"/>
        <v>2</v>
      </c>
      <c r="F29" s="94" t="s">
        <v>5</v>
      </c>
    </row>
    <row r="30" spans="1:7" ht="15.75" customHeight="1" thickBot="1" x14ac:dyDescent="0.4">
      <c r="A30" s="51"/>
      <c r="B30" s="40"/>
      <c r="C30" s="44"/>
      <c r="D30" s="32"/>
      <c r="E30" s="33"/>
      <c r="F30" s="94"/>
    </row>
    <row r="31" spans="1:7" ht="15.75" customHeight="1" thickBot="1" x14ac:dyDescent="0.4">
      <c r="A31" s="116" t="s">
        <v>38</v>
      </c>
      <c r="B31" s="117"/>
      <c r="C31" s="44"/>
      <c r="D31" s="32"/>
      <c r="E31" s="33"/>
      <c r="F31" s="94"/>
    </row>
    <row r="32" spans="1:7" ht="15.75" customHeight="1" x14ac:dyDescent="0.35">
      <c r="A32" s="51">
        <v>1</v>
      </c>
      <c r="B32" s="40" t="s">
        <v>91</v>
      </c>
      <c r="C32" s="44">
        <v>1</v>
      </c>
      <c r="D32" s="32">
        <v>0</v>
      </c>
      <c r="E32" s="33">
        <f>C32*(1+D32)</f>
        <v>1</v>
      </c>
      <c r="F32" s="94" t="s">
        <v>5</v>
      </c>
    </row>
    <row r="33" spans="1:6" ht="15.75" customHeight="1" x14ac:dyDescent="0.35">
      <c r="A33" s="51">
        <v>2</v>
      </c>
      <c r="B33" s="40" t="s">
        <v>98</v>
      </c>
      <c r="C33" s="44">
        <v>1</v>
      </c>
      <c r="D33" s="32">
        <v>0</v>
      </c>
      <c r="E33" s="33">
        <f>C33*(1+D33)</f>
        <v>1</v>
      </c>
      <c r="F33" s="94" t="s">
        <v>5</v>
      </c>
    </row>
    <row r="34" spans="1:6" ht="15.75" customHeight="1" x14ac:dyDescent="0.35">
      <c r="A34" s="51">
        <v>3</v>
      </c>
      <c r="B34" s="40" t="s">
        <v>92</v>
      </c>
      <c r="C34" s="44">
        <v>3</v>
      </c>
      <c r="D34" s="32">
        <v>0</v>
      </c>
      <c r="E34" s="33">
        <f t="shared" ref="E34:E39" si="2">C34*(1+D34)</f>
        <v>3</v>
      </c>
      <c r="F34" s="94" t="s">
        <v>5</v>
      </c>
    </row>
    <row r="35" spans="1:6" ht="15.75" customHeight="1" x14ac:dyDescent="0.35">
      <c r="A35" s="51">
        <v>4</v>
      </c>
      <c r="B35" s="40" t="s">
        <v>83</v>
      </c>
      <c r="C35" s="44">
        <v>2</v>
      </c>
      <c r="D35" s="32">
        <v>0</v>
      </c>
      <c r="E35" s="33">
        <f t="shared" si="2"/>
        <v>2</v>
      </c>
      <c r="F35" s="94" t="s">
        <v>5</v>
      </c>
    </row>
    <row r="36" spans="1:6" ht="15.75" customHeight="1" x14ac:dyDescent="0.35">
      <c r="A36" s="51">
        <v>5</v>
      </c>
      <c r="B36" s="40" t="s">
        <v>93</v>
      </c>
      <c r="C36" s="44">
        <v>1</v>
      </c>
      <c r="D36" s="32">
        <v>0</v>
      </c>
      <c r="E36" s="33">
        <f t="shared" si="2"/>
        <v>1</v>
      </c>
      <c r="F36" s="94" t="s">
        <v>5</v>
      </c>
    </row>
    <row r="37" spans="1:6" ht="15.75" customHeight="1" x14ac:dyDescent="0.35">
      <c r="A37" s="51">
        <v>6</v>
      </c>
      <c r="B37" s="40" t="s">
        <v>50</v>
      </c>
      <c r="C37" s="44">
        <v>1</v>
      </c>
      <c r="D37" s="32">
        <v>0</v>
      </c>
      <c r="E37" s="33">
        <f t="shared" si="2"/>
        <v>1</v>
      </c>
      <c r="F37" s="94" t="s">
        <v>5</v>
      </c>
    </row>
    <row r="38" spans="1:6" ht="15.75" customHeight="1" x14ac:dyDescent="0.35">
      <c r="A38" s="51">
        <v>7</v>
      </c>
      <c r="B38" s="40" t="s">
        <v>94</v>
      </c>
      <c r="C38" s="44">
        <v>1</v>
      </c>
      <c r="D38" s="32">
        <v>0</v>
      </c>
      <c r="E38" s="33">
        <f t="shared" si="2"/>
        <v>1</v>
      </c>
      <c r="F38" s="94" t="s">
        <v>5</v>
      </c>
    </row>
    <row r="39" spans="1:6" ht="15.75" customHeight="1" x14ac:dyDescent="0.35">
      <c r="A39" s="51">
        <v>8</v>
      </c>
      <c r="B39" s="40" t="s">
        <v>95</v>
      </c>
      <c r="C39" s="44">
        <v>1</v>
      </c>
      <c r="D39" s="32">
        <v>0</v>
      </c>
      <c r="E39" s="33">
        <f t="shared" si="2"/>
        <v>1</v>
      </c>
      <c r="F39" s="94" t="s">
        <v>5</v>
      </c>
    </row>
    <row r="40" spans="1:6" ht="15.75" customHeight="1" thickBot="1" x14ac:dyDescent="0.4">
      <c r="A40" s="51"/>
      <c r="B40" s="53"/>
      <c r="C40" s="44"/>
      <c r="D40" s="32"/>
      <c r="E40" s="33"/>
      <c r="F40" s="94"/>
    </row>
    <row r="41" spans="1:6" ht="15.75" customHeight="1" thickBot="1" x14ac:dyDescent="0.4">
      <c r="A41" s="116" t="s">
        <v>37</v>
      </c>
      <c r="B41" s="117"/>
      <c r="C41" s="44"/>
      <c r="D41" s="32"/>
      <c r="E41" s="33"/>
      <c r="F41" s="94"/>
    </row>
    <row r="42" spans="1:6" ht="15.75" customHeight="1" x14ac:dyDescent="0.35">
      <c r="A42" s="51">
        <v>1</v>
      </c>
      <c r="B42" s="40" t="s">
        <v>51</v>
      </c>
      <c r="C42" s="44">
        <v>1</v>
      </c>
      <c r="D42" s="32">
        <v>0</v>
      </c>
      <c r="E42" s="33">
        <f>C42*(1+D42)</f>
        <v>1</v>
      </c>
      <c r="F42" s="94" t="s">
        <v>5</v>
      </c>
    </row>
    <row r="43" spans="1:6" ht="15.75" customHeight="1" x14ac:dyDescent="0.35">
      <c r="A43" s="51">
        <v>2</v>
      </c>
      <c r="B43" s="40" t="s">
        <v>52</v>
      </c>
      <c r="C43" s="44">
        <v>2</v>
      </c>
      <c r="D43" s="32">
        <v>0</v>
      </c>
      <c r="E43" s="33">
        <f>C43*(1+D43)</f>
        <v>2</v>
      </c>
      <c r="F43" s="94" t="s">
        <v>5</v>
      </c>
    </row>
    <row r="44" spans="1:6" ht="15.75" customHeight="1" x14ac:dyDescent="0.35">
      <c r="A44" s="51">
        <v>3</v>
      </c>
      <c r="B44" s="40" t="s">
        <v>96</v>
      </c>
      <c r="C44" s="44">
        <v>1</v>
      </c>
      <c r="D44" s="32">
        <v>0</v>
      </c>
      <c r="E44" s="33">
        <f>C44*(1+D44)</f>
        <v>1</v>
      </c>
      <c r="F44" s="94" t="s">
        <v>5</v>
      </c>
    </row>
    <row r="45" spans="1:6" ht="15.75" customHeight="1" x14ac:dyDescent="0.35">
      <c r="A45" s="51">
        <v>3</v>
      </c>
      <c r="B45" s="40" t="s">
        <v>97</v>
      </c>
      <c r="C45" s="44">
        <v>1</v>
      </c>
      <c r="D45" s="32">
        <v>0</v>
      </c>
      <c r="E45" s="33">
        <f>C45*(1+D45)</f>
        <v>1</v>
      </c>
      <c r="F45" s="94" t="s">
        <v>5</v>
      </c>
    </row>
    <row r="46" spans="1:6" ht="15.75" customHeight="1" thickBot="1" x14ac:dyDescent="0.4">
      <c r="A46" s="96"/>
      <c r="B46" s="97"/>
      <c r="C46" s="98"/>
      <c r="D46" s="99"/>
      <c r="E46" s="100"/>
      <c r="F46" s="101"/>
    </row>
  </sheetData>
  <mergeCells count="9">
    <mergeCell ref="A19:B19"/>
    <mergeCell ref="A24:B24"/>
    <mergeCell ref="A31:B31"/>
    <mergeCell ref="A41:B41"/>
    <mergeCell ref="C2:C3"/>
    <mergeCell ref="A6:B6"/>
    <mergeCell ref="A7:B7"/>
    <mergeCell ref="A8:B8"/>
    <mergeCell ref="A18:B18"/>
  </mergeCells>
  <printOptions horizontalCentered="1" verticalCentered="1"/>
  <pageMargins left="0.7" right="0.7" top="0.75" bottom="0.75" header="0.3" footer="0.3"/>
  <pageSetup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HVAC Estimate</vt:lpstr>
      <vt:lpstr>Duct Takeoff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Marks</dc:creator>
  <cp:lastModifiedBy>City</cp:lastModifiedBy>
  <cp:lastPrinted>2016-11-10T19:38:15Z</cp:lastPrinted>
  <dcterms:created xsi:type="dcterms:W3CDTF">2004-05-05T14:08:18Z</dcterms:created>
  <dcterms:modified xsi:type="dcterms:W3CDTF">2023-03-17T13:44:42Z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