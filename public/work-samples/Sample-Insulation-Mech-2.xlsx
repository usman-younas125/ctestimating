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ity\Desktop\Samples\"/>
    </mc:Choice>
  </mc:AlternateContent>
  <bookViews>
    <workbookView xWindow="0" yWindow="0" windowWidth="19200" windowHeight="8550" tabRatio="647" activeTab="2"/>
  </bookViews>
  <sheets>
    <sheet name="Chart1" sheetId="14" state="hidden" r:id="rId1"/>
    <sheet name="Sheet1" sheetId="15" state="hidden" r:id="rId2"/>
    <sheet name="Estimate IE" sheetId="16" r:id="rId3"/>
  </sheets>
  <definedNames>
    <definedName name="_xlnm._FilterDatabase" localSheetId="2" hidden="1">'Estimate IE'!$A$5:$L$26</definedName>
    <definedName name="Total">#REF!</definedName>
  </definedNames>
  <calcPr calcId="162913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26" i="16" l="1"/>
  <c r="I26" i="16"/>
  <c r="I25" i="16"/>
  <c r="K25" i="16" s="1"/>
  <c r="I24" i="16"/>
  <c r="K24" i="16" s="1"/>
  <c r="I23" i="16"/>
  <c r="I22" i="16"/>
  <c r="I21" i="16"/>
  <c r="I18" i="16"/>
  <c r="I17" i="16"/>
  <c r="I16" i="16"/>
  <c r="I15" i="16"/>
  <c r="K15" i="16" s="1"/>
  <c r="I14" i="16"/>
  <c r="I13" i="16"/>
  <c r="I12" i="16"/>
  <c r="I11" i="16"/>
  <c r="I10" i="16"/>
  <c r="I9" i="16"/>
  <c r="I8" i="16"/>
  <c r="I7" i="16"/>
  <c r="E18" i="16" l="1"/>
  <c r="E17" i="16"/>
  <c r="H17" i="16" s="1"/>
  <c r="E16" i="16"/>
  <c r="H16" i="16" s="1"/>
  <c r="E15" i="16"/>
  <c r="H15" i="16" s="1"/>
  <c r="L15" i="16" s="1"/>
  <c r="E26" i="16"/>
  <c r="H26" i="16" s="1"/>
  <c r="L26" i="16" s="1"/>
  <c r="E25" i="16"/>
  <c r="H25" i="16" s="1"/>
  <c r="L25" i="16" s="1"/>
  <c r="E24" i="16"/>
  <c r="H24" i="16" s="1"/>
  <c r="L24" i="16" s="1"/>
  <c r="E11" i="16"/>
  <c r="H11" i="16" s="1"/>
  <c r="J18" i="16" l="1"/>
  <c r="K18" i="16" s="1"/>
  <c r="H18" i="16"/>
  <c r="J11" i="16"/>
  <c r="K11" i="16" s="1"/>
  <c r="L11" i="16" s="1"/>
  <c r="J16" i="16"/>
  <c r="K16" i="16" s="1"/>
  <c r="L16" i="16" s="1"/>
  <c r="J17" i="16"/>
  <c r="K17" i="16" s="1"/>
  <c r="L17" i="16" s="1"/>
  <c r="E21" i="16"/>
  <c r="E22" i="16"/>
  <c r="J22" i="16" l="1"/>
  <c r="K22" i="16" s="1"/>
  <c r="H22" i="16"/>
  <c r="J21" i="16"/>
  <c r="K21" i="16" s="1"/>
  <c r="H21" i="16"/>
  <c r="L18" i="16"/>
  <c r="E13" i="16"/>
  <c r="H13" i="16" s="1"/>
  <c r="L21" i="16" l="1"/>
  <c r="L22" i="16"/>
  <c r="J13" i="16"/>
  <c r="K13" i="16" s="1"/>
  <c r="L13" i="16" s="1"/>
  <c r="E7" i="16"/>
  <c r="H7" i="16" s="1"/>
  <c r="E8" i="16"/>
  <c r="H8" i="16" s="1"/>
  <c r="E9" i="16"/>
  <c r="H9" i="16" s="1"/>
  <c r="E10" i="16"/>
  <c r="H10" i="16" s="1"/>
  <c r="E12" i="16"/>
  <c r="H12" i="16" s="1"/>
  <c r="E14" i="16"/>
  <c r="H14" i="16" s="1"/>
  <c r="E23" i="16"/>
  <c r="H23" i="16" s="1"/>
  <c r="L8" i="16" l="1"/>
  <c r="L23" i="16"/>
  <c r="K27" i="16"/>
  <c r="J7" i="16"/>
  <c r="K7" i="16" s="1"/>
  <c r="K28" i="16" s="1"/>
  <c r="J14" i="16"/>
  <c r="K14" i="16" s="1"/>
  <c r="L14" i="16" s="1"/>
  <c r="J12" i="16"/>
  <c r="K12" i="16" s="1"/>
  <c r="L12" i="16" s="1"/>
  <c r="J10" i="16"/>
  <c r="K10" i="16" s="1"/>
  <c r="L10" i="16" s="1"/>
  <c r="J9" i="16"/>
  <c r="K9" i="16" s="1"/>
  <c r="L9" i="16" s="1"/>
  <c r="J8" i="16"/>
  <c r="K8" i="16" s="1"/>
  <c r="J23" i="16"/>
  <c r="K23" i="16" s="1"/>
  <c r="L7" i="16" l="1"/>
  <c r="K29" i="16"/>
  <c r="K30" i="16" s="1"/>
  <c r="K31" i="16" s="1"/>
</calcChain>
</file>

<file path=xl/sharedStrings.xml><?xml version="1.0" encoding="utf-8"?>
<sst xmlns="http://schemas.openxmlformats.org/spreadsheetml/2006/main" count="59" uniqueCount="43">
  <si>
    <t>DESCRIPTION</t>
  </si>
  <si>
    <t>UNIT COST</t>
  </si>
  <si>
    <t>SR #</t>
  </si>
  <si>
    <t>QUANTITY</t>
  </si>
  <si>
    <t>QTY WITH
WASTAGE</t>
  </si>
  <si>
    <t>PROJECT:</t>
  </si>
  <si>
    <t>ADDRESS:</t>
  </si>
  <si>
    <t>EA</t>
  </si>
  <si>
    <t>MATERIAL
COST</t>
  </si>
  <si>
    <t>MANHOURS UNIT RATE</t>
  </si>
  <si>
    <t>REQUIRED MANHOURS</t>
  </si>
  <si>
    <t>MANHOURS COST</t>
  </si>
  <si>
    <t>UoM</t>
  </si>
  <si>
    <t>TOTAL
COST</t>
  </si>
  <si>
    <t>REV:</t>
  </si>
  <si>
    <t>SFT</t>
  </si>
  <si>
    <t>0.02" Thick Aluminum Sheath with moisture barrier</t>
  </si>
  <si>
    <t xml:space="preserve">Stainless Steel wire, 16 gauge, for binding of the sheets </t>
  </si>
  <si>
    <t>Stainless Steel bands, 1/2" wide (9" gap)</t>
  </si>
  <si>
    <t>3/4" fiber-reinforced tape</t>
  </si>
  <si>
    <t>Cold Insulation Type C, Thickness 4.5", Material: Sealed Urethane</t>
  </si>
  <si>
    <t>Cold Insulation Type C, Thickness 4", Material: Sealed Urethane</t>
  </si>
  <si>
    <t>Cold Insulation Type C, Thickness 3.5", Material: Sealed Urethane</t>
  </si>
  <si>
    <t>Cold Insulation Type C, Thickness 3", Material: Sealed Urethane</t>
  </si>
  <si>
    <t xml:space="preserve">Cold Insulation Type C, Thickness 2.5", Material: Sealed Urethane </t>
  </si>
  <si>
    <t>Cold Insulation Type C, Thickness 2", Material: Sealed Urethane</t>
  </si>
  <si>
    <t>Cold Insulation Type C, Thickness 1.5", Material: Sealed Urethane</t>
  </si>
  <si>
    <t>Cold Insulation Type C, Thickness 1", Material: Sealed Urethane</t>
  </si>
  <si>
    <t>Hot Insulation Type H 2.5", Material Calcium Silicate</t>
  </si>
  <si>
    <t>Hot Insulation Type H 1", Material Calcium Silicate</t>
  </si>
  <si>
    <t>Insulation fpr burn protection Type B 1"</t>
  </si>
  <si>
    <t>Waterproofing mastic (Childers CP-30 or equal)</t>
  </si>
  <si>
    <t>Vapor barrier of FSK or ASJ jacket</t>
  </si>
  <si>
    <t>KG</t>
  </si>
  <si>
    <t>WASTAGE</t>
  </si>
  <si>
    <t>COLD INSULATION</t>
  </si>
  <si>
    <t>HOT INSULATION</t>
  </si>
  <si>
    <t>MANHOUR UNIT RATE</t>
  </si>
  <si>
    <t xml:space="preserve">TOTAL MATERIAL COST  </t>
  </si>
  <si>
    <t xml:space="preserve">TOTAL MANHOURS' COST  </t>
  </si>
  <si>
    <t xml:space="preserve">TOTAL COST  </t>
  </si>
  <si>
    <t xml:space="preserve">OVERHEADS &amp; PROFIT  </t>
  </si>
  <si>
    <t xml:space="preserve">TOTAL BID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</si>
</sst>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&quot;$&quot;* #,##0.0_);_(&quot;$&quot;* \(#,##0.0\);_(&quot;$&quot;* &quot;-&quot;??_);_(@_)"/>
  </numFmts>
  <fonts count="39" x14ac:knownFonts="1">
    <font>
      <sz val="12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 tint="-0.34998626667073579"/>
      <name val="Calibri"/>
      <family val="2"/>
      <scheme val="minor"/>
    </font>
    <font>
      <sz val="8"/>
      <name val="Arial"/>
      <family val="2"/>
    </font>
    <font>
      <b/>
      <sz val="14"/>
      <color rgb="FF00B0F0"/>
      <name val="Helvetica"/>
      <family val="2"/>
    </font>
    <font>
      <sz val="12"/>
      <name val="Arial"/>
      <family val="2"/>
    </font>
    <font>
      <b/>
      <sz val="11"/>
      <name val="Helvetica"/>
      <family val="2"/>
    </font>
    <font>
      <b/>
      <sz val="12"/>
      <name val="Helvetica"/>
      <family val="2"/>
    </font>
    <font>
      <sz val="11"/>
      <name val="Helvetica"/>
      <family val="2"/>
    </font>
    <font>
      <sz val="12"/>
      <name val="Helvetica"/>
      <family val="2"/>
    </font>
    <font>
      <b/>
      <sz val="12"/>
      <color theme="1"/>
      <name val="Helvetica"/>
      <family val="2"/>
    </font>
    <font>
      <sz val="11"/>
      <color theme="1"/>
      <name val="Helvetica"/>
      <family val="2"/>
    </font>
    <font>
      <b/>
      <sz val="14"/>
      <color rgb="FF002060"/>
      <name val="Calibri"/>
      <family val="2"/>
      <scheme val="minor"/>
    </font>
    <font>
      <b/>
      <sz val="14"/>
      <color rgb="FF002060"/>
      <name val="Helvetica"/>
      <family val="2"/>
    </font>
    <font>
      <b/>
      <sz val="12"/>
      <color rgb="FF002060"/>
      <name val="Helvetica"/>
      <family val="2"/>
    </font>
    <font>
      <sz val="12"/>
      <color rgb="FF002060"/>
      <name val="Arial"/>
      <family val="2"/>
    </font>
    <font>
      <b/>
      <sz val="16"/>
      <name val="Calibri"/>
      <family val="2"/>
    </font>
    <font>
      <sz val="16"/>
      <color rgb="FF00206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93">
    <xf numFmtId="0" fontId="0" fillId="0" borderId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43" fontId="21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2" fillId="0" borderId="0"/>
    <xf numFmtId="0" fontId="21" fillId="0" borderId="0"/>
    <xf numFmtId="0" fontId="3" fillId="0" borderId="0"/>
    <xf numFmtId="0" fontId="22" fillId="0" borderId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4" fontId="26" fillId="0" borderId="0" applyFont="0" applyFill="0" applyBorder="0" applyAlignment="0" applyProtection="0"/>
    <xf numFmtId="9" fontId="26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center"/>
    </xf>
    <xf numFmtId="0" fontId="23" fillId="0" borderId="0" xfId="0" applyFont="1" applyAlignment="1">
      <alignment horizontal="left" vertical="center"/>
    </xf>
    <xf numFmtId="0" fontId="0" fillId="25" borderId="0" xfId="0" applyFill="1"/>
    <xf numFmtId="0" fontId="25" fillId="0" borderId="0" xfId="89" applyFont="1" applyAlignment="1">
      <alignment horizontal="left"/>
    </xf>
    <xf numFmtId="0" fontId="23" fillId="0" borderId="0" xfId="0" applyFont="1" applyAlignment="1">
      <alignment vertical="center"/>
    </xf>
    <xf numFmtId="0" fontId="23" fillId="0" borderId="0" xfId="0" applyNumberFormat="1" applyFont="1" applyAlignment="1">
      <alignment horizontal="center"/>
    </xf>
    <xf numFmtId="0" fontId="27" fillId="24" borderId="13" xfId="0" applyFont="1" applyFill="1" applyBorder="1" applyAlignment="1">
      <alignment horizontal="center" vertical="center"/>
    </xf>
    <xf numFmtId="0" fontId="27" fillId="24" borderId="12" xfId="0" applyFont="1" applyFill="1" applyBorder="1" applyAlignment="1">
      <alignment horizontal="center" vertical="center"/>
    </xf>
    <xf numFmtId="0" fontId="27" fillId="24" borderId="12" xfId="0" applyFont="1" applyFill="1" applyBorder="1" applyAlignment="1">
      <alignment horizontal="center" vertical="center" wrapText="1"/>
    </xf>
    <xf numFmtId="0" fontId="27" fillId="24" borderId="10" xfId="0" applyFont="1" applyFill="1" applyBorder="1" applyAlignment="1">
      <alignment horizontal="center" vertical="center" wrapText="1"/>
    </xf>
    <xf numFmtId="0" fontId="27" fillId="25" borderId="14" xfId="0" applyFont="1" applyFill="1" applyBorder="1" applyAlignment="1">
      <alignment horizontal="center" vertical="center"/>
    </xf>
    <xf numFmtId="0" fontId="27" fillId="25" borderId="11" xfId="0" applyFont="1" applyFill="1" applyBorder="1" applyAlignment="1">
      <alignment horizontal="center" vertical="center"/>
    </xf>
    <xf numFmtId="0" fontId="29" fillId="25" borderId="11" xfId="0" applyFont="1" applyFill="1" applyBorder="1" applyAlignment="1">
      <alignment horizontal="center" vertical="center"/>
    </xf>
    <xf numFmtId="0" fontId="29" fillId="25" borderId="15" xfId="0" applyFont="1" applyFill="1" applyBorder="1" applyAlignment="1">
      <alignment horizontal="center" vertical="center"/>
    </xf>
    <xf numFmtId="9" fontId="29" fillId="0" borderId="11" xfId="0" applyNumberFormat="1" applyFont="1" applyBorder="1" applyAlignment="1">
      <alignment horizontal="center" vertical="center"/>
    </xf>
    <xf numFmtId="1" fontId="29" fillId="0" borderId="11" xfId="0" applyNumberFormat="1" applyFont="1" applyBorder="1" applyAlignment="1">
      <alignment horizontal="center" vertical="center" wrapText="1"/>
    </xf>
    <xf numFmtId="0" fontId="30" fillId="0" borderId="11" xfId="0" applyFont="1" applyBorder="1" applyAlignment="1">
      <alignment vertical="center" wrapText="1"/>
    </xf>
    <xf numFmtId="0" fontId="29" fillId="0" borderId="11" xfId="0" applyFont="1" applyBorder="1" applyAlignment="1">
      <alignment horizontal="center" vertical="center" wrapText="1"/>
    </xf>
    <xf numFmtId="165" fontId="29" fillId="0" borderId="11" xfId="0" applyNumberFormat="1" applyFont="1" applyBorder="1" applyAlignment="1">
      <alignment horizontal="center" vertical="center"/>
    </xf>
    <xf numFmtId="164" fontId="29" fillId="0" borderId="11" xfId="0" applyNumberFormat="1" applyFont="1" applyBorder="1" applyAlignment="1">
      <alignment horizontal="center" vertical="center"/>
    </xf>
    <xf numFmtId="0" fontId="30" fillId="0" borderId="15" xfId="0" applyFont="1" applyBorder="1" applyAlignment="1">
      <alignment vertical="center"/>
    </xf>
    <xf numFmtId="0" fontId="30" fillId="0" borderId="11" xfId="0" applyFont="1" applyBorder="1" applyAlignment="1">
      <alignment vertical="center"/>
    </xf>
    <xf numFmtId="0" fontId="29" fillId="0" borderId="11" xfId="0" applyNumberFormat="1" applyFont="1" applyFill="1" applyBorder="1" applyAlignment="1">
      <alignment horizontal="center" vertical="center"/>
    </xf>
    <xf numFmtId="0" fontId="27" fillId="25" borderId="11" xfId="0" applyNumberFormat="1" applyFont="1" applyFill="1" applyBorder="1" applyAlignment="1">
      <alignment horizontal="center" vertical="center"/>
    </xf>
    <xf numFmtId="1" fontId="29" fillId="0" borderId="11" xfId="0" applyNumberFormat="1" applyFont="1" applyFill="1" applyBorder="1" applyAlignment="1">
      <alignment horizontal="center" vertical="center"/>
    </xf>
    <xf numFmtId="164" fontId="31" fillId="26" borderId="12" xfId="91" applyNumberFormat="1" applyFont="1" applyFill="1" applyBorder="1" applyAlignment="1">
      <alignment horizontal="center" vertical="center"/>
    </xf>
    <xf numFmtId="164" fontId="29" fillId="25" borderId="11" xfId="0" applyNumberFormat="1" applyFont="1" applyFill="1" applyBorder="1" applyAlignment="1">
      <alignment horizontal="center" vertical="center"/>
    </xf>
    <xf numFmtId="164" fontId="32" fillId="25" borderId="11" xfId="91" applyNumberFormat="1" applyFont="1" applyFill="1" applyBorder="1" applyAlignment="1">
      <alignment horizontal="center" vertical="center"/>
    </xf>
    <xf numFmtId="164" fontId="32" fillId="25" borderId="19" xfId="91" applyNumberFormat="1" applyFont="1" applyFill="1" applyBorder="1" applyAlignment="1">
      <alignment horizontal="center" vertical="center"/>
    </xf>
    <xf numFmtId="9" fontId="28" fillId="26" borderId="12" xfId="92" applyFont="1" applyFill="1" applyBorder="1" applyAlignment="1">
      <alignment horizontal="center" vertical="top"/>
    </xf>
    <xf numFmtId="0" fontId="29" fillId="25" borderId="21" xfId="0" applyFont="1" applyFill="1" applyBorder="1" applyAlignment="1">
      <alignment horizontal="center" vertical="center"/>
    </xf>
    <xf numFmtId="0" fontId="30" fillId="0" borderId="22" xfId="0" applyFont="1" applyBorder="1" applyAlignment="1">
      <alignment vertical="center" wrapText="1"/>
    </xf>
    <xf numFmtId="164" fontId="32" fillId="25" borderId="23" xfId="91" applyNumberFormat="1" applyFont="1" applyFill="1" applyBorder="1" applyAlignment="1">
      <alignment horizontal="center" vertical="center"/>
    </xf>
    <xf numFmtId="0" fontId="0" fillId="0" borderId="0" xfId="0" applyNumberFormat="1"/>
    <xf numFmtId="0" fontId="33" fillId="0" borderId="0" xfId="0" applyFont="1" applyAlignment="1">
      <alignment horizontal="left"/>
    </xf>
    <xf numFmtId="0" fontId="34" fillId="0" borderId="0" xfId="89" applyFont="1" applyAlignment="1">
      <alignment horizontal="left"/>
    </xf>
    <xf numFmtId="0" fontId="35" fillId="0" borderId="0" xfId="0" applyFont="1"/>
    <xf numFmtId="0" fontId="36" fillId="0" borderId="0" xfId="0" applyFont="1"/>
    <xf numFmtId="0" fontId="33" fillId="0" borderId="0" xfId="0" applyFont="1" applyAlignment="1">
      <alignment horizontal="left" vertical="center"/>
    </xf>
    <xf numFmtId="0" fontId="35" fillId="0" borderId="0" xfId="0" applyFont="1" applyAlignment="1">
      <alignment horizontal="left"/>
    </xf>
    <xf numFmtId="0" fontId="33" fillId="0" borderId="0" xfId="0" applyNumberFormat="1" applyFont="1" applyAlignment="1">
      <alignment horizontal="center"/>
    </xf>
    <xf numFmtId="0" fontId="37" fillId="0" borderId="0" xfId="0" applyFont="1" applyAlignment="1">
      <alignment vertical="center"/>
    </xf>
    <xf numFmtId="0" fontId="38" fillId="0" borderId="0" xfId="0" applyFont="1"/>
    <xf numFmtId="0" fontId="28" fillId="0" borderId="10" xfId="89" applyFont="1" applyFill="1" applyBorder="1" applyAlignment="1">
      <alignment horizontal="right" vertical="top"/>
    </xf>
    <xf numFmtId="0" fontId="28" fillId="0" borderId="20" xfId="89" applyFont="1" applyFill="1" applyBorder="1" applyAlignment="1">
      <alignment horizontal="right" vertical="top"/>
    </xf>
    <xf numFmtId="0" fontId="28" fillId="0" borderId="18" xfId="89" applyFont="1" applyFill="1" applyBorder="1" applyAlignment="1">
      <alignment horizontal="right" vertical="top"/>
    </xf>
    <xf numFmtId="164" fontId="28" fillId="0" borderId="10" xfId="91" applyNumberFormat="1" applyFont="1" applyFill="1" applyBorder="1" applyAlignment="1">
      <alignment horizontal="center" vertical="top"/>
    </xf>
    <xf numFmtId="164" fontId="28" fillId="0" borderId="18" xfId="91" applyNumberFormat="1" applyFont="1" applyFill="1" applyBorder="1" applyAlignment="1">
      <alignment horizontal="center" vertical="top"/>
    </xf>
    <xf numFmtId="0" fontId="28" fillId="24" borderId="16" xfId="0" applyFont="1" applyFill="1" applyBorder="1" applyAlignment="1">
      <alignment horizontal="left" vertical="center"/>
    </xf>
    <xf numFmtId="0" fontId="28" fillId="24" borderId="17" xfId="0" applyFont="1" applyFill="1" applyBorder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1" fillId="0" borderId="10" xfId="0" applyFont="1" applyBorder="1" applyAlignment="1">
      <alignment horizontal="center"/>
    </xf>
    <xf numFmtId="0" fontId="31" fillId="0" borderId="18" xfId="0" applyFont="1" applyBorder="1" applyAlignment="1">
      <alignment horizontal="center"/>
    </xf>
  </cellXfs>
  <cellStyles count="93">
    <cellStyle name="20% - Accent1 2" xfId="1"/>
    <cellStyle name="20% - Accent1 3" xfId="2"/>
    <cellStyle name="20% - Accent2 2" xfId="3"/>
    <cellStyle name="20% - Accent2 3" xfId="4"/>
    <cellStyle name="20% - Accent3 2" xfId="5"/>
    <cellStyle name="20% - Accent3 3" xfId="6"/>
    <cellStyle name="20% - Accent4 2" xfId="7"/>
    <cellStyle name="20% - Accent4 3" xfId="8"/>
    <cellStyle name="20% - Accent5 2" xfId="9"/>
    <cellStyle name="20% - Accent5 3" xfId="10"/>
    <cellStyle name="20% - Accent6 2" xfId="11"/>
    <cellStyle name="20% - Accent6 3" xfId="12"/>
    <cellStyle name="40% - Accent1 2" xfId="13"/>
    <cellStyle name="40% - Accent1 3" xfId="14"/>
    <cellStyle name="40% - Accent2 2" xfId="15"/>
    <cellStyle name="40% - Accent2 3" xfId="16"/>
    <cellStyle name="40% - Accent3 2" xfId="17"/>
    <cellStyle name="40% - Accent3 3" xfId="18"/>
    <cellStyle name="40% - Accent4 2" xfId="19"/>
    <cellStyle name="40% - Accent4 3" xfId="20"/>
    <cellStyle name="40% - Accent5 2" xfId="21"/>
    <cellStyle name="40% - Accent5 3" xfId="22"/>
    <cellStyle name="40% - Accent6 2" xfId="23"/>
    <cellStyle name="40% - Accent6 3" xfId="24"/>
    <cellStyle name="60% - Accent1 2" xfId="25"/>
    <cellStyle name="60% - Accent1 3" xfId="26"/>
    <cellStyle name="60% - Accent2 2" xfId="27"/>
    <cellStyle name="60% - Accent2 3" xfId="28"/>
    <cellStyle name="60% - Accent3 2" xfId="29"/>
    <cellStyle name="60% - Accent3 3" xfId="30"/>
    <cellStyle name="60% - Accent4 2" xfId="31"/>
    <cellStyle name="60% - Accent4 3" xfId="32"/>
    <cellStyle name="60% - Accent5 2" xfId="33"/>
    <cellStyle name="60% - Accent5 3" xfId="34"/>
    <cellStyle name="60% - Accent6 2" xfId="35"/>
    <cellStyle name="60% - Accent6 3" xfId="36"/>
    <cellStyle name="Accent1 2" xfId="37"/>
    <cellStyle name="Accent1 3" xfId="38"/>
    <cellStyle name="Accent2 2" xfId="39"/>
    <cellStyle name="Accent2 3" xfId="40"/>
    <cellStyle name="Accent3 2" xfId="41"/>
    <cellStyle name="Accent3 3" xfId="42"/>
    <cellStyle name="Accent4 2" xfId="43"/>
    <cellStyle name="Accent4 3" xfId="44"/>
    <cellStyle name="Accent5 2" xfId="45"/>
    <cellStyle name="Accent5 3" xfId="46"/>
    <cellStyle name="Accent6 2" xfId="47"/>
    <cellStyle name="Accent6 3" xfId="48"/>
    <cellStyle name="Bad 2" xfId="49"/>
    <cellStyle name="Bad 3" xfId="50"/>
    <cellStyle name="Calculation 2" xfId="51"/>
    <cellStyle name="Calculation 3" xfId="52"/>
    <cellStyle name="Check Cell 2" xfId="53"/>
    <cellStyle name="Check Cell 3" xfId="54"/>
    <cellStyle name="Comma 2" xfId="55"/>
    <cellStyle name="Comma 2 2" xfId="90"/>
    <cellStyle name="Currency" xfId="91" builtinId="4"/>
    <cellStyle name="Explanatory Text 2" xfId="56"/>
    <cellStyle name="Explanatory Text 3" xfId="57"/>
    <cellStyle name="Good 2" xfId="58"/>
    <cellStyle name="Good 3" xfId="59"/>
    <cellStyle name="Heading 1 2" xfId="60"/>
    <cellStyle name="Heading 1 3" xfId="61"/>
    <cellStyle name="Heading 2 2" xfId="62"/>
    <cellStyle name="Heading 2 3" xfId="63"/>
    <cellStyle name="Heading 3 2" xfId="64"/>
    <cellStyle name="Heading 3 3" xfId="65"/>
    <cellStyle name="Heading 4 2" xfId="66"/>
    <cellStyle name="Heading 4 3" xfId="67"/>
    <cellStyle name="Input 2" xfId="68"/>
    <cellStyle name="Input 3" xfId="69"/>
    <cellStyle name="Linked Cell 2" xfId="70"/>
    <cellStyle name="Linked Cell 3" xfId="71"/>
    <cellStyle name="Neutral 2" xfId="72"/>
    <cellStyle name="Neutral 3" xfId="73"/>
    <cellStyle name="Normal" xfId="0" builtinId="0"/>
    <cellStyle name="Normal 2" xfId="89"/>
    <cellStyle name="Normal 2 2" xfId="74"/>
    <cellStyle name="Normal 2 3" xfId="75"/>
    <cellStyle name="Normal 3" xfId="76"/>
    <cellStyle name="Normal 4" xfId="88"/>
    <cellStyle name="Normal 6" xfId="77"/>
    <cellStyle name="Note 2" xfId="78"/>
    <cellStyle name="Note 3" xfId="79"/>
    <cellStyle name="Output 2" xfId="80"/>
    <cellStyle name="Output 3" xfId="81"/>
    <cellStyle name="Percent" xfId="92" builtinId="5"/>
    <cellStyle name="Title 2" xfId="82"/>
    <cellStyle name="Title 3" xfId="83"/>
    <cellStyle name="Total 2" xfId="84"/>
    <cellStyle name="Total 3" xfId="85"/>
    <cellStyle name="Warning Text 2" xfId="86"/>
    <cellStyle name="Warning Text 3" xfId="87"/>
  </cellStyles>
  <dxfs count="0"/>
  <tableStyles count="0" defaultTableStyle="TableStyleMedium9" defaultPivotStyle="PivotStyleLight16"/>
  <colors>
    <mruColors>
      <color rgb="FFFFFFFF"/>
      <color rgb="FF6DD9FF"/>
      <color rgb="FF2DC8FF"/>
      <color rgb="FF48B8E0"/>
      <color rgb="FFD4F5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9F-5044-8E84-AA3962F77297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r2="http://schemas.microsoft.com/office/drawing/2015/06/chart" xmlns:c16="http://schemas.microsoft.com/office/drawing/2014/chart"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 xmlns:c16r2="http://schemas.microsoft.com/office/drawing/2015/06/chart"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9783184"/>
        <c:axId val="326399904"/>
      </c:barChart>
      <c:catAx>
        <c:axId val="24978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326399904"/>
        <c:crosses val="autoZero"/>
        <c:auto val="1"/>
        <c:lblAlgn val="ctr"/>
        <c:lblOffset val="100"/>
        <c:noMultiLvlLbl val="0"/>
      </c:catAx>
      <c:valAx>
        <c:axId val="32639990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24978318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41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8225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69140625" defaultRowHeight="15.5" x14ac:dyDescent="0.35"/>
  <sheetData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tabSelected="1" view="pageBreakPreview" zoomScale="120" zoomScaleNormal="120" zoomScaleSheetLayoutView="12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69140625" defaultRowHeight="15.5" x14ac:dyDescent="0.35"/>
  <cols>
    <col min="1" max="1" width="4.4609375" customWidth="1"/>
    <col min="2" max="2" width="51.53515625" customWidth="1"/>
    <col min="3" max="3" width="13.4609375" style="1" bestFit="1" customWidth="1"/>
    <col min="4" max="4" width="11.84375" bestFit="1" customWidth="1"/>
    <col min="5" max="5" width="10.84375" style="1" customWidth="1"/>
    <col min="6" max="6" width="8.53515625" bestFit="1" customWidth="1"/>
    <col min="7" max="7" width="9.3046875" customWidth="1"/>
    <col min="8" max="9" width="10.53515625" customWidth="1"/>
    <col min="10" max="10" width="12.69140625" customWidth="1"/>
    <col min="11" max="11" width="10.53515625" customWidth="1"/>
    <col min="12" max="12" width="11" customWidth="1"/>
  </cols>
  <sheetData>
    <row r="1" spans="1:12" ht="21" x14ac:dyDescent="0.45">
      <c r="A1" s="42"/>
      <c r="B1" s="43"/>
      <c r="C1" s="35" t="s">
        <v>5</v>
      </c>
      <c r="D1" s="36"/>
      <c r="E1" s="4"/>
    </row>
    <row r="2" spans="1:12" ht="19" customHeight="1" x14ac:dyDescent="0.35">
      <c r="A2" s="37"/>
      <c r="B2" s="38"/>
      <c r="C2" s="51" t="s">
        <v>6</v>
      </c>
      <c r="D2" s="39"/>
      <c r="E2" s="2"/>
      <c r="F2" s="2"/>
      <c r="I2" s="5"/>
      <c r="J2" s="5"/>
      <c r="K2" s="5"/>
      <c r="L2" s="5"/>
    </row>
    <row r="3" spans="1:12" ht="19" thickBot="1" x14ac:dyDescent="0.4">
      <c r="A3" s="37"/>
      <c r="B3" s="38"/>
      <c r="C3" s="51"/>
      <c r="D3" s="39"/>
      <c r="E3" s="2"/>
      <c r="F3" s="2"/>
      <c r="I3" s="5"/>
      <c r="J3" s="5"/>
      <c r="K3" s="5"/>
      <c r="L3" s="5"/>
    </row>
    <row r="4" spans="1:12" ht="19" thickBot="1" x14ac:dyDescent="0.5">
      <c r="A4" s="40"/>
      <c r="B4" s="38"/>
      <c r="C4" s="35" t="s">
        <v>14</v>
      </c>
      <c r="D4" s="41">
        <v>0</v>
      </c>
      <c r="E4" s="6"/>
      <c r="J4" s="52" t="s">
        <v>37</v>
      </c>
      <c r="K4" s="53"/>
      <c r="L4" s="26">
        <v>100</v>
      </c>
    </row>
    <row r="5" spans="1:12" ht="28.5" thickBot="1" x14ac:dyDescent="0.4">
      <c r="A5" s="7" t="s">
        <v>2</v>
      </c>
      <c r="B5" s="7" t="s">
        <v>0</v>
      </c>
      <c r="C5" s="8" t="s">
        <v>3</v>
      </c>
      <c r="D5" s="9" t="s">
        <v>34</v>
      </c>
      <c r="E5" s="9" t="s">
        <v>4</v>
      </c>
      <c r="F5" s="9" t="s">
        <v>12</v>
      </c>
      <c r="G5" s="8" t="s">
        <v>1</v>
      </c>
      <c r="H5" s="10" t="s">
        <v>8</v>
      </c>
      <c r="I5" s="10" t="s">
        <v>9</v>
      </c>
      <c r="J5" s="10" t="s">
        <v>10</v>
      </c>
      <c r="K5" s="10" t="s">
        <v>11</v>
      </c>
      <c r="L5" s="9" t="s">
        <v>13</v>
      </c>
    </row>
    <row r="6" spans="1:12" s="3" customFormat="1" ht="16" thickBot="1" x14ac:dyDescent="0.4">
      <c r="A6" s="49" t="s">
        <v>35</v>
      </c>
      <c r="B6" s="50"/>
      <c r="C6" s="11"/>
      <c r="D6" s="12"/>
      <c r="E6" s="12"/>
      <c r="F6" s="12"/>
      <c r="G6" s="12"/>
      <c r="H6" s="12"/>
      <c r="I6" s="12"/>
      <c r="J6" s="12"/>
      <c r="K6" s="12"/>
      <c r="L6" s="13"/>
    </row>
    <row r="7" spans="1:12" s="3" customFormat="1" x14ac:dyDescent="0.35">
      <c r="A7" s="14">
        <v>1</v>
      </c>
      <c r="B7" s="21" t="s">
        <v>20</v>
      </c>
      <c r="C7" s="13">
        <v>80</v>
      </c>
      <c r="D7" s="15">
        <v>0.1</v>
      </c>
      <c r="E7" s="23">
        <f t="shared" ref="E7:E21" si="0">C7*(1+D7)</f>
        <v>88</v>
      </c>
      <c r="F7" s="13" t="s">
        <v>15</v>
      </c>
      <c r="G7" s="19">
        <v>34.479999999999997</v>
      </c>
      <c r="H7" s="20">
        <f t="shared" ref="H7:H13" si="1">G7*E7</f>
        <v>3034.24</v>
      </c>
      <c r="I7" s="27">
        <f>L$4</f>
        <v>100</v>
      </c>
      <c r="J7" s="16">
        <f>E7*0.08</f>
        <v>7.04</v>
      </c>
      <c r="K7" s="28">
        <f>I7*J7</f>
        <v>704</v>
      </c>
      <c r="L7" s="29">
        <f>H7+K7</f>
        <v>3738.24</v>
      </c>
    </row>
    <row r="8" spans="1:12" s="3" customFormat="1" x14ac:dyDescent="0.35">
      <c r="A8" s="13">
        <v>2</v>
      </c>
      <c r="B8" s="22" t="s">
        <v>21</v>
      </c>
      <c r="C8" s="13">
        <v>50</v>
      </c>
      <c r="D8" s="15">
        <v>0.1</v>
      </c>
      <c r="E8" s="23">
        <f t="shared" si="0"/>
        <v>55.000000000000007</v>
      </c>
      <c r="F8" s="13" t="s">
        <v>15</v>
      </c>
      <c r="G8" s="19">
        <v>30.14</v>
      </c>
      <c r="H8" s="20">
        <f t="shared" si="1"/>
        <v>1657.7000000000003</v>
      </c>
      <c r="I8" s="27">
        <f t="shared" ref="I8:I18" si="2">L$4</f>
        <v>100</v>
      </c>
      <c r="J8" s="16">
        <f t="shared" ref="J8:J14" si="3">E8*0.08</f>
        <v>4.4000000000000004</v>
      </c>
      <c r="K8" s="28">
        <f t="shared" ref="K8:K18" si="4">I8*J8</f>
        <v>440.00000000000006</v>
      </c>
      <c r="L8" s="29">
        <f t="shared" ref="L8:L18" si="5">H8+K8</f>
        <v>2097.7000000000003</v>
      </c>
    </row>
    <row r="9" spans="1:12" s="3" customFormat="1" x14ac:dyDescent="0.35">
      <c r="A9" s="13">
        <v>3</v>
      </c>
      <c r="B9" s="22" t="s">
        <v>22</v>
      </c>
      <c r="C9" s="13">
        <v>1200</v>
      </c>
      <c r="D9" s="15">
        <v>0.1</v>
      </c>
      <c r="E9" s="23">
        <f t="shared" si="0"/>
        <v>1320</v>
      </c>
      <c r="F9" s="13" t="s">
        <v>15</v>
      </c>
      <c r="G9" s="19">
        <v>26.87</v>
      </c>
      <c r="H9" s="20">
        <f t="shared" si="1"/>
        <v>35468.400000000001</v>
      </c>
      <c r="I9" s="27">
        <f t="shared" si="2"/>
        <v>100</v>
      </c>
      <c r="J9" s="16">
        <f t="shared" si="3"/>
        <v>105.60000000000001</v>
      </c>
      <c r="K9" s="28">
        <f t="shared" si="4"/>
        <v>10560</v>
      </c>
      <c r="L9" s="29">
        <f t="shared" si="5"/>
        <v>46028.4</v>
      </c>
    </row>
    <row r="10" spans="1:12" x14ac:dyDescent="0.35">
      <c r="A10" s="13">
        <v>4</v>
      </c>
      <c r="B10" s="22" t="s">
        <v>23</v>
      </c>
      <c r="C10" s="18">
        <v>65</v>
      </c>
      <c r="D10" s="15">
        <v>0.1</v>
      </c>
      <c r="E10" s="25">
        <f t="shared" si="0"/>
        <v>71.5</v>
      </c>
      <c r="F10" s="13" t="s">
        <v>15</v>
      </c>
      <c r="G10" s="19">
        <v>23.1</v>
      </c>
      <c r="H10" s="20">
        <f t="shared" si="1"/>
        <v>1651.65</v>
      </c>
      <c r="I10" s="27">
        <f t="shared" si="2"/>
        <v>100</v>
      </c>
      <c r="J10" s="16">
        <f t="shared" si="3"/>
        <v>5.72</v>
      </c>
      <c r="K10" s="28">
        <f t="shared" si="4"/>
        <v>572</v>
      </c>
      <c r="L10" s="29">
        <f t="shared" si="5"/>
        <v>2223.65</v>
      </c>
    </row>
    <row r="11" spans="1:12" x14ac:dyDescent="0.35">
      <c r="A11" s="13">
        <v>5</v>
      </c>
      <c r="B11" s="22" t="s">
        <v>24</v>
      </c>
      <c r="C11" s="18">
        <v>150</v>
      </c>
      <c r="D11" s="15">
        <v>0.1</v>
      </c>
      <c r="E11" s="23">
        <f t="shared" ref="E11" si="6">C11*(1+D11)</f>
        <v>165</v>
      </c>
      <c r="F11" s="13" t="s">
        <v>15</v>
      </c>
      <c r="G11" s="19">
        <v>20.239999999999998</v>
      </c>
      <c r="H11" s="20">
        <f t="shared" si="1"/>
        <v>3339.6</v>
      </c>
      <c r="I11" s="27">
        <f t="shared" si="2"/>
        <v>100</v>
      </c>
      <c r="J11" s="16">
        <f t="shared" si="3"/>
        <v>13.200000000000001</v>
      </c>
      <c r="K11" s="28">
        <f t="shared" si="4"/>
        <v>1320</v>
      </c>
      <c r="L11" s="29">
        <f t="shared" si="5"/>
        <v>4659.6000000000004</v>
      </c>
    </row>
    <row r="12" spans="1:12" x14ac:dyDescent="0.35">
      <c r="A12" s="13">
        <v>6</v>
      </c>
      <c r="B12" s="22" t="s">
        <v>25</v>
      </c>
      <c r="C12" s="18">
        <v>1200</v>
      </c>
      <c r="D12" s="15">
        <v>0.1</v>
      </c>
      <c r="E12" s="23">
        <f t="shared" si="0"/>
        <v>1320</v>
      </c>
      <c r="F12" s="13" t="s">
        <v>15</v>
      </c>
      <c r="G12" s="19">
        <v>17.72</v>
      </c>
      <c r="H12" s="20">
        <f t="shared" si="1"/>
        <v>23390.399999999998</v>
      </c>
      <c r="I12" s="27">
        <f t="shared" si="2"/>
        <v>100</v>
      </c>
      <c r="J12" s="16">
        <f t="shared" si="3"/>
        <v>105.60000000000001</v>
      </c>
      <c r="K12" s="28">
        <f t="shared" si="4"/>
        <v>10560</v>
      </c>
      <c r="L12" s="29">
        <f t="shared" si="5"/>
        <v>33950.399999999994</v>
      </c>
    </row>
    <row r="13" spans="1:12" x14ac:dyDescent="0.35">
      <c r="A13" s="13">
        <v>7</v>
      </c>
      <c r="B13" s="22" t="s">
        <v>26</v>
      </c>
      <c r="C13" s="18">
        <v>250</v>
      </c>
      <c r="D13" s="15">
        <v>0.1</v>
      </c>
      <c r="E13" s="23">
        <f t="shared" si="0"/>
        <v>275</v>
      </c>
      <c r="F13" s="13" t="s">
        <v>15</v>
      </c>
      <c r="G13" s="19">
        <v>15.54</v>
      </c>
      <c r="H13" s="20">
        <f t="shared" si="1"/>
        <v>4273.5</v>
      </c>
      <c r="I13" s="27">
        <f t="shared" si="2"/>
        <v>100</v>
      </c>
      <c r="J13" s="16">
        <f t="shared" si="3"/>
        <v>22</v>
      </c>
      <c r="K13" s="28">
        <f t="shared" si="4"/>
        <v>2200</v>
      </c>
      <c r="L13" s="29">
        <f t="shared" si="5"/>
        <v>6473.5</v>
      </c>
    </row>
    <row r="14" spans="1:12" x14ac:dyDescent="0.35">
      <c r="A14" s="13">
        <v>8</v>
      </c>
      <c r="B14" s="22" t="s">
        <v>27</v>
      </c>
      <c r="C14" s="18">
        <v>250</v>
      </c>
      <c r="D14" s="15">
        <v>0.1</v>
      </c>
      <c r="E14" s="23">
        <f t="shared" si="0"/>
        <v>275</v>
      </c>
      <c r="F14" s="13" t="s">
        <v>15</v>
      </c>
      <c r="G14" s="19">
        <v>13.57</v>
      </c>
      <c r="H14" s="20">
        <f>G14*E14</f>
        <v>3731.75</v>
      </c>
      <c r="I14" s="27">
        <f t="shared" si="2"/>
        <v>100</v>
      </c>
      <c r="J14" s="16">
        <f t="shared" si="3"/>
        <v>22</v>
      </c>
      <c r="K14" s="28">
        <f t="shared" si="4"/>
        <v>2200</v>
      </c>
      <c r="L14" s="29">
        <f t="shared" si="5"/>
        <v>5931.75</v>
      </c>
    </row>
    <row r="15" spans="1:12" x14ac:dyDescent="0.35">
      <c r="A15" s="13">
        <v>9</v>
      </c>
      <c r="B15" s="17" t="s">
        <v>19</v>
      </c>
      <c r="C15" s="18">
        <v>400</v>
      </c>
      <c r="D15" s="15">
        <v>0.1</v>
      </c>
      <c r="E15" s="23">
        <f t="shared" ref="E15:E18" si="7">C15*(1+D15)</f>
        <v>440.00000000000006</v>
      </c>
      <c r="F15" s="13" t="s">
        <v>15</v>
      </c>
      <c r="G15" s="19">
        <v>2.42</v>
      </c>
      <c r="H15" s="20">
        <f t="shared" ref="H15:H18" si="8">G15*E15</f>
        <v>1064.8000000000002</v>
      </c>
      <c r="I15" s="27">
        <f t="shared" si="2"/>
        <v>100</v>
      </c>
      <c r="J15" s="16">
        <v>8</v>
      </c>
      <c r="K15" s="28">
        <f t="shared" si="4"/>
        <v>800</v>
      </c>
      <c r="L15" s="29">
        <f t="shared" si="5"/>
        <v>1864.8000000000002</v>
      </c>
    </row>
    <row r="16" spans="1:12" x14ac:dyDescent="0.35">
      <c r="A16" s="13">
        <v>10</v>
      </c>
      <c r="B16" s="17" t="s">
        <v>31</v>
      </c>
      <c r="C16" s="18">
        <v>3250</v>
      </c>
      <c r="D16" s="15">
        <v>0.1</v>
      </c>
      <c r="E16" s="23">
        <f t="shared" si="7"/>
        <v>3575.0000000000005</v>
      </c>
      <c r="F16" s="13" t="s">
        <v>15</v>
      </c>
      <c r="G16" s="19">
        <v>2.4</v>
      </c>
      <c r="H16" s="20">
        <f t="shared" si="8"/>
        <v>8580</v>
      </c>
      <c r="I16" s="27">
        <f t="shared" si="2"/>
        <v>100</v>
      </c>
      <c r="J16" s="16">
        <f>(E16/100)*1</f>
        <v>35.750000000000007</v>
      </c>
      <c r="K16" s="28">
        <f t="shared" si="4"/>
        <v>3575.0000000000009</v>
      </c>
      <c r="L16" s="29">
        <f t="shared" si="5"/>
        <v>12155</v>
      </c>
    </row>
    <row r="17" spans="1:12" x14ac:dyDescent="0.35">
      <c r="A17" s="13">
        <v>11</v>
      </c>
      <c r="B17" s="17" t="s">
        <v>32</v>
      </c>
      <c r="C17" s="18">
        <v>3250</v>
      </c>
      <c r="D17" s="15">
        <v>0.1</v>
      </c>
      <c r="E17" s="23">
        <f t="shared" si="7"/>
        <v>3575.0000000000005</v>
      </c>
      <c r="F17" s="13" t="s">
        <v>15</v>
      </c>
      <c r="G17" s="19">
        <v>2.4</v>
      </c>
      <c r="H17" s="20">
        <f t="shared" si="8"/>
        <v>8580</v>
      </c>
      <c r="I17" s="27">
        <f t="shared" si="2"/>
        <v>100</v>
      </c>
      <c r="J17" s="16">
        <f t="shared" ref="J17:J18" si="9">(E17/100)*1</f>
        <v>35.750000000000007</v>
      </c>
      <c r="K17" s="28">
        <f t="shared" si="4"/>
        <v>3575.0000000000009</v>
      </c>
      <c r="L17" s="29">
        <f t="shared" si="5"/>
        <v>12155</v>
      </c>
    </row>
    <row r="18" spans="1:12" x14ac:dyDescent="0.35">
      <c r="A18" s="13">
        <v>12</v>
      </c>
      <c r="B18" s="17" t="s">
        <v>16</v>
      </c>
      <c r="C18" s="18">
        <v>3250</v>
      </c>
      <c r="D18" s="15">
        <v>0.1</v>
      </c>
      <c r="E18" s="23">
        <f t="shared" si="7"/>
        <v>3575.0000000000005</v>
      </c>
      <c r="F18" s="13" t="s">
        <v>15</v>
      </c>
      <c r="G18" s="19">
        <v>4.46</v>
      </c>
      <c r="H18" s="20">
        <f t="shared" si="8"/>
        <v>15944.500000000002</v>
      </c>
      <c r="I18" s="27">
        <f t="shared" si="2"/>
        <v>100</v>
      </c>
      <c r="J18" s="16">
        <f t="shared" si="9"/>
        <v>35.750000000000007</v>
      </c>
      <c r="K18" s="28">
        <f t="shared" si="4"/>
        <v>3575.0000000000009</v>
      </c>
      <c r="L18" s="29">
        <f t="shared" si="5"/>
        <v>19519.500000000004</v>
      </c>
    </row>
    <row r="19" spans="1:12" ht="16" thickBot="1" x14ac:dyDescent="0.4">
      <c r="A19" s="31"/>
      <c r="B19" s="32"/>
      <c r="C19" s="18"/>
      <c r="D19" s="15"/>
      <c r="E19" s="23"/>
      <c r="F19" s="13"/>
      <c r="G19" s="19"/>
      <c r="H19" s="20"/>
      <c r="I19" s="27"/>
      <c r="J19" s="16"/>
      <c r="K19" s="28"/>
      <c r="L19" s="33"/>
    </row>
    <row r="20" spans="1:12" s="3" customFormat="1" ht="16" thickBot="1" x14ac:dyDescent="0.4">
      <c r="A20" s="49" t="s">
        <v>36</v>
      </c>
      <c r="B20" s="50"/>
      <c r="C20" s="12"/>
      <c r="D20" s="12"/>
      <c r="E20" s="24"/>
      <c r="F20" s="12"/>
      <c r="G20" s="12"/>
      <c r="H20" s="12"/>
      <c r="I20" s="12"/>
      <c r="J20" s="12"/>
      <c r="K20" s="12"/>
      <c r="L20" s="13"/>
    </row>
    <row r="21" spans="1:12" x14ac:dyDescent="0.35">
      <c r="A21" s="13">
        <v>1</v>
      </c>
      <c r="B21" s="17" t="s">
        <v>28</v>
      </c>
      <c r="C21" s="18">
        <v>280</v>
      </c>
      <c r="D21" s="15">
        <v>0.1</v>
      </c>
      <c r="E21" s="23">
        <f t="shared" si="0"/>
        <v>308</v>
      </c>
      <c r="F21" s="13" t="s">
        <v>15</v>
      </c>
      <c r="G21" s="19">
        <v>29.9</v>
      </c>
      <c r="H21" s="20">
        <f t="shared" ref="H21:H26" si="10">G21*E21</f>
        <v>9209.1999999999989</v>
      </c>
      <c r="I21" s="27">
        <f t="shared" ref="I21:I26" si="11">L$4</f>
        <v>100</v>
      </c>
      <c r="J21" s="16">
        <f>E21*0.08</f>
        <v>24.64</v>
      </c>
      <c r="K21" s="28">
        <f t="shared" ref="K21:K26" si="12">I21*J21</f>
        <v>2464</v>
      </c>
      <c r="L21" s="29">
        <f t="shared" ref="L21:L26" si="13">H21+K21</f>
        <v>11673.199999999999</v>
      </c>
    </row>
    <row r="22" spans="1:12" x14ac:dyDescent="0.35">
      <c r="A22" s="13">
        <v>2</v>
      </c>
      <c r="B22" s="17" t="s">
        <v>29</v>
      </c>
      <c r="C22" s="18">
        <v>850</v>
      </c>
      <c r="D22" s="15">
        <v>0.1</v>
      </c>
      <c r="E22" s="23">
        <f t="shared" ref="E22" si="14">C22*(1+D22)</f>
        <v>935.00000000000011</v>
      </c>
      <c r="F22" s="13" t="s">
        <v>15</v>
      </c>
      <c r="G22" s="19">
        <v>18.559999999999999</v>
      </c>
      <c r="H22" s="20">
        <f t="shared" si="10"/>
        <v>17353.600000000002</v>
      </c>
      <c r="I22" s="27">
        <f t="shared" si="11"/>
        <v>100</v>
      </c>
      <c r="J22" s="16">
        <f t="shared" ref="J22:J23" si="15">E22*0.08</f>
        <v>74.800000000000011</v>
      </c>
      <c r="K22" s="28">
        <f t="shared" si="12"/>
        <v>7480.0000000000009</v>
      </c>
      <c r="L22" s="29">
        <f t="shared" si="13"/>
        <v>24833.600000000002</v>
      </c>
    </row>
    <row r="23" spans="1:12" x14ac:dyDescent="0.35">
      <c r="A23" s="13">
        <v>3</v>
      </c>
      <c r="B23" s="17" t="s">
        <v>30</v>
      </c>
      <c r="C23" s="18">
        <v>350</v>
      </c>
      <c r="D23" s="15">
        <v>0.1</v>
      </c>
      <c r="E23" s="23">
        <f>C23*(1+D23)</f>
        <v>385.00000000000006</v>
      </c>
      <c r="F23" s="13" t="s">
        <v>15</v>
      </c>
      <c r="G23" s="19">
        <v>18.600000000000001</v>
      </c>
      <c r="H23" s="20">
        <f t="shared" si="10"/>
        <v>7161.0000000000018</v>
      </c>
      <c r="I23" s="27">
        <f t="shared" si="11"/>
        <v>100</v>
      </c>
      <c r="J23" s="16">
        <f t="shared" si="15"/>
        <v>30.800000000000004</v>
      </c>
      <c r="K23" s="28">
        <f t="shared" si="12"/>
        <v>3080.0000000000005</v>
      </c>
      <c r="L23" s="29">
        <f t="shared" si="13"/>
        <v>10241.000000000002</v>
      </c>
    </row>
    <row r="24" spans="1:12" x14ac:dyDescent="0.35">
      <c r="A24" s="13">
        <v>4</v>
      </c>
      <c r="B24" s="17" t="s">
        <v>16</v>
      </c>
      <c r="C24" s="18">
        <v>1480</v>
      </c>
      <c r="D24" s="15">
        <v>0.1</v>
      </c>
      <c r="E24" s="23">
        <f t="shared" ref="E24" si="16">C24*(1+D24)</f>
        <v>1628.0000000000002</v>
      </c>
      <c r="F24" s="13" t="s">
        <v>15</v>
      </c>
      <c r="G24" s="19">
        <v>4.46</v>
      </c>
      <c r="H24" s="20">
        <f t="shared" si="10"/>
        <v>7260.880000000001</v>
      </c>
      <c r="I24" s="27">
        <f t="shared" si="11"/>
        <v>100</v>
      </c>
      <c r="J24" s="16">
        <v>18</v>
      </c>
      <c r="K24" s="28">
        <f t="shared" si="12"/>
        <v>1800</v>
      </c>
      <c r="L24" s="29">
        <f t="shared" si="13"/>
        <v>9060.880000000001</v>
      </c>
    </row>
    <row r="25" spans="1:12" x14ac:dyDescent="0.35">
      <c r="A25" s="13">
        <v>5</v>
      </c>
      <c r="B25" s="17" t="s">
        <v>17</v>
      </c>
      <c r="C25" s="18">
        <v>50</v>
      </c>
      <c r="D25" s="15">
        <v>0.1</v>
      </c>
      <c r="E25" s="23">
        <f t="shared" ref="E25" si="17">C25*(1+D25)</f>
        <v>55.000000000000007</v>
      </c>
      <c r="F25" s="13" t="s">
        <v>33</v>
      </c>
      <c r="G25" s="19">
        <v>0.35</v>
      </c>
      <c r="H25" s="20">
        <f t="shared" si="10"/>
        <v>19.25</v>
      </c>
      <c r="I25" s="27">
        <f t="shared" si="11"/>
        <v>100</v>
      </c>
      <c r="J25" s="16">
        <v>24</v>
      </c>
      <c r="K25" s="28">
        <f t="shared" si="12"/>
        <v>2400</v>
      </c>
      <c r="L25" s="29">
        <f t="shared" si="13"/>
        <v>2419.25</v>
      </c>
    </row>
    <row r="26" spans="1:12" ht="16" thickBot="1" x14ac:dyDescent="0.4">
      <c r="A26" s="13">
        <v>6</v>
      </c>
      <c r="B26" s="17" t="s">
        <v>18</v>
      </c>
      <c r="C26" s="18">
        <v>1500</v>
      </c>
      <c r="D26" s="15">
        <v>0.1</v>
      </c>
      <c r="E26" s="23">
        <f t="shared" ref="E26" si="18">C26*(1+D26)</f>
        <v>1650.0000000000002</v>
      </c>
      <c r="F26" s="13" t="s">
        <v>7</v>
      </c>
      <c r="G26" s="19">
        <v>15.47</v>
      </c>
      <c r="H26" s="20">
        <f t="shared" si="10"/>
        <v>25525.500000000004</v>
      </c>
      <c r="I26" s="27">
        <f t="shared" si="11"/>
        <v>100</v>
      </c>
      <c r="J26" s="16">
        <v>30</v>
      </c>
      <c r="K26" s="28">
        <f t="shared" si="12"/>
        <v>3000</v>
      </c>
      <c r="L26" s="29">
        <f t="shared" si="13"/>
        <v>28525.500000000004</v>
      </c>
    </row>
    <row r="27" spans="1:12" ht="16" thickBot="1" x14ac:dyDescent="0.4">
      <c r="A27" s="44" t="s">
        <v>38</v>
      </c>
      <c r="B27" s="45"/>
      <c r="C27" s="45"/>
      <c r="D27" s="45"/>
      <c r="E27" s="45"/>
      <c r="F27" s="45"/>
      <c r="G27" s="45"/>
      <c r="H27" s="45"/>
      <c r="I27" s="45"/>
      <c r="J27" s="46"/>
      <c r="K27" s="47">
        <f>SUM(H7:H26)</f>
        <v>177245.97</v>
      </c>
      <c r="L27" s="48"/>
    </row>
    <row r="28" spans="1:12" ht="16" thickBot="1" x14ac:dyDescent="0.4">
      <c r="A28" s="44" t="s">
        <v>39</v>
      </c>
      <c r="B28" s="45"/>
      <c r="C28" s="45"/>
      <c r="D28" s="45"/>
      <c r="E28" s="45"/>
      <c r="F28" s="45"/>
      <c r="G28" s="45"/>
      <c r="H28" s="45"/>
      <c r="I28" s="45"/>
      <c r="J28" s="46"/>
      <c r="K28" s="47">
        <f>SUM(K7:K26)</f>
        <v>60305</v>
      </c>
      <c r="L28" s="48"/>
    </row>
    <row r="29" spans="1:12" ht="16" thickBot="1" x14ac:dyDescent="0.4">
      <c r="A29" s="44" t="s">
        <v>40</v>
      </c>
      <c r="B29" s="45"/>
      <c r="C29" s="45"/>
      <c r="D29" s="45"/>
      <c r="E29" s="45"/>
      <c r="F29" s="45"/>
      <c r="G29" s="45"/>
      <c r="H29" s="45"/>
      <c r="I29" s="45"/>
      <c r="J29" s="46"/>
      <c r="K29" s="47">
        <f>K27+K28</f>
        <v>237550.97</v>
      </c>
      <c r="L29" s="48"/>
    </row>
    <row r="30" spans="1:12" ht="16" thickBot="1" x14ac:dyDescent="0.4">
      <c r="A30" s="44" t="s">
        <v>41</v>
      </c>
      <c r="B30" s="45"/>
      <c r="C30" s="45"/>
      <c r="D30" s="45"/>
      <c r="E30" s="45"/>
      <c r="F30" s="45"/>
      <c r="G30" s="45"/>
      <c r="H30" s="45"/>
      <c r="I30" s="45"/>
      <c r="J30" s="30">
        <v>0.25</v>
      </c>
      <c r="K30" s="47">
        <f>K29*J30</f>
        <v>59387.7425</v>
      </c>
      <c r="L30" s="48"/>
    </row>
    <row r="31" spans="1:12" ht="16" thickBot="1" x14ac:dyDescent="0.4">
      <c r="A31" s="44" t="s">
        <v>42</v>
      </c>
      <c r="B31" s="45"/>
      <c r="C31" s="45"/>
      <c r="D31" s="45"/>
      <c r="E31" s="45"/>
      <c r="F31" s="45"/>
      <c r="G31" s="45"/>
      <c r="H31" s="45"/>
      <c r="I31" s="45"/>
      <c r="J31" s="46"/>
      <c r="K31" s="47">
        <f>K30+K29</f>
        <v>296938.71250000002</v>
      </c>
      <c r="L31" s="48"/>
    </row>
    <row r="34" spans="7:10" x14ac:dyDescent="0.35">
      <c r="G34" s="34"/>
    </row>
    <row r="35" spans="7:10" x14ac:dyDescent="0.35">
      <c r="G35" s="34"/>
      <c r="J35" s="34"/>
    </row>
  </sheetData>
  <mergeCells count="14">
    <mergeCell ref="A6:B6"/>
    <mergeCell ref="A20:B20"/>
    <mergeCell ref="C2:C3"/>
    <mergeCell ref="J4:K4"/>
    <mergeCell ref="A27:J27"/>
    <mergeCell ref="K27:L27"/>
    <mergeCell ref="A31:J31"/>
    <mergeCell ref="K31:L31"/>
    <mergeCell ref="A28:J28"/>
    <mergeCell ref="K28:L28"/>
    <mergeCell ref="A29:J29"/>
    <mergeCell ref="K29:L29"/>
    <mergeCell ref="A30:I30"/>
    <mergeCell ref="K30:L30"/>
  </mergeCells>
  <phoneticPr fontId="24" type="noConversion"/>
  <printOptions horizontalCentered="1" verticalCentered="1"/>
  <pageMargins left="0.7" right="0.7" top="0.75" bottom="0.75" header="0.3" footer="0.3"/>
  <pageSetup scale="2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Sheet1</vt:lpstr>
      <vt:lpstr>Estimate IE</vt:lpstr>
      <vt:lpstr>Chart1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Marks</dc:creator>
  <cp:lastModifiedBy>City</cp:lastModifiedBy>
  <cp:lastPrinted>2016-11-10T19:38:15Z</cp:lastPrinted>
  <dcterms:created xsi:type="dcterms:W3CDTF">2004-05-05T14:08:18Z</dcterms:created>
  <dcterms:modified xsi:type="dcterms:W3CDTF">2023-03-17T13:45:43Z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9Connected">
    <vt:bool>true</vt:bool>
  </property>
</Properties>
</file>