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IE Office\Sample Estimate\"/>
    </mc:Choice>
  </mc:AlternateContent>
  <bookViews>
    <workbookView xWindow="0" yWindow="0" windowWidth="20496" windowHeight="7752" tabRatio="735"/>
  </bookViews>
  <sheets>
    <sheet name="Electrical Spares" sheetId="128" r:id="rId1"/>
  </sheets>
  <definedNames>
    <definedName name="_xlnm._FilterDatabase" localSheetId="0" hidden="1">'Electrical Spares'!#REF!</definedName>
    <definedName name="_xlnm.Print_Titles">#N/A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6" i="128" l="1"/>
  <c r="F65" i="128"/>
  <c r="F64" i="128"/>
  <c r="F63" i="128"/>
  <c r="F62" i="128"/>
  <c r="F61" i="128"/>
  <c r="F60" i="128"/>
  <c r="F59" i="128"/>
  <c r="F58" i="128"/>
  <c r="F57" i="128"/>
  <c r="F56" i="128"/>
  <c r="F55" i="128"/>
  <c r="F54" i="128"/>
  <c r="F53" i="128"/>
  <c r="F52" i="128"/>
  <c r="F51" i="128"/>
  <c r="F50" i="128"/>
  <c r="F49" i="128"/>
  <c r="F48" i="128"/>
  <c r="F47" i="128"/>
  <c r="F46" i="128"/>
  <c r="F45" i="128"/>
  <c r="F44" i="128"/>
  <c r="F43" i="128"/>
  <c r="F42" i="128"/>
  <c r="F41" i="128"/>
  <c r="F40" i="128"/>
  <c r="F39" i="128"/>
  <c r="F38" i="128"/>
  <c r="F37" i="128"/>
  <c r="F36" i="128"/>
  <c r="F35" i="128"/>
  <c r="F34" i="128"/>
  <c r="F33" i="128"/>
  <c r="F32" i="128"/>
  <c r="F31" i="128"/>
  <c r="F30" i="128"/>
  <c r="F29" i="128"/>
  <c r="F28" i="128"/>
  <c r="F27" i="128"/>
  <c r="F26" i="128"/>
  <c r="F25" i="128"/>
  <c r="F24" i="128"/>
  <c r="F23" i="128"/>
  <c r="F22" i="128"/>
  <c r="F21" i="128"/>
  <c r="F20" i="128"/>
  <c r="F19" i="128"/>
  <c r="F18" i="128"/>
  <c r="F17" i="128"/>
  <c r="F16" i="128"/>
  <c r="F15" i="128"/>
  <c r="F14" i="128"/>
  <c r="F13" i="128"/>
  <c r="F12" i="128"/>
  <c r="F11" i="128"/>
  <c r="F10" i="128"/>
  <c r="F9" i="128"/>
  <c r="F8" i="128"/>
  <c r="F7" i="128"/>
  <c r="F6" i="128"/>
  <c r="F5" i="128"/>
  <c r="F4" i="128"/>
  <c r="F3" i="128"/>
  <c r="D67" i="128" s="1"/>
</calcChain>
</file>

<file path=xl/sharedStrings.xml><?xml version="1.0" encoding="utf-8"?>
<sst xmlns="http://schemas.openxmlformats.org/spreadsheetml/2006/main" count="136" uniqueCount="76">
  <si>
    <t>DESCRIPTION</t>
  </si>
  <si>
    <t>EA</t>
  </si>
  <si>
    <t>SET</t>
  </si>
  <si>
    <t>UOM</t>
  </si>
  <si>
    <t>Module</t>
  </si>
  <si>
    <t>Cable Jointing Kits</t>
  </si>
  <si>
    <t>Cable termination Kits</t>
  </si>
  <si>
    <t>SR. NO.</t>
  </si>
  <si>
    <t>TOTAL PRICE</t>
  </si>
  <si>
    <t>Cable 3x4 + 1x2.5 mm sq</t>
  </si>
  <si>
    <t>Cable 3x6 + 1x4 mm sq</t>
  </si>
  <si>
    <t>Cable 3x10 + 1x6 mm sq</t>
  </si>
  <si>
    <t>Cable 3x16 + 1x10 mm sq</t>
  </si>
  <si>
    <t>Cable 3x25 + 1x16 mm sq</t>
  </si>
  <si>
    <t>Cable 3x35 + 1x16 mm sq</t>
  </si>
  <si>
    <t>Cable 3x50 + 1x25 mm sq</t>
  </si>
  <si>
    <t>Cable 3x70 + 1x35 mm sq</t>
  </si>
  <si>
    <t xml:space="preserve">Cable 10 mm sq 4C </t>
  </si>
  <si>
    <t>Cable 10 mm sq 3C</t>
  </si>
  <si>
    <t>Cable 6 mm sq 4C</t>
  </si>
  <si>
    <t>Cable 4 mm sq 3C</t>
  </si>
  <si>
    <t>Cable 2.5 mm sq 3C</t>
  </si>
  <si>
    <t>Cable 16 mm sq 3C</t>
  </si>
  <si>
    <t>Cable 25 mm sq 3C</t>
  </si>
  <si>
    <t>Cable 35 mm sq 3C</t>
  </si>
  <si>
    <t>Cable 50 mm sq 3C</t>
  </si>
  <si>
    <t>Cable 70 mm sq 3C</t>
  </si>
  <si>
    <t>Cable 120 mm sq 3C</t>
  </si>
  <si>
    <t>Cable 240 mm sq 3C</t>
  </si>
  <si>
    <t>Cable 185 mm sq 3C</t>
  </si>
  <si>
    <t>Cable 185 mm sq 3.5C</t>
  </si>
  <si>
    <t>Cable 95 mm sq 3.5C</t>
  </si>
  <si>
    <t>Cable 95 mm sq 3C</t>
  </si>
  <si>
    <t>Cable 150 mm sq 3C</t>
  </si>
  <si>
    <t>QUANTITY</t>
  </si>
  <si>
    <t>Aux Contacts
Type: CA5X-22M
Make: ABB</t>
  </si>
  <si>
    <t>Current Transducer
Type: ABQPA-1
Make: ZLAB</t>
  </si>
  <si>
    <t>Digital Meter (Volt/Current/Frequency)
Type: PD194Z-9HY
Make: SFERE</t>
  </si>
  <si>
    <t>Emergeny Switch 
Type: CE4T-10R-01
Make: ABB</t>
  </si>
  <si>
    <t>LV ACB
Type: E1C 800 D-LS1G R800 50kA 3P W HR AC/DC220V 4CO
Make: ABB</t>
  </si>
  <si>
    <t>LV ACB
Type: E1C 1000 D-LS1G R1000 50kA 3P W HR AC/DC220V 4CO
Make: ABB</t>
  </si>
  <si>
    <t>LV ACB
Type: E2N 2500 D-LS1G R2500 66kA 3P W HR AC/DC220V 10CO
Make: ABB</t>
  </si>
  <si>
    <t>LV ACB
Type: E4N 4000 D-LS1G R4000 66kA 3P W HR AC/DC220V 10CO
Make: ABB</t>
  </si>
  <si>
    <t>Power Fuses
Type: HG30-32
Make: NBSW</t>
  </si>
  <si>
    <t xml:space="preserve">Power Supply 
Type: NES-100-24
Make: MEAN WELL </t>
  </si>
  <si>
    <t>transmitter transducer
Type: GC4I  AC1A, 4~20mA, AC/DC85~265V 
Make: Wuxi gece electric</t>
  </si>
  <si>
    <t xml:space="preserve">VFD
Type: ATV312HU40N4, 2 KW
Make: Schneider Elecric </t>
  </si>
  <si>
    <t>VFD
Type: ACS510, 1.5 KW
Make: ABB</t>
  </si>
  <si>
    <t>VFD
Type: 45KW, 400V
Make: ABB</t>
  </si>
  <si>
    <t>VFD
Type: 15KW, 400V
Make: ABB</t>
  </si>
  <si>
    <t>VFD
Type: 75KW,400V
Make: ABB</t>
  </si>
  <si>
    <t>VFD 
Type: 30KW, 400V
Make: ABB</t>
  </si>
  <si>
    <t>VFD 0.75 KW
Type: ATV312HO75N4
Make: ABB</t>
  </si>
  <si>
    <t>Aux Contacts
Type: CA5X-22E
Make: ABB</t>
  </si>
  <si>
    <t>data display instrument
Type: MS10EU72404-AO AC85~265V
Make: AEG</t>
  </si>
  <si>
    <t>data display instrument
Type: MS10EA72110-A0 AC85~265V/DC90~300V
Make: AEG</t>
  </si>
  <si>
    <t>disconnector switch &amp;accessory
Type: OT200E03CP OHB65J6E011 OXP6x161 
Make: ABB</t>
  </si>
  <si>
    <t xml:space="preserve">Door Limit Switch
Type: LXW5A11Q1
Make: </t>
  </si>
  <si>
    <t xml:space="preserve">Limit Switch
Type: LX19K
Make: </t>
  </si>
  <si>
    <t>LV ACB
Type: E1C 630 D-LS1G R630 50kA 3P W HR AC/DC220V 4CO
Make: ABB</t>
  </si>
  <si>
    <t>LV ACB
Type: E3N/MS 2500 66kA 3P W HR M/YC/YO AC/DC220V 10CO
Make: ABB</t>
  </si>
  <si>
    <t>LV ACB
Type: E4S/MS 4000 75kA 3P W HR M/YC/YO AC/DC220V 10CO
Make: ABB</t>
  </si>
  <si>
    <t>Panel  Green Indication 
Type: XB2-BVM3LC
Make: Scheinder Electric</t>
  </si>
  <si>
    <t>Panel  Red Indication 
Type: CL502R
Make: ABB</t>
  </si>
  <si>
    <t>Panel  Red Indication 
Type: NB2-3SMC
Make: Scheinder Electric</t>
  </si>
  <si>
    <t>Panel  Red Indication TR LOCAL PANEL 
Type: AD16-22/5
Make: APT</t>
  </si>
  <si>
    <t>Panel  Yellow Indication 
Type: CL502R
Make: ABB</t>
  </si>
  <si>
    <t xml:space="preserve">Panel LAMP
Type: 
Make: </t>
  </si>
  <si>
    <t xml:space="preserve">Panel LAMP D/S and E/S Panel 
Type: T4
Make: </t>
  </si>
  <si>
    <t xml:space="preserve">Panel LGHT 
Type: 
Make: </t>
  </si>
  <si>
    <t xml:space="preserve">Panel space Heater
Type: JRD2-2
Make: </t>
  </si>
  <si>
    <t>VFD 4KW
Type: 
Make: ABB</t>
  </si>
  <si>
    <t>LFT</t>
  </si>
  <si>
    <t>TOTAL PRICE (USD)</t>
  </si>
  <si>
    <t>UNIT PRICE</t>
  </si>
  <si>
    <t>LV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</si>
</sst>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 * #,##0.00_ ;_ * \-#,##0.00_ ;_ * &quot;-&quot;??_ ;_ @_ "/>
    <numFmt numFmtId="167" formatCode="0.0"/>
  </numFmts>
  <fonts count="19">
    <font>
      <sz val="11"/>
      <color indexed="8"/>
      <name val="Calibri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0"/>
      <color rgb="FF000000"/>
      <name val="Times New Roman"/>
      <family val="1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name val="DTMLetterRegular"/>
    </font>
    <font>
      <sz val="10"/>
      <name val="Century Gothic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716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0" fontId="15" fillId="0" borderId="0"/>
    <xf numFmtId="0" fontId="5" fillId="2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4" fillId="0" borderId="0"/>
    <xf numFmtId="0" fontId="16" fillId="0" borderId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166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166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164" fontId="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18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64" fontId="1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164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</cellStyleXfs>
  <cellXfs count="42">
    <xf numFmtId="0" fontId="0" fillId="0" borderId="0" xfId="0" applyAlignment="1"/>
    <xf numFmtId="0" fontId="9" fillId="0" borderId="1" xfId="28" applyFont="1" applyFill="1" applyBorder="1" applyAlignment="1">
      <alignment horizontal="center" vertical="center" wrapText="1"/>
    </xf>
    <xf numFmtId="0" fontId="12" fillId="0" borderId="1" xfId="5" applyFont="1" applyFill="1" applyBorder="1" applyAlignment="1">
      <alignment horizontal="center" vertical="center" wrapText="1"/>
    </xf>
    <xf numFmtId="0" fontId="17" fillId="0" borderId="0" xfId="5" applyFont="1" applyFill="1" applyAlignment="1">
      <alignment horizontal="center"/>
    </xf>
    <xf numFmtId="0" fontId="17" fillId="0" borderId="0" xfId="5" applyFont="1" applyFill="1"/>
    <xf numFmtId="0" fontId="12" fillId="0" borderId="1" xfId="5" applyFont="1" applyFill="1" applyBorder="1" applyAlignment="1">
      <alignment horizontal="center" vertical="center"/>
    </xf>
    <xf numFmtId="0" fontId="12" fillId="0" borderId="1" xfId="5" applyFont="1" applyFill="1" applyBorder="1" applyAlignment="1">
      <alignment horizontal="left" vertical="center" wrapText="1"/>
    </xf>
    <xf numFmtId="0" fontId="9" fillId="0" borderId="1" xfId="28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6" xfId="28" applyFont="1" applyFill="1" applyBorder="1" applyAlignment="1">
      <alignment horizontal="center" vertical="center" wrapText="1"/>
    </xf>
    <xf numFmtId="0" fontId="17" fillId="0" borderId="0" xfId="5" applyFont="1" applyFill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2" xfId="5" applyFont="1" applyFill="1" applyBorder="1" applyAlignment="1">
      <alignment horizontal="center" vertical="center"/>
    </xf>
    <xf numFmtId="0" fontId="12" fillId="0" borderId="7" xfId="5" applyFont="1" applyFill="1" applyBorder="1" applyAlignment="1">
      <alignment horizontal="center" vertical="center"/>
    </xf>
    <xf numFmtId="0" fontId="12" fillId="0" borderId="6" xfId="5" applyFont="1" applyFill="1" applyBorder="1" applyAlignment="1">
      <alignment horizontal="left" vertical="center" wrapText="1"/>
    </xf>
    <xf numFmtId="0" fontId="12" fillId="0" borderId="9" xfId="5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 wrapText="1"/>
    </xf>
    <xf numFmtId="0" fontId="12" fillId="0" borderId="8" xfId="5" applyFont="1" applyFill="1" applyBorder="1" applyAlignment="1">
      <alignment horizontal="center" vertical="center"/>
    </xf>
    <xf numFmtId="0" fontId="14" fillId="0" borderId="12" xfId="5" applyFont="1" applyFill="1" applyBorder="1" applyAlignment="1">
      <alignment vertical="center"/>
    </xf>
    <xf numFmtId="0" fontId="6" fillId="0" borderId="12" xfId="28" applyFont="1" applyFill="1" applyBorder="1" applyAlignment="1">
      <alignment vertical="center" wrapText="1"/>
    </xf>
    <xf numFmtId="0" fontId="6" fillId="0" borderId="12" xfId="28" applyFont="1" applyFill="1" applyBorder="1" applyAlignment="1">
      <alignment horizontal="center" vertical="center" wrapText="1"/>
    </xf>
    <xf numFmtId="167" fontId="10" fillId="0" borderId="8" xfId="0" applyNumberFormat="1" applyFont="1" applyFill="1" applyBorder="1" applyAlignment="1">
      <alignment horizontal="center" vertical="center"/>
    </xf>
    <xf numFmtId="0" fontId="12" fillId="0" borderId="8" xfId="5" applyFont="1" applyFill="1" applyBorder="1" applyAlignment="1">
      <alignment horizontal="center" vertical="center" wrapText="1"/>
    </xf>
    <xf numFmtId="1" fontId="17" fillId="0" borderId="11" xfId="5" applyNumberFormat="1" applyFont="1" applyFill="1" applyBorder="1" applyAlignment="1">
      <alignment vertical="center"/>
    </xf>
    <xf numFmtId="167" fontId="10" fillId="0" borderId="1" xfId="0" applyNumberFormat="1" applyFont="1" applyFill="1" applyBorder="1" applyAlignment="1">
      <alignment horizontal="center" vertical="center"/>
    </xf>
    <xf numFmtId="165" fontId="17" fillId="0" borderId="11" xfId="1" applyNumberFormat="1" applyFont="1" applyFill="1" applyBorder="1" applyAlignment="1">
      <alignment vertical="center"/>
    </xf>
    <xf numFmtId="167" fontId="12" fillId="0" borderId="1" xfId="1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7" fillId="0" borderId="1" xfId="5" applyFont="1" applyFill="1" applyBorder="1" applyAlignment="1">
      <alignment horizontal="center" vertical="center"/>
    </xf>
    <xf numFmtId="0" fontId="17" fillId="0" borderId="6" xfId="5" applyFont="1" applyFill="1" applyBorder="1" applyAlignment="1">
      <alignment horizontal="center" vertical="center"/>
    </xf>
    <xf numFmtId="167" fontId="9" fillId="0" borderId="1" xfId="28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7" fontId="9" fillId="0" borderId="6" xfId="28" applyNumberFormat="1" applyFont="1" applyFill="1" applyBorder="1" applyAlignment="1">
      <alignment horizontal="center" vertical="center" wrapText="1"/>
    </xf>
    <xf numFmtId="0" fontId="13" fillId="0" borderId="14" xfId="5" applyFont="1" applyFill="1" applyBorder="1" applyAlignment="1">
      <alignment horizontal="center"/>
    </xf>
    <xf numFmtId="0" fontId="13" fillId="0" borderId="3" xfId="5" applyFont="1" applyFill="1" applyBorder="1" applyAlignment="1">
      <alignment horizontal="center"/>
    </xf>
    <xf numFmtId="0" fontId="13" fillId="0" borderId="4" xfId="5" applyFont="1" applyFill="1" applyBorder="1" applyAlignment="1">
      <alignment horizontal="center"/>
    </xf>
    <xf numFmtId="165" fontId="13" fillId="0" borderId="14" xfId="1" applyNumberFormat="1" applyFont="1" applyFill="1" applyBorder="1" applyAlignment="1">
      <alignment horizontal="center"/>
    </xf>
    <xf numFmtId="165" fontId="13" fillId="0" borderId="3" xfId="1" applyNumberFormat="1" applyFont="1" applyFill="1" applyBorder="1" applyAlignment="1">
      <alignment horizontal="center"/>
    </xf>
    <xf numFmtId="165" fontId="13" fillId="0" borderId="4" xfId="1" applyNumberFormat="1" applyFont="1" applyFill="1" applyBorder="1" applyAlignment="1">
      <alignment horizontal="center"/>
    </xf>
    <xf numFmtId="0" fontId="13" fillId="0" borderId="10" xfId="5" applyFont="1" applyFill="1" applyBorder="1" applyAlignment="1">
      <alignment horizontal="left" vertical="center"/>
    </xf>
    <xf numFmtId="0" fontId="13" fillId="0" borderId="5" xfId="5" applyFont="1" applyFill="1" applyBorder="1" applyAlignment="1">
      <alignment horizontal="left" vertical="center"/>
    </xf>
    <xf numFmtId="0" fontId="13" fillId="0" borderId="13" xfId="5" applyFont="1" applyFill="1" applyBorder="1" applyAlignment="1">
      <alignment horizontal="left" vertical="center"/>
    </xf>
  </cellXfs>
  <cellStyles count="716">
    <cellStyle name="=C:\WINNT35\SYSTEM32\COMMAND.COM" xfId="30"/>
    <cellStyle name="20% - Accent4 2" xfId="31"/>
    <cellStyle name="Comma" xfId="1" builtinId="3"/>
    <cellStyle name="Comma 10" xfId="714"/>
    <cellStyle name="Comma 2" xfId="2"/>
    <cellStyle name="Comma 2 2" xfId="52"/>
    <cellStyle name="Comma 2 3" xfId="136"/>
    <cellStyle name="Comma 2 4" xfId="186"/>
    <cellStyle name="Comma 2 4 2" xfId="715"/>
    <cellStyle name="Comma 3" xfId="3"/>
    <cellStyle name="Comma 3 2" xfId="189"/>
    <cellStyle name="Comma 4" xfId="27"/>
    <cellStyle name="Comma 4 2" xfId="526"/>
    <cellStyle name="Comma 5" xfId="29"/>
    <cellStyle name="Comma 5 2" xfId="708"/>
    <cellStyle name="Comma 6" xfId="53"/>
    <cellStyle name="Comma 7" xfId="337"/>
    <cellStyle name="Comma 8" xfId="339"/>
    <cellStyle name="Comma 9" xfId="527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2" builtinId="9" hidden="1"/>
    <cellStyle name="Followed Hyperlink" xfId="433" builtinId="9" hidden="1"/>
    <cellStyle name="Followed Hyperlink" xfId="434" builtinId="9" hidden="1"/>
    <cellStyle name="Followed Hyperlink" xfId="435" builtinId="9" hidden="1"/>
    <cellStyle name="Followed Hyperlink" xfId="436" builtinId="9" hidden="1"/>
    <cellStyle name="Followed Hyperlink" xfId="437" builtinId="9" hidden="1"/>
    <cellStyle name="Followed Hyperlink" xfId="438" builtinId="9" hidden="1"/>
    <cellStyle name="Followed Hyperlink" xfId="439" builtinId="9" hidden="1"/>
    <cellStyle name="Followed Hyperlink" xfId="440" builtinId="9" hidden="1"/>
    <cellStyle name="Followed Hyperlink" xfId="441" builtinId="9" hidden="1"/>
    <cellStyle name="Followed Hyperlink" xfId="442" builtinId="9" hidden="1"/>
    <cellStyle name="Followed Hyperlink" xfId="443" builtinId="9" hidden="1"/>
    <cellStyle name="Followed Hyperlink" xfId="444" builtinId="9" hidden="1"/>
    <cellStyle name="Followed Hyperlink" xfId="445" builtinId="9" hidden="1"/>
    <cellStyle name="Followed Hyperlink" xfId="446" builtinId="9" hidden="1"/>
    <cellStyle name="Followed Hyperlink" xfId="447" builtinId="9" hidden="1"/>
    <cellStyle name="Followed Hyperlink" xfId="448" builtinId="9" hidden="1"/>
    <cellStyle name="Followed Hyperlink" xfId="449" builtinId="9" hidden="1"/>
    <cellStyle name="Followed Hyperlink" xfId="450" builtinId="9" hidden="1"/>
    <cellStyle name="Followed Hyperlink" xfId="451" builtinId="9" hidden="1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1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480" builtinId="9" hidden="1"/>
    <cellStyle name="Followed Hyperlink" xfId="481" builtinId="9" hidden="1"/>
    <cellStyle name="Followed Hyperlink" xfId="482" builtinId="9" hidden="1"/>
    <cellStyle name="Followed Hyperlink" xfId="483" builtinId="9" hidden="1"/>
    <cellStyle name="Followed Hyperlink" xfId="484" builtinId="9" hidden="1"/>
    <cellStyle name="Followed Hyperlink" xfId="485" builtinId="9" hidden="1"/>
    <cellStyle name="Followed Hyperlink" xfId="486" builtinId="9" hidden="1"/>
    <cellStyle name="Followed Hyperlink" xfId="487" builtinId="9" hidden="1"/>
    <cellStyle name="Followed Hyperlink" xfId="488" builtinId="9" hidden="1"/>
    <cellStyle name="Followed Hyperlink" xfId="489" builtinId="9" hidden="1"/>
    <cellStyle name="Followed Hyperlink" xfId="490" builtinId="9" hidden="1"/>
    <cellStyle name="Followed Hyperlink" xfId="491" builtinId="9" hidden="1"/>
    <cellStyle name="Followed Hyperlink" xfId="492" builtinId="9" hidden="1"/>
    <cellStyle name="Followed Hyperlink" xfId="493" builtinId="9" hidden="1"/>
    <cellStyle name="Followed Hyperlink" xfId="494" builtinId="9" hidden="1"/>
    <cellStyle name="Followed Hyperlink" xfId="495" builtinId="9" hidden="1"/>
    <cellStyle name="Followed Hyperlink" xfId="496" builtinId="9" hidden="1"/>
    <cellStyle name="Followed Hyperlink" xfId="497" builtinId="9" hidden="1"/>
    <cellStyle name="Followed Hyperlink" xfId="498" builtinId="9" hidden="1"/>
    <cellStyle name="Followed Hyperlink" xfId="499" builtinId="9" hidden="1"/>
    <cellStyle name="Followed Hyperlink" xfId="500" builtinId="9" hidden="1"/>
    <cellStyle name="Followed Hyperlink" xfId="501" builtinId="9" hidden="1"/>
    <cellStyle name="Followed Hyperlink" xfId="502" builtinId="9" hidden="1"/>
    <cellStyle name="Followed Hyperlink" xfId="503" builtinId="9" hidden="1"/>
    <cellStyle name="Followed Hyperlink" xfId="504" builtinId="9" hidden="1"/>
    <cellStyle name="Followed Hyperlink" xfId="505" builtinId="9" hidden="1"/>
    <cellStyle name="Followed Hyperlink" xfId="506" builtinId="9" hidden="1"/>
    <cellStyle name="Followed Hyperlink" xfId="507" builtinId="9" hidden="1"/>
    <cellStyle name="Followed Hyperlink" xfId="508" builtinId="9" hidden="1"/>
    <cellStyle name="Followed Hyperlink" xfId="509" builtinId="9" hidden="1"/>
    <cellStyle name="Followed Hyperlink" xfId="510" builtinId="9" hidden="1"/>
    <cellStyle name="Followed Hyperlink" xfId="511" builtinId="9" hidden="1"/>
    <cellStyle name="Followed Hyperlink" xfId="512" builtinId="9" hidden="1"/>
    <cellStyle name="Followed Hyperlink" xfId="513" builtinId="9" hidden="1"/>
    <cellStyle name="Followed Hyperlink" xfId="514" builtinId="9" hidden="1"/>
    <cellStyle name="Followed Hyperlink" xfId="515" builtinId="9" hidden="1"/>
    <cellStyle name="Followed Hyperlink" xfId="516" builtinId="9" hidden="1"/>
    <cellStyle name="Followed Hyperlink" xfId="517" builtinId="9" hidden="1"/>
    <cellStyle name="Followed Hyperlink" xfId="518" builtinId="9" hidden="1"/>
    <cellStyle name="Followed Hyperlink" xfId="519" builtinId="9" hidden="1"/>
    <cellStyle name="Followed Hyperlink" xfId="520" builtinId="9" hidden="1"/>
    <cellStyle name="Followed Hyperlink" xfId="521" builtinId="9" hidden="1"/>
    <cellStyle name="Followed Hyperlink" xfId="522" builtinId="9" hidden="1"/>
    <cellStyle name="Followed Hyperlink" xfId="523" builtinId="9" hidden="1"/>
    <cellStyle name="Followed Hyperlink" xfId="524" builtinId="9" hidden="1"/>
    <cellStyle name="Followed Hyperlink" xfId="525" builtinId="9" hidden="1"/>
    <cellStyle name="Followed Hyperlink" xfId="528" builtinId="9" hidden="1"/>
    <cellStyle name="Followed Hyperlink" xfId="529" builtinId="9" hidden="1"/>
    <cellStyle name="Followed Hyperlink" xfId="530" builtinId="9" hidden="1"/>
    <cellStyle name="Followed Hyperlink" xfId="531" builtinId="9" hidden="1"/>
    <cellStyle name="Followed Hyperlink" xfId="532" builtinId="9" hidden="1"/>
    <cellStyle name="Followed Hyperlink" xfId="533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" xfId="546" builtinId="9" hidden="1"/>
    <cellStyle name="Followed Hyperlink" xfId="547" builtinId="9" hidden="1"/>
    <cellStyle name="Followed Hyperlink" xfId="548" builtinId="9" hidden="1"/>
    <cellStyle name="Followed Hyperlink" xfId="549" builtinId="9" hidden="1"/>
    <cellStyle name="Followed Hyperlink" xfId="550" builtinId="9" hidden="1"/>
    <cellStyle name="Followed Hyperlink" xfId="551" builtinId="9" hidden="1"/>
    <cellStyle name="Followed Hyperlink" xfId="552" builtinId="9" hidden="1"/>
    <cellStyle name="Followed Hyperlink" xfId="553" builtinId="9" hidden="1"/>
    <cellStyle name="Followed Hyperlink" xfId="554" builtinId="9" hidden="1"/>
    <cellStyle name="Followed Hyperlink" xfId="555" builtinId="9" hidden="1"/>
    <cellStyle name="Followed Hyperlink" xfId="556" builtinId="9" hidden="1"/>
    <cellStyle name="Followed Hyperlink" xfId="557" builtinId="9" hidden="1"/>
    <cellStyle name="Followed Hyperlink" xfId="558" builtinId="9" hidden="1"/>
    <cellStyle name="Followed Hyperlink" xfId="559" builtinId="9" hidden="1"/>
    <cellStyle name="Followed Hyperlink" xfId="560" builtinId="9" hidden="1"/>
    <cellStyle name="Followed Hyperlink" xfId="561" builtinId="9" hidden="1"/>
    <cellStyle name="Followed Hyperlink" xfId="562" builtinId="9" hidden="1"/>
    <cellStyle name="Followed Hyperlink" xfId="563" builtinId="9" hidden="1"/>
    <cellStyle name="Followed Hyperlink" xfId="564" builtinId="9" hidden="1"/>
    <cellStyle name="Followed Hyperlink" xfId="565" builtinId="9" hidden="1"/>
    <cellStyle name="Followed Hyperlink" xfId="566" builtinId="9" hidden="1"/>
    <cellStyle name="Followed Hyperlink" xfId="567" builtinId="9" hidden="1"/>
    <cellStyle name="Followed Hyperlink" xfId="568" builtinId="9" hidden="1"/>
    <cellStyle name="Followed Hyperlink" xfId="569" builtinId="9" hidden="1"/>
    <cellStyle name="Followed Hyperlink" xfId="570" builtinId="9" hidden="1"/>
    <cellStyle name="Followed Hyperlink" xfId="571" builtinId="9" hidden="1"/>
    <cellStyle name="Followed Hyperlink" xfId="572" builtinId="9" hidden="1"/>
    <cellStyle name="Followed Hyperlink" xfId="573" builtinId="9" hidden="1"/>
    <cellStyle name="Followed Hyperlink" xfId="574" builtinId="9" hidden="1"/>
    <cellStyle name="Followed Hyperlink" xfId="575" builtinId="9" hidden="1"/>
    <cellStyle name="Followed Hyperlink" xfId="576" builtinId="9" hidden="1"/>
    <cellStyle name="Followed Hyperlink" xfId="577" builtinId="9" hidden="1"/>
    <cellStyle name="Followed Hyperlink" xfId="578" builtinId="9" hidden="1"/>
    <cellStyle name="Followed Hyperlink" xfId="579" builtinId="9" hidden="1"/>
    <cellStyle name="Followed Hyperlink" xfId="580" builtinId="9" hidden="1"/>
    <cellStyle name="Followed Hyperlink" xfId="581" builtinId="9" hidden="1"/>
    <cellStyle name="Followed Hyperlink" xfId="582" builtinId="9" hidden="1"/>
    <cellStyle name="Followed Hyperlink" xfId="583" builtinId="9" hidden="1"/>
    <cellStyle name="Followed Hyperlink" xfId="584" builtinId="9" hidden="1"/>
    <cellStyle name="Followed Hyperlink" xfId="585" builtinId="9" hidden="1"/>
    <cellStyle name="Followed Hyperlink" xfId="586" builtinId="9" hidden="1"/>
    <cellStyle name="Followed Hyperlink" xfId="587" builtinId="9" hidden="1"/>
    <cellStyle name="Followed Hyperlink" xfId="588" builtinId="9" hidden="1"/>
    <cellStyle name="Followed Hyperlink" xfId="589" builtinId="9" hidden="1"/>
    <cellStyle name="Followed Hyperlink" xfId="590" builtinId="9" hidden="1"/>
    <cellStyle name="Followed Hyperlink" xfId="591" builtinId="9" hidden="1"/>
    <cellStyle name="Followed Hyperlink" xfId="592" builtinId="9" hidden="1"/>
    <cellStyle name="Followed Hyperlink" xfId="593" builtinId="9" hidden="1"/>
    <cellStyle name="Followed Hyperlink" xfId="594" builtinId="9" hidden="1"/>
    <cellStyle name="Followed Hyperlink" xfId="595" builtinId="9" hidden="1"/>
    <cellStyle name="Followed Hyperlink" xfId="596" builtinId="9" hidden="1"/>
    <cellStyle name="Followed Hyperlink" xfId="597" builtinId="9" hidden="1"/>
    <cellStyle name="Followed Hyperlink" xfId="598" builtinId="9" hidden="1"/>
    <cellStyle name="Followed Hyperlink" xfId="599" builtinId="9" hidden="1"/>
    <cellStyle name="Followed Hyperlink" xfId="600" builtinId="9" hidden="1"/>
    <cellStyle name="Followed Hyperlink" xfId="601" builtinId="9" hidden="1"/>
    <cellStyle name="Followed Hyperlink" xfId="602" builtinId="9" hidden="1"/>
    <cellStyle name="Followed Hyperlink" xfId="603" builtinId="9" hidden="1"/>
    <cellStyle name="Followed Hyperlink" xfId="604" builtinId="9" hidden="1"/>
    <cellStyle name="Followed Hyperlink" xfId="605" builtinId="9" hidden="1"/>
    <cellStyle name="Followed Hyperlink" xfId="606" builtinId="9" hidden="1"/>
    <cellStyle name="Followed Hyperlink" xfId="607" builtinId="9" hidden="1"/>
    <cellStyle name="Followed Hyperlink" xfId="608" builtinId="9" hidden="1"/>
    <cellStyle name="Followed Hyperlink" xfId="609" builtinId="9" hidden="1"/>
    <cellStyle name="Followed Hyperlink" xfId="610" builtinId="9" hidden="1"/>
    <cellStyle name="Followed Hyperlink" xfId="611" builtinId="9" hidden="1"/>
    <cellStyle name="Followed Hyperlink" xfId="612" builtinId="9" hidden="1"/>
    <cellStyle name="Followed Hyperlink" xfId="613" builtinId="9" hidden="1"/>
    <cellStyle name="Followed Hyperlink" xfId="614" builtinId="9" hidden="1"/>
    <cellStyle name="Followed Hyperlink" xfId="615" builtinId="9" hidden="1"/>
    <cellStyle name="Followed Hyperlink" xfId="616" builtinId="9" hidden="1"/>
    <cellStyle name="Followed Hyperlink" xfId="617" builtinId="9" hidden="1"/>
    <cellStyle name="Followed Hyperlink" xfId="618" builtinId="9" hidden="1"/>
    <cellStyle name="Followed Hyperlink" xfId="619" builtinId="9" hidden="1"/>
    <cellStyle name="Followed Hyperlink" xfId="620" builtinId="9" hidden="1"/>
    <cellStyle name="Followed Hyperlink" xfId="621" builtinId="9" hidden="1"/>
    <cellStyle name="Followed Hyperlink" xfId="622" builtinId="9" hidden="1"/>
    <cellStyle name="Followed Hyperlink" xfId="623" builtinId="9" hidden="1"/>
    <cellStyle name="Followed Hyperlink" xfId="624" builtinId="9" hidden="1"/>
    <cellStyle name="Followed Hyperlink" xfId="625" builtinId="9" hidden="1"/>
    <cellStyle name="Followed Hyperlink" xfId="626" builtinId="9" hidden="1"/>
    <cellStyle name="Followed Hyperlink" xfId="627" builtinId="9" hidden="1"/>
    <cellStyle name="Followed Hyperlink" xfId="628" builtinId="9" hidden="1"/>
    <cellStyle name="Followed Hyperlink" xfId="629" builtinId="9" hidden="1"/>
    <cellStyle name="Followed Hyperlink" xfId="630" builtinId="9" hidden="1"/>
    <cellStyle name="Followed Hyperlink" xfId="631" builtinId="9" hidden="1"/>
    <cellStyle name="Followed Hyperlink" xfId="632" builtinId="9" hidden="1"/>
    <cellStyle name="Followed Hyperlink" xfId="633" builtinId="9" hidden="1"/>
    <cellStyle name="Followed Hyperlink" xfId="634" builtinId="9" hidden="1"/>
    <cellStyle name="Followed Hyperlink" xfId="635" builtinId="9" hidden="1"/>
    <cellStyle name="Followed Hyperlink" xfId="636" builtinId="9" hidden="1"/>
    <cellStyle name="Followed Hyperlink" xfId="637" builtinId="9" hidden="1"/>
    <cellStyle name="Followed Hyperlink" xfId="638" builtinId="9" hidden="1"/>
    <cellStyle name="Followed Hyperlink" xfId="639" builtinId="9" hidden="1"/>
    <cellStyle name="Followed Hyperlink" xfId="640" builtinId="9" hidden="1"/>
    <cellStyle name="Followed Hyperlink" xfId="641" builtinId="9" hidden="1"/>
    <cellStyle name="Followed Hyperlink" xfId="642" builtinId="9" hidden="1"/>
    <cellStyle name="Followed Hyperlink" xfId="643" builtinId="9" hidden="1"/>
    <cellStyle name="Followed Hyperlink" xfId="644" builtinId="9" hidden="1"/>
    <cellStyle name="Followed Hyperlink" xfId="645" builtinId="9" hidden="1"/>
    <cellStyle name="Followed Hyperlink" xfId="646" builtinId="9" hidden="1"/>
    <cellStyle name="Followed Hyperlink" xfId="647" builtinId="9" hidden="1"/>
    <cellStyle name="Followed Hyperlink" xfId="648" builtinId="9" hidden="1"/>
    <cellStyle name="Followed Hyperlink" xfId="649" builtinId="9" hidden="1"/>
    <cellStyle name="Followed Hyperlink" xfId="650" builtinId="9" hidden="1"/>
    <cellStyle name="Followed Hyperlink" xfId="651" builtinId="9" hidden="1"/>
    <cellStyle name="Followed Hyperlink" xfId="652" builtinId="9" hidden="1"/>
    <cellStyle name="Followed Hyperlink" xfId="653" builtinId="9" hidden="1"/>
    <cellStyle name="Followed Hyperlink" xfId="654" builtinId="9" hidden="1"/>
    <cellStyle name="Followed Hyperlink" xfId="655" builtinId="9" hidden="1"/>
    <cellStyle name="Followed Hyperlink" xfId="656" builtinId="9" hidden="1"/>
    <cellStyle name="Followed Hyperlink" xfId="657" builtinId="9" hidden="1"/>
    <cellStyle name="Followed Hyperlink" xfId="658" builtinId="9" hidden="1"/>
    <cellStyle name="Followed Hyperlink" xfId="659" builtinId="9" hidden="1"/>
    <cellStyle name="Followed Hyperlink" xfId="660" builtinId="9" hidden="1"/>
    <cellStyle name="Followed Hyperlink" xfId="661" builtinId="9" hidden="1"/>
    <cellStyle name="Followed Hyperlink" xfId="662" builtinId="9" hidden="1"/>
    <cellStyle name="Followed Hyperlink" xfId="663" builtinId="9" hidden="1"/>
    <cellStyle name="Followed Hyperlink" xfId="664" builtinId="9" hidden="1"/>
    <cellStyle name="Followed Hyperlink" xfId="665" builtinId="9" hidden="1"/>
    <cellStyle name="Followed Hyperlink" xfId="666" builtinId="9" hidden="1"/>
    <cellStyle name="Followed Hyperlink" xfId="667" builtinId="9" hidden="1"/>
    <cellStyle name="Followed Hyperlink" xfId="668" builtinId="9" hidden="1"/>
    <cellStyle name="Followed Hyperlink" xfId="669" builtinId="9" hidden="1"/>
    <cellStyle name="Followed Hyperlink" xfId="670" builtinId="9" hidden="1"/>
    <cellStyle name="Followed Hyperlink" xfId="671" builtinId="9" hidden="1"/>
    <cellStyle name="Followed Hyperlink" xfId="672" builtinId="9" hidden="1"/>
    <cellStyle name="Followed Hyperlink" xfId="673" builtinId="9" hidden="1"/>
    <cellStyle name="Followed Hyperlink" xfId="674" builtinId="9" hidden="1"/>
    <cellStyle name="Followed Hyperlink" xfId="675" builtinId="9" hidden="1"/>
    <cellStyle name="Followed Hyperlink" xfId="676" builtinId="9" hidden="1"/>
    <cellStyle name="Followed Hyperlink" xfId="677" builtinId="9" hidden="1"/>
    <cellStyle name="Followed Hyperlink" xfId="678" builtinId="9" hidden="1"/>
    <cellStyle name="Followed Hyperlink" xfId="679" builtinId="9" hidden="1"/>
    <cellStyle name="Followed Hyperlink" xfId="680" builtinId="9" hidden="1"/>
    <cellStyle name="Followed Hyperlink" xfId="681" builtinId="9" hidden="1"/>
    <cellStyle name="Followed Hyperlink" xfId="682" builtinId="9" hidden="1"/>
    <cellStyle name="Followed Hyperlink" xfId="683" builtinId="9" hidden="1"/>
    <cellStyle name="Followed Hyperlink" xfId="684" builtinId="9" hidden="1"/>
    <cellStyle name="Followed Hyperlink" xfId="685" builtinId="9" hidden="1"/>
    <cellStyle name="Followed Hyperlink" xfId="686" builtinId="9" hidden="1"/>
    <cellStyle name="Followed Hyperlink" xfId="687" builtinId="9" hidden="1"/>
    <cellStyle name="Followed Hyperlink" xfId="688" builtinId="9" hidden="1"/>
    <cellStyle name="Followed Hyperlink" xfId="689" builtinId="9" hidden="1"/>
    <cellStyle name="Followed Hyperlink" xfId="690" builtinId="9" hidden="1"/>
    <cellStyle name="Followed Hyperlink" xfId="691" builtinId="9" hidden="1"/>
    <cellStyle name="Followed Hyperlink" xfId="692" builtinId="9" hidden="1"/>
    <cellStyle name="Followed Hyperlink" xfId="693" builtinId="9" hidden="1"/>
    <cellStyle name="Followed Hyperlink" xfId="694" builtinId="9" hidden="1"/>
    <cellStyle name="Followed Hyperlink" xfId="695" builtinId="9" hidden="1"/>
    <cellStyle name="Followed Hyperlink" xfId="696" builtinId="9" hidden="1"/>
    <cellStyle name="Followed Hyperlink" xfId="697" builtinId="9" hidden="1"/>
    <cellStyle name="Followed Hyperlink" xfId="698" builtinId="9" hidden="1"/>
    <cellStyle name="Followed Hyperlink" xfId="699" builtinId="9" hidden="1"/>
    <cellStyle name="Followed Hyperlink" xfId="700" builtinId="9" hidden="1"/>
    <cellStyle name="Followed Hyperlink" xfId="701" builtinId="9" hidden="1"/>
    <cellStyle name="Followed Hyperlink" xfId="702" builtinId="9" hidden="1"/>
    <cellStyle name="Followed Hyperlink" xfId="703" builtinId="9" hidden="1"/>
    <cellStyle name="Followed Hyperlink" xfId="704" builtinId="9" hidden="1"/>
    <cellStyle name="Followed Hyperlink" xfId="705" builtinId="9" hidden="1"/>
    <cellStyle name="Followed Hyperlink" xfId="706" builtinId="9" hidden="1"/>
    <cellStyle name="Followed Hyperlink" xfId="709" builtinId="9" hidden="1"/>
    <cellStyle name="Followed Hyperlink" xfId="710" builtinId="9" hidden="1"/>
    <cellStyle name="Followed Hyperlink" xfId="711" builtinId="9" hidden="1"/>
    <cellStyle name="Followed Hyperlink" xfId="712" builtinId="9" hidden="1"/>
    <cellStyle name="Followed Hyperlink" xfId="7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Normal" xfId="0" builtinId="0"/>
    <cellStyle name="Normal 2" xfId="4"/>
    <cellStyle name="Normal 2 2" xfId="32"/>
    <cellStyle name="Normal 2 2 2" xfId="185"/>
    <cellStyle name="Normal 2 3" xfId="135"/>
    <cellStyle name="Normal 2 3 2" xfId="191"/>
    <cellStyle name="Normal 2 4" xfId="190"/>
    <cellStyle name="Normal 3" xfId="5"/>
    <cellStyle name="Normal 3 2" xfId="28"/>
    <cellStyle name="Normal 3 2 2" xfId="187"/>
    <cellStyle name="Normal 3 3" xfId="33"/>
    <cellStyle name="Normal 3 4" xfId="51"/>
    <cellStyle name="Normal 3 5" xfId="707"/>
    <cellStyle name="Normal 4" xfId="26"/>
    <cellStyle name="Normal 4 2" xfId="188"/>
    <cellStyle name="Normal 5" xfId="34"/>
    <cellStyle name="Normal 6" xfId="35"/>
    <cellStyle name="Normal 7" xfId="36"/>
    <cellStyle name="Title 2" xfId="1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zoomScale="120" zoomScaleNormal="120" workbookViewId="0">
      <selection activeCell="B18" sqref="B18"/>
    </sheetView>
  </sheetViews>
  <sheetFormatPr defaultColWidth="8.88671875" defaultRowHeight="14.4"/>
  <cols>
    <col min="1" max="1" width="7.6640625" style="3" bestFit="1" customWidth="1"/>
    <col min="2" max="2" width="54.109375" style="4" bestFit="1" customWidth="1"/>
    <col min="3" max="3" width="7.33203125" style="10" bestFit="1" customWidth="1"/>
    <col min="4" max="4" width="14" style="3" customWidth="1"/>
    <col min="5" max="5" width="11" style="3" bestFit="1" customWidth="1"/>
    <col min="6" max="6" width="16" style="4" customWidth="1"/>
    <col min="7" max="7" width="19" style="4" customWidth="1"/>
    <col min="8" max="8" width="22.44140625" style="4" customWidth="1"/>
    <col min="9" max="9" width="13.33203125" style="4" bestFit="1" customWidth="1"/>
    <col min="10" max="16384" width="8.88671875" style="4"/>
  </cols>
  <sheetData>
    <row r="1" spans="1:6" ht="16.5" customHeight="1" thickBot="1">
      <c r="A1" s="39" t="s">
        <v>75</v>
      </c>
      <c r="B1" s="40"/>
      <c r="C1" s="40"/>
      <c r="D1" s="40"/>
      <c r="E1" s="40"/>
      <c r="F1" s="41"/>
    </row>
    <row r="2" spans="1:6" ht="16.5" customHeight="1" thickBot="1">
      <c r="A2" s="18" t="s">
        <v>7</v>
      </c>
      <c r="B2" s="19" t="s">
        <v>0</v>
      </c>
      <c r="C2" s="20" t="s">
        <v>3</v>
      </c>
      <c r="D2" s="20" t="s">
        <v>74</v>
      </c>
      <c r="E2" s="20" t="s">
        <v>34</v>
      </c>
      <c r="F2" s="20" t="s">
        <v>8</v>
      </c>
    </row>
    <row r="3" spans="1:6" ht="15.75" customHeight="1">
      <c r="A3" s="15">
        <v>1</v>
      </c>
      <c r="B3" s="16" t="s">
        <v>9</v>
      </c>
      <c r="C3" s="17" t="s">
        <v>72</v>
      </c>
      <c r="D3" s="21">
        <v>5.4850000000000003</v>
      </c>
      <c r="E3" s="22">
        <v>1435</v>
      </c>
      <c r="F3" s="23">
        <f>E3*D3</f>
        <v>7870.9750000000004</v>
      </c>
    </row>
    <row r="4" spans="1:6" ht="15.75" customHeight="1">
      <c r="A4" s="12">
        <v>2</v>
      </c>
      <c r="B4" s="8" t="s">
        <v>10</v>
      </c>
      <c r="C4" s="5" t="s">
        <v>72</v>
      </c>
      <c r="D4" s="24">
        <v>7.2275</v>
      </c>
      <c r="E4" s="2">
        <v>1890</v>
      </c>
      <c r="F4" s="25">
        <f t="shared" ref="F4:F66" si="0">E4*D4</f>
        <v>13659.975</v>
      </c>
    </row>
    <row r="5" spans="1:6" ht="15.75" customHeight="1">
      <c r="A5" s="12">
        <v>3</v>
      </c>
      <c r="B5" s="8" t="s">
        <v>11</v>
      </c>
      <c r="C5" s="5" t="s">
        <v>72</v>
      </c>
      <c r="D5" s="24">
        <v>7.3412499999999996</v>
      </c>
      <c r="E5" s="2">
        <v>1765</v>
      </c>
      <c r="F5" s="25">
        <f t="shared" si="0"/>
        <v>12957.30625</v>
      </c>
    </row>
    <row r="6" spans="1:6" ht="15.75" customHeight="1">
      <c r="A6" s="12">
        <v>4</v>
      </c>
      <c r="B6" s="8" t="s">
        <v>12</v>
      </c>
      <c r="C6" s="5" t="s">
        <v>72</v>
      </c>
      <c r="D6" s="24">
        <v>5.7125000000000004</v>
      </c>
      <c r="E6" s="5">
        <v>2100</v>
      </c>
      <c r="F6" s="25">
        <f t="shared" si="0"/>
        <v>11996.25</v>
      </c>
    </row>
    <row r="7" spans="1:6" ht="15.75" customHeight="1">
      <c r="A7" s="12">
        <v>5</v>
      </c>
      <c r="B7" s="8" t="s">
        <v>13</v>
      </c>
      <c r="C7" s="5" t="s">
        <v>72</v>
      </c>
      <c r="D7" s="24">
        <v>10.425000000000001</v>
      </c>
      <c r="E7" s="2">
        <v>1350</v>
      </c>
      <c r="F7" s="25">
        <f t="shared" si="0"/>
        <v>14073.750000000002</v>
      </c>
    </row>
    <row r="8" spans="1:6" ht="15.75" customHeight="1">
      <c r="A8" s="12">
        <v>6</v>
      </c>
      <c r="B8" s="8" t="s">
        <v>14</v>
      </c>
      <c r="C8" s="5" t="s">
        <v>72</v>
      </c>
      <c r="D8" s="24">
        <v>13.1675</v>
      </c>
      <c r="E8" s="2">
        <v>2200</v>
      </c>
      <c r="F8" s="25">
        <f t="shared" si="0"/>
        <v>28968.5</v>
      </c>
    </row>
    <row r="9" spans="1:6" ht="15.75" customHeight="1">
      <c r="A9" s="12">
        <v>7</v>
      </c>
      <c r="B9" s="8" t="s">
        <v>15</v>
      </c>
      <c r="C9" s="5" t="s">
        <v>72</v>
      </c>
      <c r="D9" s="24">
        <v>16.137499999999999</v>
      </c>
      <c r="E9" s="2">
        <v>2150</v>
      </c>
      <c r="F9" s="25">
        <f t="shared" si="0"/>
        <v>34695.625</v>
      </c>
    </row>
    <row r="10" spans="1:6" ht="15.75" customHeight="1">
      <c r="A10" s="12">
        <v>8</v>
      </c>
      <c r="B10" s="8" t="s">
        <v>16</v>
      </c>
      <c r="C10" s="5" t="s">
        <v>72</v>
      </c>
      <c r="D10" s="24">
        <v>19.963750000000001</v>
      </c>
      <c r="E10" s="5">
        <v>1740</v>
      </c>
      <c r="F10" s="25">
        <f t="shared" si="0"/>
        <v>34736.925000000003</v>
      </c>
    </row>
    <row r="11" spans="1:6" ht="15.75" customHeight="1">
      <c r="A11" s="12">
        <v>9</v>
      </c>
      <c r="B11" s="8" t="s">
        <v>17</v>
      </c>
      <c r="C11" s="5" t="s">
        <v>72</v>
      </c>
      <c r="D11" s="24">
        <v>5.4154999999999998</v>
      </c>
      <c r="E11" s="2">
        <v>2200</v>
      </c>
      <c r="F11" s="25">
        <f t="shared" si="0"/>
        <v>11914.1</v>
      </c>
    </row>
    <row r="12" spans="1:6" ht="15.75" customHeight="1">
      <c r="A12" s="12">
        <v>10</v>
      </c>
      <c r="B12" s="8" t="s">
        <v>18</v>
      </c>
      <c r="C12" s="5" t="s">
        <v>72</v>
      </c>
      <c r="D12" s="24">
        <v>4.673</v>
      </c>
      <c r="E12" s="2">
        <v>2360</v>
      </c>
      <c r="F12" s="25">
        <f t="shared" si="0"/>
        <v>11028.28</v>
      </c>
    </row>
    <row r="13" spans="1:6" ht="15.75" customHeight="1">
      <c r="A13" s="12">
        <v>11</v>
      </c>
      <c r="B13" s="8" t="s">
        <v>19</v>
      </c>
      <c r="C13" s="5" t="s">
        <v>72</v>
      </c>
      <c r="D13" s="24">
        <v>4.2275</v>
      </c>
      <c r="E13" s="2">
        <v>2145</v>
      </c>
      <c r="F13" s="25">
        <f t="shared" si="0"/>
        <v>9067.9874999999993</v>
      </c>
    </row>
    <row r="14" spans="1:6" ht="15.75" customHeight="1">
      <c r="A14" s="12">
        <v>12</v>
      </c>
      <c r="B14" s="8" t="s">
        <v>20</v>
      </c>
      <c r="C14" s="5" t="s">
        <v>72</v>
      </c>
      <c r="D14" s="24">
        <v>5.2622499999999999</v>
      </c>
      <c r="E14" s="5">
        <v>3470</v>
      </c>
      <c r="F14" s="25">
        <f t="shared" si="0"/>
        <v>18260.0075</v>
      </c>
    </row>
    <row r="15" spans="1:6" ht="15.75" customHeight="1">
      <c r="A15" s="12">
        <v>13</v>
      </c>
      <c r="B15" s="8" t="s">
        <v>21</v>
      </c>
      <c r="C15" s="5" t="s">
        <v>72</v>
      </c>
      <c r="D15" s="24">
        <v>5.0395000000000003</v>
      </c>
      <c r="E15" s="2">
        <v>3750</v>
      </c>
      <c r="F15" s="25">
        <f t="shared" si="0"/>
        <v>18898.125</v>
      </c>
    </row>
    <row r="16" spans="1:6" ht="15.75" customHeight="1">
      <c r="A16" s="12">
        <v>14</v>
      </c>
      <c r="B16" s="8" t="s">
        <v>22</v>
      </c>
      <c r="C16" s="5" t="s">
        <v>72</v>
      </c>
      <c r="D16" s="24">
        <v>7.5640000000000001</v>
      </c>
      <c r="E16" s="2">
        <v>3145</v>
      </c>
      <c r="F16" s="25">
        <f t="shared" si="0"/>
        <v>23788.78</v>
      </c>
    </row>
    <row r="17" spans="1:8" ht="15.75" customHeight="1">
      <c r="A17" s="12">
        <v>15</v>
      </c>
      <c r="B17" s="8" t="s">
        <v>23</v>
      </c>
      <c r="C17" s="5" t="s">
        <v>72</v>
      </c>
      <c r="D17" s="24">
        <v>10.346</v>
      </c>
      <c r="E17" s="2">
        <v>2445</v>
      </c>
      <c r="F17" s="25">
        <f t="shared" si="0"/>
        <v>25295.97</v>
      </c>
    </row>
    <row r="18" spans="1:8" ht="16.5" customHeight="1">
      <c r="A18" s="12">
        <v>16</v>
      </c>
      <c r="B18" s="8" t="s">
        <v>24</v>
      </c>
      <c r="C18" s="5" t="s">
        <v>72</v>
      </c>
      <c r="D18" s="24">
        <v>12.053750000000001</v>
      </c>
      <c r="E18" s="5">
        <v>2200</v>
      </c>
      <c r="F18" s="25">
        <f t="shared" si="0"/>
        <v>26518.250000000004</v>
      </c>
    </row>
    <row r="19" spans="1:8" ht="15.75" customHeight="1">
      <c r="A19" s="12">
        <v>17</v>
      </c>
      <c r="B19" s="8" t="s">
        <v>25</v>
      </c>
      <c r="C19" s="5" t="s">
        <v>72</v>
      </c>
      <c r="D19" s="24">
        <v>17.355499999999999</v>
      </c>
      <c r="E19" s="2">
        <v>2190</v>
      </c>
      <c r="F19" s="25">
        <f t="shared" si="0"/>
        <v>38008.544999999998</v>
      </c>
    </row>
    <row r="20" spans="1:8" ht="15.75" customHeight="1">
      <c r="A20" s="12">
        <v>18</v>
      </c>
      <c r="B20" s="8" t="s">
        <v>26</v>
      </c>
      <c r="C20" s="5" t="s">
        <v>72</v>
      </c>
      <c r="D20" s="24">
        <v>24.736249999999998</v>
      </c>
      <c r="E20" s="2">
        <v>4575</v>
      </c>
      <c r="F20" s="25">
        <f t="shared" si="0"/>
        <v>113168.34374999999</v>
      </c>
    </row>
    <row r="21" spans="1:8" ht="15.75" customHeight="1">
      <c r="A21" s="12">
        <v>19</v>
      </c>
      <c r="B21" s="8" t="s">
        <v>27</v>
      </c>
      <c r="C21" s="5" t="s">
        <v>72</v>
      </c>
      <c r="D21" s="24">
        <v>25.017499999999998</v>
      </c>
      <c r="E21" s="2">
        <v>745</v>
      </c>
      <c r="F21" s="25">
        <f t="shared" si="0"/>
        <v>18638.037499999999</v>
      </c>
    </row>
    <row r="22" spans="1:8" ht="15.75" customHeight="1">
      <c r="A22" s="12">
        <v>20</v>
      </c>
      <c r="B22" s="8" t="s">
        <v>28</v>
      </c>
      <c r="C22" s="5" t="s">
        <v>72</v>
      </c>
      <c r="D22" s="24">
        <v>75.292500000000004</v>
      </c>
      <c r="E22" s="5">
        <v>1890</v>
      </c>
      <c r="F22" s="25">
        <f t="shared" si="0"/>
        <v>142302.82500000001</v>
      </c>
    </row>
    <row r="23" spans="1:8" ht="15.75" customHeight="1">
      <c r="A23" s="12">
        <v>21</v>
      </c>
      <c r="B23" s="8" t="s">
        <v>29</v>
      </c>
      <c r="C23" s="5" t="s">
        <v>72</v>
      </c>
      <c r="D23" s="24">
        <v>84.897499999999994</v>
      </c>
      <c r="E23" s="2">
        <v>655</v>
      </c>
      <c r="F23" s="25">
        <f t="shared" si="0"/>
        <v>55607.862499999996</v>
      </c>
    </row>
    <row r="24" spans="1:8" ht="15.75" customHeight="1">
      <c r="A24" s="12">
        <v>22</v>
      </c>
      <c r="B24" s="8" t="s">
        <v>30</v>
      </c>
      <c r="C24" s="5" t="s">
        <v>72</v>
      </c>
      <c r="D24" s="24">
        <v>91.466250000000002</v>
      </c>
      <c r="E24" s="2">
        <v>750</v>
      </c>
      <c r="F24" s="25">
        <f t="shared" si="0"/>
        <v>68599.6875</v>
      </c>
    </row>
    <row r="25" spans="1:8" ht="15.75" customHeight="1">
      <c r="A25" s="12">
        <v>23</v>
      </c>
      <c r="B25" s="8" t="s">
        <v>31</v>
      </c>
      <c r="C25" s="5" t="s">
        <v>72</v>
      </c>
      <c r="D25" s="24">
        <v>48.532499999999999</v>
      </c>
      <c r="E25" s="2">
        <v>450</v>
      </c>
      <c r="F25" s="25">
        <f t="shared" si="0"/>
        <v>21839.625</v>
      </c>
    </row>
    <row r="26" spans="1:8" ht="15.75" customHeight="1">
      <c r="A26" s="12">
        <v>24</v>
      </c>
      <c r="B26" s="11" t="s">
        <v>32</v>
      </c>
      <c r="C26" s="5" t="s">
        <v>72</v>
      </c>
      <c r="D26" s="26">
        <v>60</v>
      </c>
      <c r="E26" s="27"/>
      <c r="F26" s="25">
        <f t="shared" si="0"/>
        <v>0</v>
      </c>
    </row>
    <row r="27" spans="1:8" ht="15.75" customHeight="1">
      <c r="A27" s="12">
        <v>25</v>
      </c>
      <c r="B27" s="11" t="s">
        <v>33</v>
      </c>
      <c r="C27" s="5" t="s">
        <v>72</v>
      </c>
      <c r="D27" s="26">
        <v>99</v>
      </c>
      <c r="E27" s="27">
        <v>200</v>
      </c>
      <c r="F27" s="25">
        <f t="shared" si="0"/>
        <v>19800</v>
      </c>
    </row>
    <row r="28" spans="1:8" ht="16.5" customHeight="1">
      <c r="A28" s="12">
        <v>26</v>
      </c>
      <c r="B28" s="8" t="s">
        <v>5</v>
      </c>
      <c r="C28" s="5" t="s">
        <v>2</v>
      </c>
      <c r="D28" s="24">
        <v>1000</v>
      </c>
      <c r="E28" s="28">
        <v>350</v>
      </c>
      <c r="F28" s="25">
        <f t="shared" si="0"/>
        <v>350000</v>
      </c>
    </row>
    <row r="29" spans="1:8" ht="15.75" customHeight="1">
      <c r="A29" s="12">
        <v>27</v>
      </c>
      <c r="B29" s="8" t="s">
        <v>6</v>
      </c>
      <c r="C29" s="5" t="s">
        <v>2</v>
      </c>
      <c r="D29" s="24">
        <v>1000</v>
      </c>
      <c r="E29" s="28">
        <v>325</v>
      </c>
      <c r="F29" s="25">
        <f t="shared" si="0"/>
        <v>325000</v>
      </c>
    </row>
    <row r="30" spans="1:8" ht="47.25" customHeight="1">
      <c r="A30" s="12">
        <v>28</v>
      </c>
      <c r="B30" s="7" t="s">
        <v>35</v>
      </c>
      <c r="C30" s="1" t="s">
        <v>1</v>
      </c>
      <c r="D30" s="30">
        <v>237.125</v>
      </c>
      <c r="E30" s="28">
        <v>20</v>
      </c>
      <c r="F30" s="25">
        <f t="shared" si="0"/>
        <v>4742.5</v>
      </c>
    </row>
    <row r="31" spans="1:8" ht="47.25" customHeight="1">
      <c r="A31" s="12">
        <v>29</v>
      </c>
      <c r="B31" s="7" t="s">
        <v>53</v>
      </c>
      <c r="C31" s="1" t="s">
        <v>1</v>
      </c>
      <c r="D31" s="30">
        <v>237.125</v>
      </c>
      <c r="E31" s="28">
        <v>5</v>
      </c>
      <c r="F31" s="25">
        <f t="shared" si="0"/>
        <v>1185.625</v>
      </c>
    </row>
    <row r="32" spans="1:8" ht="47.25" customHeight="1">
      <c r="A32" s="12">
        <v>30</v>
      </c>
      <c r="B32" s="7" t="s">
        <v>36</v>
      </c>
      <c r="C32" s="1" t="s">
        <v>1</v>
      </c>
      <c r="D32" s="30">
        <v>274.25</v>
      </c>
      <c r="E32" s="28">
        <v>5</v>
      </c>
      <c r="F32" s="25">
        <f t="shared" si="0"/>
        <v>1371.25</v>
      </c>
      <c r="H32" s="4">
        <v>1</v>
      </c>
    </row>
    <row r="33" spans="1:6" ht="47.25" customHeight="1">
      <c r="A33" s="12">
        <v>31</v>
      </c>
      <c r="B33" s="7" t="s">
        <v>54</v>
      </c>
      <c r="C33" s="1" t="s">
        <v>4</v>
      </c>
      <c r="D33" s="30">
        <v>248.5</v>
      </c>
      <c r="E33" s="28">
        <v>5</v>
      </c>
      <c r="F33" s="25">
        <f t="shared" si="0"/>
        <v>1242.5</v>
      </c>
    </row>
    <row r="34" spans="1:6" ht="47.25" customHeight="1">
      <c r="A34" s="12">
        <v>32</v>
      </c>
      <c r="B34" s="7" t="s">
        <v>55</v>
      </c>
      <c r="C34" s="1" t="s">
        <v>4</v>
      </c>
      <c r="D34" s="30">
        <v>248.5</v>
      </c>
      <c r="E34" s="28">
        <v>5</v>
      </c>
      <c r="F34" s="25">
        <f t="shared" si="0"/>
        <v>1242.5</v>
      </c>
    </row>
    <row r="35" spans="1:6" ht="47.25" customHeight="1">
      <c r="A35" s="12">
        <v>33</v>
      </c>
      <c r="B35" s="7" t="s">
        <v>37</v>
      </c>
      <c r="C35" s="1" t="s">
        <v>1</v>
      </c>
      <c r="D35" s="30">
        <v>174.25</v>
      </c>
      <c r="E35" s="28">
        <v>5</v>
      </c>
      <c r="F35" s="25">
        <f t="shared" si="0"/>
        <v>871.25</v>
      </c>
    </row>
    <row r="36" spans="1:6" ht="47.25" customHeight="1">
      <c r="A36" s="12">
        <v>34</v>
      </c>
      <c r="B36" s="7" t="s">
        <v>56</v>
      </c>
      <c r="C36" s="1" t="s">
        <v>1</v>
      </c>
      <c r="D36" s="30">
        <v>174.25</v>
      </c>
      <c r="E36" s="31">
        <v>5</v>
      </c>
      <c r="F36" s="25">
        <f t="shared" si="0"/>
        <v>871.25</v>
      </c>
    </row>
    <row r="37" spans="1:6" ht="47.25" customHeight="1">
      <c r="A37" s="12">
        <v>35</v>
      </c>
      <c r="B37" s="7" t="s">
        <v>57</v>
      </c>
      <c r="C37" s="1" t="s">
        <v>1</v>
      </c>
      <c r="D37" s="30">
        <v>214.85</v>
      </c>
      <c r="E37" s="28">
        <v>10</v>
      </c>
      <c r="F37" s="25">
        <f t="shared" si="0"/>
        <v>2148.5</v>
      </c>
    </row>
    <row r="38" spans="1:6" ht="47.25" customHeight="1">
      <c r="A38" s="12">
        <v>36</v>
      </c>
      <c r="B38" s="7" t="s">
        <v>38</v>
      </c>
      <c r="C38" s="1" t="s">
        <v>1</v>
      </c>
      <c r="D38" s="30">
        <v>214.85</v>
      </c>
      <c r="E38" s="28">
        <v>5</v>
      </c>
      <c r="F38" s="25">
        <f t="shared" si="0"/>
        <v>1074.25</v>
      </c>
    </row>
    <row r="39" spans="1:6" ht="47.25" customHeight="1">
      <c r="A39" s="12">
        <v>37</v>
      </c>
      <c r="B39" s="7" t="s">
        <v>58</v>
      </c>
      <c r="C39" s="1" t="s">
        <v>1</v>
      </c>
      <c r="D39" s="30">
        <v>214.85</v>
      </c>
      <c r="E39" s="28">
        <v>20</v>
      </c>
      <c r="F39" s="25">
        <f t="shared" si="0"/>
        <v>4297</v>
      </c>
    </row>
    <row r="40" spans="1:6" ht="47.25" customHeight="1">
      <c r="A40" s="12">
        <v>38</v>
      </c>
      <c r="B40" s="7" t="s">
        <v>59</v>
      </c>
      <c r="C40" s="1" t="s">
        <v>1</v>
      </c>
      <c r="D40" s="30">
        <v>1719</v>
      </c>
      <c r="E40" s="31">
        <v>5</v>
      </c>
      <c r="F40" s="25">
        <f t="shared" si="0"/>
        <v>8595</v>
      </c>
    </row>
    <row r="41" spans="1:6" ht="47.25" customHeight="1">
      <c r="A41" s="12">
        <v>39</v>
      </c>
      <c r="B41" s="7" t="s">
        <v>39</v>
      </c>
      <c r="C41" s="1" t="s">
        <v>1</v>
      </c>
      <c r="D41" s="30">
        <v>1719</v>
      </c>
      <c r="E41" s="31">
        <v>5</v>
      </c>
      <c r="F41" s="25">
        <f t="shared" si="0"/>
        <v>8595</v>
      </c>
    </row>
    <row r="42" spans="1:6" ht="47.25" customHeight="1">
      <c r="A42" s="12">
        <v>40</v>
      </c>
      <c r="B42" s="7" t="s">
        <v>40</v>
      </c>
      <c r="C42" s="1" t="s">
        <v>1</v>
      </c>
      <c r="D42" s="30">
        <v>1719</v>
      </c>
      <c r="E42" s="31">
        <v>5</v>
      </c>
      <c r="F42" s="25">
        <f t="shared" si="0"/>
        <v>8595</v>
      </c>
    </row>
    <row r="43" spans="1:6" ht="47.25" customHeight="1">
      <c r="A43" s="12">
        <v>41</v>
      </c>
      <c r="B43" s="7" t="s">
        <v>41</v>
      </c>
      <c r="C43" s="1" t="s">
        <v>1</v>
      </c>
      <c r="D43" s="30">
        <v>1719</v>
      </c>
      <c r="E43" s="31">
        <v>5</v>
      </c>
      <c r="F43" s="25">
        <f t="shared" si="0"/>
        <v>8595</v>
      </c>
    </row>
    <row r="44" spans="1:6" ht="47.25" customHeight="1">
      <c r="A44" s="12">
        <v>42</v>
      </c>
      <c r="B44" s="7" t="s">
        <v>42</v>
      </c>
      <c r="C44" s="1" t="s">
        <v>1</v>
      </c>
      <c r="D44" s="30">
        <v>1719</v>
      </c>
      <c r="E44" s="31">
        <v>5</v>
      </c>
      <c r="F44" s="25">
        <f t="shared" si="0"/>
        <v>8595</v>
      </c>
    </row>
    <row r="45" spans="1:6" ht="47.25" customHeight="1">
      <c r="A45" s="12">
        <v>43</v>
      </c>
      <c r="B45" s="7" t="s">
        <v>60</v>
      </c>
      <c r="C45" s="1" t="s">
        <v>1</v>
      </c>
      <c r="D45" s="30">
        <v>1719</v>
      </c>
      <c r="E45" s="31">
        <v>5</v>
      </c>
      <c r="F45" s="25">
        <f t="shared" si="0"/>
        <v>8595</v>
      </c>
    </row>
    <row r="46" spans="1:6" ht="47.25" customHeight="1">
      <c r="A46" s="12">
        <v>44</v>
      </c>
      <c r="B46" s="7" t="s">
        <v>61</v>
      </c>
      <c r="C46" s="1" t="s">
        <v>1</v>
      </c>
      <c r="D46" s="30">
        <v>1794</v>
      </c>
      <c r="E46" s="31">
        <v>5</v>
      </c>
      <c r="F46" s="25">
        <f t="shared" si="0"/>
        <v>8970</v>
      </c>
    </row>
    <row r="47" spans="1:6" ht="47.25" customHeight="1">
      <c r="A47" s="12">
        <v>45</v>
      </c>
      <c r="B47" s="7" t="s">
        <v>62</v>
      </c>
      <c r="C47" s="1" t="s">
        <v>1</v>
      </c>
      <c r="D47" s="30">
        <v>107.425</v>
      </c>
      <c r="E47" s="28">
        <v>5</v>
      </c>
      <c r="F47" s="25">
        <f t="shared" si="0"/>
        <v>537.125</v>
      </c>
    </row>
    <row r="48" spans="1:6" ht="47.25" customHeight="1">
      <c r="A48" s="12">
        <v>46</v>
      </c>
      <c r="B48" s="7" t="s">
        <v>63</v>
      </c>
      <c r="C48" s="1" t="s">
        <v>1</v>
      </c>
      <c r="D48" s="30">
        <v>107.425</v>
      </c>
      <c r="E48" s="28">
        <v>20</v>
      </c>
      <c r="F48" s="25">
        <f t="shared" si="0"/>
        <v>2148.5</v>
      </c>
    </row>
    <row r="49" spans="1:6" ht="47.25" customHeight="1">
      <c r="A49" s="12">
        <v>47</v>
      </c>
      <c r="B49" s="7" t="s">
        <v>64</v>
      </c>
      <c r="C49" s="1" t="s">
        <v>1</v>
      </c>
      <c r="D49" s="30">
        <v>107.425</v>
      </c>
      <c r="E49" s="28">
        <v>25</v>
      </c>
      <c r="F49" s="25">
        <f t="shared" si="0"/>
        <v>2685.625</v>
      </c>
    </row>
    <row r="50" spans="1:6" ht="47.25" customHeight="1">
      <c r="A50" s="12">
        <v>48</v>
      </c>
      <c r="B50" s="7" t="s">
        <v>65</v>
      </c>
      <c r="C50" s="1" t="s">
        <v>1</v>
      </c>
      <c r="D50" s="30">
        <v>107.425</v>
      </c>
      <c r="E50" s="28">
        <v>25</v>
      </c>
      <c r="F50" s="25">
        <f t="shared" si="0"/>
        <v>2685.625</v>
      </c>
    </row>
    <row r="51" spans="1:6" ht="47.25" customHeight="1">
      <c r="A51" s="12">
        <v>49</v>
      </c>
      <c r="B51" s="7" t="s">
        <v>66</v>
      </c>
      <c r="C51" s="1" t="s">
        <v>1</v>
      </c>
      <c r="D51" s="30">
        <v>107.425</v>
      </c>
      <c r="E51" s="28">
        <v>25</v>
      </c>
      <c r="F51" s="25">
        <f t="shared" si="0"/>
        <v>2685.625</v>
      </c>
    </row>
    <row r="52" spans="1:6" ht="47.25" customHeight="1">
      <c r="A52" s="12">
        <v>50</v>
      </c>
      <c r="B52" s="7" t="s">
        <v>67</v>
      </c>
      <c r="C52" s="1" t="s">
        <v>1</v>
      </c>
      <c r="D52" s="30">
        <v>107.425</v>
      </c>
      <c r="E52" s="28">
        <v>20</v>
      </c>
      <c r="F52" s="25">
        <f t="shared" si="0"/>
        <v>2148.5</v>
      </c>
    </row>
    <row r="53" spans="1:6" ht="47.25" customHeight="1">
      <c r="A53" s="12">
        <v>51</v>
      </c>
      <c r="B53" s="7" t="s">
        <v>68</v>
      </c>
      <c r="C53" s="1" t="s">
        <v>1</v>
      </c>
      <c r="D53" s="30">
        <v>107.425</v>
      </c>
      <c r="E53" s="28">
        <v>10</v>
      </c>
      <c r="F53" s="25">
        <f t="shared" si="0"/>
        <v>1074.25</v>
      </c>
    </row>
    <row r="54" spans="1:6" ht="47.25" customHeight="1">
      <c r="A54" s="12">
        <v>52</v>
      </c>
      <c r="B54" s="7" t="s">
        <v>69</v>
      </c>
      <c r="C54" s="1" t="s">
        <v>1</v>
      </c>
      <c r="D54" s="30">
        <v>107.425</v>
      </c>
      <c r="E54" s="28">
        <v>10</v>
      </c>
      <c r="F54" s="25">
        <f t="shared" si="0"/>
        <v>1074.25</v>
      </c>
    </row>
    <row r="55" spans="1:6" ht="47.25" customHeight="1">
      <c r="A55" s="12">
        <v>53</v>
      </c>
      <c r="B55" s="7" t="s">
        <v>70</v>
      </c>
      <c r="C55" s="1" t="s">
        <v>1</v>
      </c>
      <c r="D55" s="30">
        <v>348.5</v>
      </c>
      <c r="E55" s="28">
        <v>5</v>
      </c>
      <c r="F55" s="25">
        <f t="shared" si="0"/>
        <v>1742.5</v>
      </c>
    </row>
    <row r="56" spans="1:6" ht="47.25" customHeight="1">
      <c r="A56" s="12">
        <v>54</v>
      </c>
      <c r="B56" s="7" t="s">
        <v>43</v>
      </c>
      <c r="C56" s="1" t="s">
        <v>1</v>
      </c>
      <c r="D56" s="30">
        <v>522.75</v>
      </c>
      <c r="E56" s="28">
        <v>15</v>
      </c>
      <c r="F56" s="25">
        <f t="shared" si="0"/>
        <v>7841.25</v>
      </c>
    </row>
    <row r="57" spans="1:6" ht="47.25" customHeight="1">
      <c r="A57" s="12">
        <v>55</v>
      </c>
      <c r="B57" s="7" t="s">
        <v>44</v>
      </c>
      <c r="C57" s="1" t="s">
        <v>4</v>
      </c>
      <c r="D57" s="30">
        <v>274.25</v>
      </c>
      <c r="E57" s="28">
        <v>4</v>
      </c>
      <c r="F57" s="25">
        <f t="shared" si="0"/>
        <v>1097</v>
      </c>
    </row>
    <row r="58" spans="1:6" ht="47.25" customHeight="1">
      <c r="A58" s="12">
        <v>56</v>
      </c>
      <c r="B58" s="6" t="s">
        <v>45</v>
      </c>
      <c r="C58" s="1" t="s">
        <v>1</v>
      </c>
      <c r="D58" s="30">
        <v>448.5</v>
      </c>
      <c r="E58" s="28">
        <v>4</v>
      </c>
      <c r="F58" s="25">
        <f t="shared" si="0"/>
        <v>1794</v>
      </c>
    </row>
    <row r="59" spans="1:6" ht="47.25" customHeight="1">
      <c r="A59" s="12">
        <v>57</v>
      </c>
      <c r="B59" s="6" t="s">
        <v>46</v>
      </c>
      <c r="C59" s="1" t="s">
        <v>4</v>
      </c>
      <c r="D59" s="30">
        <v>522.75</v>
      </c>
      <c r="E59" s="28">
        <v>4</v>
      </c>
      <c r="F59" s="25">
        <f t="shared" si="0"/>
        <v>2091</v>
      </c>
    </row>
    <row r="60" spans="1:6" ht="47.25" customHeight="1">
      <c r="A60" s="12">
        <v>58</v>
      </c>
      <c r="B60" s="6" t="s">
        <v>47</v>
      </c>
      <c r="C60" s="1" t="s">
        <v>4</v>
      </c>
      <c r="D60" s="30">
        <v>348.5</v>
      </c>
      <c r="E60" s="28">
        <v>4</v>
      </c>
      <c r="F60" s="25">
        <f t="shared" si="0"/>
        <v>1394</v>
      </c>
    </row>
    <row r="61" spans="1:6" ht="47.25" customHeight="1">
      <c r="A61" s="12">
        <v>59</v>
      </c>
      <c r="B61" s="6" t="s">
        <v>48</v>
      </c>
      <c r="C61" s="1" t="s">
        <v>4</v>
      </c>
      <c r="D61" s="30">
        <v>6970</v>
      </c>
      <c r="E61" s="28">
        <v>4</v>
      </c>
      <c r="F61" s="25">
        <f t="shared" si="0"/>
        <v>27880</v>
      </c>
    </row>
    <row r="62" spans="1:6" ht="47.25" customHeight="1">
      <c r="A62" s="12">
        <v>60</v>
      </c>
      <c r="B62" s="6" t="s">
        <v>49</v>
      </c>
      <c r="C62" s="1" t="s">
        <v>4</v>
      </c>
      <c r="D62" s="30">
        <v>2742.5</v>
      </c>
      <c r="E62" s="28">
        <v>4</v>
      </c>
      <c r="F62" s="25">
        <f t="shared" si="0"/>
        <v>10970</v>
      </c>
    </row>
    <row r="63" spans="1:6" ht="47.25" customHeight="1">
      <c r="A63" s="12">
        <v>61</v>
      </c>
      <c r="B63" s="6" t="s">
        <v>50</v>
      </c>
      <c r="C63" s="1" t="s">
        <v>4</v>
      </c>
      <c r="D63" s="30">
        <v>4712.5</v>
      </c>
      <c r="E63" s="28">
        <v>4</v>
      </c>
      <c r="F63" s="25">
        <f t="shared" si="0"/>
        <v>18850</v>
      </c>
    </row>
    <row r="64" spans="1:6" ht="16.5" customHeight="1">
      <c r="A64" s="12">
        <v>62</v>
      </c>
      <c r="B64" s="6" t="s">
        <v>51</v>
      </c>
      <c r="C64" s="1" t="s">
        <v>4</v>
      </c>
      <c r="D64" s="30">
        <v>2485</v>
      </c>
      <c r="E64" s="28">
        <v>4</v>
      </c>
      <c r="F64" s="25">
        <f t="shared" si="0"/>
        <v>9940</v>
      </c>
    </row>
    <row r="65" spans="1:6" ht="47.25" customHeight="1">
      <c r="A65" s="12">
        <v>63</v>
      </c>
      <c r="B65" s="6" t="s">
        <v>52</v>
      </c>
      <c r="C65" s="1" t="s">
        <v>4</v>
      </c>
      <c r="D65" s="30">
        <v>1174.25</v>
      </c>
      <c r="E65" s="28">
        <v>4</v>
      </c>
      <c r="F65" s="25">
        <f t="shared" si="0"/>
        <v>4697</v>
      </c>
    </row>
    <row r="66" spans="1:6" ht="47.25" customHeight="1" thickBot="1">
      <c r="A66" s="13">
        <v>64</v>
      </c>
      <c r="B66" s="14" t="s">
        <v>71</v>
      </c>
      <c r="C66" s="9" t="s">
        <v>4</v>
      </c>
      <c r="D66" s="32">
        <v>1445.5</v>
      </c>
      <c r="E66" s="29">
        <v>4</v>
      </c>
      <c r="F66" s="25">
        <f t="shared" si="0"/>
        <v>5782</v>
      </c>
    </row>
    <row r="67" spans="1:6" ht="18.600000000000001" thickBot="1">
      <c r="A67" s="33" t="s">
        <v>73</v>
      </c>
      <c r="B67" s="34"/>
      <c r="C67" s="35"/>
      <c r="D67" s="36">
        <f>SUM(F3:F66)</f>
        <v>1645400.6074999999</v>
      </c>
      <c r="E67" s="37"/>
      <c r="F67" s="38"/>
    </row>
    <row r="68" spans="1:6" ht="15.75" customHeight="1">
      <c r="C68" s="4"/>
      <c r="D68" s="4"/>
      <c r="E68" s="4"/>
    </row>
    <row r="69" spans="1:6">
      <c r="C69" s="4"/>
      <c r="D69" s="4"/>
      <c r="E69" s="4"/>
    </row>
  </sheetData>
  <mergeCells count="3">
    <mergeCell ref="A67:C67"/>
    <mergeCell ref="D67:F67"/>
    <mergeCell ref="A1:F1"/>
  </mergeCells>
  <pageMargins left="0.7" right="0.7" top="0.75" bottom="0.75" header="0.3" footer="0.3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Spares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Aslam</dc:creator>
  <cp:lastModifiedBy>Sheir Ali</cp:lastModifiedBy>
  <cp:revision/>
  <dcterms:created xsi:type="dcterms:W3CDTF">2014-02-04T11:51:43Z</dcterms:created>
  <dcterms:modified xsi:type="dcterms:W3CDTF">2020-02-26T19:44:25Z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1033-9.1.0.4246</vt:lpwstr>
  </property>
</Properties>
</file>