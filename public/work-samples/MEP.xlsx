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8550" activeTab="4"/>
  </bookViews>
  <sheets>
    <sheet name="Plumbing" sheetId="1" r:id="rId1"/>
    <sheet name="Electrical" sheetId="2" r:id="rId2"/>
    <sheet name="Fire Alarm" sheetId="3" r:id="rId3"/>
    <sheet name="Sprinkler System" sheetId="4" r:id="rId4"/>
    <sheet name="HVAC" sheetId="6" r:id="rId5"/>
  </sheets>
  <definedNames>
    <definedName name="All" localSheetId="2">#REF!</definedName>
    <definedName name="All" localSheetId="4">#REF!</definedName>
    <definedName name="All" localSheetId="3">#REF!</definedName>
    <definedName name="All">#REF!</definedName>
    <definedName name="Total" localSheetId="1">#REF!</definedName>
    <definedName name="Total" localSheetId="2">#REF!</definedName>
    <definedName name="Total" localSheetId="4">#REF!</definedName>
    <definedName name="Total" localSheetId="3">#REF!</definedName>
    <definedName name="Total">#REF!</definedName>
  </definedNames>
  <calcPr calcId="162913"/>
</workbook>
</file>

<file path=xl/calcChain.xml><?xml version="1.0" encoding="utf-8"?>
<calcChain xmlns="http://schemas.openxmlformats.org/spreadsheetml/2006/main">
  <c r="I397" i="6" l="1"/>
  <c r="K397" i="6" s="1"/>
  <c r="L397" i="6" s="1"/>
  <c r="I394" i="6"/>
  <c r="K394" i="6" s="1"/>
  <c r="L394" i="6" s="1"/>
  <c r="E397" i="6"/>
  <c r="E394" i="6"/>
  <c r="I364" i="6"/>
  <c r="I361" i="6"/>
  <c r="E364" i="6"/>
  <c r="E361" i="6"/>
  <c r="K361" i="6" l="1"/>
  <c r="L361" i="6" s="1"/>
  <c r="K364" i="6"/>
  <c r="L364" i="6" s="1"/>
  <c r="K647" i="6"/>
  <c r="E645" i="6"/>
  <c r="E644" i="6"/>
  <c r="E643" i="6"/>
  <c r="I645" i="6"/>
  <c r="K645" i="6" s="1"/>
  <c r="L645" i="6" s="1"/>
  <c r="I644" i="6"/>
  <c r="K644" i="6" s="1"/>
  <c r="L644" i="6" s="1"/>
  <c r="I643" i="6"/>
  <c r="K643" i="6" s="1"/>
  <c r="L643" i="6" s="1"/>
  <c r="I640" i="6"/>
  <c r="K640" i="6" s="1"/>
  <c r="L640" i="6" s="1"/>
  <c r="I639" i="6"/>
  <c r="K639" i="6" s="1"/>
  <c r="L639" i="6" s="1"/>
  <c r="I638" i="6"/>
  <c r="K638" i="6" s="1"/>
  <c r="L638" i="6" s="1"/>
  <c r="I637" i="6"/>
  <c r="K637" i="6" s="1"/>
  <c r="L637" i="6" s="1"/>
  <c r="I636" i="6"/>
  <c r="K636" i="6" s="1"/>
  <c r="L636" i="6" s="1"/>
  <c r="I635" i="6"/>
  <c r="K635" i="6" s="1"/>
  <c r="L635" i="6" s="1"/>
  <c r="I634" i="6"/>
  <c r="I633" i="6"/>
  <c r="I632" i="6"/>
  <c r="K632" i="6" s="1"/>
  <c r="L632" i="6" s="1"/>
  <c r="I631" i="6"/>
  <c r="K631" i="6" s="1"/>
  <c r="L631" i="6" s="1"/>
  <c r="I630" i="6"/>
  <c r="I629" i="6"/>
  <c r="I628" i="6"/>
  <c r="K628" i="6" s="1"/>
  <c r="L628" i="6" s="1"/>
  <c r="I627" i="6"/>
  <c r="K627" i="6" s="1"/>
  <c r="L627" i="6" s="1"/>
  <c r="I626" i="6"/>
  <c r="I625" i="6"/>
  <c r="I624" i="6"/>
  <c r="K624" i="6" s="1"/>
  <c r="L624" i="6" s="1"/>
  <c r="I623" i="6"/>
  <c r="K623" i="6" s="1"/>
  <c r="L623" i="6" s="1"/>
  <c r="I622" i="6"/>
  <c r="I621" i="6"/>
  <c r="I620" i="6"/>
  <c r="I619" i="6"/>
  <c r="I618" i="6"/>
  <c r="I617" i="6"/>
  <c r="I616" i="6"/>
  <c r="K616" i="6" s="1"/>
  <c r="L616" i="6" s="1"/>
  <c r="I615" i="6"/>
  <c r="K615" i="6" s="1"/>
  <c r="L615" i="6" s="1"/>
  <c r="I614" i="6"/>
  <c r="K614" i="6" s="1"/>
  <c r="L614" i="6" s="1"/>
  <c r="I613" i="6"/>
  <c r="K613" i="6" s="1"/>
  <c r="L613" i="6" s="1"/>
  <c r="I612" i="6"/>
  <c r="K612" i="6" s="1"/>
  <c r="L612" i="6" s="1"/>
  <c r="I611" i="6"/>
  <c r="I610" i="6"/>
  <c r="I609" i="6"/>
  <c r="I608" i="6"/>
  <c r="K608" i="6" s="1"/>
  <c r="L608" i="6" s="1"/>
  <c r="I607" i="6"/>
  <c r="K607" i="6" s="1"/>
  <c r="L607" i="6" s="1"/>
  <c r="I606" i="6"/>
  <c r="K606" i="6" s="1"/>
  <c r="L606" i="6" s="1"/>
  <c r="I605" i="6"/>
  <c r="K605" i="6" s="1"/>
  <c r="L605" i="6" s="1"/>
  <c r="I604" i="6"/>
  <c r="K604" i="6" s="1"/>
  <c r="L604" i="6" s="1"/>
  <c r="I603" i="6"/>
  <c r="I602" i="6"/>
  <c r="I601" i="6"/>
  <c r="I600" i="6"/>
  <c r="K600" i="6" s="1"/>
  <c r="L600" i="6" s="1"/>
  <c r="I599" i="6"/>
  <c r="K599" i="6" s="1"/>
  <c r="L599" i="6" s="1"/>
  <c r="I598" i="6"/>
  <c r="K598" i="6" s="1"/>
  <c r="L598" i="6" s="1"/>
  <c r="I597" i="6"/>
  <c r="I596" i="6"/>
  <c r="I595" i="6"/>
  <c r="I594" i="6"/>
  <c r="I593" i="6"/>
  <c r="I592" i="6"/>
  <c r="K592" i="6" s="1"/>
  <c r="L592" i="6" s="1"/>
  <c r="I591" i="6"/>
  <c r="K591" i="6" s="1"/>
  <c r="L591" i="6" s="1"/>
  <c r="I590" i="6"/>
  <c r="I589" i="6"/>
  <c r="K589" i="6" s="1"/>
  <c r="L589" i="6" s="1"/>
  <c r="I588" i="6"/>
  <c r="K588" i="6" s="1"/>
  <c r="L588" i="6" s="1"/>
  <c r="I587" i="6"/>
  <c r="K587" i="6" s="1"/>
  <c r="L587" i="6" s="1"/>
  <c r="I586" i="6"/>
  <c r="I585" i="6"/>
  <c r="I584" i="6"/>
  <c r="I583" i="6"/>
  <c r="I582" i="6"/>
  <c r="I581" i="6"/>
  <c r="K581" i="6" s="1"/>
  <c r="L581" i="6" s="1"/>
  <c r="I580" i="6"/>
  <c r="K580" i="6" s="1"/>
  <c r="L580" i="6" s="1"/>
  <c r="I579" i="6"/>
  <c r="K579" i="6" s="1"/>
  <c r="L579" i="6" s="1"/>
  <c r="I578" i="6"/>
  <c r="I577" i="6"/>
  <c r="I576" i="6"/>
  <c r="K576" i="6" s="1"/>
  <c r="L576" i="6" s="1"/>
  <c r="I575" i="6"/>
  <c r="K575" i="6" s="1"/>
  <c r="L575" i="6" s="1"/>
  <c r="I574" i="6"/>
  <c r="K574" i="6" s="1"/>
  <c r="L574" i="6" s="1"/>
  <c r="I573" i="6"/>
  <c r="K573" i="6" s="1"/>
  <c r="L573" i="6" s="1"/>
  <c r="I572" i="6"/>
  <c r="K572" i="6" s="1"/>
  <c r="L572" i="6" s="1"/>
  <c r="I571" i="6"/>
  <c r="I570" i="6"/>
  <c r="I569" i="6"/>
  <c r="I568" i="6"/>
  <c r="K568" i="6" s="1"/>
  <c r="L568" i="6" s="1"/>
  <c r="I567" i="6"/>
  <c r="K567" i="6" s="1"/>
  <c r="L567" i="6" s="1"/>
  <c r="I566" i="6"/>
  <c r="K566" i="6" s="1"/>
  <c r="L566" i="6" s="1"/>
  <c r="I565" i="6"/>
  <c r="K565" i="6" s="1"/>
  <c r="L565" i="6" s="1"/>
  <c r="I564" i="6"/>
  <c r="K564" i="6" s="1"/>
  <c r="L564" i="6" s="1"/>
  <c r="I563" i="6"/>
  <c r="K563" i="6" s="1"/>
  <c r="L563" i="6" s="1"/>
  <c r="I562" i="6"/>
  <c r="I561" i="6"/>
  <c r="I560" i="6"/>
  <c r="K560" i="6" s="1"/>
  <c r="L560" i="6" s="1"/>
  <c r="I559" i="6"/>
  <c r="K559" i="6" s="1"/>
  <c r="L559" i="6" s="1"/>
  <c r="I558" i="6"/>
  <c r="K558" i="6" s="1"/>
  <c r="L558" i="6" s="1"/>
  <c r="I557" i="6"/>
  <c r="I556" i="6"/>
  <c r="I555" i="6"/>
  <c r="I554" i="6"/>
  <c r="I553" i="6"/>
  <c r="I552" i="6"/>
  <c r="I551" i="6"/>
  <c r="I550" i="6"/>
  <c r="I549" i="6"/>
  <c r="K549" i="6" s="1"/>
  <c r="L549" i="6" s="1"/>
  <c r="I548" i="6"/>
  <c r="K548" i="6" s="1"/>
  <c r="L548" i="6" s="1"/>
  <c r="I547" i="6"/>
  <c r="K547" i="6" s="1"/>
  <c r="L547" i="6" s="1"/>
  <c r="I546" i="6"/>
  <c r="I545" i="6"/>
  <c r="I544" i="6"/>
  <c r="K544" i="6" s="1"/>
  <c r="L544" i="6" s="1"/>
  <c r="I543" i="6"/>
  <c r="K543" i="6" s="1"/>
  <c r="L543" i="6" s="1"/>
  <c r="I542" i="6"/>
  <c r="I541" i="6"/>
  <c r="I540" i="6"/>
  <c r="K540" i="6" s="1"/>
  <c r="L540" i="6" s="1"/>
  <c r="I539" i="6"/>
  <c r="K539" i="6" s="1"/>
  <c r="L539" i="6" s="1"/>
  <c r="I538" i="6"/>
  <c r="I537" i="6"/>
  <c r="I534" i="6"/>
  <c r="K534" i="6" s="1"/>
  <c r="L534" i="6" s="1"/>
  <c r="I533" i="6"/>
  <c r="K533" i="6" s="1"/>
  <c r="L533" i="6" s="1"/>
  <c r="I532" i="6"/>
  <c r="K532" i="6" s="1"/>
  <c r="L532" i="6" s="1"/>
  <c r="I531" i="6"/>
  <c r="K531" i="6" s="1"/>
  <c r="L531" i="6" s="1"/>
  <c r="I530" i="6"/>
  <c r="K530" i="6" s="1"/>
  <c r="L530" i="6" s="1"/>
  <c r="I529" i="6"/>
  <c r="K529" i="6" s="1"/>
  <c r="L529" i="6" s="1"/>
  <c r="I528" i="6"/>
  <c r="K528" i="6" s="1"/>
  <c r="L528" i="6" s="1"/>
  <c r="I527" i="6"/>
  <c r="I526" i="6"/>
  <c r="I525" i="6"/>
  <c r="K525" i="6" s="1"/>
  <c r="L525" i="6" s="1"/>
  <c r="I524" i="6"/>
  <c r="K524" i="6" s="1"/>
  <c r="L524" i="6" s="1"/>
  <c r="I523" i="6"/>
  <c r="K523" i="6" s="1"/>
  <c r="L523" i="6" s="1"/>
  <c r="I522" i="6"/>
  <c r="K522" i="6" s="1"/>
  <c r="L522" i="6" s="1"/>
  <c r="I519" i="6"/>
  <c r="K519" i="6" s="1"/>
  <c r="L519" i="6" s="1"/>
  <c r="I518" i="6"/>
  <c r="K518" i="6" s="1"/>
  <c r="L518" i="6" s="1"/>
  <c r="I517" i="6"/>
  <c r="K517" i="6" s="1"/>
  <c r="L517" i="6" s="1"/>
  <c r="I516" i="6"/>
  <c r="K516" i="6" s="1"/>
  <c r="L516" i="6" s="1"/>
  <c r="I515" i="6"/>
  <c r="K515" i="6" s="1"/>
  <c r="L515" i="6" s="1"/>
  <c r="I514" i="6"/>
  <c r="K514" i="6" s="1"/>
  <c r="L514" i="6" s="1"/>
  <c r="I513" i="6"/>
  <c r="K513" i="6" s="1"/>
  <c r="L513" i="6" s="1"/>
  <c r="I512" i="6"/>
  <c r="I511" i="6"/>
  <c r="K511" i="6" s="1"/>
  <c r="L511" i="6" s="1"/>
  <c r="I508" i="6"/>
  <c r="K508" i="6" s="1"/>
  <c r="L508" i="6" s="1"/>
  <c r="I505" i="6"/>
  <c r="K505" i="6" s="1"/>
  <c r="L505" i="6" s="1"/>
  <c r="I504" i="6"/>
  <c r="I501" i="6"/>
  <c r="K501" i="6" s="1"/>
  <c r="L501" i="6" s="1"/>
  <c r="I498" i="6"/>
  <c r="K498" i="6" s="1"/>
  <c r="L498" i="6" s="1"/>
  <c r="I497" i="6"/>
  <c r="K497" i="6" s="1"/>
  <c r="L497" i="6" s="1"/>
  <c r="I496" i="6"/>
  <c r="K496" i="6" s="1"/>
  <c r="L496" i="6" s="1"/>
  <c r="I493" i="6"/>
  <c r="K493" i="6" s="1"/>
  <c r="L493" i="6" s="1"/>
  <c r="I492" i="6"/>
  <c r="K492" i="6" s="1"/>
  <c r="L492" i="6" s="1"/>
  <c r="I491" i="6"/>
  <c r="I490" i="6"/>
  <c r="K490" i="6" s="1"/>
  <c r="L490" i="6" s="1"/>
  <c r="I489" i="6"/>
  <c r="K489" i="6" s="1"/>
  <c r="L489" i="6" s="1"/>
  <c r="I488" i="6"/>
  <c r="I487" i="6"/>
  <c r="K487" i="6" s="1"/>
  <c r="L487" i="6" s="1"/>
  <c r="I486" i="6"/>
  <c r="K486" i="6" s="1"/>
  <c r="L486" i="6" s="1"/>
  <c r="I485" i="6"/>
  <c r="K485" i="6" s="1"/>
  <c r="L485" i="6" s="1"/>
  <c r="I484" i="6"/>
  <c r="K484" i="6" s="1"/>
  <c r="L484" i="6" s="1"/>
  <c r="I481" i="6"/>
  <c r="I480" i="6"/>
  <c r="K480" i="6" s="1"/>
  <c r="L480" i="6" s="1"/>
  <c r="I479" i="6"/>
  <c r="K479" i="6" s="1"/>
  <c r="L479" i="6" s="1"/>
  <c r="I478" i="6"/>
  <c r="K478" i="6" s="1"/>
  <c r="L478" i="6" s="1"/>
  <c r="I477" i="6"/>
  <c r="K477" i="6" s="1"/>
  <c r="L477" i="6" s="1"/>
  <c r="I476" i="6"/>
  <c r="I475" i="6"/>
  <c r="I474" i="6"/>
  <c r="I473" i="6"/>
  <c r="K473" i="6" s="1"/>
  <c r="L473" i="6" s="1"/>
  <c r="I472" i="6"/>
  <c r="K472" i="6" s="1"/>
  <c r="L472" i="6" s="1"/>
  <c r="I469" i="6"/>
  <c r="K469" i="6" s="1"/>
  <c r="L469" i="6" s="1"/>
  <c r="I468" i="6"/>
  <c r="K468" i="6" s="1"/>
  <c r="L468" i="6" s="1"/>
  <c r="I467" i="6"/>
  <c r="I466" i="6"/>
  <c r="I463" i="6"/>
  <c r="K463" i="6" s="1"/>
  <c r="L463" i="6" s="1"/>
  <c r="I462" i="6"/>
  <c r="K462" i="6" s="1"/>
  <c r="L462" i="6" s="1"/>
  <c r="I461" i="6"/>
  <c r="K461" i="6" s="1"/>
  <c r="L461" i="6" s="1"/>
  <c r="I460" i="6"/>
  <c r="K460" i="6" s="1"/>
  <c r="L460" i="6" s="1"/>
  <c r="I459" i="6"/>
  <c r="K459" i="6" s="1"/>
  <c r="L459" i="6" s="1"/>
  <c r="I458" i="6"/>
  <c r="I457" i="6"/>
  <c r="K457" i="6" s="1"/>
  <c r="L457" i="6" s="1"/>
  <c r="I456" i="6"/>
  <c r="I455" i="6"/>
  <c r="K455" i="6" s="1"/>
  <c r="L455" i="6" s="1"/>
  <c r="I454" i="6"/>
  <c r="K454" i="6" s="1"/>
  <c r="L454" i="6" s="1"/>
  <c r="I453" i="6"/>
  <c r="K453" i="6" s="1"/>
  <c r="L453" i="6" s="1"/>
  <c r="I452" i="6"/>
  <c r="K452" i="6" s="1"/>
  <c r="L452" i="6" s="1"/>
  <c r="I451" i="6"/>
  <c r="I450" i="6"/>
  <c r="K450" i="6" s="1"/>
  <c r="L450" i="6" s="1"/>
  <c r="I449" i="6"/>
  <c r="K449" i="6" s="1"/>
  <c r="L449" i="6" s="1"/>
  <c r="I448" i="6"/>
  <c r="K448" i="6" s="1"/>
  <c r="L448" i="6" s="1"/>
  <c r="I447" i="6"/>
  <c r="K447" i="6" s="1"/>
  <c r="L447" i="6" s="1"/>
  <c r="I446" i="6"/>
  <c r="K446" i="6" s="1"/>
  <c r="L446" i="6" s="1"/>
  <c r="I445" i="6"/>
  <c r="K445" i="6" s="1"/>
  <c r="L445" i="6" s="1"/>
  <c r="I444" i="6"/>
  <c r="K444" i="6" s="1"/>
  <c r="L444" i="6" s="1"/>
  <c r="I443" i="6"/>
  <c r="K443" i="6" s="1"/>
  <c r="L443" i="6" s="1"/>
  <c r="I442" i="6"/>
  <c r="I441" i="6"/>
  <c r="K441" i="6" s="1"/>
  <c r="L441" i="6" s="1"/>
  <c r="I440" i="6"/>
  <c r="I437" i="6"/>
  <c r="K437" i="6" s="1"/>
  <c r="L437" i="6" s="1"/>
  <c r="I436" i="6"/>
  <c r="K436" i="6" s="1"/>
  <c r="L436" i="6" s="1"/>
  <c r="I435" i="6"/>
  <c r="K435" i="6" s="1"/>
  <c r="L435" i="6" s="1"/>
  <c r="I434" i="6"/>
  <c r="K434" i="6" s="1"/>
  <c r="L434" i="6" s="1"/>
  <c r="I433" i="6"/>
  <c r="I432" i="6"/>
  <c r="I431" i="6"/>
  <c r="I430" i="6"/>
  <c r="K430" i="6" s="1"/>
  <c r="L430" i="6" s="1"/>
  <c r="I429" i="6"/>
  <c r="K429" i="6" s="1"/>
  <c r="L429" i="6" s="1"/>
  <c r="I428" i="6"/>
  <c r="K428" i="6" s="1"/>
  <c r="L428" i="6" s="1"/>
  <c r="I427" i="6"/>
  <c r="K427" i="6" s="1"/>
  <c r="L427" i="6" s="1"/>
  <c r="I426" i="6"/>
  <c r="K426" i="6" s="1"/>
  <c r="L426" i="6" s="1"/>
  <c r="I425" i="6"/>
  <c r="K425" i="6" s="1"/>
  <c r="L425" i="6" s="1"/>
  <c r="I424" i="6"/>
  <c r="K424" i="6" s="1"/>
  <c r="L424" i="6" s="1"/>
  <c r="I423" i="6"/>
  <c r="K423" i="6" s="1"/>
  <c r="L423" i="6" s="1"/>
  <c r="I422" i="6"/>
  <c r="I421" i="6"/>
  <c r="I420" i="6"/>
  <c r="K420" i="6" s="1"/>
  <c r="L420" i="6" s="1"/>
  <c r="I419" i="6"/>
  <c r="K419" i="6" s="1"/>
  <c r="L419" i="6" s="1"/>
  <c r="I418" i="6"/>
  <c r="K418" i="6" s="1"/>
  <c r="L418" i="6" s="1"/>
  <c r="I417" i="6"/>
  <c r="K417" i="6" s="1"/>
  <c r="L417" i="6" s="1"/>
  <c r="I416" i="6"/>
  <c r="K416" i="6" s="1"/>
  <c r="L416" i="6" s="1"/>
  <c r="I415" i="6"/>
  <c r="K415" i="6" s="1"/>
  <c r="L415" i="6" s="1"/>
  <c r="I414" i="6"/>
  <c r="I413" i="6"/>
  <c r="I412" i="6"/>
  <c r="I411" i="6"/>
  <c r="K411" i="6" s="1"/>
  <c r="L411" i="6" s="1"/>
  <c r="I410" i="6"/>
  <c r="K410" i="6" s="1"/>
  <c r="L410" i="6" s="1"/>
  <c r="I409" i="6"/>
  <c r="K409" i="6" s="1"/>
  <c r="L409" i="6" s="1"/>
  <c r="I408" i="6"/>
  <c r="K408" i="6" s="1"/>
  <c r="L408" i="6" s="1"/>
  <c r="I407" i="6"/>
  <c r="K407" i="6" s="1"/>
  <c r="L407" i="6" s="1"/>
  <c r="I406" i="6"/>
  <c r="K406" i="6" s="1"/>
  <c r="L406" i="6" s="1"/>
  <c r="I405" i="6"/>
  <c r="K405" i="6" s="1"/>
  <c r="L405" i="6" s="1"/>
  <c r="I404" i="6"/>
  <c r="K404" i="6" s="1"/>
  <c r="L404" i="6" s="1"/>
  <c r="I403" i="6"/>
  <c r="I402" i="6"/>
  <c r="K402" i="6" s="1"/>
  <c r="L402" i="6" s="1"/>
  <c r="I401" i="6"/>
  <c r="K401" i="6" s="1"/>
  <c r="L401" i="6" s="1"/>
  <c r="I400" i="6"/>
  <c r="K400" i="6" s="1"/>
  <c r="L400" i="6" s="1"/>
  <c r="I390" i="6"/>
  <c r="K390" i="6" s="1"/>
  <c r="L390" i="6" s="1"/>
  <c r="I389" i="6"/>
  <c r="K389" i="6" s="1"/>
  <c r="L389" i="6" s="1"/>
  <c r="I388" i="6"/>
  <c r="K388" i="6" s="1"/>
  <c r="L388" i="6" s="1"/>
  <c r="I387" i="6"/>
  <c r="K387" i="6" s="1"/>
  <c r="L387" i="6" s="1"/>
  <c r="I386" i="6"/>
  <c r="I385" i="6"/>
  <c r="I384" i="6"/>
  <c r="I383" i="6"/>
  <c r="I382" i="6"/>
  <c r="K382" i="6" s="1"/>
  <c r="L382" i="6" s="1"/>
  <c r="I381" i="6"/>
  <c r="K381" i="6" s="1"/>
  <c r="L381" i="6" s="1"/>
  <c r="I380" i="6"/>
  <c r="K380" i="6" s="1"/>
  <c r="L380" i="6" s="1"/>
  <c r="I379" i="6"/>
  <c r="K379" i="6" s="1"/>
  <c r="L379" i="6" s="1"/>
  <c r="I378" i="6"/>
  <c r="K378" i="6" s="1"/>
  <c r="L378" i="6" s="1"/>
  <c r="I375" i="6"/>
  <c r="K375" i="6" s="1"/>
  <c r="L375" i="6" s="1"/>
  <c r="I374" i="6"/>
  <c r="K374" i="6" s="1"/>
  <c r="L374" i="6" s="1"/>
  <c r="I373" i="6"/>
  <c r="K373" i="6" s="1"/>
  <c r="L373" i="6" s="1"/>
  <c r="I372" i="6"/>
  <c r="K372" i="6" s="1"/>
  <c r="L372" i="6" s="1"/>
  <c r="I371" i="6"/>
  <c r="I370" i="6"/>
  <c r="I369" i="6"/>
  <c r="K369" i="6" s="1"/>
  <c r="L369" i="6" s="1"/>
  <c r="I368" i="6"/>
  <c r="K368" i="6" s="1"/>
  <c r="L368" i="6" s="1"/>
  <c r="I358" i="6"/>
  <c r="K358" i="6" s="1"/>
  <c r="L358" i="6" s="1"/>
  <c r="I357" i="6"/>
  <c r="K357" i="6" s="1"/>
  <c r="L357" i="6" s="1"/>
  <c r="I356" i="6"/>
  <c r="K356" i="6" s="1"/>
  <c r="L356" i="6" s="1"/>
  <c r="I353" i="6"/>
  <c r="K353" i="6" s="1"/>
  <c r="L353" i="6" s="1"/>
  <c r="I352" i="6"/>
  <c r="K352" i="6" s="1"/>
  <c r="L352" i="6" s="1"/>
  <c r="I351" i="6"/>
  <c r="K351" i="6" s="1"/>
  <c r="L351" i="6" s="1"/>
  <c r="I350" i="6"/>
  <c r="K350" i="6" s="1"/>
  <c r="L350" i="6" s="1"/>
  <c r="I349" i="6"/>
  <c r="K349" i="6" s="1"/>
  <c r="L349" i="6" s="1"/>
  <c r="I348" i="6"/>
  <c r="K348" i="6" s="1"/>
  <c r="L348" i="6" s="1"/>
  <c r="I347" i="6"/>
  <c r="I346" i="6"/>
  <c r="I345" i="6"/>
  <c r="K345" i="6" s="1"/>
  <c r="L345" i="6" s="1"/>
  <c r="I344" i="6"/>
  <c r="K344" i="6" s="1"/>
  <c r="L344" i="6" s="1"/>
  <c r="I343" i="6"/>
  <c r="K343" i="6" s="1"/>
  <c r="L343" i="6" s="1"/>
  <c r="I342" i="6"/>
  <c r="K342" i="6" s="1"/>
  <c r="L342" i="6" s="1"/>
  <c r="I341" i="6"/>
  <c r="K341" i="6" s="1"/>
  <c r="L341" i="6" s="1"/>
  <c r="I338" i="6"/>
  <c r="K338" i="6" s="1"/>
  <c r="L338" i="6" s="1"/>
  <c r="I337" i="6"/>
  <c r="K337" i="6" s="1"/>
  <c r="L337" i="6" s="1"/>
  <c r="I336" i="6"/>
  <c r="K336" i="6" s="1"/>
  <c r="L336" i="6" s="1"/>
  <c r="I335" i="6"/>
  <c r="K335" i="6" s="1"/>
  <c r="L335" i="6" s="1"/>
  <c r="I332" i="6"/>
  <c r="K332" i="6" s="1"/>
  <c r="L332" i="6" s="1"/>
  <c r="I331" i="6"/>
  <c r="K331" i="6" s="1"/>
  <c r="L331" i="6" s="1"/>
  <c r="I330" i="6"/>
  <c r="K330" i="6" s="1"/>
  <c r="L330" i="6" s="1"/>
  <c r="I329" i="6"/>
  <c r="K329" i="6" s="1"/>
  <c r="L329" i="6" s="1"/>
  <c r="I328" i="6"/>
  <c r="K328" i="6" s="1"/>
  <c r="L328" i="6" s="1"/>
  <c r="I327" i="6"/>
  <c r="K327" i="6" s="1"/>
  <c r="L327" i="6" s="1"/>
  <c r="I326" i="6"/>
  <c r="K326" i="6" s="1"/>
  <c r="L326" i="6" s="1"/>
  <c r="I323" i="6"/>
  <c r="K323" i="6" s="1"/>
  <c r="L323" i="6" s="1"/>
  <c r="I322" i="6"/>
  <c r="K322" i="6" s="1"/>
  <c r="L322" i="6" s="1"/>
  <c r="I321" i="6"/>
  <c r="K321" i="6" s="1"/>
  <c r="L321" i="6" s="1"/>
  <c r="I320" i="6"/>
  <c r="K320" i="6" s="1"/>
  <c r="L320" i="6" s="1"/>
  <c r="I319" i="6"/>
  <c r="K319" i="6" s="1"/>
  <c r="L319" i="6" s="1"/>
  <c r="I318" i="6"/>
  <c r="I317" i="6"/>
  <c r="I316" i="6"/>
  <c r="I315" i="6"/>
  <c r="K315" i="6" s="1"/>
  <c r="L315" i="6" s="1"/>
  <c r="I314" i="6"/>
  <c r="K314" i="6" s="1"/>
  <c r="L314" i="6" s="1"/>
  <c r="I313" i="6"/>
  <c r="K313" i="6" s="1"/>
  <c r="L313" i="6" s="1"/>
  <c r="I310" i="6"/>
  <c r="K310" i="6" s="1"/>
  <c r="L310" i="6" s="1"/>
  <c r="I309" i="6"/>
  <c r="K309" i="6" s="1"/>
  <c r="L309" i="6" s="1"/>
  <c r="I308" i="6"/>
  <c r="K308" i="6" s="1"/>
  <c r="L308" i="6" s="1"/>
  <c r="I307" i="6"/>
  <c r="I306" i="6"/>
  <c r="K306" i="6" s="1"/>
  <c r="L306" i="6" s="1"/>
  <c r="I305" i="6"/>
  <c r="K305" i="6" s="1"/>
  <c r="L305" i="6" s="1"/>
  <c r="I304" i="6"/>
  <c r="K304" i="6" s="1"/>
  <c r="L304" i="6" s="1"/>
  <c r="I303" i="6"/>
  <c r="I302" i="6"/>
  <c r="K302" i="6" s="1"/>
  <c r="L302" i="6" s="1"/>
  <c r="I301" i="6"/>
  <c r="K301" i="6" s="1"/>
  <c r="L301" i="6" s="1"/>
  <c r="I300" i="6"/>
  <c r="K300" i="6" s="1"/>
  <c r="L300" i="6" s="1"/>
  <c r="I299" i="6"/>
  <c r="K299" i="6" s="1"/>
  <c r="L299" i="6" s="1"/>
  <c r="I298" i="6"/>
  <c r="K298" i="6" s="1"/>
  <c r="L298" i="6" s="1"/>
  <c r="I297" i="6"/>
  <c r="K297" i="6" s="1"/>
  <c r="L297" i="6" s="1"/>
  <c r="I296" i="6"/>
  <c r="K296" i="6" s="1"/>
  <c r="L296" i="6" s="1"/>
  <c r="I295" i="6"/>
  <c r="K295" i="6" s="1"/>
  <c r="L295" i="6" s="1"/>
  <c r="I294" i="6"/>
  <c r="K294" i="6" s="1"/>
  <c r="L294" i="6" s="1"/>
  <c r="I293" i="6"/>
  <c r="K293" i="6" s="1"/>
  <c r="L293" i="6" s="1"/>
  <c r="I292" i="6"/>
  <c r="K292" i="6" s="1"/>
  <c r="L292" i="6" s="1"/>
  <c r="I289" i="6"/>
  <c r="K289" i="6" s="1"/>
  <c r="L289" i="6" s="1"/>
  <c r="I288" i="6"/>
  <c r="K288" i="6" s="1"/>
  <c r="L288" i="6" s="1"/>
  <c r="I287" i="6"/>
  <c r="K287" i="6" s="1"/>
  <c r="L287" i="6" s="1"/>
  <c r="I286" i="6"/>
  <c r="K286" i="6" s="1"/>
  <c r="L286" i="6" s="1"/>
  <c r="I285" i="6"/>
  <c r="K285" i="6" s="1"/>
  <c r="L285" i="6" s="1"/>
  <c r="I284" i="6"/>
  <c r="I283" i="6"/>
  <c r="I282" i="6"/>
  <c r="I279" i="6"/>
  <c r="K279" i="6" s="1"/>
  <c r="L279" i="6" s="1"/>
  <c r="I278" i="6"/>
  <c r="K278" i="6" s="1"/>
  <c r="L278" i="6" s="1"/>
  <c r="I277" i="6"/>
  <c r="K277" i="6" s="1"/>
  <c r="L277" i="6" s="1"/>
  <c r="I276" i="6"/>
  <c r="K276" i="6" s="1"/>
  <c r="L276" i="6" s="1"/>
  <c r="I275" i="6"/>
  <c r="K275" i="6" s="1"/>
  <c r="L275" i="6" s="1"/>
  <c r="I274" i="6"/>
  <c r="K274" i="6" s="1"/>
  <c r="L274" i="6" s="1"/>
  <c r="I273" i="6"/>
  <c r="K273" i="6" s="1"/>
  <c r="L273" i="6" s="1"/>
  <c r="I272" i="6"/>
  <c r="I271" i="6"/>
  <c r="K271" i="6" s="1"/>
  <c r="L271" i="6" s="1"/>
  <c r="I270" i="6"/>
  <c r="K270" i="6" s="1"/>
  <c r="L270" i="6" s="1"/>
  <c r="I269" i="6"/>
  <c r="K269" i="6" s="1"/>
  <c r="L269" i="6" s="1"/>
  <c r="I268" i="6"/>
  <c r="K268" i="6" s="1"/>
  <c r="L268" i="6" s="1"/>
  <c r="I267" i="6"/>
  <c r="K267" i="6" s="1"/>
  <c r="L267" i="6" s="1"/>
  <c r="I266" i="6"/>
  <c r="K266" i="6" s="1"/>
  <c r="L266" i="6" s="1"/>
  <c r="I265" i="6"/>
  <c r="K265" i="6" s="1"/>
  <c r="L265" i="6" s="1"/>
  <c r="I264" i="6"/>
  <c r="K264" i="6" s="1"/>
  <c r="L264" i="6" s="1"/>
  <c r="I263" i="6"/>
  <c r="K263" i="6" s="1"/>
  <c r="L263" i="6" s="1"/>
  <c r="I262" i="6"/>
  <c r="I261" i="6"/>
  <c r="I260" i="6"/>
  <c r="K260" i="6" s="1"/>
  <c r="L260" i="6" s="1"/>
  <c r="I259" i="6"/>
  <c r="K259" i="6" s="1"/>
  <c r="L259" i="6" s="1"/>
  <c r="I258" i="6"/>
  <c r="K258" i="6" s="1"/>
  <c r="L258" i="6" s="1"/>
  <c r="I255" i="6"/>
  <c r="K255" i="6" s="1"/>
  <c r="L255" i="6" s="1"/>
  <c r="I254" i="6"/>
  <c r="K254" i="6" s="1"/>
  <c r="L254" i="6" s="1"/>
  <c r="I253" i="6"/>
  <c r="K253" i="6" s="1"/>
  <c r="L253" i="6" s="1"/>
  <c r="I252" i="6"/>
  <c r="K252" i="6" s="1"/>
  <c r="L252" i="6" s="1"/>
  <c r="I251" i="6"/>
  <c r="I250" i="6"/>
  <c r="I249" i="6"/>
  <c r="I248" i="6"/>
  <c r="K248" i="6" s="1"/>
  <c r="L248" i="6" s="1"/>
  <c r="I247" i="6"/>
  <c r="K247" i="6" s="1"/>
  <c r="L247" i="6" s="1"/>
  <c r="I246" i="6"/>
  <c r="K246" i="6" s="1"/>
  <c r="L246" i="6" s="1"/>
  <c r="I245" i="6"/>
  <c r="K245" i="6" s="1"/>
  <c r="L245" i="6" s="1"/>
  <c r="I244" i="6"/>
  <c r="K244" i="6" s="1"/>
  <c r="L244" i="6" s="1"/>
  <c r="I243" i="6"/>
  <c r="K243" i="6" s="1"/>
  <c r="L243" i="6" s="1"/>
  <c r="I242" i="6"/>
  <c r="K242" i="6" s="1"/>
  <c r="L242" i="6" s="1"/>
  <c r="I241" i="6"/>
  <c r="K241" i="6" s="1"/>
  <c r="L241" i="6" s="1"/>
  <c r="I240" i="6"/>
  <c r="K240" i="6" s="1"/>
  <c r="L240" i="6" s="1"/>
  <c r="I239" i="6"/>
  <c r="I238" i="6"/>
  <c r="K238" i="6" s="1"/>
  <c r="L238" i="6" s="1"/>
  <c r="I237" i="6"/>
  <c r="K237" i="6" s="1"/>
  <c r="L237" i="6" s="1"/>
  <c r="I236" i="6"/>
  <c r="K236" i="6" s="1"/>
  <c r="L236" i="6" s="1"/>
  <c r="I235" i="6"/>
  <c r="K235" i="6" s="1"/>
  <c r="L235" i="6" s="1"/>
  <c r="I234" i="6"/>
  <c r="K234" i="6" s="1"/>
  <c r="L234" i="6" s="1"/>
  <c r="I233" i="6"/>
  <c r="K233" i="6" s="1"/>
  <c r="L233" i="6" s="1"/>
  <c r="I232" i="6"/>
  <c r="I231" i="6"/>
  <c r="I230" i="6"/>
  <c r="K230" i="6" s="1"/>
  <c r="L230" i="6" s="1"/>
  <c r="I229" i="6"/>
  <c r="K229" i="6" s="1"/>
  <c r="L229" i="6" s="1"/>
  <c r="I228" i="6"/>
  <c r="K228" i="6" s="1"/>
  <c r="L228" i="6" s="1"/>
  <c r="I227" i="6"/>
  <c r="K227" i="6" s="1"/>
  <c r="L227" i="6" s="1"/>
  <c r="I226" i="6"/>
  <c r="K226" i="6" s="1"/>
  <c r="L226" i="6" s="1"/>
  <c r="I225" i="6"/>
  <c r="K225" i="6" s="1"/>
  <c r="L225" i="6" s="1"/>
  <c r="I224" i="6"/>
  <c r="K224" i="6" s="1"/>
  <c r="L224" i="6" s="1"/>
  <c r="I223" i="6"/>
  <c r="K223" i="6" s="1"/>
  <c r="L223" i="6" s="1"/>
  <c r="I222" i="6"/>
  <c r="K222" i="6" s="1"/>
  <c r="L222" i="6" s="1"/>
  <c r="I221" i="6"/>
  <c r="K221" i="6" s="1"/>
  <c r="L221" i="6" s="1"/>
  <c r="I220" i="6"/>
  <c r="K220" i="6" s="1"/>
  <c r="L220" i="6" s="1"/>
  <c r="I219" i="6"/>
  <c r="I218" i="6"/>
  <c r="K218" i="6" s="1"/>
  <c r="L218" i="6" s="1"/>
  <c r="I217" i="6"/>
  <c r="K217" i="6" s="1"/>
  <c r="L217" i="6" s="1"/>
  <c r="I216" i="6"/>
  <c r="K216" i="6" s="1"/>
  <c r="L216" i="6" s="1"/>
  <c r="I215" i="6"/>
  <c r="K215" i="6" s="1"/>
  <c r="L215" i="6" s="1"/>
  <c r="I214" i="6"/>
  <c r="K214" i="6" s="1"/>
  <c r="L214" i="6" s="1"/>
  <c r="I213" i="6"/>
  <c r="K213" i="6" s="1"/>
  <c r="L213" i="6" s="1"/>
  <c r="I212" i="6"/>
  <c r="K212" i="6" s="1"/>
  <c r="L212" i="6" s="1"/>
  <c r="I211" i="6"/>
  <c r="I210" i="6"/>
  <c r="K210" i="6" s="1"/>
  <c r="L210" i="6" s="1"/>
  <c r="I209" i="6"/>
  <c r="K209" i="6" s="1"/>
  <c r="L209" i="6" s="1"/>
  <c r="I208" i="6"/>
  <c r="K208" i="6" s="1"/>
  <c r="L208" i="6" s="1"/>
  <c r="I207" i="6"/>
  <c r="K207" i="6" s="1"/>
  <c r="L207" i="6" s="1"/>
  <c r="I206" i="6"/>
  <c r="K206" i="6" s="1"/>
  <c r="L206" i="6" s="1"/>
  <c r="I205" i="6"/>
  <c r="K205" i="6" s="1"/>
  <c r="L205" i="6" s="1"/>
  <c r="I204" i="6"/>
  <c r="K204" i="6" s="1"/>
  <c r="L204" i="6" s="1"/>
  <c r="I203" i="6"/>
  <c r="K203" i="6" s="1"/>
  <c r="L203" i="6" s="1"/>
  <c r="I202" i="6"/>
  <c r="K202" i="6" s="1"/>
  <c r="L202" i="6" s="1"/>
  <c r="I201" i="6"/>
  <c r="I200" i="6"/>
  <c r="K200" i="6" s="1"/>
  <c r="L200" i="6" s="1"/>
  <c r="I199" i="6"/>
  <c r="K199" i="6" s="1"/>
  <c r="L199" i="6" s="1"/>
  <c r="I198" i="6"/>
  <c r="K198" i="6" s="1"/>
  <c r="L198" i="6" s="1"/>
  <c r="I197" i="6"/>
  <c r="K197" i="6" s="1"/>
  <c r="L197" i="6" s="1"/>
  <c r="I196" i="6"/>
  <c r="K196" i="6" s="1"/>
  <c r="L196" i="6" s="1"/>
  <c r="I195" i="6"/>
  <c r="K195" i="6" s="1"/>
  <c r="L195" i="6" s="1"/>
  <c r="I194" i="6"/>
  <c r="K194" i="6" s="1"/>
  <c r="L194" i="6" s="1"/>
  <c r="I193" i="6"/>
  <c r="I192" i="6"/>
  <c r="K192" i="6" s="1"/>
  <c r="L192" i="6" s="1"/>
  <c r="I191" i="6"/>
  <c r="K191" i="6" s="1"/>
  <c r="L191" i="6" s="1"/>
  <c r="I190" i="6"/>
  <c r="K190" i="6" s="1"/>
  <c r="L190" i="6" s="1"/>
  <c r="I189" i="6"/>
  <c r="K189" i="6" s="1"/>
  <c r="L189" i="6" s="1"/>
  <c r="I186" i="6"/>
  <c r="K186" i="6" s="1"/>
  <c r="L186" i="6" s="1"/>
  <c r="I185" i="6"/>
  <c r="K185" i="6" s="1"/>
  <c r="L185" i="6" s="1"/>
  <c r="I184" i="6"/>
  <c r="K184" i="6" s="1"/>
  <c r="L184" i="6" s="1"/>
  <c r="I183" i="6"/>
  <c r="K183" i="6" s="1"/>
  <c r="L183" i="6" s="1"/>
  <c r="I182" i="6"/>
  <c r="K182" i="6" s="1"/>
  <c r="L182" i="6" s="1"/>
  <c r="I181" i="6"/>
  <c r="I180" i="6"/>
  <c r="I179" i="6"/>
  <c r="I178" i="6"/>
  <c r="K178" i="6" s="1"/>
  <c r="L178" i="6" s="1"/>
  <c r="I177" i="6"/>
  <c r="K177" i="6" s="1"/>
  <c r="L177" i="6" s="1"/>
  <c r="I176" i="6"/>
  <c r="K176" i="6" s="1"/>
  <c r="L176" i="6" s="1"/>
  <c r="I175" i="6"/>
  <c r="K175" i="6" s="1"/>
  <c r="L175" i="6" s="1"/>
  <c r="I174" i="6"/>
  <c r="K174" i="6" s="1"/>
  <c r="L174" i="6" s="1"/>
  <c r="I173" i="6"/>
  <c r="K173" i="6" s="1"/>
  <c r="L173" i="6" s="1"/>
  <c r="I172" i="6"/>
  <c r="K172" i="6" s="1"/>
  <c r="L172" i="6" s="1"/>
  <c r="I171" i="6"/>
  <c r="I170" i="6"/>
  <c r="K170" i="6" s="1"/>
  <c r="L170" i="6" s="1"/>
  <c r="I169" i="6"/>
  <c r="K169" i="6" s="1"/>
  <c r="L169" i="6" s="1"/>
  <c r="I168" i="6"/>
  <c r="K168" i="6" s="1"/>
  <c r="L168" i="6" s="1"/>
  <c r="I167" i="6"/>
  <c r="K167" i="6" s="1"/>
  <c r="L167" i="6" s="1"/>
  <c r="I166" i="6"/>
  <c r="K166" i="6" s="1"/>
  <c r="L166" i="6" s="1"/>
  <c r="I165" i="6"/>
  <c r="K165" i="6" s="1"/>
  <c r="L165" i="6" s="1"/>
  <c r="I164" i="6"/>
  <c r="K164" i="6" s="1"/>
  <c r="L164" i="6" s="1"/>
  <c r="I163" i="6"/>
  <c r="I162" i="6"/>
  <c r="I161" i="6"/>
  <c r="K161" i="6" s="1"/>
  <c r="L161" i="6" s="1"/>
  <c r="I160" i="6"/>
  <c r="K160" i="6" s="1"/>
  <c r="L160" i="6" s="1"/>
  <c r="I159" i="6"/>
  <c r="K159" i="6" s="1"/>
  <c r="L159" i="6" s="1"/>
  <c r="I158" i="6"/>
  <c r="K158" i="6" s="1"/>
  <c r="L158" i="6" s="1"/>
  <c r="I157" i="6"/>
  <c r="K157" i="6" s="1"/>
  <c r="L157" i="6" s="1"/>
  <c r="I156" i="6"/>
  <c r="K156" i="6" s="1"/>
  <c r="L156" i="6" s="1"/>
  <c r="I155" i="6"/>
  <c r="I154" i="6"/>
  <c r="I153" i="6"/>
  <c r="K153" i="6" s="1"/>
  <c r="L153" i="6" s="1"/>
  <c r="I152" i="6"/>
  <c r="K152" i="6" s="1"/>
  <c r="L152" i="6" s="1"/>
  <c r="I151" i="6"/>
  <c r="K151" i="6" s="1"/>
  <c r="L151" i="6" s="1"/>
  <c r="I150" i="6"/>
  <c r="K150" i="6" s="1"/>
  <c r="L150" i="6" s="1"/>
  <c r="I149" i="6"/>
  <c r="K149" i="6" s="1"/>
  <c r="L149" i="6" s="1"/>
  <c r="I148" i="6"/>
  <c r="K148" i="6" s="1"/>
  <c r="L148" i="6" s="1"/>
  <c r="I147" i="6"/>
  <c r="K147" i="6" s="1"/>
  <c r="L147" i="6" s="1"/>
  <c r="I146" i="6"/>
  <c r="I145" i="6"/>
  <c r="K145" i="6" s="1"/>
  <c r="L145" i="6" s="1"/>
  <c r="I144" i="6"/>
  <c r="K144" i="6" s="1"/>
  <c r="L144" i="6" s="1"/>
  <c r="I143" i="6"/>
  <c r="K143" i="6" s="1"/>
  <c r="L143" i="6" s="1"/>
  <c r="I142" i="6"/>
  <c r="K142" i="6" s="1"/>
  <c r="L142" i="6" s="1"/>
  <c r="I141" i="6"/>
  <c r="I140" i="6"/>
  <c r="I139" i="6"/>
  <c r="I138" i="6"/>
  <c r="I137" i="6"/>
  <c r="K137" i="6" s="1"/>
  <c r="L137" i="6" s="1"/>
  <c r="I136" i="6"/>
  <c r="K136" i="6" s="1"/>
  <c r="L136" i="6" s="1"/>
  <c r="I135" i="6"/>
  <c r="K135" i="6" s="1"/>
  <c r="L135" i="6" s="1"/>
  <c r="I134" i="6"/>
  <c r="K134" i="6" s="1"/>
  <c r="L134" i="6" s="1"/>
  <c r="I133" i="6"/>
  <c r="K133" i="6" s="1"/>
  <c r="L133" i="6" s="1"/>
  <c r="I132" i="6"/>
  <c r="I131" i="6"/>
  <c r="I130" i="6"/>
  <c r="I129" i="6"/>
  <c r="K129" i="6" s="1"/>
  <c r="L129" i="6" s="1"/>
  <c r="I128" i="6"/>
  <c r="K128" i="6" s="1"/>
  <c r="L128" i="6" s="1"/>
  <c r="I127" i="6"/>
  <c r="K127" i="6" s="1"/>
  <c r="L127" i="6" s="1"/>
  <c r="I126" i="6"/>
  <c r="K126" i="6" s="1"/>
  <c r="L126" i="6" s="1"/>
  <c r="I123" i="6"/>
  <c r="K123" i="6" s="1"/>
  <c r="L123" i="6" s="1"/>
  <c r="I122" i="6"/>
  <c r="K122" i="6" s="1"/>
  <c r="L122" i="6" s="1"/>
  <c r="I121" i="6"/>
  <c r="K121" i="6" s="1"/>
  <c r="L121" i="6" s="1"/>
  <c r="I120" i="6"/>
  <c r="K120" i="6" s="1"/>
  <c r="L120" i="6" s="1"/>
  <c r="I119" i="6"/>
  <c r="K119" i="6" s="1"/>
  <c r="L119" i="6" s="1"/>
  <c r="I118" i="6"/>
  <c r="I117" i="6"/>
  <c r="I116" i="6"/>
  <c r="I115" i="6"/>
  <c r="K115" i="6" s="1"/>
  <c r="L115" i="6" s="1"/>
  <c r="I114" i="6"/>
  <c r="K114" i="6" s="1"/>
  <c r="L114" i="6" s="1"/>
  <c r="I113" i="6"/>
  <c r="K113" i="6" s="1"/>
  <c r="L113" i="6" s="1"/>
  <c r="I112" i="6"/>
  <c r="K112" i="6" s="1"/>
  <c r="L112" i="6" s="1"/>
  <c r="I111" i="6"/>
  <c r="K111" i="6" s="1"/>
  <c r="L111" i="6" s="1"/>
  <c r="I110" i="6"/>
  <c r="K110" i="6" s="1"/>
  <c r="L110" i="6" s="1"/>
  <c r="I107" i="6"/>
  <c r="K107" i="6" s="1"/>
  <c r="L107" i="6" s="1"/>
  <c r="I106" i="6"/>
  <c r="K106" i="6" s="1"/>
  <c r="L106" i="6" s="1"/>
  <c r="I105" i="6"/>
  <c r="K105" i="6" s="1"/>
  <c r="L105" i="6" s="1"/>
  <c r="I104" i="6"/>
  <c r="K104" i="6" s="1"/>
  <c r="L104" i="6" s="1"/>
  <c r="I103" i="6"/>
  <c r="K103" i="6" s="1"/>
  <c r="L103" i="6" s="1"/>
  <c r="I102" i="6"/>
  <c r="I101" i="6"/>
  <c r="I100" i="6"/>
  <c r="I99" i="6"/>
  <c r="K99" i="6" s="1"/>
  <c r="L99" i="6" s="1"/>
  <c r="I98" i="6"/>
  <c r="K98" i="6" s="1"/>
  <c r="L98" i="6" s="1"/>
  <c r="I97" i="6"/>
  <c r="K97" i="6" s="1"/>
  <c r="L97" i="6" s="1"/>
  <c r="I96" i="6"/>
  <c r="K96" i="6" s="1"/>
  <c r="L96" i="6" s="1"/>
  <c r="I95" i="6"/>
  <c r="K95" i="6" s="1"/>
  <c r="L95" i="6" s="1"/>
  <c r="I94" i="6"/>
  <c r="K94" i="6" s="1"/>
  <c r="L94" i="6" s="1"/>
  <c r="I93" i="6"/>
  <c r="K93" i="6" s="1"/>
  <c r="L93" i="6" s="1"/>
  <c r="I92" i="6"/>
  <c r="I91" i="6"/>
  <c r="K91" i="6" s="1"/>
  <c r="L91" i="6" s="1"/>
  <c r="I90" i="6"/>
  <c r="K90" i="6" s="1"/>
  <c r="L90" i="6" s="1"/>
  <c r="I89" i="6"/>
  <c r="I88" i="6"/>
  <c r="K88" i="6" s="1"/>
  <c r="L88" i="6" s="1"/>
  <c r="I87" i="6"/>
  <c r="K87" i="6" s="1"/>
  <c r="L87" i="6" s="1"/>
  <c r="I86" i="6"/>
  <c r="K86" i="6" s="1"/>
  <c r="L86" i="6" s="1"/>
  <c r="I85" i="6"/>
  <c r="K85" i="6" s="1"/>
  <c r="L85" i="6" s="1"/>
  <c r="I84" i="6"/>
  <c r="I83" i="6"/>
  <c r="K83" i="6" s="1"/>
  <c r="L83" i="6" s="1"/>
  <c r="I82" i="6"/>
  <c r="K82" i="6" s="1"/>
  <c r="L82" i="6" s="1"/>
  <c r="I81" i="6"/>
  <c r="K81" i="6" s="1"/>
  <c r="L81" i="6" s="1"/>
  <c r="I80" i="6"/>
  <c r="K80" i="6" s="1"/>
  <c r="L80" i="6" s="1"/>
  <c r="I79" i="6"/>
  <c r="K79" i="6" s="1"/>
  <c r="L79" i="6" s="1"/>
  <c r="I78" i="6"/>
  <c r="K78" i="6" s="1"/>
  <c r="L78" i="6" s="1"/>
  <c r="I77" i="6"/>
  <c r="K77" i="6" s="1"/>
  <c r="L77" i="6" s="1"/>
  <c r="I76" i="6"/>
  <c r="K76" i="6" s="1"/>
  <c r="L76" i="6" s="1"/>
  <c r="I75" i="6"/>
  <c r="K75" i="6" s="1"/>
  <c r="L75" i="6" s="1"/>
  <c r="I74" i="6"/>
  <c r="K74" i="6" s="1"/>
  <c r="L74" i="6" s="1"/>
  <c r="I73" i="6"/>
  <c r="I72" i="6"/>
  <c r="K72" i="6" s="1"/>
  <c r="L72" i="6" s="1"/>
  <c r="I69" i="6"/>
  <c r="K69" i="6" s="1"/>
  <c r="L69" i="6" s="1"/>
  <c r="I68" i="6"/>
  <c r="K68" i="6" s="1"/>
  <c r="L68" i="6" s="1"/>
  <c r="I67" i="6"/>
  <c r="K67" i="6" s="1"/>
  <c r="L67" i="6" s="1"/>
  <c r="I66" i="6"/>
  <c r="K66" i="6" s="1"/>
  <c r="L66" i="6" s="1"/>
  <c r="I65" i="6"/>
  <c r="K65" i="6" s="1"/>
  <c r="L65" i="6" s="1"/>
  <c r="I64" i="6"/>
  <c r="K64" i="6" s="1"/>
  <c r="L64" i="6" s="1"/>
  <c r="I63" i="6"/>
  <c r="I62" i="6"/>
  <c r="I61" i="6"/>
  <c r="K61" i="6" s="1"/>
  <c r="L61" i="6" s="1"/>
  <c r="I60" i="6"/>
  <c r="K60" i="6" s="1"/>
  <c r="L60" i="6" s="1"/>
  <c r="I59" i="6"/>
  <c r="K59" i="6" s="1"/>
  <c r="L59" i="6" s="1"/>
  <c r="I58" i="6"/>
  <c r="K58" i="6" s="1"/>
  <c r="L58" i="6" s="1"/>
  <c r="I57" i="6"/>
  <c r="K57" i="6" s="1"/>
  <c r="L57" i="6" s="1"/>
  <c r="I56" i="6"/>
  <c r="K56" i="6" s="1"/>
  <c r="L56" i="6" s="1"/>
  <c r="I55" i="6"/>
  <c r="K55" i="6" s="1"/>
  <c r="L55" i="6" s="1"/>
  <c r="I54" i="6"/>
  <c r="K54" i="6" s="1"/>
  <c r="L54" i="6" s="1"/>
  <c r="I53" i="6"/>
  <c r="K53" i="6" s="1"/>
  <c r="L53" i="6" s="1"/>
  <c r="I52" i="6"/>
  <c r="I51" i="6"/>
  <c r="K51" i="6" s="1"/>
  <c r="L51" i="6" s="1"/>
  <c r="I50" i="6"/>
  <c r="K50" i="6" s="1"/>
  <c r="L50" i="6" s="1"/>
  <c r="I49" i="6"/>
  <c r="K49" i="6" s="1"/>
  <c r="L49" i="6" s="1"/>
  <c r="I48" i="6"/>
  <c r="K48" i="6" s="1"/>
  <c r="L48" i="6" s="1"/>
  <c r="I47" i="6"/>
  <c r="K47" i="6" s="1"/>
  <c r="L47" i="6" s="1"/>
  <c r="I46" i="6"/>
  <c r="K46" i="6" s="1"/>
  <c r="L46" i="6" s="1"/>
  <c r="I45" i="6"/>
  <c r="K45" i="6" s="1"/>
  <c r="L45" i="6" s="1"/>
  <c r="I44" i="6"/>
  <c r="I43" i="6"/>
  <c r="K43" i="6" s="1"/>
  <c r="L43" i="6" s="1"/>
  <c r="I42" i="6"/>
  <c r="K42" i="6" s="1"/>
  <c r="L42" i="6" s="1"/>
  <c r="I41" i="6"/>
  <c r="K41" i="6" s="1"/>
  <c r="L41" i="6" s="1"/>
  <c r="I40" i="6"/>
  <c r="K40" i="6" s="1"/>
  <c r="L40" i="6" s="1"/>
  <c r="I39" i="6"/>
  <c r="K39" i="6" s="1"/>
  <c r="L39" i="6" s="1"/>
  <c r="I38" i="6"/>
  <c r="K38" i="6" s="1"/>
  <c r="L38" i="6" s="1"/>
  <c r="I37" i="6"/>
  <c r="K37" i="6" s="1"/>
  <c r="L37" i="6" s="1"/>
  <c r="I36" i="6"/>
  <c r="I35" i="6"/>
  <c r="K35" i="6" s="1"/>
  <c r="L35" i="6" s="1"/>
  <c r="I34" i="6"/>
  <c r="K34" i="6" s="1"/>
  <c r="L34" i="6" s="1"/>
  <c r="I33" i="6"/>
  <c r="K33" i="6" s="1"/>
  <c r="L33" i="6" s="1"/>
  <c r="I32" i="6"/>
  <c r="K32" i="6" s="1"/>
  <c r="L32" i="6" s="1"/>
  <c r="I31" i="6"/>
  <c r="K31" i="6" s="1"/>
  <c r="L31" i="6" s="1"/>
  <c r="I30" i="6"/>
  <c r="K30" i="6" s="1"/>
  <c r="L30" i="6" s="1"/>
  <c r="I29" i="6"/>
  <c r="K29" i="6" s="1"/>
  <c r="L29" i="6" s="1"/>
  <c r="I28" i="6"/>
  <c r="K28" i="6" s="1"/>
  <c r="L28" i="6" s="1"/>
  <c r="I27" i="6"/>
  <c r="K27" i="6" s="1"/>
  <c r="L27" i="6" s="1"/>
  <c r="I26" i="6"/>
  <c r="I25" i="6"/>
  <c r="K25" i="6" s="1"/>
  <c r="L25" i="6" s="1"/>
  <c r="I24" i="6"/>
  <c r="K24" i="6" s="1"/>
  <c r="L24" i="6" s="1"/>
  <c r="I23" i="6"/>
  <c r="K23" i="6" s="1"/>
  <c r="L23" i="6" s="1"/>
  <c r="I22" i="6"/>
  <c r="K22" i="6" s="1"/>
  <c r="L22" i="6" s="1"/>
  <c r="I21" i="6"/>
  <c r="K21" i="6" s="1"/>
  <c r="L21" i="6" s="1"/>
  <c r="I20" i="6"/>
  <c r="K20" i="6" s="1"/>
  <c r="L20" i="6" s="1"/>
  <c r="I19" i="6"/>
  <c r="I18" i="6"/>
  <c r="I17" i="6"/>
  <c r="K17" i="6" s="1"/>
  <c r="L17" i="6" s="1"/>
  <c r="I16" i="6"/>
  <c r="K16" i="6" s="1"/>
  <c r="L16" i="6" s="1"/>
  <c r="I15" i="6"/>
  <c r="K15" i="6" s="1"/>
  <c r="L15" i="6" s="1"/>
  <c r="I14" i="6"/>
  <c r="K14" i="6" s="1"/>
  <c r="L14" i="6" s="1"/>
  <c r="I13" i="6"/>
  <c r="K13" i="6" s="1"/>
  <c r="L13" i="6" s="1"/>
  <c r="I12" i="6"/>
  <c r="K12" i="6" s="1"/>
  <c r="L12" i="6" s="1"/>
  <c r="I11" i="6"/>
  <c r="I10" i="6"/>
  <c r="I9" i="6"/>
  <c r="K9" i="6" s="1"/>
  <c r="L9" i="6" s="1"/>
  <c r="I7" i="6"/>
  <c r="K7" i="6" s="1"/>
  <c r="L7" i="6" s="1"/>
  <c r="I8" i="6"/>
  <c r="K8" i="6" s="1"/>
  <c r="L8" i="6" s="1"/>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4" i="6"/>
  <c r="E533" i="6"/>
  <c r="E532" i="6"/>
  <c r="E531" i="6"/>
  <c r="E530" i="6"/>
  <c r="E529" i="6"/>
  <c r="E528" i="6"/>
  <c r="E527" i="6"/>
  <c r="E526" i="6"/>
  <c r="E525" i="6"/>
  <c r="E524" i="6"/>
  <c r="E523" i="6"/>
  <c r="E522" i="6"/>
  <c r="E519" i="6"/>
  <c r="E518" i="6"/>
  <c r="E517" i="6"/>
  <c r="E516" i="6"/>
  <c r="E515" i="6"/>
  <c r="E514" i="6"/>
  <c r="E513" i="6"/>
  <c r="E512" i="6"/>
  <c r="E511" i="6"/>
  <c r="E508" i="6"/>
  <c r="E505" i="6"/>
  <c r="E504" i="6"/>
  <c r="E501" i="6"/>
  <c r="E498" i="6"/>
  <c r="E497" i="6"/>
  <c r="E496" i="6"/>
  <c r="E493" i="6"/>
  <c r="E492" i="6"/>
  <c r="E491" i="6"/>
  <c r="E490" i="6"/>
  <c r="E489" i="6"/>
  <c r="E488" i="6"/>
  <c r="E487" i="6"/>
  <c r="E486" i="6"/>
  <c r="E485" i="6"/>
  <c r="E484" i="6"/>
  <c r="E481" i="6"/>
  <c r="E480" i="6"/>
  <c r="E479" i="6"/>
  <c r="E478" i="6"/>
  <c r="E477" i="6"/>
  <c r="E476" i="6"/>
  <c r="E475" i="6"/>
  <c r="E474" i="6"/>
  <c r="E473" i="6"/>
  <c r="E472" i="6"/>
  <c r="E469" i="6"/>
  <c r="E468" i="6"/>
  <c r="E467" i="6"/>
  <c r="E466" i="6"/>
  <c r="E463" i="6"/>
  <c r="E462" i="6"/>
  <c r="E461" i="6"/>
  <c r="E460" i="6"/>
  <c r="E459" i="6"/>
  <c r="E458" i="6"/>
  <c r="E457" i="6"/>
  <c r="E456" i="6"/>
  <c r="E455" i="6"/>
  <c r="E454" i="6"/>
  <c r="E453" i="6"/>
  <c r="E452" i="6"/>
  <c r="E451" i="6"/>
  <c r="E450" i="6"/>
  <c r="E449" i="6"/>
  <c r="E448" i="6"/>
  <c r="E447" i="6"/>
  <c r="E446" i="6"/>
  <c r="E445" i="6"/>
  <c r="E444" i="6"/>
  <c r="E443" i="6"/>
  <c r="E442" i="6"/>
  <c r="E441" i="6"/>
  <c r="E440"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0" i="6"/>
  <c r="E389" i="6"/>
  <c r="E388" i="6"/>
  <c r="E387" i="6"/>
  <c r="E386" i="6"/>
  <c r="E385" i="6"/>
  <c r="E384" i="6"/>
  <c r="E383" i="6"/>
  <c r="E382" i="6"/>
  <c r="E381" i="6"/>
  <c r="E380" i="6"/>
  <c r="E379" i="6"/>
  <c r="C378" i="6"/>
  <c r="E378" i="6" s="1"/>
  <c r="C375" i="6"/>
  <c r="E375" i="6" s="1"/>
  <c r="C374" i="6"/>
  <c r="E374" i="6" s="1"/>
  <c r="E373" i="6"/>
  <c r="C372" i="6"/>
  <c r="E372" i="6" s="1"/>
  <c r="C371" i="6"/>
  <c r="E371" i="6" s="1"/>
  <c r="C370" i="6"/>
  <c r="E370" i="6" s="1"/>
  <c r="E369" i="6"/>
  <c r="C368" i="6"/>
  <c r="E368" i="6" s="1"/>
  <c r="E358" i="6"/>
  <c r="E357" i="6"/>
  <c r="E356" i="6"/>
  <c r="E353" i="6"/>
  <c r="E352" i="6"/>
  <c r="E351" i="6"/>
  <c r="E350" i="6"/>
  <c r="E349" i="6"/>
  <c r="E348" i="6"/>
  <c r="E347" i="6"/>
  <c r="E346" i="6"/>
  <c r="E345" i="6"/>
  <c r="E344" i="6"/>
  <c r="E343" i="6"/>
  <c r="E342" i="6"/>
  <c r="E341" i="6"/>
  <c r="E338" i="6"/>
  <c r="E337" i="6"/>
  <c r="E336" i="6"/>
  <c r="E335" i="6"/>
  <c r="E332" i="6"/>
  <c r="E331" i="6"/>
  <c r="E330" i="6"/>
  <c r="E329" i="6"/>
  <c r="E328" i="6"/>
  <c r="E327" i="6"/>
  <c r="E326" i="6"/>
  <c r="E323" i="6"/>
  <c r="E322" i="6"/>
  <c r="E321" i="6"/>
  <c r="E320" i="6"/>
  <c r="E319" i="6"/>
  <c r="E318" i="6"/>
  <c r="E317" i="6"/>
  <c r="E316" i="6"/>
  <c r="E315" i="6"/>
  <c r="E314" i="6"/>
  <c r="E313" i="6"/>
  <c r="E310" i="6"/>
  <c r="E309" i="6"/>
  <c r="E308" i="6"/>
  <c r="E307" i="6"/>
  <c r="E306" i="6"/>
  <c r="E305" i="6"/>
  <c r="E304" i="6"/>
  <c r="E303" i="6"/>
  <c r="E302" i="6"/>
  <c r="E301" i="6"/>
  <c r="E300" i="6"/>
  <c r="E299" i="6"/>
  <c r="E298" i="6"/>
  <c r="E297" i="6"/>
  <c r="E296" i="6"/>
  <c r="E295" i="6"/>
  <c r="E294" i="6"/>
  <c r="E293" i="6"/>
  <c r="E292" i="6"/>
  <c r="E289" i="6"/>
  <c r="E288" i="6"/>
  <c r="E287" i="6"/>
  <c r="E286" i="6"/>
  <c r="E285" i="6"/>
  <c r="E284" i="6"/>
  <c r="E283" i="6"/>
  <c r="E282" i="6"/>
  <c r="E279" i="6"/>
  <c r="E278" i="6"/>
  <c r="E277" i="6"/>
  <c r="E276" i="6"/>
  <c r="E275" i="6"/>
  <c r="E274" i="6"/>
  <c r="E273" i="6"/>
  <c r="E272" i="6"/>
  <c r="E271" i="6"/>
  <c r="E270" i="6"/>
  <c r="E269" i="6"/>
  <c r="E268" i="6"/>
  <c r="E267" i="6"/>
  <c r="E266" i="6"/>
  <c r="E265" i="6"/>
  <c r="E264" i="6"/>
  <c r="E263" i="6"/>
  <c r="E262" i="6"/>
  <c r="E261" i="6"/>
  <c r="E260" i="6"/>
  <c r="E259" i="6"/>
  <c r="E258"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3" i="6"/>
  <c r="E122" i="6"/>
  <c r="E121" i="6"/>
  <c r="E120" i="6"/>
  <c r="E119" i="6"/>
  <c r="E118" i="6"/>
  <c r="E117" i="6"/>
  <c r="E116" i="6"/>
  <c r="E115" i="6"/>
  <c r="E114" i="6"/>
  <c r="E113" i="6"/>
  <c r="E112" i="6"/>
  <c r="E111" i="6"/>
  <c r="E110"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C32" i="6"/>
  <c r="E32" i="6" s="1"/>
  <c r="C31" i="6"/>
  <c r="E31" i="6" s="1"/>
  <c r="E30" i="6"/>
  <c r="E29" i="6"/>
  <c r="E28" i="6"/>
  <c r="E27" i="6"/>
  <c r="E26" i="6"/>
  <c r="E25" i="6"/>
  <c r="E24" i="6"/>
  <c r="E23" i="6"/>
  <c r="E22" i="6"/>
  <c r="E21" i="6"/>
  <c r="E20" i="6"/>
  <c r="E19" i="6"/>
  <c r="E18" i="6"/>
  <c r="E17" i="6"/>
  <c r="E16" i="6"/>
  <c r="E15" i="6"/>
  <c r="C14" i="6"/>
  <c r="E14" i="6" s="1"/>
  <c r="E13" i="6"/>
  <c r="E12" i="6"/>
  <c r="E11" i="6"/>
  <c r="C10" i="6"/>
  <c r="E10" i="6" s="1"/>
  <c r="E9" i="6"/>
  <c r="E8" i="6"/>
  <c r="E7" i="6"/>
  <c r="K601" i="6" l="1"/>
  <c r="L601" i="6" s="1"/>
  <c r="K553" i="6"/>
  <c r="L553" i="6" s="1"/>
  <c r="K585" i="6"/>
  <c r="L585" i="6" s="1"/>
  <c r="K633" i="6"/>
  <c r="L633" i="6" s="1"/>
  <c r="K538" i="6"/>
  <c r="L538" i="6" s="1"/>
  <c r="K546" i="6"/>
  <c r="L546" i="6" s="1"/>
  <c r="K554" i="6"/>
  <c r="L554" i="6" s="1"/>
  <c r="K562" i="6"/>
  <c r="L562" i="6" s="1"/>
  <c r="K586" i="6"/>
  <c r="L586" i="6" s="1"/>
  <c r="K594" i="6"/>
  <c r="L594" i="6" s="1"/>
  <c r="K618" i="6"/>
  <c r="L618" i="6" s="1"/>
  <c r="K626" i="6"/>
  <c r="L626" i="6" s="1"/>
  <c r="K634" i="6"/>
  <c r="L634" i="6" s="1"/>
  <c r="K545" i="6"/>
  <c r="L545" i="6" s="1"/>
  <c r="K593" i="6"/>
  <c r="L593" i="6" s="1"/>
  <c r="K561" i="6"/>
  <c r="L561" i="6" s="1"/>
  <c r="K625" i="6"/>
  <c r="L625" i="6" s="1"/>
  <c r="K617" i="6"/>
  <c r="L617" i="6" s="1"/>
  <c r="K537" i="6"/>
  <c r="L537" i="6" s="1"/>
  <c r="K466" i="6"/>
  <c r="L466" i="6" s="1"/>
  <c r="K570" i="6"/>
  <c r="L570" i="6" s="1"/>
  <c r="K578" i="6"/>
  <c r="L578" i="6" s="1"/>
  <c r="K595" i="6"/>
  <c r="L595" i="6" s="1"/>
  <c r="K611" i="6"/>
  <c r="L611" i="6" s="1"/>
  <c r="K193" i="6"/>
  <c r="L193" i="6" s="1"/>
  <c r="K201" i="6"/>
  <c r="L201" i="6" s="1"/>
  <c r="K249" i="6"/>
  <c r="L249" i="6" s="1"/>
  <c r="K556" i="6"/>
  <c r="L556" i="6" s="1"/>
  <c r="K596" i="6"/>
  <c r="L596" i="6" s="1"/>
  <c r="K571" i="6"/>
  <c r="L571" i="6" s="1"/>
  <c r="K118" i="6"/>
  <c r="L118" i="6" s="1"/>
  <c r="K250" i="6"/>
  <c r="L250" i="6" s="1"/>
  <c r="K414" i="6"/>
  <c r="L414" i="6" s="1"/>
  <c r="K284" i="6"/>
  <c r="L284" i="6" s="1"/>
  <c r="K11" i="6"/>
  <c r="L11" i="6" s="1"/>
  <c r="K19" i="6"/>
  <c r="L19" i="6" s="1"/>
  <c r="K219" i="6"/>
  <c r="L219" i="6" s="1"/>
  <c r="K261" i="6"/>
  <c r="L261" i="6" s="1"/>
  <c r="K431" i="6"/>
  <c r="L431" i="6" s="1"/>
  <c r="K467" i="6"/>
  <c r="L467" i="6" s="1"/>
  <c r="K102" i="6"/>
  <c r="L102" i="6" s="1"/>
  <c r="K130" i="6"/>
  <c r="L130" i="6" s="1"/>
  <c r="K138" i="6"/>
  <c r="L138" i="6" s="1"/>
  <c r="K542" i="6"/>
  <c r="L542" i="6" s="1"/>
  <c r="K582" i="6"/>
  <c r="L582" i="6" s="1"/>
  <c r="K590" i="6"/>
  <c r="L590" i="6" s="1"/>
  <c r="K630" i="6"/>
  <c r="L630" i="6" s="1"/>
  <c r="K155" i="6"/>
  <c r="L155" i="6" s="1"/>
  <c r="K163" i="6"/>
  <c r="L163" i="6" s="1"/>
  <c r="K433" i="6"/>
  <c r="L433" i="6" s="1"/>
  <c r="K451" i="6"/>
  <c r="L451" i="6" s="1"/>
  <c r="K180" i="6"/>
  <c r="L180" i="6" s="1"/>
  <c r="K318" i="6"/>
  <c r="L318" i="6" s="1"/>
  <c r="K141" i="6"/>
  <c r="L141" i="6" s="1"/>
  <c r="K231" i="6"/>
  <c r="L231" i="6" s="1"/>
  <c r="K239" i="6"/>
  <c r="L239" i="6" s="1"/>
  <c r="K481" i="6"/>
  <c r="L481" i="6" s="1"/>
  <c r="K491" i="6"/>
  <c r="L491" i="6" s="1"/>
  <c r="K609" i="6"/>
  <c r="L609" i="6" s="1"/>
  <c r="K629" i="6"/>
  <c r="L629" i="6" s="1"/>
  <c r="K620" i="6"/>
  <c r="L620" i="6" s="1"/>
  <c r="K621" i="6"/>
  <c r="L621" i="6" s="1"/>
  <c r="K622" i="6"/>
  <c r="L622" i="6" s="1"/>
  <c r="K619" i="6"/>
  <c r="L619" i="6" s="1"/>
  <c r="K610" i="6"/>
  <c r="L610" i="6" s="1"/>
  <c r="K603" i="6"/>
  <c r="L603" i="6" s="1"/>
  <c r="K602" i="6"/>
  <c r="L602" i="6" s="1"/>
  <c r="K597" i="6"/>
  <c r="L597" i="6" s="1"/>
  <c r="K577" i="6"/>
  <c r="L577" i="6" s="1"/>
  <c r="K583" i="6"/>
  <c r="L583" i="6" s="1"/>
  <c r="K584" i="6"/>
  <c r="L584" i="6" s="1"/>
  <c r="K569" i="6"/>
  <c r="L569" i="6" s="1"/>
  <c r="K555" i="6"/>
  <c r="L555" i="6" s="1"/>
  <c r="K550" i="6"/>
  <c r="L550" i="6" s="1"/>
  <c r="K551" i="6"/>
  <c r="L551" i="6" s="1"/>
  <c r="K552" i="6"/>
  <c r="L552" i="6" s="1"/>
  <c r="K557" i="6"/>
  <c r="L557" i="6" s="1"/>
  <c r="K541" i="6"/>
  <c r="L541" i="6" s="1"/>
  <c r="K526" i="6"/>
  <c r="L526" i="6" s="1"/>
  <c r="K527" i="6"/>
  <c r="L527" i="6" s="1"/>
  <c r="K512" i="6"/>
  <c r="L512" i="6" s="1"/>
  <c r="K504" i="6"/>
  <c r="L504" i="6" s="1"/>
  <c r="K488" i="6"/>
  <c r="L488" i="6" s="1"/>
  <c r="K475" i="6"/>
  <c r="L475" i="6" s="1"/>
  <c r="K476" i="6"/>
  <c r="L476" i="6" s="1"/>
  <c r="K474" i="6"/>
  <c r="L474" i="6" s="1"/>
  <c r="K440" i="6"/>
  <c r="L440" i="6" s="1"/>
  <c r="K456" i="6"/>
  <c r="L456" i="6" s="1"/>
  <c r="K442" i="6"/>
  <c r="L442" i="6" s="1"/>
  <c r="K458" i="6"/>
  <c r="L458" i="6" s="1"/>
  <c r="K432" i="6"/>
  <c r="L432" i="6" s="1"/>
  <c r="K421" i="6"/>
  <c r="L421" i="6" s="1"/>
  <c r="K422" i="6"/>
  <c r="L422" i="6" s="1"/>
  <c r="K412" i="6"/>
  <c r="L412" i="6" s="1"/>
  <c r="K413" i="6"/>
  <c r="L413" i="6" s="1"/>
  <c r="K403" i="6"/>
  <c r="L403" i="6" s="1"/>
  <c r="K384" i="6"/>
  <c r="L384" i="6" s="1"/>
  <c r="K383" i="6"/>
  <c r="L383" i="6" s="1"/>
  <c r="K385" i="6"/>
  <c r="L385" i="6" s="1"/>
  <c r="K386" i="6"/>
  <c r="L386" i="6" s="1"/>
  <c r="K370" i="6"/>
  <c r="L370" i="6" s="1"/>
  <c r="K371" i="6"/>
  <c r="L371" i="6" s="1"/>
  <c r="K346" i="6"/>
  <c r="L346" i="6" s="1"/>
  <c r="K347" i="6"/>
  <c r="L347" i="6" s="1"/>
  <c r="K316" i="6"/>
  <c r="L316" i="6" s="1"/>
  <c r="K317" i="6"/>
  <c r="L317" i="6" s="1"/>
  <c r="K303" i="6"/>
  <c r="L303" i="6" s="1"/>
  <c r="K307" i="6"/>
  <c r="L307" i="6" s="1"/>
  <c r="K282" i="6"/>
  <c r="L282" i="6" s="1"/>
  <c r="K283" i="6"/>
  <c r="L283" i="6" s="1"/>
  <c r="K272" i="6"/>
  <c r="L272" i="6" s="1"/>
  <c r="K262" i="6"/>
  <c r="L262" i="6" s="1"/>
  <c r="K251" i="6"/>
  <c r="L251" i="6" s="1"/>
  <c r="K232" i="6"/>
  <c r="L232" i="6" s="1"/>
  <c r="K211" i="6"/>
  <c r="L211" i="6" s="1"/>
  <c r="K181" i="6"/>
  <c r="L181" i="6" s="1"/>
  <c r="K179" i="6"/>
  <c r="L179" i="6" s="1"/>
  <c r="K171" i="6"/>
  <c r="L171" i="6" s="1"/>
  <c r="K154" i="6"/>
  <c r="L154" i="6" s="1"/>
  <c r="K162" i="6"/>
  <c r="L162" i="6" s="1"/>
  <c r="K146" i="6"/>
  <c r="L146" i="6" s="1"/>
  <c r="K139" i="6"/>
  <c r="L139" i="6" s="1"/>
  <c r="K140" i="6"/>
  <c r="L140" i="6" s="1"/>
  <c r="K131" i="6"/>
  <c r="L131" i="6" s="1"/>
  <c r="K132" i="6"/>
  <c r="L132" i="6" s="1"/>
  <c r="K116" i="6"/>
  <c r="L116" i="6" s="1"/>
  <c r="K117" i="6"/>
  <c r="L117" i="6" s="1"/>
  <c r="K100" i="6"/>
  <c r="L100" i="6" s="1"/>
  <c r="K101" i="6"/>
  <c r="L101" i="6" s="1"/>
  <c r="K84" i="6"/>
  <c r="L84" i="6" s="1"/>
  <c r="K89" i="6"/>
  <c r="L89" i="6" s="1"/>
  <c r="K73" i="6"/>
  <c r="L73" i="6" s="1"/>
  <c r="K92" i="6"/>
  <c r="L92" i="6" s="1"/>
  <c r="K63" i="6"/>
  <c r="L63" i="6" s="1"/>
  <c r="K62" i="6"/>
  <c r="L62" i="6" s="1"/>
  <c r="K36" i="6"/>
  <c r="L36" i="6" s="1"/>
  <c r="K44" i="6"/>
  <c r="L44" i="6" s="1"/>
  <c r="K52" i="6"/>
  <c r="L52" i="6" s="1"/>
  <c r="K10" i="6"/>
  <c r="L10" i="6" s="1"/>
  <c r="K18" i="6"/>
  <c r="L18" i="6" s="1"/>
  <c r="K26" i="6"/>
  <c r="L26" i="6" s="1"/>
  <c r="I114" i="4"/>
  <c r="I111" i="4"/>
  <c r="K111" i="4" s="1"/>
  <c r="I110" i="4"/>
  <c r="K110" i="4" s="1"/>
  <c r="I109" i="4"/>
  <c r="K109" i="4" s="1"/>
  <c r="I108" i="4"/>
  <c r="K108" i="4" s="1"/>
  <c r="I107" i="4"/>
  <c r="K107" i="4" s="1"/>
  <c r="I106" i="4"/>
  <c r="K106" i="4" s="1"/>
  <c r="I105" i="4"/>
  <c r="K105" i="4" s="1"/>
  <c r="I104" i="4"/>
  <c r="K104" i="4" s="1"/>
  <c r="I103" i="4"/>
  <c r="K103" i="4" s="1"/>
  <c r="I102" i="4"/>
  <c r="K102" i="4" s="1"/>
  <c r="I101" i="4"/>
  <c r="I100" i="4"/>
  <c r="I99" i="4"/>
  <c r="K99" i="4" s="1"/>
  <c r="H99" i="4"/>
  <c r="I98" i="4"/>
  <c r="K98" i="4" s="1"/>
  <c r="I97" i="4"/>
  <c r="K97" i="4" s="1"/>
  <c r="I96" i="4"/>
  <c r="K96" i="4" s="1"/>
  <c r="I95" i="4"/>
  <c r="K95" i="4" s="1"/>
  <c r="I94" i="4"/>
  <c r="K94" i="4" s="1"/>
  <c r="I93" i="4"/>
  <c r="K93" i="4" s="1"/>
  <c r="I92" i="4"/>
  <c r="K92" i="4" s="1"/>
  <c r="H92" i="4"/>
  <c r="I91" i="4"/>
  <c r="K91" i="4" s="1"/>
  <c r="I90" i="4"/>
  <c r="K90" i="4" s="1"/>
  <c r="I89" i="4"/>
  <c r="K89" i="4" s="1"/>
  <c r="I88" i="4"/>
  <c r="K88" i="4" s="1"/>
  <c r="I87" i="4"/>
  <c r="K87" i="4" s="1"/>
  <c r="I86" i="4"/>
  <c r="K86" i="4" s="1"/>
  <c r="I85" i="4"/>
  <c r="K85" i="4" s="1"/>
  <c r="I84" i="4"/>
  <c r="K84" i="4" s="1"/>
  <c r="I83" i="4"/>
  <c r="K83" i="4" s="1"/>
  <c r="H83" i="4"/>
  <c r="I80" i="4"/>
  <c r="K80" i="4" s="1"/>
  <c r="I79" i="4"/>
  <c r="K79" i="4" s="1"/>
  <c r="I76" i="4"/>
  <c r="K76" i="4" s="1"/>
  <c r="I75" i="4"/>
  <c r="K75" i="4" s="1"/>
  <c r="I74" i="4"/>
  <c r="K74" i="4" s="1"/>
  <c r="I71" i="4"/>
  <c r="K71" i="4" s="1"/>
  <c r="I70" i="4"/>
  <c r="K70" i="4" s="1"/>
  <c r="H70" i="4"/>
  <c r="I69" i="4"/>
  <c r="K69" i="4" s="1"/>
  <c r="I68" i="4"/>
  <c r="K68" i="4" s="1"/>
  <c r="I67" i="4"/>
  <c r="I66" i="4"/>
  <c r="K66" i="4" s="1"/>
  <c r="I65" i="4"/>
  <c r="K65" i="4" s="1"/>
  <c r="I64" i="4"/>
  <c r="K64" i="4" s="1"/>
  <c r="I63" i="4"/>
  <c r="K63" i="4" s="1"/>
  <c r="I62" i="4"/>
  <c r="K62" i="4" s="1"/>
  <c r="I61" i="4"/>
  <c r="K61" i="4" s="1"/>
  <c r="L61" i="4" s="1"/>
  <c r="I60" i="4"/>
  <c r="I59" i="4"/>
  <c r="K59" i="4" s="1"/>
  <c r="I58" i="4"/>
  <c r="K58" i="4" s="1"/>
  <c r="I57" i="4"/>
  <c r="K57" i="4" s="1"/>
  <c r="I56" i="4"/>
  <c r="K56" i="4" s="1"/>
  <c r="I55" i="4"/>
  <c r="K55" i="4" s="1"/>
  <c r="I54" i="4"/>
  <c r="K54" i="4" s="1"/>
  <c r="I53" i="4"/>
  <c r="I52" i="4"/>
  <c r="K52" i="4" s="1"/>
  <c r="I51" i="4"/>
  <c r="K51" i="4" s="1"/>
  <c r="I50" i="4"/>
  <c r="K50" i="4" s="1"/>
  <c r="I49" i="4"/>
  <c r="K49" i="4" s="1"/>
  <c r="I48" i="4"/>
  <c r="K48" i="4" s="1"/>
  <c r="I47" i="4"/>
  <c r="I46" i="4"/>
  <c r="H46" i="4"/>
  <c r="I45" i="4"/>
  <c r="I44" i="4"/>
  <c r="K44" i="4" s="1"/>
  <c r="I43" i="4"/>
  <c r="K43" i="4" s="1"/>
  <c r="I42" i="4"/>
  <c r="K42" i="4" s="1"/>
  <c r="I41" i="4"/>
  <c r="K41" i="4" s="1"/>
  <c r="I40" i="4"/>
  <c r="K40" i="4" s="1"/>
  <c r="I39" i="4"/>
  <c r="K39" i="4" s="1"/>
  <c r="I38" i="4"/>
  <c r="H38" i="4"/>
  <c r="I37" i="4"/>
  <c r="I36" i="4"/>
  <c r="K36" i="4" s="1"/>
  <c r="I35" i="4"/>
  <c r="K35" i="4" s="1"/>
  <c r="I34" i="4"/>
  <c r="K34" i="4" s="1"/>
  <c r="H34" i="4"/>
  <c r="I33" i="4"/>
  <c r="K33" i="4" s="1"/>
  <c r="I32" i="4"/>
  <c r="K32" i="4" s="1"/>
  <c r="I31" i="4"/>
  <c r="I30" i="4"/>
  <c r="K30" i="4" s="1"/>
  <c r="I29" i="4"/>
  <c r="I28" i="4"/>
  <c r="K28" i="4" s="1"/>
  <c r="I27" i="4"/>
  <c r="I26" i="4"/>
  <c r="K26" i="4" s="1"/>
  <c r="H26" i="4"/>
  <c r="I25" i="4"/>
  <c r="K25" i="4" s="1"/>
  <c r="I24" i="4"/>
  <c r="I23" i="4"/>
  <c r="K23" i="4" s="1"/>
  <c r="I22" i="4"/>
  <c r="K22" i="4" s="1"/>
  <c r="I21" i="4"/>
  <c r="I20" i="4"/>
  <c r="K20" i="4" s="1"/>
  <c r="I19" i="4"/>
  <c r="I18" i="4"/>
  <c r="K18" i="4" s="1"/>
  <c r="I17" i="4"/>
  <c r="K17" i="4" s="1"/>
  <c r="I16" i="4"/>
  <c r="K16" i="4" s="1"/>
  <c r="I15" i="4"/>
  <c r="K15" i="4" s="1"/>
  <c r="I14" i="4"/>
  <c r="K14" i="4" s="1"/>
  <c r="H14" i="4"/>
  <c r="I13" i="4"/>
  <c r="K13" i="4" s="1"/>
  <c r="I12" i="4"/>
  <c r="K12" i="4" s="1"/>
  <c r="I11" i="4"/>
  <c r="K11" i="4" s="1"/>
  <c r="I10" i="4"/>
  <c r="I9" i="4"/>
  <c r="I7" i="4"/>
  <c r="K7" i="4" s="1"/>
  <c r="I8" i="4"/>
  <c r="K8" i="4" s="1"/>
  <c r="E114" i="4"/>
  <c r="H114" i="4" s="1"/>
  <c r="E111" i="4"/>
  <c r="H111" i="4" s="1"/>
  <c r="E110" i="4"/>
  <c r="H110" i="4" s="1"/>
  <c r="E109" i="4"/>
  <c r="H109" i="4" s="1"/>
  <c r="E108" i="4"/>
  <c r="H108" i="4" s="1"/>
  <c r="E107" i="4"/>
  <c r="H107" i="4" s="1"/>
  <c r="E106" i="4"/>
  <c r="H106" i="4" s="1"/>
  <c r="E105" i="4"/>
  <c r="H105" i="4" s="1"/>
  <c r="E104" i="4"/>
  <c r="H104" i="4" s="1"/>
  <c r="E103" i="4"/>
  <c r="H103" i="4" s="1"/>
  <c r="E102" i="4"/>
  <c r="H102" i="4" s="1"/>
  <c r="E101" i="4"/>
  <c r="H101" i="4" s="1"/>
  <c r="E100" i="4"/>
  <c r="H100" i="4" s="1"/>
  <c r="E99" i="4"/>
  <c r="E98" i="4"/>
  <c r="H98" i="4" s="1"/>
  <c r="E97" i="4"/>
  <c r="H97" i="4" s="1"/>
  <c r="E96" i="4"/>
  <c r="H96" i="4" s="1"/>
  <c r="E95" i="4"/>
  <c r="H95" i="4" s="1"/>
  <c r="E94" i="4"/>
  <c r="H94" i="4" s="1"/>
  <c r="E93" i="4"/>
  <c r="H93" i="4" s="1"/>
  <c r="E92" i="4"/>
  <c r="E91" i="4"/>
  <c r="H91" i="4" s="1"/>
  <c r="E90" i="4"/>
  <c r="H90" i="4" s="1"/>
  <c r="E89" i="4"/>
  <c r="H89" i="4" s="1"/>
  <c r="E88" i="4"/>
  <c r="H88" i="4" s="1"/>
  <c r="E87" i="4"/>
  <c r="H87" i="4" s="1"/>
  <c r="E86" i="4"/>
  <c r="H86" i="4" s="1"/>
  <c r="E85" i="4"/>
  <c r="H85" i="4" s="1"/>
  <c r="E84" i="4"/>
  <c r="H84" i="4" s="1"/>
  <c r="E83" i="4"/>
  <c r="E80" i="4"/>
  <c r="H80" i="4" s="1"/>
  <c r="E79" i="4"/>
  <c r="H79" i="4" s="1"/>
  <c r="E76" i="4"/>
  <c r="H76" i="4" s="1"/>
  <c r="E75" i="4"/>
  <c r="H75" i="4" s="1"/>
  <c r="E74" i="4"/>
  <c r="H74" i="4" s="1"/>
  <c r="E71" i="4"/>
  <c r="H71" i="4" s="1"/>
  <c r="E70" i="4"/>
  <c r="E69" i="4"/>
  <c r="H69" i="4" s="1"/>
  <c r="E68" i="4"/>
  <c r="H68" i="4" s="1"/>
  <c r="E67" i="4"/>
  <c r="H67" i="4" s="1"/>
  <c r="E66" i="4"/>
  <c r="H66" i="4" s="1"/>
  <c r="E65" i="4"/>
  <c r="H65" i="4" s="1"/>
  <c r="E64" i="4"/>
  <c r="H64" i="4" s="1"/>
  <c r="E63" i="4"/>
  <c r="H63" i="4" s="1"/>
  <c r="E62" i="4"/>
  <c r="H62" i="4" s="1"/>
  <c r="E61" i="4"/>
  <c r="H61" i="4" s="1"/>
  <c r="E60" i="4"/>
  <c r="H60" i="4" s="1"/>
  <c r="E59" i="4"/>
  <c r="H59" i="4" s="1"/>
  <c r="E58" i="4"/>
  <c r="H58" i="4" s="1"/>
  <c r="E57" i="4"/>
  <c r="H57" i="4" s="1"/>
  <c r="E56" i="4"/>
  <c r="H56" i="4" s="1"/>
  <c r="E55" i="4"/>
  <c r="H55" i="4" s="1"/>
  <c r="E54" i="4"/>
  <c r="H54" i="4" s="1"/>
  <c r="E53" i="4"/>
  <c r="H53" i="4" s="1"/>
  <c r="E52" i="4"/>
  <c r="H52" i="4" s="1"/>
  <c r="E51" i="4"/>
  <c r="H51" i="4" s="1"/>
  <c r="E50" i="4"/>
  <c r="H50" i="4" s="1"/>
  <c r="E49" i="4"/>
  <c r="H49" i="4" s="1"/>
  <c r="E48" i="4"/>
  <c r="H48" i="4" s="1"/>
  <c r="E47" i="4"/>
  <c r="H47" i="4" s="1"/>
  <c r="E46" i="4"/>
  <c r="E45" i="4"/>
  <c r="H45" i="4" s="1"/>
  <c r="E44" i="4"/>
  <c r="H44" i="4" s="1"/>
  <c r="E43" i="4"/>
  <c r="H43" i="4" s="1"/>
  <c r="E42" i="4"/>
  <c r="H42" i="4" s="1"/>
  <c r="E41" i="4"/>
  <c r="H41" i="4" s="1"/>
  <c r="E40" i="4"/>
  <c r="H40" i="4" s="1"/>
  <c r="E39" i="4"/>
  <c r="H39" i="4" s="1"/>
  <c r="E38" i="4"/>
  <c r="E37" i="4"/>
  <c r="H37" i="4" s="1"/>
  <c r="E36" i="4"/>
  <c r="H36" i="4" s="1"/>
  <c r="E35" i="4"/>
  <c r="H35" i="4" s="1"/>
  <c r="E34" i="4"/>
  <c r="E33" i="4"/>
  <c r="H33" i="4" s="1"/>
  <c r="E32" i="4"/>
  <c r="H32" i="4" s="1"/>
  <c r="E31" i="4"/>
  <c r="H31" i="4" s="1"/>
  <c r="E30" i="4"/>
  <c r="H30" i="4" s="1"/>
  <c r="E29" i="4"/>
  <c r="H29" i="4" s="1"/>
  <c r="E28" i="4"/>
  <c r="H28" i="4" s="1"/>
  <c r="E27" i="4"/>
  <c r="H27" i="4" s="1"/>
  <c r="E26" i="4"/>
  <c r="E25" i="4"/>
  <c r="H25" i="4" s="1"/>
  <c r="E24" i="4"/>
  <c r="H24" i="4" s="1"/>
  <c r="E23" i="4"/>
  <c r="H23" i="4" s="1"/>
  <c r="E22" i="4"/>
  <c r="H22" i="4" s="1"/>
  <c r="E21" i="4"/>
  <c r="H21" i="4" s="1"/>
  <c r="E20" i="4"/>
  <c r="H20" i="4" s="1"/>
  <c r="E19" i="4"/>
  <c r="H19" i="4" s="1"/>
  <c r="E18" i="4"/>
  <c r="H18" i="4" s="1"/>
  <c r="E17" i="4"/>
  <c r="H17" i="4" s="1"/>
  <c r="E16" i="4"/>
  <c r="H16" i="4" s="1"/>
  <c r="E15" i="4"/>
  <c r="H15" i="4" s="1"/>
  <c r="E14" i="4"/>
  <c r="E13" i="4"/>
  <c r="H13" i="4" s="1"/>
  <c r="E12" i="4"/>
  <c r="H12" i="4" s="1"/>
  <c r="E11" i="4"/>
  <c r="H11" i="4" s="1"/>
  <c r="E10" i="4"/>
  <c r="H10" i="4" s="1"/>
  <c r="E9" i="4"/>
  <c r="H9" i="4" s="1"/>
  <c r="E8" i="4"/>
  <c r="H8" i="4" s="1"/>
  <c r="E7" i="4"/>
  <c r="H7" i="4" s="1"/>
  <c r="L59" i="4" l="1"/>
  <c r="K648" i="6"/>
  <c r="K649" i="6" s="1"/>
  <c r="K650" i="6" s="1"/>
  <c r="K651" i="6" s="1"/>
  <c r="L63" i="4"/>
  <c r="L65" i="4"/>
  <c r="L103" i="4"/>
  <c r="L102" i="4"/>
  <c r="L26" i="4"/>
  <c r="L42" i="4"/>
  <c r="L99" i="4"/>
  <c r="L35" i="4"/>
  <c r="L111" i="4"/>
  <c r="L68" i="4"/>
  <c r="L86" i="4"/>
  <c r="L94" i="4"/>
  <c r="L22" i="4"/>
  <c r="L106" i="4"/>
  <c r="L69" i="4"/>
  <c r="L83" i="4"/>
  <c r="L91" i="4"/>
  <c r="L15" i="4"/>
  <c r="L51" i="4"/>
  <c r="L66" i="4"/>
  <c r="L70" i="4"/>
  <c r="L76" i="4"/>
  <c r="L84" i="4"/>
  <c r="L88" i="4"/>
  <c r="L92" i="4"/>
  <c r="L96" i="4"/>
  <c r="L57" i="4"/>
  <c r="L80" i="4"/>
  <c r="L90" i="4"/>
  <c r="L14" i="4"/>
  <c r="L30" i="4"/>
  <c r="L50" i="4"/>
  <c r="L110" i="4"/>
  <c r="L58" i="4"/>
  <c r="L75" i="4"/>
  <c r="L87" i="4"/>
  <c r="L95" i="4"/>
  <c r="L23" i="4"/>
  <c r="L39" i="4"/>
  <c r="L62" i="4"/>
  <c r="L107" i="4"/>
  <c r="L7" i="4"/>
  <c r="L12" i="4"/>
  <c r="L16" i="4"/>
  <c r="L20" i="4"/>
  <c r="L28" i="4"/>
  <c r="L32" i="4"/>
  <c r="L36" i="4"/>
  <c r="L40" i="4"/>
  <c r="L44" i="4"/>
  <c r="L48" i="4"/>
  <c r="L52" i="4"/>
  <c r="L56" i="4"/>
  <c r="L104" i="4"/>
  <c r="L108" i="4"/>
  <c r="L74" i="4"/>
  <c r="L98" i="4"/>
  <c r="L18" i="4"/>
  <c r="L34" i="4"/>
  <c r="L54" i="4"/>
  <c r="L11" i="4"/>
  <c r="L43" i="4"/>
  <c r="L55" i="4"/>
  <c r="L71" i="4"/>
  <c r="L79" i="4"/>
  <c r="L85" i="4"/>
  <c r="L89" i="4"/>
  <c r="L93" i="4"/>
  <c r="L97" i="4"/>
  <c r="L13" i="4"/>
  <c r="L17" i="4"/>
  <c r="L25" i="4"/>
  <c r="L33" i="4"/>
  <c r="L41" i="4"/>
  <c r="L49" i="4"/>
  <c r="L64" i="4"/>
  <c r="L105" i="4"/>
  <c r="L109" i="4"/>
  <c r="K101" i="4"/>
  <c r="L101" i="4" s="1"/>
  <c r="K100" i="4"/>
  <c r="L100" i="4" s="1"/>
  <c r="K9" i="4"/>
  <c r="L9" i="4" s="1"/>
  <c r="K10" i="4"/>
  <c r="L10" i="4" s="1"/>
  <c r="K24" i="4"/>
  <c r="L24" i="4" s="1"/>
  <c r="K67" i="4"/>
  <c r="L67" i="4" s="1"/>
  <c r="K53" i="4"/>
  <c r="L53" i="4" s="1"/>
  <c r="K60" i="4"/>
  <c r="L60" i="4" s="1"/>
  <c r="K45" i="4"/>
  <c r="L45" i="4" s="1"/>
  <c r="K38" i="4"/>
  <c r="L38" i="4" s="1"/>
  <c r="K46" i="4"/>
  <c r="L46" i="4" s="1"/>
  <c r="K37" i="4"/>
  <c r="L37" i="4" s="1"/>
  <c r="K47" i="4"/>
  <c r="L47" i="4" s="1"/>
  <c r="K29" i="4"/>
  <c r="L29" i="4" s="1"/>
  <c r="K21" i="4"/>
  <c r="L21" i="4" s="1"/>
  <c r="K19" i="4"/>
  <c r="L19" i="4" s="1"/>
  <c r="K27" i="4"/>
  <c r="L27" i="4" s="1"/>
  <c r="K31" i="4"/>
  <c r="L31" i="4" s="1"/>
  <c r="K114" i="4"/>
  <c r="L114" i="4" s="1"/>
  <c r="K116" i="4"/>
  <c r="L8" i="4"/>
  <c r="I49" i="3"/>
  <c r="K49" i="3" s="1"/>
  <c r="I48" i="3"/>
  <c r="K48" i="3" s="1"/>
  <c r="I47" i="3"/>
  <c r="K47" i="3" s="1"/>
  <c r="H47" i="3"/>
  <c r="I46" i="3"/>
  <c r="K46" i="3" s="1"/>
  <c r="I45" i="3"/>
  <c r="K45" i="3" s="1"/>
  <c r="I44" i="3"/>
  <c r="K44" i="3" s="1"/>
  <c r="I43" i="3"/>
  <c r="K43" i="3" s="1"/>
  <c r="H43" i="3"/>
  <c r="I42" i="3"/>
  <c r="K42" i="3" s="1"/>
  <c r="I41" i="3"/>
  <c r="K41" i="3" s="1"/>
  <c r="I38" i="3"/>
  <c r="K38" i="3" s="1"/>
  <c r="I35" i="3"/>
  <c r="K35" i="3" s="1"/>
  <c r="H35" i="3"/>
  <c r="I34" i="3"/>
  <c r="K34" i="3" s="1"/>
  <c r="I33" i="3"/>
  <c r="K33" i="3" s="1"/>
  <c r="K14" i="3"/>
  <c r="I30" i="3"/>
  <c r="K30" i="3" s="1"/>
  <c r="I29" i="3"/>
  <c r="K29" i="3" s="1"/>
  <c r="H29" i="3"/>
  <c r="K28" i="3"/>
  <c r="I28" i="3"/>
  <c r="I27" i="3"/>
  <c r="K27" i="3" s="1"/>
  <c r="I26" i="3"/>
  <c r="K26" i="3" s="1"/>
  <c r="L26" i="3" s="1"/>
  <c r="H26" i="3"/>
  <c r="I25" i="3"/>
  <c r="K25" i="3" s="1"/>
  <c r="I24" i="3"/>
  <c r="K24" i="3" s="1"/>
  <c r="L24" i="3" s="1"/>
  <c r="H24" i="3"/>
  <c r="I23" i="3"/>
  <c r="K23" i="3" s="1"/>
  <c r="I22" i="3"/>
  <c r="K22" i="3" s="1"/>
  <c r="I21" i="3"/>
  <c r="K21" i="3" s="1"/>
  <c r="H21" i="3"/>
  <c r="K20" i="3"/>
  <c r="I20" i="3"/>
  <c r="I19" i="3"/>
  <c r="K19" i="3" s="1"/>
  <c r="I18" i="3"/>
  <c r="K18" i="3" s="1"/>
  <c r="L18" i="3" s="1"/>
  <c r="H18" i="3"/>
  <c r="I17" i="3"/>
  <c r="K17" i="3" s="1"/>
  <c r="I16" i="3"/>
  <c r="K16" i="3" s="1"/>
  <c r="L16" i="3" s="1"/>
  <c r="H16" i="3"/>
  <c r="I15" i="3"/>
  <c r="I14" i="3"/>
  <c r="H14" i="3"/>
  <c r="I13" i="3"/>
  <c r="K13" i="3" s="1"/>
  <c r="I12" i="3"/>
  <c r="K12" i="3" s="1"/>
  <c r="L12" i="3" s="1"/>
  <c r="H12" i="3"/>
  <c r="I11" i="3"/>
  <c r="K11" i="3" s="1"/>
  <c r="I10" i="3"/>
  <c r="K10" i="3" s="1"/>
  <c r="I9" i="3"/>
  <c r="H9" i="3"/>
  <c r="I7" i="3"/>
  <c r="I8" i="3"/>
  <c r="K8" i="3" s="1"/>
  <c r="E49" i="3"/>
  <c r="H49" i="3" s="1"/>
  <c r="E48" i="3"/>
  <c r="H48" i="3" s="1"/>
  <c r="E47" i="3"/>
  <c r="E46" i="3"/>
  <c r="H46" i="3" s="1"/>
  <c r="E45" i="3"/>
  <c r="H45" i="3" s="1"/>
  <c r="E44" i="3"/>
  <c r="H44" i="3" s="1"/>
  <c r="E43" i="3"/>
  <c r="E42" i="3"/>
  <c r="H42" i="3" s="1"/>
  <c r="E41" i="3"/>
  <c r="H41" i="3" s="1"/>
  <c r="E38" i="3"/>
  <c r="H38" i="3" s="1"/>
  <c r="E35" i="3"/>
  <c r="E34" i="3"/>
  <c r="H34" i="3" s="1"/>
  <c r="E33" i="3"/>
  <c r="H33" i="3" s="1"/>
  <c r="E30" i="3"/>
  <c r="H30" i="3" s="1"/>
  <c r="E29" i="3"/>
  <c r="E28" i="3"/>
  <c r="H28" i="3" s="1"/>
  <c r="E27" i="3"/>
  <c r="H27" i="3" s="1"/>
  <c r="E26" i="3"/>
  <c r="E25" i="3"/>
  <c r="H25" i="3" s="1"/>
  <c r="E24" i="3"/>
  <c r="E23" i="3"/>
  <c r="H23" i="3" s="1"/>
  <c r="E22" i="3"/>
  <c r="H22" i="3" s="1"/>
  <c r="E21" i="3"/>
  <c r="E20" i="3"/>
  <c r="H20" i="3" s="1"/>
  <c r="E19" i="3"/>
  <c r="H19" i="3" s="1"/>
  <c r="E18" i="3"/>
  <c r="E17" i="3"/>
  <c r="H17" i="3" s="1"/>
  <c r="E16" i="3"/>
  <c r="E15" i="3"/>
  <c r="H15" i="3" s="1"/>
  <c r="E14" i="3"/>
  <c r="E13" i="3"/>
  <c r="H13" i="3" s="1"/>
  <c r="E12" i="3"/>
  <c r="E11" i="3"/>
  <c r="H11" i="3" s="1"/>
  <c r="E10" i="3"/>
  <c r="H10" i="3" s="1"/>
  <c r="E9" i="3"/>
  <c r="E8" i="3"/>
  <c r="H8" i="3" s="1"/>
  <c r="E7" i="3"/>
  <c r="H7" i="3" s="1"/>
  <c r="L22" i="3" l="1"/>
  <c r="L30" i="3"/>
  <c r="L8" i="3"/>
  <c r="L10" i="3"/>
  <c r="L20" i="3"/>
  <c r="L34" i="3"/>
  <c r="L21" i="3"/>
  <c r="L35" i="3"/>
  <c r="L43" i="3"/>
  <c r="L47" i="3"/>
  <c r="L49" i="3"/>
  <c r="L17" i="3"/>
  <c r="L25" i="3"/>
  <c r="L28" i="3"/>
  <c r="L14" i="3"/>
  <c r="L42" i="3"/>
  <c r="L44" i="3"/>
  <c r="L46" i="3"/>
  <c r="L48" i="3"/>
  <c r="L19" i="3"/>
  <c r="L27" i="3"/>
  <c r="L29" i="3"/>
  <c r="L33" i="3"/>
  <c r="L41" i="3"/>
  <c r="L45" i="3"/>
  <c r="L11" i="3"/>
  <c r="L13" i="3"/>
  <c r="L23" i="3"/>
  <c r="K117" i="4"/>
  <c r="K118" i="4" s="1"/>
  <c r="K119" i="4" s="1"/>
  <c r="K120" i="4" s="1"/>
  <c r="L38" i="3"/>
  <c r="K7" i="3"/>
  <c r="K9" i="3"/>
  <c r="L9" i="3" s="1"/>
  <c r="K15" i="3"/>
  <c r="L15" i="3" s="1"/>
  <c r="K51" i="3"/>
  <c r="L7" i="3"/>
  <c r="K52" i="3"/>
  <c r="I234" i="2"/>
  <c r="K234" i="2" s="1"/>
  <c r="L234" i="2" s="1"/>
  <c r="E234" i="2"/>
  <c r="H234" i="2" s="1"/>
  <c r="I233" i="2"/>
  <c r="K233" i="2" s="1"/>
  <c r="H233" i="2"/>
  <c r="E233" i="2"/>
  <c r="I232" i="2"/>
  <c r="K232" i="2" s="1"/>
  <c r="E232" i="2"/>
  <c r="H232" i="2" s="1"/>
  <c r="I231" i="2"/>
  <c r="K231" i="2" s="1"/>
  <c r="E231" i="2"/>
  <c r="H231" i="2" s="1"/>
  <c r="I230" i="2"/>
  <c r="K230" i="2" s="1"/>
  <c r="L230" i="2" s="1"/>
  <c r="H230" i="2"/>
  <c r="E230" i="2"/>
  <c r="I229" i="2"/>
  <c r="K229" i="2" s="1"/>
  <c r="E229" i="2"/>
  <c r="H229" i="2" s="1"/>
  <c r="I228" i="2"/>
  <c r="K228" i="2" s="1"/>
  <c r="E228" i="2"/>
  <c r="H228" i="2" s="1"/>
  <c r="I227" i="2"/>
  <c r="K227" i="2" s="1"/>
  <c r="E227" i="2"/>
  <c r="H227" i="2" s="1"/>
  <c r="I226" i="2"/>
  <c r="K226" i="2" s="1"/>
  <c r="E226" i="2"/>
  <c r="H226" i="2" s="1"/>
  <c r="I225" i="2"/>
  <c r="K225" i="2" s="1"/>
  <c r="H225" i="2"/>
  <c r="E225" i="2"/>
  <c r="I224" i="2"/>
  <c r="K224" i="2" s="1"/>
  <c r="E224" i="2"/>
  <c r="H224" i="2" s="1"/>
  <c r="I223" i="2"/>
  <c r="K223" i="2" s="1"/>
  <c r="E223" i="2"/>
  <c r="H223" i="2" s="1"/>
  <c r="I222" i="2"/>
  <c r="K222" i="2" s="1"/>
  <c r="H222" i="2"/>
  <c r="E222" i="2"/>
  <c r="I221" i="2"/>
  <c r="K221" i="2" s="1"/>
  <c r="E221" i="2"/>
  <c r="H221" i="2" s="1"/>
  <c r="K220" i="2"/>
  <c r="I220" i="2"/>
  <c r="E220" i="2"/>
  <c r="H220" i="2" s="1"/>
  <c r="I219" i="2"/>
  <c r="K219" i="2" s="1"/>
  <c r="E219" i="2"/>
  <c r="H219" i="2" s="1"/>
  <c r="I218" i="2"/>
  <c r="K218" i="2" s="1"/>
  <c r="E218" i="2"/>
  <c r="H218" i="2" s="1"/>
  <c r="I217" i="2"/>
  <c r="K217" i="2" s="1"/>
  <c r="H217" i="2"/>
  <c r="E217" i="2"/>
  <c r="I216" i="2"/>
  <c r="K216" i="2" s="1"/>
  <c r="E216" i="2"/>
  <c r="H216" i="2" s="1"/>
  <c r="I215" i="2"/>
  <c r="K215" i="2" s="1"/>
  <c r="E215" i="2"/>
  <c r="H215" i="2" s="1"/>
  <c r="I214" i="2"/>
  <c r="K214" i="2" s="1"/>
  <c r="E214" i="2"/>
  <c r="H214" i="2" s="1"/>
  <c r="I213" i="2"/>
  <c r="E213" i="2"/>
  <c r="H213" i="2" s="1"/>
  <c r="I212" i="2"/>
  <c r="E212" i="2"/>
  <c r="H212" i="2" s="1"/>
  <c r="I211" i="2"/>
  <c r="E211" i="2"/>
  <c r="H211" i="2" s="1"/>
  <c r="I197" i="2"/>
  <c r="K197" i="2" s="1"/>
  <c r="E197" i="2"/>
  <c r="H197" i="2" s="1"/>
  <c r="I196" i="2"/>
  <c r="K196" i="2" s="1"/>
  <c r="E196" i="2"/>
  <c r="H196" i="2" s="1"/>
  <c r="I195" i="2"/>
  <c r="K195" i="2" s="1"/>
  <c r="E195" i="2"/>
  <c r="H195" i="2" s="1"/>
  <c r="I194" i="2"/>
  <c r="K194" i="2" s="1"/>
  <c r="E194" i="2"/>
  <c r="H194" i="2" s="1"/>
  <c r="I193" i="2"/>
  <c r="K193" i="2" s="1"/>
  <c r="E193" i="2"/>
  <c r="H193" i="2" s="1"/>
  <c r="I192" i="2"/>
  <c r="K192" i="2" s="1"/>
  <c r="E192" i="2"/>
  <c r="H192" i="2" s="1"/>
  <c r="I191" i="2"/>
  <c r="K191" i="2" s="1"/>
  <c r="E191" i="2"/>
  <c r="H191" i="2" s="1"/>
  <c r="I190" i="2"/>
  <c r="K190" i="2" s="1"/>
  <c r="L190" i="2" s="1"/>
  <c r="E190" i="2"/>
  <c r="H190" i="2" s="1"/>
  <c r="I189" i="2"/>
  <c r="K189" i="2" s="1"/>
  <c r="E189" i="2"/>
  <c r="H189" i="2" s="1"/>
  <c r="I188" i="2"/>
  <c r="K188" i="2" s="1"/>
  <c r="E188" i="2"/>
  <c r="H188" i="2" s="1"/>
  <c r="I187" i="2"/>
  <c r="K187" i="2" s="1"/>
  <c r="E187" i="2"/>
  <c r="H187" i="2" s="1"/>
  <c r="I186" i="2"/>
  <c r="K186" i="2" s="1"/>
  <c r="E186" i="2"/>
  <c r="H186" i="2" s="1"/>
  <c r="I185" i="2"/>
  <c r="K185" i="2" s="1"/>
  <c r="E185" i="2"/>
  <c r="H185" i="2" s="1"/>
  <c r="I184" i="2"/>
  <c r="K184" i="2" s="1"/>
  <c r="E184" i="2"/>
  <c r="H184" i="2" s="1"/>
  <c r="I183" i="2"/>
  <c r="K183" i="2" s="1"/>
  <c r="E183" i="2"/>
  <c r="H183" i="2" s="1"/>
  <c r="I182" i="2"/>
  <c r="K182" i="2" s="1"/>
  <c r="L182" i="2" s="1"/>
  <c r="E182" i="2"/>
  <c r="H182" i="2" s="1"/>
  <c r="I181" i="2"/>
  <c r="K181" i="2" s="1"/>
  <c r="E181" i="2"/>
  <c r="H181" i="2" s="1"/>
  <c r="I180" i="2"/>
  <c r="K180" i="2" s="1"/>
  <c r="E180" i="2"/>
  <c r="H180" i="2" s="1"/>
  <c r="I179" i="2"/>
  <c r="K179" i="2" s="1"/>
  <c r="E179" i="2"/>
  <c r="H179" i="2" s="1"/>
  <c r="I178" i="2"/>
  <c r="K178" i="2" s="1"/>
  <c r="E178" i="2"/>
  <c r="H178" i="2" s="1"/>
  <c r="I177" i="2"/>
  <c r="K177" i="2" s="1"/>
  <c r="H177" i="2"/>
  <c r="E177" i="2"/>
  <c r="I176" i="2"/>
  <c r="K176" i="2" s="1"/>
  <c r="E176" i="2"/>
  <c r="H176" i="2" s="1"/>
  <c r="I175" i="2"/>
  <c r="K175" i="2" s="1"/>
  <c r="E175" i="2"/>
  <c r="H175" i="2" s="1"/>
  <c r="I174" i="2"/>
  <c r="K174" i="2" s="1"/>
  <c r="E174" i="2"/>
  <c r="H174" i="2" s="1"/>
  <c r="I173" i="2"/>
  <c r="K173" i="2" s="1"/>
  <c r="E173" i="2"/>
  <c r="H173" i="2" s="1"/>
  <c r="I172" i="2"/>
  <c r="K172" i="2" s="1"/>
  <c r="E172" i="2"/>
  <c r="H172" i="2" s="1"/>
  <c r="I171" i="2"/>
  <c r="K171" i="2" s="1"/>
  <c r="E171" i="2"/>
  <c r="H171" i="2" s="1"/>
  <c r="I170" i="2"/>
  <c r="K170" i="2" s="1"/>
  <c r="E170" i="2"/>
  <c r="H170" i="2" s="1"/>
  <c r="I169" i="2"/>
  <c r="K169" i="2" s="1"/>
  <c r="E169" i="2"/>
  <c r="H169" i="2" s="1"/>
  <c r="I168" i="2"/>
  <c r="K168" i="2" s="1"/>
  <c r="E168" i="2"/>
  <c r="H168" i="2" s="1"/>
  <c r="I167" i="2"/>
  <c r="K167" i="2" s="1"/>
  <c r="E167" i="2"/>
  <c r="H167" i="2" s="1"/>
  <c r="I166" i="2"/>
  <c r="K166" i="2" s="1"/>
  <c r="E166" i="2"/>
  <c r="H166" i="2" s="1"/>
  <c r="I165" i="2"/>
  <c r="K165" i="2" s="1"/>
  <c r="E165" i="2"/>
  <c r="H165" i="2" s="1"/>
  <c r="I164" i="2"/>
  <c r="K164" i="2" s="1"/>
  <c r="L164" i="2" s="1"/>
  <c r="E164" i="2"/>
  <c r="H164" i="2" s="1"/>
  <c r="I163" i="2"/>
  <c r="K163" i="2" s="1"/>
  <c r="E163" i="2"/>
  <c r="H163" i="2" s="1"/>
  <c r="I108" i="2"/>
  <c r="K108" i="2" s="1"/>
  <c r="E108" i="2"/>
  <c r="H108" i="2" s="1"/>
  <c r="I107" i="2"/>
  <c r="K107" i="2" s="1"/>
  <c r="E107" i="2"/>
  <c r="H107" i="2" s="1"/>
  <c r="I106" i="2"/>
  <c r="K106" i="2" s="1"/>
  <c r="E106" i="2"/>
  <c r="H106" i="2" s="1"/>
  <c r="I105" i="2"/>
  <c r="K105" i="2" s="1"/>
  <c r="E105" i="2"/>
  <c r="H105" i="2" s="1"/>
  <c r="I104" i="2"/>
  <c r="K104" i="2" s="1"/>
  <c r="E104" i="2"/>
  <c r="H104" i="2" s="1"/>
  <c r="I103" i="2"/>
  <c r="K103" i="2" s="1"/>
  <c r="E103" i="2"/>
  <c r="H103" i="2" s="1"/>
  <c r="I102" i="2"/>
  <c r="K102" i="2" s="1"/>
  <c r="E102" i="2"/>
  <c r="H102" i="2" s="1"/>
  <c r="I101" i="2"/>
  <c r="K101" i="2" s="1"/>
  <c r="E101" i="2"/>
  <c r="H101" i="2" s="1"/>
  <c r="I100" i="2"/>
  <c r="K100" i="2" s="1"/>
  <c r="E100" i="2"/>
  <c r="H100" i="2" s="1"/>
  <c r="I99" i="2"/>
  <c r="K99" i="2" s="1"/>
  <c r="E99" i="2"/>
  <c r="H99" i="2" s="1"/>
  <c r="I98" i="2"/>
  <c r="K98" i="2" s="1"/>
  <c r="E98" i="2"/>
  <c r="H98" i="2" s="1"/>
  <c r="I77" i="2"/>
  <c r="K77" i="2" s="1"/>
  <c r="E77" i="2"/>
  <c r="H77" i="2" s="1"/>
  <c r="I76" i="2"/>
  <c r="K76" i="2" s="1"/>
  <c r="E76" i="2"/>
  <c r="H76" i="2" s="1"/>
  <c r="I75" i="2"/>
  <c r="K75" i="2" s="1"/>
  <c r="E75" i="2"/>
  <c r="H75" i="2" s="1"/>
  <c r="I74" i="2"/>
  <c r="K74" i="2" s="1"/>
  <c r="H74" i="2"/>
  <c r="E74" i="2"/>
  <c r="I73" i="2"/>
  <c r="K73" i="2" s="1"/>
  <c r="E73" i="2"/>
  <c r="H73" i="2" s="1"/>
  <c r="L168" i="2" l="1"/>
  <c r="L222" i="2"/>
  <c r="L227" i="2"/>
  <c r="L73" i="2"/>
  <c r="L102" i="2"/>
  <c r="L176" i="2"/>
  <c r="L185" i="2"/>
  <c r="L216" i="2"/>
  <c r="L224" i="2"/>
  <c r="L232" i="2"/>
  <c r="L184" i="2"/>
  <c r="L214" i="2"/>
  <c r="L74" i="2"/>
  <c r="L105" i="2"/>
  <c r="L177" i="2"/>
  <c r="L217" i="2"/>
  <c r="L225" i="2"/>
  <c r="L233" i="2"/>
  <c r="L99" i="2"/>
  <c r="L104" i="2"/>
  <c r="L166" i="2"/>
  <c r="L169" i="2"/>
  <c r="L193" i="2"/>
  <c r="L197" i="2"/>
  <c r="L215" i="2"/>
  <c r="L218" i="2"/>
  <c r="L231" i="2"/>
  <c r="K53" i="3"/>
  <c r="K54" i="3" s="1"/>
  <c r="K55" i="3" s="1"/>
  <c r="K212" i="2"/>
  <c r="L212" i="2" s="1"/>
  <c r="K213" i="2"/>
  <c r="L213" i="2" s="1"/>
  <c r="K211" i="2"/>
  <c r="L211" i="2" s="1"/>
  <c r="L223" i="2"/>
  <c r="L220" i="2"/>
  <c r="L226" i="2"/>
  <c r="L229" i="2"/>
  <c r="L219" i="2"/>
  <c r="L228" i="2"/>
  <c r="L221" i="2"/>
  <c r="L192" i="2"/>
  <c r="L189" i="2"/>
  <c r="L196" i="2"/>
  <c r="L194" i="2"/>
  <c r="L191" i="2"/>
  <c r="L195" i="2"/>
  <c r="L179" i="2"/>
  <c r="L186" i="2"/>
  <c r="L170" i="2"/>
  <c r="L187" i="2"/>
  <c r="L165" i="2"/>
  <c r="L181" i="2"/>
  <c r="L163" i="2"/>
  <c r="L173" i="2"/>
  <c r="L167" i="2"/>
  <c r="L180" i="2"/>
  <c r="L183" i="2"/>
  <c r="L174" i="2"/>
  <c r="L171" i="2"/>
  <c r="L172" i="2"/>
  <c r="L175" i="2"/>
  <c r="L178" i="2"/>
  <c r="L188" i="2"/>
  <c r="L106" i="2"/>
  <c r="L103" i="2"/>
  <c r="L107" i="2"/>
  <c r="L101" i="2"/>
  <c r="L98" i="2"/>
  <c r="L100" i="2"/>
  <c r="L108" i="2"/>
  <c r="L75" i="2"/>
  <c r="L76" i="2"/>
  <c r="L77" i="2"/>
  <c r="I210" i="2" l="1"/>
  <c r="K210" i="2" s="1"/>
  <c r="I209" i="2"/>
  <c r="K209" i="2" s="1"/>
  <c r="I208" i="2"/>
  <c r="K208" i="2" s="1"/>
  <c r="I207" i="2"/>
  <c r="K207" i="2" s="1"/>
  <c r="I206" i="2"/>
  <c r="K206" i="2" s="1"/>
  <c r="I205" i="2"/>
  <c r="K205" i="2" s="1"/>
  <c r="I204" i="2"/>
  <c r="K204" i="2" s="1"/>
  <c r="I203" i="2"/>
  <c r="K203" i="2" s="1"/>
  <c r="I202" i="2"/>
  <c r="K202" i="2" s="1"/>
  <c r="I201" i="2"/>
  <c r="K201" i="2" s="1"/>
  <c r="I200" i="2"/>
  <c r="K200" i="2" s="1"/>
  <c r="I162" i="2"/>
  <c r="K162" i="2" s="1"/>
  <c r="I161" i="2"/>
  <c r="K161" i="2" s="1"/>
  <c r="I160" i="2"/>
  <c r="K160" i="2" s="1"/>
  <c r="I159" i="2"/>
  <c r="K159" i="2" s="1"/>
  <c r="I158" i="2"/>
  <c r="K158" i="2" s="1"/>
  <c r="I155" i="2"/>
  <c r="K155" i="2" s="1"/>
  <c r="I154" i="2"/>
  <c r="K154" i="2" s="1"/>
  <c r="I153" i="2"/>
  <c r="K153" i="2" s="1"/>
  <c r="I152" i="2"/>
  <c r="K152" i="2" s="1"/>
  <c r="I151" i="2"/>
  <c r="K151" i="2" s="1"/>
  <c r="I150" i="2"/>
  <c r="K150" i="2" s="1"/>
  <c r="I149" i="2"/>
  <c r="K149" i="2" s="1"/>
  <c r="I148" i="2"/>
  <c r="K148" i="2" s="1"/>
  <c r="I147" i="2"/>
  <c r="K147" i="2" s="1"/>
  <c r="I144" i="2"/>
  <c r="K144" i="2" s="1"/>
  <c r="I143" i="2"/>
  <c r="K143" i="2" s="1"/>
  <c r="I142" i="2"/>
  <c r="K142" i="2" s="1"/>
  <c r="I141" i="2"/>
  <c r="K141" i="2" s="1"/>
  <c r="I140" i="2"/>
  <c r="K140" i="2" s="1"/>
  <c r="I139" i="2"/>
  <c r="K139" i="2" s="1"/>
  <c r="I138" i="2"/>
  <c r="K138" i="2" s="1"/>
  <c r="I137" i="2"/>
  <c r="K137" i="2" s="1"/>
  <c r="I136" i="2"/>
  <c r="K136" i="2" s="1"/>
  <c r="I135" i="2"/>
  <c r="K135" i="2" s="1"/>
  <c r="I134" i="2"/>
  <c r="K134" i="2" s="1"/>
  <c r="I133" i="2"/>
  <c r="K133" i="2" s="1"/>
  <c r="I132" i="2"/>
  <c r="K132" i="2" s="1"/>
  <c r="I131" i="2"/>
  <c r="K131" i="2" s="1"/>
  <c r="I130" i="2"/>
  <c r="K130" i="2" s="1"/>
  <c r="I129" i="2"/>
  <c r="K129" i="2" s="1"/>
  <c r="I128" i="2"/>
  <c r="K128" i="2" s="1"/>
  <c r="I125" i="2"/>
  <c r="I124" i="2"/>
  <c r="I123" i="2"/>
  <c r="I120" i="2"/>
  <c r="I119" i="2"/>
  <c r="K119" i="2" s="1"/>
  <c r="I118" i="2"/>
  <c r="I117" i="2"/>
  <c r="I116" i="2"/>
  <c r="I115" i="2"/>
  <c r="I114" i="2"/>
  <c r="I113" i="2"/>
  <c r="I112" i="2"/>
  <c r="I111" i="2"/>
  <c r="I97" i="2"/>
  <c r="I96" i="2"/>
  <c r="K96" i="2" s="1"/>
  <c r="I95" i="2"/>
  <c r="K95" i="2" s="1"/>
  <c r="I94" i="2"/>
  <c r="K94" i="2" s="1"/>
  <c r="I93" i="2"/>
  <c r="I92" i="2"/>
  <c r="I89" i="2"/>
  <c r="I88" i="2"/>
  <c r="I87" i="2"/>
  <c r="I86" i="2"/>
  <c r="I85" i="2"/>
  <c r="I84" i="2"/>
  <c r="I83" i="2"/>
  <c r="I82" i="2"/>
  <c r="I81" i="2"/>
  <c r="I80" i="2"/>
  <c r="I72" i="2"/>
  <c r="K72" i="2" s="1"/>
  <c r="I71" i="2"/>
  <c r="K71" i="2" s="1"/>
  <c r="I70" i="2"/>
  <c r="K70" i="2" s="1"/>
  <c r="I69" i="2"/>
  <c r="K69" i="2" s="1"/>
  <c r="I68" i="2"/>
  <c r="K68" i="2" s="1"/>
  <c r="I67" i="2"/>
  <c r="K67" i="2" s="1"/>
  <c r="I66" i="2"/>
  <c r="K66" i="2" s="1"/>
  <c r="I65" i="2"/>
  <c r="K65" i="2" s="1"/>
  <c r="I64" i="2"/>
  <c r="K64" i="2" s="1"/>
  <c r="I63" i="2"/>
  <c r="K63" i="2" s="1"/>
  <c r="I62" i="2"/>
  <c r="K62" i="2" s="1"/>
  <c r="I61" i="2"/>
  <c r="K61" i="2" s="1"/>
  <c r="I60" i="2"/>
  <c r="K60" i="2" s="1"/>
  <c r="I59" i="2"/>
  <c r="K59" i="2" s="1"/>
  <c r="I58" i="2"/>
  <c r="K58" i="2" s="1"/>
  <c r="I57" i="2"/>
  <c r="K57" i="2" s="1"/>
  <c r="I56" i="2"/>
  <c r="K56" i="2" s="1"/>
  <c r="I55" i="2"/>
  <c r="K55" i="2" s="1"/>
  <c r="I54" i="2"/>
  <c r="K54" i="2" s="1"/>
  <c r="I53" i="2"/>
  <c r="K53" i="2" s="1"/>
  <c r="I50" i="2"/>
  <c r="K50" i="2" s="1"/>
  <c r="I49" i="2"/>
  <c r="K49" i="2" s="1"/>
  <c r="I48" i="2"/>
  <c r="K48" i="2" s="1"/>
  <c r="I47" i="2"/>
  <c r="K47" i="2" s="1"/>
  <c r="I46" i="2"/>
  <c r="K46" i="2" s="1"/>
  <c r="I45" i="2"/>
  <c r="K45" i="2" s="1"/>
  <c r="I44" i="2"/>
  <c r="K44" i="2" s="1"/>
  <c r="I43" i="2"/>
  <c r="K43" i="2" s="1"/>
  <c r="I42" i="2"/>
  <c r="K42" i="2" s="1"/>
  <c r="I41" i="2"/>
  <c r="K41" i="2" s="1"/>
  <c r="I40" i="2"/>
  <c r="K40" i="2" s="1"/>
  <c r="I39" i="2"/>
  <c r="K39" i="2" s="1"/>
  <c r="I38" i="2"/>
  <c r="K38" i="2" s="1"/>
  <c r="I37" i="2"/>
  <c r="K37" i="2" s="1"/>
  <c r="I36" i="2"/>
  <c r="K36" i="2" s="1"/>
  <c r="I35" i="2"/>
  <c r="K35" i="2" s="1"/>
  <c r="I34" i="2"/>
  <c r="K34" i="2" s="1"/>
  <c r="I33" i="2"/>
  <c r="K33" i="2" s="1"/>
  <c r="I32" i="2"/>
  <c r="I31" i="2"/>
  <c r="I28" i="2"/>
  <c r="I27" i="2"/>
  <c r="I26" i="2"/>
  <c r="I25" i="2"/>
  <c r="I24" i="2"/>
  <c r="I23" i="2"/>
  <c r="I22" i="2"/>
  <c r="I21" i="2"/>
  <c r="I20" i="2"/>
  <c r="I19" i="2"/>
  <c r="I18" i="2"/>
  <c r="I17" i="2"/>
  <c r="I16" i="2"/>
  <c r="I15" i="2"/>
  <c r="I14" i="2"/>
  <c r="I13" i="2"/>
  <c r="I12" i="2"/>
  <c r="I11" i="2"/>
  <c r="I10" i="2"/>
  <c r="I9" i="2"/>
  <c r="I8" i="2"/>
  <c r="I7" i="2"/>
  <c r="E210" i="2"/>
  <c r="H210" i="2" s="1"/>
  <c r="E209" i="2"/>
  <c r="H209" i="2" s="1"/>
  <c r="E208" i="2"/>
  <c r="H208" i="2" s="1"/>
  <c r="E207" i="2"/>
  <c r="H207" i="2" s="1"/>
  <c r="E206" i="2"/>
  <c r="H206" i="2" s="1"/>
  <c r="E205" i="2"/>
  <c r="H205" i="2" s="1"/>
  <c r="E204" i="2"/>
  <c r="H204" i="2" s="1"/>
  <c r="E203" i="2"/>
  <c r="H203" i="2" s="1"/>
  <c r="E202" i="2"/>
  <c r="H202" i="2" s="1"/>
  <c r="E201" i="2"/>
  <c r="H201" i="2" s="1"/>
  <c r="E200" i="2"/>
  <c r="H200" i="2" s="1"/>
  <c r="E162" i="2"/>
  <c r="H162" i="2" s="1"/>
  <c r="E161" i="2"/>
  <c r="H161" i="2" s="1"/>
  <c r="E160" i="2"/>
  <c r="H160" i="2" s="1"/>
  <c r="E159" i="2"/>
  <c r="H159" i="2" s="1"/>
  <c r="E158" i="2"/>
  <c r="H158" i="2" s="1"/>
  <c r="E155" i="2"/>
  <c r="H155" i="2" s="1"/>
  <c r="E154" i="2"/>
  <c r="H154" i="2" s="1"/>
  <c r="E153" i="2"/>
  <c r="H153" i="2" s="1"/>
  <c r="E152" i="2"/>
  <c r="H152" i="2" s="1"/>
  <c r="E151" i="2"/>
  <c r="H151" i="2" s="1"/>
  <c r="E150" i="2"/>
  <c r="H150" i="2" s="1"/>
  <c r="E149" i="2"/>
  <c r="H149" i="2" s="1"/>
  <c r="C148" i="2"/>
  <c r="E148" i="2" s="1"/>
  <c r="H148" i="2" s="1"/>
  <c r="C147" i="2"/>
  <c r="E147" i="2" s="1"/>
  <c r="H147" i="2" s="1"/>
  <c r="E144" i="2"/>
  <c r="H144" i="2" s="1"/>
  <c r="E143" i="2"/>
  <c r="H143" i="2" s="1"/>
  <c r="E142" i="2"/>
  <c r="H142" i="2" s="1"/>
  <c r="E141" i="2"/>
  <c r="H141" i="2" s="1"/>
  <c r="E140" i="2"/>
  <c r="H140" i="2" s="1"/>
  <c r="C139" i="2"/>
  <c r="E139" i="2" s="1"/>
  <c r="H139" i="2" s="1"/>
  <c r="C138" i="2"/>
  <c r="E138" i="2" s="1"/>
  <c r="H138" i="2" s="1"/>
  <c r="C137" i="2"/>
  <c r="E137" i="2" s="1"/>
  <c r="H137" i="2" s="1"/>
  <c r="C136" i="2"/>
  <c r="E136" i="2" s="1"/>
  <c r="H136" i="2" s="1"/>
  <c r="E135" i="2"/>
  <c r="H135" i="2" s="1"/>
  <c r="E134" i="2"/>
  <c r="H134" i="2" s="1"/>
  <c r="E133" i="2"/>
  <c r="H133" i="2" s="1"/>
  <c r="E132" i="2"/>
  <c r="H132" i="2" s="1"/>
  <c r="E131" i="2"/>
  <c r="H131" i="2" s="1"/>
  <c r="E130" i="2"/>
  <c r="H130" i="2" s="1"/>
  <c r="C129" i="2"/>
  <c r="E129" i="2" s="1"/>
  <c r="H129" i="2" s="1"/>
  <c r="E128" i="2"/>
  <c r="H128" i="2" s="1"/>
  <c r="E125" i="2"/>
  <c r="H125" i="2" s="1"/>
  <c r="E124" i="2"/>
  <c r="E123" i="2"/>
  <c r="E120" i="2"/>
  <c r="H120" i="2" s="1"/>
  <c r="E119" i="2"/>
  <c r="H119" i="2" s="1"/>
  <c r="E118" i="2"/>
  <c r="H118" i="2" s="1"/>
  <c r="E117" i="2"/>
  <c r="H117" i="2" s="1"/>
  <c r="E116" i="2"/>
  <c r="H116" i="2" s="1"/>
  <c r="E115" i="2"/>
  <c r="H115" i="2" s="1"/>
  <c r="E114" i="2"/>
  <c r="E113" i="2"/>
  <c r="E112" i="2"/>
  <c r="H112" i="2" s="1"/>
  <c r="E111" i="2"/>
  <c r="H111" i="2" s="1"/>
  <c r="E97" i="2"/>
  <c r="H97" i="2" s="1"/>
  <c r="E96" i="2"/>
  <c r="H96" i="2" s="1"/>
  <c r="E95" i="2"/>
  <c r="H95" i="2" s="1"/>
  <c r="E94" i="2"/>
  <c r="H94" i="2" s="1"/>
  <c r="E93" i="2"/>
  <c r="H93" i="2" s="1"/>
  <c r="E92" i="2"/>
  <c r="H92" i="2" s="1"/>
  <c r="E89" i="2"/>
  <c r="H89" i="2" s="1"/>
  <c r="E88" i="2"/>
  <c r="H88" i="2" s="1"/>
  <c r="E87" i="2"/>
  <c r="H87" i="2" s="1"/>
  <c r="E86" i="2"/>
  <c r="H86" i="2" s="1"/>
  <c r="E85" i="2"/>
  <c r="H85" i="2" s="1"/>
  <c r="E84" i="2"/>
  <c r="H84" i="2" s="1"/>
  <c r="E83" i="2"/>
  <c r="H83" i="2" s="1"/>
  <c r="E82" i="2"/>
  <c r="H82" i="2" s="1"/>
  <c r="E81" i="2"/>
  <c r="H81" i="2" s="1"/>
  <c r="C80" i="2"/>
  <c r="E80" i="2" s="1"/>
  <c r="E72" i="2"/>
  <c r="H72" i="2" s="1"/>
  <c r="E71" i="2"/>
  <c r="H71" i="2" s="1"/>
  <c r="E70" i="2"/>
  <c r="H70" i="2" s="1"/>
  <c r="E69" i="2"/>
  <c r="H69" i="2" s="1"/>
  <c r="E68" i="2"/>
  <c r="H68" i="2" s="1"/>
  <c r="E67" i="2"/>
  <c r="H67" i="2" s="1"/>
  <c r="E66" i="2"/>
  <c r="H66" i="2" s="1"/>
  <c r="E65" i="2"/>
  <c r="H65" i="2" s="1"/>
  <c r="E64" i="2"/>
  <c r="H64" i="2" s="1"/>
  <c r="E63" i="2"/>
  <c r="H63" i="2" s="1"/>
  <c r="E62" i="2"/>
  <c r="H62" i="2" s="1"/>
  <c r="E61" i="2"/>
  <c r="H61" i="2" s="1"/>
  <c r="C60" i="2"/>
  <c r="E60" i="2" s="1"/>
  <c r="H60" i="2" s="1"/>
  <c r="E59" i="2"/>
  <c r="H59" i="2" s="1"/>
  <c r="E58" i="2"/>
  <c r="H58" i="2" s="1"/>
  <c r="E57" i="2"/>
  <c r="H57" i="2" s="1"/>
  <c r="E56" i="2"/>
  <c r="H56" i="2" s="1"/>
  <c r="E55" i="2"/>
  <c r="H55" i="2" s="1"/>
  <c r="E54" i="2"/>
  <c r="H54" i="2" s="1"/>
  <c r="E53" i="2"/>
  <c r="H53" i="2" s="1"/>
  <c r="E50" i="2"/>
  <c r="H50" i="2" s="1"/>
  <c r="E49" i="2"/>
  <c r="H49" i="2" s="1"/>
  <c r="E48" i="2"/>
  <c r="H48" i="2" s="1"/>
  <c r="E47" i="2"/>
  <c r="H47" i="2" s="1"/>
  <c r="E46" i="2"/>
  <c r="H46" i="2" s="1"/>
  <c r="E45" i="2"/>
  <c r="H45" i="2" s="1"/>
  <c r="E44" i="2"/>
  <c r="H44" i="2" s="1"/>
  <c r="E43" i="2"/>
  <c r="H43" i="2" s="1"/>
  <c r="E42" i="2"/>
  <c r="H42" i="2" s="1"/>
  <c r="E41" i="2"/>
  <c r="H41" i="2" s="1"/>
  <c r="E40" i="2"/>
  <c r="H40" i="2" s="1"/>
  <c r="E39" i="2"/>
  <c r="H39" i="2" s="1"/>
  <c r="E38" i="2"/>
  <c r="H38" i="2" s="1"/>
  <c r="E37" i="2"/>
  <c r="H37" i="2" s="1"/>
  <c r="E36" i="2"/>
  <c r="H36" i="2" s="1"/>
  <c r="E35" i="2"/>
  <c r="H35" i="2" s="1"/>
  <c r="E34" i="2"/>
  <c r="H34" i="2" s="1"/>
  <c r="E33" i="2"/>
  <c r="H33" i="2" s="1"/>
  <c r="E32" i="2"/>
  <c r="H32" i="2" s="1"/>
  <c r="C31" i="2"/>
  <c r="E31" i="2" s="1"/>
  <c r="H31" i="2" s="1"/>
  <c r="E28" i="2"/>
  <c r="H28" i="2" s="1"/>
  <c r="E27" i="2"/>
  <c r="K27" i="2" s="1"/>
  <c r="E26" i="2"/>
  <c r="K26" i="2" s="1"/>
  <c r="E25" i="2"/>
  <c r="E24" i="2"/>
  <c r="E23" i="2"/>
  <c r="E22" i="2"/>
  <c r="H22" i="2" s="1"/>
  <c r="E21" i="2"/>
  <c r="H21" i="2" s="1"/>
  <c r="E20" i="2"/>
  <c r="E19" i="2"/>
  <c r="K19" i="2" s="1"/>
  <c r="E18" i="2"/>
  <c r="K18" i="2" s="1"/>
  <c r="E17" i="2"/>
  <c r="E16" i="2"/>
  <c r="E15" i="2"/>
  <c r="E14" i="2"/>
  <c r="H14" i="2" s="1"/>
  <c r="E13" i="2"/>
  <c r="E12" i="2"/>
  <c r="H12" i="2" s="1"/>
  <c r="E11" i="2"/>
  <c r="E10" i="2"/>
  <c r="E9" i="2"/>
  <c r="H9" i="2" s="1"/>
  <c r="E8" i="2"/>
  <c r="H8" i="2" s="1"/>
  <c r="E7" i="2"/>
  <c r="K15" i="2" l="1"/>
  <c r="K16" i="2"/>
  <c r="K23" i="2"/>
  <c r="K24" i="2"/>
  <c r="K20" i="2"/>
  <c r="K13" i="2"/>
  <c r="H113" i="2"/>
  <c r="K17" i="2"/>
  <c r="K25" i="2"/>
  <c r="H16" i="2"/>
  <c r="K81" i="2"/>
  <c r="L81" i="2" s="1"/>
  <c r="L119" i="2"/>
  <c r="L131" i="2"/>
  <c r="L159" i="2"/>
  <c r="H23" i="2"/>
  <c r="L23" i="2" s="1"/>
  <c r="K92" i="2"/>
  <c r="L92" i="2" s="1"/>
  <c r="H10" i="2"/>
  <c r="L66" i="2"/>
  <c r="L132" i="2"/>
  <c r="K93" i="2"/>
  <c r="L93" i="2" s="1"/>
  <c r="K116" i="2"/>
  <c r="L116" i="2" s="1"/>
  <c r="L142" i="2"/>
  <c r="L160" i="2"/>
  <c r="L205" i="2"/>
  <c r="H80" i="2"/>
  <c r="K80" i="2"/>
  <c r="L68" i="2"/>
  <c r="L33" i="2"/>
  <c r="L41" i="2"/>
  <c r="L49" i="2"/>
  <c r="K123" i="2"/>
  <c r="L133" i="2"/>
  <c r="H24" i="2"/>
  <c r="H114" i="2"/>
  <c r="K82" i="2"/>
  <c r="L82" i="2" s="1"/>
  <c r="L134" i="2"/>
  <c r="H123" i="2"/>
  <c r="K83" i="2"/>
  <c r="L83" i="2" s="1"/>
  <c r="K111" i="2"/>
  <c r="L111" i="2" s="1"/>
  <c r="K120" i="2"/>
  <c r="L120" i="2" s="1"/>
  <c r="L161" i="2"/>
  <c r="H124" i="2"/>
  <c r="K84" i="2"/>
  <c r="L84" i="2" s="1"/>
  <c r="K112" i="2"/>
  <c r="L112" i="2" s="1"/>
  <c r="K87" i="2"/>
  <c r="L87" i="2" s="1"/>
  <c r="K88" i="2"/>
  <c r="L88" i="2" s="1"/>
  <c r="K86" i="2"/>
  <c r="L86" i="2" s="1"/>
  <c r="K125" i="2"/>
  <c r="L125" i="2" s="1"/>
  <c r="L60" i="2"/>
  <c r="K117" i="2"/>
  <c r="L117" i="2" s="1"/>
  <c r="L72" i="2"/>
  <c r="K118" i="2"/>
  <c r="L118" i="2" s="1"/>
  <c r="L158" i="2"/>
  <c r="H15" i="2"/>
  <c r="L15" i="2" s="1"/>
  <c r="K89" i="2"/>
  <c r="L89" i="2" s="1"/>
  <c r="K85" i="2"/>
  <c r="L85" i="2" s="1"/>
  <c r="K115" i="2"/>
  <c r="L115" i="2" s="1"/>
  <c r="K124" i="2"/>
  <c r="L124" i="2" s="1"/>
  <c r="K114" i="2"/>
  <c r="K113" i="2"/>
  <c r="L113" i="2" s="1"/>
  <c r="K97" i="2"/>
  <c r="L97" i="2" s="1"/>
  <c r="L64" i="2"/>
  <c r="L39" i="2"/>
  <c r="L130" i="2"/>
  <c r="L40" i="2"/>
  <c r="L56" i="2"/>
  <c r="L47" i="2"/>
  <c r="L139" i="2"/>
  <c r="L162" i="2"/>
  <c r="L207" i="2"/>
  <c r="L61" i="2"/>
  <c r="L94" i="2"/>
  <c r="L143" i="2"/>
  <c r="L138" i="2"/>
  <c r="L70" i="2"/>
  <c r="L128" i="2"/>
  <c r="L136" i="2"/>
  <c r="L144" i="2"/>
  <c r="L48" i="2"/>
  <c r="L37" i="2"/>
  <c r="L55" i="2"/>
  <c r="L63" i="2"/>
  <c r="L71" i="2"/>
  <c r="L96" i="2"/>
  <c r="L202" i="2"/>
  <c r="L210" i="2"/>
  <c r="L135" i="2"/>
  <c r="K28" i="2"/>
  <c r="L28" i="2" s="1"/>
  <c r="K21" i="2"/>
  <c r="L21" i="2" s="1"/>
  <c r="L154" i="2"/>
  <c r="H11" i="2"/>
  <c r="K14" i="2"/>
  <c r="L14" i="2" s="1"/>
  <c r="K22" i="2"/>
  <c r="L22" i="2" s="1"/>
  <c r="K32" i="2"/>
  <c r="L32" i="2" s="1"/>
  <c r="H17" i="2"/>
  <c r="H25" i="2"/>
  <c r="K12" i="2"/>
  <c r="L12" i="2" s="1"/>
  <c r="L69" i="2"/>
  <c r="H18" i="2"/>
  <c r="L18" i="2" s="1"/>
  <c r="H26" i="2"/>
  <c r="L26" i="2" s="1"/>
  <c r="L54" i="2"/>
  <c r="H7" i="2"/>
  <c r="K8" i="2"/>
  <c r="L8" i="2" s="1"/>
  <c r="H19" i="2"/>
  <c r="L19" i="2" s="1"/>
  <c r="H27" i="2"/>
  <c r="L27" i="2" s="1"/>
  <c r="L53" i="2"/>
  <c r="K9" i="2"/>
  <c r="L9" i="2" s="1"/>
  <c r="H20" i="2"/>
  <c r="L20" i="2" s="1"/>
  <c r="K31" i="2"/>
  <c r="L31" i="2" s="1"/>
  <c r="L206" i="2"/>
  <c r="L150" i="2"/>
  <c r="K10" i="2"/>
  <c r="H13" i="2"/>
  <c r="L34" i="2"/>
  <c r="L42" i="2"/>
  <c r="L50" i="2"/>
  <c r="L36" i="2"/>
  <c r="L200" i="2"/>
  <c r="L208" i="2"/>
  <c r="L201" i="2"/>
  <c r="L209" i="2"/>
  <c r="L203" i="2"/>
  <c r="L204" i="2"/>
  <c r="L155" i="2"/>
  <c r="L152" i="2"/>
  <c r="L151" i="2"/>
  <c r="L147" i="2"/>
  <c r="L153" i="2"/>
  <c r="L148" i="2"/>
  <c r="L149" i="2"/>
  <c r="L137" i="2"/>
  <c r="L129" i="2"/>
  <c r="L140" i="2"/>
  <c r="L141" i="2"/>
  <c r="L95" i="2"/>
  <c r="L62" i="2"/>
  <c r="L67" i="2"/>
  <c r="L57" i="2"/>
  <c r="L58" i="2"/>
  <c r="L59" i="2"/>
  <c r="L65" i="2"/>
  <c r="L43" i="2"/>
  <c r="L44" i="2"/>
  <c r="L45" i="2"/>
  <c r="L46" i="2"/>
  <c r="L35" i="2"/>
  <c r="L38" i="2"/>
  <c r="K11" i="2"/>
  <c r="K7" i="2"/>
  <c r="I519" i="1"/>
  <c r="K519" i="1" s="1"/>
  <c r="E519" i="1"/>
  <c r="H519" i="1" s="1"/>
  <c r="I518" i="1"/>
  <c r="K518" i="1" s="1"/>
  <c r="E518" i="1"/>
  <c r="H518" i="1" s="1"/>
  <c r="I517" i="1"/>
  <c r="K517" i="1" s="1"/>
  <c r="E517" i="1"/>
  <c r="H517" i="1" s="1"/>
  <c r="I516" i="1"/>
  <c r="K516" i="1" s="1"/>
  <c r="L516" i="1" s="1"/>
  <c r="E516" i="1"/>
  <c r="H516" i="1" s="1"/>
  <c r="I515" i="1"/>
  <c r="K515" i="1" s="1"/>
  <c r="E515" i="1"/>
  <c r="H515" i="1" s="1"/>
  <c r="I514" i="1"/>
  <c r="K514" i="1" s="1"/>
  <c r="L514" i="1" s="1"/>
  <c r="E514" i="1"/>
  <c r="H514" i="1" s="1"/>
  <c r="I513" i="1"/>
  <c r="K513" i="1" s="1"/>
  <c r="H513" i="1"/>
  <c r="E513" i="1"/>
  <c r="I512" i="1"/>
  <c r="K512" i="1" s="1"/>
  <c r="E512" i="1"/>
  <c r="H512" i="1" s="1"/>
  <c r="I511" i="1"/>
  <c r="K511" i="1" s="1"/>
  <c r="E511" i="1"/>
  <c r="H511" i="1" s="1"/>
  <c r="I510" i="1"/>
  <c r="K510" i="1" s="1"/>
  <c r="E510" i="1"/>
  <c r="H510" i="1" s="1"/>
  <c r="I507" i="1"/>
  <c r="K507" i="1" s="1"/>
  <c r="E507" i="1"/>
  <c r="H507" i="1" s="1"/>
  <c r="L513" i="1" l="1"/>
  <c r="L510" i="1"/>
  <c r="L515" i="1"/>
  <c r="L519" i="1"/>
  <c r="L80" i="2"/>
  <c r="L16" i="2"/>
  <c r="L24" i="2"/>
  <c r="L17" i="2"/>
  <c r="L10" i="2"/>
  <c r="L25" i="2"/>
  <c r="L114" i="2"/>
  <c r="K236" i="2"/>
  <c r="L123" i="2"/>
  <c r="L13" i="2"/>
  <c r="K237" i="2"/>
  <c r="L11" i="2"/>
  <c r="L7" i="2"/>
  <c r="L518" i="1"/>
  <c r="L512" i="1"/>
  <c r="L511" i="1"/>
  <c r="L517" i="1"/>
  <c r="L507" i="1"/>
  <c r="I504" i="1"/>
  <c r="K504" i="1" s="1"/>
  <c r="I503" i="1"/>
  <c r="K503" i="1" s="1"/>
  <c r="I502" i="1"/>
  <c r="K502" i="1" s="1"/>
  <c r="I501" i="1"/>
  <c r="K501" i="1" s="1"/>
  <c r="I500" i="1"/>
  <c r="K500" i="1" s="1"/>
  <c r="I499" i="1"/>
  <c r="K499" i="1" s="1"/>
  <c r="I498" i="1"/>
  <c r="K498" i="1" s="1"/>
  <c r="I497" i="1"/>
  <c r="K497" i="1" s="1"/>
  <c r="I496" i="1"/>
  <c r="K496" i="1" s="1"/>
  <c r="I495" i="1"/>
  <c r="K495" i="1" s="1"/>
  <c r="I494" i="1"/>
  <c r="K494" i="1" s="1"/>
  <c r="I493" i="1"/>
  <c r="K493" i="1" s="1"/>
  <c r="I492" i="1"/>
  <c r="K492" i="1" s="1"/>
  <c r="I491" i="1"/>
  <c r="K491" i="1" s="1"/>
  <c r="I490" i="1"/>
  <c r="K490" i="1" s="1"/>
  <c r="I489" i="1"/>
  <c r="K489" i="1" s="1"/>
  <c r="I488" i="1"/>
  <c r="K488" i="1" s="1"/>
  <c r="I487" i="1"/>
  <c r="K487" i="1" s="1"/>
  <c r="I486" i="1"/>
  <c r="K486" i="1" s="1"/>
  <c r="I485" i="1"/>
  <c r="K485" i="1" s="1"/>
  <c r="I484" i="1"/>
  <c r="K484" i="1" s="1"/>
  <c r="I483" i="1"/>
  <c r="K483" i="1" s="1"/>
  <c r="I482" i="1"/>
  <c r="K482" i="1" s="1"/>
  <c r="I481" i="1"/>
  <c r="K481" i="1" s="1"/>
  <c r="I480" i="1"/>
  <c r="K480" i="1" s="1"/>
  <c r="I479" i="1"/>
  <c r="K479" i="1" s="1"/>
  <c r="I478" i="1"/>
  <c r="K478" i="1" s="1"/>
  <c r="I477" i="1"/>
  <c r="K477" i="1" s="1"/>
  <c r="I476" i="1"/>
  <c r="K476" i="1" s="1"/>
  <c r="I475" i="1"/>
  <c r="K475" i="1" s="1"/>
  <c r="I474" i="1"/>
  <c r="K474" i="1" s="1"/>
  <c r="I473" i="1"/>
  <c r="K473" i="1" s="1"/>
  <c r="H473" i="1"/>
  <c r="I472" i="1"/>
  <c r="K472" i="1" s="1"/>
  <c r="I471" i="1"/>
  <c r="K471" i="1" s="1"/>
  <c r="I470" i="1"/>
  <c r="K470" i="1" s="1"/>
  <c r="I469" i="1"/>
  <c r="K469" i="1" s="1"/>
  <c r="I468" i="1"/>
  <c r="K468" i="1" s="1"/>
  <c r="I467" i="1"/>
  <c r="K467" i="1" s="1"/>
  <c r="I466" i="1"/>
  <c r="K466" i="1" s="1"/>
  <c r="I465" i="1"/>
  <c r="K465" i="1" s="1"/>
  <c r="I464" i="1"/>
  <c r="K464" i="1" s="1"/>
  <c r="I463" i="1"/>
  <c r="K463" i="1" s="1"/>
  <c r="I462" i="1"/>
  <c r="K462" i="1" s="1"/>
  <c r="I461" i="1"/>
  <c r="K461" i="1" s="1"/>
  <c r="I460" i="1"/>
  <c r="K460" i="1" s="1"/>
  <c r="I459" i="1"/>
  <c r="K459" i="1" s="1"/>
  <c r="I458" i="1"/>
  <c r="K458" i="1" s="1"/>
  <c r="I455" i="1"/>
  <c r="K455" i="1" s="1"/>
  <c r="I454" i="1"/>
  <c r="K454" i="1" s="1"/>
  <c r="I453" i="1"/>
  <c r="K453" i="1" s="1"/>
  <c r="I449" i="1"/>
  <c r="K449" i="1" s="1"/>
  <c r="I448" i="1"/>
  <c r="K448" i="1" s="1"/>
  <c r="I447" i="1"/>
  <c r="K447" i="1" s="1"/>
  <c r="I446" i="1"/>
  <c r="K446" i="1" s="1"/>
  <c r="I445" i="1"/>
  <c r="K445" i="1" s="1"/>
  <c r="I444" i="1"/>
  <c r="K444" i="1" s="1"/>
  <c r="I443" i="1"/>
  <c r="K443" i="1" s="1"/>
  <c r="I442" i="1"/>
  <c r="K442" i="1" s="1"/>
  <c r="I441" i="1"/>
  <c r="K441" i="1" s="1"/>
  <c r="I437" i="1"/>
  <c r="K437" i="1" s="1"/>
  <c r="I436" i="1"/>
  <c r="K436" i="1" s="1"/>
  <c r="I435" i="1"/>
  <c r="K435" i="1" s="1"/>
  <c r="I431" i="1"/>
  <c r="K431" i="1" s="1"/>
  <c r="I430" i="1"/>
  <c r="K430" i="1" s="1"/>
  <c r="I426" i="1"/>
  <c r="K426" i="1" s="1"/>
  <c r="I425" i="1"/>
  <c r="K425" i="1" s="1"/>
  <c r="I424" i="1"/>
  <c r="K424" i="1" s="1"/>
  <c r="I423" i="1"/>
  <c r="K423" i="1" s="1"/>
  <c r="I422" i="1"/>
  <c r="K422" i="1" s="1"/>
  <c r="I421" i="1"/>
  <c r="K421" i="1" s="1"/>
  <c r="I420" i="1"/>
  <c r="K420" i="1" s="1"/>
  <c r="I415" i="1"/>
  <c r="K415" i="1" s="1"/>
  <c r="I414" i="1"/>
  <c r="K414" i="1" s="1"/>
  <c r="I413" i="1"/>
  <c r="K413" i="1" s="1"/>
  <c r="I412" i="1"/>
  <c r="K412" i="1" s="1"/>
  <c r="I411" i="1"/>
  <c r="K411" i="1" s="1"/>
  <c r="I410" i="1"/>
  <c r="K410" i="1" s="1"/>
  <c r="I409" i="1"/>
  <c r="K409" i="1" s="1"/>
  <c r="I408" i="1"/>
  <c r="K408" i="1" s="1"/>
  <c r="I407" i="1"/>
  <c r="K407" i="1" s="1"/>
  <c r="I406" i="1"/>
  <c r="K406" i="1" s="1"/>
  <c r="I405" i="1"/>
  <c r="K405" i="1" s="1"/>
  <c r="I404" i="1"/>
  <c r="K404" i="1" s="1"/>
  <c r="I403" i="1"/>
  <c r="K403" i="1" s="1"/>
  <c r="I399" i="1"/>
  <c r="K399" i="1" s="1"/>
  <c r="I398" i="1"/>
  <c r="K398" i="1" s="1"/>
  <c r="I397" i="1"/>
  <c r="K397" i="1" s="1"/>
  <c r="I396" i="1"/>
  <c r="K396" i="1" s="1"/>
  <c r="I395" i="1"/>
  <c r="K395" i="1" s="1"/>
  <c r="I391" i="1"/>
  <c r="K391" i="1" s="1"/>
  <c r="I390" i="1"/>
  <c r="K390" i="1" s="1"/>
  <c r="I389" i="1"/>
  <c r="K389" i="1" s="1"/>
  <c r="I384" i="1"/>
  <c r="K384" i="1" s="1"/>
  <c r="I383" i="1"/>
  <c r="K383" i="1" s="1"/>
  <c r="I382" i="1"/>
  <c r="K382" i="1" s="1"/>
  <c r="I381" i="1"/>
  <c r="K381" i="1" s="1"/>
  <c r="I380" i="1"/>
  <c r="I376" i="1"/>
  <c r="K376" i="1" s="1"/>
  <c r="I375" i="1"/>
  <c r="K375" i="1" s="1"/>
  <c r="I374" i="1"/>
  <c r="K374" i="1" s="1"/>
  <c r="I373" i="1"/>
  <c r="K373" i="1" s="1"/>
  <c r="I369" i="1"/>
  <c r="K369" i="1" s="1"/>
  <c r="I368" i="1"/>
  <c r="K368" i="1" s="1"/>
  <c r="I367" i="1"/>
  <c r="K367" i="1" s="1"/>
  <c r="I366" i="1"/>
  <c r="K366" i="1" s="1"/>
  <c r="I365" i="1"/>
  <c r="K365" i="1" s="1"/>
  <c r="I364" i="1"/>
  <c r="K364" i="1" s="1"/>
  <c r="I363" i="1"/>
  <c r="K363" i="1" s="1"/>
  <c r="I362" i="1"/>
  <c r="K362" i="1" s="1"/>
  <c r="I361" i="1"/>
  <c r="K361" i="1" s="1"/>
  <c r="I360" i="1"/>
  <c r="K360" i="1" s="1"/>
  <c r="I359" i="1"/>
  <c r="K359" i="1" s="1"/>
  <c r="I358" i="1"/>
  <c r="K358" i="1" s="1"/>
  <c r="I357" i="1"/>
  <c r="K357" i="1" s="1"/>
  <c r="I356" i="1"/>
  <c r="K356" i="1" s="1"/>
  <c r="I355" i="1"/>
  <c r="K355" i="1" s="1"/>
  <c r="I354" i="1"/>
  <c r="K354" i="1" s="1"/>
  <c r="I350" i="1"/>
  <c r="K350" i="1" s="1"/>
  <c r="I349" i="1"/>
  <c r="K349" i="1" s="1"/>
  <c r="I348" i="1"/>
  <c r="K348" i="1" s="1"/>
  <c r="I347" i="1"/>
  <c r="K347" i="1" s="1"/>
  <c r="I346" i="1"/>
  <c r="K346" i="1" s="1"/>
  <c r="I345" i="1"/>
  <c r="K345" i="1" s="1"/>
  <c r="I344" i="1"/>
  <c r="K344" i="1" s="1"/>
  <c r="I343" i="1"/>
  <c r="K343" i="1" s="1"/>
  <c r="I342" i="1"/>
  <c r="K342" i="1" s="1"/>
  <c r="I341" i="1"/>
  <c r="K341" i="1" s="1"/>
  <c r="I340" i="1"/>
  <c r="K340" i="1" s="1"/>
  <c r="I336" i="1"/>
  <c r="K336" i="1" s="1"/>
  <c r="I335" i="1"/>
  <c r="K335" i="1" s="1"/>
  <c r="I334" i="1"/>
  <c r="K334" i="1" s="1"/>
  <c r="I333" i="1"/>
  <c r="K333" i="1" s="1"/>
  <c r="I328" i="1"/>
  <c r="K328" i="1" s="1"/>
  <c r="I324" i="1"/>
  <c r="K324" i="1" s="1"/>
  <c r="I323" i="1"/>
  <c r="K323" i="1" s="1"/>
  <c r="I322" i="1"/>
  <c r="K322" i="1" s="1"/>
  <c r="I318" i="1"/>
  <c r="K318" i="1" s="1"/>
  <c r="I317" i="1"/>
  <c r="K317" i="1" s="1"/>
  <c r="I316" i="1"/>
  <c r="K316" i="1" s="1"/>
  <c r="I315" i="1"/>
  <c r="K315" i="1" s="1"/>
  <c r="I314" i="1"/>
  <c r="K314" i="1" s="1"/>
  <c r="I313" i="1"/>
  <c r="K313" i="1" s="1"/>
  <c r="I312" i="1"/>
  <c r="K312" i="1" s="1"/>
  <c r="I311" i="1"/>
  <c r="K311" i="1" s="1"/>
  <c r="I310" i="1"/>
  <c r="K310" i="1" s="1"/>
  <c r="I309" i="1"/>
  <c r="K309" i="1" s="1"/>
  <c r="I308" i="1"/>
  <c r="K308" i="1" s="1"/>
  <c r="I304" i="1"/>
  <c r="K304" i="1" s="1"/>
  <c r="I303" i="1"/>
  <c r="K303" i="1" s="1"/>
  <c r="I302" i="1"/>
  <c r="K302" i="1" s="1"/>
  <c r="I301" i="1"/>
  <c r="K301" i="1" s="1"/>
  <c r="I300" i="1"/>
  <c r="K300" i="1" s="1"/>
  <c r="I299" i="1"/>
  <c r="K299" i="1" s="1"/>
  <c r="I298" i="1"/>
  <c r="K298" i="1" s="1"/>
  <c r="I297" i="1"/>
  <c r="K297" i="1" s="1"/>
  <c r="I296" i="1"/>
  <c r="K296" i="1" s="1"/>
  <c r="I295" i="1"/>
  <c r="K295" i="1" s="1"/>
  <c r="I294" i="1"/>
  <c r="K294" i="1" s="1"/>
  <c r="I293" i="1"/>
  <c r="K293" i="1" s="1"/>
  <c r="I292" i="1"/>
  <c r="K292" i="1" s="1"/>
  <c r="I291" i="1"/>
  <c r="K291" i="1" s="1"/>
  <c r="I286" i="1"/>
  <c r="K286" i="1" s="1"/>
  <c r="I282" i="1"/>
  <c r="K282" i="1" s="1"/>
  <c r="I281" i="1"/>
  <c r="K281" i="1" s="1"/>
  <c r="I280" i="1"/>
  <c r="K280" i="1" s="1"/>
  <c r="I276" i="1"/>
  <c r="K276" i="1" s="1"/>
  <c r="I275" i="1"/>
  <c r="K275" i="1" s="1"/>
  <c r="I274" i="1"/>
  <c r="K274" i="1" s="1"/>
  <c r="I273" i="1"/>
  <c r="K273" i="1" s="1"/>
  <c r="I272" i="1"/>
  <c r="K272" i="1" s="1"/>
  <c r="I271" i="1"/>
  <c r="K271" i="1" s="1"/>
  <c r="I270" i="1"/>
  <c r="K270" i="1" s="1"/>
  <c r="I269" i="1"/>
  <c r="K269" i="1" s="1"/>
  <c r="I268" i="1"/>
  <c r="K268" i="1" s="1"/>
  <c r="I267" i="1"/>
  <c r="K267" i="1" s="1"/>
  <c r="I266" i="1"/>
  <c r="K266" i="1" s="1"/>
  <c r="I265" i="1"/>
  <c r="K265" i="1" s="1"/>
  <c r="I261" i="1"/>
  <c r="K261" i="1" s="1"/>
  <c r="I260" i="1"/>
  <c r="K260" i="1" s="1"/>
  <c r="I259" i="1"/>
  <c r="K259" i="1" s="1"/>
  <c r="I258" i="1"/>
  <c r="K258" i="1" s="1"/>
  <c r="I257" i="1"/>
  <c r="K257" i="1" s="1"/>
  <c r="I256" i="1"/>
  <c r="K256" i="1" s="1"/>
  <c r="I255" i="1"/>
  <c r="K255" i="1" s="1"/>
  <c r="I254" i="1"/>
  <c r="K254" i="1" s="1"/>
  <c r="I253" i="1"/>
  <c r="K253" i="1" s="1"/>
  <c r="I252" i="1"/>
  <c r="K252" i="1" s="1"/>
  <c r="I251" i="1"/>
  <c r="K251" i="1" s="1"/>
  <c r="I250" i="1"/>
  <c r="K250" i="1" s="1"/>
  <c r="I249" i="1"/>
  <c r="K249" i="1" s="1"/>
  <c r="I248" i="1"/>
  <c r="K248" i="1" s="1"/>
  <c r="I247" i="1"/>
  <c r="K247" i="1" s="1"/>
  <c r="I246" i="1"/>
  <c r="K246" i="1" s="1"/>
  <c r="I245" i="1"/>
  <c r="K245" i="1" s="1"/>
  <c r="I244" i="1"/>
  <c r="K244" i="1" s="1"/>
  <c r="I243" i="1"/>
  <c r="K243" i="1" s="1"/>
  <c r="I238" i="1"/>
  <c r="K238" i="1" s="1"/>
  <c r="I237" i="1"/>
  <c r="K237" i="1" s="1"/>
  <c r="I233" i="1"/>
  <c r="K233" i="1" s="1"/>
  <c r="I232" i="1"/>
  <c r="K232" i="1" s="1"/>
  <c r="I231" i="1"/>
  <c r="K231" i="1" s="1"/>
  <c r="I227" i="1"/>
  <c r="K227" i="1" s="1"/>
  <c r="I226" i="1"/>
  <c r="K226" i="1" s="1"/>
  <c r="I225" i="1"/>
  <c r="K225" i="1" s="1"/>
  <c r="I224" i="1"/>
  <c r="K224" i="1" s="1"/>
  <c r="I223" i="1"/>
  <c r="K223" i="1" s="1"/>
  <c r="I222" i="1"/>
  <c r="K222" i="1" s="1"/>
  <c r="I221" i="1"/>
  <c r="K221" i="1" s="1"/>
  <c r="I220" i="1"/>
  <c r="K220" i="1" s="1"/>
  <c r="I219" i="1"/>
  <c r="K219" i="1" s="1"/>
  <c r="I218" i="1"/>
  <c r="K218" i="1" s="1"/>
  <c r="I217" i="1"/>
  <c r="K217" i="1" s="1"/>
  <c r="I213" i="1"/>
  <c r="K213" i="1" s="1"/>
  <c r="I212" i="1"/>
  <c r="K212" i="1" s="1"/>
  <c r="I211" i="1"/>
  <c r="K211" i="1" s="1"/>
  <c r="I210" i="1"/>
  <c r="K210" i="1" s="1"/>
  <c r="I209" i="1"/>
  <c r="K209" i="1" s="1"/>
  <c r="I208" i="1"/>
  <c r="K208" i="1" s="1"/>
  <c r="I207" i="1"/>
  <c r="K207" i="1" s="1"/>
  <c r="I206" i="1"/>
  <c r="K206" i="1" s="1"/>
  <c r="I205" i="1"/>
  <c r="K205" i="1" s="1"/>
  <c r="I204" i="1"/>
  <c r="K204" i="1" s="1"/>
  <c r="I203" i="1"/>
  <c r="K203" i="1" s="1"/>
  <c r="I202" i="1"/>
  <c r="K202" i="1" s="1"/>
  <c r="I197" i="1"/>
  <c r="K197" i="1" s="1"/>
  <c r="I196" i="1"/>
  <c r="K196" i="1" s="1"/>
  <c r="I195" i="1"/>
  <c r="K195" i="1" s="1"/>
  <c r="I194" i="1"/>
  <c r="K194" i="1" s="1"/>
  <c r="I193" i="1"/>
  <c r="K193" i="1" s="1"/>
  <c r="I192" i="1"/>
  <c r="K192" i="1" s="1"/>
  <c r="I191" i="1"/>
  <c r="K191" i="1" s="1"/>
  <c r="I190" i="1"/>
  <c r="K190" i="1" s="1"/>
  <c r="I189" i="1"/>
  <c r="K189" i="1" s="1"/>
  <c r="I188" i="1"/>
  <c r="K188" i="1" s="1"/>
  <c r="I187" i="1"/>
  <c r="K187" i="1" s="1"/>
  <c r="I185" i="1"/>
  <c r="K185" i="1" s="1"/>
  <c r="I184" i="1"/>
  <c r="K184" i="1" s="1"/>
  <c r="I183" i="1"/>
  <c r="K183" i="1" s="1"/>
  <c r="I182" i="1"/>
  <c r="K182" i="1" s="1"/>
  <c r="I181" i="1"/>
  <c r="K181" i="1" s="1"/>
  <c r="I180" i="1"/>
  <c r="K180" i="1" s="1"/>
  <c r="I176" i="1"/>
  <c r="K176" i="1" s="1"/>
  <c r="I175" i="1"/>
  <c r="K175" i="1" s="1"/>
  <c r="I174" i="1"/>
  <c r="K174" i="1" s="1"/>
  <c r="I173" i="1"/>
  <c r="K173" i="1" s="1"/>
  <c r="I169" i="1"/>
  <c r="K169" i="1" s="1"/>
  <c r="I168" i="1"/>
  <c r="K168" i="1" s="1"/>
  <c r="I167" i="1"/>
  <c r="K167" i="1" s="1"/>
  <c r="I166" i="1"/>
  <c r="K166" i="1" s="1"/>
  <c r="I165" i="1"/>
  <c r="K165" i="1" s="1"/>
  <c r="I164" i="1"/>
  <c r="K164" i="1" s="1"/>
  <c r="I163" i="1"/>
  <c r="K163" i="1" s="1"/>
  <c r="I162" i="1"/>
  <c r="K162" i="1" s="1"/>
  <c r="I161" i="1"/>
  <c r="K161" i="1" s="1"/>
  <c r="I160" i="1"/>
  <c r="K160" i="1" s="1"/>
  <c r="I159" i="1"/>
  <c r="K159" i="1" s="1"/>
  <c r="I158" i="1"/>
  <c r="K158" i="1" s="1"/>
  <c r="I157" i="1"/>
  <c r="K157" i="1" s="1"/>
  <c r="I156" i="1"/>
  <c r="K156" i="1" s="1"/>
  <c r="I155" i="1"/>
  <c r="K155" i="1" s="1"/>
  <c r="I154" i="1"/>
  <c r="K154" i="1" s="1"/>
  <c r="I153" i="1"/>
  <c r="K153" i="1" s="1"/>
  <c r="I152" i="1"/>
  <c r="K152" i="1" s="1"/>
  <c r="I151" i="1"/>
  <c r="K151" i="1" s="1"/>
  <c r="I150" i="1"/>
  <c r="K150" i="1" s="1"/>
  <c r="I149" i="1"/>
  <c r="K149" i="1" s="1"/>
  <c r="I148" i="1"/>
  <c r="K148" i="1" s="1"/>
  <c r="I147" i="1"/>
  <c r="K147" i="1" s="1"/>
  <c r="I146" i="1"/>
  <c r="K146" i="1" s="1"/>
  <c r="I141" i="1"/>
  <c r="K141" i="1" s="1"/>
  <c r="I137" i="1"/>
  <c r="K137" i="1" s="1"/>
  <c r="I136" i="1"/>
  <c r="K136" i="1" s="1"/>
  <c r="I135" i="1"/>
  <c r="K135" i="1" s="1"/>
  <c r="I134" i="1"/>
  <c r="K134" i="1" s="1"/>
  <c r="I133" i="1"/>
  <c r="K133" i="1" s="1"/>
  <c r="I129" i="1"/>
  <c r="K129" i="1" s="1"/>
  <c r="I128" i="1"/>
  <c r="K128" i="1" s="1"/>
  <c r="I127" i="1"/>
  <c r="K127" i="1" s="1"/>
  <c r="I126" i="1"/>
  <c r="K126" i="1" s="1"/>
  <c r="I125" i="1"/>
  <c r="K125" i="1" s="1"/>
  <c r="I124" i="1"/>
  <c r="K124" i="1" s="1"/>
  <c r="I123" i="1"/>
  <c r="K123" i="1" s="1"/>
  <c r="I122" i="1"/>
  <c r="K122" i="1" s="1"/>
  <c r="I121" i="1"/>
  <c r="K121" i="1" s="1"/>
  <c r="I120" i="1"/>
  <c r="K120" i="1" s="1"/>
  <c r="I119" i="1"/>
  <c r="K119" i="1" s="1"/>
  <c r="I118" i="1"/>
  <c r="K118" i="1" s="1"/>
  <c r="I117" i="1"/>
  <c r="K117" i="1" s="1"/>
  <c r="I116" i="1"/>
  <c r="K116" i="1" s="1"/>
  <c r="I112" i="1"/>
  <c r="K112" i="1" s="1"/>
  <c r="I111" i="1"/>
  <c r="K111" i="1" s="1"/>
  <c r="I110" i="1"/>
  <c r="K110" i="1" s="1"/>
  <c r="I106" i="1"/>
  <c r="K106" i="1" s="1"/>
  <c r="I105" i="1"/>
  <c r="K105" i="1" s="1"/>
  <c r="I104" i="1"/>
  <c r="K104" i="1" s="1"/>
  <c r="I103" i="1"/>
  <c r="K103" i="1" s="1"/>
  <c r="I102" i="1"/>
  <c r="K102" i="1" s="1"/>
  <c r="I101" i="1"/>
  <c r="K101" i="1" s="1"/>
  <c r="I100" i="1"/>
  <c r="K100" i="1" s="1"/>
  <c r="I99" i="1"/>
  <c r="K99" i="1" s="1"/>
  <c r="I98" i="1"/>
  <c r="K98" i="1" s="1"/>
  <c r="I97" i="1"/>
  <c r="K97" i="1" s="1"/>
  <c r="I96" i="1"/>
  <c r="K96" i="1" s="1"/>
  <c r="I95" i="1"/>
  <c r="K95" i="1" s="1"/>
  <c r="I94" i="1"/>
  <c r="K94" i="1" s="1"/>
  <c r="I93" i="1"/>
  <c r="K93" i="1" s="1"/>
  <c r="I92" i="1"/>
  <c r="K92" i="1" s="1"/>
  <c r="I91" i="1"/>
  <c r="K91" i="1" s="1"/>
  <c r="I90" i="1"/>
  <c r="K90" i="1" s="1"/>
  <c r="I85" i="1"/>
  <c r="K85" i="1" s="1"/>
  <c r="I84" i="1"/>
  <c r="K84" i="1" s="1"/>
  <c r="I83" i="1"/>
  <c r="K83" i="1" s="1"/>
  <c r="I79" i="1"/>
  <c r="K79" i="1" s="1"/>
  <c r="I78" i="1"/>
  <c r="K78" i="1" s="1"/>
  <c r="I77" i="1"/>
  <c r="K77" i="1" s="1"/>
  <c r="I76" i="1"/>
  <c r="K76" i="1" s="1"/>
  <c r="I75" i="1"/>
  <c r="K75" i="1" s="1"/>
  <c r="I74" i="1"/>
  <c r="K74" i="1" s="1"/>
  <c r="I73" i="1"/>
  <c r="K73" i="1" s="1"/>
  <c r="I72" i="1"/>
  <c r="K72" i="1" s="1"/>
  <c r="I71" i="1"/>
  <c r="K71" i="1" s="1"/>
  <c r="I70" i="1"/>
  <c r="K70" i="1" s="1"/>
  <c r="I69" i="1"/>
  <c r="K69" i="1" s="1"/>
  <c r="I68" i="1"/>
  <c r="K68" i="1" s="1"/>
  <c r="I64" i="1"/>
  <c r="K64" i="1" s="1"/>
  <c r="I63" i="1"/>
  <c r="K63" i="1" s="1"/>
  <c r="I59" i="1"/>
  <c r="K59" i="1" s="1"/>
  <c r="I58" i="1"/>
  <c r="K58" i="1" s="1"/>
  <c r="I57" i="1"/>
  <c r="K57" i="1" s="1"/>
  <c r="I56" i="1"/>
  <c r="K56" i="1" s="1"/>
  <c r="I51" i="1"/>
  <c r="K51" i="1" s="1"/>
  <c r="I50" i="1"/>
  <c r="K50" i="1" s="1"/>
  <c r="I49" i="1"/>
  <c r="K49" i="1" s="1"/>
  <c r="I48" i="1"/>
  <c r="K48" i="1" s="1"/>
  <c r="I44" i="1"/>
  <c r="K44" i="1" s="1"/>
  <c r="I43" i="1"/>
  <c r="K43" i="1" s="1"/>
  <c r="I42" i="1"/>
  <c r="K42" i="1" s="1"/>
  <c r="I41" i="1"/>
  <c r="K41" i="1" s="1"/>
  <c r="I37" i="1"/>
  <c r="K37" i="1" s="1"/>
  <c r="I36" i="1"/>
  <c r="K36" i="1" s="1"/>
  <c r="I35" i="1"/>
  <c r="K35" i="1" s="1"/>
  <c r="I34" i="1"/>
  <c r="K34" i="1" s="1"/>
  <c r="I33" i="1"/>
  <c r="K33" i="1" s="1"/>
  <c r="I32" i="1"/>
  <c r="K32" i="1" s="1"/>
  <c r="I31" i="1"/>
  <c r="K31" i="1" s="1"/>
  <c r="I30" i="1"/>
  <c r="K30" i="1" s="1"/>
  <c r="I29" i="1"/>
  <c r="K29" i="1" s="1"/>
  <c r="I28" i="1"/>
  <c r="K28" i="1" s="1"/>
  <c r="I27" i="1"/>
  <c r="K27" i="1" s="1"/>
  <c r="I26" i="1"/>
  <c r="K26" i="1" s="1"/>
  <c r="I25" i="1"/>
  <c r="K25" i="1" s="1"/>
  <c r="I24" i="1"/>
  <c r="K24" i="1" s="1"/>
  <c r="I23" i="1"/>
  <c r="K23" i="1" s="1"/>
  <c r="I22" i="1"/>
  <c r="K22" i="1" s="1"/>
  <c r="I21" i="1"/>
  <c r="K21" i="1" s="1"/>
  <c r="I20" i="1"/>
  <c r="K20" i="1" s="1"/>
  <c r="I19" i="1"/>
  <c r="K19" i="1" s="1"/>
  <c r="I18" i="1"/>
  <c r="K18" i="1" s="1"/>
  <c r="I14" i="1"/>
  <c r="K14" i="1" s="1"/>
  <c r="I13" i="1"/>
  <c r="K13" i="1" s="1"/>
  <c r="I12" i="1"/>
  <c r="K12" i="1" s="1"/>
  <c r="I11" i="1"/>
  <c r="K11" i="1" s="1"/>
  <c r="I10" i="1"/>
  <c r="K10" i="1" s="1"/>
  <c r="I9" i="1"/>
  <c r="K9" i="1" s="1"/>
  <c r="I8" i="1"/>
  <c r="K8" i="1" s="1"/>
  <c r="K238" i="2" l="1"/>
  <c r="K239" i="2" s="1"/>
  <c r="K240" i="2" s="1"/>
  <c r="L473" i="1"/>
  <c r="E455" i="1" l="1"/>
  <c r="H455" i="1" s="1"/>
  <c r="L455" i="1" s="1"/>
  <c r="E454" i="1"/>
  <c r="H454" i="1" s="1"/>
  <c r="L454" i="1" s="1"/>
  <c r="E453" i="1"/>
  <c r="H453" i="1" s="1"/>
  <c r="L453" i="1" s="1"/>
  <c r="E51" i="1"/>
  <c r="H51" i="1" s="1"/>
  <c r="L51" i="1" s="1"/>
  <c r="E50" i="1"/>
  <c r="H50" i="1" s="1"/>
  <c r="L50" i="1" s="1"/>
  <c r="E70" i="1"/>
  <c r="H70" i="1" s="1"/>
  <c r="L70" i="1" s="1"/>
  <c r="E96" i="1" l="1"/>
  <c r="H96" i="1" s="1"/>
  <c r="L96" i="1" s="1"/>
  <c r="E162" i="1"/>
  <c r="H162" i="1" s="1"/>
  <c r="L162" i="1" s="1"/>
  <c r="E225" i="1"/>
  <c r="H225" i="1" s="1"/>
  <c r="L225" i="1" s="1"/>
  <c r="E211" i="1"/>
  <c r="H211" i="1" s="1"/>
  <c r="L211" i="1" s="1"/>
  <c r="E128" i="1"/>
  <c r="H128" i="1" s="1"/>
  <c r="L128" i="1" s="1"/>
  <c r="E101" i="1"/>
  <c r="H101" i="1" s="1"/>
  <c r="L101" i="1" s="1"/>
  <c r="E365" i="1"/>
  <c r="H365" i="1" s="1"/>
  <c r="L365" i="1" s="1"/>
  <c r="E348" i="1"/>
  <c r="H348" i="1" s="1"/>
  <c r="L348" i="1" s="1"/>
  <c r="E315" i="1"/>
  <c r="H315" i="1" s="1"/>
  <c r="L315" i="1" s="1"/>
  <c r="E303" i="1"/>
  <c r="H303" i="1" s="1"/>
  <c r="L303" i="1" s="1"/>
  <c r="E272" i="1"/>
  <c r="H272" i="1" s="1"/>
  <c r="L272" i="1" s="1"/>
  <c r="E258" i="1"/>
  <c r="H258" i="1" s="1"/>
  <c r="L258" i="1" s="1"/>
  <c r="E223" i="1"/>
  <c r="H223" i="1" s="1"/>
  <c r="L223" i="1" s="1"/>
  <c r="E210" i="1"/>
  <c r="H210" i="1" s="1"/>
  <c r="L210" i="1" s="1"/>
  <c r="E193" i="1"/>
  <c r="H193" i="1" s="1"/>
  <c r="L193" i="1" s="1"/>
  <c r="E160" i="1"/>
  <c r="H160" i="1" s="1"/>
  <c r="L160" i="1" s="1"/>
  <c r="E125" i="1"/>
  <c r="H125" i="1" s="1"/>
  <c r="L125" i="1" s="1"/>
  <c r="E104" i="1"/>
  <c r="H104" i="1" s="1"/>
  <c r="L104" i="1" s="1"/>
  <c r="E363" i="1"/>
  <c r="H363" i="1" s="1"/>
  <c r="L363" i="1" s="1"/>
  <c r="E299" i="1"/>
  <c r="H299" i="1" s="1"/>
  <c r="L299" i="1" s="1"/>
  <c r="E259" i="1"/>
  <c r="H259" i="1" s="1"/>
  <c r="L259" i="1" s="1"/>
  <c r="E274" i="1"/>
  <c r="H274" i="1" s="1"/>
  <c r="L274" i="1" s="1"/>
  <c r="E208" i="1"/>
  <c r="H208" i="1" s="1"/>
  <c r="L208" i="1" s="1"/>
  <c r="E191" i="1"/>
  <c r="H191" i="1" s="1"/>
  <c r="L191" i="1" s="1"/>
  <c r="E169" i="1"/>
  <c r="H169" i="1" s="1"/>
  <c r="L169" i="1" s="1"/>
  <c r="E129" i="1"/>
  <c r="H129" i="1" s="1"/>
  <c r="L129" i="1" s="1"/>
  <c r="E106" i="1"/>
  <c r="H106" i="1" s="1"/>
  <c r="L106" i="1" s="1"/>
  <c r="E415" i="1"/>
  <c r="H415" i="1" s="1"/>
  <c r="L415" i="1" s="1"/>
  <c r="E268" i="1"/>
  <c r="H268" i="1" s="1"/>
  <c r="L268" i="1" s="1"/>
  <c r="E267" i="1"/>
  <c r="H267" i="1" s="1"/>
  <c r="L267" i="1" s="1"/>
  <c r="E266" i="1"/>
  <c r="H266" i="1" s="1"/>
  <c r="L266" i="1" s="1"/>
  <c r="E265" i="1"/>
  <c r="H265" i="1" s="1"/>
  <c r="L265" i="1" s="1"/>
  <c r="E442" i="1" l="1"/>
  <c r="H442" i="1" s="1"/>
  <c r="L442" i="1" s="1"/>
  <c r="E443" i="1"/>
  <c r="H443" i="1" s="1"/>
  <c r="L443" i="1" s="1"/>
  <c r="E441" i="1"/>
  <c r="H441" i="1" s="1"/>
  <c r="L441" i="1" s="1"/>
  <c r="E445" i="1"/>
  <c r="H445" i="1" s="1"/>
  <c r="L445" i="1" s="1"/>
  <c r="E446" i="1"/>
  <c r="H446" i="1" s="1"/>
  <c r="L446" i="1" s="1"/>
  <c r="E447" i="1"/>
  <c r="H447" i="1" s="1"/>
  <c r="L447" i="1" s="1"/>
  <c r="E448" i="1"/>
  <c r="H448" i="1" s="1"/>
  <c r="L448" i="1" s="1"/>
  <c r="E449" i="1"/>
  <c r="H449" i="1" s="1"/>
  <c r="L449" i="1" s="1"/>
  <c r="E444" i="1"/>
  <c r="H444" i="1" s="1"/>
  <c r="L444" i="1" s="1"/>
  <c r="E437" i="1"/>
  <c r="H437" i="1" s="1"/>
  <c r="L437" i="1" s="1"/>
  <c r="E435" i="1"/>
  <c r="H435" i="1" s="1"/>
  <c r="L435" i="1" s="1"/>
  <c r="E436" i="1"/>
  <c r="H436" i="1" s="1"/>
  <c r="L436" i="1" s="1"/>
  <c r="E430" i="1"/>
  <c r="H430" i="1" s="1"/>
  <c r="L430" i="1" s="1"/>
  <c r="E431" i="1"/>
  <c r="H431" i="1" s="1"/>
  <c r="L431" i="1" s="1"/>
  <c r="E421" i="1"/>
  <c r="H421" i="1" s="1"/>
  <c r="L421" i="1" s="1"/>
  <c r="E420" i="1"/>
  <c r="H420" i="1" s="1"/>
  <c r="L420" i="1" s="1"/>
  <c r="E423" i="1"/>
  <c r="H423" i="1" s="1"/>
  <c r="L423" i="1" s="1"/>
  <c r="E424" i="1"/>
  <c r="H424" i="1" s="1"/>
  <c r="L424" i="1" s="1"/>
  <c r="E425" i="1"/>
  <c r="H425" i="1" s="1"/>
  <c r="L425" i="1" s="1"/>
  <c r="E426" i="1"/>
  <c r="H426" i="1" s="1"/>
  <c r="L426" i="1" s="1"/>
  <c r="E422" i="1"/>
  <c r="H422" i="1" s="1"/>
  <c r="L422" i="1" s="1"/>
  <c r="E404" i="1"/>
  <c r="H404" i="1" s="1"/>
  <c r="L404" i="1" s="1"/>
  <c r="E405" i="1"/>
  <c r="H405" i="1" s="1"/>
  <c r="L405" i="1" s="1"/>
  <c r="E406" i="1"/>
  <c r="H406" i="1" s="1"/>
  <c r="L406" i="1" s="1"/>
  <c r="E403" i="1"/>
  <c r="H403" i="1" s="1"/>
  <c r="L403" i="1" s="1"/>
  <c r="E408" i="1"/>
  <c r="H408" i="1" s="1"/>
  <c r="L408" i="1" s="1"/>
  <c r="E409" i="1"/>
  <c r="H409" i="1" s="1"/>
  <c r="L409" i="1" s="1"/>
  <c r="E410" i="1"/>
  <c r="H410" i="1" s="1"/>
  <c r="L410" i="1" s="1"/>
  <c r="E411" i="1"/>
  <c r="H411" i="1" s="1"/>
  <c r="L411" i="1" s="1"/>
  <c r="E412" i="1"/>
  <c r="H412" i="1" s="1"/>
  <c r="L412" i="1" s="1"/>
  <c r="E413" i="1"/>
  <c r="H413" i="1" s="1"/>
  <c r="L413" i="1" s="1"/>
  <c r="E414" i="1"/>
  <c r="H414" i="1" s="1"/>
  <c r="L414" i="1" s="1"/>
  <c r="E407" i="1"/>
  <c r="H407" i="1" s="1"/>
  <c r="L407" i="1" s="1"/>
  <c r="E398" i="1"/>
  <c r="H398" i="1" s="1"/>
  <c r="L398" i="1" s="1"/>
  <c r="E399" i="1"/>
  <c r="H399" i="1" s="1"/>
  <c r="L399" i="1" s="1"/>
  <c r="E397" i="1"/>
  <c r="H397" i="1" s="1"/>
  <c r="L397" i="1" s="1"/>
  <c r="E396" i="1"/>
  <c r="H396" i="1" s="1"/>
  <c r="L396" i="1" s="1"/>
  <c r="E395" i="1"/>
  <c r="H395" i="1" s="1"/>
  <c r="L395" i="1" s="1"/>
  <c r="E391" i="1"/>
  <c r="H391" i="1" s="1"/>
  <c r="L391" i="1" s="1"/>
  <c r="E389" i="1"/>
  <c r="H389" i="1" s="1"/>
  <c r="L389" i="1" s="1"/>
  <c r="E390" i="1"/>
  <c r="H390" i="1" s="1"/>
  <c r="L390" i="1" s="1"/>
  <c r="E381" i="1"/>
  <c r="H381" i="1" s="1"/>
  <c r="L381" i="1" s="1"/>
  <c r="E383" i="1"/>
  <c r="H383" i="1" s="1"/>
  <c r="L383" i="1" s="1"/>
  <c r="E384" i="1"/>
  <c r="H384" i="1" s="1"/>
  <c r="L384" i="1" s="1"/>
  <c r="E380" i="1"/>
  <c r="E382" i="1"/>
  <c r="H382" i="1" s="1"/>
  <c r="L382" i="1" s="1"/>
  <c r="E373" i="1"/>
  <c r="H373" i="1" s="1"/>
  <c r="L373" i="1" s="1"/>
  <c r="E375" i="1"/>
  <c r="H375" i="1" s="1"/>
  <c r="L375" i="1" s="1"/>
  <c r="E376" i="1"/>
  <c r="H376" i="1" s="1"/>
  <c r="L376" i="1" s="1"/>
  <c r="E374" i="1"/>
  <c r="H374" i="1" s="1"/>
  <c r="L374" i="1" s="1"/>
  <c r="E355" i="1"/>
  <c r="H355" i="1" s="1"/>
  <c r="L355" i="1" s="1"/>
  <c r="E356" i="1"/>
  <c r="H356" i="1" s="1"/>
  <c r="L356" i="1" s="1"/>
  <c r="E357" i="1"/>
  <c r="H357" i="1" s="1"/>
  <c r="L357" i="1" s="1"/>
  <c r="E354" i="1"/>
  <c r="H354" i="1" s="1"/>
  <c r="L354" i="1" s="1"/>
  <c r="E359" i="1"/>
  <c r="H359" i="1" s="1"/>
  <c r="L359" i="1" s="1"/>
  <c r="E360" i="1"/>
  <c r="H360" i="1" s="1"/>
  <c r="L360" i="1" s="1"/>
  <c r="E361" i="1"/>
  <c r="H361" i="1" s="1"/>
  <c r="L361" i="1" s="1"/>
  <c r="E362" i="1"/>
  <c r="H362" i="1" s="1"/>
  <c r="L362" i="1" s="1"/>
  <c r="E364" i="1"/>
  <c r="H364" i="1" s="1"/>
  <c r="L364" i="1" s="1"/>
  <c r="E366" i="1"/>
  <c r="H366" i="1" s="1"/>
  <c r="L366" i="1" s="1"/>
  <c r="E367" i="1"/>
  <c r="H367" i="1" s="1"/>
  <c r="L367" i="1" s="1"/>
  <c r="E368" i="1"/>
  <c r="H368" i="1" s="1"/>
  <c r="L368" i="1" s="1"/>
  <c r="E369" i="1"/>
  <c r="H369" i="1" s="1"/>
  <c r="L369" i="1" s="1"/>
  <c r="E358" i="1"/>
  <c r="H358" i="1" s="1"/>
  <c r="L358" i="1" s="1"/>
  <c r="E341" i="1"/>
  <c r="H341" i="1" s="1"/>
  <c r="L341" i="1" s="1"/>
  <c r="E342" i="1"/>
  <c r="H342" i="1" s="1"/>
  <c r="L342" i="1" s="1"/>
  <c r="E343" i="1"/>
  <c r="H343" i="1" s="1"/>
  <c r="L343" i="1" s="1"/>
  <c r="E340" i="1"/>
  <c r="H340" i="1" s="1"/>
  <c r="L340" i="1" s="1"/>
  <c r="E345" i="1"/>
  <c r="H345" i="1" s="1"/>
  <c r="L345" i="1" s="1"/>
  <c r="E346" i="1"/>
  <c r="H346" i="1" s="1"/>
  <c r="L346" i="1" s="1"/>
  <c r="E347" i="1"/>
  <c r="H347" i="1" s="1"/>
  <c r="L347" i="1" s="1"/>
  <c r="E349" i="1"/>
  <c r="H349" i="1" s="1"/>
  <c r="L349" i="1" s="1"/>
  <c r="E350" i="1"/>
  <c r="H350" i="1" s="1"/>
  <c r="L350" i="1" s="1"/>
  <c r="E344" i="1"/>
  <c r="H344" i="1" s="1"/>
  <c r="L344" i="1" s="1"/>
  <c r="E334" i="1"/>
  <c r="H334" i="1" s="1"/>
  <c r="L334" i="1" s="1"/>
  <c r="E333" i="1"/>
  <c r="H333" i="1" s="1"/>
  <c r="L333" i="1" s="1"/>
  <c r="E336" i="1"/>
  <c r="H336" i="1" s="1"/>
  <c r="L336" i="1" s="1"/>
  <c r="E335" i="1"/>
  <c r="H335" i="1" s="1"/>
  <c r="L335" i="1" s="1"/>
  <c r="E328" i="1"/>
  <c r="H328" i="1" s="1"/>
  <c r="L328" i="1" s="1"/>
  <c r="E322" i="1"/>
  <c r="H322" i="1" s="1"/>
  <c r="L322" i="1" s="1"/>
  <c r="E324" i="1"/>
  <c r="H324" i="1" s="1"/>
  <c r="L324" i="1" s="1"/>
  <c r="E323" i="1"/>
  <c r="H323" i="1" s="1"/>
  <c r="L323" i="1" s="1"/>
  <c r="E309" i="1"/>
  <c r="H309" i="1" s="1"/>
  <c r="L309" i="1" s="1"/>
  <c r="E310" i="1"/>
  <c r="H310" i="1" s="1"/>
  <c r="L310" i="1" s="1"/>
  <c r="E311" i="1"/>
  <c r="H311" i="1" s="1"/>
  <c r="L311" i="1" s="1"/>
  <c r="E308" i="1"/>
  <c r="H308" i="1" s="1"/>
  <c r="L308" i="1" s="1"/>
  <c r="E313" i="1"/>
  <c r="H313" i="1" s="1"/>
  <c r="L313" i="1" s="1"/>
  <c r="E314" i="1"/>
  <c r="H314" i="1" s="1"/>
  <c r="L314" i="1" s="1"/>
  <c r="E316" i="1"/>
  <c r="H316" i="1" s="1"/>
  <c r="L316" i="1" s="1"/>
  <c r="E317" i="1"/>
  <c r="H317" i="1" s="1"/>
  <c r="L317" i="1" s="1"/>
  <c r="E318" i="1"/>
  <c r="H318" i="1" s="1"/>
  <c r="L318" i="1" s="1"/>
  <c r="E312" i="1"/>
  <c r="H312" i="1" s="1"/>
  <c r="L312" i="1" s="1"/>
  <c r="E292" i="1"/>
  <c r="H292" i="1" s="1"/>
  <c r="L292" i="1" s="1"/>
  <c r="E293" i="1"/>
  <c r="H293" i="1" s="1"/>
  <c r="L293" i="1" s="1"/>
  <c r="E294" i="1"/>
  <c r="H294" i="1" s="1"/>
  <c r="L294" i="1" s="1"/>
  <c r="E296" i="1"/>
  <c r="H296" i="1" s="1"/>
  <c r="L296" i="1" s="1"/>
  <c r="E297" i="1"/>
  <c r="H297" i="1" s="1"/>
  <c r="L297" i="1" s="1"/>
  <c r="E298" i="1"/>
  <c r="H298" i="1" s="1"/>
  <c r="L298" i="1" s="1"/>
  <c r="E300" i="1"/>
  <c r="H300" i="1" s="1"/>
  <c r="L300" i="1" s="1"/>
  <c r="E301" i="1"/>
  <c r="H301" i="1" s="1"/>
  <c r="L301" i="1" s="1"/>
  <c r="E302" i="1"/>
  <c r="H302" i="1" s="1"/>
  <c r="L302" i="1" s="1"/>
  <c r="E304" i="1"/>
  <c r="H304" i="1" s="1"/>
  <c r="L304" i="1" s="1"/>
  <c r="E295" i="1"/>
  <c r="H295" i="1" s="1"/>
  <c r="L295" i="1" s="1"/>
  <c r="E291" i="1"/>
  <c r="H291" i="1" s="1"/>
  <c r="L291" i="1" s="1"/>
  <c r="E286" i="1"/>
  <c r="H286" i="1" s="1"/>
  <c r="L286" i="1" s="1"/>
  <c r="E280" i="1"/>
  <c r="H280" i="1" s="1"/>
  <c r="L280" i="1" s="1"/>
  <c r="E282" i="1"/>
  <c r="H282" i="1" s="1"/>
  <c r="L282" i="1" s="1"/>
  <c r="E281" i="1"/>
  <c r="H281" i="1" s="1"/>
  <c r="L281" i="1" s="1"/>
  <c r="E270" i="1"/>
  <c r="H270" i="1" s="1"/>
  <c r="L270" i="1" s="1"/>
  <c r="E271" i="1"/>
  <c r="H271" i="1" s="1"/>
  <c r="L271" i="1" s="1"/>
  <c r="E273" i="1"/>
  <c r="H273" i="1" s="1"/>
  <c r="L273" i="1" s="1"/>
  <c r="E275" i="1"/>
  <c r="H275" i="1" s="1"/>
  <c r="L275" i="1" s="1"/>
  <c r="E276" i="1"/>
  <c r="H276" i="1" s="1"/>
  <c r="L276" i="1" s="1"/>
  <c r="E269" i="1"/>
  <c r="H269" i="1" s="1"/>
  <c r="L269" i="1" s="1"/>
  <c r="E244" i="1"/>
  <c r="H244" i="1" s="1"/>
  <c r="L244" i="1" s="1"/>
  <c r="E245" i="1"/>
  <c r="H245" i="1" s="1"/>
  <c r="L245" i="1" s="1"/>
  <c r="E246" i="1"/>
  <c r="H246" i="1" s="1"/>
  <c r="L246" i="1" s="1"/>
  <c r="E247" i="1"/>
  <c r="H247" i="1" s="1"/>
  <c r="L247" i="1" s="1"/>
  <c r="E243" i="1"/>
  <c r="H243" i="1" s="1"/>
  <c r="L243" i="1" s="1"/>
  <c r="E249" i="1"/>
  <c r="H249" i="1" s="1"/>
  <c r="L249" i="1" s="1"/>
  <c r="E250" i="1"/>
  <c r="H250" i="1" s="1"/>
  <c r="L250" i="1" s="1"/>
  <c r="E251" i="1"/>
  <c r="H251" i="1" s="1"/>
  <c r="L251" i="1" s="1"/>
  <c r="E252" i="1"/>
  <c r="H252" i="1" s="1"/>
  <c r="L252" i="1" s="1"/>
  <c r="E253" i="1"/>
  <c r="H253" i="1" s="1"/>
  <c r="L253" i="1" s="1"/>
  <c r="E254" i="1"/>
  <c r="H254" i="1" s="1"/>
  <c r="L254" i="1" s="1"/>
  <c r="E255" i="1"/>
  <c r="H255" i="1" s="1"/>
  <c r="L255" i="1" s="1"/>
  <c r="E256" i="1"/>
  <c r="H256" i="1" s="1"/>
  <c r="L256" i="1" s="1"/>
  <c r="E257" i="1"/>
  <c r="H257" i="1" s="1"/>
  <c r="L257" i="1" s="1"/>
  <c r="E260" i="1"/>
  <c r="H260" i="1" s="1"/>
  <c r="L260" i="1" s="1"/>
  <c r="E261" i="1"/>
  <c r="H261" i="1" s="1"/>
  <c r="L261" i="1" s="1"/>
  <c r="E248" i="1"/>
  <c r="H248" i="1" s="1"/>
  <c r="L248" i="1" s="1"/>
  <c r="E237" i="1"/>
  <c r="H237" i="1" s="1"/>
  <c r="L237" i="1" s="1"/>
  <c r="E238" i="1"/>
  <c r="H238" i="1" s="1"/>
  <c r="L238" i="1" s="1"/>
  <c r="E233" i="1"/>
  <c r="H233" i="1" s="1"/>
  <c r="L233" i="1" s="1"/>
  <c r="E232" i="1"/>
  <c r="H232" i="1" s="1"/>
  <c r="L232" i="1" s="1"/>
  <c r="E231" i="1"/>
  <c r="H231" i="1" s="1"/>
  <c r="L231" i="1" s="1"/>
  <c r="E218" i="1"/>
  <c r="H218" i="1" s="1"/>
  <c r="L218" i="1" s="1"/>
  <c r="E219" i="1"/>
  <c r="H219" i="1" s="1"/>
  <c r="L219" i="1" s="1"/>
  <c r="E217" i="1"/>
  <c r="H217" i="1" s="1"/>
  <c r="L217" i="1" s="1"/>
  <c r="E221" i="1"/>
  <c r="H221" i="1" s="1"/>
  <c r="L221" i="1" s="1"/>
  <c r="E222" i="1"/>
  <c r="H222" i="1" s="1"/>
  <c r="L222" i="1" s="1"/>
  <c r="E224" i="1"/>
  <c r="H224" i="1" s="1"/>
  <c r="L224" i="1" s="1"/>
  <c r="E226" i="1"/>
  <c r="H226" i="1" s="1"/>
  <c r="L226" i="1" s="1"/>
  <c r="E227" i="1"/>
  <c r="H227" i="1" s="1"/>
  <c r="L227" i="1" s="1"/>
  <c r="E220" i="1"/>
  <c r="H220" i="1" s="1"/>
  <c r="L220" i="1" s="1"/>
  <c r="E204" i="1"/>
  <c r="H204" i="1" s="1"/>
  <c r="L204" i="1" s="1"/>
  <c r="H380" i="1" l="1"/>
  <c r="K380" i="1"/>
  <c r="K523" i="1" s="1"/>
  <c r="E202" i="1"/>
  <c r="H202" i="1" s="1"/>
  <c r="L202" i="1" s="1"/>
  <c r="E203" i="1"/>
  <c r="H203" i="1" s="1"/>
  <c r="L203" i="1" s="1"/>
  <c r="E213" i="1"/>
  <c r="H213" i="1" s="1"/>
  <c r="L213" i="1" s="1"/>
  <c r="E206" i="1"/>
  <c r="H206" i="1" s="1"/>
  <c r="L206" i="1" s="1"/>
  <c r="E207" i="1"/>
  <c r="H207" i="1" s="1"/>
  <c r="L207" i="1" s="1"/>
  <c r="E209" i="1"/>
  <c r="H209" i="1" s="1"/>
  <c r="L209" i="1" s="1"/>
  <c r="E212" i="1"/>
  <c r="H212" i="1" s="1"/>
  <c r="L212" i="1" s="1"/>
  <c r="E205" i="1"/>
  <c r="H205" i="1" s="1"/>
  <c r="L205" i="1" s="1"/>
  <c r="E181" i="1"/>
  <c r="H181" i="1" s="1"/>
  <c r="L181" i="1" s="1"/>
  <c r="E182" i="1"/>
  <c r="H182" i="1" s="1"/>
  <c r="L182" i="1" s="1"/>
  <c r="E183" i="1"/>
  <c r="H183" i="1" s="1"/>
  <c r="L183" i="1" s="1"/>
  <c r="L380" i="1" l="1"/>
  <c r="E180" i="1"/>
  <c r="H180" i="1" s="1"/>
  <c r="L180" i="1" s="1"/>
  <c r="E185" i="1"/>
  <c r="H185" i="1" s="1"/>
  <c r="L185" i="1" s="1"/>
  <c r="E187" i="1"/>
  <c r="H187" i="1" s="1"/>
  <c r="L187" i="1" s="1"/>
  <c r="E188" i="1"/>
  <c r="H188" i="1" s="1"/>
  <c r="L188" i="1" s="1"/>
  <c r="E189" i="1"/>
  <c r="H189" i="1" s="1"/>
  <c r="L189" i="1" s="1"/>
  <c r="E190" i="1"/>
  <c r="H190" i="1" s="1"/>
  <c r="L190" i="1" s="1"/>
  <c r="E192" i="1"/>
  <c r="H192" i="1" s="1"/>
  <c r="L192" i="1" s="1"/>
  <c r="E194" i="1"/>
  <c r="H194" i="1" s="1"/>
  <c r="L194" i="1" s="1"/>
  <c r="E195" i="1"/>
  <c r="H195" i="1" s="1"/>
  <c r="L195" i="1" s="1"/>
  <c r="E196" i="1"/>
  <c r="H196" i="1" s="1"/>
  <c r="L196" i="1" s="1"/>
  <c r="E197" i="1"/>
  <c r="H197" i="1" s="1"/>
  <c r="L197" i="1" s="1"/>
  <c r="E184" i="1"/>
  <c r="H184" i="1" s="1"/>
  <c r="L184" i="1" s="1"/>
  <c r="E175" i="1"/>
  <c r="H175" i="1" s="1"/>
  <c r="L175" i="1" s="1"/>
  <c r="E176" i="1"/>
  <c r="H176" i="1" s="1"/>
  <c r="L176" i="1" s="1"/>
  <c r="E174" i="1"/>
  <c r="H174" i="1" s="1"/>
  <c r="L174" i="1" s="1"/>
  <c r="E173" i="1"/>
  <c r="H173" i="1" s="1"/>
  <c r="L173" i="1" s="1"/>
  <c r="E147" i="1"/>
  <c r="H147" i="1" s="1"/>
  <c r="L147" i="1" s="1"/>
  <c r="E148" i="1"/>
  <c r="H148" i="1" s="1"/>
  <c r="L148" i="1" s="1"/>
  <c r="E149" i="1"/>
  <c r="H149" i="1" s="1"/>
  <c r="L149" i="1" s="1"/>
  <c r="E150" i="1"/>
  <c r="H150" i="1" s="1"/>
  <c r="L150" i="1" s="1"/>
  <c r="E146" i="1"/>
  <c r="H146" i="1" s="1"/>
  <c r="L146" i="1" s="1"/>
  <c r="E141" i="1"/>
  <c r="H141" i="1" s="1"/>
  <c r="L141" i="1" s="1"/>
  <c r="E161" i="1"/>
  <c r="H161" i="1" s="1"/>
  <c r="L161" i="1" s="1"/>
  <c r="E163" i="1"/>
  <c r="H163" i="1" s="1"/>
  <c r="L163" i="1" s="1"/>
  <c r="E164" i="1"/>
  <c r="H164" i="1" s="1"/>
  <c r="L164" i="1" s="1"/>
  <c r="E165" i="1"/>
  <c r="H165" i="1" s="1"/>
  <c r="L165" i="1" s="1"/>
  <c r="E166" i="1"/>
  <c r="H166" i="1" s="1"/>
  <c r="L166" i="1" s="1"/>
  <c r="E167" i="1"/>
  <c r="H167" i="1" s="1"/>
  <c r="L167" i="1" s="1"/>
  <c r="E168" i="1"/>
  <c r="H168" i="1" s="1"/>
  <c r="L168" i="1" s="1"/>
  <c r="E152" i="1"/>
  <c r="H152" i="1" s="1"/>
  <c r="L152" i="1" s="1"/>
  <c r="E153" i="1"/>
  <c r="H153" i="1" s="1"/>
  <c r="L153" i="1" s="1"/>
  <c r="E154" i="1"/>
  <c r="H154" i="1" s="1"/>
  <c r="L154" i="1" s="1"/>
  <c r="E117" i="1"/>
  <c r="H117" i="1" s="1"/>
  <c r="L117" i="1" s="1"/>
  <c r="E118" i="1"/>
  <c r="H118" i="1" s="1"/>
  <c r="L118" i="1" s="1"/>
  <c r="E119" i="1"/>
  <c r="H119" i="1" s="1"/>
  <c r="L119" i="1" s="1"/>
  <c r="E116" i="1"/>
  <c r="H116" i="1" s="1"/>
  <c r="L116" i="1" s="1"/>
  <c r="E112" i="1"/>
  <c r="H112" i="1" s="1"/>
  <c r="L112" i="1" s="1"/>
  <c r="E111" i="1"/>
  <c r="H111" i="1" s="1"/>
  <c r="L111" i="1" s="1"/>
  <c r="E91" i="1"/>
  <c r="H91" i="1" s="1"/>
  <c r="L91" i="1" s="1"/>
  <c r="E92" i="1"/>
  <c r="H92" i="1" s="1"/>
  <c r="L92" i="1" s="1"/>
  <c r="E93" i="1"/>
  <c r="H93" i="1" s="1"/>
  <c r="L93" i="1" s="1"/>
  <c r="E90" i="1"/>
  <c r="H90" i="1" s="1"/>
  <c r="L90" i="1" s="1"/>
  <c r="E75" i="1"/>
  <c r="H75" i="1" s="1"/>
  <c r="L75" i="1" s="1"/>
  <c r="E69" i="1"/>
  <c r="H69" i="1" s="1"/>
  <c r="L69" i="1" s="1"/>
  <c r="E68" i="1"/>
  <c r="H68" i="1" s="1"/>
  <c r="L68" i="1" s="1"/>
  <c r="E19" i="1"/>
  <c r="H19" i="1" s="1"/>
  <c r="L19" i="1" s="1"/>
  <c r="E20" i="1"/>
  <c r="H20" i="1" s="1"/>
  <c r="L20" i="1" s="1"/>
  <c r="E21" i="1"/>
  <c r="H21" i="1" s="1"/>
  <c r="L21" i="1" s="1"/>
  <c r="E22" i="1"/>
  <c r="H22" i="1" s="1"/>
  <c r="L22" i="1" s="1"/>
  <c r="E18" i="1"/>
  <c r="H18" i="1" s="1"/>
  <c r="L18" i="1" s="1"/>
  <c r="E9" i="1"/>
  <c r="H9" i="1" s="1"/>
  <c r="L9" i="1" s="1"/>
  <c r="E8" i="1"/>
  <c r="H8" i="1" s="1"/>
  <c r="E476" i="1"/>
  <c r="H476" i="1" s="1"/>
  <c r="L476" i="1" s="1"/>
  <c r="E477" i="1"/>
  <c r="H477" i="1" s="1"/>
  <c r="L477" i="1" s="1"/>
  <c r="E478" i="1"/>
  <c r="H478" i="1" s="1"/>
  <c r="L478" i="1" s="1"/>
  <c r="E479" i="1"/>
  <c r="H479" i="1" s="1"/>
  <c r="L479" i="1" s="1"/>
  <c r="E480" i="1"/>
  <c r="H480" i="1" s="1"/>
  <c r="L480" i="1" s="1"/>
  <c r="E481" i="1"/>
  <c r="H481" i="1" s="1"/>
  <c r="L481" i="1" s="1"/>
  <c r="E482" i="1"/>
  <c r="H482" i="1" s="1"/>
  <c r="L482" i="1" s="1"/>
  <c r="E483" i="1"/>
  <c r="H483" i="1" s="1"/>
  <c r="L483" i="1" s="1"/>
  <c r="E484" i="1"/>
  <c r="H484" i="1" s="1"/>
  <c r="L484" i="1" s="1"/>
  <c r="E485" i="1"/>
  <c r="H485" i="1" s="1"/>
  <c r="L485" i="1" s="1"/>
  <c r="E486" i="1"/>
  <c r="H486" i="1" s="1"/>
  <c r="L486" i="1" s="1"/>
  <c r="E487" i="1"/>
  <c r="H487" i="1" s="1"/>
  <c r="L487" i="1" s="1"/>
  <c r="E488" i="1"/>
  <c r="H488" i="1" s="1"/>
  <c r="L488" i="1" s="1"/>
  <c r="E489" i="1"/>
  <c r="H489" i="1" s="1"/>
  <c r="L489" i="1" s="1"/>
  <c r="E490" i="1"/>
  <c r="H490" i="1" s="1"/>
  <c r="L490" i="1" s="1"/>
  <c r="E491" i="1"/>
  <c r="H491" i="1" s="1"/>
  <c r="L491" i="1" s="1"/>
  <c r="E492" i="1"/>
  <c r="H492" i="1" s="1"/>
  <c r="L492" i="1" s="1"/>
  <c r="E493" i="1"/>
  <c r="H493" i="1" s="1"/>
  <c r="L493" i="1" s="1"/>
  <c r="E494" i="1"/>
  <c r="H494" i="1" s="1"/>
  <c r="L494" i="1" s="1"/>
  <c r="E495" i="1"/>
  <c r="H495" i="1" s="1"/>
  <c r="L495" i="1" s="1"/>
  <c r="E496" i="1"/>
  <c r="H496" i="1" s="1"/>
  <c r="L496" i="1" s="1"/>
  <c r="E497" i="1"/>
  <c r="H497" i="1" s="1"/>
  <c r="L497" i="1" s="1"/>
  <c r="E498" i="1"/>
  <c r="H498" i="1" s="1"/>
  <c r="L498" i="1" s="1"/>
  <c r="E499" i="1"/>
  <c r="H499" i="1" s="1"/>
  <c r="L499" i="1" s="1"/>
  <c r="E500" i="1"/>
  <c r="H500" i="1" s="1"/>
  <c r="L500" i="1" s="1"/>
  <c r="E501" i="1"/>
  <c r="H501" i="1" s="1"/>
  <c r="L501" i="1" s="1"/>
  <c r="E502" i="1"/>
  <c r="H502" i="1" s="1"/>
  <c r="L502" i="1" s="1"/>
  <c r="E503" i="1"/>
  <c r="H503" i="1" s="1"/>
  <c r="L503" i="1" s="1"/>
  <c r="E504" i="1"/>
  <c r="H504" i="1" s="1"/>
  <c r="L504" i="1" s="1"/>
  <c r="E458" i="1"/>
  <c r="H458" i="1" s="1"/>
  <c r="L458" i="1" s="1"/>
  <c r="E459" i="1"/>
  <c r="H459" i="1" s="1"/>
  <c r="L459" i="1" s="1"/>
  <c r="E460" i="1"/>
  <c r="H460" i="1" s="1"/>
  <c r="L460" i="1" s="1"/>
  <c r="E461" i="1"/>
  <c r="H461" i="1" s="1"/>
  <c r="L461" i="1" s="1"/>
  <c r="E462" i="1"/>
  <c r="H462" i="1" s="1"/>
  <c r="L462" i="1" s="1"/>
  <c r="L8" i="1" l="1"/>
  <c r="E79" i="1"/>
  <c r="H79" i="1" s="1"/>
  <c r="L79" i="1" s="1"/>
  <c r="E475" i="1"/>
  <c r="H475" i="1" s="1"/>
  <c r="L475" i="1" s="1"/>
  <c r="E77" i="1" l="1"/>
  <c r="H77" i="1" s="1"/>
  <c r="L77" i="1" s="1"/>
  <c r="E76" i="1"/>
  <c r="H76" i="1" s="1"/>
  <c r="L76" i="1" s="1"/>
  <c r="E78" i="1"/>
  <c r="H78" i="1" s="1"/>
  <c r="L78" i="1" s="1"/>
  <c r="E159" i="1"/>
  <c r="H159" i="1" s="1"/>
  <c r="L159" i="1" s="1"/>
  <c r="E24" i="1" l="1"/>
  <c r="H24" i="1" s="1"/>
  <c r="L24" i="1" s="1"/>
  <c r="E25" i="1"/>
  <c r="H25" i="1" s="1"/>
  <c r="L25" i="1" s="1"/>
  <c r="E26" i="1"/>
  <c r="H26" i="1" s="1"/>
  <c r="L26" i="1" s="1"/>
  <c r="E27" i="1"/>
  <c r="H27" i="1" s="1"/>
  <c r="L27" i="1" s="1"/>
  <c r="E28" i="1"/>
  <c r="H28" i="1" s="1"/>
  <c r="L28" i="1" s="1"/>
  <c r="E29" i="1"/>
  <c r="H29" i="1" s="1"/>
  <c r="L29" i="1" s="1"/>
  <c r="E30" i="1"/>
  <c r="H30" i="1" s="1"/>
  <c r="L30" i="1" s="1"/>
  <c r="E31" i="1"/>
  <c r="H31" i="1" s="1"/>
  <c r="L31" i="1" s="1"/>
  <c r="E32" i="1"/>
  <c r="H32" i="1" s="1"/>
  <c r="L32" i="1" s="1"/>
  <c r="E33" i="1"/>
  <c r="H33" i="1" s="1"/>
  <c r="L33" i="1" s="1"/>
  <c r="E34" i="1"/>
  <c r="H34" i="1" s="1"/>
  <c r="L34" i="1" s="1"/>
  <c r="E35" i="1"/>
  <c r="H35" i="1" s="1"/>
  <c r="L35" i="1" s="1"/>
  <c r="E36" i="1"/>
  <c r="H36" i="1" s="1"/>
  <c r="L36" i="1" s="1"/>
  <c r="E37" i="1"/>
  <c r="H37" i="1" s="1"/>
  <c r="L37" i="1" s="1"/>
  <c r="E42" i="1"/>
  <c r="H42" i="1" s="1"/>
  <c r="L42" i="1" s="1"/>
  <c r="E43" i="1"/>
  <c r="H43" i="1" s="1"/>
  <c r="L43" i="1" s="1"/>
  <c r="E44" i="1"/>
  <c r="H44" i="1" s="1"/>
  <c r="L44" i="1" s="1"/>
  <c r="E41" i="1"/>
  <c r="H41" i="1" s="1"/>
  <c r="L41" i="1" s="1"/>
  <c r="E49" i="1"/>
  <c r="H49" i="1" s="1"/>
  <c r="L49" i="1" s="1"/>
  <c r="E48" i="1"/>
  <c r="H48" i="1" s="1"/>
  <c r="L48" i="1" s="1"/>
  <c r="E57" i="1"/>
  <c r="H57" i="1" s="1"/>
  <c r="L57" i="1" s="1"/>
  <c r="E58" i="1"/>
  <c r="H58" i="1" s="1"/>
  <c r="L58" i="1" s="1"/>
  <c r="E59" i="1"/>
  <c r="H59" i="1" s="1"/>
  <c r="L59" i="1" s="1"/>
  <c r="E56" i="1"/>
  <c r="H56" i="1" s="1"/>
  <c r="L56" i="1" s="1"/>
  <c r="E64" i="1"/>
  <c r="H64" i="1" s="1"/>
  <c r="L64" i="1" s="1"/>
  <c r="E63" i="1"/>
  <c r="H63" i="1" s="1"/>
  <c r="L63" i="1" s="1"/>
  <c r="E71" i="1"/>
  <c r="H71" i="1" s="1"/>
  <c r="L71" i="1" s="1"/>
  <c r="E72" i="1"/>
  <c r="H72" i="1" s="1"/>
  <c r="L72" i="1" s="1"/>
  <c r="E73" i="1"/>
  <c r="H73" i="1" s="1"/>
  <c r="L73" i="1" s="1"/>
  <c r="E74" i="1"/>
  <c r="H74" i="1" s="1"/>
  <c r="L74" i="1" s="1"/>
  <c r="E84" i="1"/>
  <c r="H84" i="1" s="1"/>
  <c r="L84" i="1" s="1"/>
  <c r="E85" i="1"/>
  <c r="H85" i="1" s="1"/>
  <c r="L85" i="1" s="1"/>
  <c r="E83" i="1"/>
  <c r="H83" i="1" s="1"/>
  <c r="L83" i="1" s="1"/>
  <c r="E94" i="1"/>
  <c r="H94" i="1" s="1"/>
  <c r="L94" i="1" s="1"/>
  <c r="E95" i="1"/>
  <c r="H95" i="1" s="1"/>
  <c r="L95" i="1" s="1"/>
  <c r="E97" i="1"/>
  <c r="H97" i="1" s="1"/>
  <c r="L97" i="1" s="1"/>
  <c r="E98" i="1"/>
  <c r="H98" i="1" s="1"/>
  <c r="L98" i="1" s="1"/>
  <c r="E99" i="1"/>
  <c r="H99" i="1" s="1"/>
  <c r="L99" i="1" s="1"/>
  <c r="E100" i="1"/>
  <c r="H100" i="1" s="1"/>
  <c r="L100" i="1" s="1"/>
  <c r="E102" i="1"/>
  <c r="H102" i="1" s="1"/>
  <c r="L102" i="1" s="1"/>
  <c r="E103" i="1"/>
  <c r="H103" i="1" s="1"/>
  <c r="L103" i="1" s="1"/>
  <c r="E105" i="1"/>
  <c r="H105" i="1" s="1"/>
  <c r="L105" i="1" s="1"/>
  <c r="E110" i="1"/>
  <c r="H110" i="1" s="1"/>
  <c r="L110" i="1" s="1"/>
  <c r="E120" i="1"/>
  <c r="H120" i="1" s="1"/>
  <c r="L120" i="1" s="1"/>
  <c r="E121" i="1"/>
  <c r="H121" i="1" s="1"/>
  <c r="L121" i="1" s="1"/>
  <c r="E122" i="1"/>
  <c r="H122" i="1" s="1"/>
  <c r="L122" i="1" s="1"/>
  <c r="E123" i="1"/>
  <c r="H123" i="1" s="1"/>
  <c r="L123" i="1" s="1"/>
  <c r="E124" i="1"/>
  <c r="H124" i="1" s="1"/>
  <c r="L124" i="1" s="1"/>
  <c r="E126" i="1"/>
  <c r="H126" i="1" s="1"/>
  <c r="L126" i="1" s="1"/>
  <c r="E127" i="1"/>
  <c r="H127" i="1" s="1"/>
  <c r="L127" i="1" s="1"/>
  <c r="E135" i="1"/>
  <c r="H135" i="1" s="1"/>
  <c r="L135" i="1" s="1"/>
  <c r="E136" i="1"/>
  <c r="H136" i="1" s="1"/>
  <c r="L136" i="1" s="1"/>
  <c r="E137" i="1"/>
  <c r="H137" i="1" s="1"/>
  <c r="L137" i="1" s="1"/>
  <c r="E133" i="1"/>
  <c r="H133" i="1" s="1"/>
  <c r="L133" i="1" s="1"/>
  <c r="E134" i="1"/>
  <c r="H134" i="1" s="1"/>
  <c r="L134" i="1" s="1"/>
  <c r="E151" i="1"/>
  <c r="H151" i="1" s="1"/>
  <c r="L151" i="1" s="1"/>
  <c r="E155" i="1"/>
  <c r="H155" i="1" s="1"/>
  <c r="L155" i="1" s="1"/>
  <c r="E156" i="1"/>
  <c r="H156" i="1" s="1"/>
  <c r="L156" i="1" s="1"/>
  <c r="E157" i="1"/>
  <c r="H157" i="1" s="1"/>
  <c r="L157" i="1" s="1"/>
  <c r="E158" i="1"/>
  <c r="H158" i="1" s="1"/>
  <c r="L158" i="1" s="1"/>
  <c r="E463" i="1"/>
  <c r="H463" i="1" s="1"/>
  <c r="L463" i="1" s="1"/>
  <c r="E464" i="1"/>
  <c r="H464" i="1" s="1"/>
  <c r="L464" i="1" s="1"/>
  <c r="E465" i="1"/>
  <c r="H465" i="1" s="1"/>
  <c r="L465" i="1" s="1"/>
  <c r="E466" i="1"/>
  <c r="H466" i="1" s="1"/>
  <c r="L466" i="1" s="1"/>
  <c r="E467" i="1"/>
  <c r="H467" i="1" s="1"/>
  <c r="L467" i="1" s="1"/>
  <c r="E468" i="1"/>
  <c r="H468" i="1" s="1"/>
  <c r="L468" i="1" s="1"/>
  <c r="E469" i="1"/>
  <c r="H469" i="1" s="1"/>
  <c r="L469" i="1" s="1"/>
  <c r="E470" i="1"/>
  <c r="H470" i="1" s="1"/>
  <c r="L470" i="1" s="1"/>
  <c r="E471" i="1"/>
  <c r="H471" i="1" s="1"/>
  <c r="L471" i="1" s="1"/>
  <c r="E472" i="1"/>
  <c r="H472" i="1" s="1"/>
  <c r="L472" i="1" s="1"/>
  <c r="E474" i="1"/>
  <c r="H474" i="1" s="1"/>
  <c r="L474" i="1" s="1"/>
  <c r="E23" i="1"/>
  <c r="H23" i="1" s="1"/>
  <c r="L23" i="1" s="1"/>
  <c r="E14" i="1"/>
  <c r="H14" i="1" s="1"/>
  <c r="L14" i="1" s="1"/>
  <c r="E13" i="1"/>
  <c r="H13" i="1" s="1"/>
  <c r="L13" i="1" s="1"/>
  <c r="E12" i="1"/>
  <c r="H12" i="1" s="1"/>
  <c r="L12" i="1" s="1"/>
  <c r="E11" i="1"/>
  <c r="H11" i="1" s="1"/>
  <c r="L11" i="1" s="1"/>
  <c r="E10" i="1"/>
  <c r="H10" i="1" s="1"/>
  <c r="L10" i="1" l="1"/>
  <c r="K522" i="1"/>
  <c r="K524" i="1" s="1"/>
  <c r="K525" i="1" s="1"/>
  <c r="K526" i="1" s="1"/>
</calcChain>
</file>

<file path=xl/sharedStrings.xml><?xml version="1.0" encoding="utf-8"?>
<sst xmlns="http://schemas.openxmlformats.org/spreadsheetml/2006/main" count="2871" uniqueCount="1127">
  <si>
    <t>DESCRIPTION</t>
  </si>
  <si>
    <t>QUANTITY</t>
  </si>
  <si>
    <t>QTY WITH
WASTAGE</t>
  </si>
  <si>
    <t>TOTAL TRADE
COST</t>
  </si>
  <si>
    <t>REV:</t>
  </si>
  <si>
    <t>MANHOUR UNIT RATE</t>
  </si>
  <si>
    <t>SR.
NO.</t>
  </si>
  <si>
    <t>WASTAGE</t>
  </si>
  <si>
    <t>UNIT</t>
  </si>
  <si>
    <t>UNIT 
COST</t>
  </si>
  <si>
    <t>MATERIAL 
COST</t>
  </si>
  <si>
    <t>MANHOURS
UNIT RATE</t>
  </si>
  <si>
    <t>MANHOURS</t>
  </si>
  <si>
    <t>MANHOURS COST</t>
  </si>
  <si>
    <t xml:space="preserve">TOTAL COST  </t>
  </si>
  <si>
    <t xml:space="preserve">OVERHEADS &amp; PROFIT  </t>
  </si>
  <si>
    <t xml:space="preserve">TOTAL BID  </t>
  </si>
  <si>
    <t>LFT</t>
  </si>
  <si>
    <t>EA</t>
  </si>
  <si>
    <t>4" - 5" Reducer</t>
  </si>
  <si>
    <t>3" Elbow 45 °</t>
  </si>
  <si>
    <t>4" - 3" - 6 " Tee</t>
  </si>
  <si>
    <t>4" - 2" - 6 " Tee</t>
  </si>
  <si>
    <t>6" - 4" - 6 " Tee</t>
  </si>
  <si>
    <t>4" - 3" - 2 " Tee</t>
  </si>
  <si>
    <t>4" - 2" - 4 " Tee</t>
  </si>
  <si>
    <t>4" -3" - 4 " Tee</t>
  </si>
  <si>
    <t>2" - 2" - 2 " Tee</t>
  </si>
  <si>
    <t>6" - 2" -6 " Tee</t>
  </si>
  <si>
    <t>6" - 3" - 6 " Tee</t>
  </si>
  <si>
    <t>6" - 6" - 6 " Tee</t>
  </si>
  <si>
    <t>3"- 2" -3 " Tee</t>
  </si>
  <si>
    <t>2 "  Elbow 45 °</t>
  </si>
  <si>
    <t>3" - 3" - 3 " Tee</t>
  </si>
  <si>
    <t>3" - 2" Reducer</t>
  </si>
  <si>
    <t>4" - 4" -4 " Tee</t>
  </si>
  <si>
    <t>4" Elbow 45 °</t>
  </si>
  <si>
    <t>3" - 3" -3 " Tee</t>
  </si>
  <si>
    <t>4" - 3" -4 " Tee</t>
  </si>
  <si>
    <t>6" - 4" -6 " Tee</t>
  </si>
  <si>
    <t>6" -6" -6 " Tee</t>
  </si>
  <si>
    <t>6" Elbow 45 °</t>
  </si>
  <si>
    <t>1" Elbow 90 °</t>
  </si>
  <si>
    <t>1/2" Elbow 90 °</t>
  </si>
  <si>
    <t>4" Elbow 90 °</t>
  </si>
  <si>
    <t>1" -1" -1" Tee</t>
  </si>
  <si>
    <t>3" Elbow 90 °</t>
  </si>
  <si>
    <t>3" -3" -3" Tee</t>
  </si>
  <si>
    <t>3" -2" -2" Tee</t>
  </si>
  <si>
    <t xml:space="preserve">3 " Ball Valve </t>
  </si>
  <si>
    <t>3" Globe Valve</t>
  </si>
  <si>
    <t xml:space="preserve">3" Non Return Valve </t>
  </si>
  <si>
    <t>3" -1/2" -3" Tee</t>
  </si>
  <si>
    <t>3" -2" -3" Tee</t>
  </si>
  <si>
    <t>2" Elbow 90 °</t>
  </si>
  <si>
    <t>2" - 2" -2" Tee</t>
  </si>
  <si>
    <t>3"-2"3" Tee</t>
  </si>
  <si>
    <t>3"  Gas Control Valve</t>
  </si>
  <si>
    <t>3/4" Flow Control Valve</t>
  </si>
  <si>
    <t>2" Flow Control Valve</t>
  </si>
  <si>
    <t>3/4"-  3/4"-  2" Tee</t>
  </si>
  <si>
    <t>1"-1"-1" Tee</t>
  </si>
  <si>
    <t>1/2"-  1/2"-  1/2" Tee</t>
  </si>
  <si>
    <t>1/2"-  1"-  1" Tee</t>
  </si>
  <si>
    <t>1/2"-  1/2"-  3/4" Tee</t>
  </si>
  <si>
    <t>3/4" Elbow 90 °</t>
  </si>
  <si>
    <t>3/4"-  3/4"-  3/4" Tee</t>
  </si>
  <si>
    <t>3/4"-  3/4"-  1/2" Tee</t>
  </si>
  <si>
    <t>3/4" Globe Valve</t>
  </si>
  <si>
    <t>1"-  1/2"-  1/2" Tee</t>
  </si>
  <si>
    <t>4" -3" -3" Tee</t>
  </si>
  <si>
    <t>1"-  1"-  1" Tee</t>
  </si>
  <si>
    <t>2"-  2"-  2" Tee</t>
  </si>
  <si>
    <t>1" - 2" - 1" Tee</t>
  </si>
  <si>
    <t>2"- 4" -2" Tee</t>
  </si>
  <si>
    <t>2" Elbow 45 °</t>
  </si>
  <si>
    <t>3" Gas Cock</t>
  </si>
  <si>
    <t>2" Gas Cock</t>
  </si>
  <si>
    <t>1/2"-  1/2"-  1" Tee</t>
  </si>
  <si>
    <t>1" - 1" - 1" Tee</t>
  </si>
  <si>
    <t>2"-  4"-  2" Tee</t>
  </si>
  <si>
    <t>2"-  2"-  3" Tee</t>
  </si>
  <si>
    <t>3"-  3"-  3" Tee</t>
  </si>
  <si>
    <t>2" Gas Control Valve</t>
  </si>
  <si>
    <t>1" Ball Valve</t>
  </si>
  <si>
    <t>3" Elbow 45°</t>
  </si>
  <si>
    <t>2" Non Return Valve</t>
  </si>
  <si>
    <t>PLUMBING BASEMENT ABOVE SLAB PLAN</t>
  </si>
  <si>
    <t>4"Pipe</t>
  </si>
  <si>
    <t>5" Pipe</t>
  </si>
  <si>
    <t>Pipe Material: HUBLESS CAST IRON</t>
  </si>
  <si>
    <t>4" Pipe</t>
  </si>
  <si>
    <t>3"Pipe</t>
  </si>
  <si>
    <t>2" Pipe</t>
  </si>
  <si>
    <t>6" Pipe</t>
  </si>
  <si>
    <t>PLUMBING BASEMENT BELOW SLAB PLAN</t>
  </si>
  <si>
    <t>3" Pipe</t>
  </si>
  <si>
    <t>1st FLOOR PLAN</t>
  </si>
  <si>
    <t>Pipe Material for GW Pipe is not given</t>
  </si>
  <si>
    <t>1/2 " Pipe</t>
  </si>
  <si>
    <t>1" Pipe</t>
  </si>
  <si>
    <t>1.5 " Pipe</t>
  </si>
  <si>
    <t>1.25 " Pipe</t>
  </si>
  <si>
    <t>1.25" Elbow 90 °</t>
  </si>
  <si>
    <t>1.5" Elbow 90 °</t>
  </si>
  <si>
    <t>1.25" -1.25" -1.25 " Tee</t>
  </si>
  <si>
    <t>1.25" -1.25" -1.25" Tee</t>
  </si>
  <si>
    <t>1/2" -1/2" -1/2" Tee</t>
  </si>
  <si>
    <t>1/2" -1/2" -1" Tee</t>
  </si>
  <si>
    <t>1.5" -1.5" -1.5" Tee</t>
  </si>
  <si>
    <t>1.25" Pipe</t>
  </si>
  <si>
    <t>1.25" -1/2" -1.25 " Tee</t>
  </si>
  <si>
    <t>1.5" 1-1/2" - 1.5 " Tee</t>
  </si>
  <si>
    <t>1.5" Pipe</t>
  </si>
  <si>
    <t>1/2" Pipe</t>
  </si>
  <si>
    <t>3" -1.5" -3" Tee</t>
  </si>
  <si>
    <t>3" -1.25" -2" Tee</t>
  </si>
  <si>
    <t>3" -1.5" -2" Tee</t>
  </si>
  <si>
    <t>2" - 1.5" -2" Tee</t>
  </si>
  <si>
    <t>1.5" - 1.5" -1.5" Tee</t>
  </si>
  <si>
    <t>3/4" Pipe</t>
  </si>
  <si>
    <t>1.5" Flow Control Valve</t>
  </si>
  <si>
    <t>3/4"-  1.5"-  1.5" Tee</t>
  </si>
  <si>
    <t>1.5"-  1,5"-  1.5" Tee</t>
  </si>
  <si>
    <t>1.25"-  1.25"-  1.5" Tee</t>
  </si>
  <si>
    <t>3/4"-  1.5"-  1.25" Tee</t>
  </si>
  <si>
    <t>1.5"Pipe</t>
  </si>
  <si>
    <t>1.25"-  1.25"-  1.25" Tee</t>
  </si>
  <si>
    <t>1.5"-  1.5"-  1.5" Tee</t>
  </si>
  <si>
    <t>1"Pipe</t>
  </si>
  <si>
    <t>1.25"-  1.25"-  1,25" Tee</t>
  </si>
  <si>
    <t>1.5"-  1/2"-  1.5" Tee</t>
  </si>
  <si>
    <t>1.5"-  1/2"-  3/4" Tee</t>
  </si>
  <si>
    <t>1.5"- 1.5"-  1.5" Tee</t>
  </si>
  <si>
    <t>4'' Pipe</t>
  </si>
  <si>
    <t>1.25"-  1.25"-  1/2" Tee</t>
  </si>
  <si>
    <t>1.25"-  2"-  1.25" Tee</t>
  </si>
  <si>
    <t>2"-  2"-  1.25" Tee</t>
  </si>
  <si>
    <t>1.25"-  1.5"-  1.5" Tee</t>
  </si>
  <si>
    <t>ROOF PLAN</t>
  </si>
  <si>
    <t>1.25"  Pipe</t>
  </si>
  <si>
    <t>2.5"-  2.5"-  2-.5" Tee</t>
  </si>
  <si>
    <t>2.5" Elbow 90 °</t>
  </si>
  <si>
    <t>2.5 " Pipe</t>
  </si>
  <si>
    <t>2.5" - 2" -  1.5" Tee</t>
  </si>
  <si>
    <t>1.5 Gas Cock</t>
  </si>
  <si>
    <t>3" -3" -2.5" Tee</t>
  </si>
  <si>
    <t>2.5" Pipe</t>
  </si>
  <si>
    <t>1.25" Ball Valve</t>
  </si>
  <si>
    <t>1/2" Ball Valve</t>
  </si>
  <si>
    <t>1.5" Ball Valve</t>
  </si>
  <si>
    <t>1.25" Flow Control Valve</t>
  </si>
  <si>
    <t>2" Globe Valve</t>
  </si>
  <si>
    <t>Removal of Lavatory and its associated Sanitary and Domestic 
Water Piping</t>
  </si>
  <si>
    <t>Removal of Water Closet and its associated Sanitary and 
Domestic Water Piping</t>
  </si>
  <si>
    <t>Removal of Sump Pump andits associated Piping</t>
  </si>
  <si>
    <t>DEMOLITION</t>
  </si>
  <si>
    <t>Pipe Material: Schedule 40 Galvanized Steel</t>
  </si>
  <si>
    <t>Pipe Material: SERVICE WEIGHT CAST IRON</t>
  </si>
  <si>
    <t>Pipe Material: TYPE L HARD DRAWN COPPER</t>
  </si>
  <si>
    <t>Pipe Material: SCHEDULE 40 BLACK STEEL</t>
  </si>
  <si>
    <t>1.25"Pipe</t>
  </si>
  <si>
    <t>PROJECT:</t>
  </si>
  <si>
    <t>ADDRESS:</t>
  </si>
  <si>
    <t>STORM DRAIN (ST) PIPE &amp; FITTINGS</t>
  </si>
  <si>
    <t>SOIL (S) PIPE &amp; FITTINGS</t>
  </si>
  <si>
    <t>VENT (V) PIPE &amp; FITTINGS</t>
  </si>
  <si>
    <t>SUMP PUMP DISCHARGE (SPD) PIPE &amp; FITTINGS</t>
  </si>
  <si>
    <t>COMBINATION WASTE &amp; VENT (CWV) PIPE &amp; FITTINGS</t>
  </si>
  <si>
    <t>GREASED WATER (GW) PIPE &amp; FITTINGS</t>
  </si>
  <si>
    <t xml:space="preserve">COOLING WATER (CW) PIPE &amp; FITTINGS	</t>
  </si>
  <si>
    <t>HOT WATER (HW) PIPE &amp; FITTINGS</t>
  </si>
  <si>
    <t>BASEMENT WATER GAS PLAN</t>
  </si>
  <si>
    <t>COOLING WATER (CW) PIPE &amp; FITTINGS</t>
  </si>
  <si>
    <t>NATURAL GAS (G) PIPE &amp; FITTINGS</t>
  </si>
  <si>
    <t>5th &amp; 6th FLOOR PLAN</t>
  </si>
  <si>
    <t>2ND - 4TH FLOOR PLAN</t>
  </si>
  <si>
    <t xml:space="preserve">HOT WATER (HW) PIPE &amp; FITTINGS	</t>
  </si>
  <si>
    <t xml:space="preserve">VENT (V) PIPE &amp; FITTINGS	</t>
  </si>
  <si>
    <t xml:space="preserve">SOIL (S) PIPE &amp; FITTINGS	</t>
  </si>
  <si>
    <t>7TH FLOOR PLAN</t>
  </si>
  <si>
    <t>8TH FLOOR PLAN</t>
  </si>
  <si>
    <t xml:space="preserve">STORM DRAIN (ST) PIPE &amp; FITTINGS	</t>
  </si>
  <si>
    <t xml:space="preserve">NATURAL GAS (NG) PIPE &amp; FITTINGS	</t>
  </si>
  <si>
    <t>PLUMBING FIXTURES</t>
  </si>
  <si>
    <t xml:space="preserve">TOTAL MATERIAL COST  </t>
  </si>
  <si>
    <t xml:space="preserve">TOTAL MANHOURS' COST  </t>
  </si>
  <si>
    <t>4" Elbow 45°</t>
  </si>
  <si>
    <t>5" Elbow 45°</t>
  </si>
  <si>
    <t>5" Elbow 90°</t>
  </si>
  <si>
    <t>2" Elbow 45°</t>
  </si>
  <si>
    <t>6" Elbow 45°</t>
  </si>
  <si>
    <r>
      <t>CO</t>
    </r>
    <r>
      <rPr>
        <sz val="11"/>
        <color theme="1"/>
        <rFont val="Calibri"/>
        <family val="2"/>
        <scheme val="minor"/>
      </rPr>
      <t xml:space="preserve"> [4" Clean out]</t>
    </r>
  </si>
  <si>
    <r>
      <rPr>
        <b/>
        <sz val="11"/>
        <color theme="1"/>
        <rFont val="Calibri"/>
        <family val="2"/>
        <scheme val="minor"/>
      </rPr>
      <t>DCV</t>
    </r>
    <r>
      <rPr>
        <sz val="11"/>
        <color theme="1"/>
        <rFont val="Calibri"/>
        <family val="2"/>
        <scheme val="minor"/>
      </rPr>
      <t xml:space="preserve"> [DOUBLE CHECK VALVE BACKFLOW PREVENTER: WATTS # 719QT, MEETING ASSE 1015, CAST BRONZE BODY, SCREW DRIVER SLOTTED TEST COCKS, QUARTER TURN BALL VALVES.]</t>
    </r>
  </si>
  <si>
    <r>
      <rPr>
        <b/>
        <sz val="11"/>
        <color theme="1"/>
        <rFont val="Calibri"/>
        <family val="2"/>
        <scheme val="minor"/>
      </rPr>
      <t>DW</t>
    </r>
    <r>
      <rPr>
        <sz val="11"/>
        <color theme="1"/>
        <rFont val="Calibri"/>
        <family val="2"/>
        <scheme val="minor"/>
      </rPr>
      <t xml:space="preserve"> [DISHWASHER: GENERAL ELECTRIC # GDF520PGJBB, 34" X 24" X 23-3/4" UNDERCOUNTER DISHWASHER IN BLACK.]</t>
    </r>
  </si>
  <si>
    <r>
      <rPr>
        <b/>
        <sz val="11"/>
        <color theme="1"/>
        <rFont val="Calibri"/>
        <family val="2"/>
        <scheme val="minor"/>
      </rPr>
      <t>FC</t>
    </r>
    <r>
      <rPr>
        <sz val="11"/>
        <color theme="1"/>
        <rFont val="Calibri"/>
        <family val="2"/>
        <scheme val="minor"/>
      </rPr>
      <t xml:space="preserve"> [FLEXIBLE CONNECTOR: US HOSE. # A6, 2” X 12”LONG CORRUGATED 316L STAINLESS STEEL  BELLOWS AND 304 STAINLESS STEEL SINGLE BRAID WITH MALE NPT THREADED CONNECTIONS WITH INTREGRAL HEX AND WITH A MAXIMUM OPERATING PRESSURE OF 280PSI.]</t>
    </r>
  </si>
  <si>
    <r>
      <rPr>
        <b/>
        <sz val="11"/>
        <color theme="1"/>
        <rFont val="Calibri"/>
        <family val="2"/>
        <scheme val="minor"/>
      </rPr>
      <t>FCO</t>
    </r>
    <r>
      <rPr>
        <sz val="11"/>
        <color theme="1"/>
        <rFont val="Calibri"/>
        <family val="2"/>
        <scheme val="minor"/>
      </rPr>
      <t xml:space="preserve"> [FLOOR CLEANOUT: JAY R. SMITH, CAST IRON BODY, FLASHING FLANGE WITH CLAMPING COLLAR, ABS PLUG, AND ADJUSTABLE, ROUND, SECURED, NICKEL BRONZE, TOP. # 4031L]</t>
    </r>
  </si>
  <si>
    <r>
      <rPr>
        <b/>
        <sz val="11"/>
        <color theme="1"/>
        <rFont val="Calibri"/>
        <family val="2"/>
        <scheme val="minor"/>
      </rPr>
      <t>FCV</t>
    </r>
    <r>
      <rPr>
        <sz val="11"/>
        <color theme="1"/>
        <rFont val="Calibri"/>
        <family val="2"/>
        <scheme val="minor"/>
      </rPr>
      <t xml:space="preserve"> FLOW CONTROL VALVE: FLOWDESIGN # ICSS "AUTOFLOW", SERIES 300 STAINLESS UNION BODY WITH NICKEL PLATED UNION NUT, STAINLESS STEEL PRESSURE COMPENSATING CARTRIDGE, MEETING NSF 61 ANNEX G, NAMEPLATE AND 1/2” VALVE BODY SIZE UNLESS SHOWN OTHERWISE ON PLANS.</t>
    </r>
  </si>
  <si>
    <r>
      <rPr>
        <b/>
        <sz val="11"/>
        <color theme="1"/>
        <rFont val="Calibri"/>
        <family val="2"/>
        <scheme val="minor"/>
      </rPr>
      <t>FD-1</t>
    </r>
    <r>
      <rPr>
        <sz val="11"/>
        <color theme="1"/>
        <rFont val="Calibri"/>
        <family val="2"/>
        <scheme val="minor"/>
      </rPr>
      <t xml:space="preserve"> FLOOR DRAIN: JAY R .SMITH # 2005L (-A), CAST IRON BODY AND CLAMPING COLLAR, ADJUSTABLE 6” ROUND NICKEL BRONZE STRAINER. PROVIDE TRAP PRIMER PORT IF TRAP</t>
    </r>
  </si>
  <si>
    <r>
      <rPr>
        <b/>
        <sz val="11"/>
        <color theme="1"/>
        <rFont val="Calibri"/>
        <family val="2"/>
        <scheme val="minor"/>
      </rPr>
      <t>FD-2 [</t>
    </r>
    <r>
      <rPr>
        <sz val="11"/>
        <color theme="1"/>
        <rFont val="Calibri"/>
        <family val="2"/>
        <scheme val="minor"/>
      </rPr>
      <t xml:space="preserve">EQUIPMENT FLOOR DRAIN: JAY R. SMITH # 2110L (-B), CAST IRON BODY, 8" ROUND, LOOSE, MEDIUM DUTY, CAST IRON GRATE, SEDIMENT BUCKET, BOTTOM OUTLET, SEEPAGE PAN, AND MEMBRANE FLASHING CLAMP. </t>
    </r>
  </si>
  <si>
    <r>
      <rPr>
        <b/>
        <sz val="11"/>
        <color theme="1"/>
        <rFont val="Calibri"/>
        <family val="2"/>
        <scheme val="minor"/>
      </rPr>
      <t>FD-3</t>
    </r>
    <r>
      <rPr>
        <sz val="11"/>
        <color theme="1"/>
        <rFont val="Calibri"/>
        <family val="2"/>
        <scheme val="minor"/>
      </rPr>
      <t xml:space="preserve"> [FLOOR DRAIN: JAY R. SMITH # 2141L (-B-M), 5”DEEP CAST IRON BODY, 12" ROUND, LOOSE, HEAVY DUTY, DUCTILE IRON GRATE, SEDIMENT BUCKET, BOTTOM OUTLET, SEEPAGE PAN.</t>
    </r>
  </si>
  <si>
    <r>
      <rPr>
        <b/>
        <sz val="11"/>
        <color theme="1"/>
        <rFont val="Calibri"/>
        <family val="2"/>
        <scheme val="minor"/>
      </rPr>
      <t>FS</t>
    </r>
    <r>
      <rPr>
        <sz val="11"/>
        <color theme="1"/>
        <rFont val="Calibri"/>
        <family val="2"/>
        <scheme val="minor"/>
      </rPr>
      <t xml:space="preserve"> [FLOOR SINK: JAY R. SMITH # 3041C (-12), 6” DEEP CAST IRON BODY WITH ACID RESISTING ENAMELED INTERIOR, ANCHOR FLANGE WITH SEEPAGE HOLES, CLAMP COLLAR, WHITE ABS SEDIMENT BUCKET, AND 8-1/2” ROUND NICKEL BRONZE RIM AND HALF GRATE.]</t>
    </r>
  </si>
  <si>
    <r>
      <rPr>
        <b/>
        <sz val="11"/>
        <color theme="1"/>
        <rFont val="Calibri"/>
        <family val="2"/>
        <scheme val="minor"/>
      </rPr>
      <t>GSV</t>
    </r>
    <r>
      <rPr>
        <sz val="11"/>
        <color theme="1"/>
        <rFont val="Calibri"/>
        <family val="2"/>
        <scheme val="minor"/>
      </rPr>
      <t xml:space="preserve"> GAS SOLENOID VALVE: ASCO # 8214H UL LISTED AND FM APPROVED FOR NATURAL GAS SERVICE, ALUMINUM BODY WITH GENERAL PURPOSE ENCLOSURE, FNPT CONNECTIONS, BUNA “N” SEAL, DIAPHRAGM AND DISC, 120V SINGLE PHASE, NORMALLY CLOSED TYPE, MOLDED</t>
    </r>
  </si>
  <si>
    <r>
      <rPr>
        <b/>
        <sz val="11"/>
        <color theme="1"/>
        <rFont val="Calibri"/>
        <family val="2"/>
        <scheme val="minor"/>
      </rPr>
      <t>GT</t>
    </r>
    <r>
      <rPr>
        <sz val="11"/>
        <color theme="1"/>
        <rFont val="Calibri"/>
        <family val="2"/>
        <scheme val="minor"/>
      </rPr>
      <t xml:space="preserve"> GREASE INTERCEPTOR: SCHIER PRODUCTS GB-75, HDPE SEAMLESS HIGH DENSITY POLYETHYLENE BODY, 125 GALLON CAPACITY AND RATED FLOW RATE OF 75 GPM AND 616 POUNDS OF GREASE STORED, WITH INTEGRAL INLET AND OUTLET DIFFUSERS WITH ANIT-SIPHON AIR RELIEF, ONE 28” GASKETED COMPOSITE COVER.</t>
    </r>
  </si>
  <si>
    <r>
      <rPr>
        <b/>
        <sz val="11"/>
        <color theme="1"/>
        <rFont val="Calibri"/>
        <family val="2"/>
        <scheme val="minor"/>
      </rPr>
      <t>HD</t>
    </r>
    <r>
      <rPr>
        <sz val="11"/>
        <color theme="1"/>
        <rFont val="Calibri"/>
        <family val="2"/>
        <scheme val="minor"/>
      </rPr>
      <t xml:space="preserve"> [HUB DRAIN: PROVIDE A P-TRAP BELOW FINISHED FLOOR AND STUB THE BELL END OF A CAST IRON PIPE 4” ABOVE FINISHED FLOOR. SIZE AS SHOWN ON FLOOR PLAN]</t>
    </r>
  </si>
  <si>
    <r>
      <rPr>
        <b/>
        <sz val="11"/>
        <color theme="1"/>
        <rFont val="Calibri"/>
        <family val="2"/>
        <scheme val="minor"/>
      </rPr>
      <t>IMB</t>
    </r>
    <r>
      <rPr>
        <sz val="11"/>
        <color theme="1"/>
        <rFont val="Calibri"/>
        <family val="2"/>
        <scheme val="minor"/>
      </rPr>
      <t xml:space="preserve"> ICE MAKER BOX: GUY GRAY MODEL # BIM875, 20 GAUGE GALVANIZED STEEL BOX, 18 GAUGE STEEL FACEPLATE, BOTTOM INLET WATER SUPPLY WITH LEAD FREE 1/2" x 1/4" COMPRESSION ANGLE STOP VALVE.</t>
    </r>
  </si>
  <si>
    <r>
      <rPr>
        <b/>
        <sz val="11"/>
        <color theme="1"/>
        <rFont val="Calibri"/>
        <family val="2"/>
        <scheme val="minor"/>
      </rPr>
      <t>LV-1</t>
    </r>
    <r>
      <rPr>
        <sz val="11"/>
        <color theme="1"/>
        <rFont val="Calibri"/>
        <family val="2"/>
        <scheme val="minor"/>
      </rPr>
      <t xml:space="preserve"> [WALL-MOUNTED LAVATORY: DURAVIT # 045460.00 "VERO" 23-5/8" X 18-1/4" RECTANGULAR WALL MOUNTED WHITE VITREOUS CHINA FIXTURE WITH FAUCET LEDGE AND OVERFLOW. FAUCET- KOHLER # K-73050-7-CP 2” CENTERSET, VANDAL RESISTANT, LEAD FAUCET,CERAMIC QUARTER TURN CARTRIDGES AND 0.5 GPM AERATOR.</t>
    </r>
  </si>
  <si>
    <r>
      <rPr>
        <b/>
        <sz val="11"/>
        <color theme="1"/>
        <rFont val="Calibri"/>
        <family val="2"/>
        <scheme val="minor"/>
      </rPr>
      <t>LV-2</t>
    </r>
    <r>
      <rPr>
        <sz val="11"/>
        <color theme="1"/>
        <rFont val="Calibri"/>
        <family val="2"/>
        <scheme val="minor"/>
      </rPr>
      <t xml:space="preserve"> WALL-MOUNTED LAVATORY: DURAVIT # 0766350009 "ARCHITEC" 14-1/8" X 15" SEMICIRCULAR WALL MOUNTED WHITE VITREOUS CHINA FIXTURE WITH FAUCET LEDGE, FAUCET HOLE FAUCET- KOHLER # K-73050-7-CP 2”, VANDAL RESISTANT, LEAD FREE FAUCET, CERAMIC QUARTER TURN CARTRIDGES AND 0.5 GPM AERATOR.</t>
    </r>
  </si>
  <si>
    <r>
      <rPr>
        <b/>
        <sz val="11"/>
        <color theme="1"/>
        <rFont val="Calibri"/>
        <family val="2"/>
        <scheme val="minor"/>
      </rPr>
      <t>NWH</t>
    </r>
    <r>
      <rPr>
        <sz val="11"/>
        <color theme="1"/>
        <rFont val="Calibri"/>
        <family val="2"/>
        <scheme val="minor"/>
      </rPr>
      <t xml:space="preserve"> [NON-FREEZE WALL HYDRANT: PRIER PRODUCTS # C-634NBX1, SATIN NICKEL PLATED BRASS 1” MALE INLET BY 3/4” FEMALE INLET, 3/4” THREADED HOSE CONNECTION, LOOSE KEY HANDLE, HYDRANT LENGTH AS REQUIRED FOR INSTALLED WALL THICKNESS.</t>
    </r>
  </si>
  <si>
    <r>
      <rPr>
        <b/>
        <sz val="11"/>
        <color theme="1"/>
        <rFont val="Calibri"/>
        <family val="2"/>
        <scheme val="minor"/>
      </rPr>
      <t>ORD</t>
    </r>
    <r>
      <rPr>
        <sz val="11"/>
        <color theme="1"/>
        <rFont val="Calibri"/>
        <family val="2"/>
        <scheme val="minor"/>
      </rPr>
      <t xml:space="preserve"> [OVERFLOW ROOF DRAIN: JAY R. SMITH # 1080Y (-E0X-C-R-CID), 15” DIAMETER CAST IRONBODY, FLASHING CLAMP, GRAVEL STOP, UNDERDECK CLAMP, SUMP RECEIVER, HUBLESS OUTLET, FIXED EXTENSION – HEIGHT AS REQUIRED BY INSTALLED INSULATION THICKNESS,</t>
    </r>
  </si>
  <si>
    <r>
      <rPr>
        <b/>
        <sz val="11"/>
        <color theme="1"/>
        <rFont val="Calibri"/>
        <family val="2"/>
        <scheme val="minor"/>
      </rPr>
      <t>PRV</t>
    </r>
    <r>
      <rPr>
        <sz val="11"/>
        <color theme="1"/>
        <rFont val="Calibri"/>
        <family val="2"/>
        <scheme val="minor"/>
      </rPr>
      <t xml:space="preserve"> [PRESSURE REDUCING VALVE: WATTS # LF223, BRONZE BODY, STAINLESS STEEL SEAT,STAINLESS STEEL BOLTS, INLET AND OUTLET SIZE AS SHOWN ON PLANS, 25 - 75 PSI REDUCED PRESSURE RANGE. SET OUTLET PRESSURE TO 55 PSI WITH FLOW RATE OF 20 GPM AT A FALL OFF PRESSURE OF 7 PSI DIFFERENTIAL.</t>
    </r>
  </si>
  <si>
    <r>
      <rPr>
        <b/>
        <sz val="11"/>
        <color theme="1"/>
        <rFont val="Calibri"/>
        <family val="2"/>
        <scheme val="minor"/>
      </rPr>
      <t>RD</t>
    </r>
    <r>
      <rPr>
        <sz val="11"/>
        <color theme="1"/>
        <rFont val="Calibri"/>
        <family val="2"/>
        <scheme val="minor"/>
      </rPr>
      <t xml:space="preserve"> [ROOF DRAIN: JAY R. SMITH # 1010Y (-E0X-C-R-CID), 15” DIAMETER CAST IRON BODY, FLASHING CLAMP, GRAVEL STOP, UNDERDECK CLAMP, SUMP RECEIVER, HUBLESS OUTLET, FIXED EXTENSION – HEIGHT AS REQUIRED BY INSTALLED INSULATION THICKNESS, AND CAST IRON
DOME BOLTED OR LOCKED DOWN. </t>
    </r>
  </si>
  <si>
    <r>
      <rPr>
        <b/>
        <sz val="11"/>
        <color theme="1"/>
        <rFont val="Calibri"/>
        <family val="2"/>
        <scheme val="minor"/>
      </rPr>
      <t>REF</t>
    </r>
    <r>
      <rPr>
        <sz val="11"/>
        <color theme="1"/>
        <rFont val="Calibri"/>
        <family val="2"/>
        <scheme val="minor"/>
      </rPr>
      <t xml:space="preserve"> [REFRIGERATOR: GENERAL ELECTRIC # GSS25GGHBB, 69-1/2" X 35-1/4" X 35-3/4" SIDE-BY-SIDE
REFRIGERATOR WITH WATER DISPENSER AND ICEMAKER IN BLACK.]</t>
    </r>
  </si>
  <si>
    <r>
      <rPr>
        <b/>
        <sz val="11"/>
        <color theme="1"/>
        <rFont val="Calibri"/>
        <family val="2"/>
        <scheme val="minor"/>
      </rPr>
      <t>3" RPZ</t>
    </r>
    <r>
      <rPr>
        <sz val="11"/>
        <color theme="1"/>
        <rFont val="Calibri"/>
        <family val="2"/>
        <scheme val="minor"/>
      </rPr>
      <t xml:space="preserve"> [REDUCED PRESSURE ZONE BACKFLOW PREVENTER: WATTS # 909-NRS-S-FDA, MEETING ASSE 1013, EPOXY COATED CAST IRON BODY, QUARTER TURN TEST COCKS, RESILIENT SEATED NON-RISING STEM GATE VALVES, AND EPOXY COATED CAST IRON STRAINER, AND # 909AG AIR
GAP FITTING.</t>
    </r>
  </si>
  <si>
    <r>
      <rPr>
        <b/>
        <sz val="11"/>
        <color theme="1"/>
        <rFont val="Calibri"/>
        <family val="2"/>
        <scheme val="minor"/>
      </rPr>
      <t>SH</t>
    </r>
    <r>
      <rPr>
        <sz val="11"/>
        <color theme="1"/>
        <rFont val="Calibri"/>
        <family val="2"/>
        <scheme val="minor"/>
      </rPr>
      <t xml:space="preserve"> SHOWER FLOOR: CUSTOM LEAD PAN WITH INTEGRAL 2” DRAIN.  SHOWER VALVE: ROCA #5A2018C00 “VICTORIA”, THERMOSTATIC MIXING VALVE, SINGLE BLADE LEVER HANDLE, SET ADJUSTABLE LIMIT STOP SCREW TO 110F, INTEGRAL SERVICE STOPS,RAIN SHOWER HEAD WITH ARM AND FLANGE, WALL / HAND SHOWER WITH FLEXIBLE METAL HOSE</t>
    </r>
  </si>
  <si>
    <r>
      <rPr>
        <b/>
        <sz val="11"/>
        <color theme="1"/>
        <rFont val="Calibri"/>
        <family val="2"/>
        <scheme val="minor"/>
      </rPr>
      <t>SK-1</t>
    </r>
    <r>
      <rPr>
        <sz val="11"/>
        <color theme="1"/>
        <rFont val="Calibri"/>
        <family val="2"/>
        <scheme val="minor"/>
      </rPr>
      <t xml:space="preserve"> GUESTROOM SINK (ADA ACCESSIBLE): KOHLER # K-5287, 15" x 15” x 9-5/16" DEEP, SINGLE COMPARTMENT, SELF-RIMMING, 16 GAUGE STAINLESS STEEL, FIXTURE WITH SINK RACK. SET IN BED OF PUTTY.</t>
    </r>
  </si>
  <si>
    <r>
      <rPr>
        <b/>
        <sz val="11"/>
        <color theme="1"/>
        <rFont val="Calibri"/>
        <family val="2"/>
        <scheme val="minor"/>
      </rPr>
      <t>SK-2</t>
    </r>
    <r>
      <rPr>
        <sz val="11"/>
        <color theme="1"/>
        <rFont val="Calibri"/>
        <family val="2"/>
        <scheme val="minor"/>
      </rPr>
      <t xml:space="preserve"> KITCHEN SINK: WHITEHAUS # WHNCM4019, 18-1/2" x 16-1/4” x 7-1/2" DEEP, SINGLE COMPARTMENT, SELF-RIMMING, 16 GAUGE TYPE 304 STAINLESS STEEL, FIXTURE WITH INTEGRAL DRAIN BOARD. SET IN BED OF PUTTY.</t>
    </r>
  </si>
  <si>
    <r>
      <rPr>
        <b/>
        <sz val="11"/>
        <color theme="1"/>
        <rFont val="Calibri"/>
        <family val="2"/>
        <scheme val="minor"/>
      </rPr>
      <t>TD-1</t>
    </r>
    <r>
      <rPr>
        <sz val="11"/>
        <color theme="1"/>
        <rFont val="Calibri"/>
        <family val="2"/>
        <scheme val="minor"/>
      </rPr>
      <t xml:space="preserve"> [TRENCH DRAIN: ZURN # Z-890-DGE-U3, 7" WIDE 16 GA STAINLESS STEEL, ASTM A-240 (TYPE 304) TRENCH DRAIN SYSTEM WITH CLASS "E" RATED DUCTILE IRON SLOTTED GRATE. CUT IN 60" SECTIONS FOR REQUIRED LENGTH AS SHOWN ON FLOOR PLAN. PROVIDE WITH BOTTOM OUTLET WITH P-TRAP.</t>
    </r>
  </si>
  <si>
    <r>
      <rPr>
        <b/>
        <sz val="11"/>
        <color theme="1"/>
        <rFont val="Calibri"/>
        <family val="2"/>
        <scheme val="minor"/>
      </rPr>
      <t>TD-2</t>
    </r>
    <r>
      <rPr>
        <sz val="11"/>
        <color theme="1"/>
        <rFont val="Calibri"/>
        <family val="2"/>
        <scheme val="minor"/>
      </rPr>
      <t xml:space="preserve"> [TRENCH DRAIN: ZURN # Z-890-DGE-U3, 7" WIDE 16 GA STAINLESS STEEL, ASTM A-240 (TYPE 304) TRENCH DRAIN SYSTEM WITH CLASS "E" RATED DUCTILE IRON SLOTTED GRATE. CUT IN 60" SECTIONS FOR REQUIRED LENGTH AS SHOWN ON FLOOR PLAN. PROVIDE WITH BOTTOM OUTLET WITH P-TRAP.</t>
    </r>
  </si>
  <si>
    <r>
      <rPr>
        <b/>
        <sz val="11"/>
        <color theme="1"/>
        <rFont val="Calibri"/>
        <family val="2"/>
        <scheme val="minor"/>
      </rPr>
      <t xml:space="preserve">TMV-1 </t>
    </r>
    <r>
      <rPr>
        <sz val="11"/>
        <color theme="1"/>
        <rFont val="Calibri"/>
        <family val="2"/>
        <scheme val="minor"/>
      </rPr>
      <t>[THERMOSTATIC MIXING VALVE: POWERS # LFe480, SOLID LEAD FREE BRASS BODY, THERMOSTATIC WAX ELEMENT, CORROSION RESISTANT INTERNAL PARTS, AND INTEGRAL CHECKS, ASSE 1070 COMPLIANT, CAPABLE OF 2.2 GPM WITH A 20 PSI DIFFERENTIAL AND A MINIMUM FLOW RATE OF 0.5 GPM.</t>
    </r>
  </si>
  <si>
    <r>
      <rPr>
        <b/>
        <sz val="11"/>
        <color theme="1"/>
        <rFont val="Calibri"/>
        <family val="2"/>
        <scheme val="minor"/>
      </rPr>
      <t>TP-1</t>
    </r>
    <r>
      <rPr>
        <sz val="11"/>
        <color theme="1"/>
        <rFont val="Calibri"/>
        <family val="2"/>
        <scheme val="minor"/>
      </rPr>
      <t xml:space="preserve"> TRAP PRIMER: PRECISION PLUMBING PRODUCTS # PR-500 “PRIME RITE”, CORROSION RESISTANT BRASS BODY, “O” RING SEALS, 1/2" INLET AND OUTLET, AND INTEGRAL VACUUM BREAKER. INSTALL THE VALVE AT A MINIMUM OF 12” ABOVE FINISHED FLOOR.</t>
    </r>
  </si>
  <si>
    <r>
      <rPr>
        <b/>
        <sz val="11"/>
        <color theme="1"/>
        <rFont val="Calibri"/>
        <family val="2"/>
        <scheme val="minor"/>
      </rPr>
      <t>TP-2</t>
    </r>
    <r>
      <rPr>
        <sz val="11"/>
        <color theme="1"/>
        <rFont val="Calibri"/>
        <family val="2"/>
        <scheme val="minor"/>
      </rPr>
      <t xml:space="preserve"> [TRAP PRIMER: PRECISION PLUMBING PRODUCTS # MPB-500-115V “MIN PRIME ELECTRONIC”, CORROSION RESISTANT BRASS BODY, “O” RING SEALS, 1/2" INLET AND OUTLET, SOLENOID VALVE ACTUATOR AND INTEGRAL VACUUM BREAKER. CONTROL PANEL WITH INTEGRAL TIMER. </t>
    </r>
  </si>
  <si>
    <r>
      <rPr>
        <b/>
        <sz val="11"/>
        <color theme="1"/>
        <rFont val="Calibri"/>
        <family val="2"/>
        <scheme val="minor"/>
      </rPr>
      <t>TS-1</t>
    </r>
    <r>
      <rPr>
        <sz val="11"/>
        <color theme="1"/>
        <rFont val="Calibri"/>
        <family val="2"/>
        <scheme val="minor"/>
      </rPr>
      <t xml:space="preserve"> [TUB / SHOWER COMBINATION: KOHLER # K-875 / K-876, 3 WALL ALCOVE, CAST IRON WITH SAFEGUARD FINISH, 60”W x 32”D x 15-1/2”H OUTSIDE DIMENSION AND SLIP-RESISTANT TEXTURED BOTTOM. PROVIDE WITH RH OR LH FIXTURE WALL.</t>
    </r>
  </si>
  <si>
    <r>
      <rPr>
        <b/>
        <sz val="11"/>
        <color theme="1"/>
        <rFont val="Calibri"/>
        <family val="2"/>
        <scheme val="minor"/>
      </rPr>
      <t>TS-2</t>
    </r>
    <r>
      <rPr>
        <sz val="11"/>
        <color theme="1"/>
        <rFont val="Calibri"/>
        <family val="2"/>
        <scheme val="minor"/>
      </rPr>
      <t xml:space="preserve"> TUB / SHOWER COMBINATION: KOHLER # K-847 / K-848, 3 WALL ALCOVE, CAST IRON WITH SAFEGUARD FINISH, 66”W x 32”D x 15-1/2”H OUTSIDE DIMENSION AND SLIP-RESISTANTTEXTURED BOTTOM. PROVIDE WITH RH OR LH FIXTURE WALL.</t>
    </r>
  </si>
  <si>
    <r>
      <rPr>
        <b/>
        <sz val="11"/>
        <color theme="1"/>
        <rFont val="Calibri"/>
        <family val="2"/>
        <scheme val="minor"/>
      </rPr>
      <t>TS-3</t>
    </r>
    <r>
      <rPr>
        <sz val="11"/>
        <color theme="1"/>
        <rFont val="Calibri"/>
        <family val="2"/>
        <scheme val="minor"/>
      </rPr>
      <t xml:space="preserve"> [TUB / SHOWER COMBINATION: KOHLER # K-1801 “ASKEW”, FREE STANDING, LITHOCAST,
72-3/8”W x 34-9/16”D x 24-9/26”H OUTSIDE DIMENSION AND SLOTTED OVERFLOW. SHOWER VALVE (ADA ACCESSIBLE): MOEN # TS2713, PISTON TYPE PRESSURE BALANCING </t>
    </r>
  </si>
  <si>
    <r>
      <rPr>
        <b/>
        <sz val="11"/>
        <color theme="1"/>
        <rFont val="Calibri"/>
        <family val="2"/>
        <scheme val="minor"/>
      </rPr>
      <t>WC</t>
    </r>
    <r>
      <rPr>
        <sz val="11"/>
        <color theme="1"/>
        <rFont val="Calibri"/>
        <family val="2"/>
        <scheme val="minor"/>
      </rPr>
      <t xml:space="preserve"> [WALL-MOUNTED TANK WATER CLOSET : KOHLER # K-6299 “VEIL” WALL MOUNTED, DUAL FLUSH, WHITE VITREOUS CHINA FIXTUREWITH ELONGATED BOWL, 0.8/1.6 GALLON DUAL FLUSH ACTION, AND KOHLER # K-6284 IN-WALL TANK AND CARRIER SYSTEM WITH COPPER SUPPLY LINE, FLUSH ACTUATOR PLATE AND DESIGNED TO FIT IN 2” X 6” STUD WALL.</t>
    </r>
  </si>
  <si>
    <r>
      <rPr>
        <b/>
        <sz val="11"/>
        <color theme="1"/>
        <rFont val="Calibri"/>
        <family val="2"/>
        <scheme val="minor"/>
      </rPr>
      <t>WCO</t>
    </r>
    <r>
      <rPr>
        <sz val="11"/>
        <color theme="1"/>
        <rFont val="Calibri"/>
        <family val="2"/>
        <scheme val="minor"/>
      </rPr>
      <t xml:space="preserve"> [WALL CLEANOUT: JAY R. SMITH # 4530S, CAST IRON CLEANOUT TEE, COUNTER SUNK PLUG, STAINLESS STEEL ROUND COVER AND SCREW, AND IRON PLUG WITH GASKET SEAL. </t>
    </r>
  </si>
  <si>
    <r>
      <rPr>
        <b/>
        <sz val="11"/>
        <color theme="1"/>
        <rFont val="Calibri"/>
        <family val="2"/>
        <scheme val="minor"/>
      </rPr>
      <t>WHA</t>
    </r>
    <r>
      <rPr>
        <sz val="11"/>
        <color theme="1"/>
        <rFont val="Calibri"/>
        <family val="2"/>
        <scheme val="minor"/>
      </rPr>
      <t xml:space="preserve"> WATER HAMMER ARRESTER: PRECISION PLUMBING PRODUCTS, HARD DRAWN COPPER BODY WITH WROUGHT COPPER FITTINGS, PISTON TYPE WITH LUBRICATED EPDM “O” RING SEALS, MEETING ASSE 1010 OR PDI WH-201. PROVIDE PDI SIZES “A” THROUGH “F” AS SHOWN ON PLANS. PROVIDE SIZE “A” UNLESS SHOWN OTHERWISE ON THE PLANS.</t>
    </r>
  </si>
  <si>
    <r>
      <rPr>
        <b/>
        <sz val="11"/>
        <color theme="1"/>
        <rFont val="Calibri"/>
        <family val="2"/>
        <scheme val="minor"/>
      </rPr>
      <t>WM</t>
    </r>
    <r>
      <rPr>
        <sz val="11"/>
        <color theme="1"/>
        <rFont val="Calibri"/>
        <family val="2"/>
        <scheme val="minor"/>
      </rPr>
      <t xml:space="preserve"> WATER METER: BADGER METER # “RECORDAL COMPOUND” 3” LEAD FREE BRONZE MAINCASE AND MEASURING CHAMBER, SYNTHETIC POLYMER TURBINE CHAMBER AND PISTON, POLYPROPYLENE TURBINE, STAINLESS STEEL TRIM, PISTON TYPE POSITIVE DISPLACEMENT</t>
    </r>
  </si>
  <si>
    <r>
      <rPr>
        <b/>
        <sz val="11"/>
        <color theme="1"/>
        <rFont val="Calibri"/>
        <family val="2"/>
        <scheme val="minor"/>
      </rPr>
      <t>WMB</t>
    </r>
    <r>
      <rPr>
        <sz val="11"/>
        <color theme="1"/>
        <rFont val="Calibri"/>
        <family val="2"/>
        <scheme val="minor"/>
      </rPr>
      <t xml:space="preserve"> WASHING MACHINE BOX: GUY GRAY MODEL # B200, 20 GAUGE GALVANIZED STEEL BOX, 20 GAUGE STEEL FACEPLATE, BOTTOM INLET WATER SUPPLIES WITH ANGLED WHEEL HANDLE 3/4” HOSE BIBBS, AND 2” BOTTOM OUTLET DRAIN. TRIM- PROVIDE 24” LONG TAIL PIECE AND 2” DIAMETER P-TRAP.</t>
    </r>
  </si>
  <si>
    <r>
      <rPr>
        <b/>
        <sz val="11"/>
        <color theme="1"/>
        <rFont val="Calibri"/>
        <family val="2"/>
        <scheme val="minor"/>
      </rPr>
      <t>ESP</t>
    </r>
    <r>
      <rPr>
        <sz val="11"/>
        <color theme="1"/>
        <rFont val="Calibri"/>
        <family val="2"/>
        <scheme val="minor"/>
      </rPr>
      <t xml:space="preserve"> [Manfacutrer: WEIL SERIES, 1411-538. Location: ELEVATOR PIT. GPM: 50, Head: 21. Discharge Size: 2" Volts:120. PH: 1. HP 1/2 </t>
    </r>
  </si>
  <si>
    <r>
      <t xml:space="preserve">SP </t>
    </r>
    <r>
      <rPr>
        <sz val="11"/>
        <color theme="1"/>
        <rFont val="Calibri"/>
        <family val="2"/>
        <scheme val="minor"/>
      </rPr>
      <t xml:space="preserve">[Manfacutrer: WEIL SERIES, 1411-538. Location: Sump PIT # 013. GPM: 50, Head: 21. Discharge Size: 2" Volts:120. PH: 1. HP 1/2 </t>
    </r>
  </si>
  <si>
    <r>
      <t xml:space="preserve">BP </t>
    </r>
    <r>
      <rPr>
        <sz val="11"/>
        <color theme="1"/>
        <rFont val="Calibri"/>
        <family val="2"/>
        <scheme val="minor"/>
      </rPr>
      <t>[Booster Pump: Model # GRUNDFOS 3-CRE 5-6 MPC-E. Discharge Pressure (psi): 86.05. Suction Header Pressure(psi): 27.83. System Flowrate 135 GPM. Volts: 208. 3 Phase. 2Hp</t>
    </r>
  </si>
  <si>
    <r>
      <rPr>
        <b/>
        <sz val="11"/>
        <color theme="1"/>
        <rFont val="Calibri"/>
        <family val="2"/>
        <scheme val="minor"/>
      </rPr>
      <t xml:space="preserve">WH-1 </t>
    </r>
    <r>
      <rPr>
        <sz val="11"/>
        <color theme="1"/>
        <rFont val="Calibri"/>
        <family val="2"/>
        <scheme val="minor"/>
      </rPr>
      <t>Water Heater</t>
    </r>
    <r>
      <rPr>
        <b/>
        <sz val="11"/>
        <color theme="1"/>
        <rFont val="Calibri"/>
        <family val="2"/>
        <scheme val="minor"/>
      </rPr>
      <t xml:space="preserve"> [</t>
    </r>
    <r>
      <rPr>
        <sz val="11"/>
        <color theme="1"/>
        <rFont val="Calibri"/>
        <family val="2"/>
        <scheme val="minor"/>
      </rPr>
      <t>Model # A.O. SMITH # BTH-250(A). Location: BUILDING. Size (Gallons): 100. Input MBH: 250. Volts: 120. Phase: 1 FLA: 5. Recovery: 291 GPH</t>
    </r>
  </si>
  <si>
    <r>
      <rPr>
        <b/>
        <sz val="11"/>
        <color theme="1"/>
        <rFont val="Calibri"/>
        <family val="2"/>
        <scheme val="minor"/>
      </rPr>
      <t xml:space="preserve">WH-2 </t>
    </r>
    <r>
      <rPr>
        <sz val="11"/>
        <color theme="1"/>
        <rFont val="Calibri"/>
        <family val="2"/>
        <scheme val="minor"/>
      </rPr>
      <t>Water Heater</t>
    </r>
    <r>
      <rPr>
        <b/>
        <sz val="11"/>
        <color theme="1"/>
        <rFont val="Calibri"/>
        <family val="2"/>
        <scheme val="minor"/>
      </rPr>
      <t xml:space="preserve"> [</t>
    </r>
    <r>
      <rPr>
        <sz val="11"/>
        <color theme="1"/>
        <rFont val="Calibri"/>
        <family val="2"/>
        <scheme val="minor"/>
      </rPr>
      <t>Model # A.O. SMITH # BTH-250(A). Location: BUILDING. Size (Gallons): 100. Input MBH: 250. Volts: 120. Phase: 1 FLA: 5. Recovery: 291 GPH</t>
    </r>
  </si>
  <si>
    <r>
      <rPr>
        <b/>
        <sz val="11"/>
        <color theme="1"/>
        <rFont val="Calibri"/>
        <family val="2"/>
        <scheme val="minor"/>
      </rPr>
      <t xml:space="preserve">WH-3 </t>
    </r>
    <r>
      <rPr>
        <sz val="11"/>
        <color theme="1"/>
        <rFont val="Calibri"/>
        <family val="2"/>
        <scheme val="minor"/>
      </rPr>
      <t>Water Heater</t>
    </r>
    <r>
      <rPr>
        <b/>
        <sz val="11"/>
        <color theme="1"/>
        <rFont val="Calibri"/>
        <family val="2"/>
        <scheme val="minor"/>
      </rPr>
      <t xml:space="preserve"> [</t>
    </r>
    <r>
      <rPr>
        <sz val="11"/>
        <color theme="1"/>
        <rFont val="Calibri"/>
        <family val="2"/>
        <scheme val="minor"/>
      </rPr>
      <t>Model # A.O. SMITH # BTH-250(A). Location: BUILDING. Size (Gallons): 100. Input MBH: 250. Volts: 120. Phase: 1 FLA: 5. Recovery: 291 GPH</t>
    </r>
  </si>
  <si>
    <r>
      <t xml:space="preserve">ET </t>
    </r>
    <r>
      <rPr>
        <sz val="11"/>
        <color theme="1"/>
        <rFont val="Calibri"/>
        <family val="2"/>
        <scheme val="minor"/>
      </rPr>
      <t>[Expension Tank. Model # AMTROL ST-30V. Tank size (Gallons): 14.  Minimum Acceptance Volume (Gallons): 6.3 Air Pressure Settings (psi): 68</t>
    </r>
  </si>
  <si>
    <r>
      <rPr>
        <b/>
        <sz val="11"/>
        <color theme="1"/>
        <rFont val="Calibri"/>
        <family val="2"/>
        <scheme val="minor"/>
      </rPr>
      <t>RP</t>
    </r>
    <r>
      <rPr>
        <sz val="11"/>
        <color theme="1"/>
        <rFont val="Calibri"/>
        <family val="2"/>
        <scheme val="minor"/>
      </rPr>
      <t xml:space="preserve"> [Recirculation Pump. Model #RP BELL &amp; GOSSETT # NBF-36 ROOF. GPM: 4. Discharge(ft): 32'. Connection Size:3/4". Volts: 120. Phase: 1.  HP: 1/3</t>
    </r>
  </si>
  <si>
    <r>
      <t xml:space="preserve">TMV-2 </t>
    </r>
    <r>
      <rPr>
        <sz val="11"/>
        <color theme="1"/>
        <rFont val="Calibri"/>
        <family val="2"/>
        <scheme val="minor"/>
      </rPr>
      <t>Thermostatic Mixing Valve [Model # POWERS "INTELLISTATION" #LFIS150. Service: DOMESTIC. Flowrate (Gallons):  65. Pressure Loss(psi). 5.1  Minimum Flowrate(GPM): 0.5  Outlet Temperature: 140F</t>
    </r>
  </si>
  <si>
    <t>PENTHOUSE PLAN</t>
  </si>
  <si>
    <t>HANGER SUPPORTS</t>
  </si>
  <si>
    <t>INSULATION</t>
  </si>
  <si>
    <t>Fiber Glass with 1" Thickness</t>
  </si>
  <si>
    <t>SFT</t>
  </si>
  <si>
    <t>1-1/2" Hanger</t>
  </si>
  <si>
    <t>2" Hanger</t>
  </si>
  <si>
    <t>1-3/4" Hanger</t>
  </si>
  <si>
    <t>2-1/2"  Hanger</t>
  </si>
  <si>
    <t>2-1/4" Hanger</t>
  </si>
  <si>
    <t>3" Hanger</t>
  </si>
  <si>
    <t>4" Hanger</t>
  </si>
  <si>
    <t>1-1/4" Hanger</t>
  </si>
  <si>
    <t>3/4" Hanger</t>
  </si>
  <si>
    <t>1/2" Hanger</t>
  </si>
  <si>
    <t>Hanger Details: All hangers shall be TRAPEZE PIPE HANGER Type. Provide Metal 360° Insulation Shield and high density insulation or pre-engineering thermal hanger shield insert of Calcium Silicate insulation. Hangers with pre-manufactured polymer inserts shall be Strut-mounted pipe clamps and clevis hangers. Hanger Manufaturer: Armacell</t>
  </si>
  <si>
    <t>LIGHTING FIXTURES</t>
  </si>
  <si>
    <t>ELEV1, Manufacturer: LITHONIA LIGHTING, Model: DMW2-L24-3000LM-PCL-MD-MVOLT-GZ1-35K-80CRI-PS1050, 24" Wall Mounted LED Strip Wet Location Listed, Lamp Type: Integral LED, 120/277V, 27W/34VA, w/ Non Dimming Control</t>
  </si>
  <si>
    <t>LIGHTING CONTROLS</t>
  </si>
  <si>
    <t>Single Pole Switch</t>
  </si>
  <si>
    <t>Three Way Switch</t>
  </si>
  <si>
    <t>Wall Mount Dual Technology Occupancy Sensor, Single Relay. Integral Manual Override Switch, Line Voltage, Manufacturer: WATTSTOPPER, Model: DW-301, 120/277V</t>
  </si>
  <si>
    <t>Wall Mount Dual Technology Occupancy Sensor, Dual Relay. Integral Manual Override Switch, Line Voltage, Manufacturer: WATTSTOPPER, Model: DW-200, 120/277V</t>
  </si>
  <si>
    <t>Digital Wall Dimmer Switch With Led On/Off Status Light, Manufacturer: WATTSTOPPER, Model: LMDM-101, 24V</t>
  </si>
  <si>
    <t>Low Voltage Momentary Switch For Manual On/Off Control. Integral Led Illuminated When Load is On, Manufacturer: WATTSTOPPER, Model: DCC2, 24V</t>
  </si>
  <si>
    <t>Digital Wall Switch For Manual On/Off Control, Manufacturer: WATTSTOPPER, Model: LMSW-100, 24V</t>
  </si>
  <si>
    <t>Simplex Receptacle 5-20R, Manually Controlled</t>
  </si>
  <si>
    <t>4 Way Switch</t>
  </si>
  <si>
    <t>Duplex Receptacle Floor Mounted</t>
  </si>
  <si>
    <t>Raise/Lower Switch</t>
  </si>
  <si>
    <t>Ceiling Mount Dual Technology Occupancy Sensor. 360 Degree Coverage, Low Voltage,
Isolated Relay, Manufacturer: WATTSTOPPER, Model: DT-300, 24V</t>
  </si>
  <si>
    <t>Ceiling Mounted Digital Dual Technology Occupancy Sensor 360 Degree Coverage, Low
Voltage, Manufacturer: WATTSTOPPER, Model: LMDC-100, 24V</t>
  </si>
  <si>
    <t>P SQUARE (Specification Not given)</t>
  </si>
  <si>
    <t>Power Pack For Low Voltage Occupancy Sensors With 20A Load Relay And Integral
Transformer, Manual- And Auto-On Modes. Hold-On And Hold-Off Inputs, Manufacturer: WATTSTOPPER, Model: BZ-150, 120/277V</t>
  </si>
  <si>
    <t>Analog Photocell Rated For Outdoor Use. Provide With Analog/Digital Module, LMIO-301
To Be Tied To DLM Room Controllers (LMRC)., Manufacturer: WATTSTOPPER, Model: LMPO-200, 120/277V</t>
  </si>
  <si>
    <t>Ceiling/Wall Mount Passive Infrared Occupancy Sensor. Gasketed And Watertight,
Low/High Temperature Rated. Adjustable, Light Level Settings. 270 Degree Coverage,Line Voltage. Provide With Analog/Digitial Module LMIO For Compatibility With DLM Room Controllers (LMRC)</t>
  </si>
  <si>
    <t>R1, Digital Multi-Relay On/Off/0-10V Dimming Room Controller, Manufacturer:
WATTSTOPPER, Model: LMRC-210 (Single Relay), 120/277V</t>
  </si>
  <si>
    <t>R2, Digital Multi-Relay On/Off/0-10V Dimming Room Controller, Manufacturer:
WATTSTOPPER, Model: LMRC-210 (Two Relay), 120/277V</t>
  </si>
  <si>
    <t>Junction Box</t>
  </si>
  <si>
    <t>SWITCHES</t>
  </si>
  <si>
    <t>Toggle Disconnect Switch for Fire Smoke Dampers/Motorized Dampers</t>
  </si>
  <si>
    <t>Disconnect Switch</t>
  </si>
  <si>
    <t>Disconnect Switch 30A/1P/15A/NEMA 1</t>
  </si>
  <si>
    <t>Disconnect Switch 200A/2P/125A/NEMA 1</t>
  </si>
  <si>
    <t>Heavy Duty Disconnect Switch 30A/3P, 25A Fuse NEMA 1 Enclosure</t>
  </si>
  <si>
    <t>Heavy Duty Disconnect Switch 30A/2P, 15A Fuse NEMA 1 Enclosure</t>
  </si>
  <si>
    <t>Toggle Disconnect Switch 20A/2P, NEMA 1 Enclosure</t>
  </si>
  <si>
    <t>Heavy Duty Disconnect Switch 60A/3P, 50A Fuse NEMA 3R Enclosure</t>
  </si>
  <si>
    <t>Heavy Duty Disconnect Switch 30A/3P, 15A Fuse NEMA 3R Enclosure</t>
  </si>
  <si>
    <t>Heavy Duty Disconnect Switch 200A/3P, 175A Fuse NEMA 3R Enclosure</t>
  </si>
  <si>
    <t>Heavy Duty Disconnect Switch 200A/3P, 150A Fuse NEMA 3R Enclosure</t>
  </si>
  <si>
    <t>Factory Disconnect Switch (Provided with Equipment)</t>
  </si>
  <si>
    <t>Toggle Disconnect Switch NEMA 1</t>
  </si>
  <si>
    <t>Toggle Disconnect Switch NEMA 3R</t>
  </si>
  <si>
    <t>Heavy Duty Disconnect Switch 30A/3P, NF, NEMA 3R Enclosure</t>
  </si>
  <si>
    <t>Heavy Duty Disconnect Switch 30A/3P, 25A Fuse, NEMA 3R Enclosure</t>
  </si>
  <si>
    <t>Toggle Disconnect Switch 20A/1P, NEMA 1 Enclosure</t>
  </si>
  <si>
    <t>Heavy Duty Disconnect Switch 30A/2P, NF, NEMA 1 Enclosure</t>
  </si>
  <si>
    <t>Heavy Duty Disconnect Switch 30A/2P, 30A Fuse NEMA 1 Enclosure</t>
  </si>
  <si>
    <t>RECEPTACLES</t>
  </si>
  <si>
    <t>Duplex Receptacle, NEMA 5-20R</t>
  </si>
  <si>
    <t>GFCI Type Duplex Receptacle</t>
  </si>
  <si>
    <t>Duplex Receptacle, Floor Mounted</t>
  </si>
  <si>
    <t>GFCI Type Duplex Receptacle, Weatherproof/Weather Resistant</t>
  </si>
  <si>
    <t>Special Receptacle, NEMA 14-30R</t>
  </si>
  <si>
    <t>Special Receptacle, NEMA 6-20R</t>
  </si>
  <si>
    <t>Special Receptacle, NEMA 5-30R</t>
  </si>
  <si>
    <t>Double Duplex Receptacle, NEMA 5-20R</t>
  </si>
  <si>
    <t>GFCI Type Duplex Receptacle, Weather Resistant</t>
  </si>
  <si>
    <t>120V Duplex Receptacle for Trap Primer</t>
  </si>
  <si>
    <t>POWER PLAN</t>
  </si>
  <si>
    <t>Thermostat</t>
  </si>
  <si>
    <t>Automatic Load Control Relay (ALC)</t>
  </si>
  <si>
    <t>Junction Box on Dedicated 20A/120V Circuit</t>
  </si>
  <si>
    <t>Utility Meter</t>
  </si>
  <si>
    <t>E-MON Class 4000 Multi-Family Single-Phase kWh Submeter</t>
  </si>
  <si>
    <t>LOW VOLTAGE SYSTEM</t>
  </si>
  <si>
    <t>Intercom w/ Backbox</t>
  </si>
  <si>
    <t>Card Reader w/ Backbox</t>
  </si>
  <si>
    <t>Electric Strike w/ Backbox</t>
  </si>
  <si>
    <t>Camera w/ Backbox</t>
  </si>
  <si>
    <t>Telephone/Data Outlet, Wall Mounted</t>
  </si>
  <si>
    <t>Magnetic Window Sensor w/ Backbox</t>
  </si>
  <si>
    <t>Emergency Buttom w/ Backbox</t>
  </si>
  <si>
    <t>Speaker-Ceiling Mounted, w/ Bacbox</t>
  </si>
  <si>
    <t>Wireless access point</t>
  </si>
  <si>
    <t>Passive Infrared Motion Detector</t>
  </si>
  <si>
    <t>DATA OUTLETS</t>
  </si>
  <si>
    <t>Data Outlets</t>
  </si>
  <si>
    <t>Television Outlet</t>
  </si>
  <si>
    <t>ELECTRICAL CABLES</t>
  </si>
  <si>
    <t>AWG # 1</t>
  </si>
  <si>
    <t>AWG # 1/0</t>
  </si>
  <si>
    <t>AWG # 2</t>
  </si>
  <si>
    <t>AWG # 2/0</t>
  </si>
  <si>
    <t>AWG # 3</t>
  </si>
  <si>
    <t>AWG # 3/0</t>
  </si>
  <si>
    <t>AWG # 4</t>
  </si>
  <si>
    <t>AWG # 4/0</t>
  </si>
  <si>
    <t>AWG # 6</t>
  </si>
  <si>
    <t>AWG # 8</t>
  </si>
  <si>
    <t>AWG # 10</t>
  </si>
  <si>
    <t>AWG # 12</t>
  </si>
  <si>
    <t>300KCMIL</t>
  </si>
  <si>
    <t>350KCMIL</t>
  </si>
  <si>
    <t>500KCMIL</t>
  </si>
  <si>
    <t>CAT 5e</t>
  </si>
  <si>
    <t>CAT 6</t>
  </si>
  <si>
    <t>Assumption: Service End Box is assumed 100ft away from Utility Service</t>
  </si>
  <si>
    <t>CONDUITS</t>
  </si>
  <si>
    <t>3/4" Conduit EMT</t>
  </si>
  <si>
    <t>1/2" Conduit EMT</t>
  </si>
  <si>
    <t>1" Conduit EMT</t>
  </si>
  <si>
    <t>1.25" Conduit EMT</t>
  </si>
  <si>
    <t>1.5" Conduit EMT</t>
  </si>
  <si>
    <t>2" Conduit EMT</t>
  </si>
  <si>
    <t>2.5" Conduit EMT</t>
  </si>
  <si>
    <t>3" Conduit EMT</t>
  </si>
  <si>
    <t>3.5" Conduit EMT</t>
  </si>
  <si>
    <t>ELECTRICAL PANELS</t>
  </si>
  <si>
    <t>PANEL CIRCUIT BREAKERS</t>
  </si>
  <si>
    <t>Combination Fused Switch/Starter 400AS/250AF/3P NEMA 1</t>
  </si>
  <si>
    <t>Combination Fused Switch/Starter 30AS/30AF/3P NEMA 1</t>
  </si>
  <si>
    <t>Disconnect Switch, 30AS/15AF/3P NEMA 1</t>
  </si>
  <si>
    <t>Motor, 1.5Hp</t>
  </si>
  <si>
    <t>Disconnect Switch, 200AS/125AF,3P NEMA 1</t>
  </si>
  <si>
    <t xml:space="preserve">Neutral Rod </t>
  </si>
  <si>
    <t>Ground Rod</t>
  </si>
  <si>
    <t>Motor, 60 Hp</t>
  </si>
  <si>
    <t>Circuit Breaker 2500A/3P</t>
  </si>
  <si>
    <t>Ground Fault Relay</t>
  </si>
  <si>
    <t>Surge Protection Device</t>
  </si>
  <si>
    <t>Shunt Trip</t>
  </si>
  <si>
    <t>Elevator Motor, 30Hp</t>
  </si>
  <si>
    <t>CPT (No Specification Given)</t>
  </si>
  <si>
    <t>H in Circle (No Specification Given)</t>
  </si>
  <si>
    <t>R in Circle (No Specification Given)</t>
  </si>
  <si>
    <t>Service End Box, 208Y/120V, 3PH, 4W, 2500A</t>
  </si>
  <si>
    <t>MDP-1, 208Y/120V, 3pH, 4W, 2000A</t>
  </si>
  <si>
    <t>MDP-2, 208Y/120V, 3pH, 4W, 2500A</t>
  </si>
  <si>
    <t>Panel-BD-DPC, 208Y/120V, 3PH, 4W, Bus Ampere: 400, Mains Type: MLO, Surface Mounted w/ Equipment Ground Bus, FCA +10% Minimum Fully Rated</t>
  </si>
  <si>
    <t>Panel BD-HPC, 208Y/120V, 3PH, 4W, Bus Ampere: 225, Mains Type: MLO, Surface Mounted w/ Equipment Ground Bus, FCA +10% Minimum Fully Rated</t>
  </si>
  <si>
    <t>Panel-BD-IT,  208Y/120V, 3PH, 4W, Bus Ampere: 60, Mains Type: MLO, Surface Mounted w/ Equipment Ground Bus, FCA +10% Minimum Fully Rated</t>
  </si>
  <si>
    <t>Panel BD-KP, 208Y/120V, 3PH, 4W, Bus Ampere: 100, Mains Type: MLO, Recessed Mounted w/ Equipment Ground Bus, FCA +10% Minimum Fully Rated</t>
  </si>
  <si>
    <t>Panel BD-HP1A, 208Y/120V, 3PH, 4W, Bus Ampere: 225, Mains Type: MLO, Recessed Mounted w/ Equipment Ground Bus, FCA +10% Minimum Fully Rated</t>
  </si>
  <si>
    <t>Panel BD-HP1B, 208Y/120V, 3PH, 4W, Bus Ampere: 225, Mains Type: MLO, Recessed Mounted w/ Equipment Ground Bus, FCA +10% Minimum Fully Rated</t>
  </si>
  <si>
    <t>Panel-BD-DP3, 208Y/120V, 3PH, 4W, Bus Ampere: 400, Mains Type: MLO, Recessed Mounted w/ Equipment Ground Bus, FCA +10% Minimum Fully Rated</t>
  </si>
  <si>
    <t>Panel-BD-P2A (Unit A), 208Y/120V, 1PH, 3W, Bus Ampere: 125, Main Breaker: 100A MCB, Recessed Mounted w/ Equipment Ground Bus, FCA +10% Minimum Fully Rated</t>
  </si>
  <si>
    <t>Panel-BD-P2B (Unit B), 208Y/120V, 1PH, 3W, Bus Ampere: 125, Main Breaker: 100A MCB, Recessed Mounted w/ Equipment Ground Bus, FCA +10% Minimum Fully Rated</t>
  </si>
  <si>
    <t>Panel-BD-P2C (Unit C), 208Y/120V, 1PH, 3W, Bus Ampere: 125, Main Breaker: 100A MCB, Recessed Mounted w/ Equipment Ground Bus, FCA +10% Minimum Fully Rated</t>
  </si>
  <si>
    <t>Panel-BD-P2D (Unit D), 208Y/120V, 1PH, 3W, Bus Ampere: 125, Main Breaker: 100A MCB, Recessed Mounted w/ Equipment Ground Bus, FCA +10% Minimum Fully Rated</t>
  </si>
  <si>
    <t>Panel-BD-P3A (Unit A), 208Y/120V, 1PH, 3W, Bus Ampere: 125, Main Breaker: 100A MCB, Recessed Mounted w/ Equipment Ground Bus, FCA +10% Minimum Fully Rated</t>
  </si>
  <si>
    <t>Panel-BD-P3B (Unit B), 208Y/120V, 1PH, 3W, Bus Ampere: 125, Main Breaker: 100A MCB, Recessed Mounted w/ Equipment Ground Bus, FCA +10% Minimum Fully Rated</t>
  </si>
  <si>
    <t>Panel-BD-P3C (Unit C), 208Y/120V, 1PH, 3W, Bus Ampere: 125, Main Breaker: 100A MCB, Recessed Mounted w/ Equipment Ground Bus, FCA +10% Minimum Fully Rated</t>
  </si>
  <si>
    <t>Panel-BD-P3D (Unit D), 208Y/120V, 1PH, 3W, Bus Ampere: 125, Main Breaker: 100A MCB, Recessed Mounted w/ Equipment Ground Bus, FCA +10% Minimum Fully Rated</t>
  </si>
  <si>
    <t>Panel-BD-P4A (Unit A), 208Y/120V, 1PH, 3W, Bus Ampere: 125, Main Breaker: 100A MCB, Recessed Mounted w/ Equipment Ground Bus, FCA +10% Minimum Fully Rated</t>
  </si>
  <si>
    <t>Panel-BD-P4B (Unit B), 208Y/120V, 1PH, 3W, Bus Ampere: 125, Main Breaker: 100A MCB, Recessed Mounted w/ Equipment Ground Bus, FCA +10% Minimum Fully Rated</t>
  </si>
  <si>
    <t>Panel-BD-P4C (Unit C), 208Y/120V, 1PH, 3W, Bus Ampere: 125, Main Breaker: 100A MCB, Recessed Mounted w/ Equipment Ground Bus, FCA +10% Minimum Fully Rated</t>
  </si>
  <si>
    <t>Panel-BD-P4D (Unit D), 208Y/120V, 1PH, 3W, Bus Ampere: 125, Main Breaker: 100A MCB, Recessed Mounted w/ Equipment Ground Bus, FCA +10% Minimum Fully Rated</t>
  </si>
  <si>
    <t>Panel-BD-HP5, 208Y/120V, 3PH, 4W, Bus Ampere: 60, Mains Type: MLO, Recessed Mounted w/ Equipment Ground Bus, FCA +10% Minimum Fully Rated</t>
  </si>
  <si>
    <t>Panel-BD-DP6, 208Y/120V, 3PH, 4W, Bus Ampere: 400, Mains Type: MLO, Recessed Mounted w/ Equipment Ground Bus, FCA +10% Minimum Fully Rated</t>
  </si>
  <si>
    <t>Panel-BD-P5A (Unit E), 208Y/120V, 1PH, 3W, Bus Ampere: 125, Main Breaker: 100A MCB, Recessed Mounted w/ Equipment Ground Bus, FCA +10% Minimum Fully Rated</t>
  </si>
  <si>
    <t>Panel-BD-P5B (Unit B), 208Y/120V, 1PH, 3W, Bus Ampere: 125, Main Breaker: 100A MCB, Recessed Mounted w/ Equipment Ground Bus, FCA +10% Minimum Fully Rated</t>
  </si>
  <si>
    <t>Panel-BD-P5C (Unit C), 208Y/120V, 1PH, 3W, Bus Ampere: 125, Main Breaker: 100A MCB, Recessed Mounted w/ Equipment Ground Bus, FCA +10% Minimum Fully Rated</t>
  </si>
  <si>
    <t>Panel-BD-P5D (Unit D), 208Y/120V, 1PH, 3W, Bus Ampere: 125, Main Breaker: 100A MCB, Recessed Mounted w/ Equipment Ground Bus, FCA +10% Minimum Fully Rated</t>
  </si>
  <si>
    <t>Panel-BD-P6A (Unit E), 208Y/120V, 1PH, 3W, Bus Ampere: 125, Main Breaker: 100A MCB, Recessed Mounted w/ Equipment Ground Bus, FCA +10% Minimum Fully Rated</t>
  </si>
  <si>
    <t>Panel-BD-P6B (Unit B), 208Y/120V, 1PH, 3W, Bus Ampere: 125, Main Breaker: 100A MCB, Recessed Mounted w/ Equipment Ground Bus, FCA +10% Minimum Fully Rated</t>
  </si>
  <si>
    <t>Panel-BD-P6C (Unit C), 208Y/120V, 1PH, 3W, Bus Ampere: 125, Main Breaker: 100A MCB, Recessed Mounted w/ Equipment Ground Bus, FCA +10% Minimum Fully Rated</t>
  </si>
  <si>
    <t>Panel-BD-P6D (Unit D), 208Y/120V, 1PH, 3W, Bus Ampere: 125, Main Breaker: 100A MCB, Recessed Mounted w/ Equipment Ground Bus, FCA +10% Minimum Fully Rated</t>
  </si>
  <si>
    <t>Panel-BD-HP9, 208Y/120V, 3PH, 4W, Bus Ampere: 100, Mains Type: MLO, Recessed Mounted w/ Equipment Ground Bus, FCA +10% Minimum Fully Rated</t>
  </si>
  <si>
    <t>Panel-BD-DP9, 208Y/120V, 3PH, 4W, Bus Ampere: 400, Mains Type: MLO, Surface Mounted w/ Equipment Ground Bus, FCA +10% Minimum Fully Rated</t>
  </si>
  <si>
    <t>Panel-BD-P7A (Unit F), 208Y/120V, 1PH, 3W, Bus Ampere: 125, Main Breaker: 125A MCB, Recessed Mounted w/ Equipment Ground Bus, FCA +10% Minimum Fully Rated</t>
  </si>
  <si>
    <t>Panel-BD-P7B (Unit G)), 208Y/120V, 1PH, 3W, Bus Ampere: 125, Main Breaker: 110A MCB, Recessed Mounted w/ Equipment Ground Bus, FCA +10% Minimum Fully Rated</t>
  </si>
  <si>
    <t>Panel-BD-P8A (Unit H), 208Y/120V, 1PH, 3W, Bus Ampere: 200, Main Breaker: 150A MCB, Recessed Mounted w/ Equipment Ground Bus, FCA +10% Minimum Fully Rated</t>
  </si>
  <si>
    <t>Panel-BD-P8B (Unit J), 208Y/120V, 1PH, 3W, Bus Ampere: 125, Main Breaker: 110A MCB, Recessed Mounted w/ Equipment Ground Bus, FCA +10% Minimum Fully Rated</t>
  </si>
  <si>
    <t>Panel-BD-MPA, 208Y/120V, 3PH, 4W, Bus Ampere: 400, Mains Type: MLO, Surface Mounted w/ Equipment Ground Bus, FCA +10% Minimum Fully Rated</t>
  </si>
  <si>
    <t>Panel-BD-MPB, 208Y/120V, 3PH, 4W, Bus Ampere: 400, Mains Type: MLO, Surface Mounted w/ Equipment Ground Bus, FCA +10% Minimum Fully Rated</t>
  </si>
  <si>
    <t>Circuit Breaker 15A/1P</t>
  </si>
  <si>
    <t>Circuit Breaker 15A/1P, Handle Padlockable Off Device</t>
  </si>
  <si>
    <t>Circuit Breaker 15A/1P, GFI Type Breaker</t>
  </si>
  <si>
    <t>Circuit Breaker 20A/1P</t>
  </si>
  <si>
    <t>Circuit Breaker 20A/1P, Handle Padlockable Off Device</t>
  </si>
  <si>
    <t>Circuit Breaker 20A/1P, GFI Type Breaker</t>
  </si>
  <si>
    <t>Circuit Breaker 20A/1P, Emergency Lighting Handle On Clamp</t>
  </si>
  <si>
    <t>Circuit Breaker 20A/1P, Arc Fault Circuit Interruptor</t>
  </si>
  <si>
    <t>Circuit Breaker 20A/1P, Arc Fault Circuit Interruptor and Red/Handle On Clamp</t>
  </si>
  <si>
    <t>Circuit Breaker 30A/1P</t>
  </si>
  <si>
    <t>Circuit Breaker 15A/2P</t>
  </si>
  <si>
    <t>Circuit Breaker 15A/2P, Handle Padlockable Off Device</t>
  </si>
  <si>
    <t>Circuit Breaker 15A/2P, Handle Padlockable Off Device and Shunt Trip Breaker</t>
  </si>
  <si>
    <t>Circuit Breaker 20A/2P</t>
  </si>
  <si>
    <t>Circuit Breaker 20A/2P, Handle Padlockable Off Device</t>
  </si>
  <si>
    <t>Circuit Breaker 30A/2P</t>
  </si>
  <si>
    <t>Circuit Breaker 30A/2P, Handle Padlockable Off Device</t>
  </si>
  <si>
    <t>Circuit Breaker 40A/2P, Handle Padlockable Off Device</t>
  </si>
  <si>
    <t>Circuit Breaker 100A/2P</t>
  </si>
  <si>
    <t>Circuit Breaker 110A/2P</t>
  </si>
  <si>
    <t>Circuit Breaker 125A/2P</t>
  </si>
  <si>
    <t>Circuit Breaker 150A/2P</t>
  </si>
  <si>
    <t>Circuit Breaker 15A/3P</t>
  </si>
  <si>
    <t>Circuit Breaker 25A/3P</t>
  </si>
  <si>
    <t>Circuit Breaker 30A/3P</t>
  </si>
  <si>
    <t>Circuit Breaker 50A/3P</t>
  </si>
  <si>
    <t>Circuit Breaker 60A/3P</t>
  </si>
  <si>
    <t>Circuit Breaker 60A/3P, Handle Padlockable Off Device</t>
  </si>
  <si>
    <t>Circuit Breaker 100A/3P</t>
  </si>
  <si>
    <t>Circuit Breaker 125A/3P</t>
  </si>
  <si>
    <t>Circuit Breaker 150A/3P</t>
  </si>
  <si>
    <t>Circuit Breaker 175A/3P</t>
  </si>
  <si>
    <t>Circuit Breaker 200A/3P</t>
  </si>
  <si>
    <t>Circuit Breaker 400A/3P</t>
  </si>
  <si>
    <t>Circuit Breaker 3P (For Future Equipment)</t>
  </si>
  <si>
    <t>L1, Manufacturer: ELTODO,A.S., Model: HL 2380Wall Mounted Exterior Lamp, Lamp Type: LED, 120V/150W with non-dimming Control (Provided by Owner and Installed by Contractor)</t>
  </si>
  <si>
    <t>L2, Manufacturer: H.E. Williams, Inc., Model: 17-4-L55/835-AF, Surface Mounted LED Strip, Lamp Type: Integral LED, 120/277V, 53W/66.3VA, 010V Diming Controls</t>
  </si>
  <si>
    <t>L2-EM, Manufacturer: H.E. Williams, Inc., Model: 17-4-L55/835-AF, Surface Mounted LED Strip with Emergency Battery Pack (1000LM), Lamp Type: Integral LED, 120/277V, 53W/66.3VA, 010V Diming Controls</t>
  </si>
  <si>
    <t>L3, Manufcaturer: ZUMTOBEL, Model: Downlight: PANOSD200RH24W830WHW Driver: PANOSFE200DLR24WDA1, Recessed Round Downlight, Lamp Type: Integral LED, 120V, 24W/30VA, 0-10V Dimming Control</t>
  </si>
  <si>
    <t>L3-EM, Manufcaturer: ZUMTOBEL, Model: Downlight: PANOSD200RH24W830WHW Driver: PANOSFE200DLR24WDA1, Recessed Round Downlight w/ Emergency Battery Pack (600LM), Lamp Type: Integral LED, 120V, 24W/30VA, 0-10V Dimming Control</t>
  </si>
  <si>
    <t>L4, Manufacturer: ZUMTOBEL, Model: Downlight: PANOSD200RH24W830WHW Driver: PANOSFE200DLR24WDA1, Recessed Round Downlight, Lamp Type: Integral LED, 120V, 24W/30VA, 0-10V Dimming Control</t>
  </si>
  <si>
    <t>L4-EM, Manufacturer: ZUMTOBEL, Model: Downlight: PANOSD200RH24W830WHW Driver: PANOSFE200DLR24WDA1, Recessed Round Downlight w/ Emergency Battery Pack (600LM), Lamp Type: Integral LED, 120V, 24W/30VA, 0-10V Dimming Control</t>
  </si>
  <si>
    <t>L5, Manufacturer: New Star, Model: STWL4-T, Ceiling Mounted LED Strip, Lamp Type: Integral LED, 120/277V, 60W/75VA, 0-10V Dimming Control</t>
  </si>
  <si>
    <t>L5-EM, Manufacturer: New Star, Model: STWL4-T, Ceiling Mounted LED Strip w/ Emergency Battery Pack (1100LM), Lamp Type: Integral LED, 120/277V, 60W/75VA, 0-10V Dimming Control</t>
  </si>
  <si>
    <t>L6, Manufacturer: CIRCA, Model: FM-2115-30-TT, LED Interior Ceiling Flush Mount, Lamp Type: Integral LED, 120V, 25W/31.3VA, ELV Dimming</t>
  </si>
  <si>
    <t>L7, Manufacturer: Supernova, Model: LVP751-50W-3500K-120-227-OP-WHT, LED Wall/Ceiling Mounted, Lamp Type: Integral LED, 120/277V, 81.4W/101.8VA,
w/ Non Dimming Control</t>
  </si>
  <si>
    <t>L7-EM, Manufacturer: Supernova, Model: LVP751-50W-3500K-120-227-OP-WHT, LED Wall/Ceiling Mounted w/ Emergency Battery Pack (1200LM), Lamp Type:
Integral LED, 120/277V, 81.4W/101.8VA, w/ Non Dimming Control</t>
  </si>
  <si>
    <t>L8, Manufacturer: Cooper Lighting, Model: R2X-W-O-2-L35-1-C-UNV-22-T1-BLANK-NY-AM, Recessed LED Troffer, Lamp Type: Integral LED, 120/277V, 29.3W/36.6VA, 0-10V
Dimming Control</t>
  </si>
  <si>
    <t>L8-EM, Manufacturer: Cooper Lighting, Model: R2X-W-O-2-L35-1-C-UNV-22-T1-BLANK-NY-AM, Recessed LED Troffer w/ Emergency Battery Pack (1400LM), Lamp Type:
Integral LED, 120/277V, 29.3W/36.6VA, 0-10V Dimming Control</t>
  </si>
  <si>
    <t>L9, Manufacturer: Ferruccio Laviani, Model: FL/Y 9058, Decorative Pendant, Lamp Type:
LED, 120V, 15W/18.8VA, Non Dimming Control</t>
  </si>
  <si>
    <t>L10, Manufacturer: TASK Lighting, Model: Sempria SG9, Linear Under Cabinet LED Strip, Lamp Type: Integral LED, 15DC, 6W/ft and 7.7VA/ft,  ELV Dimming</t>
  </si>
  <si>
    <t>L11, Manufacturer: BEGA, Model: 22383, Exterior Wall Washer, Lamp Type: Integral LED, 120/277V, 21W/26.3VA, 0-10V Dimming Control</t>
  </si>
  <si>
    <t>L12, Manufacturer: iGuzzini, Model: Fixture: I.BV43-SPS0XXXXX-15, Housing: BN-BV43-120 or 227), Ceiling Mounted Recessed Downlight, Lamp Type: Integral LED, 120V,
34.1W/42.6VA, Non Dimming Control</t>
  </si>
  <si>
    <t>L12-EM, Manufacturer: iGuzzini, Model: Fixture: I.BV43-SPS0XXXXX-15, Housing: BN-BV43-120 or 227), Ceiling Mounted Recessed Downlight w/ Emergency Battery PAck,
Lamp Type: Integral LED, 120V, 34.1W/42.6VA, Non Dimming Control</t>
  </si>
  <si>
    <t>L13Manufacturer: BEGA, Model: 22272, Recessed Wall Luminaire, Lamp Type: Integral Led, 120/277V, 8.4W/10.5V, 0-10V Dimming Control</t>
  </si>
  <si>
    <t>X1, Manufacturer: The EXIT Light Co., Model: NYELR, Edge Light Exit Sign, Lamp Type: Integral LED, 120/277V, 10W/12.5VA, Non
Dimming Control</t>
  </si>
  <si>
    <t>Wall Mounted Audible Notification Appliance, 1/2W</t>
  </si>
  <si>
    <t>Ceiling Mounted Audible Notification Appliance, 1/2W</t>
  </si>
  <si>
    <t>Ceiling Mounted Audible Notification Appliance, 1/4W</t>
  </si>
  <si>
    <t>Ceiling Mounted Audible/Visible Notification Appliance, 15 Candela, 1/4W</t>
  </si>
  <si>
    <t>Ceiling Mounted Audible/Visible Notification Appliance, 15 Candela, 1/2W</t>
  </si>
  <si>
    <t>Ceiling Mounted Audible/Visible Notification Appliance, 30 Candela, 1/2W</t>
  </si>
  <si>
    <t>Ceiling Mounted Audible/Visible Notification Appliance, 75 Candela, 1/2W</t>
  </si>
  <si>
    <t>Wall Mounted Audible/Visible Notification Appliance, 15 Candela, 1/2W</t>
  </si>
  <si>
    <t>Wall Mounted Audible/Visible Notification Appliance, 110 Candela, 1W</t>
  </si>
  <si>
    <t>Remote Indicating Light (RL)</t>
  </si>
  <si>
    <t>Water Flow Alarm Switch (FS)</t>
  </si>
  <si>
    <t>Control Valve Tamper Switch (VT)</t>
  </si>
  <si>
    <t>Control Module (CM)</t>
  </si>
  <si>
    <t>Monitor Module (MM)</t>
  </si>
  <si>
    <t>Pull Station</t>
  </si>
  <si>
    <t>Heat Detector</t>
  </si>
  <si>
    <t>Smoke Detector</t>
  </si>
  <si>
    <t>Data Gathering Panel (DGP)</t>
  </si>
  <si>
    <t>Remote Power Supply (RPS)</t>
  </si>
  <si>
    <t>Fire Alarm Terminal Cabinet (FATC)</t>
  </si>
  <si>
    <t>Duct Mounted Smoke Detector</t>
  </si>
  <si>
    <t>Fused Disconnect Switch (FDS)</t>
  </si>
  <si>
    <t>Remote Annunciator Panel</t>
  </si>
  <si>
    <t>Fire Command Center With Integral Purge Key Switch</t>
  </si>
  <si>
    <t>FIRE ALARM CABLES</t>
  </si>
  <si>
    <t>CAT 5e (Assumed for Antenna)</t>
  </si>
  <si>
    <t>AUXILIARY RADIO COMMUNICATION SYSTEM</t>
  </si>
  <si>
    <t>Arc System Radio Antenna</t>
  </si>
  <si>
    <t>Fuse Disconnect Switch (FDS)</t>
  </si>
  <si>
    <t>Arc Repeater Cabinet</t>
  </si>
  <si>
    <t>Arc System Operator Console</t>
  </si>
  <si>
    <t>SCOPE OF ESTIMATE:</t>
  </si>
  <si>
    <t>I</t>
  </si>
  <si>
    <t>SUPPLY &amp; INSTALLATION</t>
  </si>
  <si>
    <t>Fire Alarm System</t>
  </si>
  <si>
    <t>Fire Alarm Cables and Conduits</t>
  </si>
  <si>
    <t>Auxilary Radio Communication System</t>
  </si>
  <si>
    <t>FIXTURES</t>
  </si>
  <si>
    <t>FIRE PROTECTION PIPE and FITTINGS</t>
  </si>
  <si>
    <t>1" Fire Protection Pipe</t>
  </si>
  <si>
    <t>1.25" Fire Protection Pipe</t>
  </si>
  <si>
    <t>2.5" Fire Protection Pipe</t>
  </si>
  <si>
    <t>2" Fire Protection Pipe</t>
  </si>
  <si>
    <t>6" Fire Protection Pipe</t>
  </si>
  <si>
    <t>4" Fire Protection Pipe</t>
  </si>
  <si>
    <t>1.5" Fire Protection Pipe</t>
  </si>
  <si>
    <t>5" Fire Protection Pipe</t>
  </si>
  <si>
    <t>2.5" Elbow 90</t>
  </si>
  <si>
    <t>2.5"-2.5"-2" Tee</t>
  </si>
  <si>
    <t>2" Elbow 90</t>
  </si>
  <si>
    <t>2"-1.25"-1.5" Tee</t>
  </si>
  <si>
    <t>1.25"-1.25"-1.25" Tee</t>
  </si>
  <si>
    <t>1.25"-1.25"-1" Tee</t>
  </si>
  <si>
    <t>1" Elbow 90</t>
  </si>
  <si>
    <t>1.5"-1.25"-1" Tee</t>
  </si>
  <si>
    <t>6"-2.5"-6" Tee</t>
  </si>
  <si>
    <t>2.5"-1.25"-2.5" Tee</t>
  </si>
  <si>
    <t>1.25"-1"-1.25" Tee</t>
  </si>
  <si>
    <t>1.25"-1"-1" Tee</t>
  </si>
  <si>
    <t>2.5"-1"-2.5" Tee</t>
  </si>
  <si>
    <t>2.5"-1.5"-2.5" Tee</t>
  </si>
  <si>
    <t>1.5"-1"-1.5" Tee</t>
  </si>
  <si>
    <t>1.5"-1.5"-1.25" Tee</t>
  </si>
  <si>
    <t>6" Shut off valve</t>
  </si>
  <si>
    <t>4" Elbow 90</t>
  </si>
  <si>
    <t>4" Elbow 45</t>
  </si>
  <si>
    <t>2.5" End Cap</t>
  </si>
  <si>
    <t>1.25" to 1" Reducer</t>
  </si>
  <si>
    <t>2.5"-1.25"-1.25"-2" 4-Way Fitting</t>
  </si>
  <si>
    <t>1.25" Elbow 90</t>
  </si>
  <si>
    <t>2.5"-1.25"-1"-2.5" 4-Way Fitting</t>
  </si>
  <si>
    <t>2.5"-1"-1"-2.5" 4-Way Fitting</t>
  </si>
  <si>
    <t>2.5"-2.5"-2.5" Tee</t>
  </si>
  <si>
    <t>2"-2"-2" Tee</t>
  </si>
  <si>
    <t>2"-2"-1.5" Tee</t>
  </si>
  <si>
    <t>2.5"-1.5"-1"-2.5" 4-Way Fitting</t>
  </si>
  <si>
    <t>1.5"-1.25" Reducer</t>
  </si>
  <si>
    <t>6"-6"-6" Tee</t>
  </si>
  <si>
    <t>6" Elbow 90</t>
  </si>
  <si>
    <t>6"-6"-4" Tee</t>
  </si>
  <si>
    <t>4"-4"-4" Tee</t>
  </si>
  <si>
    <t>6" Elbow 45</t>
  </si>
  <si>
    <t>6"-2.5"-2.5" Tee</t>
  </si>
  <si>
    <t>1.25"-1" Elbow 90</t>
  </si>
  <si>
    <t>2.5"-2"-2.5" Tee</t>
  </si>
  <si>
    <t>2"-1"-1.5" Tee</t>
  </si>
  <si>
    <t>1.5"-1"-1.25" Tee</t>
  </si>
  <si>
    <t>1.5"-1.5"-1.5" Tee</t>
  </si>
  <si>
    <t>1"-1.5"-1" Tee</t>
  </si>
  <si>
    <t>2"-1"-2" Tee</t>
  </si>
  <si>
    <t>2"-1.5"-1.25" Tee</t>
  </si>
  <si>
    <t>1.25"-1.5"-1" Tee</t>
  </si>
  <si>
    <t>1.25"-1"-1.5" Tee</t>
  </si>
  <si>
    <t>1.5"-1"-1"-1.5" 4 Way Fitting</t>
  </si>
  <si>
    <t>1.5"-1.5"-1" Tee</t>
  </si>
  <si>
    <t>2.5"-2"-2" Tee</t>
  </si>
  <si>
    <t>2"-1"-1"-1.5" 4-Way Fittings</t>
  </si>
  <si>
    <t>1.5" Elbow 90</t>
  </si>
  <si>
    <t>1.5"-1.25"-1.5" Tee</t>
  </si>
  <si>
    <t>2"-1.5"-2" Tee</t>
  </si>
  <si>
    <t>1.5"-2"-1" Tee</t>
  </si>
  <si>
    <t>2.5"-1.25" Reducer</t>
  </si>
  <si>
    <t>FIRE SPRINKLERS</t>
  </si>
  <si>
    <t>Sprinkler, Model # VICTAULIC/V3806, Residential Concealed, Finish-White, Type-QR, K-FACTOR-5.6, Size-1/2"</t>
  </si>
  <si>
    <t>Sprinkler, Model # VICTAULIC/V2703, Upright, Finish-Chrome, Type-QR, K-FACTOR-5.6, Size-1/2"</t>
  </si>
  <si>
    <t>Sprinkler, Model # VICTAULIC/V2744, Residential Sidewall, Finish-White, Type-QR, K-FACTOR-5.6, Size-1/2"</t>
  </si>
  <si>
    <t>FIRE PUMPS</t>
  </si>
  <si>
    <t>Fire Pump, FAIRBANKS MODEL 4"-1594BF, 750GPM, Discharge Size-6",208V,3Phase, 60HP</t>
  </si>
  <si>
    <t>Jockey Pump, FAIRBANKS MODEL PVM1-10, 7.5GPM, Discharge Size-2",208V,3Phase, 1.5HP</t>
  </si>
  <si>
    <t>FIRE SYSTEM FIXTURES</t>
  </si>
  <si>
    <t>VIC Mechanical Tee Style 920N Size-2"</t>
  </si>
  <si>
    <t>VIC Mechanical Tee Style 920N Size-6"</t>
  </si>
  <si>
    <t>VIC Firelock Butterfly Valve Series 705</t>
  </si>
  <si>
    <t>VIC Firelock Check Valve Series 717</t>
  </si>
  <si>
    <t>VICTAULIC Series 867 Pressure Reducing Valve (Bermad 720 UL/4")</t>
  </si>
  <si>
    <t>VIC Firelock Zone Control Riser Module Series 747MP W/PSI Relief Valve</t>
  </si>
  <si>
    <t>VIC Firelock 90 Deg Elbow No. 001</t>
  </si>
  <si>
    <t>VIC IR Firelock 90 Deg Elbow No. 101</t>
  </si>
  <si>
    <t>VIC Firelock Ez Rigid Coupling Style 009N (Or) Rigid Coupling Style 005</t>
  </si>
  <si>
    <t>UL Listed FM Approved Flow Switch (System Sensor Model WFD)</t>
  </si>
  <si>
    <t>Pressure Gauge</t>
  </si>
  <si>
    <t>Isolation Valve for Gauge</t>
  </si>
  <si>
    <t>Pressure Relief Valve</t>
  </si>
  <si>
    <t>Shut Off Valve (Offset Handle For Access On Both Sides)</t>
  </si>
  <si>
    <t>Sight Glass (Visible From Both Sides)</t>
  </si>
  <si>
    <t>Test And Drain Valve (Handle On Both Sides)</t>
  </si>
  <si>
    <t>5" Check Valve w/ ABD</t>
  </si>
  <si>
    <t>1" Arm Over Threaded</t>
  </si>
  <si>
    <t xml:space="preserve">1" Elbow Threaded </t>
  </si>
  <si>
    <t xml:space="preserve">6" Riser Clamp </t>
  </si>
  <si>
    <t xml:space="preserve">4" Riser Clamp </t>
  </si>
  <si>
    <t>Inlet Nipple (1" MPT) Or IGS Groove Style 108 Coupling</t>
  </si>
  <si>
    <t>1" Nut</t>
  </si>
  <si>
    <t>1" Isolation Ring</t>
  </si>
  <si>
    <t>1" Collar w/ Welded Fittings</t>
  </si>
  <si>
    <t>Stainless Steel Flexible Braided Hose (1" Nominal Diameter), L-72"</t>
  </si>
  <si>
    <t>VIC Mechanical-T Outlet Style 922 Firelock (1" FMPT)</t>
  </si>
  <si>
    <t xml:space="preserve">Tamper Switch </t>
  </si>
  <si>
    <t>Removal of sprinklers</t>
  </si>
  <si>
    <t>Pipe and Fittings</t>
  </si>
  <si>
    <t>Sprinkler Heads</t>
  </si>
  <si>
    <t>Fire pump and Jockey Pump</t>
  </si>
  <si>
    <t>FP Fixtures</t>
  </si>
  <si>
    <t>Fire Hose Valve Station, 2.5" Threaded Outlet,capped &amp; chained</t>
  </si>
  <si>
    <t>14x8</t>
  </si>
  <si>
    <t>6x8</t>
  </si>
  <si>
    <t>8x8</t>
  </si>
  <si>
    <t>10x8</t>
  </si>
  <si>
    <t>36x8</t>
  </si>
  <si>
    <t>6x6</t>
  </si>
  <si>
    <t>20x6</t>
  </si>
  <si>
    <t>6" Φ</t>
  </si>
  <si>
    <t>10x10</t>
  </si>
  <si>
    <t>12x12</t>
  </si>
  <si>
    <t>14x10</t>
  </si>
  <si>
    <t>8" Φ</t>
  </si>
  <si>
    <t>26x6</t>
  </si>
  <si>
    <t>20x12</t>
  </si>
  <si>
    <t>26x12</t>
  </si>
  <si>
    <t>20x18</t>
  </si>
  <si>
    <t>16x16</t>
  </si>
  <si>
    <t>14x6</t>
  </si>
  <si>
    <t>12x10</t>
  </si>
  <si>
    <t>20x20</t>
  </si>
  <si>
    <t>70x24</t>
  </si>
  <si>
    <t>50x50</t>
  </si>
  <si>
    <t>10x6</t>
  </si>
  <si>
    <t>12x6</t>
  </si>
  <si>
    <t>18x14</t>
  </si>
  <si>
    <t>18x6</t>
  </si>
  <si>
    <t>24x18</t>
  </si>
  <si>
    <t>18x12</t>
  </si>
  <si>
    <t>34x12</t>
  </si>
  <si>
    <t>20x22</t>
  </si>
  <si>
    <t>18x20</t>
  </si>
  <si>
    <t>14x20</t>
  </si>
  <si>
    <t>30x26</t>
  </si>
  <si>
    <t>18" Φ</t>
  </si>
  <si>
    <t>16x12</t>
  </si>
  <si>
    <t>26x30</t>
  </si>
  <si>
    <t>14" Φ</t>
  </si>
  <si>
    <t>24x20</t>
  </si>
  <si>
    <t>22x14</t>
  </si>
  <si>
    <t>24x10</t>
  </si>
  <si>
    <t>28x14</t>
  </si>
  <si>
    <t>24x14</t>
  </si>
  <si>
    <t xml:space="preserve">6" Φ flexible </t>
  </si>
  <si>
    <t xml:space="preserve">8" Φ flexible </t>
  </si>
  <si>
    <t>30x36</t>
  </si>
  <si>
    <t>dia 22</t>
  </si>
  <si>
    <t>dia 18</t>
  </si>
  <si>
    <t>dia 24</t>
  </si>
  <si>
    <t>dia 16</t>
  </si>
  <si>
    <t>16x6</t>
  </si>
  <si>
    <t>12x8</t>
  </si>
  <si>
    <t>14x18</t>
  </si>
  <si>
    <t>24x8</t>
  </si>
  <si>
    <t>12x18</t>
  </si>
  <si>
    <t>18x18</t>
  </si>
  <si>
    <t xml:space="preserve">12x16 </t>
  </si>
  <si>
    <t>24x6</t>
  </si>
  <si>
    <t>14x16</t>
  </si>
  <si>
    <t>Material: Galvanized Sheet Steel: Lock-forming quality, ASTM A 653, Coating Designation G 90. Provide mill phosphatized or galvanealed finish for surfaces of ducts exposed to view that is to be field painted. Provide bright galvanized finish for ductwork</t>
  </si>
  <si>
    <t>14x8 to 8x6</t>
  </si>
  <si>
    <t>10x8 to 10x6</t>
  </si>
  <si>
    <t>10x10 to 6x6</t>
  </si>
  <si>
    <t>6x6 to 6x6</t>
  </si>
  <si>
    <t>14x8 to 6x6</t>
  </si>
  <si>
    <t>6x8 to 6" Φ</t>
  </si>
  <si>
    <t>14x10 to 14x10</t>
  </si>
  <si>
    <t>12x12 to 6x6</t>
  </si>
  <si>
    <t>6x26 to 6x6</t>
  </si>
  <si>
    <t>20x18 to 20x18</t>
  </si>
  <si>
    <t>12x8 to 12x8</t>
  </si>
  <si>
    <t>12x8 to 10x6</t>
  </si>
  <si>
    <t>12x6 to 12x6</t>
  </si>
  <si>
    <t>8x8 to 8x6</t>
  </si>
  <si>
    <t>8x8 to 6x6</t>
  </si>
  <si>
    <t>12x10 to 12x10</t>
  </si>
  <si>
    <t>14x8 to 12x6</t>
  </si>
  <si>
    <t>14x18 to 12x10</t>
  </si>
  <si>
    <t>8x8 to 8x8</t>
  </si>
  <si>
    <t>10x6 to 10x6</t>
  </si>
  <si>
    <t>12x8 to 10x8</t>
  </si>
  <si>
    <t>24x8 to 12x6</t>
  </si>
  <si>
    <t>8x6 to 6x6</t>
  </si>
  <si>
    <t>18x14 to 8x6</t>
  </si>
  <si>
    <t>10x6 to 6x6</t>
  </si>
  <si>
    <t>26x26 to 6x6</t>
  </si>
  <si>
    <t>26x30 to 18x12</t>
  </si>
  <si>
    <t>26x30 to 22x14</t>
  </si>
  <si>
    <t>26x30 to 14x12</t>
  </si>
  <si>
    <t>30x20 to 24x14</t>
  </si>
  <si>
    <t>30x20 to 22x18</t>
  </si>
  <si>
    <t>30x26 to 28x14</t>
  </si>
  <si>
    <t>30x26 to 24x10</t>
  </si>
  <si>
    <t>8x10 to 8" Φ</t>
  </si>
  <si>
    <t>10x8 to 6" Φ</t>
  </si>
  <si>
    <t>6x6 to 6" Φ</t>
  </si>
  <si>
    <t>8x8 to 6" Φ</t>
  </si>
  <si>
    <t>12x12 to 6" Φ</t>
  </si>
  <si>
    <t>8x6 to 6" Φ</t>
  </si>
  <si>
    <t>10x6 to 6" Φ</t>
  </si>
  <si>
    <t>12x18 to 6" Φ</t>
  </si>
  <si>
    <t>6" Φ to 6" Φ</t>
  </si>
  <si>
    <t>30x20 to 18" Φ</t>
  </si>
  <si>
    <t>10x20 to 6" Φ</t>
  </si>
  <si>
    <t>10x10 to 6" Φ</t>
  </si>
  <si>
    <t>10x10 to 8" Φ</t>
  </si>
  <si>
    <t>Prefabricated 45 Degree, High Efficiency, Rectangular/Round Branch Duct Takeoff Fitting For Branch Duct Connections And Take-Offs To Individual Diffusers, Registers And Grilles. Provide With Integral
Manual Balancing Damper</t>
  </si>
  <si>
    <t>10x10 to 14x8</t>
  </si>
  <si>
    <t>8x6 to 8x8</t>
  </si>
  <si>
    <t>14x8 to 10x8</t>
  </si>
  <si>
    <t>10x8 to 8x6</t>
  </si>
  <si>
    <t>10x10 to 8x6</t>
  </si>
  <si>
    <t>12x10 to 14x8</t>
  </si>
  <si>
    <t>6x26 to 14x6</t>
  </si>
  <si>
    <t>6x26 to 10x12</t>
  </si>
  <si>
    <t>26x12 to 20x18</t>
  </si>
  <si>
    <t>20x12 to 16x16</t>
  </si>
  <si>
    <t>12x16 to 12x6</t>
  </si>
  <si>
    <t>12x6 to 8x8</t>
  </si>
  <si>
    <t>12x16 to 8x8</t>
  </si>
  <si>
    <t>10x6 to 8x6</t>
  </si>
  <si>
    <t>10x10 to 6x8</t>
  </si>
  <si>
    <t>14x16 to 10x6</t>
  </si>
  <si>
    <t>12x10 to 10x8</t>
  </si>
  <si>
    <t>12x10 to 8x8</t>
  </si>
  <si>
    <t>10x10 to 8x8</t>
  </si>
  <si>
    <t>18x8 to 12x8</t>
  </si>
  <si>
    <t>14x20 to 8x8</t>
  </si>
  <si>
    <t>14x14 to 10x6</t>
  </si>
  <si>
    <t>22x18 to 12x6</t>
  </si>
  <si>
    <t>20x12 to 8x8</t>
  </si>
  <si>
    <t>14x18 to 8x8</t>
  </si>
  <si>
    <t>12x18 to 8x8</t>
  </si>
  <si>
    <t>18x20 to 12x10</t>
  </si>
  <si>
    <t>16x10 to 6x8</t>
  </si>
  <si>
    <t>12x12 to 8x8</t>
  </si>
  <si>
    <t>18x12 to 8x8</t>
  </si>
  <si>
    <t>8x10 to 12x6</t>
  </si>
  <si>
    <t>14x20 to 10x6</t>
  </si>
  <si>
    <t>20x20 to 10x6</t>
  </si>
  <si>
    <t>22x18 to 18x18</t>
  </si>
  <si>
    <t>18x14 to 24x10</t>
  </si>
  <si>
    <t>28x14 to 8x8</t>
  </si>
  <si>
    <t>28x14 to 8x6</t>
  </si>
  <si>
    <t>24x18 to 10x6</t>
  </si>
  <si>
    <t>20x22 to 12x6</t>
  </si>
  <si>
    <t>18x12 to 6" Φ</t>
  </si>
  <si>
    <t>34x12 to 24x20</t>
  </si>
  <si>
    <t>22x14 to 8x8</t>
  </si>
  <si>
    <t>20x10 to 8x8</t>
  </si>
  <si>
    <t>18x24 to 10x6</t>
  </si>
  <si>
    <t>24x12 to 8x8</t>
  </si>
  <si>
    <t>18x8 to 8x8</t>
  </si>
  <si>
    <t>12x8 to 6" Φ</t>
  </si>
  <si>
    <t>34x12 to 10x8</t>
  </si>
  <si>
    <t>16x12 to 10x20</t>
  </si>
  <si>
    <t>16x30 to 18" Φ</t>
  </si>
  <si>
    <t>30x16 to 14" Φ</t>
  </si>
  <si>
    <t>22x18 to 10x6</t>
  </si>
  <si>
    <t>20x24 to 10x8</t>
  </si>
  <si>
    <t>8x6</t>
  </si>
  <si>
    <t>8x12</t>
  </si>
  <si>
    <t>12x16</t>
  </si>
  <si>
    <t>14x14</t>
  </si>
  <si>
    <t>22x18</t>
  </si>
  <si>
    <t>16x10</t>
  </si>
  <si>
    <t>8x10</t>
  </si>
  <si>
    <t>18x24</t>
  </si>
  <si>
    <t>20x10</t>
  </si>
  <si>
    <t>24x12</t>
  </si>
  <si>
    <t>10x20</t>
  </si>
  <si>
    <t>16x22</t>
  </si>
  <si>
    <t>20x24</t>
  </si>
  <si>
    <t>8x6 45</t>
  </si>
  <si>
    <t>6x6 45</t>
  </si>
  <si>
    <t>10x6 45</t>
  </si>
  <si>
    <t>30x20</t>
  </si>
  <si>
    <t>6x6 to 6x6 to 6x6</t>
  </si>
  <si>
    <t>10x10 to 6x6 to 10x10</t>
  </si>
  <si>
    <t>14x8 to 14x8 to 14x8</t>
  </si>
  <si>
    <t>26x12 to 12x18 to 26x12</t>
  </si>
  <si>
    <t>20x12 to 18x10 to 20x12</t>
  </si>
  <si>
    <t>12x8 to 6x6 to 8x8</t>
  </si>
  <si>
    <t>12x6 to 12x6 to 12x6</t>
  </si>
  <si>
    <t xml:space="preserve">24x6 to 24x6 to 24x6 </t>
  </si>
  <si>
    <t>2x8 to 8x8 to 8x8</t>
  </si>
  <si>
    <t>10x6 to 10x6 to 10x6</t>
  </si>
  <si>
    <t>8x10 to 32x10 to 8x10</t>
  </si>
  <si>
    <t>24x8 to 24x8 to 24x8</t>
  </si>
  <si>
    <t>8x6 to 8x6 to 8x6</t>
  </si>
  <si>
    <t xml:space="preserve">6" Φ to 6" Φ to 6" Φ </t>
  </si>
  <si>
    <t>8x8 to 8x8 to 8x8</t>
  </si>
  <si>
    <t>18x6 to 18x6 to 18x6</t>
  </si>
  <si>
    <t>26x6 to 26x6 to 26x6</t>
  </si>
  <si>
    <t>18" Φ to 18" Φ to 18" Φ</t>
  </si>
  <si>
    <t>8x10 to 8x10 to 8x10</t>
  </si>
  <si>
    <t>8x8 Volume Damper</t>
  </si>
  <si>
    <t>8x6 Volume Damper</t>
  </si>
  <si>
    <t>6" Φ Volume Damper</t>
  </si>
  <si>
    <t>10x6 Volume Damper</t>
  </si>
  <si>
    <t>6x6 Volume Damper</t>
  </si>
  <si>
    <t>6x8 Volume Damper</t>
  </si>
  <si>
    <t>20x18 Volume Damper</t>
  </si>
  <si>
    <t>12x18 Volume Damper</t>
  </si>
  <si>
    <t>18x10 Volume Damper</t>
  </si>
  <si>
    <t>12x6 Volume Damper</t>
  </si>
  <si>
    <t>8" Φ Volume Damper</t>
  </si>
  <si>
    <t>12x12 FSD</t>
  </si>
  <si>
    <t>14x8 FSD</t>
  </si>
  <si>
    <t>6x8 FSD</t>
  </si>
  <si>
    <t>6x6 FSD</t>
  </si>
  <si>
    <t>6" Φ FSD</t>
  </si>
  <si>
    <t>24x6 FSD</t>
  </si>
  <si>
    <t>14x10 FSD</t>
  </si>
  <si>
    <t>30x20 SD</t>
  </si>
  <si>
    <t>30x26 SD</t>
  </si>
  <si>
    <t>26x30 SD</t>
  </si>
  <si>
    <t>16x22 SD</t>
  </si>
  <si>
    <t>10x10 FD</t>
  </si>
  <si>
    <t>6x8 FD</t>
  </si>
  <si>
    <t>12x12 FD</t>
  </si>
  <si>
    <t>8x6 FD</t>
  </si>
  <si>
    <t>8x12 FD</t>
  </si>
  <si>
    <t>12x6 FD</t>
  </si>
  <si>
    <t>12x10 FD</t>
  </si>
  <si>
    <t>8x8 FD</t>
  </si>
  <si>
    <t>10x6 FD</t>
  </si>
  <si>
    <t>8x10 FD</t>
  </si>
  <si>
    <t>6" Φ FD</t>
  </si>
  <si>
    <t>10x8 FD</t>
  </si>
  <si>
    <t>12x8 MD</t>
  </si>
  <si>
    <t>10x6 MD</t>
  </si>
  <si>
    <t>12x6 MD</t>
  </si>
  <si>
    <t>DIFFUSERS/GRILLE</t>
  </si>
  <si>
    <t>50x60 Outside Plenum</t>
  </si>
  <si>
    <t>70x24 Exhaust Plenum</t>
  </si>
  <si>
    <t>DUCT SILENCER</t>
  </si>
  <si>
    <t>BASEBOARD HEATER</t>
  </si>
  <si>
    <t>VRF BRANCH SELECTOR BOX</t>
  </si>
  <si>
    <t>HVAC FANS</t>
  </si>
  <si>
    <t>ELECTRIC DUCT HEATER (EDH)</t>
  </si>
  <si>
    <t>MAKE UP AIR UNIT</t>
  </si>
  <si>
    <t>DEDICATED OUTSIDE AIR UNIT (NATURAL GAS HEAT)</t>
  </si>
  <si>
    <t>ROOF HOOD</t>
  </si>
  <si>
    <t>UNIT HEATERS (UHs)</t>
  </si>
  <si>
    <t>VRF CONDENSING UNIT</t>
  </si>
  <si>
    <t>FAN COIL UNIT (FCUs)</t>
  </si>
  <si>
    <t>MISCELLANEOUS</t>
  </si>
  <si>
    <t>Carbon Monoxide Sensor</t>
  </si>
  <si>
    <t>HVAC DUCTS (INCHES)</t>
  </si>
  <si>
    <t>1/4" Pipe</t>
  </si>
  <si>
    <t>7/8" Pipe</t>
  </si>
  <si>
    <t>5/8" Pipe</t>
  </si>
  <si>
    <t>3/8" Pipe</t>
  </si>
  <si>
    <t>1/2" Elbow 90</t>
  </si>
  <si>
    <t>1/4" Elbow 90</t>
  </si>
  <si>
    <t>Note: Copper Tubing (ASTM B88, Type L, seamless, hard-drawn straight lengths and soft-annealed coils)</t>
  </si>
  <si>
    <t>3/4" Elbow 90</t>
  </si>
  <si>
    <t>3/4"-3/4"-3/4" Tee</t>
  </si>
  <si>
    <t>1" Elbow 45</t>
  </si>
  <si>
    <t>3/4"-1"-1.5" Tee</t>
  </si>
  <si>
    <t>1.5"-3/4"-1.5" Tee</t>
  </si>
  <si>
    <t>3/4" Elbow 45</t>
  </si>
  <si>
    <t>Specification not given in drawings or specifications</t>
  </si>
  <si>
    <t>36"x6" WSG1, Manufacturer: TITUS, Model: CT-480, Construction Type: Aluminium, Face Type: Bar Grille, ).08 W.C, Border Type: Core Only</t>
  </si>
  <si>
    <t>36"x8" WSG1, Manufacturer: TITUS, Model: CT-480, Construction Type: Aluminium, Face Type: Bar Grille, ).08 W.C, Border Type: Core Only</t>
  </si>
  <si>
    <t>24"x6" WSG1, Manufacturer: TITUS, Model: CT-480, Construction Type: Aluminium, Face Type: Bar Grille, ).08 W.C, Border Type: Core Only</t>
  </si>
  <si>
    <t>12"x6" WSG1, Manufacturer: TITUS, Model: CT-480, Construction Type: Aluminium, Face Type: Bar Grille, ).08 W.C, Border Type: Core Only</t>
  </si>
  <si>
    <t>12"x18" WSG1, Manufacturer: TITUS, Model: CT-480, Construction Type: Aluminium, Face Type: Bar Grille, ).08 W.C, Border Type: Core Only</t>
  </si>
  <si>
    <t>12"x8" WSG1, Manufacturer: TITUS, Model: CT-480, Construction Type: Aluminium, Face Type: Bar Grille, ).08 W.C, Border Type: Core Only</t>
  </si>
  <si>
    <t>26"x6" WSG1, Manufacturer: TITUS, Model: CT-480, Construction Type: Aluminium, Face Type: Bar Grille, ).08 W.C, Border Type: Core Only</t>
  </si>
  <si>
    <t>24"x24" WSG1, Manufacturer: TITUS, Model: CT-480, Construction Type: Aluminium, Face Type: Bar Grille, ).08 W.C, Border Type: Core Only</t>
  </si>
  <si>
    <t>36"x7" WSG1, Manufacturer: TITUS, Model: CT-480, Construction Type: Aluminium, Face Type: Bar Grille, ).08 W.C, Border Type: Core Only</t>
  </si>
  <si>
    <t>18"x6" WSG1, Manufacturer: TITUS, Model: CT-480, Construction Type: Aluminium, Face Type: Bar Grille, ).08 W.C, Border Type: Core Only</t>
  </si>
  <si>
    <t>32"x6" WSG1, Manufacturer: TITUS, Model: CT-480, Construction Type: Aluminium, Face Type: Bar Grille, ).08 W.C, Border Type: Core Only</t>
  </si>
  <si>
    <t>30"x6" WSG1, Manufacturer: TITUS, Model: CT-480, Construction Type: Aluminium, Face Type: Bar Grille, ).08 W.C, Border Type: Core Only</t>
  </si>
  <si>
    <t>36"x36" WSG1, Manufacturer: TITUS, Model: CT-480, Construction Type: Aluminium, Face Type: Bar Grille, ).08 W.C, Border Type: Core Only</t>
  </si>
  <si>
    <t>34"x6" WSG1, Manufacturer: TITUS, Model: CT-480, Construction Type: Aluminium, Face Type: Bar Grille, ).08 W.C, Border Type: Core Only</t>
  </si>
  <si>
    <t>36"x8" WSG1, Manufacturer: TITUS, Model: CT-480, Construction Type: Aluminium, Fac Type: Bar Grille, ).08 W.C, Border Type: Core Only</t>
  </si>
  <si>
    <t>72"x6" WSG1, Manufacturer: TITUS, Model: CT-480, Construction Type: Aluminium, Fac Type: Bar Grille, ).08 W.C, Border Type: Core Only</t>
  </si>
  <si>
    <t>26"x6" WSG2, Manufacturer: TITUS, Model: CT-480, Construction Type: Aluminium, Fac Type: Bar Grille, ).08 W.C, Border Type: 22</t>
  </si>
  <si>
    <t>48"x6" WSG2, Manufacturer: TITUS, Model: CT-480, Construction Type: Aluminium, Fac Type: Bar Grille, ).08 W.C, Border Type: 22</t>
  </si>
  <si>
    <t>40"x6" WSG2, Manufacturer: TITUS, Model: CT-480, Construction Type: Aluminium, Fac Type: Bar Grille, ).08 W.C, Border Type: 22</t>
  </si>
  <si>
    <t>42"x6" WSG2, Manufacturer: TITUS, Model: CT-480, Construction Type: Aluminium, Fac Type: Bar Grille, ).08 W.C, Border Type: 22</t>
  </si>
  <si>
    <t>36"x12" WSG2, Manufacturer: TITUS, Model: CT-480, Construction Type: Aluminium, Fac Type: Bar Grille, ).08 W.C, Border Type: 22</t>
  </si>
  <si>
    <t>24"x6" WSG2, Manufacturer: TITUS, Model: CT-480, Construction Type: Aluminium, Fac Type: Bar Grille, ).08 W.C, Border Type: 22</t>
  </si>
  <si>
    <t>18"x6" WSG2, Manufacturer: TITUS, Model: CT-480, Construction Type: Aluminium, Fac Type: Bar Grille, ).08 W.C, Border Type: 22</t>
  </si>
  <si>
    <t>36"x8" WSG2, Manufacturer: TITUS, Model: CT-480, Construction Type: Aluminium, Fac Type: Bar Grille, ).08 W.C, Border Type: 22</t>
  </si>
  <si>
    <t>26"x8" WSG2, Manufacturer: TITUS, Model: CT-480, Construction Type: Aluminium, Fac Type: Bar Grille, ).08 W.C, Border Type: 22</t>
  </si>
  <si>
    <t>20"x6" WSG2, Manufacturer: TITUS, Model: CT-480, Construction Type: Aluminium, Fac Type: Bar Grille, ).08 W.C, Border Type: 22</t>
  </si>
  <si>
    <t>, Manufacturer: TITUS, Model: CT-480, Construction Type: Aluminium, Fac Type: Bar Grille, ).08 W.C, Border Type: 22</t>
  </si>
  <si>
    <t>LRD1, Manufacturer: TITUS Model: CT-480 Construction Type: Steel, Face Type: Linear Bar Grille Ceiling Border Type: 22 Face Size: 6" Linear Bar Grille, 0.08 WC</t>
  </si>
  <si>
    <t>LSD1, Manufacturer: TITUS Model: CT-480 Construction Type: Aluminium, Face Type: Linear Bar Grille Ceiling Border Type: 22 Face Size: 6" Linear Bar Grille, 0.08 WC</t>
  </si>
  <si>
    <t>PSD1, Manufacturer: TITUS Model: FIELD, Construction Type: STEEL N/A Face Size: 2'-0" NOMINAL, 0.08 WC</t>
  </si>
  <si>
    <t>PSD2, Manufacturer: TITUS Model: FIELD, Construction Type: STEEL N/A Face Size: 3'-0" NOMINAL, 0.08 WC</t>
  </si>
  <si>
    <t>CSD1, Manufacturer: TITUS, Model: OMNI, Construction Type: STEEL Face Type: PLAQUE, Face Size 24"X24", 0.08 WC</t>
  </si>
  <si>
    <t>CSD2, Manufacturer: TITUS, Model: 300FL, Construction Type: STEEL Face Type: LOUVER, Face Size 24"X24", 0.08 WC</t>
  </si>
  <si>
    <t>CEG1, Manufacturer: TITUS, Model: 350RLI, Construction Type: STEEL Face Type: LOUVER, Face Size 12"X12", 0.08 WC</t>
  </si>
  <si>
    <t>CRG1, Manufacturer: TITUS, Model: 350RLI, Construction Type: STEEL Face Type: LOUVER, Face Size 24"X24", 0.08 WC</t>
  </si>
  <si>
    <t>36x30 CRG6, Manufacturer: TITUS, Model: 350RLI, Construction Type: STEEL Face Type: LOUVER, 0.08 WC</t>
  </si>
  <si>
    <t>SIL 1-1, Manufacturer: VIBROACOUSTICS, Model: RNM, Size: 8"x6", Length: 36", CFM: 50 , 0.02" APD</t>
  </si>
  <si>
    <t>SIL 1-2, Manufacturer: VIBROACOUSTICS, Model: RNM, Size: 6"x6", Length: 36", CFM: 365 , 0.02" APD</t>
  </si>
  <si>
    <t>SIL 1-3, Manufacturer: VIBROACOUSTICS, Model: RNM, Size: 6"x6", Length: 36", CFM: 365 , 0.02" APD</t>
  </si>
  <si>
    <t>SIL 1-4, Manufacturer: VIBROACOUSTICS, Model: CNM, Size: 6", Length: 36", CFM: 50 , 0.02" APD</t>
  </si>
  <si>
    <t>SIL 1-5, Manufacturer: VIBROACOUSTICS, Model: CNM, Size: 6", Length: 36", CFM: 50 , 0.02" APD</t>
  </si>
  <si>
    <t>SIL 1-6, Manufacturer: VIBROACOUSTICS, Model: RNM, Size: 6"x6", Length: 36", CFM: 365 , 0.02" APD</t>
  </si>
  <si>
    <t>SIL 1-7, Manufacturer: VIBROACOUSTICS, Model: RNM, Size: 8"x6", Length: 36", CFM: 365 , 0.02" APD</t>
  </si>
  <si>
    <t>SIL 1-8, Manufacturer: VIBROACOUSTICS, Model: RNM, Size: 6"x6", Length: 36", CFM: 50 , 0.02" APD</t>
  </si>
  <si>
    <t>SIL 1-9, Manufacturer: VIBROACOUSTICS, Model: RNM, Size: 8"x6", Length: 36", CFM: 140, 0.02" APD</t>
  </si>
  <si>
    <t>SIL 2-1, Manufacturer: VIBROACOUSTICS, Model: RNM, Size: 10"x6", Length: 36", CFM: 225 , 0.02" APD</t>
  </si>
  <si>
    <t>SIL 2-2, Manufacturer: VIBROACOUSTICS, Model: RNM, Size: 12"x6", Length: 36", CFM: 300 , 0.02" APD</t>
  </si>
  <si>
    <t>SIL 3-1, Manufacturer: VIBROACOUSTICS, Model: RNM, Size: 10"x6", Length: 36", CFM: 235 , 0.02" APD</t>
  </si>
  <si>
    <t>SIL 3-2, Manufacturer: VIBROACOUSTICS, Model: RNM, Size: 12"x6", Length: 36", CFM: 300 , 0.02" APD</t>
  </si>
  <si>
    <t>SIL 4-1, Manufacturer: VIBROACOUSTICS, Model: RNM, Size: 10"x6", Length: 36", CFM: 235 , 0.02" APD</t>
  </si>
  <si>
    <t>SIL 4-2, Manufacturer: VIBROACOUSTICS, Model: RNM, Size: 12"x6", Length: 36", CFM: 300 , 0.02" APD</t>
  </si>
  <si>
    <t>SIL 5-1, Manufacturer: VIBROACOUSTICS, Model: RNM, Size: 10"x6", Length: 36", CFM: 225 , 0.02" APD</t>
  </si>
  <si>
    <t>SIL 5-2, Manufacturer: VIBROACOUSTICS, Model: RNM, Size: 6"x6", Length: 36", CFM: 175 , 0.02" APD</t>
  </si>
  <si>
    <t>SIL 5-3, Manufacturer: VIBROACOUSTICS, Model: RNM, Size: 10"x6", Length: 36", CFM: 300 , 0.02" APD</t>
  </si>
  <si>
    <t>SIL 5-4, Manufacturer: VIBROACOUSTICS, Model: RNM, Size: 10"x8", Length: 36", CFM: 300 , 0.02" APD</t>
  </si>
  <si>
    <t>SIL 6-1, Manufacturer: VIBROACOUSTICS, Model: RNM, Size: 10"x6", Length: 36", CFM: 285 , 0.02" APD</t>
  </si>
  <si>
    <t>SIL 6-2, Manufacturer: VIBROACOUSTICS, Model: RNM, Size: 6"x6", Length: 36", CFM: 175 , 0.02" APD</t>
  </si>
  <si>
    <t>SIL 6-3, Manufacturer: VIBROACOUSTICS, Model: RNM, Size: 12"x6", Length: 36", CFM: 300 , 0.02" APD</t>
  </si>
  <si>
    <t>SIL 6-4, Manufacturer: VIBROACOUSTICS, Model: RNM, Size: 10"x8", Length: 36", CFM: 300 , 0.02" APD</t>
  </si>
  <si>
    <t>SIL 8-1, Manufacturer: VIBROACOUSTICS, Model: RNM, Size: 8"x8", Length: 36", CFM: 125 , 0.02" APD</t>
  </si>
  <si>
    <t>BH-1, Manufacturer: RUNTAL,  Model: EB3-120D, Length: 36", Height: 10.125", Minimum Output: 1.5MBH, Input: 440W</t>
  </si>
  <si>
    <t>BH-2, Manufacturer: RUNTAL,  Model: EB3-120D, Length: 48", Height: 12", Minimum Output: 2.0MBH, Input: 586W</t>
  </si>
  <si>
    <t>BH-4, Manufacturer: RUNTAL,  Model: EB3-120D, Length: 84", Height: 12", Minimum Output: 3.5MBH, Input: 1026W</t>
  </si>
  <si>
    <t>BH-5, Manufacturer: RUNTAL,  Model: EB3-120D, Length: 96", Height: 12", Minimum Output: 34MBH, Input: 1172W</t>
  </si>
  <si>
    <t>Note: Provide Necessary Mounting Brackets And Accessories, Integral Tamper Proof Thermostat, Enclosure Shall Be Steel With Baked Enamel Finish ( Color By Architect). Air Grilles Shall Be Extruded Aluminum With Clear Anodized Aluminum Finish. Provide 1-1/2" High Support Legs For Floor-Mounted Units</t>
  </si>
  <si>
    <t>BS-1, Manufacturer: MITSUBISHI, Model: CMP-P1013NU-GA1, 208V/1P/15A</t>
  </si>
  <si>
    <t>BS-2, Manufacturer: MITSUBISHI, Model: CMP-P1013NU-GA1, 208V/1P/15A</t>
  </si>
  <si>
    <t>BS-3, Manufacturer: MITSUBISHI, Model: CMP-P1013NU-GA1, 208V/1P/15A</t>
  </si>
  <si>
    <t>BS-4, Manufacturer: MITSUBISHI, Model: CMP-P1013NU-GA1, 208V/1P/15A</t>
  </si>
  <si>
    <t>BS-5, Manufacturer: MITSUBISHI, Model: CMP-P1013NU-GA1, 208V/1P/15A</t>
  </si>
  <si>
    <t>BS-6, Manufacturer: MITSUBISHI, Model: CMP-P1013NU-GA1, 208V/1P/15A</t>
  </si>
  <si>
    <t>BS-7, Manufacturer: MITSUBISHI, Model:CMB-P1016NU-HA1, 208V/1P/15A</t>
  </si>
  <si>
    <t>BS-8, Manufacturer: MITSUBISHI, Model: CMP-P1013NU-GA1, 208V/1P/15A</t>
  </si>
  <si>
    <t>BS-9, Manufacturer: MITSUBISHI, Model:CMB-P1016NU-HA1, 208V/1P/15A</t>
  </si>
  <si>
    <t>BS-B, Manufacturer: MITSUBISHI, Model: CMB-P108V-JA, 208V/1P/15A</t>
  </si>
  <si>
    <t>Provide With All-Thread Hanging Rods and Auxiliary Drip Pan With Leak Detector Below Each Box</t>
  </si>
  <si>
    <t>TAF-1, Manufacturer: GREENHECK, Model: SQ-100-B, CFM: 700, Direct Drive, Fan Rpm: 164, w/out VFD with Fan Controller</t>
  </si>
  <si>
    <t>EF-1, Manufacturer: GREENHECK, Model: SQ-130-VG, CFM: 1300, Direct Drive, Fan Rpm: 1140, 0.25 Hp, w/ VFD with Fan Controller</t>
  </si>
  <si>
    <t>EF-2, Manufacturer: GREENHECK, Model: QEID-20-90-B15, CFM: 5600, Direct Drive, Fan Rpm: 1770, Hp: 1.5, w/out VFD with Fan Controller</t>
  </si>
  <si>
    <t>EF-3, Manufacturer: GREENHECK, Model: QEID-20-90-B15, CFM: 5600, Direct Drive, Fan Rpm: 1770, Hp: 1.5, w/out VFD with Fan Controller</t>
  </si>
  <si>
    <t>OAF-1, Manufacturer: GREENHECK, Model: SQ-130-VG, CFM: 1300, Direct Drive, Fan Rpm: 1140, 0.25 Hp, w/ VFD with Fan Controller</t>
  </si>
  <si>
    <t>KEF-1, Manufacturer: GREENHECK, Model: SWB-116-30, CFM: 3500, Direct Drive, Fan Rpm: 1895, Hp: 3, w/ VFD with Fan Controller</t>
  </si>
  <si>
    <t>KEF-2, Manufacturer: ENERVEX, Model: BEF 500, CFM: 3600, Direct Drive, Fan Rpm: 1740, Hp: 3, w/ VFD with Fan Controller</t>
  </si>
  <si>
    <t>KEF-3, Manufacturer: ENERVEX, Model: BEF 500, CFM: 3600, Direct Drive, Fan Rpm: 1740, Hp: 3, w/ VFD with Fan Controller</t>
  </si>
  <si>
    <t>SF-1, Manufacturer: GREENHECK, Model: SQ-85-VG, CFM: 320, Direct Drive, Fan Rpm: 1351, Hp: 0.1, w/ VFD with Fan Controller</t>
  </si>
  <si>
    <t>SF-2, Manufacturer: GREENHECK, Model: SQ-85-VG, CFM: 320, Direct Drive, Fan Rpm: 1351, Hp: 0.1, w/ VFD with Fan Controller</t>
  </si>
  <si>
    <t>EDH-1, Manufacturer: INDEECO, Model: QUA, Output MBH: 5.1, Input: 1.5kW, Size: 10"x10", CFM: 316, EAT: 70C, Maximum Rise in Temperature: 15C</t>
  </si>
  <si>
    <t>EDH-2, Manufacturer: INDEECO, Model: QUA, Output MBH: 5.1, Input: 1.5kW, Size: 10"x10", CFM: 316, EAT: 70C, Maximum Rise in Temperature: 15C</t>
  </si>
  <si>
    <t>EDH-3, Manufacturer: INDEECO, Model: QUA, Output MBH: 5.1, Input: 1.5kW, Size: 14"x10", CFM: 265, EAT: 70C, Maximum Rise in Temperature: 15C</t>
  </si>
  <si>
    <t>Note: Provide Factory Mounted Disconnect Installed On Service Side Of Unit, Provide Airflow Proving Switch And Thermal Overload Protection. Provide Magnetic Contactors. Provide Control Power Transformer And Low Voltage Thermostat With Stages As Required To Control Heater.</t>
  </si>
  <si>
    <t>MUA-1, Manufacturer: GREENHECK, Model: IGX-110-H12, Fan Type: FC, CFM: 2800, Min. Hp: 3.42, Gas Heat Exchanger (Min. Output MBH: 200, NOM Output MBH: 250, LAT: 66.1C), Electrical Parameters (208V/3P/25A MOCP) with Freezestat at supply duct and all other accessories</t>
  </si>
  <si>
    <t>DOAS-1, Manufacturer: DAIIKIN, Model: DPS028A, Unit Type: DOAS W/ ENERGY RECOVERY, Supply Fan (CFM: 7725, Min Hp: 9.24 w/ VFD), Min. OA CFM: 7725, EAT: 77,4C, LAT: 54.4, Output MBH: 360 (Heat Exchanger) with all Accessories</t>
  </si>
  <si>
    <t>DOAS-2, Manufacturer: DAIIKIN, Model: DPS028A, Unit Type: DOAS, Supply Fan (CFM: 5000, Min Hp: 4.11 w/ VFD), Min. OA CFM: 5000, EAT: 79.8C, LAT: 53.2, Output MBH: 405 (Heat Exchanger) with all accessories</t>
  </si>
  <si>
    <t xml:space="preserve">GV-1, Manufacturer: GREENHECK, Model: PEV-400, CFM: 5400, Size: 36"x36", Maximum Throat Velocity: 600 FPM </t>
  </si>
  <si>
    <t>Note: Provide 1/4" Aluminum Birdscreen, Provide Standard Insulated Roof Curb With Minimum Height Of 12 Inches</t>
  </si>
  <si>
    <t>UH-1, Manufacturer: Q-MARK,  Model: MUH05-81, CFM: 350, Output 17.1MBH, Input: 5kW</t>
  </si>
  <si>
    <t>UH-2, Manufacturer: Q-MARK,  Model: MUH05-81, CFM: 350, Output 17.1MBH, Input: 5kW</t>
  </si>
  <si>
    <t>UH-3, Manufacturer: Q-MARK,  Model: MUH05-81, CFM: 350, Output 17.1MBH, Input: 5kW</t>
  </si>
  <si>
    <t>UH-4, Manufacturer: Q-MARK,  Model: MUH05-81, CFM: 350, Output 17.1MBH, Input: 5kW</t>
  </si>
  <si>
    <t>UH-5, Manufacturer: Q-MARK,  Model: MUH05-81, CFM: 350, Output 17.1MBH, Input: 5kW</t>
  </si>
  <si>
    <t>UH-6, Manufacturer: Q-MARK,  Model: MUH05-81, CFM: 350, Output 17.1MBH, Input: 5kW</t>
  </si>
  <si>
    <t>UH-7, Manufacturer: Q-MARK,  Model: MUH05-81, CFM: 350, Output 17.1MBH, Input: 5kW</t>
  </si>
  <si>
    <t>UH-8, Manufacturer: Q-MARK,  Model: MUH05-81, CFM: 350, Output 17.1MBH, Input: 5kW</t>
  </si>
  <si>
    <t>UH-9, Manufacturer: Q-MARK,  Model: MUH05-81, CFM: 350, Output 17.1MBH, Input: 5kW</t>
  </si>
  <si>
    <t>Note: Provide Factory Mounted Disconnect Installed On Service Side Of Unit, Provide With Unit Mounted Thermostat, Provide Manual Summer/Winter Change-Over Siwtch, Provide Necessary Mounting Brack And Accessories For Wall Mounting</t>
  </si>
  <si>
    <t>CU-1, Manufacturer: MITSUBISHI, Model: PURY-P96TLMU-A, Type: HEAT PUMP/ HEAT RECOVERY, R410A, 77.3MBH Cooling, 45MBH Heating</t>
  </si>
  <si>
    <t>CU-2, Manufacturer: MITSUBISHI, Model: PURY-P96TLMU-A, Type: HEAT PUMP/ HEAT RECOVERY, R410A, 63.4MBH Cooling, 32.9MBH Heating</t>
  </si>
  <si>
    <t>CU-3, Manufacturer: MITSUBISHI, Model: PURY-P96TLMU-A, Type: HEAT PUMP/ HEAT RECOVERY, R410A, 63.4MBH Cooling, 32.9MBH Heating</t>
  </si>
  <si>
    <t>CU-4, Manufacturer: MITSUBISHI, Model: PURY-P96TLMU-A, Type: HEAT PUMP/ HEAT RECOVERY, R410A, 63.4MBH Cooling, 32.9MBH Heating</t>
  </si>
  <si>
    <t>CU-5, Manufacturer: MITSUBISHI, Model: PURY-P96TLMU-A, Type: HEAT PUMP/ HEAT RECOVERY, R410A, 65.5MBH Cooling, 35.5MBH Heating</t>
  </si>
  <si>
    <t>CU-6, Manufacturer: MITSUBISHI, Model: PURY-P96TLMU-A, Type: HEAT PUMP/ HEAT RECOVERY, R410A, 65.5MBH Cooling, 35.5MBH Heating</t>
  </si>
  <si>
    <t>CU-7, Manufacturer: MITSUBISHI, Model: PURY-P96TLMU-A, Type: HEAT PUMP/ HEAT RECOVERY, R410A, 63.9MBH Cooling, 35MBH Heating</t>
  </si>
  <si>
    <t>CU-8, Manufacturer: MITSUBISHI, Model: PURY-P96TLMU-A, Type: HEAT PUMP/ HEAT RECOVERY, R410A, 63MBH Cooling, 36.7MBH Heating</t>
  </si>
  <si>
    <t>CU-9, Manufacturer: MITSUBISHI, Model: PURY-P96TLMU-A, Type: HEAT PUMP/ HEAT RECOVERY, R410A, 62.1MBH Cooling, 26.5MBH Heating</t>
  </si>
  <si>
    <t>CU-B, Manufacturer: MITSUBISHI, Model: PURY-P96TLMU-A, Type: HEAT PUMP/ HEAT RECOVERY, R410A, 42.5MBH Cooling, 46.2MBH Heating</t>
  </si>
  <si>
    <t>CU-ST, Manufacturer: MITSUBISHI, Model:PUMY-P36NKMU1, Type: HEAT PUMP, R410A, 36MBH Cooling, 42MBH Heating</t>
  </si>
  <si>
    <t>CU-SVR, Manufacturer: MITSUBISHI, Model:PUY-A12NKA7, Type: Cooling Only, R410A, 12MBH Cooling, 12MBH Heating</t>
  </si>
  <si>
    <t>CU-EMR Manufacturer: MITSUBISHI, Model:PUY-A12NKA7, Type: Cooling Only, R410A, 12MBH Cooling, 12MBH Heating</t>
  </si>
  <si>
    <t>Note: Provide Manufacturer's Vrf System Controller (Ae-200a) For Control Of Vrf Systems</t>
  </si>
  <si>
    <t>FCU-1A, Manufacturer: MITSUBISHI, Model: PEFY-P12NMAU,  CFM: 315, Supply Fan Motor: 90W, Refrigrant: R410A, EAT: 80, LAT: 56 with Heat Pump</t>
  </si>
  <si>
    <t>FCU-1B, Manufacturer: MITSUBISHI, Model: PEFY-P12NMAU,  CFM: 265, Supply Fan Motor: 90W, Refrigrant: R410A, EAT: 80, LAT: 56 with Heat Pump</t>
  </si>
  <si>
    <t>FCU-1C, Manufacturer: MITSUBISHI, Model: PEFY-P06NMAU,  CFM: 265, Supply Fan Motor: 60W, Refrigrant: R410A, EAT: 80, LAT: 56 with Heat Pump</t>
  </si>
  <si>
    <t>FCU-1D, Manufacturer: MITSUBISHI, Model: PEFY-P06NMAU,  CFM: 265, Supply Fan Motor: 60W, Refrigrant: R410A, EAT: 80, LAT: 56 with Heat Pump</t>
  </si>
  <si>
    <t>FCU-1E, Manufacturer: MITSUBISHI, Model: PEFY-P06NMAU,  CFM: 265, Supply Fan Motor: 60W, Refrigrant: R410A, EAT: 80, LAT: 56 with Heat Pump</t>
  </si>
  <si>
    <t>FCU-1F, Manufacturer: MITSUBISHI, Model: PEFY-P06NMAU,  CFM: 265, Supply Fan Motor: 60W, Refrigrant: R410A, EAT: 80, LAT: 56 with Heat Pump</t>
  </si>
  <si>
    <t>FCU-1G, Manufacturer: MITSUBISHI, Model: PEFY-P12NMAU,  CFM: 315, Supply Fan Motor: 90W, Refrigrant: R410A, EAT: 80, LAT: 56 with Heat Pump</t>
  </si>
  <si>
    <t>FCU-1H, Manufacturer: MITSUBISHI, Model:PEFY-P08NMAU,  CFM: 265, Supply Fan Motor: 60W, Refrigrant: R410A, EAT: 80, LAT: 56 with Heat Pump</t>
  </si>
  <si>
    <t>FCU-1I, Manufacturer: MITSUBISHI, Model:PEFY-P08NMAU,  CFM: 265, Supply Fan Motor: 60W, Refrigrant: R410A, EAT: 80, LAT: 56 with Heat Pump</t>
  </si>
  <si>
    <t>FCU-1J, Manufacturer: MITSUBISHI, Model: PEFY-P12NMAU,  CFM: 315, Supply Fan Motor: 90W, Refrigrant: R410A, EAT: 80, LAT: 56 with Heat Pump</t>
  </si>
  <si>
    <t>FCU-1K, Manufacturer: MITSUBISHI, Model: PEFY-P06NMAU,  CFM: 265, Supply Fan Motor: 60W, Refrigrant: R410A, EAT: 80, LAT: 56 with Heat Pump</t>
  </si>
  <si>
    <t>FCU-B1, Manufacturer: MITSUBISHI, Model:PEFY-P08NMSU,  CFM: 265, Supply Fan Motor: 60W, Refrigrant: R410A, EAT: 80, LAT: 56 with Heat Pump</t>
  </si>
  <si>
    <t>FCU-B2, Manufacturer: MITSUBISHI, Model: PEFY-P12NMAU,  CFM: 315, Supply Fan Motor: 90W, Refrigrant: R410A, EAT: 80, LAT: 56 with Heat Pump</t>
  </si>
  <si>
    <t>FCU-B3, Manufacturer: MITSUBISHI, Model: PEFY-P06NMAU,  CFM: 265, Supply Fan Motor: 60W, Refrigrant: R410A, EAT: 80, LAT: 56 with Heat Pump</t>
  </si>
  <si>
    <t>FCU-B4A, Manufacturer: MITSUBISHI, Model: PEFY-P36NMAU,  CFM: 985, Supply Fan Motor: 240W, Refrigrant: R410A, EAT: 80, LAT: 56 with Heat Pump</t>
  </si>
  <si>
    <t>FCU-B4B, Manufacturer: MITSUBISHI, Model: PEFY-P36NMAU,  CFM: 985, Supply Fan Motor: 240W, Refrigrant: R410A, EAT: 80, LAT: 56 with Heat Pump</t>
  </si>
  <si>
    <t>FCU-ST1, Manufacturer: MITSUBISHI, Model: PKFY-P12NMSU,  CFM: 413, Supply Fan Motor: 90W, Refrigrant: R410A, EAT: 80, LAT: 56 with Heat Pump</t>
  </si>
  <si>
    <t>FCU-SVR, Manufacturer: MITSUBISHI, Model: PKA-A12HA7,  CFM: 370, Supply Fan Motor: 1000W, Refrigrant: R410A, EAT: 80, LAT: 56 with Heat Pump</t>
  </si>
  <si>
    <t>FCU-2A, Manufacturer: MITSUBISHI, Model: PEFY-P06NMAU,  CFM: 265, Supply Fan Motor: 60W, Refrigrant: R410A, EAT: 80, LAT: 56 with Heat Pump</t>
  </si>
  <si>
    <t>FCU-2B, Manufacturer: MITSUBISHI, Model: PEFY-P06NMAU,  CFM: 265, Supply Fan Motor: 60W, Refrigrant: R410A, EAT: 80, LAT: 56 with Heat Pump</t>
  </si>
  <si>
    <t>FCU-2C, Manufacturer: MITSUBISHI, Model: PEFY-P12NMAU,  CFM: 315, Supply Fan Motor: 90W, Refrigrant: R410A, EAT: 80, LAT: 56 with Heat Pump</t>
  </si>
  <si>
    <t>FCU-2D, Manufacturer: MITSUBISHI, Model:PEFY-P08NMAU,  CFM: 260, Supply Fan Motor: 60W, Refrigrant: R410A, EAT: 80, LAT: 56 with Heat Pump</t>
  </si>
  <si>
    <t>FCU-2E, Manufacturer: MITSUBISHI, Model: PEFY-P12NMAU,  CFM: 265, Supply Fan Motor: 90W, Refrigrant: R410A, EAT: 80, LAT: 56 with Heat Pump</t>
  </si>
  <si>
    <t>FCU-2F, Manufacturer: MITSUBISHI, Model: PEFY-P12NMAU,  CFM: 315, Supply Fan Motor: 90W, Refrigrant: R410A, EAT: 80, LAT: 56 with Heat Pump</t>
  </si>
  <si>
    <t>FCU-2G, Manufacturer: MITSUBISHI, Model: PEFY-P06NMAU,  CFM: 265, Supply Fan Motor: 60W, Refrigrant: R410A, EAT: 80, LAT: 56 with Heat Pump</t>
  </si>
  <si>
    <t>FCU-2H, Manufacturer: MITSUBISHI, Model: PEFY-P06NMAU,  CFM: 265, Supply Fan Motor: 60W, Refrigrant: R410A, EAT: 80, LAT: 56 with Heat Pump</t>
  </si>
  <si>
    <t>FCU-2I, Manufacturer: MITSUBISHI, Model: PEFY-P12NMAU,  CFM: 315, Supply Fan Motor: 90W, Refrigrant: R410A, EAT: 80, LAT: 56 with Heat Pump</t>
  </si>
  <si>
    <t>FCU-2J, Manufacturer: MITSUBISHI, Model:PEFY-P08NMAU,  CFM: 260, Supply Fan Motor: 60W, Refrigrant: R410A, EAT: 80, LAT: 56 with Heat Pump</t>
  </si>
  <si>
    <t>FCU-2K, Manufacturer: MITSUBISHI, Model: PEFY-P06NMAU,  CFM: 265, Supply Fan Motor: 60W, Refrigrant: R410A, EAT: 80, LAT: 56 with Heat Pump</t>
  </si>
  <si>
    <t>FCU-3A, Manufacturer: MITSUBISHI, Model: PEFY-P06NMAU,  CFM: 265, Supply Fan Motor: 60W, Refrigrant: R410A, EAT: 80, LAT: 56 with Heat Pump</t>
  </si>
  <si>
    <t>FCU-3B, Manufacturer: MITSUBISHI, Model: PEFY-P06NMAU,  CFM: 265, Supply Fan Motor: 60W, Refrigrant: R410A, EAT: 80, LAT: 56 with Heat Pump</t>
  </si>
  <si>
    <t>FCU-3C, Manufacturer: MITSUBISHI, Model: PEFY-P12NMAU,  CFM: 315, Supply Fan Motor: 90W, Refrigrant: R410A, EAT: 80, LAT: 56 with Heat Pump</t>
  </si>
  <si>
    <t>FCU-3D, Manufacturer: MITSUBISHI, Model:PEFY-P08NMAU,  CFM: 260, Supply Fan Motor: 60W, Refrigrant: R410A, EAT: 80, LAT: 56 with Heat Pump</t>
  </si>
  <si>
    <t>FCU-3E, Manufacturer: MITSUBISHI, Model: PEFY-P08NMAU,  CFM: 265, Supply Fan Motor: 90W, Refrigrant: R410A, EAT: 80, LAT: 56 with Heat Pump</t>
  </si>
  <si>
    <t>FCU-3F, Manufacturer: MITSUBISHI, Model: PEFY-P12NMAU,  CFM: 315, Supply Fan Motor: 90W, Refrigrant: R410A, EAT: 80, LAT: 56 with Heat Pump</t>
  </si>
  <si>
    <t>FCU-3G, Manufacturer: MITSUBISHI, Model: PEFY-P06NMAU,  CFM: 265, Supply Fan Motor: 60W, Refrigrant: R410A, EAT: 80, LAT: 56 with Heat Pump</t>
  </si>
  <si>
    <t>FCU-3H, Manufacturer: MITSUBISHI, Model: PEFY-P06NMAU,  CFM: 265, Supply Fan Motor: 60W, Refrigrant: R410A, EAT: 80, LAT: 56 with Heat Pump</t>
  </si>
  <si>
    <t>FCU-3I, Manufacturer: MITSUBISHI, Model: PEFY-P12NMAU,  CFM: 315, Supply Fan Motor: 90W, Refrigrant: R410A, EAT: 80, LAT: 56 with Heat Pump</t>
  </si>
  <si>
    <t>FCU-3J, Manufacturer: MITSUBISHI, Model:PEFY-P08NMAU,  CFM: 260, Supply Fan Motor: 60W, Refrigrant: R410A, EAT: 80, LAT: 56 with Heat Pump</t>
  </si>
  <si>
    <t>FCU-3K, Manufacturer: MITSUBISHI, Model: PEFY-P06NMAU,  CFM: 265, Supply Fan Motor: 60W, Refrigrant: R410A, EAT: 80, LAT: 56 with Heat Pump</t>
  </si>
  <si>
    <t>FCU-4A, Manufacturer: MITSUBISHI, Model: PEFY-P06NMAU,  CFM: 265, Supply Fan Motor: 60W, Refrigrant: R410A, EAT: 80, LAT: 56 with Heat Pump</t>
  </si>
  <si>
    <t>FCU-4B, Manufacturer: MITSUBISHI, Model: PEFY-P06NMAU,  CFM: 265, Supply Fan Motor: 60W, Refrigrant: R410A, EAT: 80, LAT: 56 with Heat Pump</t>
  </si>
  <si>
    <t>FCU-4C, Manufacturer: MITSUBISHI, Model: PEFY-P12NMAU,  CFM: 315, Supply Fan Motor: 90W, Refrigrant: R410A, EAT: 80, LAT: 56 with Heat Pump</t>
  </si>
  <si>
    <t>FCU-4D, Manufacturer: MITSUBISHI, Model:PEFY-P08NMAU,  CFM: 260, Supply Fan Motor: 60W, Refrigrant: R410A, EAT: 80, LAT: 56 with Heat Pump</t>
  </si>
  <si>
    <t>FCU-4E, Manufacturer: MITSUBISHI, Model: PEFY-P08NMAU,  CFM: 265, Supply Fan Motor: 90W, Refrigrant: R410A, EAT: 80, LAT: 56 with Heat Pump</t>
  </si>
  <si>
    <t>FCU-4F, Manufacturer: MITSUBISHI, Model: PEFY-P12NMAU,  CFM: 315, Supply Fan Motor: 90W, Refrigrant: R410A, EAT: 80, LAT: 56 with Heat Pump</t>
  </si>
  <si>
    <t>FCU-4G, Manufacturer: MITSUBISHI, Model: PEFY-P06NMAU,  CFM: 265, Supply Fan Motor: 60W, Refrigrant: R410A, EAT: 80, LAT: 56 with Heat Pump</t>
  </si>
  <si>
    <t>FCU-4H, Manufacturer: MITSUBISHI, Model: PEFY-P06NMAU,  CFM: 265, Supply Fan Motor: 60W, Refrigrant: R410A, EAT: 80, LAT: 56 with Heat Pump</t>
  </si>
  <si>
    <t>FCU-4I, Manufacturer: MITSUBISHI, Model: PEFY-P12NMAU,  CFM: 315, Supply Fan Motor: 90W, Refrigrant: R410A, EAT: 80, LAT: 56 with Heat Pump</t>
  </si>
  <si>
    <t>FCU-4J, Manufacturer: MITSUBISHI, Model:PEFY-P08NMAU,  CFM: 260, Supply Fan Motor: 60W, Refrigrant: R410A, EAT: 80, LAT: 56 with Heat Pump</t>
  </si>
  <si>
    <t>FCU-4K, Manufacturer: MITSUBISHI, Model: PEFY-P06NMAU,  CFM: 265, Supply Fan Motor: 60W, Refrigrant: R410A, EAT: 80, LAT: 56 with Heat Pump</t>
  </si>
  <si>
    <t>FCU-5A, Manufacturer: MITSUBISHI, Model: PEFY-P06NMAU,  CFM: 265, Supply Fan Motor: 60W, Refrigrant: R410A, EAT: 80, LAT: 56 with Heat Pump</t>
  </si>
  <si>
    <t>FCU-5B, Manufacturer: MITSUBISHI, Model: PEFY-P06NMAU,  CFM: 265, Supply Fan Motor: 60W, Refrigrant: R410A, EAT: 80, LAT: 56 with Heat Pump</t>
  </si>
  <si>
    <t>FCU-5C, Manufacturer: MITSUBISHI, Model: PEFY-P12NMAU,  CFM: 315, Supply Fan Motor: 90W, Refrigrant: R410A, EAT: 80, LAT: 56 with Heat Pump</t>
  </si>
  <si>
    <t>FCU-5D, Manufacturer: MITSUBISHI, Model:PEFY-P08NMAU,  CFM: 260, Supply Fan Motor: 60W, Refrigrant: R410A, EAT: 80, LAT: 56 with Heat Pump</t>
  </si>
  <si>
    <t>FCU-5E, Manufacturer: MITSUBISHI, Model: PEFY-P12NMAU,  CFM: 315, Supply Fan Motor: 90W, Refrigrant: R410A, EAT: 80, LAT: 56 with Heat Pump</t>
  </si>
  <si>
    <t>FCU-5F, Manufacturer: MITSUBISHI, Model: PEFY-P12NMAU,  CFM: 315, Supply Fan Motor: 90W, Refrigrant: R410A, EAT: 80, LAT: 56 with Heat Pump</t>
  </si>
  <si>
    <t>FCU-5G, Manufacturer: MITSUBISHI, Model: PEFY-P06NMAU,  CFM: 265, Supply Fan Motor: 60W, Refrigrant: R410A, EAT: 80, LAT: 56 with Heat Pump</t>
  </si>
  <si>
    <t>FCU-5H, Manufacturer: MITSUBISHI, Model: PEFY-P06NMAU,  CFM: 265, Supply Fan Motor: 60W, Refrigrant: R410A, EAT: 80, LAT: 56 with Heat Pump</t>
  </si>
  <si>
    <t>FCU-5I, Manufacturer: MITSUBISHI, Model:PEFY-P08NMAU,  CFM: 260, Supply Fan Motor: 60W, Refrigrant: R410A, EAT: 80, LAT: 56 with Heat Pump</t>
  </si>
  <si>
    <t>FCU-5J, Manufacturer: MITSUBISHI, Model:PEFY-P08NMAU,  CFM: 260, Supply Fan Motor: 60W, Refrigrant: R410A, EAT: 80, LAT: 56 with Heat Pump</t>
  </si>
  <si>
    <t>FCU-5K, Manufacturer: MITSUBISHI, Model: PEFY-P06NMAU,  CFM: 265, Supply Fan Motor: 60W, Refrigrant: R410A, EAT: 80, LAT: 56 with Heat Pump</t>
  </si>
  <si>
    <t>FCU-ST2, Manufacturer: MITSUBISHI, Model: PKFY-P12NMSU,  CFM: 413, Supply Fan Motor: 90W, Refrigrant: R410A, EAT: 80, LAT: 56 with Heat Pump</t>
  </si>
  <si>
    <t>FCU-6A, Manufacturer: MITSUBISHI, Model: PEFY-P06NMAU,  CFM: 265, Supply Fan Motor: 60W, Refrigrant: R410A, EAT: 80, LAT: 56 with Heat Pump</t>
  </si>
  <si>
    <t>FCU-6B, Manufacturer: MITSUBISHI, Model: PEFY-P06NMAU,  CFM: 265, Supply Fan Motor: 60W, Refrigrant: R410A, EAT: 80, LAT: 56 with Heat Pump</t>
  </si>
  <si>
    <t>FCU-6C, Manufacturer: MITSUBISHI, Model: PEFY-P12NMAU,  CFM: 315, Supply Fan Motor: 90W, Refrigrant: R410A, EAT: 80, LAT: 56 with Heat Pump</t>
  </si>
  <si>
    <t>FCU-6D, Manufacturer: MITSUBISHI, Model:PEFY-P08NMAU,  CFM: 260, Supply Fan Motor: 60W, Refrigrant: R410A, EAT: 80, LAT: 56 with Heat Pump</t>
  </si>
  <si>
    <t>FCU-6E, Manufacturer: MITSUBISHI, Model: PEFY-P12NMAU,  CFM: 315, Supply Fan Motor: 90W, Refrigrant: R410A, EAT: 80, LAT: 56 with Heat Pump</t>
  </si>
  <si>
    <t>FCU-6F, Manufacturer: MITSUBISHI, Model: PEFY-P12NMAU,  CFM: 315, Supply Fan Motor: 90W, Refrigrant: R410A, EAT: 80, LAT: 56 with Heat Pump</t>
  </si>
  <si>
    <t>FCU-6G, Manufacturer: MITSUBISHI, Model: PEFY-P06NMAU,  CFM: 265, Supply Fan Motor: 60W, Refrigrant: R410A, EAT: 80, LAT: 56 with Heat Pump</t>
  </si>
  <si>
    <t>FCU-6H, Manufacturer: MITSUBISHI, Model: PEFY-P06NMAU,  CFM: 265, Supply Fan Motor: 60W, Refrigrant: R410A, EAT: 80, LAT: 56 with Heat Pump</t>
  </si>
  <si>
    <t>FCU-6I, Manufacturer: MITSUBISHI, Model:PEFY-P08NMAU,  CFM: 260, Supply Fan Motor: 60W, Refrigrant: R410A, EAT: 80, LAT: 56 with Heat Pump</t>
  </si>
  <si>
    <t>FCU-6J, Manufacturer: MITSUBISHI, Model:PEFY-P08NMAU,  CFM: 260, Supply Fan Motor: 60W, Refrigrant: R410A, EAT: 80, LAT: 56 with Heat Pump</t>
  </si>
  <si>
    <t>FCU-6K, Manufacturer: MITSUBISHI, Model: PEFY-P06NMAU,  CFM: 265, Supply Fan Motor: 60W, Refrigrant: R410A, EAT: 80, LAT: 56 with Heat Pump</t>
  </si>
  <si>
    <t>FCU-7A, Manufacturer: MITSUBISHI, Model: PEFY-P12NMAU,  CFM: 315, Supply Fan Motor: 90W, Refrigrant: R410A, EAT: 80, LAT: 56 with Heat Pump</t>
  </si>
  <si>
    <t>FCU-7B, Manufacturer: MITSUBISHI, Model: PEFY-P06NMAU,  CFM: 265, Supply Fan Motor: 60W, Refrigrant: R410A, EAT: 80, LAT: 56 with Heat Pump</t>
  </si>
  <si>
    <t>FCU-7C, Manufacturer: MITSUBISHI, Model: PEFY-P12NMAU,  CFM: 315, Supply Fan Motor: 90W, Refrigrant: R410A, EAT: 80, LAT: 56 with Heat Pump</t>
  </si>
  <si>
    <t>FCU-7D, Manufacturer: MITSUBISHI, Model: PEFY-P06NMAU,  CFM: 265, Supply Fan Motor: 60W, Refrigrant: R410A, EAT: 80, LAT: 56 with Heat Pump</t>
  </si>
  <si>
    <t>FCU-7E, Manufacturer: MITSUBISHI, Model: PEFY-P06NMAU,  CFM: 265, Supply Fan Motor: 60W, Refrigrant: R410A, EAT: 80, LAT: 56 with Heat Pump</t>
  </si>
  <si>
    <t>FCU-7F, Manufacturer: MITSUBISHI, Model: PEFY-P06NMAU,  CFM: 265, Supply Fan Motor: 60W, Refrigrant: R410A, EAT: 80, LAT: 56 with Heat Pump</t>
  </si>
  <si>
    <t>FCU-7G, Manufacturer: MITSUBISHI, Model: PEFY-P06NMAU,  CFM: 265, Supply Fan Motor: 60W, Refrigrant: R410A, EAT: 80, LAT: 56 with Heat Pump</t>
  </si>
  <si>
    <t>FCU-7H, Manufacturer: MITSUBISHI, Model: PEFY-P06NMAU,  CFM: 265, Supply Fan Motor: 60W, Refrigrant: R410A, EAT: 80, LAT: 56 with Heat Pump</t>
  </si>
  <si>
    <t>FCU-7I, Manufacturer: MITSUBISHI, Model: PEFY-P06NMAU,  CFM: 265, Supply Fan Motor: 60W, Refrigrant: R410A, EAT: 80, LAT: 56 with Heat Pump</t>
  </si>
  <si>
    <t>FCU-7J, Manufacturer: MITSUBISHI, Model: PEFY-P12NMAU,  CFM: 315, Supply Fan Motor: 90W, Refrigrant: R410A, EAT: 80, LAT: 56 with Heat Pump</t>
  </si>
  <si>
    <t>FCU-7K, Manufacturer: MITSUBISHI, Model: PEFY-P06NMAU,  CFM: 265, Supply Fan Motor: 60W, Refrigrant: R410A, EAT: 80, LAT: 56 with Heat Pump</t>
  </si>
  <si>
    <t>FCU-7L, Manufacturer: MITSUBISHI, Model: PEFY-P12NMAU,  CFM: 315, Supply Fan Motor: 90W, Refrigrant: R410A, EAT: 80, LAT: 56 with Heat Pump</t>
  </si>
  <si>
    <t>FCU-7M, Manufacturer: MITSUBISHI, Model: PEFY-P06NMAU,  CFM: 265, Supply Fan Motor: 60W, Refrigrant: R410A, EAT: 80, LAT: 56 with Heat Pump</t>
  </si>
  <si>
    <t>FCU-8AL, Manufacturer: MITSUBISHI, Model: PEFY-P12NMAU,  CFM: 315, Supply Fan Motor: 90W, Refrigrant: R410A, EAT: 80, LAT: 56 with Heat Pump</t>
  </si>
  <si>
    <t>FCU-8B, Manufacturer: MITSUBISHI, Model: PEFY-P06NMAU,  CFM: 265, Supply Fan Motor: 60W, Refrigrant: R410A, EAT: 80, LAT: 56 with Heat Pump</t>
  </si>
  <si>
    <t>FCU-8CL, Manufacturer: MITSUBISHI, Model: PEFY-P18NMSU,  CFM: 510, Supply Fan Motor: 110W, Refrigrant: R410A, EAT: 80, LAT: 56 with Heat Pump</t>
  </si>
  <si>
    <t>FCU-8D, Manufacturer: MITSUBISHI, Model: PEFY-P06NMAU,  CFM: 265, Supply Fan Motor: 60W, Refrigrant: R410A, EAT: 80, LAT: 56 with Heat Pump</t>
  </si>
  <si>
    <t>FCU-8E, Manufacturer: MITSUBISHI, Model: PEFY-P12NMAU,  CFM: 315, Supply Fan Motor: 90W, Refrigrant: R410A, EAT: 80, LAT: 56 with Heat Pump</t>
  </si>
  <si>
    <t>FCU-8F, Manufacturer: MITSUBISHI, Model: PEFY-P06NMAU,  CFM: 265, Supply Fan Motor: 60W, Refrigrant: R410A, EAT: 80, LAT: 56 with Heat Pump</t>
  </si>
  <si>
    <t>FCU-8G, Manufacturer: MITSUBISHI, Model: PEFY-P06NMAU,  CFM: 265, Supply Fan Motor: 60W, Refrigrant: R410A, EAT: 80, LAT: 56 with Heat Pump</t>
  </si>
  <si>
    <t>FCU-8H, Manufacturer: MITSUBISHI, Model: PEFY-P15NMSU,  CFM: 420, Supply Fan Motor: 85W, Refrigrant: R410A, EAT: 80, LAT: 56 with Heat Pump</t>
  </si>
  <si>
    <t>FCU-8I, Manufacturer: MITSUBISHI, Model: PEFY-P12NMAU,  CFM: 315, Supply Fan Motor: 90W, Refrigrant: R410A, EAT: 80, LAT: 56 with Heat Pump</t>
  </si>
  <si>
    <t>FCU-8J, Manufacturer: MITSUBISHI, Model: PEFY-P06NMAU,  CFM: 265, Supply Fan Motor: 60W, Refrigrant: R410A, EAT: 80, LAT: 56 with Heat Pump</t>
  </si>
  <si>
    <t>FCU-9A, Manufacturer: MITSUBISHI, Model:PEFY-P08NMSU,  CFM: 260, Supply Fan Motor: 60W, Refrigrant: R410A, EAT: 80, LAT: 56 with Heat Pump</t>
  </si>
  <si>
    <t>FCU-9B, Manufacturer: MITSUBISHI, Model:PEFY-P30NMAU,  CFM: 740, Supply Fan Motor: 170W, Refrigrant: R410A, EAT: 80, LAT: 56 with Heat Pump</t>
  </si>
  <si>
    <t>FCU-9C, Manufacturer: MITSUBISHI, Model: PEFY-P12NMAU,  CFM: 315, Supply Fan Motor: 90W, Refrigrant: R410A, EAT: 80, LAT: 56 with Heat Pump</t>
  </si>
  <si>
    <t>FCU-9D, Manufacturer: MITSUBISHI, Model: PEFY-P24NMAU,  CFM: 740, Supply Fan Motor: 370W, Refrigrant: R410A, EAT: 80, LAT: 56 with Heat Pump</t>
  </si>
  <si>
    <t>FCU-9E, Manufacturer: MITSUBISHI, Model: PEFY-P24NMAU,  CFM: 740, Supply Fan Motor: 370W, Refrigrant: R410A, EAT: 80, LAT: 56 with Heat Pump</t>
  </si>
  <si>
    <t>FCU-ST3, Manufacturer: MITSUBISHI, Model: PKFY-P12NMSU,  CFM: 413, Supply Fan Motor: 90W, Refrigrant: R410A, EAT: 80, LAT: 56 with Heat Pump</t>
  </si>
  <si>
    <t>FCU-EMR, Manufacturer: MITSUBISHI, Model: PKA-A12HA7,  CFM: 370, Supply Fan Motor: 1000W, Refrigrant: R410A, EAT: 80, LAT: 56 with Heat Pump</t>
  </si>
  <si>
    <t>Note: Provide Auxiliary Drain Pan With Flood Detector Switch To Shut Off Unit When Water Is Present In Drain Pan, Provide Unit With Integral Condensate Pump, Provide Unit With Space Temperature Control Devices Consistent With The Following Control Methods: Thermostat Or Room Controller For Local Override Of Centralized Controller With Integral Temperature Sensor, Provide Auixiliary Heating Control Relay Module</t>
  </si>
  <si>
    <t>Relocation of Thermostat</t>
  </si>
  <si>
    <t>BRANCH DUCT WITH BELL-MOUTH FITTING (INCHES)</t>
  </si>
  <si>
    <t>BRANCH DUCT WITH 45° RECTANGLE-ROUND BRANCH FITTING (INCHES)</t>
  </si>
  <si>
    <t>DUCT TRANSITION (INCHES)</t>
  </si>
  <si>
    <t>DUCT ELBOW 90 (INCHES)</t>
  </si>
  <si>
    <t>DUCT ELBOW WITH TURNING VANES (INCHES)</t>
  </si>
  <si>
    <t>DUCT ELBOW 45 (INCHES)</t>
  </si>
  <si>
    <t>DUCT TEE (INCHES)</t>
  </si>
  <si>
    <t>MANUAL VOLUME DAMPER (INCHES)</t>
  </si>
  <si>
    <t>FIRE SMOKE DAMPER (FSD) (INCHES)</t>
  </si>
  <si>
    <t>SMOKE DAMPER (SD) (INCHES)</t>
  </si>
  <si>
    <t>FIRE DAMPER (FD) (INCHES)</t>
  </si>
  <si>
    <t>MOTORIZED DAMPER (INCHES)</t>
  </si>
  <si>
    <t>HVAC PIPING</t>
  </si>
  <si>
    <t>REFRIGRANT PIPING</t>
  </si>
  <si>
    <t>CD PIPE &amp; FITTINGS</t>
  </si>
  <si>
    <t>DUCT HANGERS</t>
  </si>
  <si>
    <t>Galvanized steel, or round, uncoated steel, threaded rod hangers, Electro-galvanized, all-thread rod or hotdipped-galvanized rods with threads painted after installation
Straps and Rod Sizes: Conform with SMACNA HVAC Duct Construction Standards,
2005 Edition, for sheet steel width and gauge and steel rod diameters</t>
  </si>
  <si>
    <t>DUCT INSULATION</t>
  </si>
  <si>
    <t>Rigid Fiberglass Ductwork Insulation: UL/ULC Classified, meeting ASTM C612, Types IA or IB, with density of 1.5 pounds per cubic foot</t>
  </si>
  <si>
    <t>PIPE INSULATION</t>
  </si>
  <si>
    <t>Fiberglass Piping Insulation: ASTM C547, Type I or II, Grade A, Manufacturer: Armacell LLC</t>
  </si>
  <si>
    <t>PIPE HNGERS</t>
  </si>
  <si>
    <t>Calcium Silicate Shield Supports, Waterproofed calcium silicate conforming to ASTM C795 encased with an insulation protection shield. Pre-engineered thermal hanger inserts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</si>
</sst>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36" x14ac:knownFonts="1">
    <font>
      <sz val="11"/>
      <color theme="1"/>
      <name val="Calibri"/>
      <family val="2"/>
      <scheme val="minor"/>
    </font>
    <font>
      <b/>
      <sz val="11"/>
      <color theme="1"/>
      <name val="Calibri"/>
      <family val="2"/>
      <scheme val="minor"/>
    </font>
    <font>
      <sz val="12"/>
      <name val="Arial"/>
      <family val="2"/>
    </font>
    <font>
      <sz val="11"/>
      <color theme="1"/>
      <name val="Calibri"/>
      <family val="2"/>
      <scheme val="minor"/>
    </font>
    <font>
      <sz val="12"/>
      <name val="Arial"/>
      <family val="2"/>
    </font>
    <font>
      <b/>
      <sz val="12"/>
      <name val="Calibri"/>
      <family val="2"/>
      <scheme val="minor"/>
    </font>
    <font>
      <b/>
      <sz val="12"/>
      <color rgb="FF00B0F0"/>
      <name val="Calibri"/>
      <family val="2"/>
      <scheme val="minor"/>
    </font>
    <font>
      <b/>
      <sz val="12"/>
      <color theme="0" tint="-0.34998626667073579"/>
      <name val="Calibri"/>
      <family val="2"/>
      <scheme val="minor"/>
    </font>
    <font>
      <b/>
      <sz val="14"/>
      <color theme="0" tint="-0.34998626667073579"/>
      <name val="Calibri"/>
      <family val="2"/>
      <scheme val="minor"/>
    </font>
    <font>
      <sz val="11"/>
      <name val="Calibri"/>
      <family val="2"/>
      <scheme val="minor"/>
    </font>
    <font>
      <b/>
      <sz val="11"/>
      <name val="Calibri"/>
      <family val="2"/>
      <scheme val="minor"/>
    </font>
    <font>
      <b/>
      <sz val="12"/>
      <color theme="1"/>
      <name val="Calibri"/>
      <family val="2"/>
      <scheme val="minor"/>
    </font>
    <font>
      <b/>
      <sz val="14"/>
      <color theme="1"/>
      <name val="Calibri"/>
      <family val="2"/>
      <scheme val="minor"/>
    </font>
    <font>
      <sz val="11"/>
      <color rgb="FF000000"/>
      <name val="Calibri"/>
      <family val="2"/>
      <scheme val="minor"/>
    </font>
    <font>
      <sz val="11"/>
      <color theme="1"/>
      <name val="Helvetica"/>
      <family val="2"/>
    </font>
    <font>
      <sz val="11"/>
      <name val="Helvetica"/>
      <family val="2"/>
    </font>
    <font>
      <b/>
      <sz val="14"/>
      <color theme="1"/>
      <name val="Helvetica"/>
      <family val="2"/>
    </font>
    <font>
      <b/>
      <sz val="11"/>
      <name val="Helvetica"/>
      <family val="2"/>
    </font>
    <font>
      <sz val="11"/>
      <color theme="1"/>
      <name val="Helvetica"/>
      <family val="2"/>
    </font>
    <font>
      <b/>
      <sz val="11"/>
      <name val="Helvetica"/>
      <family val="2"/>
    </font>
    <font>
      <sz val="11"/>
      <name val="Helvetica"/>
      <family val="2"/>
    </font>
    <font>
      <b/>
      <sz val="12"/>
      <name val="Helvetica"/>
      <family val="2"/>
    </font>
    <font>
      <b/>
      <sz val="11"/>
      <color theme="1"/>
      <name val="Helvetica"/>
      <family val="2"/>
    </font>
    <font>
      <sz val="11"/>
      <color rgb="FF000000"/>
      <name val="Helvetica"/>
      <family val="2"/>
    </font>
    <font>
      <b/>
      <sz val="10"/>
      <name val="Calibri"/>
      <family val="2"/>
      <scheme val="minor"/>
    </font>
    <font>
      <b/>
      <sz val="10"/>
      <name val="Helvetica"/>
      <family val="2"/>
    </font>
    <font>
      <b/>
      <sz val="12"/>
      <color theme="1"/>
      <name val="Helvetica"/>
      <family val="2"/>
    </font>
    <font>
      <b/>
      <sz val="12"/>
      <color rgb="FF002060"/>
      <name val="Calibri"/>
      <family val="2"/>
      <scheme val="minor"/>
    </font>
    <font>
      <sz val="12"/>
      <color rgb="FF002060"/>
      <name val="Calibri"/>
      <family val="2"/>
      <scheme val="minor"/>
    </font>
    <font>
      <b/>
      <sz val="14"/>
      <color rgb="FF002060"/>
      <name val="Calibri"/>
      <family val="2"/>
      <scheme val="minor"/>
    </font>
    <font>
      <b/>
      <sz val="22"/>
      <color rgb="FF002060"/>
      <name val="Calibri"/>
      <family val="2"/>
      <scheme val="minor"/>
    </font>
    <font>
      <sz val="22"/>
      <color rgb="FF002060"/>
      <name val="Calibri"/>
      <family val="2"/>
      <scheme val="minor"/>
    </font>
    <font>
      <sz val="11"/>
      <color rgb="FF002060"/>
      <name val="Calibri"/>
      <family val="2"/>
      <scheme val="minor"/>
    </font>
    <font>
      <sz val="11"/>
      <color rgb="FF002060"/>
      <name val="Helvetica"/>
      <family val="2"/>
    </font>
    <font>
      <b/>
      <sz val="14"/>
      <color rgb="FF002060"/>
      <name val="Helvetica"/>
      <family val="2"/>
    </font>
    <font>
      <b/>
      <sz val="12"/>
      <color rgb="FF002060"/>
      <name val="Helvetica"/>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s>
  <cellStyleXfs count="6">
    <xf numFmtId="0" fontId="0" fillId="0" borderId="0"/>
    <xf numFmtId="0" fontId="2" fillId="0" borderId="0"/>
    <xf numFmtId="44" fontId="3" fillId="0" borderId="0" applyFont="0" applyFill="0" applyBorder="0" applyAlignment="0" applyProtection="0"/>
    <xf numFmtId="9" fontId="3" fillId="0" borderId="0" applyFont="0" applyFill="0" applyBorder="0" applyAlignment="0" applyProtection="0"/>
    <xf numFmtId="0" fontId="4" fillId="0" borderId="0"/>
    <xf numFmtId="0" fontId="2" fillId="0" borderId="0"/>
  </cellStyleXfs>
  <cellXfs count="443">
    <xf numFmtId="0" fontId="0" fillId="0" borderId="0" xfId="0"/>
    <xf numFmtId="0" fontId="1" fillId="3" borderId="1" xfId="0" applyFont="1" applyFill="1" applyBorder="1" applyAlignment="1">
      <alignment vertical="center"/>
    </xf>
    <xf numFmtId="0" fontId="1" fillId="0" borderId="1" xfId="0" applyFont="1" applyBorder="1" applyAlignment="1">
      <alignment vertical="top" wrapText="1"/>
    </xf>
    <xf numFmtId="0" fontId="1" fillId="0" borderId="1" xfId="0" applyFont="1" applyBorder="1"/>
    <xf numFmtId="0" fontId="1" fillId="3" borderId="1" xfId="0" applyFont="1" applyFill="1" applyBorder="1" applyAlignment="1">
      <alignment horizontal="center" vertical="center"/>
    </xf>
    <xf numFmtId="9" fontId="1" fillId="3" borderId="1" xfId="0" applyNumberFormat="1"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xf numFmtId="0" fontId="1" fillId="0" borderId="2" xfId="0" applyFont="1" applyBorder="1" applyAlignment="1">
      <alignment horizontal="center" vertical="center"/>
    </xf>
    <xf numFmtId="0" fontId="1" fillId="0" borderId="13" xfId="0" applyFont="1" applyBorder="1" applyAlignment="1">
      <alignment horizontal="left" vertical="center"/>
    </xf>
    <xf numFmtId="0" fontId="1" fillId="0" borderId="2" xfId="0" applyFont="1" applyBorder="1" applyAlignment="1">
      <alignment vertical="center"/>
    </xf>
    <xf numFmtId="1" fontId="1" fillId="3" borderId="1" xfId="0" applyNumberFormat="1" applyFont="1" applyFill="1" applyBorder="1" applyAlignment="1">
      <alignment horizontal="center" vertical="center"/>
    </xf>
    <xf numFmtId="9" fontId="5" fillId="2" borderId="5" xfId="3" applyFont="1" applyFill="1" applyBorder="1" applyAlignment="1">
      <alignment horizontal="center" vertical="top"/>
    </xf>
    <xf numFmtId="0" fontId="6" fillId="0" borderId="0" xfId="4" applyFont="1" applyAlignment="1">
      <alignment horizontal="left"/>
    </xf>
    <xf numFmtId="1" fontId="3" fillId="0" borderId="0" xfId="0" applyNumberFormat="1" applyFont="1" applyAlignment="1">
      <alignment horizontal="center"/>
    </xf>
    <xf numFmtId="0" fontId="3" fillId="0" borderId="0" xfId="0" applyFont="1"/>
    <xf numFmtId="0" fontId="7" fillId="0" borderId="0" xfId="4" applyFont="1" applyAlignment="1">
      <alignment vertical="center"/>
    </xf>
    <xf numFmtId="0" fontId="7" fillId="0" borderId="0" xfId="4" applyFont="1" applyAlignment="1">
      <alignment horizontal="center" vertical="center"/>
    </xf>
    <xf numFmtId="1" fontId="8" fillId="0" borderId="0" xfId="0" applyNumberFormat="1" applyFont="1" applyAlignment="1">
      <alignment horizontal="center"/>
    </xf>
    <xf numFmtId="0" fontId="3" fillId="0" borderId="0" xfId="0" applyFont="1" applyAlignment="1">
      <alignment horizontal="center"/>
    </xf>
    <xf numFmtId="0" fontId="9" fillId="0" borderId="0" xfId="4" applyFont="1"/>
    <xf numFmtId="0" fontId="3" fillId="0" borderId="2" xfId="0" applyFont="1" applyBorder="1" applyAlignment="1">
      <alignment horizontal="center" vertical="center"/>
    </xf>
    <xf numFmtId="9" fontId="3" fillId="3" borderId="1" xfId="0" applyNumberFormat="1" applyFont="1" applyFill="1" applyBorder="1" applyAlignment="1">
      <alignment horizontal="center" vertical="center"/>
    </xf>
    <xf numFmtId="1" fontId="3"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vertical="center"/>
    </xf>
    <xf numFmtId="0" fontId="3" fillId="0" borderId="1" xfId="0" applyFont="1" applyBorder="1"/>
    <xf numFmtId="0" fontId="3" fillId="3" borderId="1" xfId="0" applyFont="1" applyFill="1" applyBorder="1" applyAlignment="1">
      <alignment horizontal="center" vertical="center"/>
    </xf>
    <xf numFmtId="0" fontId="3" fillId="3" borderId="1" xfId="0" applyFont="1" applyFill="1" applyBorder="1" applyAlignment="1">
      <alignment horizontal="center"/>
    </xf>
    <xf numFmtId="0" fontId="3" fillId="0" borderId="1" xfId="0" applyFont="1" applyBorder="1" applyAlignment="1">
      <alignment vertical="center"/>
    </xf>
    <xf numFmtId="0" fontId="3" fillId="3" borderId="2" xfId="0" applyFont="1" applyFill="1" applyBorder="1" applyAlignment="1">
      <alignment horizontal="center" vertical="center"/>
    </xf>
    <xf numFmtId="0" fontId="3" fillId="3" borderId="8" xfId="0" applyFont="1" applyFill="1" applyBorder="1" applyAlignment="1">
      <alignment horizontal="left" vertical="center" wrapText="1"/>
    </xf>
    <xf numFmtId="0" fontId="3" fillId="3" borderId="1" xfId="0" applyFont="1" applyFill="1" applyBorder="1"/>
    <xf numFmtId="0" fontId="3" fillId="3" borderId="1" xfId="0" applyFont="1" applyFill="1" applyBorder="1" applyAlignment="1">
      <alignment wrapText="1"/>
    </xf>
    <xf numFmtId="0" fontId="3" fillId="0" borderId="1" xfId="0" applyFont="1" applyBorder="1" applyAlignment="1">
      <alignment wrapText="1"/>
    </xf>
    <xf numFmtId="0" fontId="3" fillId="3" borderId="13" xfId="0" applyFont="1" applyFill="1" applyBorder="1" applyAlignment="1">
      <alignment horizontal="left" vertical="center" wrapText="1"/>
    </xf>
    <xf numFmtId="0" fontId="3" fillId="3" borderId="8" xfId="0" applyFont="1" applyFill="1" applyBorder="1" applyAlignment="1"/>
    <xf numFmtId="0" fontId="3" fillId="3" borderId="13" xfId="0" applyFont="1" applyFill="1" applyBorder="1" applyAlignment="1"/>
    <xf numFmtId="0" fontId="3" fillId="3" borderId="8" xfId="0" applyFont="1" applyFill="1" applyBorder="1"/>
    <xf numFmtId="0" fontId="3" fillId="3" borderId="13" xfId="0" applyFont="1" applyFill="1" applyBorder="1"/>
    <xf numFmtId="0" fontId="3" fillId="3" borderId="1" xfId="0" applyFont="1" applyFill="1" applyBorder="1" applyAlignment="1"/>
    <xf numFmtId="0" fontId="3" fillId="0" borderId="2" xfId="0" applyFont="1" applyBorder="1" applyAlignment="1">
      <alignment wrapText="1"/>
    </xf>
    <xf numFmtId="0" fontId="3" fillId="3" borderId="0" xfId="0" applyFont="1" applyFill="1"/>
    <xf numFmtId="14" fontId="3" fillId="0" borderId="1" xfId="0" applyNumberFormat="1" applyFont="1" applyBorder="1"/>
    <xf numFmtId="0" fontId="3" fillId="0" borderId="1" xfId="0" applyFont="1" applyBorder="1" applyAlignment="1">
      <alignment horizontal="center"/>
    </xf>
    <xf numFmtId="0" fontId="3" fillId="3" borderId="1" xfId="0" applyFont="1" applyFill="1" applyBorder="1" applyAlignment="1">
      <alignment horizontal="left"/>
    </xf>
    <xf numFmtId="0" fontId="3" fillId="3" borderId="1" xfId="0" applyFont="1" applyFill="1" applyBorder="1" applyAlignment="1">
      <alignment horizontal="left" vertical="top"/>
    </xf>
    <xf numFmtId="0" fontId="3" fillId="3" borderId="1" xfId="0" applyFont="1" applyFill="1" applyBorder="1" applyAlignment="1">
      <alignment horizontal="left" wrapText="1"/>
    </xf>
    <xf numFmtId="0" fontId="3" fillId="0" borderId="1" xfId="0"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0" xfId="0" applyFont="1" applyBorder="1" applyAlignment="1">
      <alignment horizontal="center" vertical="center"/>
    </xf>
    <xf numFmtId="0" fontId="3" fillId="0" borderId="0" xfId="0" applyFont="1" applyBorder="1" applyAlignment="1">
      <alignment horizontal="left"/>
    </xf>
    <xf numFmtId="0" fontId="3" fillId="0" borderId="0" xfId="0" applyFont="1" applyBorder="1" applyAlignment="1">
      <alignment horizontal="center"/>
    </xf>
    <xf numFmtId="0" fontId="3" fillId="0" borderId="0" xfId="0" applyFont="1" applyBorder="1"/>
    <xf numFmtId="1" fontId="3" fillId="0" borderId="0" xfId="0" applyNumberFormat="1" applyFont="1" applyBorder="1" applyAlignment="1">
      <alignment horizontal="center"/>
    </xf>
    <xf numFmtId="0" fontId="3" fillId="0" borderId="0" xfId="0" applyFont="1" applyAlignment="1">
      <alignment horizontal="left"/>
    </xf>
    <xf numFmtId="164" fontId="3" fillId="3" borderId="1" xfId="2" applyNumberFormat="1" applyFont="1" applyFill="1" applyBorder="1" applyAlignment="1">
      <alignment vertical="center"/>
    </xf>
    <xf numFmtId="0" fontId="3" fillId="0" borderId="19" xfId="0" applyFont="1" applyBorder="1" applyAlignment="1">
      <alignment horizontal="center" vertical="center"/>
    </xf>
    <xf numFmtId="164" fontId="3" fillId="3" borderId="19" xfId="2" applyNumberFormat="1" applyFont="1" applyFill="1" applyBorder="1" applyAlignment="1">
      <alignment vertical="center"/>
    </xf>
    <xf numFmtId="0" fontId="3" fillId="3" borderId="20" xfId="0" applyFont="1" applyFill="1" applyBorder="1" applyAlignment="1">
      <alignment horizontal="center"/>
    </xf>
    <xf numFmtId="0" fontId="1" fillId="0" borderId="20" xfId="0" applyFont="1" applyBorder="1" applyAlignment="1">
      <alignment vertical="center"/>
    </xf>
    <xf numFmtId="0" fontId="1" fillId="0" borderId="22" xfId="0" applyFont="1" applyBorder="1" applyAlignment="1">
      <alignment horizontal="left" vertical="center"/>
    </xf>
    <xf numFmtId="0" fontId="3" fillId="3" borderId="23" xfId="0" applyFont="1" applyFill="1" applyBorder="1" applyAlignment="1">
      <alignment horizontal="center"/>
    </xf>
    <xf numFmtId="0" fontId="1" fillId="0" borderId="7" xfId="0" applyFont="1" applyBorder="1" applyAlignment="1">
      <alignment vertical="center"/>
    </xf>
    <xf numFmtId="0" fontId="3" fillId="3" borderId="22" xfId="0" applyFont="1" applyFill="1" applyBorder="1" applyAlignment="1">
      <alignment horizontal="center" vertical="center"/>
    </xf>
    <xf numFmtId="0" fontId="3" fillId="3" borderId="22" xfId="0" applyFont="1" applyFill="1" applyBorder="1" applyAlignment="1"/>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3" borderId="20" xfId="0" applyFont="1" applyFill="1" applyBorder="1" applyAlignment="1">
      <alignment horizontal="center" vertical="center"/>
    </xf>
    <xf numFmtId="0" fontId="1" fillId="0" borderId="20" xfId="0" applyFont="1" applyBorder="1" applyAlignment="1">
      <alignment horizontal="center" vertical="center"/>
    </xf>
    <xf numFmtId="0" fontId="1" fillId="0" borderId="7" xfId="0" applyFont="1" applyBorder="1" applyAlignment="1">
      <alignment horizontal="center" vertical="center"/>
    </xf>
    <xf numFmtId="0" fontId="3" fillId="3" borderId="20" xfId="0" applyFont="1" applyFill="1" applyBorder="1" applyAlignment="1"/>
    <xf numFmtId="0" fontId="3" fillId="0" borderId="24" xfId="0" applyFont="1" applyBorder="1"/>
    <xf numFmtId="1" fontId="3" fillId="0" borderId="24" xfId="0" applyNumberFormat="1" applyFont="1" applyBorder="1" applyAlignment="1">
      <alignment horizontal="center"/>
    </xf>
    <xf numFmtId="0" fontId="3" fillId="0" borderId="25" xfId="0" applyFont="1" applyBorder="1"/>
    <xf numFmtId="0" fontId="3" fillId="0" borderId="16" xfId="0" applyFont="1" applyBorder="1"/>
    <xf numFmtId="0" fontId="3" fillId="0" borderId="26" xfId="0" applyFont="1" applyBorder="1" applyAlignment="1">
      <alignment horizontal="center" vertical="center"/>
    </xf>
    <xf numFmtId="1" fontId="3" fillId="3" borderId="27" xfId="0" applyNumberFormat="1" applyFont="1" applyFill="1" applyBorder="1" applyAlignment="1">
      <alignment horizontal="center" vertical="center"/>
    </xf>
    <xf numFmtId="0" fontId="3" fillId="3" borderId="27" xfId="0" applyFont="1" applyFill="1" applyBorder="1" applyAlignment="1">
      <alignment vertical="center"/>
    </xf>
    <xf numFmtId="0" fontId="3" fillId="0" borderId="27" xfId="0" applyFont="1" applyBorder="1"/>
    <xf numFmtId="0" fontId="3" fillId="0" borderId="18" xfId="0" applyFont="1" applyBorder="1"/>
    <xf numFmtId="164" fontId="11" fillId="4" borderId="5" xfId="2" applyNumberFormat="1" applyFont="1" applyFill="1" applyBorder="1" applyAlignment="1">
      <alignment horizontal="center" vertical="center"/>
    </xf>
    <xf numFmtId="0" fontId="1" fillId="0" borderId="1" xfId="0" applyFont="1" applyBorder="1" applyAlignment="1">
      <alignment horizontal="center" vertical="center"/>
    </xf>
    <xf numFmtId="0" fontId="3" fillId="0" borderId="13" xfId="0" applyFont="1" applyBorder="1" applyAlignment="1">
      <alignment horizontal="center" vertical="center" wrapText="1"/>
    </xf>
    <xf numFmtId="9" fontId="3" fillId="3" borderId="13" xfId="0" applyNumberFormat="1" applyFont="1" applyFill="1" applyBorder="1" applyAlignment="1">
      <alignment horizontal="center" vertical="center"/>
    </xf>
    <xf numFmtId="1" fontId="3" fillId="3" borderId="13" xfId="0" applyNumberFormat="1" applyFont="1" applyFill="1" applyBorder="1" applyAlignment="1">
      <alignment horizontal="center" vertical="center"/>
    </xf>
    <xf numFmtId="0" fontId="3" fillId="0" borderId="13" xfId="0" applyFont="1" applyBorder="1" applyAlignment="1">
      <alignment horizontal="center" vertical="center"/>
    </xf>
    <xf numFmtId="0" fontId="3" fillId="0" borderId="13" xfId="0" applyFont="1" applyBorder="1"/>
    <xf numFmtId="0" fontId="3" fillId="0" borderId="28" xfId="0" applyFont="1" applyBorder="1"/>
    <xf numFmtId="0" fontId="3" fillId="0" borderId="29" xfId="0" applyFont="1" applyBorder="1"/>
    <xf numFmtId="0" fontId="1" fillId="0" borderId="1" xfId="0" applyFont="1" applyFill="1" applyBorder="1" applyAlignment="1">
      <alignment horizontal="left"/>
    </xf>
    <xf numFmtId="0" fontId="0" fillId="0" borderId="1" xfId="0" applyFont="1" applyFill="1" applyBorder="1" applyAlignment="1">
      <alignment horizontal="center"/>
    </xf>
    <xf numFmtId="0" fontId="0" fillId="0" borderId="1" xfId="0" applyFont="1" applyBorder="1" applyAlignment="1">
      <alignment horizontal="center" vertical="center"/>
    </xf>
    <xf numFmtId="0" fontId="0" fillId="0" borderId="8" xfId="0" applyFont="1" applyFill="1" applyBorder="1" applyAlignment="1">
      <alignment horizontal="center"/>
    </xf>
    <xf numFmtId="0" fontId="0" fillId="0" borderId="8" xfId="0" applyFont="1" applyBorder="1" applyAlignment="1">
      <alignment vertical="top" wrapText="1"/>
    </xf>
    <xf numFmtId="0" fontId="0" fillId="3" borderId="1" xfId="0" applyFont="1" applyFill="1" applyBorder="1" applyAlignment="1"/>
    <xf numFmtId="0" fontId="0" fillId="0" borderId="1" xfId="0" applyFont="1" applyBorder="1" applyAlignment="1">
      <alignment horizontal="center" vertical="center" wrapText="1"/>
    </xf>
    <xf numFmtId="0" fontId="0" fillId="0" borderId="1" xfId="0" applyFont="1" applyBorder="1" applyAlignment="1">
      <alignment horizontal="center"/>
    </xf>
    <xf numFmtId="0" fontId="0" fillId="0" borderId="13" xfId="0" applyFont="1" applyBorder="1" applyAlignment="1">
      <alignment horizontal="center"/>
    </xf>
    <xf numFmtId="0" fontId="0" fillId="3" borderId="1" xfId="0" applyFont="1" applyFill="1" applyBorder="1" applyAlignment="1">
      <alignment wrapText="1"/>
    </xf>
    <xf numFmtId="164" fontId="3" fillId="3" borderId="19" xfId="2" applyNumberFormat="1" applyFont="1" applyFill="1" applyBorder="1" applyAlignment="1">
      <alignment horizontal="center" vertical="center"/>
    </xf>
    <xf numFmtId="164" fontId="3" fillId="3" borderId="19" xfId="0" applyNumberFormat="1" applyFont="1" applyFill="1" applyBorder="1" applyAlignment="1">
      <alignment horizontal="center" vertical="center"/>
    </xf>
    <xf numFmtId="164" fontId="3" fillId="3" borderId="1" xfId="2" applyNumberFormat="1" applyFont="1" applyFill="1" applyBorder="1" applyAlignment="1">
      <alignment horizontal="center" vertical="center"/>
    </xf>
    <xf numFmtId="164" fontId="3" fillId="3" borderId="1" xfId="0" applyNumberFormat="1" applyFont="1" applyFill="1" applyBorder="1" applyAlignment="1">
      <alignment horizontal="center" vertical="center"/>
    </xf>
    <xf numFmtId="164" fontId="3" fillId="0" borderId="1" xfId="0" applyNumberFormat="1" applyFont="1" applyBorder="1" applyAlignment="1">
      <alignment horizontal="center" vertical="center"/>
    </xf>
    <xf numFmtId="164" fontId="3" fillId="0" borderId="21" xfId="0" applyNumberFormat="1" applyFont="1" applyBorder="1" applyAlignment="1">
      <alignment horizontal="center" vertical="center"/>
    </xf>
    <xf numFmtId="164" fontId="3" fillId="0" borderId="19" xfId="0" applyNumberFormat="1" applyFont="1" applyBorder="1" applyAlignment="1">
      <alignment horizontal="center" vertical="center"/>
    </xf>
    <xf numFmtId="164" fontId="3" fillId="0" borderId="15" xfId="0" applyNumberFormat="1" applyFont="1" applyBorder="1" applyAlignment="1">
      <alignment horizontal="center" vertical="center"/>
    </xf>
    <xf numFmtId="0" fontId="3" fillId="0" borderId="21" xfId="0" applyFont="1" applyBorder="1" applyAlignment="1">
      <alignment horizontal="center" vertical="center"/>
    </xf>
    <xf numFmtId="0" fontId="1" fillId="0" borderId="21"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1" fontId="3" fillId="0" borderId="1" xfId="0" applyNumberFormat="1" applyFont="1" applyBorder="1" applyAlignment="1">
      <alignment horizontal="center" vertical="center"/>
    </xf>
    <xf numFmtId="0" fontId="6" fillId="0" borderId="0" xfId="5" applyFont="1" applyAlignment="1">
      <alignment horizontal="left"/>
    </xf>
    <xf numFmtId="0" fontId="3" fillId="0" borderId="0" xfId="0" applyFont="1" applyAlignment="1">
      <alignment horizontal="center" vertical="center"/>
    </xf>
    <xf numFmtId="0" fontId="7" fillId="0" borderId="0" xfId="5" applyFont="1" applyAlignment="1">
      <alignment vertical="center"/>
    </xf>
    <xf numFmtId="0" fontId="8" fillId="0" borderId="0" xfId="0" applyNumberFormat="1" applyFont="1" applyAlignment="1">
      <alignment horizontal="center"/>
    </xf>
    <xf numFmtId="0" fontId="9" fillId="0" borderId="0" xfId="5" applyFont="1"/>
    <xf numFmtId="164" fontId="12" fillId="4" borderId="5" xfId="2" applyNumberFormat="1" applyFont="1" applyFill="1" applyBorder="1" applyAlignment="1">
      <alignment horizontal="center" vertical="center"/>
    </xf>
    <xf numFmtId="0" fontId="10" fillId="0" borderId="32" xfId="0" applyFont="1" applyFill="1" applyBorder="1" applyAlignment="1">
      <alignment vertical="center" wrapText="1"/>
    </xf>
    <xf numFmtId="0" fontId="10" fillId="0" borderId="10"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3" fillId="0" borderId="1" xfId="0" applyFont="1" applyFill="1" applyBorder="1" applyAlignment="1">
      <alignment horizontal="center" vertical="center"/>
    </xf>
    <xf numFmtId="9" fontId="9" fillId="0" borderId="19" xfId="3" applyFont="1" applyFill="1" applyBorder="1" applyAlignment="1">
      <alignment horizontal="center" vertical="center"/>
    </xf>
    <xf numFmtId="1" fontId="9" fillId="0" borderId="19" xfId="5" applyNumberFormat="1" applyFont="1" applyFill="1" applyBorder="1" applyAlignment="1">
      <alignment horizontal="center" vertical="center"/>
    </xf>
    <xf numFmtId="0" fontId="9" fillId="0" borderId="20" xfId="0" applyFont="1" applyFill="1" applyBorder="1" applyAlignment="1">
      <alignment horizontal="center" vertical="center" wrapText="1"/>
    </xf>
    <xf numFmtId="9" fontId="9" fillId="0" borderId="1" xfId="3" applyFont="1" applyFill="1" applyBorder="1" applyAlignment="1">
      <alignment horizontal="center" vertical="center"/>
    </xf>
    <xf numFmtId="1" fontId="9" fillId="0" borderId="1" xfId="5" applyNumberFormat="1" applyFont="1" applyFill="1" applyBorder="1" applyAlignment="1">
      <alignment horizontal="center" vertical="center"/>
    </xf>
    <xf numFmtId="0" fontId="9" fillId="0" borderId="22" xfId="0" applyFont="1" applyFill="1" applyBorder="1" applyAlignment="1">
      <alignment horizontal="center" vertical="center" wrapText="1"/>
    </xf>
    <xf numFmtId="0" fontId="3" fillId="0" borderId="13" xfId="0" applyFont="1" applyBorder="1" applyAlignment="1">
      <alignment vertical="center" wrapText="1"/>
    </xf>
    <xf numFmtId="164" fontId="9" fillId="0" borderId="1" xfId="2" applyNumberFormat="1" applyFont="1" applyFill="1" applyBorder="1" applyAlignment="1">
      <alignment horizontal="center" vertical="center" wrapText="1"/>
    </xf>
    <xf numFmtId="164" fontId="3" fillId="0" borderId="1" xfId="2" applyNumberFormat="1" applyFont="1" applyBorder="1" applyAlignment="1">
      <alignment horizontal="center" vertical="center"/>
    </xf>
    <xf numFmtId="164" fontId="3" fillId="0" borderId="21" xfId="2" applyNumberFormat="1" applyFont="1" applyBorder="1" applyAlignment="1">
      <alignment horizontal="center" vertical="center"/>
    </xf>
    <xf numFmtId="0" fontId="3" fillId="0" borderId="2" xfId="0" applyFont="1" applyFill="1" applyBorder="1" applyAlignment="1">
      <alignment horizontal="center" vertical="center"/>
    </xf>
    <xf numFmtId="0" fontId="10" fillId="0" borderId="1" xfId="0" applyFont="1" applyFill="1" applyBorder="1" applyAlignment="1">
      <alignment horizontal="center" vertical="center" wrapText="1"/>
    </xf>
    <xf numFmtId="164" fontId="3" fillId="0" borderId="1" xfId="2" applyNumberFormat="1" applyFont="1" applyBorder="1" applyAlignment="1">
      <alignment horizontal="center"/>
    </xf>
    <xf numFmtId="164" fontId="3" fillId="0" borderId="21" xfId="2" applyNumberFormat="1" applyFont="1" applyBorder="1" applyAlignment="1">
      <alignment horizontal="center"/>
    </xf>
    <xf numFmtId="0" fontId="9" fillId="0" borderId="23" xfId="0" applyFont="1" applyFill="1" applyBorder="1" applyAlignment="1">
      <alignment horizontal="center" vertical="center" wrapText="1"/>
    </xf>
    <xf numFmtId="0" fontId="3" fillId="0" borderId="8" xfId="0" applyFont="1" applyBorder="1" applyAlignment="1">
      <alignment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3" fillId="5" borderId="1" xfId="0" applyFont="1" applyFill="1" applyBorder="1"/>
    <xf numFmtId="0" fontId="9" fillId="0" borderId="1" xfId="0" applyFont="1" applyFill="1" applyBorder="1" applyAlignment="1">
      <alignment horizontal="center" vertical="center" wrapText="1"/>
    </xf>
    <xf numFmtId="0" fontId="3" fillId="0" borderId="28" xfId="0" applyFont="1" applyFill="1" applyBorder="1" applyAlignment="1">
      <alignment horizontal="center" vertical="center"/>
    </xf>
    <xf numFmtId="0" fontId="9" fillId="0" borderId="28" xfId="0" applyFont="1" applyFill="1" applyBorder="1" applyAlignment="1">
      <alignment horizontal="center" vertical="center" wrapText="1"/>
    </xf>
    <xf numFmtId="0" fontId="9" fillId="0" borderId="21"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3" fillId="0" borderId="24" xfId="0" applyFont="1" applyBorder="1" applyAlignment="1">
      <alignment vertical="center" wrapText="1"/>
    </xf>
    <xf numFmtId="0" fontId="3" fillId="0" borderId="24" xfId="0" applyFont="1" applyFill="1" applyBorder="1" applyAlignment="1">
      <alignment horizontal="center" vertical="center"/>
    </xf>
    <xf numFmtId="9" fontId="9" fillId="0" borderId="24" xfId="3" applyFont="1" applyFill="1" applyBorder="1" applyAlignment="1">
      <alignment horizontal="center" vertical="center"/>
    </xf>
    <xf numFmtId="1" fontId="9" fillId="0" borderId="24" xfId="5" applyNumberFormat="1" applyFont="1" applyFill="1" applyBorder="1" applyAlignment="1">
      <alignment horizontal="center" vertical="center"/>
    </xf>
    <xf numFmtId="0" fontId="3" fillId="0" borderId="24" xfId="0" applyFont="1" applyBorder="1" applyAlignment="1">
      <alignment horizontal="center" vertical="center"/>
    </xf>
    <xf numFmtId="0" fontId="10" fillId="0" borderId="24" xfId="0" applyFont="1" applyFill="1" applyBorder="1" applyAlignment="1">
      <alignment horizontal="center" vertical="center" wrapText="1"/>
    </xf>
    <xf numFmtId="164" fontId="3" fillId="0" borderId="24" xfId="2" applyNumberFormat="1" applyFont="1" applyBorder="1" applyAlignment="1">
      <alignment horizontal="center" vertical="center"/>
    </xf>
    <xf numFmtId="1" fontId="3" fillId="0" borderId="24" xfId="0" applyNumberFormat="1" applyFont="1" applyBorder="1" applyAlignment="1">
      <alignment horizontal="center" vertical="center"/>
    </xf>
    <xf numFmtId="164" fontId="3" fillId="0" borderId="24" xfId="2" applyNumberFormat="1" applyFont="1" applyBorder="1" applyAlignment="1">
      <alignment horizontal="center"/>
    </xf>
    <xf numFmtId="164" fontId="3" fillId="0" borderId="16" xfId="2" applyNumberFormat="1" applyFont="1" applyBorder="1" applyAlignment="1">
      <alignment horizontal="center"/>
    </xf>
    <xf numFmtId="0" fontId="9" fillId="0" borderId="13" xfId="0" applyFont="1" applyFill="1" applyBorder="1" applyAlignment="1">
      <alignment vertical="center" wrapText="1"/>
    </xf>
    <xf numFmtId="0" fontId="3" fillId="0" borderId="8" xfId="0" applyFont="1" applyBorder="1"/>
    <xf numFmtId="0" fontId="3" fillId="0" borderId="8" xfId="0" applyFont="1" applyBorder="1" applyAlignment="1">
      <alignment horizontal="center" vertical="center"/>
    </xf>
    <xf numFmtId="164" fontId="3" fillId="3" borderId="8" xfId="2" applyNumberFormat="1" applyFont="1" applyFill="1" applyBorder="1" applyAlignment="1">
      <alignment vertical="center"/>
    </xf>
    <xf numFmtId="164" fontId="3" fillId="3" borderId="8" xfId="2" applyNumberFormat="1" applyFont="1" applyFill="1" applyBorder="1" applyAlignment="1">
      <alignment horizontal="center" vertical="center"/>
    </xf>
    <xf numFmtId="164" fontId="3" fillId="3" borderId="8" xfId="0" applyNumberFormat="1" applyFont="1" applyFill="1" applyBorder="1" applyAlignment="1">
      <alignment horizontal="center" vertical="center"/>
    </xf>
    <xf numFmtId="1" fontId="3" fillId="0" borderId="8" xfId="0" applyNumberFormat="1" applyFont="1" applyBorder="1" applyAlignment="1">
      <alignment horizontal="center" vertical="center"/>
    </xf>
    <xf numFmtId="164" fontId="3" fillId="0" borderId="8" xfId="0" applyNumberFormat="1" applyFont="1" applyBorder="1" applyAlignment="1">
      <alignment horizontal="center" vertical="center"/>
    </xf>
    <xf numFmtId="164" fontId="3" fillId="0" borderId="36" xfId="0" applyNumberFormat="1" applyFont="1" applyBorder="1" applyAlignment="1">
      <alignment horizontal="center" vertical="center"/>
    </xf>
    <xf numFmtId="0" fontId="10" fillId="0" borderId="37" xfId="0" applyFont="1" applyFill="1" applyBorder="1" applyAlignment="1">
      <alignment vertical="center" wrapText="1"/>
    </xf>
    <xf numFmtId="0" fontId="3" fillId="0" borderId="19" xfId="0" applyFont="1" applyFill="1" applyBorder="1" applyAlignment="1">
      <alignment horizontal="center" vertical="center"/>
    </xf>
    <xf numFmtId="1" fontId="3" fillId="0" borderId="19" xfId="0" applyNumberFormat="1" applyFont="1" applyBorder="1" applyAlignment="1">
      <alignment horizontal="center" vertical="center"/>
    </xf>
    <xf numFmtId="0" fontId="9" fillId="0" borderId="22" xfId="0" applyFont="1" applyFill="1" applyBorder="1" applyAlignment="1">
      <alignment vertical="center" wrapText="1"/>
    </xf>
    <xf numFmtId="0" fontId="3" fillId="3" borderId="8" xfId="0" applyFont="1" applyFill="1" applyBorder="1" applyAlignment="1">
      <alignment vertical="center"/>
    </xf>
    <xf numFmtId="0" fontId="3" fillId="3" borderId="8" xfId="0" applyFont="1" applyFill="1" applyBorder="1" applyAlignment="1">
      <alignment horizontal="center" vertical="center"/>
    </xf>
    <xf numFmtId="9" fontId="3" fillId="3" borderId="8" xfId="0" applyNumberFormat="1" applyFont="1" applyFill="1" applyBorder="1" applyAlignment="1">
      <alignment horizontal="center" vertical="center"/>
    </xf>
    <xf numFmtId="1" fontId="3" fillId="3" borderId="8" xfId="0" applyNumberFormat="1" applyFont="1" applyFill="1" applyBorder="1" applyAlignment="1">
      <alignment horizontal="center" vertical="center"/>
    </xf>
    <xf numFmtId="0" fontId="3" fillId="0" borderId="37" xfId="0" applyFont="1" applyBorder="1" applyAlignment="1">
      <alignment horizontal="center" vertical="center"/>
    </xf>
    <xf numFmtId="9" fontId="3" fillId="3" borderId="32" xfId="0" applyNumberFormat="1" applyFont="1" applyFill="1" applyBorder="1" applyAlignment="1">
      <alignment horizontal="center" vertical="center"/>
    </xf>
    <xf numFmtId="1" fontId="3" fillId="3" borderId="32" xfId="0" applyNumberFormat="1" applyFont="1" applyFill="1" applyBorder="1" applyAlignment="1">
      <alignment horizontal="center" vertical="center"/>
    </xf>
    <xf numFmtId="0" fontId="3" fillId="0" borderId="32" xfId="0" applyFont="1" applyBorder="1" applyAlignment="1">
      <alignment horizontal="center" vertical="center"/>
    </xf>
    <xf numFmtId="0" fontId="3" fillId="3" borderId="32" xfId="0" applyFont="1" applyFill="1" applyBorder="1" applyAlignment="1">
      <alignment vertical="center"/>
    </xf>
    <xf numFmtId="0" fontId="3" fillId="0" borderId="32" xfId="0" applyFont="1" applyBorder="1"/>
    <xf numFmtId="0" fontId="3" fillId="0" borderId="10" xfId="0" applyFont="1" applyBorder="1"/>
    <xf numFmtId="0" fontId="3" fillId="0" borderId="1" xfId="0" applyFont="1" applyFill="1" applyBorder="1" applyAlignment="1">
      <alignment vertical="center" wrapText="1"/>
    </xf>
    <xf numFmtId="0" fontId="3" fillId="0" borderId="1" xfId="0" applyFont="1" applyFill="1" applyBorder="1"/>
    <xf numFmtId="0" fontId="0" fillId="0" borderId="1" xfId="0" applyFont="1" applyFill="1" applyBorder="1" applyAlignment="1">
      <alignment wrapText="1"/>
    </xf>
    <xf numFmtId="0" fontId="0" fillId="0" borderId="1" xfId="0" applyFont="1" applyFill="1" applyBorder="1" applyAlignment="1">
      <alignment vertical="top" wrapText="1"/>
    </xf>
    <xf numFmtId="0" fontId="9" fillId="0" borderId="17" xfId="0" applyFont="1" applyFill="1" applyBorder="1" applyAlignment="1">
      <alignment horizontal="center" vertical="center" wrapText="1"/>
    </xf>
    <xf numFmtId="0" fontId="3" fillId="0" borderId="19" xfId="0" applyFont="1" applyBorder="1" applyAlignment="1">
      <alignment vertical="center" wrapText="1"/>
    </xf>
    <xf numFmtId="164" fontId="9" fillId="0" borderId="19" xfId="2" applyNumberFormat="1" applyFont="1" applyFill="1" applyBorder="1" applyAlignment="1">
      <alignment horizontal="center" vertical="center" wrapText="1"/>
    </xf>
    <xf numFmtId="0" fontId="3" fillId="0" borderId="13" xfId="0" applyFont="1" applyFill="1" applyBorder="1" applyAlignment="1">
      <alignment horizontal="center" vertical="center"/>
    </xf>
    <xf numFmtId="164" fontId="9" fillId="0" borderId="13" xfId="2" applyNumberFormat="1" applyFont="1" applyFill="1" applyBorder="1" applyAlignment="1">
      <alignment horizontal="center" vertical="center" wrapText="1"/>
    </xf>
    <xf numFmtId="164" fontId="3" fillId="0" borderId="13" xfId="2" applyNumberFormat="1" applyFont="1" applyBorder="1" applyAlignment="1">
      <alignment horizontal="center" vertical="center"/>
    </xf>
    <xf numFmtId="1" fontId="3" fillId="0" borderId="13" xfId="0" applyNumberFormat="1" applyFont="1" applyBorder="1" applyAlignment="1">
      <alignment horizontal="center" vertical="center"/>
    </xf>
    <xf numFmtId="164" fontId="3" fillId="0" borderId="29" xfId="2" applyNumberFormat="1" applyFont="1" applyBorder="1" applyAlignment="1">
      <alignment horizontal="center" vertical="center"/>
    </xf>
    <xf numFmtId="9" fontId="9" fillId="0" borderId="13" xfId="3" applyFont="1" applyFill="1" applyBorder="1" applyAlignment="1">
      <alignment horizontal="center" vertical="center"/>
    </xf>
    <xf numFmtId="1" fontId="9" fillId="0" borderId="13" xfId="5" applyNumberFormat="1" applyFont="1" applyFill="1" applyBorder="1" applyAlignment="1">
      <alignment horizontal="center" vertical="center"/>
    </xf>
    <xf numFmtId="0" fontId="9" fillId="0" borderId="45" xfId="0" applyFont="1" applyFill="1" applyBorder="1" applyAlignment="1">
      <alignment horizontal="center" vertical="center" wrapText="1"/>
    </xf>
    <xf numFmtId="0" fontId="3" fillId="0" borderId="38" xfId="0" applyFont="1" applyFill="1" applyBorder="1" applyAlignment="1">
      <alignment horizontal="center" vertical="center"/>
    </xf>
    <xf numFmtId="0" fontId="3" fillId="0" borderId="38" xfId="0" applyFont="1" applyBorder="1" applyAlignment="1">
      <alignment vertical="center" wrapText="1"/>
    </xf>
    <xf numFmtId="0" fontId="1" fillId="0" borderId="3" xfId="0" applyFont="1" applyBorder="1" applyAlignment="1">
      <alignment horizontal="center"/>
    </xf>
    <xf numFmtId="0" fontId="3" fillId="0" borderId="40" xfId="0" applyFont="1" applyBorder="1" applyAlignment="1">
      <alignment horizontal="center" vertical="center"/>
    </xf>
    <xf numFmtId="0" fontId="3" fillId="0" borderId="7" xfId="0" applyFont="1" applyBorder="1" applyAlignment="1">
      <alignment horizontal="center" vertical="center"/>
    </xf>
    <xf numFmtId="0" fontId="3" fillId="0" borderId="46" xfId="0" applyFont="1" applyBorder="1" applyAlignment="1">
      <alignment horizontal="center"/>
    </xf>
    <xf numFmtId="0" fontId="13" fillId="0" borderId="30" xfId="0" applyFont="1" applyBorder="1" applyAlignment="1">
      <alignment horizontal="left" vertical="center"/>
    </xf>
    <xf numFmtId="0" fontId="13" fillId="0" borderId="31" xfId="0" applyFont="1" applyBorder="1" applyAlignment="1">
      <alignment horizontal="left" vertical="center"/>
    </xf>
    <xf numFmtId="0" fontId="13" fillId="0" borderId="33" xfId="0" applyFont="1" applyBorder="1" applyAlignment="1">
      <alignment horizontal="left" vertical="center"/>
    </xf>
    <xf numFmtId="0" fontId="14" fillId="0" borderId="0" xfId="0" applyFont="1" applyAlignment="1">
      <alignment horizontal="center"/>
    </xf>
    <xf numFmtId="0" fontId="14" fillId="0" borderId="0" xfId="0" applyFont="1" applyAlignment="1">
      <alignment horizontal="center" vertical="center"/>
    </xf>
    <xf numFmtId="0" fontId="14" fillId="0" borderId="0" xfId="0" applyFont="1"/>
    <xf numFmtId="0" fontId="15" fillId="0" borderId="0" xfId="5" applyFont="1"/>
    <xf numFmtId="164" fontId="16" fillId="4" borderId="5" xfId="2" applyNumberFormat="1" applyFont="1" applyFill="1" applyBorder="1" applyAlignment="1">
      <alignment horizontal="center" vertical="center"/>
    </xf>
    <xf numFmtId="0" fontId="17" fillId="0" borderId="32" xfId="0" applyFont="1" applyFill="1" applyBorder="1" applyAlignment="1">
      <alignment vertical="center" wrapText="1"/>
    </xf>
    <xf numFmtId="0" fontId="17" fillId="0" borderId="10" xfId="0" applyFont="1" applyFill="1" applyBorder="1" applyAlignment="1">
      <alignment horizontal="center" vertical="center" wrapText="1"/>
    </xf>
    <xf numFmtId="0" fontId="15" fillId="0" borderId="45" xfId="0" applyFont="1" applyFill="1" applyBorder="1" applyAlignment="1">
      <alignment horizontal="center" vertical="center" wrapText="1"/>
    </xf>
    <xf numFmtId="0" fontId="18" fillId="0" borderId="1" xfId="0" applyFont="1" applyBorder="1" applyAlignment="1">
      <alignment horizontal="center" vertical="center"/>
    </xf>
    <xf numFmtId="9" fontId="15" fillId="0" borderId="19" xfId="3" applyFont="1" applyFill="1" applyBorder="1" applyAlignment="1">
      <alignment horizontal="center" vertical="center"/>
    </xf>
    <xf numFmtId="1" fontId="15" fillId="0" borderId="19" xfId="5" applyNumberFormat="1" applyFont="1" applyFill="1" applyBorder="1" applyAlignment="1">
      <alignment horizontal="center" vertical="center"/>
    </xf>
    <xf numFmtId="0" fontId="14" fillId="0" borderId="27" xfId="0" applyFont="1" applyBorder="1" applyAlignment="1">
      <alignment horizontal="center" vertical="center"/>
    </xf>
    <xf numFmtId="164" fontId="15" fillId="0" borderId="19" xfId="2" applyNumberFormat="1" applyFont="1" applyFill="1" applyBorder="1" applyAlignment="1">
      <alignment horizontal="center" vertical="center" wrapText="1"/>
    </xf>
    <xf numFmtId="0" fontId="18" fillId="0" borderId="1" xfId="0" applyFont="1" applyBorder="1"/>
    <xf numFmtId="9" fontId="15" fillId="0" borderId="1" xfId="3" applyFont="1" applyFill="1" applyBorder="1" applyAlignment="1">
      <alignment horizontal="center" vertical="center"/>
    </xf>
    <xf numFmtId="1" fontId="15" fillId="0" borderId="1" xfId="5" applyNumberFormat="1" applyFont="1" applyFill="1" applyBorder="1" applyAlignment="1">
      <alignment horizontal="center" vertical="center"/>
    </xf>
    <xf numFmtId="0" fontId="14" fillId="0" borderId="1" xfId="0" applyFont="1" applyBorder="1" applyAlignment="1">
      <alignment horizontal="center" vertical="center"/>
    </xf>
    <xf numFmtId="164" fontId="15" fillId="0" borderId="1" xfId="2" applyNumberFormat="1" applyFont="1" applyFill="1" applyBorder="1" applyAlignment="1">
      <alignment horizontal="center" vertical="center" wrapText="1"/>
    </xf>
    <xf numFmtId="164" fontId="14" fillId="0" borderId="1" xfId="2" applyNumberFormat="1" applyFont="1" applyBorder="1" applyAlignment="1">
      <alignment horizontal="center" vertical="center"/>
    </xf>
    <xf numFmtId="1" fontId="14" fillId="0" borderId="1" xfId="0" applyNumberFormat="1" applyFont="1" applyBorder="1" applyAlignment="1">
      <alignment horizontal="center" vertical="center"/>
    </xf>
    <xf numFmtId="164" fontId="14" fillId="0" borderId="21" xfId="2" applyNumberFormat="1" applyFont="1" applyBorder="1" applyAlignment="1">
      <alignment horizontal="center" vertical="center"/>
    </xf>
    <xf numFmtId="0" fontId="14" fillId="0" borderId="1" xfId="0" applyFont="1" applyBorder="1" applyAlignment="1">
      <alignment vertical="center" wrapText="1"/>
    </xf>
    <xf numFmtId="0" fontId="14" fillId="0" borderId="1" xfId="0" applyFont="1" applyFill="1" applyBorder="1" applyAlignment="1">
      <alignment horizontal="center" vertical="center"/>
    </xf>
    <xf numFmtId="0" fontId="14" fillId="0" borderId="1" xfId="0" applyFont="1" applyFill="1" applyBorder="1" applyAlignment="1">
      <alignment vertical="center" wrapText="1"/>
    </xf>
    <xf numFmtId="0" fontId="14" fillId="3" borderId="1" xfId="0" applyFont="1" applyFill="1" applyBorder="1" applyAlignment="1">
      <alignment vertical="center" wrapText="1"/>
    </xf>
    <xf numFmtId="0" fontId="14" fillId="0" borderId="8" xfId="0" applyFont="1" applyBorder="1" applyAlignment="1">
      <alignment vertical="center" wrapText="1"/>
    </xf>
    <xf numFmtId="0" fontId="15" fillId="0" borderId="20" xfId="0" applyFont="1" applyFill="1" applyBorder="1" applyAlignment="1">
      <alignment horizontal="center" vertical="center" wrapText="1"/>
    </xf>
    <xf numFmtId="0" fontId="18" fillId="0" borderId="1" xfId="0" applyFont="1" applyBorder="1" applyAlignment="1">
      <alignment wrapText="1"/>
    </xf>
    <xf numFmtId="9" fontId="20" fillId="0" borderId="1" xfId="3" applyFont="1" applyFill="1" applyBorder="1" applyAlignment="1">
      <alignment horizontal="center" vertical="center"/>
    </xf>
    <xf numFmtId="1" fontId="20" fillId="0" borderId="1" xfId="5" applyNumberFormat="1" applyFont="1" applyFill="1" applyBorder="1" applyAlignment="1">
      <alignment horizontal="center" vertical="center"/>
    </xf>
    <xf numFmtId="0" fontId="15" fillId="0" borderId="22" xfId="0" applyFont="1" applyFill="1" applyBorder="1" applyAlignment="1">
      <alignment horizontal="center" vertical="center" wrapText="1"/>
    </xf>
    <xf numFmtId="0" fontId="14" fillId="0" borderId="13" xfId="0" applyFont="1" applyBorder="1" applyAlignment="1">
      <alignment vertical="center" wrapText="1"/>
    </xf>
    <xf numFmtId="0" fontId="14" fillId="0" borderId="2" xfId="0" applyFont="1" applyFill="1" applyBorder="1" applyAlignment="1">
      <alignment horizontal="center" vertical="center"/>
    </xf>
    <xf numFmtId="0" fontId="18" fillId="0" borderId="1" xfId="0" applyFont="1" applyBorder="1" applyAlignment="1">
      <alignment vertical="center" wrapText="1"/>
    </xf>
    <xf numFmtId="0" fontId="18" fillId="0" borderId="1" xfId="0" applyFont="1" applyFill="1" applyBorder="1" applyAlignment="1">
      <alignment horizontal="center" vertical="center"/>
    </xf>
    <xf numFmtId="0" fontId="18" fillId="0" borderId="13" xfId="0" applyFont="1" applyBorder="1" applyAlignment="1">
      <alignment vertical="center" wrapText="1"/>
    </xf>
    <xf numFmtId="0" fontId="18" fillId="0" borderId="13" xfId="0" applyFont="1" applyFill="1" applyBorder="1" applyAlignment="1">
      <alignment horizontal="center" vertical="center"/>
    </xf>
    <xf numFmtId="164" fontId="15" fillId="0" borderId="13" xfId="2" applyNumberFormat="1" applyFont="1" applyFill="1" applyBorder="1" applyAlignment="1">
      <alignment horizontal="center" vertical="center" wrapText="1"/>
    </xf>
    <xf numFmtId="164" fontId="14" fillId="0" borderId="13" xfId="2" applyNumberFormat="1" applyFont="1" applyBorder="1" applyAlignment="1">
      <alignment horizontal="center" vertical="center"/>
    </xf>
    <xf numFmtId="1" fontId="14" fillId="0" borderId="13" xfId="0" applyNumberFormat="1" applyFont="1" applyBorder="1" applyAlignment="1">
      <alignment horizontal="center" vertical="center"/>
    </xf>
    <xf numFmtId="164" fontId="14" fillId="0" borderId="29" xfId="2" applyNumberFormat="1" applyFont="1" applyBorder="1" applyAlignment="1">
      <alignment horizontal="center" vertical="center"/>
    </xf>
    <xf numFmtId="0" fontId="18" fillId="0" borderId="28" xfId="0" applyFont="1" applyFill="1" applyBorder="1" applyAlignment="1">
      <alignment horizontal="center" vertical="center"/>
    </xf>
    <xf numFmtId="0" fontId="14" fillId="0" borderId="28" xfId="0" applyFont="1" applyFill="1" applyBorder="1" applyAlignment="1">
      <alignment horizontal="center" vertical="center"/>
    </xf>
    <xf numFmtId="0" fontId="14" fillId="0" borderId="13" xfId="0" applyFont="1" applyFill="1" applyBorder="1" applyAlignment="1">
      <alignment horizontal="center" vertical="center"/>
    </xf>
    <xf numFmtId="0" fontId="15" fillId="0" borderId="34" xfId="0" applyFont="1" applyFill="1" applyBorder="1" applyAlignment="1">
      <alignment horizontal="center" vertical="center" wrapText="1"/>
    </xf>
    <xf numFmtId="0" fontId="14" fillId="0" borderId="24" xfId="0" applyFont="1" applyBorder="1" applyAlignment="1">
      <alignment vertical="center" wrapText="1"/>
    </xf>
    <xf numFmtId="0" fontId="14" fillId="0" borderId="24" xfId="0" applyFont="1" applyFill="1" applyBorder="1" applyAlignment="1">
      <alignment horizontal="center" vertical="center"/>
    </xf>
    <xf numFmtId="9" fontId="15" fillId="0" borderId="24" xfId="3" applyFont="1" applyFill="1" applyBorder="1" applyAlignment="1">
      <alignment horizontal="center" vertical="center"/>
    </xf>
    <xf numFmtId="1" fontId="15" fillId="0" borderId="24" xfId="5" applyNumberFormat="1" applyFont="1" applyFill="1" applyBorder="1" applyAlignment="1">
      <alignment horizontal="center" vertical="center"/>
    </xf>
    <xf numFmtId="0" fontId="14" fillId="0" borderId="24" xfId="0" applyFont="1" applyBorder="1" applyAlignment="1">
      <alignment horizontal="center" vertical="center"/>
    </xf>
    <xf numFmtId="0" fontId="17" fillId="0" borderId="24" xfId="0" applyFont="1" applyFill="1" applyBorder="1" applyAlignment="1">
      <alignment horizontal="center" vertical="center" wrapText="1"/>
    </xf>
    <xf numFmtId="164" fontId="14" fillId="0" borderId="24" xfId="2" applyNumberFormat="1" applyFont="1" applyBorder="1" applyAlignment="1">
      <alignment horizontal="center" vertical="center"/>
    </xf>
    <xf numFmtId="1" fontId="14" fillId="0" borderId="24" xfId="0" applyNumberFormat="1" applyFont="1" applyBorder="1" applyAlignment="1">
      <alignment horizontal="center" vertical="center"/>
    </xf>
    <xf numFmtId="164" fontId="14" fillId="0" borderId="24" xfId="2" applyNumberFormat="1" applyFont="1" applyBorder="1" applyAlignment="1">
      <alignment horizontal="center"/>
    </xf>
    <xf numFmtId="164" fontId="14" fillId="0" borderId="16" xfId="2" applyNumberFormat="1" applyFont="1" applyBorder="1" applyAlignment="1">
      <alignment horizontal="center"/>
    </xf>
    <xf numFmtId="9" fontId="21" fillId="2" borderId="5" xfId="3" applyFont="1" applyFill="1" applyBorder="1" applyAlignment="1">
      <alignment horizontal="center" vertical="top"/>
    </xf>
    <xf numFmtId="0" fontId="22" fillId="0" borderId="3" xfId="0" applyFont="1" applyBorder="1" applyAlignment="1">
      <alignment horizontal="center"/>
    </xf>
    <xf numFmtId="0" fontId="14" fillId="0" borderId="40" xfId="0" applyFont="1" applyBorder="1" applyAlignment="1">
      <alignment horizontal="center" vertical="center"/>
    </xf>
    <xf numFmtId="0" fontId="14" fillId="0" borderId="7" xfId="0" applyFont="1" applyBorder="1" applyAlignment="1">
      <alignment horizontal="center" vertical="center"/>
    </xf>
    <xf numFmtId="0" fontId="14" fillId="0" borderId="38" xfId="0" applyFont="1" applyBorder="1" applyAlignment="1">
      <alignment vertical="center" wrapText="1"/>
    </xf>
    <xf numFmtId="0" fontId="18" fillId="0" borderId="1" xfId="0" applyFont="1" applyBorder="1" applyAlignment="1">
      <alignment horizontal="center"/>
    </xf>
    <xf numFmtId="0" fontId="14" fillId="0" borderId="1" xfId="0" applyFont="1" applyBorder="1" applyAlignment="1">
      <alignment wrapText="1"/>
    </xf>
    <xf numFmtId="0" fontId="17" fillId="0" borderId="37" xfId="0" applyFont="1" applyFill="1" applyBorder="1" applyAlignment="1">
      <alignment vertical="center" wrapText="1"/>
    </xf>
    <xf numFmtId="0" fontId="14" fillId="0" borderId="47" xfId="0" applyFont="1" applyBorder="1" applyAlignment="1">
      <alignment horizontal="center" vertical="center"/>
    </xf>
    <xf numFmtId="0" fontId="14" fillId="0" borderId="30" xfId="0" applyFont="1" applyBorder="1" applyAlignment="1">
      <alignment horizontal="center" vertical="center"/>
    </xf>
    <xf numFmtId="0" fontId="23" fillId="0" borderId="46" xfId="0" applyFont="1" applyBorder="1" applyAlignment="1">
      <alignment horizontal="left" vertical="center"/>
    </xf>
    <xf numFmtId="0" fontId="23" fillId="0" borderId="50" xfId="0" applyFont="1" applyBorder="1" applyAlignment="1">
      <alignment horizontal="left" vertical="center"/>
    </xf>
    <xf numFmtId="0" fontId="23" fillId="0" borderId="51" xfId="0" applyFont="1" applyBorder="1" applyAlignment="1">
      <alignment horizontal="left" vertical="center"/>
    </xf>
    <xf numFmtId="0" fontId="15" fillId="0" borderId="17" xfId="0" applyFont="1" applyFill="1" applyBorder="1" applyAlignment="1">
      <alignment horizontal="center" vertical="center" wrapText="1"/>
    </xf>
    <xf numFmtId="0" fontId="18" fillId="0" borderId="19" xfId="0" applyFont="1" applyBorder="1"/>
    <xf numFmtId="0" fontId="18" fillId="0" borderId="19" xfId="0" applyFont="1" applyBorder="1" applyAlignment="1">
      <alignment horizontal="center" vertical="center"/>
    </xf>
    <xf numFmtId="0" fontId="18" fillId="0" borderId="0" xfId="0" applyFont="1" applyBorder="1" applyAlignment="1">
      <alignment vertical="center"/>
    </xf>
    <xf numFmtId="0" fontId="15" fillId="0" borderId="23" xfId="0" applyFont="1" applyFill="1" applyBorder="1" applyAlignment="1">
      <alignment horizontal="center" vertical="center" wrapText="1"/>
    </xf>
    <xf numFmtId="0" fontId="18" fillId="0" borderId="8" xfId="0" applyFont="1" applyBorder="1" applyAlignment="1">
      <alignment wrapText="1"/>
    </xf>
    <xf numFmtId="0" fontId="10" fillId="0" borderId="26" xfId="0" applyFont="1" applyFill="1" applyBorder="1" applyAlignment="1">
      <alignment vertical="center" wrapText="1"/>
    </xf>
    <xf numFmtId="9" fontId="9" fillId="0" borderId="26" xfId="3" applyFont="1" applyFill="1" applyBorder="1" applyAlignment="1">
      <alignment horizontal="center" vertical="center"/>
    </xf>
    <xf numFmtId="0" fontId="3" fillId="0" borderId="13" xfId="0" applyFont="1" applyBorder="1" applyAlignment="1">
      <alignment vertical="top" wrapText="1"/>
    </xf>
    <xf numFmtId="0" fontId="9" fillId="0" borderId="2" xfId="0" applyFont="1" applyFill="1" applyBorder="1" applyAlignment="1">
      <alignment horizontal="center" vertical="center" wrapText="1"/>
    </xf>
    <xf numFmtId="0" fontId="9" fillId="3" borderId="1" xfId="0" applyFont="1" applyFill="1" applyBorder="1" applyAlignment="1">
      <alignment horizontal="center" vertical="center" wrapText="1"/>
    </xf>
    <xf numFmtId="9" fontId="9" fillId="3" borderId="1" xfId="3" applyFont="1" applyFill="1" applyBorder="1" applyAlignment="1">
      <alignment horizontal="center" vertical="center"/>
    </xf>
    <xf numFmtId="1" fontId="9" fillId="3" borderId="1" xfId="5" applyNumberFormat="1" applyFont="1" applyFill="1" applyBorder="1" applyAlignment="1">
      <alignment horizontal="center" vertical="center"/>
    </xf>
    <xf numFmtId="164" fontId="9" fillId="3" borderId="1" xfId="2" applyNumberFormat="1" applyFont="1" applyFill="1" applyBorder="1" applyAlignment="1">
      <alignment horizontal="center" vertical="center" wrapText="1"/>
    </xf>
    <xf numFmtId="164" fontId="3" fillId="3" borderId="21" xfId="2" applyNumberFormat="1" applyFont="1" applyFill="1" applyBorder="1" applyAlignment="1">
      <alignment horizontal="center" vertical="center"/>
    </xf>
    <xf numFmtId="0" fontId="3" fillId="3" borderId="13" xfId="0" applyFont="1" applyFill="1" applyBorder="1" applyAlignment="1">
      <alignment vertical="center" wrapText="1"/>
    </xf>
    <xf numFmtId="0" fontId="9" fillId="3" borderId="22" xfId="0" applyFont="1" applyFill="1" applyBorder="1" applyAlignment="1">
      <alignment horizontal="center" vertical="center" wrapText="1"/>
    </xf>
    <xf numFmtId="0" fontId="10" fillId="3" borderId="1" xfId="0" applyFont="1" applyFill="1" applyBorder="1" applyAlignment="1">
      <alignment horizontal="center" vertical="center" wrapText="1"/>
    </xf>
    <xf numFmtId="164" fontId="3" fillId="3" borderId="1" xfId="2" applyNumberFormat="1" applyFont="1" applyFill="1" applyBorder="1" applyAlignment="1">
      <alignment horizontal="center"/>
    </xf>
    <xf numFmtId="164" fontId="3" fillId="3" borderId="21" xfId="2" applyNumberFormat="1" applyFont="1" applyFill="1" applyBorder="1" applyAlignment="1">
      <alignment horizontal="center"/>
    </xf>
    <xf numFmtId="0" fontId="9" fillId="3" borderId="23" xfId="0" applyFont="1" applyFill="1" applyBorder="1" applyAlignment="1">
      <alignment horizontal="center" vertical="center" wrapText="1"/>
    </xf>
    <xf numFmtId="0" fontId="3" fillId="3" borderId="8" xfId="0" applyFont="1" applyFill="1" applyBorder="1" applyAlignment="1">
      <alignment vertical="center" wrapText="1"/>
    </xf>
    <xf numFmtId="164" fontId="9" fillId="3" borderId="13" xfId="2" applyNumberFormat="1" applyFont="1" applyFill="1" applyBorder="1" applyAlignment="1">
      <alignment horizontal="center" vertical="center" wrapText="1"/>
    </xf>
    <xf numFmtId="164" fontId="3" fillId="3" borderId="13" xfId="2" applyNumberFormat="1" applyFont="1" applyFill="1" applyBorder="1" applyAlignment="1">
      <alignment horizontal="center" vertical="center"/>
    </xf>
    <xf numFmtId="164" fontId="3" fillId="3" borderId="29" xfId="2" applyNumberFormat="1" applyFont="1" applyFill="1" applyBorder="1" applyAlignment="1">
      <alignment horizontal="center" vertical="center"/>
    </xf>
    <xf numFmtId="0" fontId="3" fillId="3" borderId="52" xfId="0" applyFont="1" applyFill="1" applyBorder="1" applyAlignment="1">
      <alignment horizontal="center" vertical="center"/>
    </xf>
    <xf numFmtId="9" fontId="9" fillId="3" borderId="8" xfId="3" applyFont="1" applyFill="1" applyBorder="1" applyAlignment="1">
      <alignment horizontal="center" vertical="center"/>
    </xf>
    <xf numFmtId="1" fontId="9" fillId="3" borderId="8" xfId="5" applyNumberFormat="1" applyFont="1" applyFill="1" applyBorder="1" applyAlignment="1">
      <alignment horizontal="center" vertical="center"/>
    </xf>
    <xf numFmtId="0" fontId="10" fillId="3" borderId="8" xfId="0" applyFont="1" applyFill="1" applyBorder="1" applyAlignment="1">
      <alignment horizontal="center" vertical="center" wrapText="1"/>
    </xf>
    <xf numFmtId="164" fontId="3" fillId="3" borderId="8" xfId="2" applyNumberFormat="1" applyFont="1" applyFill="1" applyBorder="1" applyAlignment="1">
      <alignment horizontal="center"/>
    </xf>
    <xf numFmtId="164" fontId="3" fillId="3" borderId="36" xfId="2" applyNumberFormat="1" applyFont="1" applyFill="1" applyBorder="1" applyAlignment="1">
      <alignment horizontal="center"/>
    </xf>
    <xf numFmtId="0" fontId="9" fillId="3" borderId="20" xfId="0" applyFont="1" applyFill="1" applyBorder="1" applyAlignment="1">
      <alignment horizontal="center" vertical="center" wrapText="1"/>
    </xf>
    <xf numFmtId="0" fontId="3" fillId="3" borderId="13" xfId="0" applyFont="1" applyFill="1" applyBorder="1" applyAlignment="1">
      <alignment horizontal="center" vertical="center"/>
    </xf>
    <xf numFmtId="9" fontId="9" fillId="3" borderId="13" xfId="3" applyFont="1" applyFill="1" applyBorder="1" applyAlignment="1">
      <alignment horizontal="center" vertical="center"/>
    </xf>
    <xf numFmtId="1" fontId="9" fillId="3" borderId="13" xfId="5" applyNumberFormat="1" applyFont="1" applyFill="1" applyBorder="1" applyAlignment="1">
      <alignment horizontal="center" vertical="center"/>
    </xf>
    <xf numFmtId="0" fontId="9" fillId="0" borderId="13"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3" fillId="3" borderId="28" xfId="0" applyFont="1" applyFill="1" applyBorder="1" applyAlignment="1">
      <alignment horizontal="center" vertical="center"/>
    </xf>
    <xf numFmtId="0" fontId="9" fillId="3" borderId="45" xfId="0" applyFont="1" applyFill="1" applyBorder="1" applyAlignment="1">
      <alignment horizontal="center" vertical="center" wrapText="1"/>
    </xf>
    <xf numFmtId="0" fontId="3" fillId="3" borderId="38" xfId="0" applyFont="1" applyFill="1" applyBorder="1" applyAlignment="1">
      <alignment vertical="center" wrapText="1"/>
    </xf>
    <xf numFmtId="0" fontId="9" fillId="3" borderId="13" xfId="0" applyFont="1" applyFill="1" applyBorder="1" applyAlignment="1">
      <alignment horizontal="center" vertical="center" wrapText="1"/>
    </xf>
    <xf numFmtId="0" fontId="9" fillId="3" borderId="1" xfId="0" applyFont="1" applyFill="1" applyBorder="1" applyAlignment="1">
      <alignment vertical="center" wrapText="1"/>
    </xf>
    <xf numFmtId="0" fontId="0" fillId="0" borderId="1" xfId="0" applyFont="1" applyFill="1" applyBorder="1" applyAlignment="1">
      <alignment horizontal="center" vertical="center"/>
    </xf>
    <xf numFmtId="164" fontId="0" fillId="0" borderId="1" xfId="2" applyNumberFormat="1" applyFont="1" applyBorder="1" applyAlignment="1">
      <alignment horizontal="center" vertical="center"/>
    </xf>
    <xf numFmtId="1" fontId="0" fillId="0" borderId="1" xfId="0" applyNumberFormat="1" applyFont="1" applyBorder="1" applyAlignment="1">
      <alignment horizontal="center" vertical="center"/>
    </xf>
    <xf numFmtId="164" fontId="0" fillId="0" borderId="21" xfId="2" applyNumberFormat="1" applyFont="1" applyBorder="1" applyAlignment="1">
      <alignment horizontal="center" vertical="center"/>
    </xf>
    <xf numFmtId="0" fontId="0" fillId="0" borderId="13" xfId="0" applyFont="1" applyBorder="1" applyAlignment="1">
      <alignment vertical="center" wrapText="1"/>
    </xf>
    <xf numFmtId="0" fontId="0" fillId="0" borderId="2" xfId="0" applyFont="1" applyFill="1" applyBorder="1" applyAlignment="1">
      <alignment horizontal="center" vertical="center"/>
    </xf>
    <xf numFmtId="0" fontId="3" fillId="0" borderId="0" xfId="0" applyFont="1" applyBorder="1" applyAlignment="1">
      <alignment vertical="center" wrapText="1"/>
    </xf>
    <xf numFmtId="2" fontId="0" fillId="0" borderId="1" xfId="0" applyNumberFormat="1" applyFont="1" applyBorder="1" applyAlignment="1">
      <alignment horizontal="center" vertical="center"/>
    </xf>
    <xf numFmtId="0" fontId="0" fillId="0" borderId="1" xfId="0" applyFont="1" applyFill="1" applyBorder="1" applyAlignment="1">
      <alignment vertical="center" wrapText="1"/>
    </xf>
    <xf numFmtId="0" fontId="0" fillId="0" borderId="0" xfId="0" applyFont="1" applyFill="1" applyBorder="1" applyAlignment="1">
      <alignment vertical="center" wrapText="1"/>
    </xf>
    <xf numFmtId="0" fontId="3" fillId="0" borderId="38" xfId="0" applyFont="1" applyFill="1" applyBorder="1" applyAlignment="1">
      <alignment vertical="center" wrapText="1"/>
    </xf>
    <xf numFmtId="0" fontId="3" fillId="0" borderId="13" xfId="0" applyFont="1" applyFill="1" applyBorder="1" applyAlignment="1">
      <alignment vertical="center" wrapText="1"/>
    </xf>
    <xf numFmtId="0" fontId="0" fillId="0" borderId="38" xfId="0" applyFont="1" applyFill="1" applyBorder="1" applyAlignment="1">
      <alignment vertical="center" wrapText="1"/>
    </xf>
    <xf numFmtId="0" fontId="3" fillId="0" borderId="8" xfId="0" applyFont="1" applyFill="1" applyBorder="1" applyAlignment="1">
      <alignment vertical="center" wrapText="1"/>
    </xf>
    <xf numFmtId="0" fontId="24" fillId="2" borderId="5" xfId="0" applyFont="1" applyFill="1" applyBorder="1" applyAlignment="1">
      <alignment horizontal="center" vertical="center" wrapText="1"/>
    </xf>
    <xf numFmtId="0" fontId="24" fillId="2" borderId="5" xfId="0" applyFont="1" applyFill="1" applyBorder="1" applyAlignment="1">
      <alignment horizontal="center" vertical="center"/>
    </xf>
    <xf numFmtId="1" fontId="24" fillId="2" borderId="5" xfId="0" applyNumberFormat="1" applyFont="1" applyFill="1" applyBorder="1" applyAlignment="1">
      <alignment horizontal="center" vertical="center" wrapText="1"/>
    </xf>
    <xf numFmtId="0" fontId="24" fillId="2" borderId="3"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5" xfId="0" applyFont="1" applyFill="1" applyBorder="1" applyAlignment="1">
      <alignment horizontal="center" vertical="center"/>
    </xf>
    <xf numFmtId="0" fontId="25" fillId="2" borderId="3" xfId="0" applyFont="1" applyFill="1" applyBorder="1" applyAlignment="1">
      <alignment horizontal="center" vertical="center" wrapText="1"/>
    </xf>
    <xf numFmtId="0" fontId="27" fillId="0" borderId="0" xfId="4" applyFont="1"/>
    <xf numFmtId="0" fontId="28" fillId="0" borderId="0" xfId="4" applyFont="1" applyAlignment="1"/>
    <xf numFmtId="0" fontId="27" fillId="0" borderId="0" xfId="4" applyFont="1" applyAlignment="1">
      <alignment horizontal="left"/>
    </xf>
    <xf numFmtId="0" fontId="27" fillId="0" borderId="0" xfId="4" applyFont="1" applyAlignment="1">
      <alignment vertical="center"/>
    </xf>
    <xf numFmtId="0" fontId="27" fillId="0" borderId="0" xfId="4" applyFont="1" applyAlignment="1">
      <alignment horizontal="center" vertical="center"/>
    </xf>
    <xf numFmtId="0" fontId="30" fillId="0" borderId="0" xfId="4" applyFont="1"/>
    <xf numFmtId="0" fontId="31" fillId="0" borderId="0" xfId="4" applyFont="1" applyAlignment="1"/>
    <xf numFmtId="0" fontId="27" fillId="0" borderId="0" xfId="5" applyFont="1"/>
    <xf numFmtId="0" fontId="28" fillId="0" borderId="0" xfId="5" applyFont="1" applyAlignment="1"/>
    <xf numFmtId="0" fontId="27" fillId="0" borderId="0" xfId="5" applyFont="1" applyAlignment="1">
      <alignment horizontal="left"/>
    </xf>
    <xf numFmtId="0" fontId="32" fillId="0" borderId="0" xfId="0" applyFont="1" applyAlignment="1">
      <alignment horizontal="center"/>
    </xf>
    <xf numFmtId="0" fontId="32" fillId="0" borderId="0" xfId="0" applyFont="1" applyAlignment="1">
      <alignment horizontal="center" vertical="center"/>
    </xf>
    <xf numFmtId="0" fontId="27" fillId="0" borderId="0" xfId="5" applyFont="1" applyAlignment="1">
      <alignment vertical="center"/>
    </xf>
    <xf numFmtId="0" fontId="29" fillId="0" borderId="0" xfId="0" applyNumberFormat="1" applyFont="1" applyAlignment="1">
      <alignment horizontal="center"/>
    </xf>
    <xf numFmtId="0" fontId="32" fillId="0" borderId="0" xfId="5" applyFont="1"/>
    <xf numFmtId="0" fontId="33" fillId="0" borderId="0" xfId="0" applyFont="1" applyAlignment="1">
      <alignment horizontal="center"/>
    </xf>
    <xf numFmtId="0" fontId="34" fillId="0" borderId="0" xfId="0" applyNumberFormat="1" applyFont="1" applyAlignment="1">
      <alignment horizontal="center"/>
    </xf>
    <xf numFmtId="0" fontId="27" fillId="0" borderId="0" xfId="0" applyFont="1"/>
    <xf numFmtId="0" fontId="35" fillId="0" borderId="0" xfId="0" applyFont="1" applyAlignment="1">
      <alignment horizontal="left"/>
    </xf>
    <xf numFmtId="0" fontId="5" fillId="2" borderId="3" xfId="4" applyFont="1" applyFill="1" applyBorder="1" applyAlignment="1">
      <alignment horizontal="right" vertical="top"/>
    </xf>
    <xf numFmtId="0" fontId="5" fillId="2" borderId="6" xfId="4" applyFont="1" applyFill="1" applyBorder="1" applyAlignment="1">
      <alignment horizontal="right" vertical="top"/>
    </xf>
    <xf numFmtId="164" fontId="5" fillId="2" borderId="3" xfId="2" applyNumberFormat="1" applyFont="1" applyFill="1" applyBorder="1" applyAlignment="1">
      <alignment horizontal="center" vertical="top"/>
    </xf>
    <xf numFmtId="164" fontId="5" fillId="2" borderId="4" xfId="2" applyNumberFormat="1" applyFont="1" applyFill="1" applyBorder="1" applyAlignment="1">
      <alignment horizontal="center" vertical="top"/>
    </xf>
    <xf numFmtId="0" fontId="5" fillId="2" borderId="4" xfId="4" applyFont="1" applyFill="1" applyBorder="1" applyAlignment="1">
      <alignment horizontal="right" vertical="top"/>
    </xf>
    <xf numFmtId="0" fontId="1" fillId="0" borderId="7" xfId="0" applyFont="1" applyBorder="1" applyAlignment="1">
      <alignment horizontal="center" vertical="center"/>
    </xf>
    <xf numFmtId="0" fontId="1" fillId="0" borderId="2" xfId="0" applyFont="1" applyBorder="1" applyAlignment="1">
      <alignment horizontal="center" vertical="center"/>
    </xf>
    <xf numFmtId="0" fontId="1" fillId="2" borderId="9" xfId="0" applyFont="1" applyFill="1" applyBorder="1" applyAlignment="1">
      <alignment horizontal="left"/>
    </xf>
    <xf numFmtId="0" fontId="1" fillId="2" borderId="10" xfId="0" applyFont="1" applyFill="1" applyBorder="1" applyAlignment="1">
      <alignment horizontal="left"/>
    </xf>
    <xf numFmtId="0" fontId="5" fillId="2" borderId="30" xfId="4" applyFont="1" applyFill="1" applyBorder="1" applyAlignment="1">
      <alignment horizontal="right" vertical="top"/>
    </xf>
    <xf numFmtId="0" fontId="5" fillId="2" borderId="31" xfId="4" applyFont="1" applyFill="1" applyBorder="1" applyAlignment="1">
      <alignment horizontal="right" vertical="top"/>
    </xf>
    <xf numFmtId="0" fontId="27" fillId="0" borderId="0" xfId="4" applyFont="1" applyAlignment="1">
      <alignment horizontal="left" vertical="center"/>
    </xf>
    <xf numFmtId="0" fontId="1" fillId="0" borderId="3" xfId="0" applyFont="1" applyBorder="1" applyAlignment="1">
      <alignment horizontal="center"/>
    </xf>
    <xf numFmtId="0" fontId="1" fillId="0" borderId="4" xfId="0" applyFont="1" applyBorder="1" applyAlignment="1">
      <alignment horizontal="center"/>
    </xf>
    <xf numFmtId="0" fontId="1" fillId="2" borderId="17" xfId="0" applyFont="1" applyFill="1" applyBorder="1" applyAlignment="1">
      <alignment horizontal="left"/>
    </xf>
    <xf numFmtId="0" fontId="1" fillId="2" borderId="18" xfId="0" applyFont="1" applyFill="1" applyBorder="1" applyAlignment="1">
      <alignment horizontal="left"/>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11" xfId="0" applyFont="1" applyFill="1" applyBorder="1" applyAlignment="1">
      <alignment horizontal="left"/>
    </xf>
    <xf numFmtId="0" fontId="1" fillId="2" borderId="12" xfId="0" applyFont="1" applyFill="1" applyBorder="1" applyAlignment="1">
      <alignment horizontal="left"/>
    </xf>
    <xf numFmtId="0" fontId="1" fillId="0" borderId="20" xfId="0" applyFont="1" applyBorder="1" applyAlignment="1">
      <alignment horizontal="center" vertical="center"/>
    </xf>
    <xf numFmtId="0" fontId="1" fillId="0" borderId="1" xfId="0" applyFont="1" applyBorder="1" applyAlignment="1">
      <alignment horizontal="center" vertical="center"/>
    </xf>
    <xf numFmtId="0" fontId="10" fillId="2" borderId="9" xfId="0" applyFont="1" applyFill="1" applyBorder="1" applyAlignment="1">
      <alignment horizontal="left" vertical="center" wrapText="1"/>
    </xf>
    <xf numFmtId="0" fontId="10" fillId="2" borderId="10" xfId="0" applyFont="1" applyFill="1" applyBorder="1" applyAlignment="1">
      <alignment horizontal="left" vertical="center" wrapText="1"/>
    </xf>
    <xf numFmtId="0" fontId="27" fillId="0" borderId="0" xfId="5" applyFont="1" applyAlignment="1">
      <alignment horizontal="left" vertical="center"/>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0" borderId="35" xfId="0" applyFont="1" applyBorder="1" applyAlignment="1">
      <alignment horizontal="center"/>
    </xf>
    <xf numFmtId="0" fontId="1" fillId="0" borderId="28" xfId="0" applyFont="1" applyBorder="1" applyAlignment="1">
      <alignment horizontal="center"/>
    </xf>
    <xf numFmtId="0" fontId="5" fillId="2" borderId="30" xfId="5" applyFont="1" applyFill="1" applyBorder="1" applyAlignment="1">
      <alignment horizontal="right" vertical="top"/>
    </xf>
    <xf numFmtId="0" fontId="5" fillId="2" borderId="31" xfId="5" applyFont="1" applyFill="1" applyBorder="1" applyAlignment="1">
      <alignment horizontal="right" vertical="top"/>
    </xf>
    <xf numFmtId="0" fontId="5" fillId="2" borderId="33" xfId="5" applyFont="1" applyFill="1" applyBorder="1" applyAlignment="1">
      <alignment horizontal="right" vertical="top"/>
    </xf>
    <xf numFmtId="164" fontId="5" fillId="2" borderId="30" xfId="2" applyNumberFormat="1" applyFont="1" applyFill="1" applyBorder="1" applyAlignment="1">
      <alignment horizontal="center" vertical="top"/>
    </xf>
    <xf numFmtId="164" fontId="5" fillId="2" borderId="33" xfId="2" applyNumberFormat="1" applyFont="1" applyFill="1" applyBorder="1" applyAlignment="1">
      <alignment horizontal="center" vertical="top"/>
    </xf>
    <xf numFmtId="0" fontId="5" fillId="2" borderId="3" xfId="5" applyFont="1" applyFill="1" applyBorder="1" applyAlignment="1">
      <alignment horizontal="right" vertical="top"/>
    </xf>
    <xf numFmtId="0" fontId="5" fillId="2" borderId="6" xfId="5" applyFont="1" applyFill="1" applyBorder="1" applyAlignment="1">
      <alignment horizontal="right" vertical="top"/>
    </xf>
    <xf numFmtId="0" fontId="5" fillId="2" borderId="4" xfId="5" applyFont="1" applyFill="1" applyBorder="1" applyAlignment="1">
      <alignment horizontal="right" vertical="top"/>
    </xf>
    <xf numFmtId="0" fontId="1" fillId="0" borderId="3" xfId="0" applyFont="1" applyBorder="1" applyAlignment="1">
      <alignment horizontal="left"/>
    </xf>
    <xf numFmtId="0" fontId="1" fillId="0" borderId="6" xfId="0" applyFont="1" applyBorder="1" applyAlignment="1">
      <alignment horizontal="left"/>
    </xf>
    <xf numFmtId="0" fontId="1" fillId="0" borderId="4" xfId="0" applyFont="1" applyBorder="1" applyAlignment="1">
      <alignment horizontal="left"/>
    </xf>
    <xf numFmtId="0" fontId="13" fillId="0" borderId="40" xfId="0" applyFont="1" applyBorder="1" applyAlignment="1">
      <alignment horizontal="left" vertical="center"/>
    </xf>
    <xf numFmtId="0" fontId="13" fillId="0" borderId="41" xfId="0" applyFont="1" applyBorder="1" applyAlignment="1">
      <alignment horizontal="left" vertical="center"/>
    </xf>
    <xf numFmtId="0" fontId="13" fillId="0" borderId="42" xfId="0" applyFont="1" applyBorder="1" applyAlignment="1">
      <alignment horizontal="left" vertical="center"/>
    </xf>
    <xf numFmtId="0" fontId="13" fillId="0" borderId="7" xfId="0" applyFont="1" applyBorder="1" applyAlignment="1">
      <alignment horizontal="left" vertical="center"/>
    </xf>
    <xf numFmtId="0" fontId="13" fillId="0" borderId="43" xfId="0" applyFont="1" applyBorder="1" applyAlignment="1">
      <alignment horizontal="left" vertical="center"/>
    </xf>
    <xf numFmtId="0" fontId="13" fillId="0" borderId="44" xfId="0" applyFont="1" applyBorder="1" applyAlignment="1">
      <alignment horizontal="left" vertical="center"/>
    </xf>
    <xf numFmtId="0" fontId="3" fillId="0" borderId="3" xfId="0" applyFont="1" applyBorder="1" applyAlignment="1">
      <alignment horizontal="left"/>
    </xf>
    <xf numFmtId="0" fontId="3" fillId="0" borderId="6" xfId="0" applyFont="1" applyBorder="1" applyAlignment="1">
      <alignment horizontal="left"/>
    </xf>
    <xf numFmtId="0" fontId="3" fillId="0" borderId="4" xfId="0" applyFont="1" applyBorder="1" applyAlignment="1">
      <alignment horizontal="left"/>
    </xf>
    <xf numFmtId="0" fontId="1" fillId="0" borderId="39" xfId="0" applyFont="1" applyBorder="1" applyAlignment="1">
      <alignment horizontal="left"/>
    </xf>
    <xf numFmtId="0" fontId="7" fillId="0" borderId="0" xfId="5" applyFont="1" applyAlignment="1">
      <alignment horizontal="left" vertical="center"/>
    </xf>
    <xf numFmtId="0" fontId="11" fillId="0" borderId="3" xfId="0" applyFont="1" applyBorder="1" applyAlignment="1">
      <alignment horizontal="center"/>
    </xf>
    <xf numFmtId="0" fontId="11" fillId="0" borderId="4" xfId="0" applyFont="1" applyBorder="1" applyAlignment="1">
      <alignment horizontal="center"/>
    </xf>
    <xf numFmtId="0" fontId="19" fillId="2" borderId="3" xfId="0" applyFont="1" applyFill="1" applyBorder="1" applyAlignment="1">
      <alignment horizontal="left" vertical="center" wrapText="1"/>
    </xf>
    <xf numFmtId="0" fontId="19" fillId="2" borderId="4" xfId="0" applyFont="1" applyFill="1" applyBorder="1" applyAlignment="1">
      <alignment horizontal="left" vertical="center" wrapText="1"/>
    </xf>
    <xf numFmtId="0" fontId="26" fillId="0" borderId="3" xfId="0" applyFont="1" applyBorder="1" applyAlignment="1">
      <alignment horizontal="center"/>
    </xf>
    <xf numFmtId="0" fontId="26" fillId="0" borderId="4" xfId="0" applyFont="1" applyBorder="1" applyAlignment="1">
      <alignment horizontal="center"/>
    </xf>
    <xf numFmtId="0" fontId="17" fillId="2" borderId="3" xfId="0" applyFont="1" applyFill="1" applyBorder="1" applyAlignment="1">
      <alignment horizontal="left" vertical="center" wrapText="1"/>
    </xf>
    <xf numFmtId="0" fontId="17" fillId="2" borderId="4" xfId="0" applyFont="1" applyFill="1" applyBorder="1" applyAlignment="1">
      <alignment horizontal="left" vertical="center" wrapText="1"/>
    </xf>
    <xf numFmtId="0" fontId="22" fillId="0" borderId="39" xfId="0" applyFont="1" applyBorder="1" applyAlignment="1">
      <alignment horizontal="left"/>
    </xf>
    <xf numFmtId="0" fontId="22" fillId="0" borderId="6" xfId="0" applyFont="1" applyBorder="1" applyAlignment="1">
      <alignment horizontal="left"/>
    </xf>
    <xf numFmtId="0" fontId="22" fillId="0" borderId="4" xfId="0" applyFont="1" applyBorder="1" applyAlignment="1">
      <alignment horizontal="left"/>
    </xf>
    <xf numFmtId="0" fontId="21" fillId="2" borderId="30" xfId="5" applyFont="1" applyFill="1" applyBorder="1" applyAlignment="1">
      <alignment horizontal="right" vertical="top"/>
    </xf>
    <xf numFmtId="0" fontId="21" fillId="2" borderId="31" xfId="5" applyFont="1" applyFill="1" applyBorder="1" applyAlignment="1">
      <alignment horizontal="right" vertical="top"/>
    </xf>
    <xf numFmtId="0" fontId="21" fillId="2" borderId="33" xfId="5" applyFont="1" applyFill="1" applyBorder="1" applyAlignment="1">
      <alignment horizontal="right" vertical="top"/>
    </xf>
    <xf numFmtId="164" fontId="21" fillId="2" borderId="30" xfId="2" applyNumberFormat="1" applyFont="1" applyFill="1" applyBorder="1" applyAlignment="1">
      <alignment horizontal="center" vertical="top"/>
    </xf>
    <xf numFmtId="164" fontId="21" fillId="2" borderId="33" xfId="2" applyNumberFormat="1" applyFont="1" applyFill="1" applyBorder="1" applyAlignment="1">
      <alignment horizontal="center" vertical="top"/>
    </xf>
    <xf numFmtId="0" fontId="21" fillId="2" borderId="3" xfId="5" applyFont="1" applyFill="1" applyBorder="1" applyAlignment="1">
      <alignment horizontal="right" vertical="top"/>
    </xf>
    <xf numFmtId="0" fontId="21" fillId="2" borderId="6" xfId="5" applyFont="1" applyFill="1" applyBorder="1" applyAlignment="1">
      <alignment horizontal="right" vertical="top"/>
    </xf>
    <xf numFmtId="0" fontId="21" fillId="2" borderId="4" xfId="5" applyFont="1" applyFill="1" applyBorder="1" applyAlignment="1">
      <alignment horizontal="right" vertical="top"/>
    </xf>
    <xf numFmtId="164" fontId="21" fillId="2" borderId="3" xfId="2" applyNumberFormat="1" applyFont="1" applyFill="1" applyBorder="1" applyAlignment="1">
      <alignment horizontal="center" vertical="top"/>
    </xf>
    <xf numFmtId="164" fontId="21" fillId="2" borderId="4" xfId="2" applyNumberFormat="1" applyFont="1" applyFill="1" applyBorder="1" applyAlignment="1">
      <alignment horizontal="center" vertical="top"/>
    </xf>
    <xf numFmtId="0" fontId="14" fillId="0" borderId="3" xfId="0" applyFont="1" applyBorder="1" applyAlignment="1">
      <alignment horizontal="left"/>
    </xf>
    <xf numFmtId="0" fontId="14" fillId="0" borderId="6" xfId="0" applyFont="1" applyBorder="1" applyAlignment="1">
      <alignment horizontal="left"/>
    </xf>
    <xf numFmtId="0" fontId="14" fillId="0" borderId="4" xfId="0" applyFont="1" applyBorder="1" applyAlignment="1">
      <alignment horizontal="left"/>
    </xf>
    <xf numFmtId="0" fontId="22" fillId="0" borderId="3" xfId="0" applyFont="1" applyBorder="1" applyAlignment="1">
      <alignment horizontal="left"/>
    </xf>
    <xf numFmtId="0" fontId="23" fillId="0" borderId="47" xfId="0" applyFont="1" applyBorder="1" applyAlignment="1">
      <alignment horizontal="left" vertical="center"/>
    </xf>
    <xf numFmtId="0" fontId="23" fillId="0" borderId="48" xfId="0" applyFont="1" applyBorder="1" applyAlignment="1">
      <alignment horizontal="left" vertical="center"/>
    </xf>
    <xf numFmtId="0" fontId="23" fillId="0" borderId="49" xfId="0" applyFont="1" applyBorder="1" applyAlignment="1">
      <alignment horizontal="left" vertical="center"/>
    </xf>
    <xf numFmtId="0" fontId="23" fillId="0" borderId="7" xfId="0" applyFont="1" applyBorder="1" applyAlignment="1">
      <alignment horizontal="left" vertical="center"/>
    </xf>
    <xf numFmtId="0" fontId="23" fillId="0" borderId="43" xfId="0" applyFont="1" applyBorder="1" applyAlignment="1">
      <alignment horizontal="left" vertical="center"/>
    </xf>
    <xf numFmtId="0" fontId="23" fillId="0" borderId="44" xfId="0" applyFont="1" applyBorder="1" applyAlignment="1">
      <alignment horizontal="left" vertical="center"/>
    </xf>
    <xf numFmtId="0" fontId="10" fillId="2" borderId="11"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cellXfs>
  <cellStyles count="6">
    <cellStyle name="Currency" xfId="2" builtinId="4"/>
    <cellStyle name="Normal" xfId="0" builtinId="0"/>
    <cellStyle name="Normal 2" xfId="4"/>
    <cellStyle name="Normal 2 2" xfId="5"/>
    <cellStyle name="Normal 5" xfId="1"/>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1"/>
  <sheetViews>
    <sheetView view="pageBreakPreview" zoomScale="70" zoomScaleNormal="120" zoomScaleSheetLayoutView="70" workbookViewId="0"/>
  </sheetViews>
  <sheetFormatPr defaultColWidth="8.81640625" defaultRowHeight="14.5" x14ac:dyDescent="0.35"/>
  <cols>
    <col min="1" max="1" width="6.26953125" style="15" customWidth="1"/>
    <col min="2" max="2" width="62.26953125" style="56" customWidth="1"/>
    <col min="3" max="3" width="9.7265625" style="19" bestFit="1" customWidth="1"/>
    <col min="4" max="4" width="13.7265625" style="15" customWidth="1"/>
    <col min="5" max="5" width="10.453125" style="14" bestFit="1" customWidth="1"/>
    <col min="6" max="6" width="5.453125" style="15" bestFit="1" customWidth="1"/>
    <col min="7" max="7" width="6.26953125" style="15" bestFit="1" customWidth="1"/>
    <col min="8" max="8" width="10.7265625" style="15" bestFit="1" customWidth="1"/>
    <col min="9" max="9" width="12" style="15" bestFit="1" customWidth="1"/>
    <col min="10" max="11" width="10.453125" style="15" bestFit="1" customWidth="1"/>
    <col min="12" max="12" width="9.1796875" style="15" customWidth="1"/>
    <col min="13" max="16384" width="8.81640625" style="15"/>
  </cols>
  <sheetData>
    <row r="1" spans="1:12" ht="28.5" x14ac:dyDescent="0.65">
      <c r="A1" s="343"/>
      <c r="B1" s="344"/>
      <c r="C1" s="340" t="s">
        <v>162</v>
      </c>
      <c r="D1" s="340"/>
    </row>
    <row r="2" spans="1:12" ht="15.5" x14ac:dyDescent="0.35">
      <c r="A2" s="338"/>
      <c r="B2" s="339"/>
      <c r="C2" s="368" t="s">
        <v>163</v>
      </c>
      <c r="D2" s="341"/>
    </row>
    <row r="3" spans="1:12" ht="16" thickBot="1" x14ac:dyDescent="0.4">
      <c r="A3" s="338"/>
      <c r="B3" s="339"/>
      <c r="C3" s="368"/>
      <c r="D3" s="341"/>
    </row>
    <row r="4" spans="1:12" ht="19" thickBot="1" x14ac:dyDescent="0.5">
      <c r="A4" s="340"/>
      <c r="B4" s="339"/>
      <c r="C4" s="341" t="s">
        <v>4</v>
      </c>
      <c r="D4" s="342">
        <v>0</v>
      </c>
      <c r="E4" s="18"/>
      <c r="F4" s="19"/>
      <c r="G4" s="20"/>
      <c r="H4" s="20"/>
      <c r="I4" s="20"/>
      <c r="J4" s="369" t="s">
        <v>5</v>
      </c>
      <c r="K4" s="370"/>
      <c r="L4" s="82"/>
    </row>
    <row r="5" spans="1:12" ht="49.5" customHeight="1" thickBot="1" x14ac:dyDescent="0.4">
      <c r="A5" s="331" t="s">
        <v>6</v>
      </c>
      <c r="B5" s="332" t="s">
        <v>0</v>
      </c>
      <c r="C5" s="332" t="s">
        <v>1</v>
      </c>
      <c r="D5" s="331" t="s">
        <v>7</v>
      </c>
      <c r="E5" s="333" t="s">
        <v>2</v>
      </c>
      <c r="F5" s="331" t="s">
        <v>8</v>
      </c>
      <c r="G5" s="331" t="s">
        <v>9</v>
      </c>
      <c r="H5" s="334" t="s">
        <v>10</v>
      </c>
      <c r="I5" s="334" t="s">
        <v>11</v>
      </c>
      <c r="J5" s="334" t="s">
        <v>12</v>
      </c>
      <c r="K5" s="334" t="s">
        <v>13</v>
      </c>
      <c r="L5" s="331" t="s">
        <v>3</v>
      </c>
    </row>
    <row r="6" spans="1:12" ht="15" thickBot="1" x14ac:dyDescent="0.4">
      <c r="A6" s="371" t="s">
        <v>87</v>
      </c>
      <c r="B6" s="372"/>
      <c r="C6" s="77"/>
      <c r="D6" s="79"/>
      <c r="E6" s="78"/>
      <c r="F6" s="79"/>
      <c r="G6" s="79"/>
      <c r="H6" s="79"/>
      <c r="I6" s="79"/>
      <c r="J6" s="80"/>
      <c r="K6" s="80"/>
      <c r="L6" s="81"/>
    </row>
    <row r="7" spans="1:12" ht="15" thickBot="1" x14ac:dyDescent="0.4">
      <c r="A7" s="364" t="s">
        <v>164</v>
      </c>
      <c r="B7" s="365"/>
      <c r="C7" s="176"/>
      <c r="D7" s="177"/>
      <c r="E7" s="178"/>
      <c r="F7" s="179"/>
      <c r="G7" s="180"/>
      <c r="H7" s="180"/>
      <c r="I7" s="180"/>
      <c r="J7" s="181"/>
      <c r="K7" s="181"/>
      <c r="L7" s="182"/>
    </row>
    <row r="8" spans="1:12" x14ac:dyDescent="0.35">
      <c r="A8" s="63">
        <v>1</v>
      </c>
      <c r="B8" s="172" t="s">
        <v>88</v>
      </c>
      <c r="C8" s="173">
        <v>54</v>
      </c>
      <c r="D8" s="174">
        <v>0.1</v>
      </c>
      <c r="E8" s="175">
        <f>C8*(1+D8)</f>
        <v>59.400000000000006</v>
      </c>
      <c r="F8" s="161" t="s">
        <v>17</v>
      </c>
      <c r="G8" s="162"/>
      <c r="H8" s="163">
        <f>G8*E8</f>
        <v>0</v>
      </c>
      <c r="I8" s="164">
        <f>L$4</f>
        <v>0</v>
      </c>
      <c r="J8" s="165">
        <v>11.880000000000003</v>
      </c>
      <c r="K8" s="166">
        <f>J8*I8</f>
        <v>0</v>
      </c>
      <c r="L8" s="167">
        <f>K8+H8</f>
        <v>0</v>
      </c>
    </row>
    <row r="9" spans="1:12" x14ac:dyDescent="0.35">
      <c r="A9" s="60">
        <v>2</v>
      </c>
      <c r="B9" s="25" t="s">
        <v>89</v>
      </c>
      <c r="C9" s="27">
        <v>63</v>
      </c>
      <c r="D9" s="22">
        <v>0.1</v>
      </c>
      <c r="E9" s="23">
        <f>C9*(1+D9)</f>
        <v>69.300000000000011</v>
      </c>
      <c r="F9" s="24" t="s">
        <v>17</v>
      </c>
      <c r="G9" s="57"/>
      <c r="H9" s="103">
        <f t="shared" ref="H9:H14" si="0">G9*E9</f>
        <v>0</v>
      </c>
      <c r="I9" s="104">
        <f t="shared" ref="I9:I14" si="1">L$4</f>
        <v>0</v>
      </c>
      <c r="J9" s="113">
        <v>13.860000000000003</v>
      </c>
      <c r="K9" s="105">
        <f t="shared" ref="K9:K14" si="2">J9*I9</f>
        <v>0</v>
      </c>
      <c r="L9" s="106">
        <f t="shared" ref="L9:L14" si="3">K9+H9</f>
        <v>0</v>
      </c>
    </row>
    <row r="10" spans="1:12" x14ac:dyDescent="0.35">
      <c r="A10" s="60">
        <v>3</v>
      </c>
      <c r="B10" s="26" t="s">
        <v>187</v>
      </c>
      <c r="C10" s="24">
        <v>2</v>
      </c>
      <c r="D10" s="22">
        <v>0</v>
      </c>
      <c r="E10" s="23">
        <f t="shared" ref="E10:E14" si="4">C10*(1+D10)</f>
        <v>2</v>
      </c>
      <c r="F10" s="24" t="s">
        <v>18</v>
      </c>
      <c r="G10" s="57"/>
      <c r="H10" s="103">
        <f t="shared" si="0"/>
        <v>0</v>
      </c>
      <c r="I10" s="104">
        <f t="shared" si="1"/>
        <v>0</v>
      </c>
      <c r="J10" s="24">
        <v>1</v>
      </c>
      <c r="K10" s="105">
        <f t="shared" si="2"/>
        <v>0</v>
      </c>
      <c r="L10" s="106">
        <f t="shared" si="3"/>
        <v>0</v>
      </c>
    </row>
    <row r="11" spans="1:12" x14ac:dyDescent="0.35">
      <c r="A11" s="60">
        <v>4</v>
      </c>
      <c r="B11" s="26" t="s">
        <v>19</v>
      </c>
      <c r="C11" s="24">
        <v>1</v>
      </c>
      <c r="D11" s="22">
        <v>0</v>
      </c>
      <c r="E11" s="23">
        <f t="shared" si="4"/>
        <v>1</v>
      </c>
      <c r="F11" s="24" t="s">
        <v>18</v>
      </c>
      <c r="G11" s="57"/>
      <c r="H11" s="103">
        <f t="shared" si="0"/>
        <v>0</v>
      </c>
      <c r="I11" s="104">
        <f t="shared" si="1"/>
        <v>0</v>
      </c>
      <c r="J11" s="113">
        <v>0.5</v>
      </c>
      <c r="K11" s="105">
        <f t="shared" si="2"/>
        <v>0</v>
      </c>
      <c r="L11" s="106">
        <f t="shared" si="3"/>
        <v>0</v>
      </c>
    </row>
    <row r="12" spans="1:12" x14ac:dyDescent="0.35">
      <c r="A12" s="60">
        <v>5</v>
      </c>
      <c r="B12" s="26" t="s">
        <v>85</v>
      </c>
      <c r="C12" s="24">
        <v>1</v>
      </c>
      <c r="D12" s="22">
        <v>0</v>
      </c>
      <c r="E12" s="23">
        <f t="shared" si="4"/>
        <v>1</v>
      </c>
      <c r="F12" s="24" t="s">
        <v>18</v>
      </c>
      <c r="G12" s="57"/>
      <c r="H12" s="103">
        <f t="shared" si="0"/>
        <v>0</v>
      </c>
      <c r="I12" s="104">
        <f t="shared" si="1"/>
        <v>0</v>
      </c>
      <c r="J12" s="113">
        <v>0.5</v>
      </c>
      <c r="K12" s="105">
        <f t="shared" si="2"/>
        <v>0</v>
      </c>
      <c r="L12" s="106">
        <f t="shared" si="3"/>
        <v>0</v>
      </c>
    </row>
    <row r="13" spans="1:12" x14ac:dyDescent="0.35">
      <c r="A13" s="60">
        <v>6</v>
      </c>
      <c r="B13" s="26" t="s">
        <v>188</v>
      </c>
      <c r="C13" s="24">
        <v>1</v>
      </c>
      <c r="D13" s="22">
        <v>0</v>
      </c>
      <c r="E13" s="23">
        <f t="shared" si="4"/>
        <v>1</v>
      </c>
      <c r="F13" s="24" t="s">
        <v>18</v>
      </c>
      <c r="G13" s="57"/>
      <c r="H13" s="103">
        <f t="shared" si="0"/>
        <v>0</v>
      </c>
      <c r="I13" s="104">
        <f t="shared" si="1"/>
        <v>0</v>
      </c>
      <c r="J13" s="113">
        <v>0.5</v>
      </c>
      <c r="K13" s="105">
        <f t="shared" si="2"/>
        <v>0</v>
      </c>
      <c r="L13" s="106">
        <f t="shared" si="3"/>
        <v>0</v>
      </c>
    </row>
    <row r="14" spans="1:12" x14ac:dyDescent="0.35">
      <c r="A14" s="60">
        <v>7</v>
      </c>
      <c r="B14" s="26" t="s">
        <v>189</v>
      </c>
      <c r="C14" s="24">
        <v>1</v>
      </c>
      <c r="D14" s="22">
        <v>0</v>
      </c>
      <c r="E14" s="23">
        <f t="shared" si="4"/>
        <v>1</v>
      </c>
      <c r="F14" s="24" t="s">
        <v>18</v>
      </c>
      <c r="G14" s="57"/>
      <c r="H14" s="103">
        <f t="shared" si="0"/>
        <v>0</v>
      </c>
      <c r="I14" s="104">
        <f t="shared" si="1"/>
        <v>0</v>
      </c>
      <c r="J14" s="113">
        <v>0.5</v>
      </c>
      <c r="K14" s="105">
        <f t="shared" si="2"/>
        <v>0</v>
      </c>
      <c r="L14" s="106">
        <f t="shared" si="3"/>
        <v>0</v>
      </c>
    </row>
    <row r="15" spans="1:12" x14ac:dyDescent="0.35">
      <c r="A15" s="61"/>
      <c r="B15" s="29" t="s">
        <v>90</v>
      </c>
      <c r="C15" s="30"/>
      <c r="D15" s="22"/>
      <c r="E15" s="23"/>
      <c r="F15" s="24"/>
      <c r="G15" s="26"/>
      <c r="H15" s="24"/>
      <c r="I15" s="24"/>
      <c r="J15" s="24"/>
      <c r="K15" s="24"/>
      <c r="L15" s="109"/>
    </row>
    <row r="16" spans="1:12" ht="15" thickBot="1" x14ac:dyDescent="0.4">
      <c r="A16" s="62"/>
      <c r="B16" s="9"/>
      <c r="C16" s="30"/>
      <c r="D16" s="22"/>
      <c r="E16" s="23"/>
      <c r="F16" s="24"/>
      <c r="G16" s="26"/>
      <c r="H16" s="24"/>
      <c r="I16" s="24"/>
      <c r="J16" s="24"/>
      <c r="K16" s="24"/>
      <c r="L16" s="109"/>
    </row>
    <row r="17" spans="1:12" ht="15" thickBot="1" x14ac:dyDescent="0.4">
      <c r="A17" s="364" t="s">
        <v>165</v>
      </c>
      <c r="B17" s="365"/>
      <c r="C17" s="21"/>
      <c r="D17" s="22"/>
      <c r="E17" s="23"/>
      <c r="F17" s="24"/>
      <c r="G17" s="25"/>
      <c r="H17" s="27"/>
      <c r="I17" s="27"/>
      <c r="J17" s="24"/>
      <c r="K17" s="24"/>
      <c r="L17" s="109"/>
    </row>
    <row r="18" spans="1:12" x14ac:dyDescent="0.35">
      <c r="A18" s="63">
        <v>1</v>
      </c>
      <c r="B18" s="31" t="s">
        <v>91</v>
      </c>
      <c r="C18" s="27">
        <v>67</v>
      </c>
      <c r="D18" s="22">
        <v>0.1</v>
      </c>
      <c r="E18" s="23">
        <f t="shared" ref="E18:E23" si="5">C18*(1+D18)</f>
        <v>73.7</v>
      </c>
      <c r="F18" s="24" t="s">
        <v>17</v>
      </c>
      <c r="G18" s="57"/>
      <c r="H18" s="103">
        <f t="shared" ref="H18:H37" si="6">G18*E18</f>
        <v>0</v>
      </c>
      <c r="I18" s="104">
        <f t="shared" ref="I18:I37" si="7">L$4</f>
        <v>0</v>
      </c>
      <c r="J18" s="113">
        <v>14.740000000000002</v>
      </c>
      <c r="K18" s="105">
        <f t="shared" ref="K18:K37" si="8">J18*I18</f>
        <v>0</v>
      </c>
      <c r="L18" s="106">
        <f t="shared" ref="L18:L37" si="9">K18+H18</f>
        <v>0</v>
      </c>
    </row>
    <row r="19" spans="1:12" x14ac:dyDescent="0.35">
      <c r="A19" s="60">
        <v>2</v>
      </c>
      <c r="B19" s="32" t="s">
        <v>92</v>
      </c>
      <c r="C19" s="27">
        <v>78</v>
      </c>
      <c r="D19" s="22">
        <v>0.1</v>
      </c>
      <c r="E19" s="23">
        <f t="shared" si="5"/>
        <v>85.800000000000011</v>
      </c>
      <c r="F19" s="24" t="s">
        <v>17</v>
      </c>
      <c r="G19" s="57"/>
      <c r="H19" s="103">
        <f t="shared" si="6"/>
        <v>0</v>
      </c>
      <c r="I19" s="104">
        <f t="shared" si="7"/>
        <v>0</v>
      </c>
      <c r="J19" s="113">
        <v>8.5800000000000018</v>
      </c>
      <c r="K19" s="105">
        <f t="shared" si="8"/>
        <v>0</v>
      </c>
      <c r="L19" s="106">
        <f t="shared" si="9"/>
        <v>0</v>
      </c>
    </row>
    <row r="20" spans="1:12" x14ac:dyDescent="0.35">
      <c r="A20" s="60">
        <v>3</v>
      </c>
      <c r="B20" s="32" t="s">
        <v>93</v>
      </c>
      <c r="C20" s="27">
        <v>66</v>
      </c>
      <c r="D20" s="22">
        <v>0.1</v>
      </c>
      <c r="E20" s="23">
        <f t="shared" si="5"/>
        <v>72.600000000000009</v>
      </c>
      <c r="F20" s="24" t="s">
        <v>17</v>
      </c>
      <c r="G20" s="57"/>
      <c r="H20" s="103">
        <f t="shared" si="6"/>
        <v>0</v>
      </c>
      <c r="I20" s="104">
        <f t="shared" si="7"/>
        <v>0</v>
      </c>
      <c r="J20" s="113">
        <v>7.2600000000000016</v>
      </c>
      <c r="K20" s="105">
        <f t="shared" si="8"/>
        <v>0</v>
      </c>
      <c r="L20" s="106">
        <f t="shared" si="9"/>
        <v>0</v>
      </c>
    </row>
    <row r="21" spans="1:12" x14ac:dyDescent="0.35">
      <c r="A21" s="60">
        <v>4</v>
      </c>
      <c r="B21" s="33" t="s">
        <v>91</v>
      </c>
      <c r="C21" s="27">
        <v>23</v>
      </c>
      <c r="D21" s="22">
        <v>0.1</v>
      </c>
      <c r="E21" s="23">
        <f t="shared" si="5"/>
        <v>25.3</v>
      </c>
      <c r="F21" s="24" t="s">
        <v>17</v>
      </c>
      <c r="G21" s="57"/>
      <c r="H21" s="103">
        <f t="shared" si="6"/>
        <v>0</v>
      </c>
      <c r="I21" s="104">
        <f t="shared" si="7"/>
        <v>0</v>
      </c>
      <c r="J21" s="113">
        <v>5.0600000000000005</v>
      </c>
      <c r="K21" s="105">
        <f t="shared" si="8"/>
        <v>0</v>
      </c>
      <c r="L21" s="106">
        <f t="shared" si="9"/>
        <v>0</v>
      </c>
    </row>
    <row r="22" spans="1:12" x14ac:dyDescent="0.35">
      <c r="A22" s="60">
        <v>5</v>
      </c>
      <c r="B22" s="33" t="s">
        <v>94</v>
      </c>
      <c r="C22" s="27">
        <v>69</v>
      </c>
      <c r="D22" s="22">
        <v>0.1</v>
      </c>
      <c r="E22" s="23">
        <f t="shared" si="5"/>
        <v>75.900000000000006</v>
      </c>
      <c r="F22" s="24" t="s">
        <v>17</v>
      </c>
      <c r="G22" s="57"/>
      <c r="H22" s="103">
        <f t="shared" si="6"/>
        <v>0</v>
      </c>
      <c r="I22" s="104">
        <f t="shared" si="7"/>
        <v>0</v>
      </c>
      <c r="J22" s="113">
        <v>15.180000000000001</v>
      </c>
      <c r="K22" s="105">
        <f t="shared" si="8"/>
        <v>0</v>
      </c>
      <c r="L22" s="106">
        <f t="shared" si="9"/>
        <v>0</v>
      </c>
    </row>
    <row r="23" spans="1:12" x14ac:dyDescent="0.35">
      <c r="A23" s="60">
        <v>6</v>
      </c>
      <c r="B23" s="26" t="s">
        <v>187</v>
      </c>
      <c r="C23" s="24">
        <v>10</v>
      </c>
      <c r="D23" s="22">
        <v>0</v>
      </c>
      <c r="E23" s="23">
        <f t="shared" si="5"/>
        <v>10</v>
      </c>
      <c r="F23" s="24" t="s">
        <v>18</v>
      </c>
      <c r="G23" s="57"/>
      <c r="H23" s="103">
        <f t="shared" si="6"/>
        <v>0</v>
      </c>
      <c r="I23" s="104">
        <f t="shared" si="7"/>
        <v>0</v>
      </c>
      <c r="J23" s="113">
        <v>5</v>
      </c>
      <c r="K23" s="105">
        <f t="shared" si="8"/>
        <v>0</v>
      </c>
      <c r="L23" s="106">
        <f t="shared" si="9"/>
        <v>0</v>
      </c>
    </row>
    <row r="24" spans="1:12" x14ac:dyDescent="0.35">
      <c r="A24" s="60">
        <v>7</v>
      </c>
      <c r="B24" s="26" t="s">
        <v>190</v>
      </c>
      <c r="C24" s="24">
        <v>21</v>
      </c>
      <c r="D24" s="22">
        <v>0</v>
      </c>
      <c r="E24" s="23">
        <f t="shared" ref="E24:E123" si="10">C24*(1+D24)</f>
        <v>21</v>
      </c>
      <c r="F24" s="24" t="s">
        <v>18</v>
      </c>
      <c r="G24" s="57"/>
      <c r="H24" s="103">
        <f t="shared" si="6"/>
        <v>0</v>
      </c>
      <c r="I24" s="104">
        <f t="shared" si="7"/>
        <v>0</v>
      </c>
      <c r="J24" s="113">
        <v>10.5</v>
      </c>
      <c r="K24" s="105">
        <f t="shared" si="8"/>
        <v>0</v>
      </c>
      <c r="L24" s="106">
        <f t="shared" si="9"/>
        <v>0</v>
      </c>
    </row>
    <row r="25" spans="1:12" x14ac:dyDescent="0.35">
      <c r="A25" s="60">
        <v>8</v>
      </c>
      <c r="B25" s="26" t="s">
        <v>191</v>
      </c>
      <c r="C25" s="24">
        <v>2</v>
      </c>
      <c r="D25" s="22">
        <v>0</v>
      </c>
      <c r="E25" s="23">
        <f t="shared" si="10"/>
        <v>2</v>
      </c>
      <c r="F25" s="24" t="s">
        <v>18</v>
      </c>
      <c r="G25" s="57"/>
      <c r="H25" s="103">
        <f t="shared" si="6"/>
        <v>0</v>
      </c>
      <c r="I25" s="104">
        <f t="shared" si="7"/>
        <v>0</v>
      </c>
      <c r="J25" s="113">
        <v>1</v>
      </c>
      <c r="K25" s="105">
        <f t="shared" si="8"/>
        <v>0</v>
      </c>
      <c r="L25" s="106">
        <f t="shared" si="9"/>
        <v>0</v>
      </c>
    </row>
    <row r="26" spans="1:12" x14ac:dyDescent="0.35">
      <c r="A26" s="60">
        <v>9</v>
      </c>
      <c r="B26" s="26" t="s">
        <v>85</v>
      </c>
      <c r="C26" s="24">
        <v>5</v>
      </c>
      <c r="D26" s="22">
        <v>0</v>
      </c>
      <c r="E26" s="23">
        <f t="shared" si="10"/>
        <v>5</v>
      </c>
      <c r="F26" s="24" t="s">
        <v>18</v>
      </c>
      <c r="G26" s="57"/>
      <c r="H26" s="103">
        <f t="shared" si="6"/>
        <v>0</v>
      </c>
      <c r="I26" s="104">
        <f t="shared" si="7"/>
        <v>0</v>
      </c>
      <c r="J26" s="113">
        <v>2.5</v>
      </c>
      <c r="K26" s="105">
        <f t="shared" si="8"/>
        <v>0</v>
      </c>
      <c r="L26" s="106">
        <f t="shared" si="9"/>
        <v>0</v>
      </c>
    </row>
    <row r="27" spans="1:12" x14ac:dyDescent="0.35">
      <c r="A27" s="60">
        <v>10</v>
      </c>
      <c r="B27" s="34" t="s">
        <v>21</v>
      </c>
      <c r="C27" s="24">
        <v>1</v>
      </c>
      <c r="D27" s="22">
        <v>0</v>
      </c>
      <c r="E27" s="23">
        <f t="shared" si="10"/>
        <v>1</v>
      </c>
      <c r="F27" s="24" t="s">
        <v>18</v>
      </c>
      <c r="G27" s="57"/>
      <c r="H27" s="103">
        <f t="shared" si="6"/>
        <v>0</v>
      </c>
      <c r="I27" s="104">
        <f t="shared" si="7"/>
        <v>0</v>
      </c>
      <c r="J27" s="113">
        <v>0.5</v>
      </c>
      <c r="K27" s="105">
        <f t="shared" si="8"/>
        <v>0</v>
      </c>
      <c r="L27" s="106">
        <f t="shared" si="9"/>
        <v>0</v>
      </c>
    </row>
    <row r="28" spans="1:12" x14ac:dyDescent="0.35">
      <c r="A28" s="60">
        <v>11</v>
      </c>
      <c r="B28" s="34" t="s">
        <v>22</v>
      </c>
      <c r="C28" s="24">
        <v>1</v>
      </c>
      <c r="D28" s="22">
        <v>0</v>
      </c>
      <c r="E28" s="23">
        <f t="shared" si="10"/>
        <v>1</v>
      </c>
      <c r="F28" s="24" t="s">
        <v>18</v>
      </c>
      <c r="G28" s="57"/>
      <c r="H28" s="103">
        <f t="shared" si="6"/>
        <v>0</v>
      </c>
      <c r="I28" s="104">
        <f t="shared" si="7"/>
        <v>0</v>
      </c>
      <c r="J28" s="113">
        <v>0.5</v>
      </c>
      <c r="K28" s="105">
        <f t="shared" si="8"/>
        <v>0</v>
      </c>
      <c r="L28" s="106">
        <f t="shared" si="9"/>
        <v>0</v>
      </c>
    </row>
    <row r="29" spans="1:12" x14ac:dyDescent="0.35">
      <c r="A29" s="60">
        <v>12</v>
      </c>
      <c r="B29" s="34" t="s">
        <v>23</v>
      </c>
      <c r="C29" s="24">
        <v>7</v>
      </c>
      <c r="D29" s="22">
        <v>0</v>
      </c>
      <c r="E29" s="23">
        <f t="shared" si="10"/>
        <v>7</v>
      </c>
      <c r="F29" s="24" t="s">
        <v>18</v>
      </c>
      <c r="G29" s="57"/>
      <c r="H29" s="103">
        <f t="shared" si="6"/>
        <v>0</v>
      </c>
      <c r="I29" s="104">
        <f t="shared" si="7"/>
        <v>0</v>
      </c>
      <c r="J29" s="113">
        <v>3.5</v>
      </c>
      <c r="K29" s="105">
        <f t="shared" si="8"/>
        <v>0</v>
      </c>
      <c r="L29" s="106">
        <f t="shared" si="9"/>
        <v>0</v>
      </c>
    </row>
    <row r="30" spans="1:12" x14ac:dyDescent="0.35">
      <c r="A30" s="60">
        <v>13</v>
      </c>
      <c r="B30" s="34" t="s">
        <v>24</v>
      </c>
      <c r="C30" s="24">
        <v>1</v>
      </c>
      <c r="D30" s="22">
        <v>0</v>
      </c>
      <c r="E30" s="23">
        <f t="shared" si="10"/>
        <v>1</v>
      </c>
      <c r="F30" s="24" t="s">
        <v>18</v>
      </c>
      <c r="G30" s="57"/>
      <c r="H30" s="103">
        <f t="shared" si="6"/>
        <v>0</v>
      </c>
      <c r="I30" s="104">
        <f t="shared" si="7"/>
        <v>0</v>
      </c>
      <c r="J30" s="113">
        <v>0.5</v>
      </c>
      <c r="K30" s="105">
        <f t="shared" si="8"/>
        <v>0</v>
      </c>
      <c r="L30" s="106">
        <f t="shared" si="9"/>
        <v>0</v>
      </c>
    </row>
    <row r="31" spans="1:12" x14ac:dyDescent="0.35">
      <c r="A31" s="60">
        <v>14</v>
      </c>
      <c r="B31" s="34" t="s">
        <v>25</v>
      </c>
      <c r="C31" s="24">
        <v>6</v>
      </c>
      <c r="D31" s="22">
        <v>0</v>
      </c>
      <c r="E31" s="23">
        <f t="shared" si="10"/>
        <v>6</v>
      </c>
      <c r="F31" s="24" t="s">
        <v>18</v>
      </c>
      <c r="G31" s="57"/>
      <c r="H31" s="103">
        <f t="shared" si="6"/>
        <v>0</v>
      </c>
      <c r="I31" s="104">
        <f t="shared" si="7"/>
        <v>0</v>
      </c>
      <c r="J31" s="113">
        <v>3</v>
      </c>
      <c r="K31" s="105">
        <f t="shared" si="8"/>
        <v>0</v>
      </c>
      <c r="L31" s="106">
        <f t="shared" si="9"/>
        <v>0</v>
      </c>
    </row>
    <row r="32" spans="1:12" x14ac:dyDescent="0.35">
      <c r="A32" s="60">
        <v>15</v>
      </c>
      <c r="B32" s="34" t="s">
        <v>26</v>
      </c>
      <c r="C32" s="24">
        <v>2</v>
      </c>
      <c r="D32" s="22">
        <v>0</v>
      </c>
      <c r="E32" s="23">
        <f t="shared" si="10"/>
        <v>2</v>
      </c>
      <c r="F32" s="24" t="s">
        <v>18</v>
      </c>
      <c r="G32" s="57"/>
      <c r="H32" s="103">
        <f t="shared" si="6"/>
        <v>0</v>
      </c>
      <c r="I32" s="104">
        <f t="shared" si="7"/>
        <v>0</v>
      </c>
      <c r="J32" s="113">
        <v>1</v>
      </c>
      <c r="K32" s="105">
        <f t="shared" si="8"/>
        <v>0</v>
      </c>
      <c r="L32" s="106">
        <f t="shared" si="9"/>
        <v>0</v>
      </c>
    </row>
    <row r="33" spans="1:12" x14ac:dyDescent="0.35">
      <c r="A33" s="60">
        <v>16</v>
      </c>
      <c r="B33" s="34" t="s">
        <v>27</v>
      </c>
      <c r="C33" s="24">
        <v>1</v>
      </c>
      <c r="D33" s="22">
        <v>0</v>
      </c>
      <c r="E33" s="23">
        <f t="shared" si="10"/>
        <v>1</v>
      </c>
      <c r="F33" s="24" t="s">
        <v>18</v>
      </c>
      <c r="G33" s="57"/>
      <c r="H33" s="103">
        <f t="shared" si="6"/>
        <v>0</v>
      </c>
      <c r="I33" s="104">
        <f t="shared" si="7"/>
        <v>0</v>
      </c>
      <c r="J33" s="113">
        <v>0.5</v>
      </c>
      <c r="K33" s="105">
        <f t="shared" si="8"/>
        <v>0</v>
      </c>
      <c r="L33" s="106">
        <f t="shared" si="9"/>
        <v>0</v>
      </c>
    </row>
    <row r="34" spans="1:12" x14ac:dyDescent="0.35">
      <c r="A34" s="60">
        <v>17</v>
      </c>
      <c r="B34" s="34" t="s">
        <v>28</v>
      </c>
      <c r="C34" s="24">
        <v>3</v>
      </c>
      <c r="D34" s="22">
        <v>0</v>
      </c>
      <c r="E34" s="23">
        <f t="shared" si="10"/>
        <v>3</v>
      </c>
      <c r="F34" s="24" t="s">
        <v>18</v>
      </c>
      <c r="G34" s="57"/>
      <c r="H34" s="103">
        <f t="shared" si="6"/>
        <v>0</v>
      </c>
      <c r="I34" s="104">
        <f t="shared" si="7"/>
        <v>0</v>
      </c>
      <c r="J34" s="113">
        <v>1.5</v>
      </c>
      <c r="K34" s="105">
        <f t="shared" si="8"/>
        <v>0</v>
      </c>
      <c r="L34" s="106">
        <f t="shared" si="9"/>
        <v>0</v>
      </c>
    </row>
    <row r="35" spans="1:12" x14ac:dyDescent="0.35">
      <c r="A35" s="60">
        <v>18</v>
      </c>
      <c r="B35" s="34" t="s">
        <v>29</v>
      </c>
      <c r="C35" s="24">
        <v>1</v>
      </c>
      <c r="D35" s="22">
        <v>0</v>
      </c>
      <c r="E35" s="23">
        <f t="shared" si="10"/>
        <v>1</v>
      </c>
      <c r="F35" s="24" t="s">
        <v>18</v>
      </c>
      <c r="G35" s="57"/>
      <c r="H35" s="103">
        <f t="shared" si="6"/>
        <v>0</v>
      </c>
      <c r="I35" s="104">
        <f t="shared" si="7"/>
        <v>0</v>
      </c>
      <c r="J35" s="113">
        <v>0.5</v>
      </c>
      <c r="K35" s="105">
        <f t="shared" si="8"/>
        <v>0</v>
      </c>
      <c r="L35" s="106">
        <f t="shared" si="9"/>
        <v>0</v>
      </c>
    </row>
    <row r="36" spans="1:12" x14ac:dyDescent="0.35">
      <c r="A36" s="60">
        <v>19</v>
      </c>
      <c r="B36" s="34" t="s">
        <v>30</v>
      </c>
      <c r="C36" s="24">
        <v>1</v>
      </c>
      <c r="D36" s="22">
        <v>0</v>
      </c>
      <c r="E36" s="23">
        <f t="shared" si="10"/>
        <v>1</v>
      </c>
      <c r="F36" s="24" t="s">
        <v>18</v>
      </c>
      <c r="G36" s="57"/>
      <c r="H36" s="103">
        <f t="shared" si="6"/>
        <v>0</v>
      </c>
      <c r="I36" s="104">
        <f t="shared" si="7"/>
        <v>0</v>
      </c>
      <c r="J36" s="113">
        <v>0.5</v>
      </c>
      <c r="K36" s="105">
        <f t="shared" si="8"/>
        <v>0</v>
      </c>
      <c r="L36" s="106">
        <f t="shared" si="9"/>
        <v>0</v>
      </c>
    </row>
    <row r="37" spans="1:12" x14ac:dyDescent="0.35">
      <c r="A37" s="60">
        <v>20</v>
      </c>
      <c r="B37" s="34" t="s">
        <v>31</v>
      </c>
      <c r="C37" s="24">
        <v>1</v>
      </c>
      <c r="D37" s="22">
        <v>0</v>
      </c>
      <c r="E37" s="23">
        <f t="shared" si="10"/>
        <v>1</v>
      </c>
      <c r="F37" s="24" t="s">
        <v>18</v>
      </c>
      <c r="G37" s="57"/>
      <c r="H37" s="103">
        <f t="shared" si="6"/>
        <v>0</v>
      </c>
      <c r="I37" s="104">
        <f t="shared" si="7"/>
        <v>0</v>
      </c>
      <c r="J37" s="113">
        <v>0.5</v>
      </c>
      <c r="K37" s="105">
        <f t="shared" si="8"/>
        <v>0</v>
      </c>
      <c r="L37" s="106">
        <f t="shared" si="9"/>
        <v>0</v>
      </c>
    </row>
    <row r="38" spans="1:12" x14ac:dyDescent="0.35">
      <c r="A38" s="64"/>
      <c r="B38" s="10" t="s">
        <v>90</v>
      </c>
      <c r="C38" s="24"/>
      <c r="D38" s="22"/>
      <c r="E38" s="23"/>
      <c r="F38" s="24"/>
      <c r="G38" s="26"/>
      <c r="H38" s="24"/>
      <c r="I38" s="24"/>
      <c r="J38" s="24"/>
      <c r="K38" s="24"/>
      <c r="L38" s="109"/>
    </row>
    <row r="39" spans="1:12" ht="15" thickBot="1" x14ac:dyDescent="0.4">
      <c r="A39" s="65"/>
      <c r="B39" s="35"/>
      <c r="C39" s="24"/>
      <c r="D39" s="22"/>
      <c r="E39" s="23"/>
      <c r="F39" s="24"/>
      <c r="G39" s="26"/>
      <c r="H39" s="24"/>
      <c r="I39" s="24"/>
      <c r="J39" s="24"/>
      <c r="K39" s="24"/>
      <c r="L39" s="109"/>
    </row>
    <row r="40" spans="1:12" ht="15" thickBot="1" x14ac:dyDescent="0.4">
      <c r="A40" s="373" t="s">
        <v>166</v>
      </c>
      <c r="B40" s="374"/>
      <c r="C40" s="21"/>
      <c r="D40" s="22"/>
      <c r="E40" s="23"/>
      <c r="F40" s="24"/>
      <c r="G40" s="26"/>
      <c r="H40" s="24"/>
      <c r="I40" s="24"/>
      <c r="J40" s="24"/>
      <c r="K40" s="24"/>
      <c r="L40" s="109"/>
    </row>
    <row r="41" spans="1:12" x14ac:dyDescent="0.35">
      <c r="A41" s="63">
        <v>1</v>
      </c>
      <c r="B41" s="36" t="s">
        <v>93</v>
      </c>
      <c r="C41" s="27">
        <v>54</v>
      </c>
      <c r="D41" s="22">
        <v>0.1</v>
      </c>
      <c r="E41" s="23">
        <f>C41*(1+D41)</f>
        <v>59.400000000000006</v>
      </c>
      <c r="F41" s="24" t="s">
        <v>17</v>
      </c>
      <c r="G41" s="57"/>
      <c r="H41" s="103">
        <f t="shared" ref="H41:H44" si="11">G41*E41</f>
        <v>0</v>
      </c>
      <c r="I41" s="104">
        <f t="shared" ref="I41:I44" si="12">L$4</f>
        <v>0</v>
      </c>
      <c r="J41" s="113">
        <v>5.9400000000000013</v>
      </c>
      <c r="K41" s="105">
        <f t="shared" ref="K41:K44" si="13">J41*I41</f>
        <v>0</v>
      </c>
      <c r="L41" s="106">
        <f t="shared" ref="L41:L44" si="14">K41+H41</f>
        <v>0</v>
      </c>
    </row>
    <row r="42" spans="1:12" x14ac:dyDescent="0.35">
      <c r="A42" s="60">
        <v>2</v>
      </c>
      <c r="B42" s="26" t="s">
        <v>75</v>
      </c>
      <c r="C42" s="24">
        <v>1</v>
      </c>
      <c r="D42" s="22">
        <v>0</v>
      </c>
      <c r="E42" s="23">
        <f t="shared" si="10"/>
        <v>1</v>
      </c>
      <c r="F42" s="24" t="s">
        <v>18</v>
      </c>
      <c r="G42" s="57"/>
      <c r="H42" s="103">
        <f t="shared" si="11"/>
        <v>0</v>
      </c>
      <c r="I42" s="104">
        <f t="shared" si="12"/>
        <v>0</v>
      </c>
      <c r="J42" s="113">
        <v>0.5</v>
      </c>
      <c r="K42" s="105">
        <f t="shared" si="13"/>
        <v>0</v>
      </c>
      <c r="L42" s="106">
        <f t="shared" si="14"/>
        <v>0</v>
      </c>
    </row>
    <row r="43" spans="1:12" x14ac:dyDescent="0.35">
      <c r="A43" s="60">
        <v>3</v>
      </c>
      <c r="B43" s="26" t="s">
        <v>54</v>
      </c>
      <c r="C43" s="24">
        <v>9</v>
      </c>
      <c r="D43" s="22">
        <v>0</v>
      </c>
      <c r="E43" s="23">
        <f t="shared" si="10"/>
        <v>9</v>
      </c>
      <c r="F43" s="24" t="s">
        <v>18</v>
      </c>
      <c r="G43" s="57"/>
      <c r="H43" s="103">
        <f t="shared" si="11"/>
        <v>0</v>
      </c>
      <c r="I43" s="104">
        <f t="shared" si="12"/>
        <v>0</v>
      </c>
      <c r="J43" s="113">
        <v>4.5</v>
      </c>
      <c r="K43" s="105">
        <f t="shared" si="13"/>
        <v>0</v>
      </c>
      <c r="L43" s="106">
        <f t="shared" si="14"/>
        <v>0</v>
      </c>
    </row>
    <row r="44" spans="1:12" x14ac:dyDescent="0.35">
      <c r="A44" s="60">
        <v>4</v>
      </c>
      <c r="B44" s="34" t="s">
        <v>27</v>
      </c>
      <c r="C44" s="24">
        <v>10</v>
      </c>
      <c r="D44" s="22">
        <v>0.1</v>
      </c>
      <c r="E44" s="23">
        <f t="shared" si="10"/>
        <v>11</v>
      </c>
      <c r="F44" s="24" t="s">
        <v>17</v>
      </c>
      <c r="G44" s="57"/>
      <c r="H44" s="103">
        <f t="shared" si="11"/>
        <v>0</v>
      </c>
      <c r="I44" s="104">
        <f t="shared" si="12"/>
        <v>0</v>
      </c>
      <c r="J44" s="113">
        <v>5.5</v>
      </c>
      <c r="K44" s="105">
        <f t="shared" si="13"/>
        <v>0</v>
      </c>
      <c r="L44" s="106">
        <f t="shared" si="14"/>
        <v>0</v>
      </c>
    </row>
    <row r="45" spans="1:12" x14ac:dyDescent="0.35">
      <c r="A45" s="362" t="s">
        <v>90</v>
      </c>
      <c r="B45" s="363"/>
      <c r="C45" s="27"/>
      <c r="D45" s="22"/>
      <c r="E45" s="23"/>
      <c r="F45" s="24"/>
      <c r="G45" s="26"/>
      <c r="H45" s="24"/>
      <c r="I45" s="24"/>
      <c r="J45" s="24"/>
      <c r="K45" s="24"/>
      <c r="L45" s="109"/>
    </row>
    <row r="46" spans="1:12" ht="15" thickBot="1" x14ac:dyDescent="0.4">
      <c r="A46" s="66"/>
      <c r="B46" s="37"/>
      <c r="C46" s="27"/>
      <c r="D46" s="22"/>
      <c r="E46" s="23"/>
      <c r="F46" s="24"/>
      <c r="G46" s="26"/>
      <c r="H46" s="24"/>
      <c r="I46" s="24"/>
      <c r="J46" s="24"/>
      <c r="K46" s="24"/>
      <c r="L46" s="109"/>
    </row>
    <row r="47" spans="1:12" ht="15" thickBot="1" x14ac:dyDescent="0.4">
      <c r="A47" s="364" t="s">
        <v>167</v>
      </c>
      <c r="B47" s="365"/>
      <c r="C47" s="21"/>
      <c r="D47" s="22"/>
      <c r="E47" s="23"/>
      <c r="F47" s="24"/>
      <c r="G47" s="26"/>
      <c r="H47" s="24"/>
      <c r="I47" s="24"/>
      <c r="J47" s="24"/>
      <c r="K47" s="24"/>
      <c r="L47" s="109"/>
    </row>
    <row r="48" spans="1:12" x14ac:dyDescent="0.35">
      <c r="A48" s="63">
        <v>1</v>
      </c>
      <c r="B48" s="38" t="s">
        <v>93</v>
      </c>
      <c r="C48" s="27">
        <v>51</v>
      </c>
      <c r="D48" s="22">
        <v>0.1</v>
      </c>
      <c r="E48" s="23">
        <f>C48*(1+D48)</f>
        <v>56.1</v>
      </c>
      <c r="F48" s="24" t="s">
        <v>17</v>
      </c>
      <c r="G48" s="57"/>
      <c r="H48" s="103">
        <f t="shared" ref="H48:H51" si="15">G48*E48</f>
        <v>0</v>
      </c>
      <c r="I48" s="104">
        <f t="shared" ref="I48:I51" si="16">L$4</f>
        <v>0</v>
      </c>
      <c r="J48" s="113">
        <v>5.61</v>
      </c>
      <c r="K48" s="105">
        <f t="shared" ref="K48:K51" si="17">J48*I48</f>
        <v>0</v>
      </c>
      <c r="L48" s="106">
        <f t="shared" ref="L48:L51" si="18">K48+H48</f>
        <v>0</v>
      </c>
    </row>
    <row r="49" spans="1:12" x14ac:dyDescent="0.35">
      <c r="A49" s="67">
        <v>2</v>
      </c>
      <c r="B49" s="34" t="s">
        <v>32</v>
      </c>
      <c r="C49" s="24">
        <v>1</v>
      </c>
      <c r="D49" s="22">
        <v>0</v>
      </c>
      <c r="E49" s="23">
        <f t="shared" si="10"/>
        <v>1</v>
      </c>
      <c r="F49" s="24" t="s">
        <v>18</v>
      </c>
      <c r="G49" s="57"/>
      <c r="H49" s="103">
        <f t="shared" si="15"/>
        <v>0</v>
      </c>
      <c r="I49" s="104">
        <f t="shared" si="16"/>
        <v>0</v>
      </c>
      <c r="J49" s="113">
        <v>0.5</v>
      </c>
      <c r="K49" s="105">
        <f t="shared" si="17"/>
        <v>0</v>
      </c>
      <c r="L49" s="106">
        <f t="shared" si="18"/>
        <v>0</v>
      </c>
    </row>
    <row r="50" spans="1:12" x14ac:dyDescent="0.35">
      <c r="A50" s="67">
        <v>3</v>
      </c>
      <c r="B50" s="34" t="s">
        <v>152</v>
      </c>
      <c r="C50" s="24">
        <v>2</v>
      </c>
      <c r="D50" s="22">
        <v>0</v>
      </c>
      <c r="E50" s="23">
        <f t="shared" si="10"/>
        <v>2</v>
      </c>
      <c r="F50" s="24" t="s">
        <v>18</v>
      </c>
      <c r="G50" s="57"/>
      <c r="H50" s="103">
        <f t="shared" si="15"/>
        <v>0</v>
      </c>
      <c r="I50" s="104">
        <f t="shared" si="16"/>
        <v>0</v>
      </c>
      <c r="J50" s="113">
        <v>1</v>
      </c>
      <c r="K50" s="105">
        <f t="shared" si="17"/>
        <v>0</v>
      </c>
      <c r="L50" s="106">
        <f t="shared" si="18"/>
        <v>0</v>
      </c>
    </row>
    <row r="51" spans="1:12" x14ac:dyDescent="0.35">
      <c r="A51" s="67">
        <v>4</v>
      </c>
      <c r="B51" s="34" t="s">
        <v>86</v>
      </c>
      <c r="C51" s="24">
        <v>2</v>
      </c>
      <c r="D51" s="22">
        <v>0</v>
      </c>
      <c r="E51" s="23">
        <f t="shared" si="10"/>
        <v>2</v>
      </c>
      <c r="F51" s="24" t="s">
        <v>18</v>
      </c>
      <c r="G51" s="57"/>
      <c r="H51" s="103">
        <f t="shared" si="15"/>
        <v>0</v>
      </c>
      <c r="I51" s="104">
        <f t="shared" si="16"/>
        <v>0</v>
      </c>
      <c r="J51" s="113">
        <v>1</v>
      </c>
      <c r="K51" s="105">
        <f t="shared" si="17"/>
        <v>0</v>
      </c>
      <c r="L51" s="106">
        <f t="shared" si="18"/>
        <v>0</v>
      </c>
    </row>
    <row r="52" spans="1:12" x14ac:dyDescent="0.35">
      <c r="A52" s="362" t="s">
        <v>157</v>
      </c>
      <c r="B52" s="363"/>
      <c r="C52" s="27"/>
      <c r="D52" s="22"/>
      <c r="E52" s="23"/>
      <c r="F52" s="24"/>
      <c r="G52" s="26"/>
      <c r="H52" s="24"/>
      <c r="I52" s="24"/>
      <c r="J52" s="24"/>
      <c r="K52" s="24"/>
      <c r="L52" s="109"/>
    </row>
    <row r="53" spans="1:12" ht="15" thickBot="1" x14ac:dyDescent="0.4">
      <c r="A53" s="68"/>
      <c r="B53" s="39"/>
      <c r="C53" s="27"/>
      <c r="D53" s="22"/>
      <c r="E53" s="23"/>
      <c r="F53" s="24"/>
      <c r="G53" s="26"/>
      <c r="H53" s="24"/>
      <c r="I53" s="24"/>
      <c r="J53" s="24"/>
      <c r="K53" s="24"/>
      <c r="L53" s="109"/>
    </row>
    <row r="54" spans="1:12" ht="15" thickBot="1" x14ac:dyDescent="0.4">
      <c r="A54" s="364" t="s">
        <v>95</v>
      </c>
      <c r="B54" s="365"/>
      <c r="C54" s="21"/>
      <c r="D54" s="22"/>
      <c r="E54" s="23"/>
      <c r="F54" s="24"/>
      <c r="G54" s="26"/>
      <c r="H54" s="24"/>
      <c r="I54" s="24"/>
      <c r="J54" s="24"/>
      <c r="K54" s="24"/>
      <c r="L54" s="109"/>
    </row>
    <row r="55" spans="1:12" ht="15" thickBot="1" x14ac:dyDescent="0.4">
      <c r="A55" s="375" t="s">
        <v>168</v>
      </c>
      <c r="B55" s="376"/>
      <c r="C55" s="21"/>
      <c r="D55" s="22"/>
      <c r="E55" s="23"/>
      <c r="F55" s="24"/>
      <c r="G55" s="26"/>
      <c r="H55" s="24"/>
      <c r="I55" s="24"/>
      <c r="J55" s="24"/>
      <c r="K55" s="24"/>
      <c r="L55" s="109"/>
    </row>
    <row r="56" spans="1:12" x14ac:dyDescent="0.35">
      <c r="A56" s="63">
        <v>1</v>
      </c>
      <c r="B56" s="38" t="s">
        <v>96</v>
      </c>
      <c r="C56" s="27">
        <v>93</v>
      </c>
      <c r="D56" s="22">
        <v>0.1</v>
      </c>
      <c r="E56" s="23">
        <f>C56*(1+D56)</f>
        <v>102.30000000000001</v>
      </c>
      <c r="F56" s="24" t="s">
        <v>17</v>
      </c>
      <c r="G56" s="57"/>
      <c r="H56" s="103">
        <f t="shared" ref="H56:H59" si="19">G56*E56</f>
        <v>0</v>
      </c>
      <c r="I56" s="104">
        <f t="shared" ref="I56:I59" si="20">L$4</f>
        <v>0</v>
      </c>
      <c r="J56" s="113">
        <v>10.230000000000002</v>
      </c>
      <c r="K56" s="105">
        <f t="shared" ref="K56:K59" si="21">J56*I56</f>
        <v>0</v>
      </c>
      <c r="L56" s="106">
        <f t="shared" ref="L56:L59" si="22">K56+H56</f>
        <v>0</v>
      </c>
    </row>
    <row r="57" spans="1:12" x14ac:dyDescent="0.35">
      <c r="A57" s="60">
        <v>2</v>
      </c>
      <c r="B57" s="26" t="s">
        <v>20</v>
      </c>
      <c r="C57" s="24">
        <v>4</v>
      </c>
      <c r="D57" s="22">
        <v>0</v>
      </c>
      <c r="E57" s="23">
        <f t="shared" si="10"/>
        <v>4</v>
      </c>
      <c r="F57" s="24" t="s">
        <v>18</v>
      </c>
      <c r="G57" s="57"/>
      <c r="H57" s="103">
        <f t="shared" si="19"/>
        <v>0</v>
      </c>
      <c r="I57" s="104">
        <f t="shared" si="20"/>
        <v>0</v>
      </c>
      <c r="J57" s="113">
        <v>2</v>
      </c>
      <c r="K57" s="105">
        <f t="shared" si="21"/>
        <v>0</v>
      </c>
      <c r="L57" s="106">
        <f t="shared" si="22"/>
        <v>0</v>
      </c>
    </row>
    <row r="58" spans="1:12" x14ac:dyDescent="0.35">
      <c r="A58" s="60">
        <v>3</v>
      </c>
      <c r="B58" s="34" t="s">
        <v>33</v>
      </c>
      <c r="C58" s="24">
        <v>2</v>
      </c>
      <c r="D58" s="22">
        <v>0</v>
      </c>
      <c r="E58" s="23">
        <f t="shared" si="10"/>
        <v>2</v>
      </c>
      <c r="F58" s="24" t="s">
        <v>18</v>
      </c>
      <c r="G58" s="57"/>
      <c r="H58" s="103">
        <f t="shared" si="19"/>
        <v>0</v>
      </c>
      <c r="I58" s="104">
        <f t="shared" si="20"/>
        <v>0</v>
      </c>
      <c r="J58" s="113">
        <v>1</v>
      </c>
      <c r="K58" s="105">
        <f t="shared" si="21"/>
        <v>0</v>
      </c>
      <c r="L58" s="106">
        <f t="shared" si="22"/>
        <v>0</v>
      </c>
    </row>
    <row r="59" spans="1:12" x14ac:dyDescent="0.35">
      <c r="A59" s="60">
        <v>4</v>
      </c>
      <c r="B59" s="34" t="s">
        <v>34</v>
      </c>
      <c r="C59" s="24">
        <v>1</v>
      </c>
      <c r="D59" s="22">
        <v>0</v>
      </c>
      <c r="E59" s="23">
        <f t="shared" si="10"/>
        <v>1</v>
      </c>
      <c r="F59" s="24" t="s">
        <v>18</v>
      </c>
      <c r="G59" s="57"/>
      <c r="H59" s="103">
        <f t="shared" si="19"/>
        <v>0</v>
      </c>
      <c r="I59" s="104">
        <f t="shared" si="20"/>
        <v>0</v>
      </c>
      <c r="J59" s="113">
        <v>0.5</v>
      </c>
      <c r="K59" s="105">
        <f t="shared" si="21"/>
        <v>0</v>
      </c>
      <c r="L59" s="106">
        <f t="shared" si="22"/>
        <v>0</v>
      </c>
    </row>
    <row r="60" spans="1:12" x14ac:dyDescent="0.35">
      <c r="A60" s="362" t="s">
        <v>158</v>
      </c>
      <c r="B60" s="363"/>
      <c r="C60" s="27"/>
      <c r="D60" s="22"/>
      <c r="E60" s="23"/>
      <c r="F60" s="24"/>
      <c r="G60" s="26"/>
      <c r="H60" s="24"/>
      <c r="I60" s="24"/>
      <c r="J60" s="24"/>
      <c r="K60" s="24"/>
      <c r="L60" s="109"/>
    </row>
    <row r="61" spans="1:12" ht="15" thickBot="1" x14ac:dyDescent="0.4">
      <c r="A61" s="69"/>
      <c r="B61" s="32"/>
      <c r="C61" s="27"/>
      <c r="D61" s="22"/>
      <c r="E61" s="23"/>
      <c r="F61" s="24"/>
      <c r="G61" s="26"/>
      <c r="H61" s="24"/>
      <c r="I61" s="24"/>
      <c r="J61" s="24"/>
      <c r="K61" s="24"/>
      <c r="L61" s="109"/>
    </row>
    <row r="62" spans="1:12" ht="15" thickBot="1" x14ac:dyDescent="0.4">
      <c r="A62" s="373" t="s">
        <v>166</v>
      </c>
      <c r="B62" s="374"/>
      <c r="C62" s="24"/>
      <c r="D62" s="22"/>
      <c r="E62" s="23"/>
      <c r="F62" s="24"/>
      <c r="G62" s="26"/>
      <c r="H62" s="24"/>
      <c r="I62" s="24"/>
      <c r="J62" s="24"/>
      <c r="K62" s="24"/>
      <c r="L62" s="109"/>
    </row>
    <row r="63" spans="1:12" x14ac:dyDescent="0.35">
      <c r="A63" s="60">
        <v>1</v>
      </c>
      <c r="B63" s="40" t="s">
        <v>93</v>
      </c>
      <c r="C63" s="27">
        <v>6</v>
      </c>
      <c r="D63" s="22">
        <v>0.1</v>
      </c>
      <c r="E63" s="23">
        <f>C63*(1+D63)</f>
        <v>6.6000000000000005</v>
      </c>
      <c r="F63" s="24" t="s">
        <v>17</v>
      </c>
      <c r="G63" s="57"/>
      <c r="H63" s="103">
        <f t="shared" ref="H63:H64" si="23">G63*E63</f>
        <v>0</v>
      </c>
      <c r="I63" s="104">
        <f t="shared" ref="I63:I64" si="24">L$4</f>
        <v>0</v>
      </c>
      <c r="J63" s="113">
        <v>0.66000000000000014</v>
      </c>
      <c r="K63" s="105">
        <f t="shared" ref="K63:K64" si="25">J63*I63</f>
        <v>0</v>
      </c>
      <c r="L63" s="106">
        <f t="shared" ref="L63:L64" si="26">K63+H63</f>
        <v>0</v>
      </c>
    </row>
    <row r="64" spans="1:12" x14ac:dyDescent="0.35">
      <c r="A64" s="69">
        <v>2</v>
      </c>
      <c r="B64" s="26" t="s">
        <v>54</v>
      </c>
      <c r="C64" s="24">
        <v>1</v>
      </c>
      <c r="D64" s="22">
        <v>0</v>
      </c>
      <c r="E64" s="23">
        <f t="shared" si="10"/>
        <v>1</v>
      </c>
      <c r="F64" s="24" t="s">
        <v>18</v>
      </c>
      <c r="G64" s="57"/>
      <c r="H64" s="103">
        <f t="shared" si="23"/>
        <v>0</v>
      </c>
      <c r="I64" s="104">
        <f t="shared" si="24"/>
        <v>0</v>
      </c>
      <c r="J64" s="113">
        <v>0.5</v>
      </c>
      <c r="K64" s="105">
        <f t="shared" si="25"/>
        <v>0</v>
      </c>
      <c r="L64" s="106">
        <f t="shared" si="26"/>
        <v>0</v>
      </c>
    </row>
    <row r="65" spans="1:12" x14ac:dyDescent="0.35">
      <c r="A65" s="362" t="s">
        <v>158</v>
      </c>
      <c r="B65" s="363"/>
      <c r="C65" s="27"/>
      <c r="D65" s="22"/>
      <c r="E65" s="23"/>
      <c r="F65" s="24"/>
      <c r="G65" s="26"/>
      <c r="H65" s="24"/>
      <c r="I65" s="24"/>
      <c r="J65" s="24"/>
      <c r="K65" s="24"/>
      <c r="L65" s="109"/>
    </row>
    <row r="66" spans="1:12" ht="15" thickBot="1" x14ac:dyDescent="0.4">
      <c r="A66" s="69"/>
      <c r="B66" s="40"/>
      <c r="C66" s="27"/>
      <c r="D66" s="22"/>
      <c r="E66" s="23"/>
      <c r="F66" s="24"/>
      <c r="G66" s="26"/>
      <c r="H66" s="24"/>
      <c r="I66" s="24"/>
      <c r="J66" s="24"/>
      <c r="K66" s="24"/>
      <c r="L66" s="109"/>
    </row>
    <row r="67" spans="1:12" ht="15" thickBot="1" x14ac:dyDescent="0.4">
      <c r="A67" s="364" t="s">
        <v>165</v>
      </c>
      <c r="B67" s="365"/>
      <c r="C67" s="24"/>
      <c r="D67" s="22"/>
      <c r="E67" s="23"/>
      <c r="F67" s="24"/>
      <c r="G67" s="26"/>
      <c r="H67" s="24"/>
      <c r="I67" s="24"/>
      <c r="J67" s="24"/>
      <c r="K67" s="24"/>
      <c r="L67" s="109"/>
    </row>
    <row r="68" spans="1:12" x14ac:dyDescent="0.35">
      <c r="A68" s="60">
        <v>1</v>
      </c>
      <c r="B68" s="33" t="s">
        <v>91</v>
      </c>
      <c r="C68" s="27">
        <v>147</v>
      </c>
      <c r="D68" s="22">
        <v>0.1</v>
      </c>
      <c r="E68" s="23">
        <f>C68*(1+D68)</f>
        <v>161.70000000000002</v>
      </c>
      <c r="F68" s="24" t="s">
        <v>17</v>
      </c>
      <c r="G68" s="57"/>
      <c r="H68" s="103">
        <f t="shared" ref="H68:H79" si="27">G68*E68</f>
        <v>0</v>
      </c>
      <c r="I68" s="104">
        <f t="shared" ref="I68:I79" si="28">L$4</f>
        <v>0</v>
      </c>
      <c r="J68" s="113">
        <v>32.340000000000003</v>
      </c>
      <c r="K68" s="105">
        <f t="shared" ref="K68:K79" si="29">J68*I68</f>
        <v>0</v>
      </c>
      <c r="L68" s="106">
        <f t="shared" ref="L68:L79" si="30">K68+H68</f>
        <v>0</v>
      </c>
    </row>
    <row r="69" spans="1:12" x14ac:dyDescent="0.35">
      <c r="A69" s="60">
        <v>2</v>
      </c>
      <c r="B69" s="32" t="s">
        <v>94</v>
      </c>
      <c r="C69" s="27">
        <v>16</v>
      </c>
      <c r="D69" s="22">
        <v>0.1</v>
      </c>
      <c r="E69" s="23">
        <f>C69*(1+D69)</f>
        <v>17.600000000000001</v>
      </c>
      <c r="F69" s="24" t="s">
        <v>17</v>
      </c>
      <c r="G69" s="57"/>
      <c r="H69" s="103">
        <f t="shared" si="27"/>
        <v>0</v>
      </c>
      <c r="I69" s="104">
        <f t="shared" si="28"/>
        <v>0</v>
      </c>
      <c r="J69" s="113">
        <v>3.5200000000000005</v>
      </c>
      <c r="K69" s="105">
        <f t="shared" si="29"/>
        <v>0</v>
      </c>
      <c r="L69" s="106">
        <f t="shared" si="30"/>
        <v>0</v>
      </c>
    </row>
    <row r="70" spans="1:12" x14ac:dyDescent="0.35">
      <c r="A70" s="60">
        <v>3</v>
      </c>
      <c r="B70" s="32" t="s">
        <v>96</v>
      </c>
      <c r="C70" s="27">
        <v>80</v>
      </c>
      <c r="D70" s="22">
        <v>0.1</v>
      </c>
      <c r="E70" s="23">
        <f>C70*(1+D70)</f>
        <v>88</v>
      </c>
      <c r="F70" s="24" t="s">
        <v>17</v>
      </c>
      <c r="G70" s="57"/>
      <c r="H70" s="103">
        <f t="shared" si="27"/>
        <v>0</v>
      </c>
      <c r="I70" s="104">
        <f t="shared" si="28"/>
        <v>0</v>
      </c>
      <c r="J70" s="113">
        <v>8.8000000000000007</v>
      </c>
      <c r="K70" s="105">
        <f t="shared" si="29"/>
        <v>0</v>
      </c>
      <c r="L70" s="106">
        <f t="shared" si="30"/>
        <v>0</v>
      </c>
    </row>
    <row r="71" spans="1:12" x14ac:dyDescent="0.35">
      <c r="A71" s="60">
        <v>4</v>
      </c>
      <c r="B71" s="34" t="s">
        <v>35</v>
      </c>
      <c r="C71" s="24">
        <v>6</v>
      </c>
      <c r="D71" s="22">
        <v>0</v>
      </c>
      <c r="E71" s="23">
        <f t="shared" si="10"/>
        <v>6</v>
      </c>
      <c r="F71" s="24" t="s">
        <v>18</v>
      </c>
      <c r="G71" s="57"/>
      <c r="H71" s="103">
        <f t="shared" si="27"/>
        <v>0</v>
      </c>
      <c r="I71" s="104">
        <f t="shared" si="28"/>
        <v>0</v>
      </c>
      <c r="J71" s="113">
        <v>3</v>
      </c>
      <c r="K71" s="105">
        <f t="shared" si="29"/>
        <v>0</v>
      </c>
      <c r="L71" s="106">
        <f t="shared" si="30"/>
        <v>0</v>
      </c>
    </row>
    <row r="72" spans="1:12" x14ac:dyDescent="0.35">
      <c r="A72" s="60">
        <v>5</v>
      </c>
      <c r="B72" s="26" t="s">
        <v>36</v>
      </c>
      <c r="C72" s="51">
        <v>6</v>
      </c>
      <c r="D72" s="22">
        <v>0</v>
      </c>
      <c r="E72" s="23">
        <f t="shared" si="10"/>
        <v>6</v>
      </c>
      <c r="F72" s="24" t="s">
        <v>18</v>
      </c>
      <c r="G72" s="57"/>
      <c r="H72" s="103">
        <f t="shared" si="27"/>
        <v>0</v>
      </c>
      <c r="I72" s="104">
        <f t="shared" si="28"/>
        <v>0</v>
      </c>
      <c r="J72" s="113">
        <v>3</v>
      </c>
      <c r="K72" s="105">
        <f t="shared" si="29"/>
        <v>0</v>
      </c>
      <c r="L72" s="106">
        <f t="shared" si="30"/>
        <v>0</v>
      </c>
    </row>
    <row r="73" spans="1:12" x14ac:dyDescent="0.35">
      <c r="A73" s="60">
        <v>6</v>
      </c>
      <c r="B73" s="34" t="s">
        <v>37</v>
      </c>
      <c r="C73" s="24">
        <v>3</v>
      </c>
      <c r="D73" s="22">
        <v>0</v>
      </c>
      <c r="E73" s="23">
        <f t="shared" si="10"/>
        <v>3</v>
      </c>
      <c r="F73" s="24" t="s">
        <v>18</v>
      </c>
      <c r="G73" s="57"/>
      <c r="H73" s="103">
        <f t="shared" si="27"/>
        <v>0</v>
      </c>
      <c r="I73" s="104">
        <f t="shared" si="28"/>
        <v>0</v>
      </c>
      <c r="J73" s="113">
        <v>1.5</v>
      </c>
      <c r="K73" s="105">
        <f t="shared" si="29"/>
        <v>0</v>
      </c>
      <c r="L73" s="106">
        <f t="shared" si="30"/>
        <v>0</v>
      </c>
    </row>
    <row r="74" spans="1:12" x14ac:dyDescent="0.35">
      <c r="A74" s="60">
        <v>7</v>
      </c>
      <c r="B74" s="26" t="s">
        <v>20</v>
      </c>
      <c r="C74" s="24">
        <v>2</v>
      </c>
      <c r="D74" s="22">
        <v>0</v>
      </c>
      <c r="E74" s="23">
        <f t="shared" ref="E74:E79" si="31">C74*(1+D74)</f>
        <v>2</v>
      </c>
      <c r="F74" s="24" t="s">
        <v>18</v>
      </c>
      <c r="G74" s="57"/>
      <c r="H74" s="103">
        <f t="shared" si="27"/>
        <v>0</v>
      </c>
      <c r="I74" s="104">
        <f t="shared" si="28"/>
        <v>0</v>
      </c>
      <c r="J74" s="113">
        <v>1</v>
      </c>
      <c r="K74" s="105">
        <f t="shared" si="29"/>
        <v>0</v>
      </c>
      <c r="L74" s="106">
        <f t="shared" si="30"/>
        <v>0</v>
      </c>
    </row>
    <row r="75" spans="1:12" x14ac:dyDescent="0.35">
      <c r="A75" s="60">
        <v>8</v>
      </c>
      <c r="B75" s="26" t="s">
        <v>56</v>
      </c>
      <c r="C75" s="24">
        <v>1</v>
      </c>
      <c r="D75" s="22">
        <v>0</v>
      </c>
      <c r="E75" s="23">
        <f t="shared" si="31"/>
        <v>1</v>
      </c>
      <c r="F75" s="24" t="s">
        <v>18</v>
      </c>
      <c r="G75" s="57"/>
      <c r="H75" s="103">
        <f t="shared" si="27"/>
        <v>0</v>
      </c>
      <c r="I75" s="104">
        <f t="shared" si="28"/>
        <v>0</v>
      </c>
      <c r="J75" s="113">
        <v>0.5</v>
      </c>
      <c r="K75" s="105">
        <f t="shared" si="29"/>
        <v>0</v>
      </c>
      <c r="L75" s="106">
        <f t="shared" si="30"/>
        <v>0</v>
      </c>
    </row>
    <row r="76" spans="1:12" x14ac:dyDescent="0.35">
      <c r="A76" s="60">
        <v>9</v>
      </c>
      <c r="B76" s="34" t="s">
        <v>38</v>
      </c>
      <c r="C76" s="24">
        <v>1</v>
      </c>
      <c r="D76" s="22">
        <v>0</v>
      </c>
      <c r="E76" s="23">
        <f t="shared" si="31"/>
        <v>1</v>
      </c>
      <c r="F76" s="24" t="s">
        <v>18</v>
      </c>
      <c r="G76" s="57"/>
      <c r="H76" s="103">
        <f t="shared" si="27"/>
        <v>0</v>
      </c>
      <c r="I76" s="104">
        <f t="shared" si="28"/>
        <v>0</v>
      </c>
      <c r="J76" s="113">
        <v>0.5</v>
      </c>
      <c r="K76" s="105">
        <f t="shared" si="29"/>
        <v>0</v>
      </c>
      <c r="L76" s="106">
        <f t="shared" si="30"/>
        <v>0</v>
      </c>
    </row>
    <row r="77" spans="1:12" x14ac:dyDescent="0.35">
      <c r="A77" s="60">
        <v>10</v>
      </c>
      <c r="B77" s="34" t="s">
        <v>39</v>
      </c>
      <c r="C77" s="24">
        <v>2</v>
      </c>
      <c r="D77" s="22">
        <v>0</v>
      </c>
      <c r="E77" s="23">
        <f t="shared" si="31"/>
        <v>2</v>
      </c>
      <c r="F77" s="24" t="s">
        <v>18</v>
      </c>
      <c r="G77" s="57"/>
      <c r="H77" s="103">
        <f t="shared" si="27"/>
        <v>0</v>
      </c>
      <c r="I77" s="104">
        <f t="shared" si="28"/>
        <v>0</v>
      </c>
      <c r="J77" s="113">
        <v>1</v>
      </c>
      <c r="K77" s="105">
        <f t="shared" si="29"/>
        <v>0</v>
      </c>
      <c r="L77" s="106">
        <f t="shared" si="30"/>
        <v>0</v>
      </c>
    </row>
    <row r="78" spans="1:12" x14ac:dyDescent="0.35">
      <c r="A78" s="60">
        <v>11</v>
      </c>
      <c r="B78" s="34" t="s">
        <v>40</v>
      </c>
      <c r="C78" s="24">
        <v>6</v>
      </c>
      <c r="D78" s="22">
        <v>0</v>
      </c>
      <c r="E78" s="23">
        <f t="shared" si="31"/>
        <v>6</v>
      </c>
      <c r="F78" s="24" t="s">
        <v>18</v>
      </c>
      <c r="G78" s="57"/>
      <c r="H78" s="103">
        <f t="shared" si="27"/>
        <v>0</v>
      </c>
      <c r="I78" s="104">
        <f t="shared" si="28"/>
        <v>0</v>
      </c>
      <c r="J78" s="113">
        <v>3</v>
      </c>
      <c r="K78" s="105">
        <f t="shared" si="29"/>
        <v>0</v>
      </c>
      <c r="L78" s="106">
        <f t="shared" si="30"/>
        <v>0</v>
      </c>
    </row>
    <row r="79" spans="1:12" x14ac:dyDescent="0.35">
      <c r="A79" s="60">
        <v>12</v>
      </c>
      <c r="B79" s="26" t="s">
        <v>41</v>
      </c>
      <c r="C79" s="24">
        <v>8</v>
      </c>
      <c r="D79" s="22">
        <v>0</v>
      </c>
      <c r="E79" s="23">
        <f t="shared" si="31"/>
        <v>8</v>
      </c>
      <c r="F79" s="24" t="s">
        <v>18</v>
      </c>
      <c r="G79" s="57"/>
      <c r="H79" s="103">
        <f t="shared" si="27"/>
        <v>0</v>
      </c>
      <c r="I79" s="104">
        <f t="shared" si="28"/>
        <v>0</v>
      </c>
      <c r="J79" s="113">
        <v>4</v>
      </c>
      <c r="K79" s="105">
        <f t="shared" si="29"/>
        <v>0</v>
      </c>
      <c r="L79" s="106">
        <f t="shared" si="30"/>
        <v>0</v>
      </c>
    </row>
    <row r="80" spans="1:12" x14ac:dyDescent="0.35">
      <c r="A80" s="362" t="s">
        <v>158</v>
      </c>
      <c r="B80" s="363"/>
      <c r="C80" s="27"/>
      <c r="D80" s="22"/>
      <c r="E80" s="23"/>
      <c r="F80" s="24"/>
      <c r="G80" s="26"/>
      <c r="H80" s="24"/>
      <c r="I80" s="24"/>
      <c r="J80" s="24"/>
      <c r="K80" s="24"/>
      <c r="L80" s="109"/>
    </row>
    <row r="81" spans="1:12" ht="15" thickBot="1" x14ac:dyDescent="0.4">
      <c r="A81" s="67"/>
      <c r="B81" s="32"/>
      <c r="C81" s="27"/>
      <c r="D81" s="22"/>
      <c r="E81" s="23"/>
      <c r="F81" s="24"/>
      <c r="G81" s="26"/>
      <c r="H81" s="24"/>
      <c r="I81" s="24"/>
      <c r="J81" s="24"/>
      <c r="K81" s="24"/>
      <c r="L81" s="109"/>
    </row>
    <row r="82" spans="1:12" ht="15" thickBot="1" x14ac:dyDescent="0.4">
      <c r="A82" s="364" t="s">
        <v>169</v>
      </c>
      <c r="B82" s="365"/>
      <c r="C82" s="24"/>
      <c r="D82" s="22"/>
      <c r="E82" s="23"/>
      <c r="F82" s="24"/>
      <c r="G82" s="1"/>
      <c r="H82" s="4"/>
      <c r="I82" s="4"/>
      <c r="J82" s="24"/>
      <c r="K82" s="24"/>
      <c r="L82" s="109"/>
    </row>
    <row r="83" spans="1:12" x14ac:dyDescent="0.35">
      <c r="A83" s="60">
        <v>1</v>
      </c>
      <c r="B83" s="40" t="s">
        <v>91</v>
      </c>
      <c r="C83" s="27">
        <v>37</v>
      </c>
      <c r="D83" s="22">
        <v>0.1</v>
      </c>
      <c r="E83" s="23">
        <f>C83*(1+D83)</f>
        <v>40.700000000000003</v>
      </c>
      <c r="F83" s="24" t="s">
        <v>17</v>
      </c>
      <c r="G83" s="57"/>
      <c r="H83" s="103">
        <f t="shared" ref="H83:H85" si="32">G83*E83</f>
        <v>0</v>
      </c>
      <c r="I83" s="104">
        <f t="shared" ref="I83:I85" si="33">L$4</f>
        <v>0</v>
      </c>
      <c r="J83" s="113">
        <v>8.14</v>
      </c>
      <c r="K83" s="105">
        <f t="shared" ref="K83:K85" si="34">J83*I83</f>
        <v>0</v>
      </c>
      <c r="L83" s="106">
        <f t="shared" ref="L83:L85" si="35">K83+H83</f>
        <v>0</v>
      </c>
    </row>
    <row r="84" spans="1:12" x14ac:dyDescent="0.35">
      <c r="A84" s="67">
        <v>2</v>
      </c>
      <c r="B84" s="26" t="s">
        <v>36</v>
      </c>
      <c r="C84" s="24">
        <v>12</v>
      </c>
      <c r="D84" s="22">
        <v>0</v>
      </c>
      <c r="E84" s="23">
        <f t="shared" si="10"/>
        <v>12</v>
      </c>
      <c r="F84" s="24" t="s">
        <v>18</v>
      </c>
      <c r="G84" s="57"/>
      <c r="H84" s="103">
        <f t="shared" si="32"/>
        <v>0</v>
      </c>
      <c r="I84" s="104">
        <f t="shared" si="33"/>
        <v>0</v>
      </c>
      <c r="J84" s="113">
        <v>6</v>
      </c>
      <c r="K84" s="105">
        <f t="shared" si="34"/>
        <v>0</v>
      </c>
      <c r="L84" s="106">
        <f t="shared" si="35"/>
        <v>0</v>
      </c>
    </row>
    <row r="85" spans="1:12" x14ac:dyDescent="0.35">
      <c r="A85" s="67">
        <v>3</v>
      </c>
      <c r="B85" s="34" t="s">
        <v>35</v>
      </c>
      <c r="C85" s="24">
        <v>8</v>
      </c>
      <c r="D85" s="22">
        <v>0</v>
      </c>
      <c r="E85" s="23">
        <f t="shared" si="10"/>
        <v>8</v>
      </c>
      <c r="F85" s="24" t="s">
        <v>18</v>
      </c>
      <c r="G85" s="57"/>
      <c r="H85" s="103">
        <f t="shared" si="32"/>
        <v>0</v>
      </c>
      <c r="I85" s="104">
        <f t="shared" si="33"/>
        <v>0</v>
      </c>
      <c r="J85" s="113">
        <v>4</v>
      </c>
      <c r="K85" s="105">
        <f t="shared" si="34"/>
        <v>0</v>
      </c>
      <c r="L85" s="106">
        <f t="shared" si="35"/>
        <v>0</v>
      </c>
    </row>
    <row r="86" spans="1:12" x14ac:dyDescent="0.35">
      <c r="A86" s="67"/>
      <c r="B86" s="3" t="s">
        <v>98</v>
      </c>
      <c r="C86" s="24"/>
      <c r="D86" s="22"/>
      <c r="E86" s="23"/>
      <c r="F86" s="24"/>
      <c r="G86" s="26"/>
      <c r="H86" s="24"/>
      <c r="I86" s="24"/>
      <c r="J86" s="24"/>
      <c r="K86" s="24"/>
      <c r="L86" s="109"/>
    </row>
    <row r="87" spans="1:12" ht="15" thickBot="1" x14ac:dyDescent="0.4">
      <c r="A87" s="67"/>
      <c r="B87" s="3"/>
      <c r="C87" s="24"/>
      <c r="D87" s="22"/>
      <c r="E87" s="23"/>
      <c r="F87" s="24"/>
      <c r="G87" s="26"/>
      <c r="H87" s="24"/>
      <c r="I87" s="24"/>
      <c r="J87" s="24"/>
      <c r="K87" s="24"/>
      <c r="L87" s="109"/>
    </row>
    <row r="88" spans="1:12" ht="15" thickBot="1" x14ac:dyDescent="0.4">
      <c r="A88" s="364" t="s">
        <v>97</v>
      </c>
      <c r="B88" s="365"/>
      <c r="C88" s="24"/>
      <c r="D88" s="22"/>
      <c r="E88" s="23"/>
      <c r="F88" s="24"/>
      <c r="G88" s="26"/>
      <c r="H88" s="24"/>
      <c r="I88" s="24"/>
      <c r="J88" s="24"/>
      <c r="K88" s="24"/>
      <c r="L88" s="109"/>
    </row>
    <row r="89" spans="1:12" ht="15" thickBot="1" x14ac:dyDescent="0.4">
      <c r="A89" s="364" t="s">
        <v>170</v>
      </c>
      <c r="B89" s="365"/>
      <c r="C89" s="24"/>
      <c r="D89" s="22"/>
      <c r="E89" s="23"/>
      <c r="F89" s="24"/>
      <c r="G89" s="26"/>
      <c r="H89" s="24"/>
      <c r="I89" s="24"/>
      <c r="J89" s="24"/>
      <c r="K89" s="24"/>
      <c r="L89" s="109"/>
    </row>
    <row r="90" spans="1:12" x14ac:dyDescent="0.35">
      <c r="A90" s="60">
        <v>1</v>
      </c>
      <c r="B90" s="32" t="s">
        <v>99</v>
      </c>
      <c r="C90" s="27">
        <v>18</v>
      </c>
      <c r="D90" s="22">
        <v>0.1</v>
      </c>
      <c r="E90" s="23">
        <f>C90*(1+D90)</f>
        <v>19.8</v>
      </c>
      <c r="F90" s="24" t="s">
        <v>17</v>
      </c>
      <c r="G90" s="57"/>
      <c r="H90" s="103">
        <f t="shared" ref="H90:H106" si="36">G90*E90</f>
        <v>0</v>
      </c>
      <c r="I90" s="104">
        <f t="shared" ref="I90:I106" si="37">L$4</f>
        <v>0</v>
      </c>
      <c r="J90" s="113">
        <v>1.9800000000000002</v>
      </c>
      <c r="K90" s="105">
        <f t="shared" ref="K90:K106" si="38">J90*I90</f>
        <v>0</v>
      </c>
      <c r="L90" s="106">
        <f t="shared" ref="L90:L106" si="39">K90+H90</f>
        <v>0</v>
      </c>
    </row>
    <row r="91" spans="1:12" x14ac:dyDescent="0.35">
      <c r="A91" s="60">
        <v>2</v>
      </c>
      <c r="B91" s="32" t="s">
        <v>101</v>
      </c>
      <c r="C91" s="27">
        <v>54</v>
      </c>
      <c r="D91" s="22">
        <v>0.1</v>
      </c>
      <c r="E91" s="23">
        <f>C91*(1+D91)</f>
        <v>59.400000000000006</v>
      </c>
      <c r="F91" s="24" t="s">
        <v>17</v>
      </c>
      <c r="G91" s="57"/>
      <c r="H91" s="103">
        <f t="shared" si="36"/>
        <v>0</v>
      </c>
      <c r="I91" s="104">
        <f t="shared" si="37"/>
        <v>0</v>
      </c>
      <c r="J91" s="113">
        <v>5.9400000000000013</v>
      </c>
      <c r="K91" s="105">
        <f t="shared" si="38"/>
        <v>0</v>
      </c>
      <c r="L91" s="106">
        <f t="shared" si="39"/>
        <v>0</v>
      </c>
    </row>
    <row r="92" spans="1:12" x14ac:dyDescent="0.35">
      <c r="A92" s="60">
        <v>3</v>
      </c>
      <c r="B92" s="32" t="s">
        <v>102</v>
      </c>
      <c r="C92" s="24">
        <v>62</v>
      </c>
      <c r="D92" s="22">
        <v>0.1</v>
      </c>
      <c r="E92" s="23">
        <f>C92*(1+D92)</f>
        <v>68.2</v>
      </c>
      <c r="F92" s="24" t="s">
        <v>17</v>
      </c>
      <c r="G92" s="57"/>
      <c r="H92" s="103">
        <f t="shared" si="36"/>
        <v>0</v>
      </c>
      <c r="I92" s="104">
        <f t="shared" si="37"/>
        <v>0</v>
      </c>
      <c r="J92" s="113">
        <v>6.82</v>
      </c>
      <c r="K92" s="105">
        <f t="shared" si="38"/>
        <v>0</v>
      </c>
      <c r="L92" s="106">
        <f t="shared" si="39"/>
        <v>0</v>
      </c>
    </row>
    <row r="93" spans="1:12" x14ac:dyDescent="0.35">
      <c r="A93" s="60">
        <v>4</v>
      </c>
      <c r="B93" s="32" t="s">
        <v>100</v>
      </c>
      <c r="C93" s="24">
        <v>32</v>
      </c>
      <c r="D93" s="22">
        <v>0.1</v>
      </c>
      <c r="E93" s="23">
        <f>C93*(1+D93)</f>
        <v>35.200000000000003</v>
      </c>
      <c r="F93" s="24" t="s">
        <v>17</v>
      </c>
      <c r="G93" s="57"/>
      <c r="H93" s="103">
        <f t="shared" si="36"/>
        <v>0</v>
      </c>
      <c r="I93" s="104">
        <f t="shared" si="37"/>
        <v>0</v>
      </c>
      <c r="J93" s="113">
        <v>3.5200000000000005</v>
      </c>
      <c r="K93" s="105">
        <f t="shared" si="38"/>
        <v>0</v>
      </c>
      <c r="L93" s="106">
        <f t="shared" si="39"/>
        <v>0</v>
      </c>
    </row>
    <row r="94" spans="1:12" x14ac:dyDescent="0.35">
      <c r="A94" s="60">
        <v>5</v>
      </c>
      <c r="B94" s="26" t="s">
        <v>42</v>
      </c>
      <c r="C94" s="24">
        <v>10</v>
      </c>
      <c r="D94" s="22">
        <v>0</v>
      </c>
      <c r="E94" s="23">
        <f t="shared" si="10"/>
        <v>10</v>
      </c>
      <c r="F94" s="24" t="s">
        <v>18</v>
      </c>
      <c r="G94" s="57"/>
      <c r="H94" s="103">
        <f t="shared" si="36"/>
        <v>0</v>
      </c>
      <c r="I94" s="104">
        <f t="shared" si="37"/>
        <v>0</v>
      </c>
      <c r="J94" s="113">
        <v>5</v>
      </c>
      <c r="K94" s="105">
        <f t="shared" si="38"/>
        <v>0</v>
      </c>
      <c r="L94" s="106">
        <f t="shared" si="39"/>
        <v>0</v>
      </c>
    </row>
    <row r="95" spans="1:12" x14ac:dyDescent="0.35">
      <c r="A95" s="60">
        <v>6</v>
      </c>
      <c r="B95" s="26" t="s">
        <v>103</v>
      </c>
      <c r="C95" s="24">
        <v>1</v>
      </c>
      <c r="D95" s="22">
        <v>0</v>
      </c>
      <c r="E95" s="23">
        <f t="shared" si="10"/>
        <v>1</v>
      </c>
      <c r="F95" s="24" t="s">
        <v>18</v>
      </c>
      <c r="G95" s="57"/>
      <c r="H95" s="103">
        <f t="shared" si="36"/>
        <v>0</v>
      </c>
      <c r="I95" s="104">
        <f t="shared" si="37"/>
        <v>0</v>
      </c>
      <c r="J95" s="113">
        <v>0.5</v>
      </c>
      <c r="K95" s="105">
        <f t="shared" si="38"/>
        <v>0</v>
      </c>
      <c r="L95" s="106">
        <f t="shared" si="39"/>
        <v>0</v>
      </c>
    </row>
    <row r="96" spans="1:12" x14ac:dyDescent="0.35">
      <c r="A96" s="60">
        <v>7</v>
      </c>
      <c r="B96" s="26" t="s">
        <v>150</v>
      </c>
      <c r="C96" s="24">
        <v>4</v>
      </c>
      <c r="D96" s="22">
        <v>0</v>
      </c>
      <c r="E96" s="23">
        <f t="shared" si="10"/>
        <v>4</v>
      </c>
      <c r="F96" s="24" t="s">
        <v>18</v>
      </c>
      <c r="G96" s="57"/>
      <c r="H96" s="103">
        <f t="shared" si="36"/>
        <v>0</v>
      </c>
      <c r="I96" s="104">
        <f t="shared" si="37"/>
        <v>0</v>
      </c>
      <c r="J96" s="113">
        <v>2</v>
      </c>
      <c r="K96" s="105">
        <f t="shared" si="38"/>
        <v>0</v>
      </c>
      <c r="L96" s="106">
        <f t="shared" si="39"/>
        <v>0</v>
      </c>
    </row>
    <row r="97" spans="1:12" x14ac:dyDescent="0.35">
      <c r="A97" s="60">
        <v>8</v>
      </c>
      <c r="B97" s="26" t="s">
        <v>104</v>
      </c>
      <c r="C97" s="24">
        <v>8</v>
      </c>
      <c r="D97" s="22">
        <v>0</v>
      </c>
      <c r="E97" s="23">
        <f t="shared" si="10"/>
        <v>8</v>
      </c>
      <c r="F97" s="24" t="s">
        <v>18</v>
      </c>
      <c r="G97" s="57"/>
      <c r="H97" s="103">
        <f t="shared" si="36"/>
        <v>0</v>
      </c>
      <c r="I97" s="104">
        <f t="shared" si="37"/>
        <v>0</v>
      </c>
      <c r="J97" s="113">
        <v>4</v>
      </c>
      <c r="K97" s="105">
        <f t="shared" si="38"/>
        <v>0</v>
      </c>
      <c r="L97" s="106">
        <f t="shared" si="39"/>
        <v>0</v>
      </c>
    </row>
    <row r="98" spans="1:12" x14ac:dyDescent="0.35">
      <c r="A98" s="60">
        <v>9</v>
      </c>
      <c r="B98" s="26" t="s">
        <v>43</v>
      </c>
      <c r="C98" s="24">
        <v>1</v>
      </c>
      <c r="D98" s="22">
        <v>0</v>
      </c>
      <c r="E98" s="23">
        <f t="shared" si="10"/>
        <v>1</v>
      </c>
      <c r="F98" s="24" t="s">
        <v>18</v>
      </c>
      <c r="G98" s="57"/>
      <c r="H98" s="103">
        <f t="shared" si="36"/>
        <v>0</v>
      </c>
      <c r="I98" s="104">
        <f t="shared" si="37"/>
        <v>0</v>
      </c>
      <c r="J98" s="113">
        <v>0.5</v>
      </c>
      <c r="K98" s="105">
        <f t="shared" si="38"/>
        <v>0</v>
      </c>
      <c r="L98" s="106">
        <f t="shared" si="39"/>
        <v>0</v>
      </c>
    </row>
    <row r="99" spans="1:12" x14ac:dyDescent="0.35">
      <c r="A99" s="60">
        <v>10</v>
      </c>
      <c r="B99" s="34" t="s">
        <v>45</v>
      </c>
      <c r="C99" s="24">
        <v>9</v>
      </c>
      <c r="D99" s="22">
        <v>0</v>
      </c>
      <c r="E99" s="23">
        <f t="shared" si="10"/>
        <v>9</v>
      </c>
      <c r="F99" s="24" t="s">
        <v>18</v>
      </c>
      <c r="G99" s="57"/>
      <c r="H99" s="103">
        <f t="shared" si="36"/>
        <v>0</v>
      </c>
      <c r="I99" s="104">
        <f t="shared" si="37"/>
        <v>0</v>
      </c>
      <c r="J99" s="113">
        <v>4.5</v>
      </c>
      <c r="K99" s="105">
        <f t="shared" si="38"/>
        <v>0</v>
      </c>
      <c r="L99" s="106">
        <f t="shared" si="39"/>
        <v>0</v>
      </c>
    </row>
    <row r="100" spans="1:12" x14ac:dyDescent="0.35">
      <c r="A100" s="60">
        <v>11</v>
      </c>
      <c r="B100" s="34" t="s">
        <v>109</v>
      </c>
      <c r="C100" s="24">
        <v>3</v>
      </c>
      <c r="D100" s="22">
        <v>0</v>
      </c>
      <c r="E100" s="23">
        <f t="shared" si="10"/>
        <v>3</v>
      </c>
      <c r="F100" s="24" t="s">
        <v>18</v>
      </c>
      <c r="G100" s="57"/>
      <c r="H100" s="103">
        <f t="shared" si="36"/>
        <v>0</v>
      </c>
      <c r="I100" s="104">
        <f t="shared" si="37"/>
        <v>0</v>
      </c>
      <c r="J100" s="113">
        <v>1.5</v>
      </c>
      <c r="K100" s="105">
        <f t="shared" si="38"/>
        <v>0</v>
      </c>
      <c r="L100" s="106">
        <f t="shared" si="39"/>
        <v>0</v>
      </c>
    </row>
    <row r="101" spans="1:12" x14ac:dyDescent="0.35">
      <c r="A101" s="60">
        <v>12</v>
      </c>
      <c r="B101" s="34" t="s">
        <v>84</v>
      </c>
      <c r="C101" s="24">
        <v>2</v>
      </c>
      <c r="D101" s="22">
        <v>0</v>
      </c>
      <c r="E101" s="23">
        <f t="shared" si="10"/>
        <v>2</v>
      </c>
      <c r="F101" s="24" t="s">
        <v>18</v>
      </c>
      <c r="G101" s="57"/>
      <c r="H101" s="103">
        <f t="shared" si="36"/>
        <v>0</v>
      </c>
      <c r="I101" s="104">
        <f t="shared" si="37"/>
        <v>0</v>
      </c>
      <c r="J101" s="113">
        <v>1</v>
      </c>
      <c r="K101" s="105">
        <f t="shared" si="38"/>
        <v>0</v>
      </c>
      <c r="L101" s="106">
        <f t="shared" si="39"/>
        <v>0</v>
      </c>
    </row>
    <row r="102" spans="1:12" x14ac:dyDescent="0.35">
      <c r="A102" s="60">
        <v>13</v>
      </c>
      <c r="B102" s="34" t="s">
        <v>108</v>
      </c>
      <c r="C102" s="24">
        <v>1</v>
      </c>
      <c r="D102" s="22">
        <v>0</v>
      </c>
      <c r="E102" s="23">
        <f t="shared" si="10"/>
        <v>1</v>
      </c>
      <c r="F102" s="24" t="s">
        <v>18</v>
      </c>
      <c r="G102" s="57"/>
      <c r="H102" s="103">
        <f t="shared" si="36"/>
        <v>0</v>
      </c>
      <c r="I102" s="104">
        <f t="shared" si="37"/>
        <v>0</v>
      </c>
      <c r="J102" s="113">
        <v>0.5</v>
      </c>
      <c r="K102" s="105">
        <f t="shared" si="38"/>
        <v>0</v>
      </c>
      <c r="L102" s="106">
        <f t="shared" si="39"/>
        <v>0</v>
      </c>
    </row>
    <row r="103" spans="1:12" x14ac:dyDescent="0.35">
      <c r="A103" s="60">
        <v>14</v>
      </c>
      <c r="B103" s="34" t="s">
        <v>107</v>
      </c>
      <c r="C103" s="24">
        <v>1</v>
      </c>
      <c r="D103" s="22">
        <v>0</v>
      </c>
      <c r="E103" s="23">
        <f t="shared" si="10"/>
        <v>1</v>
      </c>
      <c r="F103" s="24" t="s">
        <v>18</v>
      </c>
      <c r="G103" s="57"/>
      <c r="H103" s="103">
        <f t="shared" si="36"/>
        <v>0</v>
      </c>
      <c r="I103" s="104">
        <f t="shared" si="37"/>
        <v>0</v>
      </c>
      <c r="J103" s="113">
        <v>0.5</v>
      </c>
      <c r="K103" s="105">
        <f t="shared" si="38"/>
        <v>0</v>
      </c>
      <c r="L103" s="106">
        <f t="shared" si="39"/>
        <v>0</v>
      </c>
    </row>
    <row r="104" spans="1:12" x14ac:dyDescent="0.35">
      <c r="A104" s="60">
        <v>15</v>
      </c>
      <c r="B104" s="34" t="s">
        <v>149</v>
      </c>
      <c r="C104" s="24">
        <v>4</v>
      </c>
      <c r="D104" s="22">
        <v>0</v>
      </c>
      <c r="E104" s="23">
        <f t="shared" si="10"/>
        <v>4</v>
      </c>
      <c r="F104" s="24" t="s">
        <v>18</v>
      </c>
      <c r="G104" s="57"/>
      <c r="H104" s="103">
        <f t="shared" si="36"/>
        <v>0</v>
      </c>
      <c r="I104" s="104">
        <f t="shared" si="37"/>
        <v>0</v>
      </c>
      <c r="J104" s="113">
        <v>2</v>
      </c>
      <c r="K104" s="105">
        <f t="shared" si="38"/>
        <v>0</v>
      </c>
      <c r="L104" s="106">
        <f t="shared" si="39"/>
        <v>0</v>
      </c>
    </row>
    <row r="105" spans="1:12" x14ac:dyDescent="0.35">
      <c r="A105" s="60">
        <v>16</v>
      </c>
      <c r="B105" s="34" t="s">
        <v>106</v>
      </c>
      <c r="C105" s="24">
        <v>3</v>
      </c>
      <c r="D105" s="22">
        <v>0</v>
      </c>
      <c r="E105" s="23">
        <f t="shared" si="10"/>
        <v>3</v>
      </c>
      <c r="F105" s="24" t="s">
        <v>18</v>
      </c>
      <c r="G105" s="57"/>
      <c r="H105" s="103">
        <f t="shared" si="36"/>
        <v>0</v>
      </c>
      <c r="I105" s="104">
        <f t="shared" si="37"/>
        <v>0</v>
      </c>
      <c r="J105" s="113">
        <v>1.5</v>
      </c>
      <c r="K105" s="105">
        <f t="shared" si="38"/>
        <v>0</v>
      </c>
      <c r="L105" s="106">
        <f t="shared" si="39"/>
        <v>0</v>
      </c>
    </row>
    <row r="106" spans="1:12" x14ac:dyDescent="0.35">
      <c r="A106" s="60">
        <v>17</v>
      </c>
      <c r="B106" s="41" t="s">
        <v>148</v>
      </c>
      <c r="C106" s="24">
        <v>10</v>
      </c>
      <c r="D106" s="22">
        <v>0</v>
      </c>
      <c r="E106" s="23">
        <f t="shared" si="10"/>
        <v>10</v>
      </c>
      <c r="F106" s="24" t="s">
        <v>18</v>
      </c>
      <c r="G106" s="57"/>
      <c r="H106" s="103">
        <f t="shared" si="36"/>
        <v>0</v>
      </c>
      <c r="I106" s="104">
        <f t="shared" si="37"/>
        <v>0</v>
      </c>
      <c r="J106" s="113">
        <v>5</v>
      </c>
      <c r="K106" s="105">
        <f t="shared" si="38"/>
        <v>0</v>
      </c>
      <c r="L106" s="106">
        <f t="shared" si="39"/>
        <v>0</v>
      </c>
    </row>
    <row r="107" spans="1:12" x14ac:dyDescent="0.35">
      <c r="A107" s="377" t="s">
        <v>159</v>
      </c>
      <c r="B107" s="378"/>
      <c r="C107" s="24"/>
      <c r="D107" s="22"/>
      <c r="E107" s="23"/>
      <c r="F107" s="24"/>
      <c r="G107" s="26"/>
      <c r="H107" s="24"/>
      <c r="I107" s="24"/>
      <c r="J107" s="27"/>
      <c r="K107" s="24"/>
      <c r="L107" s="109"/>
    </row>
    <row r="108" spans="1:12" ht="15" thickBot="1" x14ac:dyDescent="0.4">
      <c r="A108" s="70"/>
      <c r="B108" s="6"/>
      <c r="C108" s="24"/>
      <c r="D108" s="22"/>
      <c r="E108" s="23"/>
      <c r="F108" s="24"/>
      <c r="G108" s="26"/>
      <c r="H108" s="24"/>
      <c r="I108" s="24"/>
      <c r="J108" s="27"/>
      <c r="K108" s="24"/>
      <c r="L108" s="109"/>
    </row>
    <row r="109" spans="1:12" ht="15" thickBot="1" x14ac:dyDescent="0.4">
      <c r="A109" s="364" t="s">
        <v>164</v>
      </c>
      <c r="B109" s="365"/>
      <c r="C109" s="24"/>
      <c r="D109" s="22"/>
      <c r="E109" s="23"/>
      <c r="F109" s="24"/>
      <c r="G109" s="26"/>
      <c r="H109" s="24"/>
      <c r="I109" s="24"/>
      <c r="J109" s="27"/>
      <c r="K109" s="24"/>
      <c r="L109" s="109"/>
    </row>
    <row r="110" spans="1:12" x14ac:dyDescent="0.35">
      <c r="A110" s="60">
        <v>1</v>
      </c>
      <c r="B110" s="32" t="s">
        <v>91</v>
      </c>
      <c r="C110" s="27">
        <v>51</v>
      </c>
      <c r="D110" s="22">
        <v>0.1</v>
      </c>
      <c r="E110" s="23">
        <f>C110*(1+D110)</f>
        <v>56.1</v>
      </c>
      <c r="F110" s="24" t="s">
        <v>17</v>
      </c>
      <c r="G110" s="57"/>
      <c r="H110" s="103">
        <f t="shared" ref="H110:H112" si="40">G110*E110</f>
        <v>0</v>
      </c>
      <c r="I110" s="104">
        <f t="shared" ref="I110:I112" si="41">L$4</f>
        <v>0</v>
      </c>
      <c r="J110" s="113">
        <v>11.22</v>
      </c>
      <c r="K110" s="105">
        <f t="shared" ref="K110:K112" si="42">J110*I110</f>
        <v>0</v>
      </c>
      <c r="L110" s="106">
        <f t="shared" ref="L110:L112" si="43">K110+H110</f>
        <v>0</v>
      </c>
    </row>
    <row r="111" spans="1:12" x14ac:dyDescent="0.35">
      <c r="A111" s="67">
        <v>2</v>
      </c>
      <c r="B111" s="26" t="s">
        <v>36</v>
      </c>
      <c r="C111" s="24">
        <v>1</v>
      </c>
      <c r="D111" s="22">
        <v>0</v>
      </c>
      <c r="E111" s="23">
        <f t="shared" ref="E111" si="44">C111*(1+D111)</f>
        <v>1</v>
      </c>
      <c r="F111" s="24" t="s">
        <v>18</v>
      </c>
      <c r="G111" s="57"/>
      <c r="H111" s="103">
        <f t="shared" si="40"/>
        <v>0</v>
      </c>
      <c r="I111" s="104">
        <f t="shared" si="41"/>
        <v>0</v>
      </c>
      <c r="J111" s="113">
        <v>0.5</v>
      </c>
      <c r="K111" s="105">
        <f t="shared" si="42"/>
        <v>0</v>
      </c>
      <c r="L111" s="106">
        <f t="shared" si="43"/>
        <v>0</v>
      </c>
    </row>
    <row r="112" spans="1:12" x14ac:dyDescent="0.35">
      <c r="A112" s="67">
        <v>3</v>
      </c>
      <c r="B112" s="26" t="s">
        <v>44</v>
      </c>
      <c r="C112" s="24">
        <v>1</v>
      </c>
      <c r="D112" s="22">
        <v>0</v>
      </c>
      <c r="E112" s="23">
        <f t="shared" ref="E112" si="45">C112*(1+D112)</f>
        <v>1</v>
      </c>
      <c r="F112" s="24" t="s">
        <v>18</v>
      </c>
      <c r="G112" s="57"/>
      <c r="H112" s="103">
        <f t="shared" si="40"/>
        <v>0</v>
      </c>
      <c r="I112" s="104">
        <f t="shared" si="41"/>
        <v>0</v>
      </c>
      <c r="J112" s="113">
        <v>0.5</v>
      </c>
      <c r="K112" s="105">
        <f t="shared" si="42"/>
        <v>0</v>
      </c>
      <c r="L112" s="106">
        <f t="shared" si="43"/>
        <v>0</v>
      </c>
    </row>
    <row r="113" spans="1:12" x14ac:dyDescent="0.35">
      <c r="A113" s="362" t="s">
        <v>90</v>
      </c>
      <c r="B113" s="363"/>
      <c r="C113" s="27"/>
      <c r="D113" s="22"/>
      <c r="E113" s="23"/>
      <c r="F113" s="24"/>
      <c r="G113" s="25"/>
      <c r="H113" s="27"/>
      <c r="I113" s="27"/>
      <c r="J113" s="27"/>
      <c r="K113" s="24"/>
      <c r="L113" s="109"/>
    </row>
    <row r="114" spans="1:12" ht="15" thickBot="1" x14ac:dyDescent="0.4">
      <c r="A114" s="67"/>
      <c r="B114" s="32"/>
      <c r="C114" s="27"/>
      <c r="D114" s="22"/>
      <c r="E114" s="23"/>
      <c r="F114" s="24"/>
      <c r="G114" s="25"/>
      <c r="H114" s="27"/>
      <c r="I114" s="27"/>
      <c r="J114" s="27"/>
      <c r="K114" s="24"/>
      <c r="L114" s="109"/>
    </row>
    <row r="115" spans="1:12" ht="15" thickBot="1" x14ac:dyDescent="0.4">
      <c r="A115" s="364" t="s">
        <v>171</v>
      </c>
      <c r="B115" s="365"/>
      <c r="C115" s="24"/>
      <c r="D115" s="22"/>
      <c r="E115" s="23"/>
      <c r="F115" s="24"/>
      <c r="G115" s="25"/>
      <c r="H115" s="27"/>
      <c r="I115" s="27"/>
      <c r="J115" s="27"/>
      <c r="K115" s="24"/>
      <c r="L115" s="109"/>
    </row>
    <row r="116" spans="1:12" s="42" customFormat="1" x14ac:dyDescent="0.35">
      <c r="A116" s="60">
        <v>1</v>
      </c>
      <c r="B116" s="32" t="s">
        <v>99</v>
      </c>
      <c r="C116" s="27">
        <v>11</v>
      </c>
      <c r="D116" s="22">
        <v>0.1</v>
      </c>
      <c r="E116" s="23">
        <f>C116*(1+D116)</f>
        <v>12.100000000000001</v>
      </c>
      <c r="F116" s="24" t="s">
        <v>17</v>
      </c>
      <c r="G116" s="57"/>
      <c r="H116" s="103">
        <f t="shared" ref="H116:H129" si="46">G116*E116</f>
        <v>0</v>
      </c>
      <c r="I116" s="104">
        <f t="shared" ref="I116:I129" si="47">L$4</f>
        <v>0</v>
      </c>
      <c r="J116" s="113">
        <v>1.2100000000000002</v>
      </c>
      <c r="K116" s="105">
        <f t="shared" ref="K116:K129" si="48">J116*I116</f>
        <v>0</v>
      </c>
      <c r="L116" s="106">
        <f t="shared" ref="L116:L129" si="49">K116+H116</f>
        <v>0</v>
      </c>
    </row>
    <row r="117" spans="1:12" s="42" customFormat="1" x14ac:dyDescent="0.35">
      <c r="A117" s="60">
        <v>2</v>
      </c>
      <c r="B117" s="32" t="s">
        <v>101</v>
      </c>
      <c r="C117" s="27">
        <v>66</v>
      </c>
      <c r="D117" s="22">
        <v>0.1</v>
      </c>
      <c r="E117" s="23">
        <f>C117*(1+D117)</f>
        <v>72.600000000000009</v>
      </c>
      <c r="F117" s="24" t="s">
        <v>17</v>
      </c>
      <c r="G117" s="57"/>
      <c r="H117" s="103">
        <f t="shared" si="46"/>
        <v>0</v>
      </c>
      <c r="I117" s="104">
        <f t="shared" si="47"/>
        <v>0</v>
      </c>
      <c r="J117" s="113">
        <v>7.2600000000000016</v>
      </c>
      <c r="K117" s="105">
        <f t="shared" si="48"/>
        <v>0</v>
      </c>
      <c r="L117" s="106">
        <f t="shared" si="49"/>
        <v>0</v>
      </c>
    </row>
    <row r="118" spans="1:12" s="42" customFormat="1" x14ac:dyDescent="0.35">
      <c r="A118" s="60">
        <v>3</v>
      </c>
      <c r="B118" s="34" t="s">
        <v>100</v>
      </c>
      <c r="C118" s="24">
        <v>48</v>
      </c>
      <c r="D118" s="22">
        <v>0.1</v>
      </c>
      <c r="E118" s="23">
        <f>C118*(1+D118)</f>
        <v>52.800000000000004</v>
      </c>
      <c r="F118" s="24" t="s">
        <v>17</v>
      </c>
      <c r="G118" s="57"/>
      <c r="H118" s="103">
        <f t="shared" si="46"/>
        <v>0</v>
      </c>
      <c r="I118" s="104">
        <f t="shared" si="47"/>
        <v>0</v>
      </c>
      <c r="J118" s="113">
        <v>5.2800000000000011</v>
      </c>
      <c r="K118" s="105">
        <f t="shared" si="48"/>
        <v>0</v>
      </c>
      <c r="L118" s="106">
        <f t="shared" si="49"/>
        <v>0</v>
      </c>
    </row>
    <row r="119" spans="1:12" s="42" customFormat="1" x14ac:dyDescent="0.35">
      <c r="A119" s="60">
        <v>4</v>
      </c>
      <c r="B119" s="43" t="s">
        <v>110</v>
      </c>
      <c r="C119" s="24">
        <v>69</v>
      </c>
      <c r="D119" s="22">
        <v>0.1</v>
      </c>
      <c r="E119" s="23">
        <f>C119*(1+D119)</f>
        <v>75.900000000000006</v>
      </c>
      <c r="F119" s="24" t="s">
        <v>17</v>
      </c>
      <c r="G119" s="57"/>
      <c r="H119" s="103">
        <f t="shared" si="46"/>
        <v>0</v>
      </c>
      <c r="I119" s="104">
        <f t="shared" si="47"/>
        <v>0</v>
      </c>
      <c r="J119" s="113">
        <v>7.5900000000000007</v>
      </c>
      <c r="K119" s="105">
        <f t="shared" si="48"/>
        <v>0</v>
      </c>
      <c r="L119" s="106">
        <f t="shared" si="49"/>
        <v>0</v>
      </c>
    </row>
    <row r="120" spans="1:12" x14ac:dyDescent="0.35">
      <c r="A120" s="60">
        <v>5</v>
      </c>
      <c r="B120" s="34" t="s">
        <v>105</v>
      </c>
      <c r="C120" s="24">
        <v>3</v>
      </c>
      <c r="D120" s="22">
        <v>0</v>
      </c>
      <c r="E120" s="23">
        <f t="shared" si="10"/>
        <v>3</v>
      </c>
      <c r="F120" s="24" t="s">
        <v>18</v>
      </c>
      <c r="G120" s="57"/>
      <c r="H120" s="103">
        <f t="shared" si="46"/>
        <v>0</v>
      </c>
      <c r="I120" s="104">
        <f t="shared" si="47"/>
        <v>0</v>
      </c>
      <c r="J120" s="113">
        <v>1.5</v>
      </c>
      <c r="K120" s="105">
        <f t="shared" si="48"/>
        <v>0</v>
      </c>
      <c r="L120" s="106">
        <f t="shared" si="49"/>
        <v>0</v>
      </c>
    </row>
    <row r="121" spans="1:12" x14ac:dyDescent="0.35">
      <c r="A121" s="60">
        <v>6</v>
      </c>
      <c r="B121" s="26" t="s">
        <v>103</v>
      </c>
      <c r="C121" s="24">
        <v>2</v>
      </c>
      <c r="D121" s="22">
        <v>0</v>
      </c>
      <c r="E121" s="23">
        <f t="shared" si="10"/>
        <v>2</v>
      </c>
      <c r="F121" s="24" t="s">
        <v>18</v>
      </c>
      <c r="G121" s="57"/>
      <c r="H121" s="103">
        <f t="shared" si="46"/>
        <v>0</v>
      </c>
      <c r="I121" s="104">
        <f t="shared" si="47"/>
        <v>0</v>
      </c>
      <c r="J121" s="113">
        <v>1</v>
      </c>
      <c r="K121" s="105">
        <f t="shared" si="48"/>
        <v>0</v>
      </c>
      <c r="L121" s="106">
        <f t="shared" si="49"/>
        <v>0</v>
      </c>
    </row>
    <row r="122" spans="1:12" x14ac:dyDescent="0.35">
      <c r="A122" s="60">
        <v>7</v>
      </c>
      <c r="B122" s="34" t="s">
        <v>111</v>
      </c>
      <c r="C122" s="24">
        <v>1</v>
      </c>
      <c r="D122" s="22">
        <v>0</v>
      </c>
      <c r="E122" s="23">
        <f t="shared" si="10"/>
        <v>1</v>
      </c>
      <c r="F122" s="24" t="s">
        <v>18</v>
      </c>
      <c r="G122" s="57"/>
      <c r="H122" s="103">
        <f t="shared" si="46"/>
        <v>0</v>
      </c>
      <c r="I122" s="104">
        <f t="shared" si="47"/>
        <v>0</v>
      </c>
      <c r="J122" s="113">
        <v>0.5</v>
      </c>
      <c r="K122" s="105">
        <f t="shared" si="48"/>
        <v>0</v>
      </c>
      <c r="L122" s="106">
        <f t="shared" si="49"/>
        <v>0</v>
      </c>
    </row>
    <row r="123" spans="1:12" x14ac:dyDescent="0.35">
      <c r="A123" s="60">
        <v>8</v>
      </c>
      <c r="B123" s="26" t="s">
        <v>104</v>
      </c>
      <c r="C123" s="24">
        <v>6</v>
      </c>
      <c r="D123" s="22">
        <v>0</v>
      </c>
      <c r="E123" s="23">
        <f t="shared" si="10"/>
        <v>6</v>
      </c>
      <c r="F123" s="24" t="s">
        <v>18</v>
      </c>
      <c r="G123" s="57"/>
      <c r="H123" s="103">
        <f t="shared" si="46"/>
        <v>0</v>
      </c>
      <c r="I123" s="104">
        <f t="shared" si="47"/>
        <v>0</v>
      </c>
      <c r="J123" s="113">
        <v>3</v>
      </c>
      <c r="K123" s="105">
        <f t="shared" si="48"/>
        <v>0</v>
      </c>
      <c r="L123" s="106">
        <f t="shared" si="49"/>
        <v>0</v>
      </c>
    </row>
    <row r="124" spans="1:12" x14ac:dyDescent="0.35">
      <c r="A124" s="60">
        <v>9</v>
      </c>
      <c r="B124" s="34" t="s">
        <v>112</v>
      </c>
      <c r="C124" s="24">
        <v>2</v>
      </c>
      <c r="D124" s="22">
        <v>0</v>
      </c>
      <c r="E124" s="23">
        <f t="shared" ref="E124:E474" si="50">C124*(1+D124)</f>
        <v>2</v>
      </c>
      <c r="F124" s="24" t="s">
        <v>18</v>
      </c>
      <c r="G124" s="57"/>
      <c r="H124" s="103">
        <f t="shared" si="46"/>
        <v>0</v>
      </c>
      <c r="I124" s="104">
        <f t="shared" si="47"/>
        <v>0</v>
      </c>
      <c r="J124" s="113">
        <v>1</v>
      </c>
      <c r="K124" s="105">
        <f t="shared" si="48"/>
        <v>0</v>
      </c>
      <c r="L124" s="106">
        <f t="shared" si="49"/>
        <v>0</v>
      </c>
    </row>
    <row r="125" spans="1:12" x14ac:dyDescent="0.35">
      <c r="A125" s="60">
        <v>10</v>
      </c>
      <c r="B125" s="34" t="s">
        <v>150</v>
      </c>
      <c r="C125" s="24">
        <v>10</v>
      </c>
      <c r="D125" s="22">
        <v>0</v>
      </c>
      <c r="E125" s="23">
        <f t="shared" si="50"/>
        <v>10</v>
      </c>
      <c r="F125" s="24" t="s">
        <v>18</v>
      </c>
      <c r="G125" s="57"/>
      <c r="H125" s="103">
        <f t="shared" si="46"/>
        <v>0</v>
      </c>
      <c r="I125" s="104">
        <f t="shared" si="47"/>
        <v>0</v>
      </c>
      <c r="J125" s="113">
        <v>5</v>
      </c>
      <c r="K125" s="105">
        <f t="shared" si="48"/>
        <v>0</v>
      </c>
      <c r="L125" s="106">
        <f t="shared" si="49"/>
        <v>0</v>
      </c>
    </row>
    <row r="126" spans="1:12" x14ac:dyDescent="0.35">
      <c r="A126" s="60">
        <v>11</v>
      </c>
      <c r="B126" s="26" t="s">
        <v>42</v>
      </c>
      <c r="C126" s="24">
        <v>2</v>
      </c>
      <c r="D126" s="22">
        <v>0</v>
      </c>
      <c r="E126" s="23">
        <f t="shared" si="50"/>
        <v>2</v>
      </c>
      <c r="F126" s="24" t="s">
        <v>18</v>
      </c>
      <c r="G126" s="57"/>
      <c r="H126" s="103">
        <f t="shared" si="46"/>
        <v>0</v>
      </c>
      <c r="I126" s="104">
        <f t="shared" si="47"/>
        <v>0</v>
      </c>
      <c r="J126" s="113">
        <v>1</v>
      </c>
      <c r="K126" s="105">
        <f t="shared" si="48"/>
        <v>0</v>
      </c>
      <c r="L126" s="106">
        <f t="shared" si="49"/>
        <v>0</v>
      </c>
    </row>
    <row r="127" spans="1:12" x14ac:dyDescent="0.35">
      <c r="A127" s="60">
        <v>12</v>
      </c>
      <c r="B127" s="34" t="s">
        <v>45</v>
      </c>
      <c r="C127" s="24">
        <v>2</v>
      </c>
      <c r="D127" s="22">
        <v>0</v>
      </c>
      <c r="E127" s="23">
        <f t="shared" si="50"/>
        <v>2</v>
      </c>
      <c r="F127" s="24" t="s">
        <v>18</v>
      </c>
      <c r="G127" s="57"/>
      <c r="H127" s="103">
        <f t="shared" si="46"/>
        <v>0</v>
      </c>
      <c r="I127" s="104">
        <f t="shared" si="47"/>
        <v>0</v>
      </c>
      <c r="J127" s="113">
        <v>1</v>
      </c>
      <c r="K127" s="105">
        <f t="shared" si="48"/>
        <v>0</v>
      </c>
      <c r="L127" s="106">
        <f t="shared" si="49"/>
        <v>0</v>
      </c>
    </row>
    <row r="128" spans="1:12" x14ac:dyDescent="0.35">
      <c r="A128" s="60">
        <v>13</v>
      </c>
      <c r="B128" s="34" t="s">
        <v>84</v>
      </c>
      <c r="C128" s="24">
        <v>2</v>
      </c>
      <c r="D128" s="22">
        <v>0</v>
      </c>
      <c r="E128" s="23">
        <f t="shared" si="50"/>
        <v>2</v>
      </c>
      <c r="F128" s="24" t="s">
        <v>18</v>
      </c>
      <c r="G128" s="57"/>
      <c r="H128" s="103">
        <f t="shared" si="46"/>
        <v>0</v>
      </c>
      <c r="I128" s="104">
        <f t="shared" si="47"/>
        <v>0</v>
      </c>
      <c r="J128" s="113">
        <v>1</v>
      </c>
      <c r="K128" s="105">
        <f t="shared" si="48"/>
        <v>0</v>
      </c>
      <c r="L128" s="106">
        <f t="shared" si="49"/>
        <v>0</v>
      </c>
    </row>
    <row r="129" spans="1:12" x14ac:dyDescent="0.35">
      <c r="A129" s="60">
        <v>14</v>
      </c>
      <c r="B129" s="34" t="s">
        <v>148</v>
      </c>
      <c r="C129" s="24">
        <v>5</v>
      </c>
      <c r="D129" s="22">
        <v>0</v>
      </c>
      <c r="E129" s="23">
        <f t="shared" si="50"/>
        <v>5</v>
      </c>
      <c r="F129" s="24" t="s">
        <v>18</v>
      </c>
      <c r="G129" s="57"/>
      <c r="H129" s="103">
        <f t="shared" si="46"/>
        <v>0</v>
      </c>
      <c r="I129" s="104">
        <f t="shared" si="47"/>
        <v>0</v>
      </c>
      <c r="J129" s="113">
        <v>2.5</v>
      </c>
      <c r="K129" s="105">
        <f t="shared" si="48"/>
        <v>0</v>
      </c>
      <c r="L129" s="106">
        <f t="shared" si="49"/>
        <v>0</v>
      </c>
    </row>
    <row r="130" spans="1:12" x14ac:dyDescent="0.35">
      <c r="A130" s="362" t="s">
        <v>159</v>
      </c>
      <c r="B130" s="363"/>
      <c r="C130" s="24"/>
      <c r="D130" s="22"/>
      <c r="E130" s="23"/>
      <c r="F130" s="24"/>
      <c r="G130" s="27"/>
      <c r="H130" s="27"/>
      <c r="I130" s="27"/>
      <c r="J130" s="27"/>
      <c r="K130" s="24"/>
      <c r="L130" s="109"/>
    </row>
    <row r="131" spans="1:12" ht="15" thickBot="1" x14ac:dyDescent="0.4">
      <c r="A131" s="71"/>
      <c r="B131" s="8"/>
      <c r="C131" s="24"/>
      <c r="D131" s="22"/>
      <c r="E131" s="23"/>
      <c r="F131" s="24"/>
      <c r="G131" s="27"/>
      <c r="H131" s="27"/>
      <c r="I131" s="27"/>
      <c r="J131" s="27"/>
      <c r="K131" s="24"/>
      <c r="L131" s="109"/>
    </row>
    <row r="132" spans="1:12" ht="15" thickBot="1" x14ac:dyDescent="0.4">
      <c r="A132" s="373" t="s">
        <v>166</v>
      </c>
      <c r="B132" s="374"/>
      <c r="C132" s="24"/>
      <c r="D132" s="22"/>
      <c r="E132" s="23"/>
      <c r="F132" s="24"/>
      <c r="G132" s="27"/>
      <c r="H132" s="27"/>
      <c r="I132" s="27"/>
      <c r="J132" s="27"/>
      <c r="K132" s="24"/>
      <c r="L132" s="109"/>
    </row>
    <row r="133" spans="1:12" x14ac:dyDescent="0.35">
      <c r="A133" s="60">
        <v>1</v>
      </c>
      <c r="B133" s="32" t="s">
        <v>93</v>
      </c>
      <c r="C133" s="27">
        <v>20</v>
      </c>
      <c r="D133" s="22">
        <v>0.1</v>
      </c>
      <c r="E133" s="23">
        <f>C133*(1+D133)</f>
        <v>22</v>
      </c>
      <c r="F133" s="24" t="s">
        <v>17</v>
      </c>
      <c r="G133" s="57"/>
      <c r="H133" s="103">
        <f t="shared" ref="H133:H137" si="51">G133*E133</f>
        <v>0</v>
      </c>
      <c r="I133" s="104">
        <f t="shared" ref="I133:I137" si="52">L$4</f>
        <v>0</v>
      </c>
      <c r="J133" s="113">
        <v>2.2000000000000002</v>
      </c>
      <c r="K133" s="105">
        <f t="shared" ref="K133:K137" si="53">J133*I133</f>
        <v>0</v>
      </c>
      <c r="L133" s="106">
        <f t="shared" ref="L133:L137" si="54">K133+H133</f>
        <v>0</v>
      </c>
    </row>
    <row r="134" spans="1:12" x14ac:dyDescent="0.35">
      <c r="A134" s="60">
        <v>2</v>
      </c>
      <c r="B134" s="32" t="s">
        <v>96</v>
      </c>
      <c r="C134" s="27">
        <v>87</v>
      </c>
      <c r="D134" s="22">
        <v>0.1</v>
      </c>
      <c r="E134" s="23">
        <f>C134*(1+D134)</f>
        <v>95.7</v>
      </c>
      <c r="F134" s="24" t="s">
        <v>17</v>
      </c>
      <c r="G134" s="57"/>
      <c r="H134" s="103">
        <f t="shared" si="51"/>
        <v>0</v>
      </c>
      <c r="I134" s="104">
        <f t="shared" si="52"/>
        <v>0</v>
      </c>
      <c r="J134" s="113">
        <v>9.57</v>
      </c>
      <c r="K134" s="105">
        <f t="shared" si="53"/>
        <v>0</v>
      </c>
      <c r="L134" s="106">
        <f t="shared" si="54"/>
        <v>0</v>
      </c>
    </row>
    <row r="135" spans="1:12" x14ac:dyDescent="0.35">
      <c r="A135" s="60">
        <v>3</v>
      </c>
      <c r="B135" s="26" t="s">
        <v>46</v>
      </c>
      <c r="C135" s="24">
        <v>15</v>
      </c>
      <c r="D135" s="22">
        <v>0</v>
      </c>
      <c r="E135" s="23">
        <f t="shared" si="50"/>
        <v>15</v>
      </c>
      <c r="F135" s="24" t="s">
        <v>18</v>
      </c>
      <c r="G135" s="57"/>
      <c r="H135" s="103">
        <f t="shared" si="51"/>
        <v>0</v>
      </c>
      <c r="I135" s="104">
        <f t="shared" si="52"/>
        <v>0</v>
      </c>
      <c r="J135" s="113">
        <v>7.5</v>
      </c>
      <c r="K135" s="105">
        <f t="shared" si="53"/>
        <v>0</v>
      </c>
      <c r="L135" s="106">
        <f t="shared" si="54"/>
        <v>0</v>
      </c>
    </row>
    <row r="136" spans="1:12" x14ac:dyDescent="0.35">
      <c r="A136" s="60">
        <v>4</v>
      </c>
      <c r="B136" s="34" t="s">
        <v>47</v>
      </c>
      <c r="C136" s="24">
        <v>11</v>
      </c>
      <c r="D136" s="22">
        <v>0</v>
      </c>
      <c r="E136" s="23">
        <f t="shared" si="50"/>
        <v>11</v>
      </c>
      <c r="F136" s="24" t="s">
        <v>18</v>
      </c>
      <c r="G136" s="57"/>
      <c r="H136" s="103">
        <f t="shared" si="51"/>
        <v>0</v>
      </c>
      <c r="I136" s="104">
        <f t="shared" si="52"/>
        <v>0</v>
      </c>
      <c r="J136" s="113">
        <v>5.5</v>
      </c>
      <c r="K136" s="105">
        <f t="shared" si="53"/>
        <v>0</v>
      </c>
      <c r="L136" s="106">
        <f t="shared" si="54"/>
        <v>0</v>
      </c>
    </row>
    <row r="137" spans="1:12" x14ac:dyDescent="0.35">
      <c r="A137" s="60">
        <v>5</v>
      </c>
      <c r="B137" s="34" t="s">
        <v>48</v>
      </c>
      <c r="C137" s="24">
        <v>1</v>
      </c>
      <c r="D137" s="22">
        <v>0</v>
      </c>
      <c r="E137" s="23">
        <f t="shared" si="50"/>
        <v>1</v>
      </c>
      <c r="F137" s="24" t="s">
        <v>18</v>
      </c>
      <c r="G137" s="57"/>
      <c r="H137" s="103">
        <f t="shared" si="51"/>
        <v>0</v>
      </c>
      <c r="I137" s="104">
        <f t="shared" si="52"/>
        <v>0</v>
      </c>
      <c r="J137" s="113">
        <v>0.5</v>
      </c>
      <c r="K137" s="105">
        <f t="shared" si="53"/>
        <v>0</v>
      </c>
      <c r="L137" s="106">
        <f t="shared" si="54"/>
        <v>0</v>
      </c>
    </row>
    <row r="138" spans="1:12" x14ac:dyDescent="0.35">
      <c r="A138" s="362" t="s">
        <v>90</v>
      </c>
      <c r="B138" s="363"/>
      <c r="C138" s="44"/>
      <c r="D138" s="22"/>
      <c r="E138" s="23"/>
      <c r="F138" s="24"/>
      <c r="G138" s="27"/>
      <c r="H138" s="27"/>
      <c r="I138" s="27"/>
      <c r="J138" s="27"/>
      <c r="K138" s="24"/>
      <c r="L138" s="109"/>
    </row>
    <row r="139" spans="1:12" ht="15" thickBot="1" x14ac:dyDescent="0.4">
      <c r="A139" s="72"/>
      <c r="B139" s="32"/>
      <c r="C139" s="27"/>
      <c r="D139" s="22"/>
      <c r="E139" s="23"/>
      <c r="F139" s="24"/>
      <c r="G139" s="27"/>
      <c r="H139" s="27"/>
      <c r="I139" s="27"/>
      <c r="J139" s="27"/>
      <c r="K139" s="24"/>
      <c r="L139" s="109"/>
    </row>
    <row r="140" spans="1:12" ht="15" thickBot="1" x14ac:dyDescent="0.4">
      <c r="A140" s="364" t="s">
        <v>165</v>
      </c>
      <c r="B140" s="365"/>
      <c r="C140" s="27"/>
      <c r="D140" s="22"/>
      <c r="E140" s="23"/>
      <c r="F140" s="24"/>
      <c r="G140" s="27"/>
      <c r="H140" s="27"/>
      <c r="I140" s="27"/>
      <c r="J140" s="27"/>
      <c r="K140" s="24"/>
      <c r="L140" s="109"/>
    </row>
    <row r="141" spans="1:12" x14ac:dyDescent="0.35">
      <c r="A141" s="72">
        <v>1</v>
      </c>
      <c r="B141" s="32" t="s">
        <v>91</v>
      </c>
      <c r="C141" s="27">
        <v>62</v>
      </c>
      <c r="D141" s="22">
        <v>0.1</v>
      </c>
      <c r="E141" s="23">
        <f t="shared" ref="E141" si="55">C141*(1+D141)</f>
        <v>68.2</v>
      </c>
      <c r="F141" s="24" t="s">
        <v>17</v>
      </c>
      <c r="G141" s="57"/>
      <c r="H141" s="103">
        <f>G141*E141</f>
        <v>0</v>
      </c>
      <c r="I141" s="104">
        <f>L$4</f>
        <v>0</v>
      </c>
      <c r="J141" s="113">
        <v>13.64</v>
      </c>
      <c r="K141" s="105">
        <f>J141*I141</f>
        <v>0</v>
      </c>
      <c r="L141" s="106">
        <f>K141+H141</f>
        <v>0</v>
      </c>
    </row>
    <row r="142" spans="1:12" x14ac:dyDescent="0.35">
      <c r="A142" s="362" t="s">
        <v>90</v>
      </c>
      <c r="B142" s="363"/>
      <c r="C142" s="27"/>
      <c r="D142" s="22"/>
      <c r="E142" s="23"/>
      <c r="F142" s="24"/>
      <c r="G142" s="27"/>
      <c r="H142" s="27"/>
      <c r="I142" s="27"/>
      <c r="J142" s="27"/>
      <c r="K142" s="24"/>
      <c r="L142" s="109"/>
    </row>
    <row r="143" spans="1:12" ht="15" thickBot="1" x14ac:dyDescent="0.4">
      <c r="A143" s="71"/>
      <c r="B143" s="8"/>
      <c r="C143" s="27"/>
      <c r="D143" s="22"/>
      <c r="E143" s="23"/>
      <c r="F143" s="24"/>
      <c r="G143" s="27"/>
      <c r="H143" s="27"/>
      <c r="I143" s="27"/>
      <c r="J143" s="27"/>
      <c r="K143" s="24"/>
      <c r="L143" s="109"/>
    </row>
    <row r="144" spans="1:12" ht="15" thickBot="1" x14ac:dyDescent="0.4">
      <c r="A144" s="364" t="s">
        <v>172</v>
      </c>
      <c r="B144" s="365"/>
      <c r="C144" s="24"/>
      <c r="D144" s="22"/>
      <c r="E144" s="23"/>
      <c r="F144" s="24"/>
      <c r="G144" s="27"/>
      <c r="H144" s="27"/>
      <c r="I144" s="27"/>
      <c r="J144" s="27"/>
      <c r="K144" s="24"/>
      <c r="L144" s="109"/>
    </row>
    <row r="145" spans="1:12" ht="15" thickBot="1" x14ac:dyDescent="0.4">
      <c r="A145" s="364" t="s">
        <v>173</v>
      </c>
      <c r="B145" s="365"/>
      <c r="C145" s="24"/>
      <c r="D145" s="22"/>
      <c r="E145" s="23"/>
      <c r="F145" s="24"/>
      <c r="G145" s="27"/>
      <c r="H145" s="27"/>
      <c r="I145" s="27"/>
      <c r="J145" s="27"/>
      <c r="K145" s="24"/>
      <c r="L145" s="109"/>
    </row>
    <row r="146" spans="1:12" x14ac:dyDescent="0.35">
      <c r="A146" s="60">
        <v>1</v>
      </c>
      <c r="B146" s="33" t="s">
        <v>93</v>
      </c>
      <c r="C146" s="27">
        <v>136</v>
      </c>
      <c r="D146" s="22">
        <v>0.1</v>
      </c>
      <c r="E146" s="23">
        <f>C146*(1+D146)</f>
        <v>149.60000000000002</v>
      </c>
      <c r="F146" s="24" t="s">
        <v>17</v>
      </c>
      <c r="G146" s="57"/>
      <c r="H146" s="103">
        <f t="shared" ref="H146:H169" si="56">G146*E146</f>
        <v>0</v>
      </c>
      <c r="I146" s="104">
        <f t="shared" ref="I146:I169" si="57">L$4</f>
        <v>0</v>
      </c>
      <c r="J146" s="113">
        <v>14.960000000000003</v>
      </c>
      <c r="K146" s="105">
        <f t="shared" ref="K146:K169" si="58">J146*I146</f>
        <v>0</v>
      </c>
      <c r="L146" s="106">
        <f t="shared" ref="L146:L169" si="59">K146+H146</f>
        <v>0</v>
      </c>
    </row>
    <row r="147" spans="1:12" x14ac:dyDescent="0.35">
      <c r="A147" s="60">
        <v>2</v>
      </c>
      <c r="B147" s="33" t="s">
        <v>96</v>
      </c>
      <c r="C147" s="27">
        <v>135</v>
      </c>
      <c r="D147" s="22">
        <v>0.1</v>
      </c>
      <c r="E147" s="23">
        <f>C147*(1+D147)</f>
        <v>148.5</v>
      </c>
      <c r="F147" s="24" t="s">
        <v>17</v>
      </c>
      <c r="G147" s="57"/>
      <c r="H147" s="103">
        <f t="shared" si="56"/>
        <v>0</v>
      </c>
      <c r="I147" s="104">
        <f t="shared" si="57"/>
        <v>0</v>
      </c>
      <c r="J147" s="113">
        <v>14.850000000000001</v>
      </c>
      <c r="K147" s="105">
        <f t="shared" si="58"/>
        <v>0</v>
      </c>
      <c r="L147" s="106">
        <f t="shared" si="59"/>
        <v>0</v>
      </c>
    </row>
    <row r="148" spans="1:12" x14ac:dyDescent="0.35">
      <c r="A148" s="60">
        <v>3</v>
      </c>
      <c r="B148" s="40" t="s">
        <v>113</v>
      </c>
      <c r="C148" s="27">
        <v>105</v>
      </c>
      <c r="D148" s="22">
        <v>0.1</v>
      </c>
      <c r="E148" s="23">
        <f>C148*(1+D148)</f>
        <v>115.50000000000001</v>
      </c>
      <c r="F148" s="24" t="s">
        <v>17</v>
      </c>
      <c r="G148" s="57"/>
      <c r="H148" s="103">
        <f t="shared" si="56"/>
        <v>0</v>
      </c>
      <c r="I148" s="104">
        <f t="shared" si="57"/>
        <v>0</v>
      </c>
      <c r="J148" s="113">
        <v>11.550000000000002</v>
      </c>
      <c r="K148" s="105">
        <f t="shared" si="58"/>
        <v>0</v>
      </c>
      <c r="L148" s="106">
        <f t="shared" si="59"/>
        <v>0</v>
      </c>
    </row>
    <row r="149" spans="1:12" x14ac:dyDescent="0.35">
      <c r="A149" s="60">
        <v>4</v>
      </c>
      <c r="B149" s="32" t="s">
        <v>110</v>
      </c>
      <c r="C149" s="27">
        <v>84</v>
      </c>
      <c r="D149" s="22">
        <v>0.1</v>
      </c>
      <c r="E149" s="23">
        <f>C149*(1+D149)</f>
        <v>92.4</v>
      </c>
      <c r="F149" s="24" t="s">
        <v>17</v>
      </c>
      <c r="G149" s="57"/>
      <c r="H149" s="103">
        <f t="shared" si="56"/>
        <v>0</v>
      </c>
      <c r="I149" s="104">
        <f t="shared" si="57"/>
        <v>0</v>
      </c>
      <c r="J149" s="113">
        <v>9.24</v>
      </c>
      <c r="K149" s="105">
        <f t="shared" si="58"/>
        <v>0</v>
      </c>
      <c r="L149" s="106">
        <f t="shared" si="59"/>
        <v>0</v>
      </c>
    </row>
    <row r="150" spans="1:12" x14ac:dyDescent="0.35">
      <c r="A150" s="60">
        <v>5</v>
      </c>
      <c r="B150" s="32" t="s">
        <v>114</v>
      </c>
      <c r="C150" s="27">
        <v>36</v>
      </c>
      <c r="D150" s="22">
        <v>0.1</v>
      </c>
      <c r="E150" s="23">
        <f>C150*(1+D150)</f>
        <v>39.6</v>
      </c>
      <c r="F150" s="24" t="s">
        <v>17</v>
      </c>
      <c r="G150" s="57"/>
      <c r="H150" s="103">
        <f t="shared" si="56"/>
        <v>0</v>
      </c>
      <c r="I150" s="104">
        <f t="shared" si="57"/>
        <v>0</v>
      </c>
      <c r="J150" s="113">
        <v>3.9600000000000004</v>
      </c>
      <c r="K150" s="105">
        <f t="shared" si="58"/>
        <v>0</v>
      </c>
      <c r="L150" s="106">
        <f t="shared" si="59"/>
        <v>0</v>
      </c>
    </row>
    <row r="151" spans="1:12" x14ac:dyDescent="0.35">
      <c r="A151" s="60">
        <v>6</v>
      </c>
      <c r="B151" s="26" t="s">
        <v>49</v>
      </c>
      <c r="C151" s="24">
        <v>3</v>
      </c>
      <c r="D151" s="22">
        <v>0</v>
      </c>
      <c r="E151" s="23">
        <f t="shared" si="50"/>
        <v>3</v>
      </c>
      <c r="F151" s="24" t="s">
        <v>18</v>
      </c>
      <c r="G151" s="57"/>
      <c r="H151" s="103">
        <f t="shared" si="56"/>
        <v>0</v>
      </c>
      <c r="I151" s="104">
        <f t="shared" si="57"/>
        <v>0</v>
      </c>
      <c r="J151" s="113">
        <v>1.5</v>
      </c>
      <c r="K151" s="105">
        <f t="shared" si="58"/>
        <v>0</v>
      </c>
      <c r="L151" s="106">
        <f t="shared" si="59"/>
        <v>0</v>
      </c>
    </row>
    <row r="152" spans="1:12" x14ac:dyDescent="0.35">
      <c r="A152" s="60">
        <v>7</v>
      </c>
      <c r="B152" s="34" t="s">
        <v>51</v>
      </c>
      <c r="C152" s="24">
        <v>4</v>
      </c>
      <c r="D152" s="22">
        <v>0</v>
      </c>
      <c r="E152" s="23">
        <f t="shared" si="50"/>
        <v>4</v>
      </c>
      <c r="F152" s="24" t="s">
        <v>18</v>
      </c>
      <c r="G152" s="57"/>
      <c r="H152" s="103">
        <f t="shared" si="56"/>
        <v>0</v>
      </c>
      <c r="I152" s="104">
        <f t="shared" si="57"/>
        <v>0</v>
      </c>
      <c r="J152" s="113">
        <v>2</v>
      </c>
      <c r="K152" s="105">
        <f t="shared" si="58"/>
        <v>0</v>
      </c>
      <c r="L152" s="106">
        <f t="shared" si="59"/>
        <v>0</v>
      </c>
    </row>
    <row r="153" spans="1:12" x14ac:dyDescent="0.35">
      <c r="A153" s="60">
        <v>8</v>
      </c>
      <c r="B153" s="26" t="s">
        <v>46</v>
      </c>
      <c r="C153" s="24">
        <v>8</v>
      </c>
      <c r="D153" s="22">
        <v>0</v>
      </c>
      <c r="E153" s="23">
        <f t="shared" si="50"/>
        <v>8</v>
      </c>
      <c r="F153" s="24" t="s">
        <v>18</v>
      </c>
      <c r="G153" s="57"/>
      <c r="H153" s="103">
        <f t="shared" si="56"/>
        <v>0</v>
      </c>
      <c r="I153" s="104">
        <f t="shared" si="57"/>
        <v>0</v>
      </c>
      <c r="J153" s="113">
        <v>4</v>
      </c>
      <c r="K153" s="105">
        <f t="shared" si="58"/>
        <v>0</v>
      </c>
      <c r="L153" s="106">
        <f t="shared" si="59"/>
        <v>0</v>
      </c>
    </row>
    <row r="154" spans="1:12" x14ac:dyDescent="0.35">
      <c r="A154" s="60">
        <v>9</v>
      </c>
      <c r="B154" s="34" t="s">
        <v>52</v>
      </c>
      <c r="C154" s="24">
        <v>1</v>
      </c>
      <c r="D154" s="22">
        <v>0</v>
      </c>
      <c r="E154" s="23">
        <f t="shared" si="50"/>
        <v>1</v>
      </c>
      <c r="F154" s="24" t="s">
        <v>18</v>
      </c>
      <c r="G154" s="57"/>
      <c r="H154" s="103">
        <f t="shared" si="56"/>
        <v>0</v>
      </c>
      <c r="I154" s="104">
        <f t="shared" si="57"/>
        <v>0</v>
      </c>
      <c r="J154" s="113">
        <v>0.5</v>
      </c>
      <c r="K154" s="105">
        <f t="shared" si="58"/>
        <v>0</v>
      </c>
      <c r="L154" s="106">
        <f t="shared" si="59"/>
        <v>0</v>
      </c>
    </row>
    <row r="155" spans="1:12" x14ac:dyDescent="0.35">
      <c r="A155" s="60">
        <v>10</v>
      </c>
      <c r="B155" s="26" t="s">
        <v>43</v>
      </c>
      <c r="C155" s="24">
        <v>3</v>
      </c>
      <c r="D155" s="22">
        <v>0</v>
      </c>
      <c r="E155" s="23">
        <f t="shared" si="50"/>
        <v>3</v>
      </c>
      <c r="F155" s="24" t="s">
        <v>18</v>
      </c>
      <c r="G155" s="57"/>
      <c r="H155" s="103">
        <f t="shared" si="56"/>
        <v>0</v>
      </c>
      <c r="I155" s="104">
        <f t="shared" si="57"/>
        <v>0</v>
      </c>
      <c r="J155" s="113">
        <v>1.5</v>
      </c>
      <c r="K155" s="105">
        <f t="shared" si="58"/>
        <v>0</v>
      </c>
      <c r="L155" s="106">
        <f t="shared" si="59"/>
        <v>0</v>
      </c>
    </row>
    <row r="156" spans="1:12" x14ac:dyDescent="0.35">
      <c r="A156" s="60">
        <v>11</v>
      </c>
      <c r="B156" s="34" t="s">
        <v>53</v>
      </c>
      <c r="C156" s="24">
        <v>1</v>
      </c>
      <c r="D156" s="22">
        <v>0</v>
      </c>
      <c r="E156" s="23">
        <f t="shared" si="50"/>
        <v>1</v>
      </c>
      <c r="F156" s="24" t="s">
        <v>18</v>
      </c>
      <c r="G156" s="57"/>
      <c r="H156" s="103">
        <f t="shared" si="56"/>
        <v>0</v>
      </c>
      <c r="I156" s="104">
        <f t="shared" si="57"/>
        <v>0</v>
      </c>
      <c r="J156" s="113">
        <v>0.5</v>
      </c>
      <c r="K156" s="105">
        <f t="shared" si="58"/>
        <v>0</v>
      </c>
      <c r="L156" s="106">
        <f t="shared" si="59"/>
        <v>0</v>
      </c>
    </row>
    <row r="157" spans="1:12" x14ac:dyDescent="0.35">
      <c r="A157" s="60">
        <v>12</v>
      </c>
      <c r="B157" s="34" t="s">
        <v>47</v>
      </c>
      <c r="C157" s="24">
        <v>4</v>
      </c>
      <c r="D157" s="22">
        <v>0</v>
      </c>
      <c r="E157" s="23">
        <f t="shared" si="50"/>
        <v>4</v>
      </c>
      <c r="F157" s="24" t="s">
        <v>18</v>
      </c>
      <c r="G157" s="57"/>
      <c r="H157" s="103">
        <f t="shared" si="56"/>
        <v>0</v>
      </c>
      <c r="I157" s="104">
        <f t="shared" si="57"/>
        <v>0</v>
      </c>
      <c r="J157" s="113">
        <v>2</v>
      </c>
      <c r="K157" s="105">
        <f t="shared" si="58"/>
        <v>0</v>
      </c>
      <c r="L157" s="106">
        <f t="shared" si="59"/>
        <v>0</v>
      </c>
    </row>
    <row r="158" spans="1:12" x14ac:dyDescent="0.35">
      <c r="A158" s="60">
        <v>13</v>
      </c>
      <c r="B158" s="34" t="s">
        <v>115</v>
      </c>
      <c r="C158" s="24">
        <v>2</v>
      </c>
      <c r="D158" s="22">
        <v>0</v>
      </c>
      <c r="E158" s="23">
        <f t="shared" si="50"/>
        <v>2</v>
      </c>
      <c r="F158" s="24" t="s">
        <v>18</v>
      </c>
      <c r="G158" s="57"/>
      <c r="H158" s="103">
        <f t="shared" si="56"/>
        <v>0</v>
      </c>
      <c r="I158" s="104">
        <f t="shared" si="57"/>
        <v>0</v>
      </c>
      <c r="J158" s="113">
        <v>1</v>
      </c>
      <c r="K158" s="105">
        <f t="shared" si="58"/>
        <v>0</v>
      </c>
      <c r="L158" s="106">
        <f t="shared" si="59"/>
        <v>0</v>
      </c>
    </row>
    <row r="159" spans="1:12" x14ac:dyDescent="0.35">
      <c r="A159" s="60">
        <v>14</v>
      </c>
      <c r="B159" s="26" t="s">
        <v>104</v>
      </c>
      <c r="C159" s="24">
        <v>4</v>
      </c>
      <c r="D159" s="22">
        <v>0</v>
      </c>
      <c r="E159" s="23">
        <f>C159*(1+D159)</f>
        <v>4</v>
      </c>
      <c r="F159" s="24" t="s">
        <v>18</v>
      </c>
      <c r="G159" s="57"/>
      <c r="H159" s="103">
        <f t="shared" si="56"/>
        <v>0</v>
      </c>
      <c r="I159" s="104">
        <f t="shared" si="57"/>
        <v>0</v>
      </c>
      <c r="J159" s="113">
        <v>2</v>
      </c>
      <c r="K159" s="105">
        <f t="shared" si="58"/>
        <v>0</v>
      </c>
      <c r="L159" s="106">
        <f t="shared" si="59"/>
        <v>0</v>
      </c>
    </row>
    <row r="160" spans="1:12" x14ac:dyDescent="0.35">
      <c r="A160" s="60">
        <v>15</v>
      </c>
      <c r="B160" s="26" t="s">
        <v>150</v>
      </c>
      <c r="C160" s="24">
        <v>12</v>
      </c>
      <c r="D160" s="22">
        <v>0</v>
      </c>
      <c r="E160" s="23">
        <f>C160*(1+D160)</f>
        <v>12</v>
      </c>
      <c r="F160" s="24" t="s">
        <v>18</v>
      </c>
      <c r="G160" s="57"/>
      <c r="H160" s="103">
        <f t="shared" si="56"/>
        <v>0</v>
      </c>
      <c r="I160" s="104">
        <f t="shared" si="57"/>
        <v>0</v>
      </c>
      <c r="J160" s="113">
        <v>6</v>
      </c>
      <c r="K160" s="105">
        <f t="shared" si="58"/>
        <v>0</v>
      </c>
      <c r="L160" s="106">
        <f t="shared" si="59"/>
        <v>0</v>
      </c>
    </row>
    <row r="161" spans="1:12" x14ac:dyDescent="0.35">
      <c r="A161" s="60">
        <v>16</v>
      </c>
      <c r="B161" s="34" t="s">
        <v>116</v>
      </c>
      <c r="C161" s="24">
        <v>1</v>
      </c>
      <c r="D161" s="22">
        <v>0</v>
      </c>
      <c r="E161" s="23">
        <f t="shared" ref="E161:E169" si="60">C161*(1+D161)</f>
        <v>1</v>
      </c>
      <c r="F161" s="24" t="s">
        <v>18</v>
      </c>
      <c r="G161" s="57"/>
      <c r="H161" s="103">
        <f t="shared" si="56"/>
        <v>0</v>
      </c>
      <c r="I161" s="104">
        <f t="shared" si="57"/>
        <v>0</v>
      </c>
      <c r="J161" s="113">
        <v>0.5</v>
      </c>
      <c r="K161" s="105">
        <f t="shared" si="58"/>
        <v>0</v>
      </c>
      <c r="L161" s="106">
        <f t="shared" si="59"/>
        <v>0</v>
      </c>
    </row>
    <row r="162" spans="1:12" x14ac:dyDescent="0.35">
      <c r="A162" s="60">
        <v>17</v>
      </c>
      <c r="B162" s="34" t="s">
        <v>50</v>
      </c>
      <c r="C162" s="24">
        <v>8</v>
      </c>
      <c r="D162" s="22">
        <v>0</v>
      </c>
      <c r="E162" s="23">
        <f t="shared" si="60"/>
        <v>8</v>
      </c>
      <c r="F162" s="24" t="s">
        <v>18</v>
      </c>
      <c r="G162" s="57"/>
      <c r="H162" s="103">
        <f t="shared" si="56"/>
        <v>0</v>
      </c>
      <c r="I162" s="104">
        <f t="shared" si="57"/>
        <v>0</v>
      </c>
      <c r="J162" s="113">
        <v>4</v>
      </c>
      <c r="K162" s="105">
        <f t="shared" si="58"/>
        <v>0</v>
      </c>
      <c r="L162" s="106">
        <f t="shared" si="59"/>
        <v>0</v>
      </c>
    </row>
    <row r="163" spans="1:12" x14ac:dyDescent="0.35">
      <c r="A163" s="60">
        <v>18</v>
      </c>
      <c r="B163" s="26" t="s">
        <v>103</v>
      </c>
      <c r="C163" s="24">
        <v>2</v>
      </c>
      <c r="D163" s="22">
        <v>0</v>
      </c>
      <c r="E163" s="23">
        <f t="shared" si="60"/>
        <v>2</v>
      </c>
      <c r="F163" s="24" t="s">
        <v>18</v>
      </c>
      <c r="G163" s="57"/>
      <c r="H163" s="103">
        <f t="shared" si="56"/>
        <v>0</v>
      </c>
      <c r="I163" s="104">
        <f t="shared" si="57"/>
        <v>0</v>
      </c>
      <c r="J163" s="113">
        <v>1</v>
      </c>
      <c r="K163" s="105">
        <f t="shared" si="58"/>
        <v>0</v>
      </c>
      <c r="L163" s="106">
        <f t="shared" si="59"/>
        <v>0</v>
      </c>
    </row>
    <row r="164" spans="1:12" x14ac:dyDescent="0.35">
      <c r="A164" s="60">
        <v>19</v>
      </c>
      <c r="B164" s="26" t="s">
        <v>54</v>
      </c>
      <c r="C164" s="24">
        <v>8</v>
      </c>
      <c r="D164" s="22">
        <v>0</v>
      </c>
      <c r="E164" s="23">
        <f t="shared" si="60"/>
        <v>8</v>
      </c>
      <c r="F164" s="24" t="s">
        <v>18</v>
      </c>
      <c r="G164" s="57"/>
      <c r="H164" s="103">
        <f t="shared" si="56"/>
        <v>0</v>
      </c>
      <c r="I164" s="104">
        <f t="shared" si="57"/>
        <v>0</v>
      </c>
      <c r="J164" s="113">
        <v>4</v>
      </c>
      <c r="K164" s="105">
        <f t="shared" si="58"/>
        <v>0</v>
      </c>
      <c r="L164" s="106">
        <f t="shared" si="59"/>
        <v>0</v>
      </c>
    </row>
    <row r="165" spans="1:12" x14ac:dyDescent="0.35">
      <c r="A165" s="60">
        <v>20</v>
      </c>
      <c r="B165" s="34" t="s">
        <v>55</v>
      </c>
      <c r="C165" s="24">
        <v>5</v>
      </c>
      <c r="D165" s="22">
        <v>0</v>
      </c>
      <c r="E165" s="23">
        <f t="shared" si="60"/>
        <v>5</v>
      </c>
      <c r="F165" s="24" t="s">
        <v>18</v>
      </c>
      <c r="G165" s="57"/>
      <c r="H165" s="103">
        <f t="shared" si="56"/>
        <v>0</v>
      </c>
      <c r="I165" s="104">
        <f t="shared" si="57"/>
        <v>0</v>
      </c>
      <c r="J165" s="113">
        <v>2.5</v>
      </c>
      <c r="K165" s="105">
        <f t="shared" si="58"/>
        <v>0</v>
      </c>
      <c r="L165" s="106">
        <f t="shared" si="59"/>
        <v>0</v>
      </c>
    </row>
    <row r="166" spans="1:12" x14ac:dyDescent="0.35">
      <c r="A166" s="60">
        <v>21</v>
      </c>
      <c r="B166" s="34" t="s">
        <v>117</v>
      </c>
      <c r="C166" s="24">
        <v>1</v>
      </c>
      <c r="D166" s="22">
        <v>0</v>
      </c>
      <c r="E166" s="23">
        <f t="shared" si="60"/>
        <v>1</v>
      </c>
      <c r="F166" s="24" t="s">
        <v>18</v>
      </c>
      <c r="G166" s="57"/>
      <c r="H166" s="103">
        <f t="shared" si="56"/>
        <v>0</v>
      </c>
      <c r="I166" s="104">
        <f t="shared" si="57"/>
        <v>0</v>
      </c>
      <c r="J166" s="113">
        <v>0.5</v>
      </c>
      <c r="K166" s="105">
        <f t="shared" si="58"/>
        <v>0</v>
      </c>
      <c r="L166" s="106">
        <f t="shared" si="59"/>
        <v>0</v>
      </c>
    </row>
    <row r="167" spans="1:12" x14ac:dyDescent="0.35">
      <c r="A167" s="60">
        <v>22</v>
      </c>
      <c r="B167" s="34" t="s">
        <v>118</v>
      </c>
      <c r="C167" s="24">
        <v>1</v>
      </c>
      <c r="D167" s="22">
        <v>0</v>
      </c>
      <c r="E167" s="23">
        <f t="shared" si="60"/>
        <v>1</v>
      </c>
      <c r="F167" s="24" t="s">
        <v>18</v>
      </c>
      <c r="G167" s="57"/>
      <c r="H167" s="103">
        <f t="shared" si="56"/>
        <v>0</v>
      </c>
      <c r="I167" s="104">
        <f t="shared" si="57"/>
        <v>0</v>
      </c>
      <c r="J167" s="113">
        <v>0.5</v>
      </c>
      <c r="K167" s="105">
        <f t="shared" si="58"/>
        <v>0</v>
      </c>
      <c r="L167" s="106">
        <f t="shared" si="59"/>
        <v>0</v>
      </c>
    </row>
    <row r="168" spans="1:12" x14ac:dyDescent="0.35">
      <c r="A168" s="60">
        <v>23</v>
      </c>
      <c r="B168" s="34" t="s">
        <v>119</v>
      </c>
      <c r="C168" s="24">
        <v>2</v>
      </c>
      <c r="D168" s="22">
        <v>0</v>
      </c>
      <c r="E168" s="23">
        <f t="shared" si="60"/>
        <v>2</v>
      </c>
      <c r="F168" s="24" t="s">
        <v>18</v>
      </c>
      <c r="G168" s="57"/>
      <c r="H168" s="103">
        <f t="shared" si="56"/>
        <v>0</v>
      </c>
      <c r="I168" s="104">
        <f t="shared" si="57"/>
        <v>0</v>
      </c>
      <c r="J168" s="113">
        <v>1</v>
      </c>
      <c r="K168" s="105">
        <f t="shared" si="58"/>
        <v>0</v>
      </c>
      <c r="L168" s="106">
        <f t="shared" si="59"/>
        <v>0</v>
      </c>
    </row>
    <row r="169" spans="1:12" x14ac:dyDescent="0.35">
      <c r="A169" s="60">
        <v>24</v>
      </c>
      <c r="B169" s="34" t="s">
        <v>148</v>
      </c>
      <c r="C169" s="24">
        <v>5</v>
      </c>
      <c r="D169" s="22">
        <v>0</v>
      </c>
      <c r="E169" s="23">
        <f t="shared" si="60"/>
        <v>5</v>
      </c>
      <c r="F169" s="24" t="s">
        <v>18</v>
      </c>
      <c r="G169" s="57"/>
      <c r="H169" s="103">
        <f t="shared" si="56"/>
        <v>0</v>
      </c>
      <c r="I169" s="104">
        <f t="shared" si="57"/>
        <v>0</v>
      </c>
      <c r="J169" s="113">
        <v>2.5</v>
      </c>
      <c r="K169" s="105">
        <f t="shared" si="58"/>
        <v>0</v>
      </c>
      <c r="L169" s="106">
        <f t="shared" si="59"/>
        <v>0</v>
      </c>
    </row>
    <row r="170" spans="1:12" x14ac:dyDescent="0.35">
      <c r="A170" s="362" t="s">
        <v>159</v>
      </c>
      <c r="B170" s="363"/>
      <c r="C170" s="27"/>
      <c r="D170" s="22"/>
      <c r="E170" s="23"/>
      <c r="F170" s="24"/>
      <c r="G170" s="27"/>
      <c r="H170" s="27"/>
      <c r="I170" s="27"/>
      <c r="J170" s="24"/>
      <c r="K170" s="24"/>
      <c r="L170" s="109"/>
    </row>
    <row r="171" spans="1:12" ht="15" thickBot="1" x14ac:dyDescent="0.4">
      <c r="A171" s="71"/>
      <c r="B171" s="8"/>
      <c r="C171" s="27"/>
      <c r="D171" s="22"/>
      <c r="E171" s="23"/>
      <c r="F171" s="24"/>
      <c r="G171" s="27"/>
      <c r="H171" s="27"/>
      <c r="I171" s="27"/>
      <c r="J171" s="24"/>
      <c r="K171" s="24"/>
      <c r="L171" s="109"/>
    </row>
    <row r="172" spans="1:12" ht="15" thickBot="1" x14ac:dyDescent="0.4">
      <c r="A172" s="364" t="s">
        <v>174</v>
      </c>
      <c r="B172" s="365"/>
      <c r="C172" s="27"/>
      <c r="D172" s="22"/>
      <c r="E172" s="23"/>
      <c r="F172" s="24"/>
      <c r="G172" s="27"/>
      <c r="H172" s="27"/>
      <c r="I172" s="27"/>
      <c r="J172" s="24"/>
      <c r="K172" s="24"/>
      <c r="L172" s="109"/>
    </row>
    <row r="173" spans="1:12" x14ac:dyDescent="0.35">
      <c r="A173" s="60">
        <v>1</v>
      </c>
      <c r="B173" s="32" t="s">
        <v>96</v>
      </c>
      <c r="C173" s="27">
        <v>78</v>
      </c>
      <c r="D173" s="22">
        <v>0.1</v>
      </c>
      <c r="E173" s="23">
        <f t="shared" ref="E173" si="61">C173*(1+D173)</f>
        <v>85.800000000000011</v>
      </c>
      <c r="F173" s="24" t="s">
        <v>17</v>
      </c>
      <c r="G173" s="57"/>
      <c r="H173" s="103">
        <f t="shared" ref="H173:H176" si="62">G173*E173</f>
        <v>0</v>
      </c>
      <c r="I173" s="104">
        <f t="shared" ref="I173:I176" si="63">L$4</f>
        <v>0</v>
      </c>
      <c r="J173" s="113">
        <v>8.5800000000000018</v>
      </c>
      <c r="K173" s="105">
        <f t="shared" ref="K173:K176" si="64">J173*I173</f>
        <v>0</v>
      </c>
      <c r="L173" s="106">
        <f t="shared" ref="L173:L176" si="65">K173+H173</f>
        <v>0</v>
      </c>
    </row>
    <row r="174" spans="1:12" x14ac:dyDescent="0.35">
      <c r="A174" s="60">
        <v>2</v>
      </c>
      <c r="B174" s="26" t="s">
        <v>46</v>
      </c>
      <c r="C174" s="27">
        <v>4</v>
      </c>
      <c r="D174" s="22">
        <v>0</v>
      </c>
      <c r="E174" s="23">
        <f t="shared" ref="E174" si="66">C174*(1+D174)</f>
        <v>4</v>
      </c>
      <c r="F174" s="24" t="s">
        <v>18</v>
      </c>
      <c r="G174" s="57"/>
      <c r="H174" s="103">
        <f t="shared" si="62"/>
        <v>0</v>
      </c>
      <c r="I174" s="104">
        <f t="shared" si="63"/>
        <v>0</v>
      </c>
      <c r="J174" s="113">
        <v>2</v>
      </c>
      <c r="K174" s="105">
        <f t="shared" si="64"/>
        <v>0</v>
      </c>
      <c r="L174" s="106">
        <f t="shared" si="65"/>
        <v>0</v>
      </c>
    </row>
    <row r="175" spans="1:12" x14ac:dyDescent="0.35">
      <c r="A175" s="60">
        <v>3</v>
      </c>
      <c r="B175" s="34" t="s">
        <v>47</v>
      </c>
      <c r="C175" s="27">
        <v>4</v>
      </c>
      <c r="D175" s="22">
        <v>0</v>
      </c>
      <c r="E175" s="23">
        <f t="shared" ref="E175:E176" si="67">C175*(1+D175)</f>
        <v>4</v>
      </c>
      <c r="F175" s="24" t="s">
        <v>18</v>
      </c>
      <c r="G175" s="57"/>
      <c r="H175" s="103">
        <f t="shared" si="62"/>
        <v>0</v>
      </c>
      <c r="I175" s="104">
        <f t="shared" si="63"/>
        <v>0</v>
      </c>
      <c r="J175" s="113">
        <v>2</v>
      </c>
      <c r="K175" s="105">
        <f t="shared" si="64"/>
        <v>0</v>
      </c>
      <c r="L175" s="106">
        <f t="shared" si="65"/>
        <v>0</v>
      </c>
    </row>
    <row r="176" spans="1:12" x14ac:dyDescent="0.35">
      <c r="A176" s="60">
        <v>4</v>
      </c>
      <c r="B176" s="45" t="s">
        <v>57</v>
      </c>
      <c r="C176" s="27">
        <v>1</v>
      </c>
      <c r="D176" s="22">
        <v>0</v>
      </c>
      <c r="E176" s="23">
        <f t="shared" si="67"/>
        <v>1</v>
      </c>
      <c r="F176" s="24" t="s">
        <v>18</v>
      </c>
      <c r="G176" s="57"/>
      <c r="H176" s="103">
        <f t="shared" si="62"/>
        <v>0</v>
      </c>
      <c r="I176" s="104">
        <f t="shared" si="63"/>
        <v>0</v>
      </c>
      <c r="J176" s="113">
        <v>0.5</v>
      </c>
      <c r="K176" s="105">
        <f t="shared" si="64"/>
        <v>0</v>
      </c>
      <c r="L176" s="106">
        <f t="shared" si="65"/>
        <v>0</v>
      </c>
    </row>
    <row r="177" spans="1:12" x14ac:dyDescent="0.35">
      <c r="A177" s="362" t="s">
        <v>160</v>
      </c>
      <c r="B177" s="363"/>
      <c r="C177" s="27"/>
      <c r="D177" s="22"/>
      <c r="E177" s="23"/>
      <c r="F177" s="24"/>
      <c r="G177" s="27"/>
      <c r="H177" s="27"/>
      <c r="I177" s="27"/>
      <c r="J177" s="24"/>
      <c r="K177" s="24"/>
      <c r="L177" s="109"/>
    </row>
    <row r="178" spans="1:12" ht="15" thickBot="1" x14ac:dyDescent="0.4">
      <c r="A178" s="71"/>
      <c r="B178" s="8"/>
      <c r="C178" s="27"/>
      <c r="D178" s="22"/>
      <c r="E178" s="23"/>
      <c r="F178" s="24"/>
      <c r="G178" s="27"/>
      <c r="H178" s="27"/>
      <c r="I178" s="27"/>
      <c r="J178" s="24"/>
      <c r="K178" s="24"/>
      <c r="L178" s="109"/>
    </row>
    <row r="179" spans="1:12" ht="15" thickBot="1" x14ac:dyDescent="0.4">
      <c r="A179" s="364" t="s">
        <v>171</v>
      </c>
      <c r="B179" s="365"/>
      <c r="C179" s="27"/>
      <c r="D179" s="22"/>
      <c r="E179" s="23"/>
      <c r="F179" s="24"/>
      <c r="G179" s="27"/>
      <c r="H179" s="27"/>
      <c r="I179" s="27"/>
      <c r="J179" s="24"/>
      <c r="K179" s="24"/>
      <c r="L179" s="109"/>
    </row>
    <row r="180" spans="1:12" x14ac:dyDescent="0.35">
      <c r="A180" s="60">
        <v>1</v>
      </c>
      <c r="B180" s="32" t="s">
        <v>101</v>
      </c>
      <c r="C180" s="27">
        <v>85</v>
      </c>
      <c r="D180" s="22">
        <v>0.1</v>
      </c>
      <c r="E180" s="23">
        <f>C180*(1+D180)</f>
        <v>93.500000000000014</v>
      </c>
      <c r="F180" s="24" t="s">
        <v>17</v>
      </c>
      <c r="G180" s="57"/>
      <c r="H180" s="103">
        <f t="shared" ref="H180:H185" si="68">G180*E180</f>
        <v>0</v>
      </c>
      <c r="I180" s="104">
        <f t="shared" ref="I180:I185" si="69">L$4</f>
        <v>0</v>
      </c>
      <c r="J180" s="113">
        <v>9.3500000000000014</v>
      </c>
      <c r="K180" s="105">
        <f t="shared" ref="K180:K185" si="70">J180*I180</f>
        <v>0</v>
      </c>
      <c r="L180" s="106">
        <f t="shared" ref="L180:L185" si="71">K180+H180</f>
        <v>0</v>
      </c>
    </row>
    <row r="181" spans="1:12" x14ac:dyDescent="0.35">
      <c r="A181" s="60">
        <v>2</v>
      </c>
      <c r="B181" s="32" t="s">
        <v>120</v>
      </c>
      <c r="C181" s="27">
        <v>47</v>
      </c>
      <c r="D181" s="22">
        <v>0.1</v>
      </c>
      <c r="E181" s="23">
        <f t="shared" ref="E181:E183" si="72">C181*(1+D181)</f>
        <v>51.7</v>
      </c>
      <c r="F181" s="24" t="s">
        <v>17</v>
      </c>
      <c r="G181" s="57"/>
      <c r="H181" s="103">
        <f t="shared" si="68"/>
        <v>0</v>
      </c>
      <c r="I181" s="104">
        <f t="shared" si="69"/>
        <v>0</v>
      </c>
      <c r="J181" s="113">
        <v>5.1700000000000008</v>
      </c>
      <c r="K181" s="105">
        <f t="shared" si="70"/>
        <v>0</v>
      </c>
      <c r="L181" s="106">
        <f t="shared" si="71"/>
        <v>0</v>
      </c>
    </row>
    <row r="182" spans="1:12" x14ac:dyDescent="0.35">
      <c r="A182" s="60">
        <v>3</v>
      </c>
      <c r="B182" s="32" t="s">
        <v>161</v>
      </c>
      <c r="C182" s="27">
        <v>105</v>
      </c>
      <c r="D182" s="22">
        <v>0.1</v>
      </c>
      <c r="E182" s="23">
        <f t="shared" si="72"/>
        <v>115.50000000000001</v>
      </c>
      <c r="F182" s="24" t="s">
        <v>17</v>
      </c>
      <c r="G182" s="57"/>
      <c r="H182" s="103">
        <f t="shared" si="68"/>
        <v>0</v>
      </c>
      <c r="I182" s="104">
        <f t="shared" si="69"/>
        <v>0</v>
      </c>
      <c r="J182" s="113">
        <v>11.550000000000002</v>
      </c>
      <c r="K182" s="105">
        <f t="shared" si="70"/>
        <v>0</v>
      </c>
      <c r="L182" s="106">
        <f t="shared" si="71"/>
        <v>0</v>
      </c>
    </row>
    <row r="183" spans="1:12" x14ac:dyDescent="0.35">
      <c r="A183" s="60">
        <v>4</v>
      </c>
      <c r="B183" s="45" t="s">
        <v>93</v>
      </c>
      <c r="C183" s="27">
        <v>63</v>
      </c>
      <c r="D183" s="22">
        <v>0.1</v>
      </c>
      <c r="E183" s="23">
        <f t="shared" si="72"/>
        <v>69.300000000000011</v>
      </c>
      <c r="F183" s="24" t="s">
        <v>17</v>
      </c>
      <c r="G183" s="57"/>
      <c r="H183" s="103">
        <f t="shared" si="68"/>
        <v>0</v>
      </c>
      <c r="I183" s="104">
        <f t="shared" si="69"/>
        <v>0</v>
      </c>
      <c r="J183" s="113">
        <v>6.9300000000000015</v>
      </c>
      <c r="K183" s="105">
        <f t="shared" si="70"/>
        <v>0</v>
      </c>
      <c r="L183" s="106">
        <f t="shared" si="71"/>
        <v>0</v>
      </c>
    </row>
    <row r="184" spans="1:12" x14ac:dyDescent="0.35">
      <c r="A184" s="60">
        <v>5</v>
      </c>
      <c r="B184" s="45" t="s">
        <v>58</v>
      </c>
      <c r="C184" s="27">
        <v>3</v>
      </c>
      <c r="D184" s="22">
        <v>0</v>
      </c>
      <c r="E184" s="23">
        <f t="shared" ref="E184" si="73">C184*(1+D184)</f>
        <v>3</v>
      </c>
      <c r="F184" s="24" t="s">
        <v>18</v>
      </c>
      <c r="G184" s="57"/>
      <c r="H184" s="103">
        <f t="shared" si="68"/>
        <v>0</v>
      </c>
      <c r="I184" s="104">
        <f t="shared" si="69"/>
        <v>0</v>
      </c>
      <c r="J184" s="113">
        <v>1.5</v>
      </c>
      <c r="K184" s="105">
        <f t="shared" si="70"/>
        <v>0</v>
      </c>
      <c r="L184" s="106">
        <f t="shared" si="71"/>
        <v>0</v>
      </c>
    </row>
    <row r="185" spans="1:12" x14ac:dyDescent="0.35">
      <c r="A185" s="60">
        <v>6</v>
      </c>
      <c r="B185" s="45" t="s">
        <v>121</v>
      </c>
      <c r="C185" s="27">
        <v>7</v>
      </c>
      <c r="D185" s="22">
        <v>0</v>
      </c>
      <c r="E185" s="23">
        <f t="shared" ref="E185:E197" si="74">C185*(1+D185)</f>
        <v>7</v>
      </c>
      <c r="F185" s="24" t="s">
        <v>18</v>
      </c>
      <c r="G185" s="57"/>
      <c r="H185" s="103">
        <f t="shared" si="68"/>
        <v>0</v>
      </c>
      <c r="I185" s="104">
        <f t="shared" si="69"/>
        <v>0</v>
      </c>
      <c r="J185" s="113">
        <v>3.5</v>
      </c>
      <c r="K185" s="105">
        <f t="shared" si="70"/>
        <v>0</v>
      </c>
      <c r="L185" s="106">
        <f t="shared" si="71"/>
        <v>0</v>
      </c>
    </row>
    <row r="186" spans="1:12" x14ac:dyDescent="0.35">
      <c r="A186" s="60">
        <v>7</v>
      </c>
      <c r="B186" s="45" t="s">
        <v>151</v>
      </c>
      <c r="C186" s="27"/>
      <c r="D186" s="22"/>
      <c r="E186" s="23"/>
      <c r="F186" s="24"/>
      <c r="G186" s="27"/>
      <c r="H186" s="27"/>
      <c r="I186" s="27"/>
      <c r="J186" s="113">
        <v>0</v>
      </c>
      <c r="K186" s="24"/>
      <c r="L186" s="109"/>
    </row>
    <row r="187" spans="1:12" x14ac:dyDescent="0.35">
      <c r="A187" s="60">
        <v>8</v>
      </c>
      <c r="B187" s="45" t="s">
        <v>59</v>
      </c>
      <c r="C187" s="27">
        <v>1</v>
      </c>
      <c r="D187" s="22">
        <v>0</v>
      </c>
      <c r="E187" s="23">
        <f t="shared" si="74"/>
        <v>1</v>
      </c>
      <c r="F187" s="24" t="s">
        <v>18</v>
      </c>
      <c r="G187" s="57"/>
      <c r="H187" s="103">
        <f t="shared" ref="H187:H197" si="75">G187*E187</f>
        <v>0</v>
      </c>
      <c r="I187" s="104">
        <f t="shared" ref="I187:I197" si="76">L$4</f>
        <v>0</v>
      </c>
      <c r="J187" s="113">
        <v>0.5</v>
      </c>
      <c r="K187" s="105">
        <f t="shared" ref="K187:K197" si="77">J187*I187</f>
        <v>0</v>
      </c>
      <c r="L187" s="106">
        <f t="shared" ref="L187:L197" si="78">K187+H187</f>
        <v>0</v>
      </c>
    </row>
    <row r="188" spans="1:12" x14ac:dyDescent="0.35">
      <c r="A188" s="60">
        <v>9</v>
      </c>
      <c r="B188" s="46" t="s">
        <v>122</v>
      </c>
      <c r="C188" s="27">
        <v>2</v>
      </c>
      <c r="D188" s="22">
        <v>0</v>
      </c>
      <c r="E188" s="23">
        <f t="shared" si="74"/>
        <v>2</v>
      </c>
      <c r="F188" s="24" t="s">
        <v>18</v>
      </c>
      <c r="G188" s="57"/>
      <c r="H188" s="103">
        <f t="shared" si="75"/>
        <v>0</v>
      </c>
      <c r="I188" s="104">
        <f t="shared" si="76"/>
        <v>0</v>
      </c>
      <c r="J188" s="113">
        <v>1</v>
      </c>
      <c r="K188" s="105">
        <f t="shared" si="77"/>
        <v>0</v>
      </c>
      <c r="L188" s="106">
        <f t="shared" si="78"/>
        <v>0</v>
      </c>
    </row>
    <row r="189" spans="1:12" x14ac:dyDescent="0.35">
      <c r="A189" s="60">
        <v>10</v>
      </c>
      <c r="B189" s="46" t="s">
        <v>123</v>
      </c>
      <c r="C189" s="27">
        <v>5</v>
      </c>
      <c r="D189" s="22">
        <v>0</v>
      </c>
      <c r="E189" s="23">
        <f t="shared" si="74"/>
        <v>5</v>
      </c>
      <c r="F189" s="24" t="s">
        <v>18</v>
      </c>
      <c r="G189" s="57"/>
      <c r="H189" s="103">
        <f t="shared" si="75"/>
        <v>0</v>
      </c>
      <c r="I189" s="104">
        <f t="shared" si="76"/>
        <v>0</v>
      </c>
      <c r="J189" s="113">
        <v>2.5</v>
      </c>
      <c r="K189" s="105">
        <f t="shared" si="77"/>
        <v>0</v>
      </c>
      <c r="L189" s="106">
        <f t="shared" si="78"/>
        <v>0</v>
      </c>
    </row>
    <row r="190" spans="1:12" x14ac:dyDescent="0.35">
      <c r="A190" s="60">
        <v>11</v>
      </c>
      <c r="B190" s="46" t="s">
        <v>124</v>
      </c>
      <c r="C190" s="27">
        <v>1</v>
      </c>
      <c r="D190" s="22">
        <v>0</v>
      </c>
      <c r="E190" s="23">
        <f t="shared" si="74"/>
        <v>1</v>
      </c>
      <c r="F190" s="24" t="s">
        <v>18</v>
      </c>
      <c r="G190" s="57"/>
      <c r="H190" s="103">
        <f t="shared" si="75"/>
        <v>0</v>
      </c>
      <c r="I190" s="104">
        <f t="shared" si="76"/>
        <v>0</v>
      </c>
      <c r="J190" s="113">
        <v>0.5</v>
      </c>
      <c r="K190" s="105">
        <f t="shared" si="77"/>
        <v>0</v>
      </c>
      <c r="L190" s="106">
        <f t="shared" si="78"/>
        <v>0</v>
      </c>
    </row>
    <row r="191" spans="1:12" x14ac:dyDescent="0.35">
      <c r="A191" s="60">
        <v>12</v>
      </c>
      <c r="B191" s="46" t="s">
        <v>148</v>
      </c>
      <c r="C191" s="27">
        <v>7</v>
      </c>
      <c r="D191" s="22">
        <v>0</v>
      </c>
      <c r="E191" s="23">
        <f t="shared" si="74"/>
        <v>7</v>
      </c>
      <c r="F191" s="24" t="s">
        <v>18</v>
      </c>
      <c r="G191" s="57"/>
      <c r="H191" s="103">
        <f t="shared" si="75"/>
        <v>0</v>
      </c>
      <c r="I191" s="104">
        <f t="shared" si="76"/>
        <v>0</v>
      </c>
      <c r="J191" s="113">
        <v>3.5</v>
      </c>
      <c r="K191" s="105">
        <f t="shared" si="77"/>
        <v>0</v>
      </c>
      <c r="L191" s="106">
        <f t="shared" si="78"/>
        <v>0</v>
      </c>
    </row>
    <row r="192" spans="1:12" x14ac:dyDescent="0.35">
      <c r="A192" s="60">
        <v>13</v>
      </c>
      <c r="B192" s="46" t="s">
        <v>60</v>
      </c>
      <c r="C192" s="27">
        <v>1</v>
      </c>
      <c r="D192" s="22">
        <v>0</v>
      </c>
      <c r="E192" s="23">
        <f t="shared" si="74"/>
        <v>1</v>
      </c>
      <c r="F192" s="24" t="s">
        <v>18</v>
      </c>
      <c r="G192" s="57"/>
      <c r="H192" s="103">
        <f t="shared" si="75"/>
        <v>0</v>
      </c>
      <c r="I192" s="104">
        <f t="shared" si="76"/>
        <v>0</v>
      </c>
      <c r="J192" s="113">
        <v>0.5</v>
      </c>
      <c r="K192" s="105">
        <f t="shared" si="77"/>
        <v>0</v>
      </c>
      <c r="L192" s="106">
        <f t="shared" si="78"/>
        <v>0</v>
      </c>
    </row>
    <row r="193" spans="1:12" x14ac:dyDescent="0.35">
      <c r="A193" s="60">
        <v>14</v>
      </c>
      <c r="B193" s="46" t="s">
        <v>150</v>
      </c>
      <c r="C193" s="27">
        <v>12</v>
      </c>
      <c r="D193" s="22">
        <v>0</v>
      </c>
      <c r="E193" s="23">
        <f t="shared" si="74"/>
        <v>12</v>
      </c>
      <c r="F193" s="24" t="s">
        <v>18</v>
      </c>
      <c r="G193" s="57"/>
      <c r="H193" s="103">
        <f t="shared" si="75"/>
        <v>0</v>
      </c>
      <c r="I193" s="104">
        <f t="shared" si="76"/>
        <v>0</v>
      </c>
      <c r="J193" s="113">
        <v>6</v>
      </c>
      <c r="K193" s="105">
        <f t="shared" si="77"/>
        <v>0</v>
      </c>
      <c r="L193" s="106">
        <f t="shared" si="78"/>
        <v>0</v>
      </c>
    </row>
    <row r="194" spans="1:12" x14ac:dyDescent="0.35">
      <c r="A194" s="60">
        <v>15</v>
      </c>
      <c r="B194" s="46" t="s">
        <v>125</v>
      </c>
      <c r="C194" s="27">
        <v>1</v>
      </c>
      <c r="D194" s="22">
        <v>0</v>
      </c>
      <c r="E194" s="23">
        <f t="shared" si="74"/>
        <v>1</v>
      </c>
      <c r="F194" s="24" t="s">
        <v>18</v>
      </c>
      <c r="G194" s="57"/>
      <c r="H194" s="103">
        <f t="shared" si="75"/>
        <v>0</v>
      </c>
      <c r="I194" s="104">
        <f t="shared" si="76"/>
        <v>0</v>
      </c>
      <c r="J194" s="113">
        <v>0.5</v>
      </c>
      <c r="K194" s="105">
        <f t="shared" si="77"/>
        <v>0</v>
      </c>
      <c r="L194" s="106">
        <f t="shared" si="78"/>
        <v>0</v>
      </c>
    </row>
    <row r="195" spans="1:12" x14ac:dyDescent="0.35">
      <c r="A195" s="60">
        <v>16</v>
      </c>
      <c r="B195" s="26" t="s">
        <v>104</v>
      </c>
      <c r="C195" s="27">
        <v>4</v>
      </c>
      <c r="D195" s="22">
        <v>0</v>
      </c>
      <c r="E195" s="23">
        <f t="shared" si="74"/>
        <v>4</v>
      </c>
      <c r="F195" s="24" t="s">
        <v>18</v>
      </c>
      <c r="G195" s="57"/>
      <c r="H195" s="103">
        <f t="shared" si="75"/>
        <v>0</v>
      </c>
      <c r="I195" s="104">
        <f t="shared" si="76"/>
        <v>0</v>
      </c>
      <c r="J195" s="113">
        <v>2</v>
      </c>
      <c r="K195" s="105">
        <f t="shared" si="77"/>
        <v>0</v>
      </c>
      <c r="L195" s="106">
        <f t="shared" si="78"/>
        <v>0</v>
      </c>
    </row>
    <row r="196" spans="1:12" x14ac:dyDescent="0.35">
      <c r="A196" s="60">
        <v>17</v>
      </c>
      <c r="B196" s="26" t="s">
        <v>54</v>
      </c>
      <c r="C196" s="27">
        <v>1</v>
      </c>
      <c r="D196" s="22">
        <v>0</v>
      </c>
      <c r="E196" s="23">
        <f t="shared" si="74"/>
        <v>1</v>
      </c>
      <c r="F196" s="24" t="s">
        <v>18</v>
      </c>
      <c r="G196" s="57"/>
      <c r="H196" s="103">
        <f t="shared" si="75"/>
        <v>0</v>
      </c>
      <c r="I196" s="104">
        <f t="shared" si="76"/>
        <v>0</v>
      </c>
      <c r="J196" s="113">
        <v>0.5</v>
      </c>
      <c r="K196" s="105">
        <f t="shared" si="77"/>
        <v>0</v>
      </c>
      <c r="L196" s="106">
        <f t="shared" si="78"/>
        <v>0</v>
      </c>
    </row>
    <row r="197" spans="1:12" x14ac:dyDescent="0.35">
      <c r="A197" s="60">
        <v>18</v>
      </c>
      <c r="B197" s="26" t="s">
        <v>103</v>
      </c>
      <c r="C197" s="27">
        <v>1</v>
      </c>
      <c r="D197" s="22">
        <v>0</v>
      </c>
      <c r="E197" s="23">
        <f t="shared" si="74"/>
        <v>1</v>
      </c>
      <c r="F197" s="24" t="s">
        <v>18</v>
      </c>
      <c r="G197" s="57"/>
      <c r="H197" s="103">
        <f t="shared" si="75"/>
        <v>0</v>
      </c>
      <c r="I197" s="104">
        <f t="shared" si="76"/>
        <v>0</v>
      </c>
      <c r="J197" s="113">
        <v>0.5</v>
      </c>
      <c r="K197" s="105">
        <f t="shared" si="77"/>
        <v>0</v>
      </c>
      <c r="L197" s="106">
        <f t="shared" si="78"/>
        <v>0</v>
      </c>
    </row>
    <row r="198" spans="1:12" x14ac:dyDescent="0.35">
      <c r="A198" s="362" t="s">
        <v>159</v>
      </c>
      <c r="B198" s="363"/>
      <c r="C198" s="27"/>
      <c r="D198" s="22"/>
      <c r="E198" s="23"/>
      <c r="F198" s="24"/>
      <c r="G198" s="27"/>
      <c r="H198" s="27"/>
      <c r="I198" s="27"/>
      <c r="J198" s="24"/>
      <c r="K198" s="24"/>
      <c r="L198" s="109"/>
    </row>
    <row r="199" spans="1:12" ht="15" thickBot="1" x14ac:dyDescent="0.4">
      <c r="A199" s="71"/>
      <c r="B199" s="8"/>
      <c r="C199" s="27"/>
      <c r="D199" s="22"/>
      <c r="E199" s="23"/>
      <c r="F199" s="24"/>
      <c r="G199" s="27"/>
      <c r="H199" s="27"/>
      <c r="I199" s="27"/>
      <c r="J199" s="24"/>
      <c r="K199" s="24"/>
      <c r="L199" s="109"/>
    </row>
    <row r="200" spans="1:12" ht="15" thickBot="1" x14ac:dyDescent="0.4">
      <c r="A200" s="364" t="s">
        <v>175</v>
      </c>
      <c r="B200" s="365"/>
      <c r="C200" s="27"/>
      <c r="D200" s="22"/>
      <c r="E200" s="23"/>
      <c r="F200" s="24"/>
      <c r="G200" s="27"/>
      <c r="H200" s="27"/>
      <c r="I200" s="27"/>
      <c r="J200" s="24"/>
      <c r="K200" s="24"/>
      <c r="L200" s="109"/>
    </row>
    <row r="201" spans="1:12" ht="15" thickBot="1" x14ac:dyDescent="0.4">
      <c r="A201" s="364" t="s">
        <v>170</v>
      </c>
      <c r="B201" s="365"/>
      <c r="C201" s="27"/>
      <c r="D201" s="22"/>
      <c r="E201" s="23"/>
      <c r="F201" s="24"/>
      <c r="G201" s="27"/>
      <c r="H201" s="27"/>
      <c r="I201" s="27"/>
      <c r="J201" s="24"/>
      <c r="K201" s="24"/>
      <c r="L201" s="109"/>
    </row>
    <row r="202" spans="1:12" x14ac:dyDescent="0.35">
      <c r="A202" s="60">
        <v>1</v>
      </c>
      <c r="B202" s="45" t="s">
        <v>100</v>
      </c>
      <c r="C202" s="27">
        <v>42</v>
      </c>
      <c r="D202" s="22">
        <v>0.1</v>
      </c>
      <c r="E202" s="23">
        <f t="shared" ref="E202:E204" si="79">C202*(1+D202)</f>
        <v>46.2</v>
      </c>
      <c r="F202" s="24" t="s">
        <v>17</v>
      </c>
      <c r="G202" s="57"/>
      <c r="H202" s="103">
        <f t="shared" ref="H202:H213" si="80">G202*E202</f>
        <v>0</v>
      </c>
      <c r="I202" s="104">
        <f t="shared" ref="I202:I213" si="81">L$4</f>
        <v>0</v>
      </c>
      <c r="J202" s="113">
        <v>4.62</v>
      </c>
      <c r="K202" s="105">
        <f t="shared" ref="K202:K213" si="82">J202*I202</f>
        <v>0</v>
      </c>
      <c r="L202" s="106">
        <f t="shared" ref="L202:L213" si="83">K202+H202</f>
        <v>0</v>
      </c>
    </row>
    <row r="203" spans="1:12" x14ac:dyDescent="0.35">
      <c r="A203" s="60">
        <v>2</v>
      </c>
      <c r="B203" s="32" t="s">
        <v>126</v>
      </c>
      <c r="C203" s="27">
        <v>85</v>
      </c>
      <c r="D203" s="22">
        <v>0.1</v>
      </c>
      <c r="E203" s="23">
        <f t="shared" si="79"/>
        <v>93.500000000000014</v>
      </c>
      <c r="F203" s="24" t="s">
        <v>17</v>
      </c>
      <c r="G203" s="57"/>
      <c r="H203" s="103">
        <f t="shared" si="80"/>
        <v>0</v>
      </c>
      <c r="I203" s="104">
        <f t="shared" si="81"/>
        <v>0</v>
      </c>
      <c r="J203" s="113">
        <v>9.3500000000000014</v>
      </c>
      <c r="K203" s="105">
        <f t="shared" si="82"/>
        <v>0</v>
      </c>
      <c r="L203" s="106">
        <f t="shared" si="83"/>
        <v>0</v>
      </c>
    </row>
    <row r="204" spans="1:12" x14ac:dyDescent="0.35">
      <c r="A204" s="60">
        <v>3</v>
      </c>
      <c r="B204" s="32" t="s">
        <v>110</v>
      </c>
      <c r="C204" s="27">
        <v>98</v>
      </c>
      <c r="D204" s="22">
        <v>0.1</v>
      </c>
      <c r="E204" s="23">
        <f t="shared" si="79"/>
        <v>107.80000000000001</v>
      </c>
      <c r="F204" s="24" t="s">
        <v>17</v>
      </c>
      <c r="G204" s="57"/>
      <c r="H204" s="103">
        <f t="shared" si="80"/>
        <v>0</v>
      </c>
      <c r="I204" s="104">
        <f t="shared" si="81"/>
        <v>0</v>
      </c>
      <c r="J204" s="113">
        <v>10.780000000000001</v>
      </c>
      <c r="K204" s="105">
        <f t="shared" si="82"/>
        <v>0</v>
      </c>
      <c r="L204" s="106">
        <f t="shared" si="83"/>
        <v>0</v>
      </c>
    </row>
    <row r="205" spans="1:12" x14ac:dyDescent="0.35">
      <c r="A205" s="60">
        <v>4</v>
      </c>
      <c r="B205" s="46" t="s">
        <v>127</v>
      </c>
      <c r="C205" s="27">
        <v>6</v>
      </c>
      <c r="D205" s="22">
        <v>0</v>
      </c>
      <c r="E205" s="23">
        <f t="shared" ref="E205" si="84">C205*(1+D205)</f>
        <v>6</v>
      </c>
      <c r="F205" s="24" t="s">
        <v>18</v>
      </c>
      <c r="G205" s="57"/>
      <c r="H205" s="103">
        <f t="shared" si="80"/>
        <v>0</v>
      </c>
      <c r="I205" s="104">
        <f t="shared" si="81"/>
        <v>0</v>
      </c>
      <c r="J205" s="113">
        <v>3</v>
      </c>
      <c r="K205" s="105">
        <f t="shared" si="82"/>
        <v>0</v>
      </c>
      <c r="L205" s="106">
        <f t="shared" si="83"/>
        <v>0</v>
      </c>
    </row>
    <row r="206" spans="1:12" x14ac:dyDescent="0.35">
      <c r="A206" s="60">
        <v>5</v>
      </c>
      <c r="B206" s="26" t="s">
        <v>103</v>
      </c>
      <c r="C206" s="27">
        <v>8</v>
      </c>
      <c r="D206" s="22">
        <v>0</v>
      </c>
      <c r="E206" s="23">
        <f t="shared" ref="E206:E213" si="85">C206*(1+D206)</f>
        <v>8</v>
      </c>
      <c r="F206" s="24" t="s">
        <v>18</v>
      </c>
      <c r="G206" s="57"/>
      <c r="H206" s="103">
        <f t="shared" si="80"/>
        <v>0</v>
      </c>
      <c r="I206" s="104">
        <f t="shared" si="81"/>
        <v>0</v>
      </c>
      <c r="J206" s="113">
        <v>4</v>
      </c>
      <c r="K206" s="105">
        <f t="shared" si="82"/>
        <v>0</v>
      </c>
      <c r="L206" s="106">
        <f t="shared" si="83"/>
        <v>0</v>
      </c>
    </row>
    <row r="207" spans="1:12" x14ac:dyDescent="0.35">
      <c r="A207" s="60">
        <v>6</v>
      </c>
      <c r="B207" s="26" t="s">
        <v>104</v>
      </c>
      <c r="C207" s="27">
        <v>8</v>
      </c>
      <c r="D207" s="22">
        <v>0</v>
      </c>
      <c r="E207" s="23">
        <f t="shared" si="85"/>
        <v>8</v>
      </c>
      <c r="F207" s="24" t="s">
        <v>18</v>
      </c>
      <c r="G207" s="57"/>
      <c r="H207" s="103">
        <f t="shared" si="80"/>
        <v>0</v>
      </c>
      <c r="I207" s="104">
        <f t="shared" si="81"/>
        <v>0</v>
      </c>
      <c r="J207" s="113">
        <v>4</v>
      </c>
      <c r="K207" s="105">
        <f t="shared" si="82"/>
        <v>0</v>
      </c>
      <c r="L207" s="106">
        <f t="shared" si="83"/>
        <v>0</v>
      </c>
    </row>
    <row r="208" spans="1:12" x14ac:dyDescent="0.35">
      <c r="A208" s="60">
        <v>7</v>
      </c>
      <c r="B208" s="26" t="s">
        <v>148</v>
      </c>
      <c r="C208" s="27">
        <v>10</v>
      </c>
      <c r="D208" s="22">
        <v>0</v>
      </c>
      <c r="E208" s="23">
        <f t="shared" si="85"/>
        <v>10</v>
      </c>
      <c r="F208" s="24" t="s">
        <v>18</v>
      </c>
      <c r="G208" s="57"/>
      <c r="H208" s="103">
        <f t="shared" si="80"/>
        <v>0</v>
      </c>
      <c r="I208" s="104">
        <f t="shared" si="81"/>
        <v>0</v>
      </c>
      <c r="J208" s="113">
        <v>5</v>
      </c>
      <c r="K208" s="105">
        <f t="shared" si="82"/>
        <v>0</v>
      </c>
      <c r="L208" s="106">
        <f t="shared" si="83"/>
        <v>0</v>
      </c>
    </row>
    <row r="209" spans="1:12" x14ac:dyDescent="0.35">
      <c r="A209" s="60">
        <v>8</v>
      </c>
      <c r="B209" s="46" t="s">
        <v>128</v>
      </c>
      <c r="C209" s="27">
        <v>16</v>
      </c>
      <c r="D209" s="22">
        <v>0</v>
      </c>
      <c r="E209" s="23">
        <f t="shared" si="85"/>
        <v>16</v>
      </c>
      <c r="F209" s="24" t="s">
        <v>18</v>
      </c>
      <c r="G209" s="57"/>
      <c r="H209" s="103">
        <f t="shared" si="80"/>
        <v>0</v>
      </c>
      <c r="I209" s="104">
        <f t="shared" si="81"/>
        <v>0</v>
      </c>
      <c r="J209" s="113">
        <v>8</v>
      </c>
      <c r="K209" s="105">
        <f t="shared" si="82"/>
        <v>0</v>
      </c>
      <c r="L209" s="106">
        <f t="shared" si="83"/>
        <v>0</v>
      </c>
    </row>
    <row r="210" spans="1:12" x14ac:dyDescent="0.35">
      <c r="A210" s="60">
        <v>9</v>
      </c>
      <c r="B210" s="46" t="s">
        <v>150</v>
      </c>
      <c r="C210" s="27">
        <v>18</v>
      </c>
      <c r="D210" s="22">
        <v>0</v>
      </c>
      <c r="E210" s="23">
        <f t="shared" si="85"/>
        <v>18</v>
      </c>
      <c r="F210" s="24" t="s">
        <v>18</v>
      </c>
      <c r="G210" s="57"/>
      <c r="H210" s="103">
        <f t="shared" si="80"/>
        <v>0</v>
      </c>
      <c r="I210" s="104">
        <f t="shared" si="81"/>
        <v>0</v>
      </c>
      <c r="J210" s="113">
        <v>9</v>
      </c>
      <c r="K210" s="105">
        <f t="shared" si="82"/>
        <v>0</v>
      </c>
      <c r="L210" s="106">
        <f t="shared" si="83"/>
        <v>0</v>
      </c>
    </row>
    <row r="211" spans="1:12" x14ac:dyDescent="0.35">
      <c r="A211" s="60">
        <v>10</v>
      </c>
      <c r="B211" s="46" t="s">
        <v>84</v>
      </c>
      <c r="C211" s="27">
        <v>6</v>
      </c>
      <c r="D211" s="22">
        <v>0</v>
      </c>
      <c r="E211" s="23">
        <f t="shared" si="85"/>
        <v>6</v>
      </c>
      <c r="F211" s="24" t="s">
        <v>18</v>
      </c>
      <c r="G211" s="57"/>
      <c r="H211" s="103">
        <f t="shared" si="80"/>
        <v>0</v>
      </c>
      <c r="I211" s="104">
        <f t="shared" si="81"/>
        <v>0</v>
      </c>
      <c r="J211" s="113">
        <v>3</v>
      </c>
      <c r="K211" s="105">
        <f t="shared" si="82"/>
        <v>0</v>
      </c>
      <c r="L211" s="106">
        <f t="shared" si="83"/>
        <v>0</v>
      </c>
    </row>
    <row r="212" spans="1:12" x14ac:dyDescent="0.35">
      <c r="A212" s="60">
        <v>11</v>
      </c>
      <c r="B212" s="45" t="s">
        <v>61</v>
      </c>
      <c r="C212" s="27">
        <v>8</v>
      </c>
      <c r="D212" s="22">
        <v>0</v>
      </c>
      <c r="E212" s="23">
        <f t="shared" si="85"/>
        <v>8</v>
      </c>
      <c r="F212" s="24" t="s">
        <v>18</v>
      </c>
      <c r="G212" s="57"/>
      <c r="H212" s="103">
        <f t="shared" si="80"/>
        <v>0</v>
      </c>
      <c r="I212" s="104">
        <f t="shared" si="81"/>
        <v>0</v>
      </c>
      <c r="J212" s="113">
        <v>4</v>
      </c>
      <c r="K212" s="105">
        <f t="shared" si="82"/>
        <v>0</v>
      </c>
      <c r="L212" s="106">
        <f t="shared" si="83"/>
        <v>0</v>
      </c>
    </row>
    <row r="213" spans="1:12" x14ac:dyDescent="0.35">
      <c r="A213" s="60">
        <v>12</v>
      </c>
      <c r="B213" s="26" t="s">
        <v>42</v>
      </c>
      <c r="C213" s="27">
        <v>6</v>
      </c>
      <c r="D213" s="22">
        <v>0.1</v>
      </c>
      <c r="E213" s="23">
        <f t="shared" si="85"/>
        <v>6.6000000000000005</v>
      </c>
      <c r="F213" s="24" t="s">
        <v>17</v>
      </c>
      <c r="G213" s="57"/>
      <c r="H213" s="103">
        <f t="shared" si="80"/>
        <v>0</v>
      </c>
      <c r="I213" s="104">
        <f t="shared" si="81"/>
        <v>0</v>
      </c>
      <c r="J213" s="113">
        <v>3.3000000000000003</v>
      </c>
      <c r="K213" s="105">
        <f t="shared" si="82"/>
        <v>0</v>
      </c>
      <c r="L213" s="106">
        <f t="shared" si="83"/>
        <v>0</v>
      </c>
    </row>
    <row r="214" spans="1:12" x14ac:dyDescent="0.35">
      <c r="A214" s="362" t="s">
        <v>159</v>
      </c>
      <c r="B214" s="363"/>
      <c r="C214" s="27"/>
      <c r="D214" s="22"/>
      <c r="E214" s="23"/>
      <c r="F214" s="24"/>
      <c r="G214" s="27"/>
      <c r="H214" s="27"/>
      <c r="I214" s="27"/>
      <c r="J214" s="24"/>
      <c r="K214" s="24"/>
      <c r="L214" s="109"/>
    </row>
    <row r="215" spans="1:12" ht="15" thickBot="1" x14ac:dyDescent="0.4">
      <c r="A215" s="71"/>
      <c r="B215" s="8"/>
      <c r="C215" s="27"/>
      <c r="D215" s="22"/>
      <c r="E215" s="23"/>
      <c r="F215" s="24"/>
      <c r="G215" s="27"/>
      <c r="H215" s="27"/>
      <c r="I215" s="27"/>
      <c r="J215" s="24"/>
      <c r="K215" s="24"/>
      <c r="L215" s="109"/>
    </row>
    <row r="216" spans="1:12" ht="15" thickBot="1" x14ac:dyDescent="0.4">
      <c r="A216" s="364" t="s">
        <v>171</v>
      </c>
      <c r="B216" s="365"/>
      <c r="C216" s="27"/>
      <c r="D216" s="22"/>
      <c r="E216" s="23"/>
      <c r="F216" s="24"/>
      <c r="G216" s="27"/>
      <c r="H216" s="27"/>
      <c r="I216" s="27"/>
      <c r="J216" s="24"/>
      <c r="K216" s="24"/>
      <c r="L216" s="109"/>
    </row>
    <row r="217" spans="1:12" x14ac:dyDescent="0.35">
      <c r="A217" s="60">
        <v>1</v>
      </c>
      <c r="B217" s="40" t="s">
        <v>110</v>
      </c>
      <c r="C217" s="27">
        <v>84</v>
      </c>
      <c r="D217" s="22">
        <v>0.1</v>
      </c>
      <c r="E217" s="23">
        <f>C217*(1+D217)</f>
        <v>92.4</v>
      </c>
      <c r="F217" s="24" t="s">
        <v>17</v>
      </c>
      <c r="G217" s="57"/>
      <c r="H217" s="103">
        <f t="shared" ref="H217:H227" si="86">G217*E217</f>
        <v>0</v>
      </c>
      <c r="I217" s="104">
        <f t="shared" ref="I217:I227" si="87">L$4</f>
        <v>0</v>
      </c>
      <c r="J217" s="113">
        <v>9.24</v>
      </c>
      <c r="K217" s="105">
        <f t="shared" ref="K217:K227" si="88">J217*I217</f>
        <v>0</v>
      </c>
      <c r="L217" s="106">
        <f t="shared" ref="L217:L227" si="89">K217+H217</f>
        <v>0</v>
      </c>
    </row>
    <row r="218" spans="1:12" x14ac:dyDescent="0.35">
      <c r="A218" s="60">
        <v>2</v>
      </c>
      <c r="B218" s="32" t="s">
        <v>113</v>
      </c>
      <c r="C218" s="27">
        <v>90</v>
      </c>
      <c r="D218" s="22">
        <v>0.1</v>
      </c>
      <c r="E218" s="23">
        <f t="shared" ref="E218:E219" si="90">C218*(1+D218)</f>
        <v>99.000000000000014</v>
      </c>
      <c r="F218" s="24" t="s">
        <v>17</v>
      </c>
      <c r="G218" s="57"/>
      <c r="H218" s="103">
        <f t="shared" si="86"/>
        <v>0</v>
      </c>
      <c r="I218" s="104">
        <f t="shared" si="87"/>
        <v>0</v>
      </c>
      <c r="J218" s="113">
        <v>9.9000000000000021</v>
      </c>
      <c r="K218" s="105">
        <f t="shared" si="88"/>
        <v>0</v>
      </c>
      <c r="L218" s="106">
        <f t="shared" si="89"/>
        <v>0</v>
      </c>
    </row>
    <row r="219" spans="1:12" x14ac:dyDescent="0.35">
      <c r="A219" s="60">
        <v>3</v>
      </c>
      <c r="B219" s="32" t="s">
        <v>129</v>
      </c>
      <c r="C219" s="27">
        <v>64</v>
      </c>
      <c r="D219" s="22">
        <v>0.1</v>
      </c>
      <c r="E219" s="23">
        <f t="shared" si="90"/>
        <v>70.400000000000006</v>
      </c>
      <c r="F219" s="24" t="s">
        <v>17</v>
      </c>
      <c r="G219" s="57"/>
      <c r="H219" s="103">
        <f t="shared" si="86"/>
        <v>0</v>
      </c>
      <c r="I219" s="104">
        <f t="shared" si="87"/>
        <v>0</v>
      </c>
      <c r="J219" s="113">
        <v>7.0400000000000009</v>
      </c>
      <c r="K219" s="105">
        <f t="shared" si="88"/>
        <v>0</v>
      </c>
      <c r="L219" s="106">
        <f t="shared" si="89"/>
        <v>0</v>
      </c>
    </row>
    <row r="220" spans="1:12" x14ac:dyDescent="0.35">
      <c r="A220" s="60">
        <v>4</v>
      </c>
      <c r="B220" s="26" t="s">
        <v>103</v>
      </c>
      <c r="C220" s="27">
        <v>8</v>
      </c>
      <c r="D220" s="22">
        <v>0</v>
      </c>
      <c r="E220" s="23">
        <f t="shared" ref="E220" si="91">C220*(1+D220)</f>
        <v>8</v>
      </c>
      <c r="F220" s="24" t="s">
        <v>18</v>
      </c>
      <c r="G220" s="57"/>
      <c r="H220" s="103">
        <f t="shared" si="86"/>
        <v>0</v>
      </c>
      <c r="I220" s="104">
        <f t="shared" si="87"/>
        <v>0</v>
      </c>
      <c r="J220" s="113">
        <v>4</v>
      </c>
      <c r="K220" s="105">
        <f t="shared" si="88"/>
        <v>0</v>
      </c>
      <c r="L220" s="106">
        <f t="shared" si="89"/>
        <v>0</v>
      </c>
    </row>
    <row r="221" spans="1:12" x14ac:dyDescent="0.35">
      <c r="A221" s="60">
        <v>5</v>
      </c>
      <c r="B221" s="46" t="s">
        <v>128</v>
      </c>
      <c r="C221" s="27">
        <v>10</v>
      </c>
      <c r="D221" s="22">
        <v>0</v>
      </c>
      <c r="E221" s="23">
        <f t="shared" ref="E221:E227" si="92">C221*(1+D221)</f>
        <v>10</v>
      </c>
      <c r="F221" s="24" t="s">
        <v>18</v>
      </c>
      <c r="G221" s="57"/>
      <c r="H221" s="103">
        <f t="shared" si="86"/>
        <v>0</v>
      </c>
      <c r="I221" s="104">
        <f t="shared" si="87"/>
        <v>0</v>
      </c>
      <c r="J221" s="113">
        <v>5</v>
      </c>
      <c r="K221" s="105">
        <f t="shared" si="88"/>
        <v>0</v>
      </c>
      <c r="L221" s="106">
        <f t="shared" si="89"/>
        <v>0</v>
      </c>
    </row>
    <row r="222" spans="1:12" x14ac:dyDescent="0.35">
      <c r="A222" s="60">
        <v>6</v>
      </c>
      <c r="B222" s="26" t="s">
        <v>104</v>
      </c>
      <c r="C222" s="27">
        <v>8</v>
      </c>
      <c r="D222" s="22">
        <v>0</v>
      </c>
      <c r="E222" s="23">
        <f t="shared" si="92"/>
        <v>8</v>
      </c>
      <c r="F222" s="24" t="s">
        <v>18</v>
      </c>
      <c r="G222" s="57"/>
      <c r="H222" s="103">
        <f t="shared" si="86"/>
        <v>0</v>
      </c>
      <c r="I222" s="104">
        <f t="shared" si="87"/>
        <v>0</v>
      </c>
      <c r="J222" s="113">
        <v>4</v>
      </c>
      <c r="K222" s="105">
        <f t="shared" si="88"/>
        <v>0</v>
      </c>
      <c r="L222" s="106">
        <f t="shared" si="89"/>
        <v>0</v>
      </c>
    </row>
    <row r="223" spans="1:12" x14ac:dyDescent="0.35">
      <c r="A223" s="60">
        <v>7</v>
      </c>
      <c r="B223" s="26" t="s">
        <v>150</v>
      </c>
      <c r="C223" s="27">
        <v>14</v>
      </c>
      <c r="D223" s="22">
        <v>0</v>
      </c>
      <c r="E223" s="23">
        <f t="shared" si="92"/>
        <v>14</v>
      </c>
      <c r="F223" s="24" t="s">
        <v>18</v>
      </c>
      <c r="G223" s="57"/>
      <c r="H223" s="103">
        <f t="shared" si="86"/>
        <v>0</v>
      </c>
      <c r="I223" s="104">
        <f t="shared" si="87"/>
        <v>0</v>
      </c>
      <c r="J223" s="113">
        <v>7</v>
      </c>
      <c r="K223" s="105">
        <f t="shared" si="88"/>
        <v>0</v>
      </c>
      <c r="L223" s="106">
        <f t="shared" si="89"/>
        <v>0</v>
      </c>
    </row>
    <row r="224" spans="1:12" x14ac:dyDescent="0.35">
      <c r="A224" s="60">
        <v>8</v>
      </c>
      <c r="B224" s="46" t="s">
        <v>127</v>
      </c>
      <c r="C224" s="27">
        <v>2</v>
      </c>
      <c r="D224" s="22">
        <v>0</v>
      </c>
      <c r="E224" s="23">
        <f t="shared" si="92"/>
        <v>2</v>
      </c>
      <c r="F224" s="24" t="s">
        <v>18</v>
      </c>
      <c r="G224" s="57"/>
      <c r="H224" s="103">
        <f t="shared" si="86"/>
        <v>0</v>
      </c>
      <c r="I224" s="104">
        <f t="shared" si="87"/>
        <v>0</v>
      </c>
      <c r="J224" s="113">
        <v>1</v>
      </c>
      <c r="K224" s="105">
        <f t="shared" si="88"/>
        <v>0</v>
      </c>
      <c r="L224" s="106">
        <f t="shared" si="89"/>
        <v>0</v>
      </c>
    </row>
    <row r="225" spans="1:12" x14ac:dyDescent="0.35">
      <c r="A225" s="60">
        <v>9</v>
      </c>
      <c r="B225" s="46" t="s">
        <v>84</v>
      </c>
      <c r="C225" s="27">
        <v>5</v>
      </c>
      <c r="D225" s="22">
        <v>0</v>
      </c>
      <c r="E225" s="23">
        <f t="shared" si="92"/>
        <v>5</v>
      </c>
      <c r="F225" s="24" t="s">
        <v>18</v>
      </c>
      <c r="G225" s="57"/>
      <c r="H225" s="103">
        <f t="shared" si="86"/>
        <v>0</v>
      </c>
      <c r="I225" s="104">
        <f t="shared" si="87"/>
        <v>0</v>
      </c>
      <c r="J225" s="113">
        <v>2.5</v>
      </c>
      <c r="K225" s="105">
        <f t="shared" si="88"/>
        <v>0</v>
      </c>
      <c r="L225" s="106">
        <f t="shared" si="89"/>
        <v>0</v>
      </c>
    </row>
    <row r="226" spans="1:12" x14ac:dyDescent="0.35">
      <c r="A226" s="60">
        <v>10</v>
      </c>
      <c r="B226" s="45" t="s">
        <v>61</v>
      </c>
      <c r="C226" s="27">
        <v>2</v>
      </c>
      <c r="D226" s="22">
        <v>0</v>
      </c>
      <c r="E226" s="23">
        <f t="shared" si="92"/>
        <v>2</v>
      </c>
      <c r="F226" s="24" t="s">
        <v>18</v>
      </c>
      <c r="G226" s="57"/>
      <c r="H226" s="103">
        <f t="shared" si="86"/>
        <v>0</v>
      </c>
      <c r="I226" s="104">
        <f t="shared" si="87"/>
        <v>0</v>
      </c>
      <c r="J226" s="113">
        <v>1</v>
      </c>
      <c r="K226" s="105">
        <f t="shared" si="88"/>
        <v>0</v>
      </c>
      <c r="L226" s="106">
        <f t="shared" si="89"/>
        <v>0</v>
      </c>
    </row>
    <row r="227" spans="1:12" x14ac:dyDescent="0.35">
      <c r="A227" s="60">
        <v>11</v>
      </c>
      <c r="B227" s="26" t="s">
        <v>42</v>
      </c>
      <c r="C227" s="27">
        <v>2</v>
      </c>
      <c r="D227" s="22">
        <v>0</v>
      </c>
      <c r="E227" s="23">
        <f t="shared" si="92"/>
        <v>2</v>
      </c>
      <c r="F227" s="24" t="s">
        <v>18</v>
      </c>
      <c r="G227" s="57"/>
      <c r="H227" s="103">
        <f t="shared" si="86"/>
        <v>0</v>
      </c>
      <c r="I227" s="104">
        <f t="shared" si="87"/>
        <v>0</v>
      </c>
      <c r="J227" s="113">
        <v>1</v>
      </c>
      <c r="K227" s="105">
        <f t="shared" si="88"/>
        <v>0</v>
      </c>
      <c r="L227" s="106">
        <f t="shared" si="89"/>
        <v>0</v>
      </c>
    </row>
    <row r="228" spans="1:12" x14ac:dyDescent="0.35">
      <c r="A228" s="362" t="s">
        <v>159</v>
      </c>
      <c r="B228" s="363"/>
      <c r="C228" s="27"/>
      <c r="D228" s="22"/>
      <c r="E228" s="23"/>
      <c r="F228" s="24"/>
      <c r="G228" s="27"/>
      <c r="H228" s="27"/>
      <c r="I228" s="27"/>
      <c r="J228" s="24"/>
      <c r="K228" s="24"/>
      <c r="L228" s="109"/>
    </row>
    <row r="229" spans="1:12" ht="15" thickBot="1" x14ac:dyDescent="0.4">
      <c r="A229" s="60"/>
      <c r="B229" s="28"/>
      <c r="C229" s="27"/>
      <c r="D229" s="22"/>
      <c r="E229" s="23"/>
      <c r="F229" s="24"/>
      <c r="G229" s="27"/>
      <c r="H229" s="27"/>
      <c r="I229" s="27"/>
      <c r="J229" s="24"/>
      <c r="K229" s="24"/>
      <c r="L229" s="109"/>
    </row>
    <row r="230" spans="1:12" ht="15" thickBot="1" x14ac:dyDescent="0.4">
      <c r="A230" s="364" t="s">
        <v>166</v>
      </c>
      <c r="B230" s="365"/>
      <c r="C230" s="27"/>
      <c r="D230" s="22"/>
      <c r="E230" s="23"/>
      <c r="F230" s="24"/>
      <c r="G230" s="27"/>
      <c r="H230" s="27"/>
      <c r="I230" s="27"/>
      <c r="J230" s="24"/>
      <c r="K230" s="24"/>
      <c r="L230" s="109"/>
    </row>
    <row r="231" spans="1:12" x14ac:dyDescent="0.35">
      <c r="A231" s="60">
        <v>1</v>
      </c>
      <c r="B231" s="26" t="s">
        <v>96</v>
      </c>
      <c r="C231" s="27">
        <v>118</v>
      </c>
      <c r="D231" s="22">
        <v>0.1</v>
      </c>
      <c r="E231" s="23">
        <f t="shared" ref="E231" si="93">C231*(1+D231)</f>
        <v>129.80000000000001</v>
      </c>
      <c r="F231" s="24" t="s">
        <v>17</v>
      </c>
      <c r="G231" s="57"/>
      <c r="H231" s="103">
        <f t="shared" ref="H231:H233" si="94">G231*E231</f>
        <v>0</v>
      </c>
      <c r="I231" s="104">
        <f t="shared" ref="I231:I233" si="95">L$4</f>
        <v>0</v>
      </c>
      <c r="J231" s="113">
        <v>12.980000000000002</v>
      </c>
      <c r="K231" s="105">
        <f t="shared" ref="K231:K233" si="96">J231*I231</f>
        <v>0</v>
      </c>
      <c r="L231" s="106">
        <f t="shared" ref="L231:L233" si="97">K231+H231</f>
        <v>0</v>
      </c>
    </row>
    <row r="232" spans="1:12" x14ac:dyDescent="0.35">
      <c r="A232" s="60">
        <v>2</v>
      </c>
      <c r="B232" s="26" t="s">
        <v>46</v>
      </c>
      <c r="C232" s="27">
        <v>10</v>
      </c>
      <c r="D232" s="22">
        <v>0</v>
      </c>
      <c r="E232" s="23">
        <f t="shared" ref="E232" si="98">C232*(1+D232)</f>
        <v>10</v>
      </c>
      <c r="F232" s="24" t="s">
        <v>18</v>
      </c>
      <c r="G232" s="57"/>
      <c r="H232" s="103">
        <f t="shared" si="94"/>
        <v>0</v>
      </c>
      <c r="I232" s="104">
        <f t="shared" si="95"/>
        <v>0</v>
      </c>
      <c r="J232" s="113">
        <v>5</v>
      </c>
      <c r="K232" s="105">
        <f t="shared" si="96"/>
        <v>0</v>
      </c>
      <c r="L232" s="106">
        <f t="shared" si="97"/>
        <v>0</v>
      </c>
    </row>
    <row r="233" spans="1:12" x14ac:dyDescent="0.35">
      <c r="A233" s="60">
        <v>3</v>
      </c>
      <c r="B233" s="34" t="s">
        <v>47</v>
      </c>
      <c r="C233" s="27">
        <v>16</v>
      </c>
      <c r="D233" s="22">
        <v>0</v>
      </c>
      <c r="E233" s="23">
        <f t="shared" ref="E233" si="99">C233*(1+D233)</f>
        <v>16</v>
      </c>
      <c r="F233" s="24" t="s">
        <v>18</v>
      </c>
      <c r="G233" s="57"/>
      <c r="H233" s="103">
        <f t="shared" si="94"/>
        <v>0</v>
      </c>
      <c r="I233" s="104">
        <f t="shared" si="95"/>
        <v>0</v>
      </c>
      <c r="J233" s="113">
        <v>8</v>
      </c>
      <c r="K233" s="105">
        <f t="shared" si="96"/>
        <v>0</v>
      </c>
      <c r="L233" s="106">
        <f t="shared" si="97"/>
        <v>0</v>
      </c>
    </row>
    <row r="234" spans="1:12" x14ac:dyDescent="0.35">
      <c r="A234" s="362" t="s">
        <v>90</v>
      </c>
      <c r="B234" s="363"/>
      <c r="C234" s="27"/>
      <c r="D234" s="22"/>
      <c r="E234" s="23"/>
      <c r="F234" s="24"/>
      <c r="G234" s="27"/>
      <c r="H234" s="27"/>
      <c r="I234" s="27"/>
      <c r="J234" s="24"/>
      <c r="K234" s="24"/>
      <c r="L234" s="109"/>
    </row>
    <row r="235" spans="1:12" ht="15" thickBot="1" x14ac:dyDescent="0.4">
      <c r="A235" s="71"/>
      <c r="B235" s="8"/>
      <c r="C235" s="27"/>
      <c r="D235" s="22"/>
      <c r="E235" s="23"/>
      <c r="F235" s="24"/>
      <c r="G235" s="27"/>
      <c r="H235" s="27"/>
      <c r="I235" s="27"/>
      <c r="J235" s="24"/>
      <c r="K235" s="24"/>
      <c r="L235" s="109"/>
    </row>
    <row r="236" spans="1:12" ht="15" thickBot="1" x14ac:dyDescent="0.4">
      <c r="A236" s="364" t="s">
        <v>165</v>
      </c>
      <c r="B236" s="365"/>
      <c r="C236" s="27"/>
      <c r="D236" s="22"/>
      <c r="E236" s="23"/>
      <c r="F236" s="24"/>
      <c r="G236" s="27"/>
      <c r="H236" s="27"/>
      <c r="I236" s="27"/>
      <c r="J236" s="24"/>
      <c r="K236" s="24"/>
      <c r="L236" s="109"/>
    </row>
    <row r="237" spans="1:12" x14ac:dyDescent="0.35">
      <c r="A237" s="60">
        <v>1</v>
      </c>
      <c r="B237" s="45" t="s">
        <v>91</v>
      </c>
      <c r="C237" s="27">
        <v>80</v>
      </c>
      <c r="D237" s="22">
        <v>0.1</v>
      </c>
      <c r="E237" s="23">
        <f>C237*(1+D237)</f>
        <v>88</v>
      </c>
      <c r="F237" s="24" t="s">
        <v>17</v>
      </c>
      <c r="G237" s="57"/>
      <c r="H237" s="103">
        <f t="shared" ref="H237:H238" si="100">G237*E237</f>
        <v>0</v>
      </c>
      <c r="I237" s="104">
        <f t="shared" ref="I237:I238" si="101">L$4</f>
        <v>0</v>
      </c>
      <c r="J237" s="113">
        <v>17.600000000000001</v>
      </c>
      <c r="K237" s="105">
        <f t="shared" ref="K237:K238" si="102">J237*I237</f>
        <v>0</v>
      </c>
      <c r="L237" s="106">
        <f t="shared" ref="L237:L238" si="103">K237+H237</f>
        <v>0</v>
      </c>
    </row>
    <row r="238" spans="1:12" x14ac:dyDescent="0.35">
      <c r="A238" s="60">
        <v>2</v>
      </c>
      <c r="B238" s="26" t="s">
        <v>36</v>
      </c>
      <c r="C238" s="27">
        <v>8</v>
      </c>
      <c r="D238" s="22">
        <v>0</v>
      </c>
      <c r="E238" s="23">
        <f t="shared" ref="E238" si="104">C238*(1+D238)</f>
        <v>8</v>
      </c>
      <c r="F238" s="24" t="s">
        <v>18</v>
      </c>
      <c r="G238" s="57"/>
      <c r="H238" s="103">
        <f t="shared" si="100"/>
        <v>0</v>
      </c>
      <c r="I238" s="104">
        <f t="shared" si="101"/>
        <v>0</v>
      </c>
      <c r="J238" s="113">
        <v>4</v>
      </c>
      <c r="K238" s="105">
        <f t="shared" si="102"/>
        <v>0</v>
      </c>
      <c r="L238" s="106">
        <f t="shared" si="103"/>
        <v>0</v>
      </c>
    </row>
    <row r="239" spans="1:12" x14ac:dyDescent="0.35">
      <c r="A239" s="362" t="s">
        <v>90</v>
      </c>
      <c r="B239" s="363"/>
      <c r="C239" s="27"/>
      <c r="D239" s="22"/>
      <c r="E239" s="23"/>
      <c r="F239" s="24"/>
      <c r="G239" s="27"/>
      <c r="H239" s="27"/>
      <c r="I239" s="27"/>
      <c r="J239" s="24"/>
      <c r="K239" s="24"/>
      <c r="L239" s="109"/>
    </row>
    <row r="240" spans="1:12" ht="15" thickBot="1" x14ac:dyDescent="0.4">
      <c r="A240" s="60"/>
      <c r="B240" s="28"/>
      <c r="C240" s="27"/>
      <c r="D240" s="22"/>
      <c r="E240" s="23"/>
      <c r="F240" s="24"/>
      <c r="G240" s="27"/>
      <c r="H240" s="27"/>
      <c r="I240" s="27"/>
      <c r="J240" s="24"/>
      <c r="K240" s="24"/>
      <c r="L240" s="109"/>
    </row>
    <row r="241" spans="1:12" ht="15" thickBot="1" x14ac:dyDescent="0.4">
      <c r="A241" s="364" t="s">
        <v>176</v>
      </c>
      <c r="B241" s="365"/>
      <c r="C241" s="27"/>
      <c r="D241" s="22"/>
      <c r="E241" s="23"/>
      <c r="F241" s="24"/>
      <c r="G241" s="27"/>
      <c r="H241" s="27"/>
      <c r="I241" s="27"/>
      <c r="J241" s="24"/>
      <c r="K241" s="24"/>
      <c r="L241" s="109"/>
    </row>
    <row r="242" spans="1:12" ht="15" thickBot="1" x14ac:dyDescent="0.4">
      <c r="A242" s="364" t="s">
        <v>170</v>
      </c>
      <c r="B242" s="365"/>
      <c r="C242" s="27"/>
      <c r="D242" s="22"/>
      <c r="E242" s="23"/>
      <c r="F242" s="24"/>
      <c r="G242" s="27"/>
      <c r="H242" s="27"/>
      <c r="I242" s="27"/>
      <c r="J242" s="24"/>
      <c r="K242" s="24"/>
      <c r="L242" s="109"/>
    </row>
    <row r="243" spans="1:12" x14ac:dyDescent="0.35">
      <c r="A243" s="60">
        <v>1</v>
      </c>
      <c r="B243" s="32" t="s">
        <v>114</v>
      </c>
      <c r="C243" s="27">
        <v>87</v>
      </c>
      <c r="D243" s="22">
        <v>0.1</v>
      </c>
      <c r="E243" s="23">
        <f>C243*(1+D243)</f>
        <v>95.7</v>
      </c>
      <c r="F243" s="24" t="s">
        <v>17</v>
      </c>
      <c r="G243" s="57"/>
      <c r="H243" s="103">
        <f t="shared" ref="H243:H261" si="105">G243*E243</f>
        <v>0</v>
      </c>
      <c r="I243" s="104">
        <f t="shared" ref="I243:I261" si="106">L$4</f>
        <v>0</v>
      </c>
      <c r="J243" s="113">
        <v>9.57</v>
      </c>
      <c r="K243" s="105">
        <f t="shared" ref="K243:K261" si="107">J243*I243</f>
        <v>0</v>
      </c>
      <c r="L243" s="106">
        <f t="shared" ref="L243:L261" si="108">K243+H243</f>
        <v>0</v>
      </c>
    </row>
    <row r="244" spans="1:12" x14ac:dyDescent="0.35">
      <c r="A244" s="60">
        <v>2</v>
      </c>
      <c r="B244" s="32" t="s">
        <v>120</v>
      </c>
      <c r="C244" s="27">
        <v>48</v>
      </c>
      <c r="D244" s="22">
        <v>0.1</v>
      </c>
      <c r="E244" s="23">
        <f t="shared" ref="E244:E247" si="109">C244*(1+D244)</f>
        <v>52.800000000000004</v>
      </c>
      <c r="F244" s="24" t="s">
        <v>17</v>
      </c>
      <c r="G244" s="57"/>
      <c r="H244" s="103">
        <f t="shared" si="105"/>
        <v>0</v>
      </c>
      <c r="I244" s="104">
        <f t="shared" si="106"/>
        <v>0</v>
      </c>
      <c r="J244" s="113">
        <v>5.2800000000000011</v>
      </c>
      <c r="K244" s="105">
        <f t="shared" si="107"/>
        <v>0</v>
      </c>
      <c r="L244" s="106">
        <f t="shared" si="108"/>
        <v>0</v>
      </c>
    </row>
    <row r="245" spans="1:12" x14ac:dyDescent="0.35">
      <c r="A245" s="60">
        <v>3</v>
      </c>
      <c r="B245" s="32" t="s">
        <v>110</v>
      </c>
      <c r="C245" s="27">
        <v>96</v>
      </c>
      <c r="D245" s="22">
        <v>0.1</v>
      </c>
      <c r="E245" s="23">
        <f t="shared" si="109"/>
        <v>105.60000000000001</v>
      </c>
      <c r="F245" s="24" t="s">
        <v>17</v>
      </c>
      <c r="G245" s="57"/>
      <c r="H245" s="103">
        <f t="shared" si="105"/>
        <v>0</v>
      </c>
      <c r="I245" s="104">
        <f t="shared" si="106"/>
        <v>0</v>
      </c>
      <c r="J245" s="113">
        <v>10.560000000000002</v>
      </c>
      <c r="K245" s="105">
        <f t="shared" si="107"/>
        <v>0</v>
      </c>
      <c r="L245" s="106">
        <f t="shared" si="108"/>
        <v>0</v>
      </c>
    </row>
    <row r="246" spans="1:12" x14ac:dyDescent="0.35">
      <c r="A246" s="60">
        <v>4</v>
      </c>
      <c r="B246" s="45" t="s">
        <v>113</v>
      </c>
      <c r="C246" s="27">
        <v>82</v>
      </c>
      <c r="D246" s="22">
        <v>0.1</v>
      </c>
      <c r="E246" s="23">
        <f t="shared" si="109"/>
        <v>90.2</v>
      </c>
      <c r="F246" s="24" t="s">
        <v>17</v>
      </c>
      <c r="G246" s="57"/>
      <c r="H246" s="103">
        <f t="shared" si="105"/>
        <v>0</v>
      </c>
      <c r="I246" s="104">
        <f t="shared" si="106"/>
        <v>0</v>
      </c>
      <c r="J246" s="113">
        <v>9.0200000000000014</v>
      </c>
      <c r="K246" s="105">
        <f t="shared" si="107"/>
        <v>0</v>
      </c>
      <c r="L246" s="106">
        <f t="shared" si="108"/>
        <v>0</v>
      </c>
    </row>
    <row r="247" spans="1:12" x14ac:dyDescent="0.35">
      <c r="A247" s="60">
        <v>5</v>
      </c>
      <c r="B247" s="45" t="s">
        <v>100</v>
      </c>
      <c r="C247" s="27">
        <v>14</v>
      </c>
      <c r="D247" s="22">
        <v>0.1</v>
      </c>
      <c r="E247" s="23">
        <f t="shared" si="109"/>
        <v>15.400000000000002</v>
      </c>
      <c r="F247" s="24" t="s">
        <v>17</v>
      </c>
      <c r="G247" s="57"/>
      <c r="H247" s="103">
        <f t="shared" si="105"/>
        <v>0</v>
      </c>
      <c r="I247" s="104">
        <f t="shared" si="106"/>
        <v>0</v>
      </c>
      <c r="J247" s="113">
        <v>1.5400000000000003</v>
      </c>
      <c r="K247" s="105">
        <f t="shared" si="107"/>
        <v>0</v>
      </c>
      <c r="L247" s="106">
        <f t="shared" si="108"/>
        <v>0</v>
      </c>
    </row>
    <row r="248" spans="1:12" x14ac:dyDescent="0.35">
      <c r="A248" s="60">
        <v>6</v>
      </c>
      <c r="B248" s="46" t="s">
        <v>130</v>
      </c>
      <c r="C248" s="27">
        <v>3</v>
      </c>
      <c r="D248" s="22">
        <v>0</v>
      </c>
      <c r="E248" s="23">
        <f t="shared" ref="E248" si="110">C248*(1+D248)</f>
        <v>3</v>
      </c>
      <c r="F248" s="24" t="s">
        <v>18</v>
      </c>
      <c r="G248" s="57"/>
      <c r="H248" s="103">
        <f t="shared" si="105"/>
        <v>0</v>
      </c>
      <c r="I248" s="104">
        <f t="shared" si="106"/>
        <v>0</v>
      </c>
      <c r="J248" s="113">
        <v>1.5</v>
      </c>
      <c r="K248" s="105">
        <f t="shared" si="107"/>
        <v>0</v>
      </c>
      <c r="L248" s="106">
        <f t="shared" si="108"/>
        <v>0</v>
      </c>
    </row>
    <row r="249" spans="1:12" x14ac:dyDescent="0.35">
      <c r="A249" s="60">
        <v>7</v>
      </c>
      <c r="B249" s="26" t="s">
        <v>103</v>
      </c>
      <c r="C249" s="27">
        <v>6</v>
      </c>
      <c r="D249" s="22">
        <v>0</v>
      </c>
      <c r="E249" s="23">
        <f t="shared" ref="E249:E268" si="111">C249*(1+D249)</f>
        <v>6</v>
      </c>
      <c r="F249" s="24" t="s">
        <v>18</v>
      </c>
      <c r="G249" s="57"/>
      <c r="H249" s="103">
        <f t="shared" si="105"/>
        <v>0</v>
      </c>
      <c r="I249" s="104">
        <f t="shared" si="106"/>
        <v>0</v>
      </c>
      <c r="J249" s="113">
        <v>3</v>
      </c>
      <c r="K249" s="105">
        <f t="shared" si="107"/>
        <v>0</v>
      </c>
      <c r="L249" s="106">
        <f t="shared" si="108"/>
        <v>0</v>
      </c>
    </row>
    <row r="250" spans="1:12" x14ac:dyDescent="0.35">
      <c r="A250" s="60">
        <v>8</v>
      </c>
      <c r="B250" s="26" t="s">
        <v>43</v>
      </c>
      <c r="C250" s="27">
        <v>15</v>
      </c>
      <c r="D250" s="22">
        <v>0</v>
      </c>
      <c r="E250" s="23">
        <f t="shared" si="111"/>
        <v>15</v>
      </c>
      <c r="F250" s="24" t="s">
        <v>18</v>
      </c>
      <c r="G250" s="57"/>
      <c r="H250" s="103">
        <f t="shared" si="105"/>
        <v>0</v>
      </c>
      <c r="I250" s="104">
        <f t="shared" si="106"/>
        <v>0</v>
      </c>
      <c r="J250" s="113">
        <v>7.5</v>
      </c>
      <c r="K250" s="105">
        <f t="shared" si="107"/>
        <v>0</v>
      </c>
      <c r="L250" s="106">
        <f t="shared" si="108"/>
        <v>0</v>
      </c>
    </row>
    <row r="251" spans="1:12" x14ac:dyDescent="0.35">
      <c r="A251" s="60">
        <v>9</v>
      </c>
      <c r="B251" s="46" t="s">
        <v>62</v>
      </c>
      <c r="C251" s="27">
        <v>3</v>
      </c>
      <c r="D251" s="22">
        <v>0</v>
      </c>
      <c r="E251" s="23">
        <f t="shared" si="111"/>
        <v>3</v>
      </c>
      <c r="F251" s="24" t="s">
        <v>18</v>
      </c>
      <c r="G251" s="57"/>
      <c r="H251" s="103">
        <f t="shared" si="105"/>
        <v>0</v>
      </c>
      <c r="I251" s="104">
        <f t="shared" si="106"/>
        <v>0</v>
      </c>
      <c r="J251" s="113">
        <v>1.5</v>
      </c>
      <c r="K251" s="105">
        <f t="shared" si="107"/>
        <v>0</v>
      </c>
      <c r="L251" s="106">
        <f t="shared" si="108"/>
        <v>0</v>
      </c>
    </row>
    <row r="252" spans="1:12" x14ac:dyDescent="0.35">
      <c r="A252" s="60">
        <v>10</v>
      </c>
      <c r="B252" s="46" t="s">
        <v>63</v>
      </c>
      <c r="C252" s="27">
        <v>3</v>
      </c>
      <c r="D252" s="22">
        <v>0</v>
      </c>
      <c r="E252" s="23">
        <f t="shared" si="111"/>
        <v>3</v>
      </c>
      <c r="F252" s="24" t="s">
        <v>18</v>
      </c>
      <c r="G252" s="57"/>
      <c r="H252" s="103">
        <f t="shared" si="105"/>
        <v>0</v>
      </c>
      <c r="I252" s="104">
        <f t="shared" si="106"/>
        <v>0</v>
      </c>
      <c r="J252" s="113">
        <v>1.5</v>
      </c>
      <c r="K252" s="105">
        <f t="shared" si="107"/>
        <v>0</v>
      </c>
      <c r="L252" s="106">
        <f t="shared" si="108"/>
        <v>0</v>
      </c>
    </row>
    <row r="253" spans="1:12" x14ac:dyDescent="0.35">
      <c r="A253" s="60">
        <v>11</v>
      </c>
      <c r="B253" s="46" t="s">
        <v>64</v>
      </c>
      <c r="C253" s="27">
        <v>3</v>
      </c>
      <c r="D253" s="22">
        <v>0</v>
      </c>
      <c r="E253" s="23">
        <f t="shared" si="111"/>
        <v>3</v>
      </c>
      <c r="F253" s="24" t="s">
        <v>18</v>
      </c>
      <c r="G253" s="57"/>
      <c r="H253" s="103">
        <f t="shared" si="105"/>
        <v>0</v>
      </c>
      <c r="I253" s="104">
        <f t="shared" si="106"/>
        <v>0</v>
      </c>
      <c r="J253" s="113">
        <v>1.5</v>
      </c>
      <c r="K253" s="105">
        <f t="shared" si="107"/>
        <v>0</v>
      </c>
      <c r="L253" s="106">
        <f t="shared" si="108"/>
        <v>0</v>
      </c>
    </row>
    <row r="254" spans="1:12" x14ac:dyDescent="0.35">
      <c r="A254" s="60">
        <v>12</v>
      </c>
      <c r="B254" s="26" t="s">
        <v>65</v>
      </c>
      <c r="C254" s="27">
        <v>3</v>
      </c>
      <c r="D254" s="22">
        <v>0</v>
      </c>
      <c r="E254" s="23">
        <f t="shared" si="111"/>
        <v>3</v>
      </c>
      <c r="F254" s="24" t="s">
        <v>18</v>
      </c>
      <c r="G254" s="57"/>
      <c r="H254" s="103">
        <f t="shared" si="105"/>
        <v>0</v>
      </c>
      <c r="I254" s="104">
        <f t="shared" si="106"/>
        <v>0</v>
      </c>
      <c r="J254" s="113">
        <v>1.5</v>
      </c>
      <c r="K254" s="105">
        <f t="shared" si="107"/>
        <v>0</v>
      </c>
      <c r="L254" s="106">
        <f t="shared" si="108"/>
        <v>0</v>
      </c>
    </row>
    <row r="255" spans="1:12" x14ac:dyDescent="0.35">
      <c r="A255" s="60">
        <v>13</v>
      </c>
      <c r="B255" s="46" t="s">
        <v>66</v>
      </c>
      <c r="C255" s="27">
        <v>3</v>
      </c>
      <c r="D255" s="22">
        <v>0</v>
      </c>
      <c r="E255" s="23">
        <f t="shared" si="111"/>
        <v>3</v>
      </c>
      <c r="F255" s="24" t="s">
        <v>18</v>
      </c>
      <c r="G255" s="57"/>
      <c r="H255" s="103">
        <f t="shared" si="105"/>
        <v>0</v>
      </c>
      <c r="I255" s="104">
        <f t="shared" si="106"/>
        <v>0</v>
      </c>
      <c r="J255" s="113">
        <v>1.5</v>
      </c>
      <c r="K255" s="105">
        <f t="shared" si="107"/>
        <v>0</v>
      </c>
      <c r="L255" s="106">
        <f t="shared" si="108"/>
        <v>0</v>
      </c>
    </row>
    <row r="256" spans="1:12" x14ac:dyDescent="0.35">
      <c r="A256" s="60">
        <v>14</v>
      </c>
      <c r="B256" s="46" t="s">
        <v>67</v>
      </c>
      <c r="C256" s="27">
        <v>3</v>
      </c>
      <c r="D256" s="22">
        <v>0</v>
      </c>
      <c r="E256" s="23">
        <f t="shared" si="111"/>
        <v>3</v>
      </c>
      <c r="F256" s="24" t="s">
        <v>18</v>
      </c>
      <c r="G256" s="57"/>
      <c r="H256" s="103">
        <f t="shared" si="105"/>
        <v>0</v>
      </c>
      <c r="I256" s="104">
        <f t="shared" si="106"/>
        <v>0</v>
      </c>
      <c r="J256" s="113">
        <v>1.5</v>
      </c>
      <c r="K256" s="105">
        <f t="shared" si="107"/>
        <v>0</v>
      </c>
      <c r="L256" s="106">
        <f t="shared" si="108"/>
        <v>0</v>
      </c>
    </row>
    <row r="257" spans="1:12" x14ac:dyDescent="0.35">
      <c r="A257" s="60">
        <v>15</v>
      </c>
      <c r="B257" s="46" t="s">
        <v>128</v>
      </c>
      <c r="C257" s="27">
        <v>15</v>
      </c>
      <c r="D257" s="22">
        <v>0</v>
      </c>
      <c r="E257" s="23">
        <f t="shared" si="111"/>
        <v>15</v>
      </c>
      <c r="F257" s="24" t="s">
        <v>18</v>
      </c>
      <c r="G257" s="57"/>
      <c r="H257" s="103">
        <f t="shared" si="105"/>
        <v>0</v>
      </c>
      <c r="I257" s="104">
        <f t="shared" si="106"/>
        <v>0</v>
      </c>
      <c r="J257" s="113">
        <v>7.5</v>
      </c>
      <c r="K257" s="105">
        <f t="shared" si="107"/>
        <v>0</v>
      </c>
      <c r="L257" s="106">
        <f t="shared" si="108"/>
        <v>0</v>
      </c>
    </row>
    <row r="258" spans="1:12" x14ac:dyDescent="0.35">
      <c r="A258" s="60">
        <v>16</v>
      </c>
      <c r="B258" s="46" t="s">
        <v>150</v>
      </c>
      <c r="C258" s="27">
        <v>7</v>
      </c>
      <c r="D258" s="22">
        <v>0</v>
      </c>
      <c r="E258" s="23">
        <f t="shared" si="111"/>
        <v>7</v>
      </c>
      <c r="F258" s="24" t="s">
        <v>18</v>
      </c>
      <c r="G258" s="57"/>
      <c r="H258" s="103">
        <f t="shared" si="105"/>
        <v>0</v>
      </c>
      <c r="I258" s="104">
        <f t="shared" si="106"/>
        <v>0</v>
      </c>
      <c r="J258" s="113">
        <v>3.5</v>
      </c>
      <c r="K258" s="105">
        <f t="shared" si="107"/>
        <v>0</v>
      </c>
      <c r="L258" s="106">
        <f t="shared" si="108"/>
        <v>0</v>
      </c>
    </row>
    <row r="259" spans="1:12" x14ac:dyDescent="0.35">
      <c r="A259" s="60">
        <v>17</v>
      </c>
      <c r="B259" s="46" t="s">
        <v>148</v>
      </c>
      <c r="C259" s="27">
        <v>11</v>
      </c>
      <c r="D259" s="22">
        <v>0</v>
      </c>
      <c r="E259" s="23">
        <f t="shared" si="111"/>
        <v>11</v>
      </c>
      <c r="F259" s="24" t="s">
        <v>18</v>
      </c>
      <c r="G259" s="57"/>
      <c r="H259" s="103">
        <f t="shared" si="105"/>
        <v>0</v>
      </c>
      <c r="I259" s="104">
        <f t="shared" si="106"/>
        <v>0</v>
      </c>
      <c r="J259" s="113">
        <v>5.5</v>
      </c>
      <c r="K259" s="105">
        <f t="shared" si="107"/>
        <v>0</v>
      </c>
      <c r="L259" s="106">
        <f t="shared" si="108"/>
        <v>0</v>
      </c>
    </row>
    <row r="260" spans="1:12" x14ac:dyDescent="0.35">
      <c r="A260" s="60">
        <v>18</v>
      </c>
      <c r="B260" s="26" t="s">
        <v>104</v>
      </c>
      <c r="C260" s="27">
        <v>3</v>
      </c>
      <c r="D260" s="22">
        <v>0</v>
      </c>
      <c r="E260" s="23">
        <f t="shared" si="111"/>
        <v>3</v>
      </c>
      <c r="F260" s="24" t="s">
        <v>18</v>
      </c>
      <c r="G260" s="57"/>
      <c r="H260" s="103">
        <f t="shared" si="105"/>
        <v>0</v>
      </c>
      <c r="I260" s="104">
        <f t="shared" si="106"/>
        <v>0</v>
      </c>
      <c r="J260" s="113">
        <v>1.5</v>
      </c>
      <c r="K260" s="105">
        <f t="shared" si="107"/>
        <v>0</v>
      </c>
      <c r="L260" s="106">
        <f t="shared" si="108"/>
        <v>0</v>
      </c>
    </row>
    <row r="261" spans="1:12" x14ac:dyDescent="0.35">
      <c r="A261" s="60">
        <v>19</v>
      </c>
      <c r="B261" s="45" t="s">
        <v>68</v>
      </c>
      <c r="C261" s="27">
        <v>3</v>
      </c>
      <c r="D261" s="22">
        <v>0</v>
      </c>
      <c r="E261" s="23">
        <f t="shared" si="111"/>
        <v>3</v>
      </c>
      <c r="F261" s="24" t="s">
        <v>18</v>
      </c>
      <c r="G261" s="57"/>
      <c r="H261" s="103">
        <f t="shared" si="105"/>
        <v>0</v>
      </c>
      <c r="I261" s="104">
        <f t="shared" si="106"/>
        <v>0</v>
      </c>
      <c r="J261" s="113">
        <v>1.5</v>
      </c>
      <c r="K261" s="105">
        <f t="shared" si="107"/>
        <v>0</v>
      </c>
      <c r="L261" s="106">
        <f t="shared" si="108"/>
        <v>0</v>
      </c>
    </row>
    <row r="262" spans="1:12" x14ac:dyDescent="0.35">
      <c r="A262" s="362" t="s">
        <v>159</v>
      </c>
      <c r="B262" s="363"/>
      <c r="C262" s="27"/>
      <c r="D262" s="22"/>
      <c r="E262" s="23"/>
      <c r="F262" s="24"/>
      <c r="G262" s="27"/>
      <c r="H262" s="27"/>
      <c r="I262" s="27"/>
      <c r="J262" s="24"/>
      <c r="K262" s="24"/>
      <c r="L262" s="109"/>
    </row>
    <row r="263" spans="1:12" ht="15" thickBot="1" x14ac:dyDescent="0.4">
      <c r="A263" s="71"/>
      <c r="B263" s="8"/>
      <c r="C263" s="27"/>
      <c r="D263" s="22"/>
      <c r="E263" s="23"/>
      <c r="F263" s="24"/>
      <c r="G263" s="27"/>
      <c r="H263" s="27"/>
      <c r="I263" s="27"/>
      <c r="J263" s="24"/>
      <c r="K263" s="24"/>
      <c r="L263" s="109"/>
    </row>
    <row r="264" spans="1:12" ht="15" thickBot="1" x14ac:dyDescent="0.4">
      <c r="A264" s="364" t="s">
        <v>177</v>
      </c>
      <c r="B264" s="365"/>
      <c r="C264" s="27"/>
      <c r="D264" s="22"/>
      <c r="E264" s="23"/>
      <c r="F264" s="24"/>
      <c r="G264" s="27"/>
      <c r="H264" s="27"/>
      <c r="I264" s="27"/>
      <c r="J264" s="24"/>
      <c r="K264" s="24"/>
      <c r="L264" s="109"/>
    </row>
    <row r="265" spans="1:12" x14ac:dyDescent="0.35">
      <c r="A265" s="60">
        <v>1</v>
      </c>
      <c r="B265" s="32" t="s">
        <v>114</v>
      </c>
      <c r="C265" s="27">
        <v>90</v>
      </c>
      <c r="D265" s="22">
        <v>0.1</v>
      </c>
      <c r="E265" s="23">
        <f t="shared" si="111"/>
        <v>99.000000000000014</v>
      </c>
      <c r="F265" s="24" t="s">
        <v>17</v>
      </c>
      <c r="G265" s="57"/>
      <c r="H265" s="103">
        <f t="shared" ref="H265:H276" si="112">G265*E265</f>
        <v>0</v>
      </c>
      <c r="I265" s="104">
        <f t="shared" ref="I265:I276" si="113">L$4</f>
        <v>0</v>
      </c>
      <c r="J265" s="113">
        <v>9.9000000000000021</v>
      </c>
      <c r="K265" s="105">
        <f t="shared" ref="K265:K276" si="114">J265*I265</f>
        <v>0</v>
      </c>
      <c r="L265" s="106">
        <f t="shared" ref="L265:L276" si="115">K265+H265</f>
        <v>0</v>
      </c>
    </row>
    <row r="266" spans="1:12" x14ac:dyDescent="0.35">
      <c r="A266" s="60">
        <v>2</v>
      </c>
      <c r="B266" s="32" t="s">
        <v>110</v>
      </c>
      <c r="C266" s="27">
        <v>69</v>
      </c>
      <c r="D266" s="22">
        <v>0.1</v>
      </c>
      <c r="E266" s="23">
        <f t="shared" si="111"/>
        <v>75.900000000000006</v>
      </c>
      <c r="F266" s="24" t="s">
        <v>17</v>
      </c>
      <c r="G266" s="57"/>
      <c r="H266" s="103">
        <f t="shared" si="112"/>
        <v>0</v>
      </c>
      <c r="I266" s="104">
        <f t="shared" si="113"/>
        <v>0</v>
      </c>
      <c r="J266" s="113">
        <v>7.5900000000000007</v>
      </c>
      <c r="K266" s="105">
        <f t="shared" si="114"/>
        <v>0</v>
      </c>
      <c r="L266" s="106">
        <f t="shared" si="115"/>
        <v>0</v>
      </c>
    </row>
    <row r="267" spans="1:12" x14ac:dyDescent="0.35">
      <c r="A267" s="60">
        <v>3</v>
      </c>
      <c r="B267" s="45" t="s">
        <v>100</v>
      </c>
      <c r="C267" s="27">
        <v>45</v>
      </c>
      <c r="D267" s="22">
        <v>0.1</v>
      </c>
      <c r="E267" s="23">
        <f t="shared" si="111"/>
        <v>49.500000000000007</v>
      </c>
      <c r="F267" s="24" t="s">
        <v>17</v>
      </c>
      <c r="G267" s="57"/>
      <c r="H267" s="103">
        <f t="shared" si="112"/>
        <v>0</v>
      </c>
      <c r="I267" s="104">
        <f t="shared" si="113"/>
        <v>0</v>
      </c>
      <c r="J267" s="113">
        <v>4.9500000000000011</v>
      </c>
      <c r="K267" s="105">
        <f t="shared" si="114"/>
        <v>0</v>
      </c>
      <c r="L267" s="106">
        <f t="shared" si="115"/>
        <v>0</v>
      </c>
    </row>
    <row r="268" spans="1:12" x14ac:dyDescent="0.35">
      <c r="A268" s="60">
        <v>4</v>
      </c>
      <c r="B268" s="45" t="s">
        <v>113</v>
      </c>
      <c r="C268" s="27">
        <v>83</v>
      </c>
      <c r="D268" s="22">
        <v>0.1</v>
      </c>
      <c r="E268" s="23">
        <f t="shared" si="111"/>
        <v>91.300000000000011</v>
      </c>
      <c r="F268" s="24" t="s">
        <v>17</v>
      </c>
      <c r="G268" s="57"/>
      <c r="H268" s="103">
        <f t="shared" si="112"/>
        <v>0</v>
      </c>
      <c r="I268" s="104">
        <f t="shared" si="113"/>
        <v>0</v>
      </c>
      <c r="J268" s="113">
        <v>9.1300000000000008</v>
      </c>
      <c r="K268" s="105">
        <f t="shared" si="114"/>
        <v>0</v>
      </c>
      <c r="L268" s="106">
        <f t="shared" si="115"/>
        <v>0</v>
      </c>
    </row>
    <row r="269" spans="1:12" x14ac:dyDescent="0.35">
      <c r="A269" s="60">
        <v>5</v>
      </c>
      <c r="B269" s="26" t="s">
        <v>103</v>
      </c>
      <c r="C269" s="27">
        <v>6</v>
      </c>
      <c r="D269" s="22">
        <v>0</v>
      </c>
      <c r="E269" s="23">
        <f t="shared" ref="E269" si="116">C269*(1+D269)</f>
        <v>6</v>
      </c>
      <c r="F269" s="24" t="s">
        <v>18</v>
      </c>
      <c r="G269" s="57"/>
      <c r="H269" s="103">
        <f t="shared" si="112"/>
        <v>0</v>
      </c>
      <c r="I269" s="104">
        <f t="shared" si="113"/>
        <v>0</v>
      </c>
      <c r="J269" s="113">
        <v>3</v>
      </c>
      <c r="K269" s="105">
        <f t="shared" si="114"/>
        <v>0</v>
      </c>
      <c r="L269" s="106">
        <f t="shared" si="115"/>
        <v>0</v>
      </c>
    </row>
    <row r="270" spans="1:12" x14ac:dyDescent="0.35">
      <c r="A270" s="60">
        <v>6</v>
      </c>
      <c r="B270" s="46" t="s">
        <v>128</v>
      </c>
      <c r="C270" s="27">
        <v>9</v>
      </c>
      <c r="D270" s="22">
        <v>0</v>
      </c>
      <c r="E270" s="23">
        <f t="shared" ref="E270:E276" si="117">C270*(1+D270)</f>
        <v>9</v>
      </c>
      <c r="F270" s="24" t="s">
        <v>18</v>
      </c>
      <c r="G270" s="57"/>
      <c r="H270" s="103">
        <f t="shared" si="112"/>
        <v>0</v>
      </c>
      <c r="I270" s="104">
        <f t="shared" si="113"/>
        <v>0</v>
      </c>
      <c r="J270" s="113">
        <v>4.5</v>
      </c>
      <c r="K270" s="105">
        <f t="shared" si="114"/>
        <v>0</v>
      </c>
      <c r="L270" s="106">
        <f t="shared" si="115"/>
        <v>0</v>
      </c>
    </row>
    <row r="271" spans="1:12" x14ac:dyDescent="0.35">
      <c r="A271" s="60">
        <v>7</v>
      </c>
      <c r="B271" s="26" t="s">
        <v>104</v>
      </c>
      <c r="C271" s="27">
        <v>6</v>
      </c>
      <c r="D271" s="22">
        <v>0</v>
      </c>
      <c r="E271" s="23">
        <f t="shared" si="117"/>
        <v>6</v>
      </c>
      <c r="F271" s="24" t="s">
        <v>18</v>
      </c>
      <c r="G271" s="57"/>
      <c r="H271" s="103">
        <f t="shared" si="112"/>
        <v>0</v>
      </c>
      <c r="I271" s="104">
        <f t="shared" si="113"/>
        <v>0</v>
      </c>
      <c r="J271" s="113">
        <v>3</v>
      </c>
      <c r="K271" s="105">
        <f t="shared" si="114"/>
        <v>0</v>
      </c>
      <c r="L271" s="106">
        <f t="shared" si="115"/>
        <v>0</v>
      </c>
    </row>
    <row r="272" spans="1:12" x14ac:dyDescent="0.35">
      <c r="A272" s="60">
        <v>8</v>
      </c>
      <c r="B272" s="26" t="s">
        <v>150</v>
      </c>
      <c r="C272" s="27">
        <v>2</v>
      </c>
      <c r="D272" s="22">
        <v>0</v>
      </c>
      <c r="E272" s="23">
        <f t="shared" si="117"/>
        <v>2</v>
      </c>
      <c r="F272" s="24" t="s">
        <v>18</v>
      </c>
      <c r="G272" s="57"/>
      <c r="H272" s="103">
        <f t="shared" si="112"/>
        <v>0</v>
      </c>
      <c r="I272" s="104">
        <f t="shared" si="113"/>
        <v>0</v>
      </c>
      <c r="J272" s="113">
        <v>1</v>
      </c>
      <c r="K272" s="105">
        <f t="shared" si="114"/>
        <v>0</v>
      </c>
      <c r="L272" s="106">
        <f t="shared" si="115"/>
        <v>0</v>
      </c>
    </row>
    <row r="273" spans="1:12" x14ac:dyDescent="0.35">
      <c r="A273" s="60">
        <v>9</v>
      </c>
      <c r="B273" s="46" t="s">
        <v>131</v>
      </c>
      <c r="C273" s="27">
        <v>6</v>
      </c>
      <c r="D273" s="22">
        <v>0</v>
      </c>
      <c r="E273" s="23">
        <f t="shared" si="117"/>
        <v>6</v>
      </c>
      <c r="F273" s="24" t="s">
        <v>18</v>
      </c>
      <c r="G273" s="57"/>
      <c r="H273" s="103">
        <f t="shared" si="112"/>
        <v>0</v>
      </c>
      <c r="I273" s="104">
        <f t="shared" si="113"/>
        <v>0</v>
      </c>
      <c r="J273" s="113">
        <v>3</v>
      </c>
      <c r="K273" s="105">
        <f t="shared" si="114"/>
        <v>0</v>
      </c>
      <c r="L273" s="106">
        <f t="shared" si="115"/>
        <v>0</v>
      </c>
    </row>
    <row r="274" spans="1:12" x14ac:dyDescent="0.35">
      <c r="A274" s="60">
        <v>10</v>
      </c>
      <c r="B274" s="46" t="s">
        <v>148</v>
      </c>
      <c r="C274" s="27">
        <v>10</v>
      </c>
      <c r="D274" s="22">
        <v>0</v>
      </c>
      <c r="E274" s="23">
        <f t="shared" si="117"/>
        <v>10</v>
      </c>
      <c r="F274" s="24" t="s">
        <v>18</v>
      </c>
      <c r="G274" s="57"/>
      <c r="H274" s="103">
        <f t="shared" si="112"/>
        <v>0</v>
      </c>
      <c r="I274" s="104">
        <f t="shared" si="113"/>
        <v>0</v>
      </c>
      <c r="J274" s="113">
        <v>5</v>
      </c>
      <c r="K274" s="105">
        <f t="shared" si="114"/>
        <v>0</v>
      </c>
      <c r="L274" s="106">
        <f t="shared" si="115"/>
        <v>0</v>
      </c>
    </row>
    <row r="275" spans="1:12" x14ac:dyDescent="0.35">
      <c r="A275" s="60">
        <v>11</v>
      </c>
      <c r="B275" s="26" t="s">
        <v>43</v>
      </c>
      <c r="C275" s="27">
        <v>15</v>
      </c>
      <c r="D275" s="22">
        <v>0</v>
      </c>
      <c r="E275" s="23">
        <f t="shared" si="117"/>
        <v>15</v>
      </c>
      <c r="F275" s="24" t="s">
        <v>18</v>
      </c>
      <c r="G275" s="57"/>
      <c r="H275" s="103">
        <f t="shared" si="112"/>
        <v>0</v>
      </c>
      <c r="I275" s="104">
        <f t="shared" si="113"/>
        <v>0</v>
      </c>
      <c r="J275" s="113">
        <v>7.5</v>
      </c>
      <c r="K275" s="105">
        <f t="shared" si="114"/>
        <v>0</v>
      </c>
      <c r="L275" s="106">
        <f t="shared" si="115"/>
        <v>0</v>
      </c>
    </row>
    <row r="276" spans="1:12" x14ac:dyDescent="0.35">
      <c r="A276" s="60">
        <v>12</v>
      </c>
      <c r="B276" s="46" t="s">
        <v>69</v>
      </c>
      <c r="C276" s="27">
        <v>3</v>
      </c>
      <c r="D276" s="22">
        <v>0</v>
      </c>
      <c r="E276" s="23">
        <f t="shared" si="117"/>
        <v>3</v>
      </c>
      <c r="F276" s="24" t="s">
        <v>18</v>
      </c>
      <c r="G276" s="57"/>
      <c r="H276" s="103">
        <f t="shared" si="112"/>
        <v>0</v>
      </c>
      <c r="I276" s="104">
        <f t="shared" si="113"/>
        <v>0</v>
      </c>
      <c r="J276" s="113">
        <v>1.5</v>
      </c>
      <c r="K276" s="105">
        <f t="shared" si="114"/>
        <v>0</v>
      </c>
      <c r="L276" s="106">
        <f t="shared" si="115"/>
        <v>0</v>
      </c>
    </row>
    <row r="277" spans="1:12" x14ac:dyDescent="0.35">
      <c r="A277" s="362" t="s">
        <v>159</v>
      </c>
      <c r="B277" s="363"/>
      <c r="C277" s="27"/>
      <c r="D277" s="22"/>
      <c r="E277" s="23"/>
      <c r="F277" s="24"/>
      <c r="G277" s="27"/>
      <c r="H277" s="27"/>
      <c r="I277" s="27"/>
      <c r="J277" s="24"/>
      <c r="K277" s="24"/>
      <c r="L277" s="109"/>
    </row>
    <row r="278" spans="1:12" ht="15" thickBot="1" x14ac:dyDescent="0.4">
      <c r="A278" s="60"/>
      <c r="B278" s="28"/>
      <c r="C278" s="27"/>
      <c r="D278" s="22"/>
      <c r="E278" s="23"/>
      <c r="F278" s="24"/>
      <c r="G278" s="27"/>
      <c r="H278" s="27"/>
      <c r="I278" s="27"/>
      <c r="J278" s="24"/>
      <c r="K278" s="24"/>
      <c r="L278" s="109"/>
    </row>
    <row r="279" spans="1:12" ht="15" thickBot="1" x14ac:dyDescent="0.4">
      <c r="A279" s="364" t="s">
        <v>178</v>
      </c>
      <c r="B279" s="365"/>
      <c r="C279" s="27"/>
      <c r="D279" s="22"/>
      <c r="E279" s="23"/>
      <c r="F279" s="24"/>
      <c r="G279" s="27"/>
      <c r="H279" s="27"/>
      <c r="I279" s="27"/>
      <c r="J279" s="24"/>
      <c r="K279" s="24"/>
      <c r="L279" s="109"/>
    </row>
    <row r="280" spans="1:12" x14ac:dyDescent="0.35">
      <c r="A280" s="60">
        <v>1</v>
      </c>
      <c r="B280" s="26" t="s">
        <v>96</v>
      </c>
      <c r="C280" s="27">
        <v>97</v>
      </c>
      <c r="D280" s="22">
        <v>0.1</v>
      </c>
      <c r="E280" s="23">
        <f>C280*(1+D280)</f>
        <v>106.7</v>
      </c>
      <c r="F280" s="24" t="s">
        <v>17</v>
      </c>
      <c r="G280" s="57"/>
      <c r="H280" s="103">
        <f t="shared" ref="H280:H282" si="118">G280*E280</f>
        <v>0</v>
      </c>
      <c r="I280" s="104">
        <f t="shared" ref="I280:I282" si="119">L$4</f>
        <v>0</v>
      </c>
      <c r="J280" s="113">
        <v>10.670000000000002</v>
      </c>
      <c r="K280" s="105">
        <f t="shared" ref="K280:K282" si="120">J280*I280</f>
        <v>0</v>
      </c>
      <c r="L280" s="106">
        <f t="shared" ref="L280:L282" si="121">K280+H280</f>
        <v>0</v>
      </c>
    </row>
    <row r="281" spans="1:12" x14ac:dyDescent="0.35">
      <c r="A281" s="60">
        <v>2</v>
      </c>
      <c r="B281" s="26" t="s">
        <v>46</v>
      </c>
      <c r="C281" s="27">
        <v>15</v>
      </c>
      <c r="D281" s="22">
        <v>0</v>
      </c>
      <c r="E281" s="23">
        <f t="shared" ref="E281" si="122">C281*(1+D281)</f>
        <v>15</v>
      </c>
      <c r="F281" s="24" t="s">
        <v>18</v>
      </c>
      <c r="G281" s="57"/>
      <c r="H281" s="103">
        <f t="shared" si="118"/>
        <v>0</v>
      </c>
      <c r="I281" s="104">
        <f t="shared" si="119"/>
        <v>0</v>
      </c>
      <c r="J281" s="113">
        <v>7.5</v>
      </c>
      <c r="K281" s="105">
        <f t="shared" si="120"/>
        <v>0</v>
      </c>
      <c r="L281" s="106">
        <f t="shared" si="121"/>
        <v>0</v>
      </c>
    </row>
    <row r="282" spans="1:12" x14ac:dyDescent="0.35">
      <c r="A282" s="60">
        <v>3</v>
      </c>
      <c r="B282" s="34" t="s">
        <v>47</v>
      </c>
      <c r="C282" s="27">
        <v>12</v>
      </c>
      <c r="D282" s="22">
        <v>0</v>
      </c>
      <c r="E282" s="23">
        <f t="shared" ref="E282" si="123">C282*(1+D282)</f>
        <v>12</v>
      </c>
      <c r="F282" s="24" t="s">
        <v>18</v>
      </c>
      <c r="G282" s="57"/>
      <c r="H282" s="103">
        <f t="shared" si="118"/>
        <v>0</v>
      </c>
      <c r="I282" s="104">
        <f t="shared" si="119"/>
        <v>0</v>
      </c>
      <c r="J282" s="113">
        <v>6</v>
      </c>
      <c r="K282" s="105">
        <f t="shared" si="120"/>
        <v>0</v>
      </c>
      <c r="L282" s="106">
        <f t="shared" si="121"/>
        <v>0</v>
      </c>
    </row>
    <row r="283" spans="1:12" x14ac:dyDescent="0.35">
      <c r="A283" s="362" t="s">
        <v>90</v>
      </c>
      <c r="B283" s="363"/>
      <c r="C283" s="27"/>
      <c r="D283" s="22"/>
      <c r="E283" s="23"/>
      <c r="F283" s="24"/>
      <c r="G283" s="27"/>
      <c r="H283" s="27"/>
      <c r="I283" s="27"/>
      <c r="J283" s="24"/>
      <c r="K283" s="24"/>
      <c r="L283" s="109"/>
    </row>
    <row r="284" spans="1:12" ht="15" thickBot="1" x14ac:dyDescent="0.4">
      <c r="A284" s="71"/>
      <c r="B284" s="8"/>
      <c r="C284" s="27"/>
      <c r="D284" s="22"/>
      <c r="E284" s="23"/>
      <c r="F284" s="24"/>
      <c r="G284" s="27"/>
      <c r="H284" s="27"/>
      <c r="I284" s="27"/>
      <c r="J284" s="24"/>
      <c r="K284" s="24"/>
      <c r="L284" s="109"/>
    </row>
    <row r="285" spans="1:12" ht="15" thickBot="1" x14ac:dyDescent="0.4">
      <c r="A285" s="364" t="s">
        <v>179</v>
      </c>
      <c r="B285" s="365"/>
      <c r="C285" s="27"/>
      <c r="D285" s="22"/>
      <c r="E285" s="23"/>
      <c r="F285" s="24"/>
      <c r="G285" s="27"/>
      <c r="H285" s="27"/>
      <c r="I285" s="27"/>
      <c r="J285" s="24"/>
      <c r="K285" s="24"/>
      <c r="L285" s="109"/>
    </row>
    <row r="286" spans="1:12" x14ac:dyDescent="0.35">
      <c r="A286" s="60">
        <v>1</v>
      </c>
      <c r="B286" s="32" t="s">
        <v>91</v>
      </c>
      <c r="C286" s="27">
        <v>95</v>
      </c>
      <c r="D286" s="22">
        <v>0.1</v>
      </c>
      <c r="E286" s="23">
        <f t="shared" ref="E286" si="124">C286*(1+D286)</f>
        <v>104.50000000000001</v>
      </c>
      <c r="F286" s="24" t="s">
        <v>17</v>
      </c>
      <c r="G286" s="57"/>
      <c r="H286" s="103">
        <f>G286*E286</f>
        <v>0</v>
      </c>
      <c r="I286" s="104">
        <f>L$4</f>
        <v>0</v>
      </c>
      <c r="J286" s="113">
        <v>20.900000000000006</v>
      </c>
      <c r="K286" s="105">
        <f>J286*I286</f>
        <v>0</v>
      </c>
      <c r="L286" s="106">
        <f>K286+H286</f>
        <v>0</v>
      </c>
    </row>
    <row r="287" spans="1:12" x14ac:dyDescent="0.35">
      <c r="A287" s="362" t="s">
        <v>90</v>
      </c>
      <c r="B287" s="363"/>
      <c r="C287" s="27"/>
      <c r="D287" s="22"/>
      <c r="E287" s="23"/>
      <c r="F287" s="24"/>
      <c r="G287" s="27"/>
      <c r="H287" s="27"/>
      <c r="I287" s="27"/>
      <c r="J287" s="24"/>
      <c r="K287" s="24"/>
      <c r="L287" s="109"/>
    </row>
    <row r="288" spans="1:12" ht="15" thickBot="1" x14ac:dyDescent="0.4">
      <c r="A288" s="71"/>
      <c r="B288" s="8"/>
      <c r="C288" s="27"/>
      <c r="D288" s="22"/>
      <c r="E288" s="23"/>
      <c r="F288" s="24"/>
      <c r="G288" s="27"/>
      <c r="H288" s="27"/>
      <c r="I288" s="27"/>
      <c r="J288" s="24"/>
      <c r="K288" s="24"/>
      <c r="L288" s="109"/>
    </row>
    <row r="289" spans="1:12" ht="15" thickBot="1" x14ac:dyDescent="0.4">
      <c r="A289" s="364" t="s">
        <v>180</v>
      </c>
      <c r="B289" s="365"/>
      <c r="C289" s="27"/>
      <c r="D289" s="22"/>
      <c r="E289" s="23"/>
      <c r="F289" s="24"/>
      <c r="G289" s="27"/>
      <c r="H289" s="27"/>
      <c r="I289" s="27"/>
      <c r="J289" s="24"/>
      <c r="K289" s="24"/>
      <c r="L289" s="109"/>
    </row>
    <row r="290" spans="1:12" ht="15" thickBot="1" x14ac:dyDescent="0.4">
      <c r="A290" s="364" t="s">
        <v>170</v>
      </c>
      <c r="B290" s="365"/>
      <c r="C290" s="27"/>
      <c r="D290" s="22"/>
      <c r="E290" s="23"/>
      <c r="F290" s="24"/>
      <c r="G290" s="27"/>
      <c r="H290" s="27"/>
      <c r="I290" s="27"/>
      <c r="J290" s="24"/>
      <c r="K290" s="24"/>
      <c r="L290" s="109"/>
    </row>
    <row r="291" spans="1:12" x14ac:dyDescent="0.35">
      <c r="A291" s="60">
        <v>1</v>
      </c>
      <c r="B291" s="32" t="s">
        <v>110</v>
      </c>
      <c r="C291" s="27">
        <v>49</v>
      </c>
      <c r="D291" s="22">
        <v>0.1</v>
      </c>
      <c r="E291" s="23">
        <f t="shared" ref="E291" si="125">C291*(1+D291)</f>
        <v>53.900000000000006</v>
      </c>
      <c r="F291" s="24" t="s">
        <v>17</v>
      </c>
      <c r="G291" s="57"/>
      <c r="H291" s="103">
        <f t="shared" ref="H291:H304" si="126">G291*E291</f>
        <v>0</v>
      </c>
      <c r="I291" s="104">
        <f t="shared" ref="I291:I304" si="127">L$4</f>
        <v>0</v>
      </c>
      <c r="J291" s="113">
        <v>5.3900000000000006</v>
      </c>
      <c r="K291" s="105">
        <f t="shared" ref="K291:K304" si="128">J291*I291</f>
        <v>0</v>
      </c>
      <c r="L291" s="106">
        <f t="shared" ref="L291:L304" si="129">K291+H291</f>
        <v>0</v>
      </c>
    </row>
    <row r="292" spans="1:12" x14ac:dyDescent="0.35">
      <c r="A292" s="60">
        <v>2</v>
      </c>
      <c r="B292" s="32" t="s">
        <v>126</v>
      </c>
      <c r="C292" s="27">
        <v>46</v>
      </c>
      <c r="D292" s="22">
        <v>0.1</v>
      </c>
      <c r="E292" s="23">
        <f t="shared" ref="E292:E294" si="130">C292*(1+D292)</f>
        <v>50.6</v>
      </c>
      <c r="F292" s="24" t="s">
        <v>17</v>
      </c>
      <c r="G292" s="57"/>
      <c r="H292" s="103">
        <f t="shared" si="126"/>
        <v>0</v>
      </c>
      <c r="I292" s="104">
        <f t="shared" si="127"/>
        <v>0</v>
      </c>
      <c r="J292" s="113">
        <v>5.0600000000000005</v>
      </c>
      <c r="K292" s="105">
        <f t="shared" si="128"/>
        <v>0</v>
      </c>
      <c r="L292" s="106">
        <f t="shared" si="129"/>
        <v>0</v>
      </c>
    </row>
    <row r="293" spans="1:12" x14ac:dyDescent="0.35">
      <c r="A293" s="60">
        <v>3</v>
      </c>
      <c r="B293" s="32" t="s">
        <v>114</v>
      </c>
      <c r="C293" s="27">
        <v>14</v>
      </c>
      <c r="D293" s="22">
        <v>0.1</v>
      </c>
      <c r="E293" s="23">
        <f t="shared" si="130"/>
        <v>15.400000000000002</v>
      </c>
      <c r="F293" s="24" t="s">
        <v>17</v>
      </c>
      <c r="G293" s="57"/>
      <c r="H293" s="103">
        <f t="shared" si="126"/>
        <v>0</v>
      </c>
      <c r="I293" s="104">
        <f t="shared" si="127"/>
        <v>0</v>
      </c>
      <c r="J293" s="113">
        <v>1.5400000000000003</v>
      </c>
      <c r="K293" s="105">
        <f t="shared" si="128"/>
        <v>0</v>
      </c>
      <c r="L293" s="106">
        <f t="shared" si="129"/>
        <v>0</v>
      </c>
    </row>
    <row r="294" spans="1:12" x14ac:dyDescent="0.35">
      <c r="A294" s="60">
        <v>4</v>
      </c>
      <c r="B294" s="32" t="s">
        <v>120</v>
      </c>
      <c r="C294" s="27">
        <v>12</v>
      </c>
      <c r="D294" s="22">
        <v>0.1</v>
      </c>
      <c r="E294" s="23">
        <f t="shared" si="130"/>
        <v>13.200000000000001</v>
      </c>
      <c r="F294" s="24" t="s">
        <v>17</v>
      </c>
      <c r="G294" s="57"/>
      <c r="H294" s="103">
        <f t="shared" si="126"/>
        <v>0</v>
      </c>
      <c r="I294" s="104">
        <f t="shared" si="127"/>
        <v>0</v>
      </c>
      <c r="J294" s="113">
        <v>1.3200000000000003</v>
      </c>
      <c r="K294" s="105">
        <f t="shared" si="128"/>
        <v>0</v>
      </c>
      <c r="L294" s="106">
        <f t="shared" si="129"/>
        <v>0</v>
      </c>
    </row>
    <row r="295" spans="1:12" x14ac:dyDescent="0.35">
      <c r="A295" s="60">
        <v>5</v>
      </c>
      <c r="B295" s="46" t="s">
        <v>132</v>
      </c>
      <c r="C295" s="27">
        <v>1</v>
      </c>
      <c r="D295" s="22">
        <v>0</v>
      </c>
      <c r="E295" s="23">
        <f t="shared" ref="E295" si="131">C295*(1+D295)</f>
        <v>1</v>
      </c>
      <c r="F295" s="24" t="s">
        <v>18</v>
      </c>
      <c r="G295" s="57"/>
      <c r="H295" s="103">
        <f t="shared" si="126"/>
        <v>0</v>
      </c>
      <c r="I295" s="104">
        <f t="shared" si="127"/>
        <v>0</v>
      </c>
      <c r="J295" s="113">
        <v>0.5</v>
      </c>
      <c r="K295" s="105">
        <f t="shared" si="128"/>
        <v>0</v>
      </c>
      <c r="L295" s="106">
        <f t="shared" si="129"/>
        <v>0</v>
      </c>
    </row>
    <row r="296" spans="1:12" x14ac:dyDescent="0.35">
      <c r="A296" s="60">
        <v>6</v>
      </c>
      <c r="B296" s="26" t="s">
        <v>65</v>
      </c>
      <c r="C296" s="27">
        <v>1</v>
      </c>
      <c r="D296" s="22">
        <v>0</v>
      </c>
      <c r="E296" s="23">
        <f t="shared" ref="E296:E304" si="132">C296*(1+D296)</f>
        <v>1</v>
      </c>
      <c r="F296" s="24" t="s">
        <v>18</v>
      </c>
      <c r="G296" s="57"/>
      <c r="H296" s="103">
        <f t="shared" si="126"/>
        <v>0</v>
      </c>
      <c r="I296" s="104">
        <f t="shared" si="127"/>
        <v>0</v>
      </c>
      <c r="J296" s="113">
        <v>0.5</v>
      </c>
      <c r="K296" s="105">
        <f t="shared" si="128"/>
        <v>0</v>
      </c>
      <c r="L296" s="106">
        <f t="shared" si="129"/>
        <v>0</v>
      </c>
    </row>
    <row r="297" spans="1:12" x14ac:dyDescent="0.35">
      <c r="A297" s="60">
        <v>7</v>
      </c>
      <c r="B297" s="46" t="s">
        <v>127</v>
      </c>
      <c r="C297" s="27">
        <v>2</v>
      </c>
      <c r="D297" s="22">
        <v>0</v>
      </c>
      <c r="E297" s="23">
        <f t="shared" si="132"/>
        <v>2</v>
      </c>
      <c r="F297" s="24" t="s">
        <v>18</v>
      </c>
      <c r="G297" s="57"/>
      <c r="H297" s="103">
        <f t="shared" si="126"/>
        <v>0</v>
      </c>
      <c r="I297" s="104">
        <f t="shared" si="127"/>
        <v>0</v>
      </c>
      <c r="J297" s="113">
        <v>1</v>
      </c>
      <c r="K297" s="105">
        <f t="shared" si="128"/>
        <v>0</v>
      </c>
      <c r="L297" s="106">
        <f t="shared" si="129"/>
        <v>0</v>
      </c>
    </row>
    <row r="298" spans="1:12" x14ac:dyDescent="0.35">
      <c r="A298" s="60">
        <v>8</v>
      </c>
      <c r="B298" s="26" t="s">
        <v>103</v>
      </c>
      <c r="C298" s="27">
        <v>5</v>
      </c>
      <c r="D298" s="22">
        <v>0</v>
      </c>
      <c r="E298" s="23">
        <f t="shared" si="132"/>
        <v>5</v>
      </c>
      <c r="F298" s="24" t="s">
        <v>18</v>
      </c>
      <c r="G298" s="57"/>
      <c r="H298" s="103">
        <f t="shared" si="126"/>
        <v>0</v>
      </c>
      <c r="I298" s="104">
        <f t="shared" si="127"/>
        <v>0</v>
      </c>
      <c r="J298" s="113">
        <v>2.5</v>
      </c>
      <c r="K298" s="105">
        <f t="shared" si="128"/>
        <v>0</v>
      </c>
      <c r="L298" s="106">
        <f t="shared" si="129"/>
        <v>0</v>
      </c>
    </row>
    <row r="299" spans="1:12" x14ac:dyDescent="0.35">
      <c r="A299" s="60">
        <v>9</v>
      </c>
      <c r="B299" s="26" t="s">
        <v>148</v>
      </c>
      <c r="C299" s="27">
        <v>2</v>
      </c>
      <c r="D299" s="22">
        <v>0</v>
      </c>
      <c r="E299" s="23">
        <f t="shared" si="132"/>
        <v>2</v>
      </c>
      <c r="F299" s="24" t="s">
        <v>18</v>
      </c>
      <c r="G299" s="57"/>
      <c r="H299" s="103">
        <f t="shared" si="126"/>
        <v>0</v>
      </c>
      <c r="I299" s="104">
        <f t="shared" si="127"/>
        <v>0</v>
      </c>
      <c r="J299" s="113">
        <v>1</v>
      </c>
      <c r="K299" s="105">
        <f t="shared" si="128"/>
        <v>0</v>
      </c>
      <c r="L299" s="106">
        <f t="shared" si="129"/>
        <v>0</v>
      </c>
    </row>
    <row r="300" spans="1:12" x14ac:dyDescent="0.35">
      <c r="A300" s="60">
        <v>10</v>
      </c>
      <c r="B300" s="46" t="s">
        <v>62</v>
      </c>
      <c r="C300" s="27">
        <v>2</v>
      </c>
      <c r="D300" s="22">
        <v>0</v>
      </c>
      <c r="E300" s="23">
        <f t="shared" si="132"/>
        <v>2</v>
      </c>
      <c r="F300" s="24" t="s">
        <v>18</v>
      </c>
      <c r="G300" s="57"/>
      <c r="H300" s="103">
        <f t="shared" si="126"/>
        <v>0</v>
      </c>
      <c r="I300" s="104">
        <f t="shared" si="127"/>
        <v>0</v>
      </c>
      <c r="J300" s="113">
        <v>1</v>
      </c>
      <c r="K300" s="105">
        <f t="shared" si="128"/>
        <v>0</v>
      </c>
      <c r="L300" s="106">
        <f t="shared" si="129"/>
        <v>0</v>
      </c>
    </row>
    <row r="301" spans="1:12" x14ac:dyDescent="0.35">
      <c r="A301" s="60">
        <v>11</v>
      </c>
      <c r="B301" s="26" t="s">
        <v>43</v>
      </c>
      <c r="C301" s="27">
        <v>1</v>
      </c>
      <c r="D301" s="22">
        <v>0</v>
      </c>
      <c r="E301" s="23">
        <f t="shared" si="132"/>
        <v>1</v>
      </c>
      <c r="F301" s="24" t="s">
        <v>18</v>
      </c>
      <c r="G301" s="57"/>
      <c r="H301" s="103">
        <f t="shared" si="126"/>
        <v>0</v>
      </c>
      <c r="I301" s="104">
        <f t="shared" si="127"/>
        <v>0</v>
      </c>
      <c r="J301" s="113">
        <v>0.5</v>
      </c>
      <c r="K301" s="105">
        <f t="shared" si="128"/>
        <v>0</v>
      </c>
      <c r="L301" s="106">
        <f t="shared" si="129"/>
        <v>0</v>
      </c>
    </row>
    <row r="302" spans="1:12" x14ac:dyDescent="0.35">
      <c r="A302" s="60">
        <v>12</v>
      </c>
      <c r="B302" s="26" t="s">
        <v>104</v>
      </c>
      <c r="C302" s="27">
        <v>2</v>
      </c>
      <c r="D302" s="22">
        <v>0</v>
      </c>
      <c r="E302" s="23">
        <f t="shared" si="132"/>
        <v>2</v>
      </c>
      <c r="F302" s="24" t="s">
        <v>18</v>
      </c>
      <c r="G302" s="57"/>
      <c r="H302" s="103">
        <f t="shared" si="126"/>
        <v>0</v>
      </c>
      <c r="I302" s="104">
        <f t="shared" si="127"/>
        <v>0</v>
      </c>
      <c r="J302" s="113">
        <v>1</v>
      </c>
      <c r="K302" s="105">
        <f t="shared" si="128"/>
        <v>0</v>
      </c>
      <c r="L302" s="106">
        <f t="shared" si="129"/>
        <v>0</v>
      </c>
    </row>
    <row r="303" spans="1:12" x14ac:dyDescent="0.35">
      <c r="A303" s="60">
        <v>13</v>
      </c>
      <c r="B303" s="26" t="s">
        <v>150</v>
      </c>
      <c r="C303" s="27">
        <v>3</v>
      </c>
      <c r="D303" s="22">
        <v>0</v>
      </c>
      <c r="E303" s="23">
        <f t="shared" si="132"/>
        <v>3</v>
      </c>
      <c r="F303" s="24" t="s">
        <v>18</v>
      </c>
      <c r="G303" s="57"/>
      <c r="H303" s="103">
        <f t="shared" si="126"/>
        <v>0</v>
      </c>
      <c r="I303" s="104">
        <f t="shared" si="127"/>
        <v>0</v>
      </c>
      <c r="J303" s="113">
        <v>1.5</v>
      </c>
      <c r="K303" s="105">
        <f t="shared" si="128"/>
        <v>0</v>
      </c>
      <c r="L303" s="106">
        <f t="shared" si="129"/>
        <v>0</v>
      </c>
    </row>
    <row r="304" spans="1:12" x14ac:dyDescent="0.35">
      <c r="A304" s="60">
        <v>14</v>
      </c>
      <c r="B304" s="46" t="s">
        <v>133</v>
      </c>
      <c r="C304" s="27">
        <v>3</v>
      </c>
      <c r="D304" s="22">
        <v>0</v>
      </c>
      <c r="E304" s="23">
        <f t="shared" si="132"/>
        <v>3</v>
      </c>
      <c r="F304" s="24" t="s">
        <v>18</v>
      </c>
      <c r="G304" s="57"/>
      <c r="H304" s="103">
        <f t="shared" si="126"/>
        <v>0</v>
      </c>
      <c r="I304" s="104">
        <f t="shared" si="127"/>
        <v>0</v>
      </c>
      <c r="J304" s="113">
        <v>1.5</v>
      </c>
      <c r="K304" s="105">
        <f t="shared" si="128"/>
        <v>0</v>
      </c>
      <c r="L304" s="106">
        <f t="shared" si="129"/>
        <v>0</v>
      </c>
    </row>
    <row r="305" spans="1:12" x14ac:dyDescent="0.35">
      <c r="A305" s="362" t="s">
        <v>159</v>
      </c>
      <c r="B305" s="363"/>
      <c r="C305" s="27"/>
      <c r="D305" s="22"/>
      <c r="E305" s="23"/>
      <c r="F305" s="24"/>
      <c r="G305" s="27"/>
      <c r="H305" s="27"/>
      <c r="I305" s="27"/>
      <c r="J305" s="24"/>
      <c r="K305" s="24"/>
      <c r="L305" s="109"/>
    </row>
    <row r="306" spans="1:12" ht="15" thickBot="1" x14ac:dyDescent="0.4">
      <c r="A306" s="60"/>
      <c r="B306" s="28"/>
      <c r="C306" s="27"/>
      <c r="D306" s="22"/>
      <c r="E306" s="23"/>
      <c r="F306" s="24"/>
      <c r="G306" s="27"/>
      <c r="H306" s="27"/>
      <c r="I306" s="27"/>
      <c r="J306" s="24"/>
      <c r="K306" s="24"/>
      <c r="L306" s="109"/>
    </row>
    <row r="307" spans="1:12" ht="15" thickBot="1" x14ac:dyDescent="0.4">
      <c r="A307" s="364" t="s">
        <v>177</v>
      </c>
      <c r="B307" s="365"/>
      <c r="C307" s="27"/>
      <c r="D307" s="22"/>
      <c r="E307" s="23"/>
      <c r="F307" s="24"/>
      <c r="G307" s="27"/>
      <c r="H307" s="27"/>
      <c r="I307" s="27"/>
      <c r="J307" s="24"/>
      <c r="K307" s="24"/>
      <c r="L307" s="109"/>
    </row>
    <row r="308" spans="1:12" x14ac:dyDescent="0.35">
      <c r="A308" s="60">
        <v>1</v>
      </c>
      <c r="B308" s="32" t="s">
        <v>110</v>
      </c>
      <c r="C308" s="27">
        <v>60</v>
      </c>
      <c r="D308" s="22">
        <v>0.1</v>
      </c>
      <c r="E308" s="23">
        <f>C308*(1+D308)</f>
        <v>66</v>
      </c>
      <c r="F308" s="24" t="s">
        <v>17</v>
      </c>
      <c r="G308" s="57"/>
      <c r="H308" s="103">
        <f t="shared" ref="H308:H318" si="133">G308*E308</f>
        <v>0</v>
      </c>
      <c r="I308" s="104">
        <f t="shared" ref="I308:I318" si="134">L$4</f>
        <v>0</v>
      </c>
      <c r="J308" s="113">
        <v>6.6000000000000005</v>
      </c>
      <c r="K308" s="105">
        <f t="shared" ref="K308:K318" si="135">J308*I308</f>
        <v>0</v>
      </c>
      <c r="L308" s="106">
        <f t="shared" ref="L308:L318" si="136">K308+H308</f>
        <v>0</v>
      </c>
    </row>
    <row r="309" spans="1:12" x14ac:dyDescent="0.35">
      <c r="A309" s="60">
        <v>2</v>
      </c>
      <c r="B309" s="32" t="s">
        <v>113</v>
      </c>
      <c r="C309" s="27">
        <v>47</v>
      </c>
      <c r="D309" s="22">
        <v>0.1</v>
      </c>
      <c r="E309" s="23">
        <f t="shared" ref="E309:E311" si="137">C309*(1+D309)</f>
        <v>51.7</v>
      </c>
      <c r="F309" s="24" t="s">
        <v>17</v>
      </c>
      <c r="G309" s="57"/>
      <c r="H309" s="103">
        <f t="shared" si="133"/>
        <v>0</v>
      </c>
      <c r="I309" s="104">
        <f t="shared" si="134"/>
        <v>0</v>
      </c>
      <c r="J309" s="113">
        <v>5.1700000000000008</v>
      </c>
      <c r="K309" s="105">
        <f t="shared" si="135"/>
        <v>0</v>
      </c>
      <c r="L309" s="106">
        <f t="shared" si="136"/>
        <v>0</v>
      </c>
    </row>
    <row r="310" spans="1:12" x14ac:dyDescent="0.35">
      <c r="A310" s="60">
        <v>3</v>
      </c>
      <c r="B310" s="32" t="s">
        <v>114</v>
      </c>
      <c r="C310" s="27">
        <v>6</v>
      </c>
      <c r="D310" s="22">
        <v>0.1</v>
      </c>
      <c r="E310" s="23">
        <f t="shared" si="137"/>
        <v>6.6000000000000005</v>
      </c>
      <c r="F310" s="24" t="s">
        <v>17</v>
      </c>
      <c r="G310" s="57"/>
      <c r="H310" s="103">
        <f t="shared" si="133"/>
        <v>0</v>
      </c>
      <c r="I310" s="104">
        <f t="shared" si="134"/>
        <v>0</v>
      </c>
      <c r="J310" s="113">
        <v>0.66000000000000014</v>
      </c>
      <c r="K310" s="105">
        <f t="shared" si="135"/>
        <v>0</v>
      </c>
      <c r="L310" s="106">
        <f t="shared" si="136"/>
        <v>0</v>
      </c>
    </row>
    <row r="311" spans="1:12" x14ac:dyDescent="0.35">
      <c r="A311" s="60">
        <v>4</v>
      </c>
      <c r="B311" s="32" t="s">
        <v>120</v>
      </c>
      <c r="C311" s="27">
        <v>45</v>
      </c>
      <c r="D311" s="22">
        <v>0.1</v>
      </c>
      <c r="E311" s="23">
        <f t="shared" si="137"/>
        <v>49.500000000000007</v>
      </c>
      <c r="F311" s="24" t="s">
        <v>17</v>
      </c>
      <c r="G311" s="57"/>
      <c r="H311" s="103">
        <f t="shared" si="133"/>
        <v>0</v>
      </c>
      <c r="I311" s="104">
        <f t="shared" si="134"/>
        <v>0</v>
      </c>
      <c r="J311" s="113">
        <v>4.9500000000000011</v>
      </c>
      <c r="K311" s="105">
        <f t="shared" si="135"/>
        <v>0</v>
      </c>
      <c r="L311" s="106">
        <f t="shared" si="136"/>
        <v>0</v>
      </c>
    </row>
    <row r="312" spans="1:12" x14ac:dyDescent="0.35">
      <c r="A312" s="60">
        <v>5</v>
      </c>
      <c r="B312" s="26" t="s">
        <v>65</v>
      </c>
      <c r="C312" s="27">
        <v>1</v>
      </c>
      <c r="D312" s="22">
        <v>0</v>
      </c>
      <c r="E312" s="23">
        <f t="shared" ref="E312" si="138">C312*(1+D312)</f>
        <v>1</v>
      </c>
      <c r="F312" s="24" t="s">
        <v>18</v>
      </c>
      <c r="G312" s="57"/>
      <c r="H312" s="103">
        <f t="shared" si="133"/>
        <v>0</v>
      </c>
      <c r="I312" s="104">
        <f t="shared" si="134"/>
        <v>0</v>
      </c>
      <c r="J312" s="113">
        <v>0.5</v>
      </c>
      <c r="K312" s="105">
        <f t="shared" si="135"/>
        <v>0</v>
      </c>
      <c r="L312" s="106">
        <f t="shared" si="136"/>
        <v>0</v>
      </c>
    </row>
    <row r="313" spans="1:12" x14ac:dyDescent="0.35">
      <c r="A313" s="60">
        <v>6</v>
      </c>
      <c r="B313" s="26" t="s">
        <v>103</v>
      </c>
      <c r="C313" s="27">
        <v>8</v>
      </c>
      <c r="D313" s="22">
        <v>0</v>
      </c>
      <c r="E313" s="23">
        <f t="shared" ref="E313:E318" si="139">C313*(1+D313)</f>
        <v>8</v>
      </c>
      <c r="F313" s="24" t="s">
        <v>18</v>
      </c>
      <c r="G313" s="57"/>
      <c r="H313" s="103">
        <f t="shared" si="133"/>
        <v>0</v>
      </c>
      <c r="I313" s="104">
        <f t="shared" si="134"/>
        <v>0</v>
      </c>
      <c r="J313" s="113">
        <v>4</v>
      </c>
      <c r="K313" s="105">
        <f t="shared" si="135"/>
        <v>0</v>
      </c>
      <c r="L313" s="106">
        <f t="shared" si="136"/>
        <v>0</v>
      </c>
    </row>
    <row r="314" spans="1:12" x14ac:dyDescent="0.35">
      <c r="A314" s="60">
        <v>7</v>
      </c>
      <c r="B314" s="26" t="s">
        <v>104</v>
      </c>
      <c r="C314" s="27">
        <v>5</v>
      </c>
      <c r="D314" s="22">
        <v>0</v>
      </c>
      <c r="E314" s="23">
        <f t="shared" si="139"/>
        <v>5</v>
      </c>
      <c r="F314" s="24" t="s">
        <v>18</v>
      </c>
      <c r="G314" s="57"/>
      <c r="H314" s="103">
        <f t="shared" si="133"/>
        <v>0</v>
      </c>
      <c r="I314" s="104">
        <f t="shared" si="134"/>
        <v>0</v>
      </c>
      <c r="J314" s="113">
        <v>2.5</v>
      </c>
      <c r="K314" s="105">
        <f t="shared" si="135"/>
        <v>0</v>
      </c>
      <c r="L314" s="106">
        <f t="shared" si="136"/>
        <v>0</v>
      </c>
    </row>
    <row r="315" spans="1:12" x14ac:dyDescent="0.35">
      <c r="A315" s="60">
        <v>8</v>
      </c>
      <c r="B315" s="26" t="s">
        <v>150</v>
      </c>
      <c r="C315" s="27">
        <v>3</v>
      </c>
      <c r="D315" s="22">
        <v>0</v>
      </c>
      <c r="E315" s="23">
        <f t="shared" si="139"/>
        <v>3</v>
      </c>
      <c r="F315" s="24" t="s">
        <v>18</v>
      </c>
      <c r="G315" s="57"/>
      <c r="H315" s="103">
        <f t="shared" si="133"/>
        <v>0</v>
      </c>
      <c r="I315" s="104">
        <f t="shared" si="134"/>
        <v>0</v>
      </c>
      <c r="J315" s="113">
        <v>1.5</v>
      </c>
      <c r="K315" s="105">
        <f t="shared" si="135"/>
        <v>0</v>
      </c>
      <c r="L315" s="106">
        <f t="shared" si="136"/>
        <v>0</v>
      </c>
    </row>
    <row r="316" spans="1:12" x14ac:dyDescent="0.35">
      <c r="A316" s="60">
        <v>9</v>
      </c>
      <c r="B316" s="46" t="s">
        <v>132</v>
      </c>
      <c r="C316" s="27">
        <v>1</v>
      </c>
      <c r="D316" s="22">
        <v>0</v>
      </c>
      <c r="E316" s="23">
        <f t="shared" si="139"/>
        <v>1</v>
      </c>
      <c r="F316" s="24" t="s">
        <v>18</v>
      </c>
      <c r="G316" s="57"/>
      <c r="H316" s="103">
        <f t="shared" si="133"/>
        <v>0</v>
      </c>
      <c r="I316" s="104">
        <f t="shared" si="134"/>
        <v>0</v>
      </c>
      <c r="J316" s="113">
        <v>0.5</v>
      </c>
      <c r="K316" s="105">
        <f t="shared" si="135"/>
        <v>0</v>
      </c>
      <c r="L316" s="106">
        <f t="shared" si="136"/>
        <v>0</v>
      </c>
    </row>
    <row r="317" spans="1:12" x14ac:dyDescent="0.35">
      <c r="A317" s="60">
        <v>10</v>
      </c>
      <c r="B317" s="46" t="s">
        <v>127</v>
      </c>
      <c r="C317" s="27">
        <v>3</v>
      </c>
      <c r="D317" s="22">
        <v>0</v>
      </c>
      <c r="E317" s="23">
        <f t="shared" si="139"/>
        <v>3</v>
      </c>
      <c r="F317" s="24" t="s">
        <v>18</v>
      </c>
      <c r="G317" s="57"/>
      <c r="H317" s="103">
        <f t="shared" si="133"/>
        <v>0</v>
      </c>
      <c r="I317" s="104">
        <f t="shared" si="134"/>
        <v>0</v>
      </c>
      <c r="J317" s="113">
        <v>1.5</v>
      </c>
      <c r="K317" s="105">
        <f t="shared" si="135"/>
        <v>0</v>
      </c>
      <c r="L317" s="106">
        <f t="shared" si="136"/>
        <v>0</v>
      </c>
    </row>
    <row r="318" spans="1:12" x14ac:dyDescent="0.35">
      <c r="A318" s="60">
        <v>11</v>
      </c>
      <c r="B318" s="46" t="s">
        <v>133</v>
      </c>
      <c r="C318" s="27">
        <v>2</v>
      </c>
      <c r="D318" s="22">
        <v>0</v>
      </c>
      <c r="E318" s="23">
        <f t="shared" si="139"/>
        <v>2</v>
      </c>
      <c r="F318" s="24" t="s">
        <v>18</v>
      </c>
      <c r="G318" s="57"/>
      <c r="H318" s="103">
        <f t="shared" si="133"/>
        <v>0</v>
      </c>
      <c r="I318" s="104">
        <f t="shared" si="134"/>
        <v>0</v>
      </c>
      <c r="J318" s="113">
        <v>1</v>
      </c>
      <c r="K318" s="105">
        <f t="shared" si="135"/>
        <v>0</v>
      </c>
      <c r="L318" s="106">
        <f t="shared" si="136"/>
        <v>0</v>
      </c>
    </row>
    <row r="319" spans="1:12" x14ac:dyDescent="0.35">
      <c r="A319" s="362" t="s">
        <v>159</v>
      </c>
      <c r="B319" s="363"/>
      <c r="C319" s="27"/>
      <c r="D319" s="22"/>
      <c r="E319" s="23"/>
      <c r="F319" s="24"/>
      <c r="G319" s="27"/>
      <c r="H319" s="27"/>
      <c r="I319" s="27"/>
      <c r="J319" s="24"/>
      <c r="K319" s="24"/>
      <c r="L319" s="109"/>
    </row>
    <row r="320" spans="1:12" ht="15" thickBot="1" x14ac:dyDescent="0.4">
      <c r="A320" s="60"/>
      <c r="B320" s="28"/>
      <c r="C320" s="27"/>
      <c r="D320" s="22"/>
      <c r="E320" s="23"/>
      <c r="F320" s="24"/>
      <c r="G320" s="27"/>
      <c r="H320" s="27"/>
      <c r="I320" s="27"/>
      <c r="J320" s="24"/>
      <c r="K320" s="24"/>
      <c r="L320" s="109"/>
    </row>
    <row r="321" spans="1:12" ht="15" thickBot="1" x14ac:dyDescent="0.4">
      <c r="A321" s="364" t="s">
        <v>178</v>
      </c>
      <c r="B321" s="365"/>
      <c r="C321" s="27"/>
      <c r="D321" s="22"/>
      <c r="E321" s="23"/>
      <c r="F321" s="24"/>
      <c r="G321" s="27"/>
      <c r="H321" s="27"/>
      <c r="I321" s="27"/>
      <c r="J321" s="24"/>
      <c r="K321" s="24"/>
      <c r="L321" s="109"/>
    </row>
    <row r="322" spans="1:12" x14ac:dyDescent="0.35">
      <c r="A322" s="60">
        <v>1</v>
      </c>
      <c r="B322" s="26" t="s">
        <v>96</v>
      </c>
      <c r="C322" s="27">
        <v>67</v>
      </c>
      <c r="D322" s="22">
        <v>0.1</v>
      </c>
      <c r="E322" s="23">
        <f>C322*(1+D322)</f>
        <v>73.7</v>
      </c>
      <c r="F322" s="24" t="s">
        <v>17</v>
      </c>
      <c r="G322" s="57"/>
      <c r="H322" s="103">
        <f t="shared" ref="H322:H324" si="140">G322*E322</f>
        <v>0</v>
      </c>
      <c r="I322" s="104">
        <f t="shared" ref="I322:I324" si="141">L$4</f>
        <v>0</v>
      </c>
      <c r="J322" s="113">
        <v>7.370000000000001</v>
      </c>
      <c r="K322" s="105">
        <f t="shared" ref="K322:K324" si="142">J322*I322</f>
        <v>0</v>
      </c>
      <c r="L322" s="106">
        <f t="shared" ref="L322:L324" si="143">K322+H322</f>
        <v>0</v>
      </c>
    </row>
    <row r="323" spans="1:12" x14ac:dyDescent="0.35">
      <c r="A323" s="60">
        <v>2</v>
      </c>
      <c r="B323" s="26" t="s">
        <v>46</v>
      </c>
      <c r="C323" s="27">
        <v>11</v>
      </c>
      <c r="D323" s="22">
        <v>0</v>
      </c>
      <c r="E323" s="23">
        <f t="shared" ref="E323" si="144">C323*(1+D323)</f>
        <v>11</v>
      </c>
      <c r="F323" s="24" t="s">
        <v>18</v>
      </c>
      <c r="G323" s="57"/>
      <c r="H323" s="103">
        <f t="shared" si="140"/>
        <v>0</v>
      </c>
      <c r="I323" s="104">
        <f t="shared" si="141"/>
        <v>0</v>
      </c>
      <c r="J323" s="113">
        <v>5.5</v>
      </c>
      <c r="K323" s="105">
        <f t="shared" si="142"/>
        <v>0</v>
      </c>
      <c r="L323" s="106">
        <f t="shared" si="143"/>
        <v>0</v>
      </c>
    </row>
    <row r="324" spans="1:12" x14ac:dyDescent="0.35">
      <c r="A324" s="60">
        <v>3</v>
      </c>
      <c r="B324" s="34" t="s">
        <v>47</v>
      </c>
      <c r="C324" s="27">
        <v>5</v>
      </c>
      <c r="D324" s="22">
        <v>0</v>
      </c>
      <c r="E324" s="23">
        <f t="shared" ref="E324" si="145">C324*(1+D324)</f>
        <v>5</v>
      </c>
      <c r="F324" s="24" t="s">
        <v>18</v>
      </c>
      <c r="G324" s="57"/>
      <c r="H324" s="103">
        <f t="shared" si="140"/>
        <v>0</v>
      </c>
      <c r="I324" s="104">
        <f t="shared" si="141"/>
        <v>0</v>
      </c>
      <c r="J324" s="113">
        <v>2.5</v>
      </c>
      <c r="K324" s="105">
        <f t="shared" si="142"/>
        <v>0</v>
      </c>
      <c r="L324" s="106">
        <f t="shared" si="143"/>
        <v>0</v>
      </c>
    </row>
    <row r="325" spans="1:12" x14ac:dyDescent="0.35">
      <c r="A325" s="362" t="s">
        <v>90</v>
      </c>
      <c r="B325" s="363"/>
      <c r="C325" s="27"/>
      <c r="D325" s="22"/>
      <c r="E325" s="23"/>
      <c r="F325" s="24"/>
      <c r="G325" s="27"/>
      <c r="H325" s="27"/>
      <c r="I325" s="27"/>
      <c r="J325" s="24"/>
      <c r="K325" s="24"/>
      <c r="L325" s="109"/>
    </row>
    <row r="326" spans="1:12" ht="15" thickBot="1" x14ac:dyDescent="0.4">
      <c r="A326" s="71"/>
      <c r="B326" s="8"/>
      <c r="C326" s="27"/>
      <c r="D326" s="22"/>
      <c r="E326" s="23"/>
      <c r="F326" s="24"/>
      <c r="G326" s="27"/>
      <c r="H326" s="27"/>
      <c r="I326" s="27"/>
      <c r="J326" s="24"/>
      <c r="K326" s="24"/>
      <c r="L326" s="109"/>
    </row>
    <row r="327" spans="1:12" ht="15" thickBot="1" x14ac:dyDescent="0.4">
      <c r="A327" s="364" t="s">
        <v>179</v>
      </c>
      <c r="B327" s="365"/>
      <c r="C327" s="27"/>
      <c r="D327" s="22"/>
      <c r="E327" s="23"/>
      <c r="F327" s="24"/>
      <c r="G327" s="27"/>
      <c r="H327" s="27"/>
      <c r="I327" s="27"/>
      <c r="J327" s="24"/>
      <c r="K327" s="24"/>
      <c r="L327" s="109"/>
    </row>
    <row r="328" spans="1:12" x14ac:dyDescent="0.35">
      <c r="A328" s="60">
        <v>1</v>
      </c>
      <c r="B328" s="32" t="s">
        <v>91</v>
      </c>
      <c r="C328" s="27">
        <v>72</v>
      </c>
      <c r="D328" s="22">
        <v>0.1</v>
      </c>
      <c r="E328" s="23">
        <f t="shared" ref="E328" si="146">C328*(1+D328)</f>
        <v>79.2</v>
      </c>
      <c r="F328" s="24" t="s">
        <v>17</v>
      </c>
      <c r="G328" s="57"/>
      <c r="H328" s="103">
        <f>G328*E328</f>
        <v>0</v>
      </c>
      <c r="I328" s="104">
        <f>L$4</f>
        <v>0</v>
      </c>
      <c r="J328" s="113">
        <v>15.840000000000002</v>
      </c>
      <c r="K328" s="105">
        <f>J328*I328</f>
        <v>0</v>
      </c>
      <c r="L328" s="106">
        <f>K328+H328</f>
        <v>0</v>
      </c>
    </row>
    <row r="329" spans="1:12" x14ac:dyDescent="0.35">
      <c r="A329" s="362" t="s">
        <v>90</v>
      </c>
      <c r="B329" s="363"/>
      <c r="C329" s="27"/>
      <c r="D329" s="22"/>
      <c r="E329" s="23"/>
      <c r="F329" s="24"/>
      <c r="G329" s="27"/>
      <c r="H329" s="27"/>
      <c r="I329" s="27"/>
      <c r="J329" s="24"/>
      <c r="K329" s="24"/>
      <c r="L329" s="109"/>
    </row>
    <row r="330" spans="1:12" ht="15" thickBot="1" x14ac:dyDescent="0.4">
      <c r="A330" s="71"/>
      <c r="B330" s="8"/>
      <c r="C330" s="27"/>
      <c r="D330" s="22"/>
      <c r="E330" s="23"/>
      <c r="F330" s="24"/>
      <c r="G330" s="27"/>
      <c r="H330" s="27"/>
      <c r="I330" s="27"/>
      <c r="J330" s="24"/>
      <c r="K330" s="24"/>
      <c r="L330" s="109"/>
    </row>
    <row r="331" spans="1:12" ht="15" thickBot="1" x14ac:dyDescent="0.4">
      <c r="A331" s="364" t="s">
        <v>181</v>
      </c>
      <c r="B331" s="365"/>
      <c r="C331" s="27"/>
      <c r="D331" s="22"/>
      <c r="E331" s="23"/>
      <c r="F331" s="24"/>
      <c r="G331" s="27"/>
      <c r="H331" s="27"/>
      <c r="I331" s="27"/>
      <c r="J331" s="24"/>
      <c r="K331" s="24"/>
      <c r="L331" s="109"/>
    </row>
    <row r="332" spans="1:12" ht="15" thickBot="1" x14ac:dyDescent="0.4">
      <c r="A332" s="364" t="s">
        <v>182</v>
      </c>
      <c r="B332" s="365"/>
      <c r="C332" s="27"/>
      <c r="D332" s="22"/>
      <c r="E332" s="23"/>
      <c r="F332" s="24"/>
      <c r="G332" s="27"/>
      <c r="H332" s="27"/>
      <c r="I332" s="27"/>
      <c r="J332" s="24"/>
      <c r="K332" s="24"/>
      <c r="L332" s="109"/>
    </row>
    <row r="333" spans="1:12" x14ac:dyDescent="0.35">
      <c r="A333" s="60">
        <v>1</v>
      </c>
      <c r="B333" s="32" t="s">
        <v>96</v>
      </c>
      <c r="C333" s="27">
        <v>144</v>
      </c>
      <c r="D333" s="22">
        <v>0.1</v>
      </c>
      <c r="E333" s="23">
        <f t="shared" ref="E333" si="147">C333*(1+D333)</f>
        <v>158.4</v>
      </c>
      <c r="F333" s="24" t="s">
        <v>17</v>
      </c>
      <c r="G333" s="57"/>
      <c r="H333" s="103">
        <f t="shared" ref="H333:H336" si="148">G333*E333</f>
        <v>0</v>
      </c>
      <c r="I333" s="104">
        <f t="shared" ref="I333:I336" si="149">L$4</f>
        <v>0</v>
      </c>
      <c r="J333" s="113">
        <v>15.840000000000002</v>
      </c>
      <c r="K333" s="105">
        <f t="shared" ref="K333:K336" si="150">J333*I333</f>
        <v>0</v>
      </c>
      <c r="L333" s="106">
        <f t="shared" ref="L333:L336" si="151">K333+H333</f>
        <v>0</v>
      </c>
    </row>
    <row r="334" spans="1:12" x14ac:dyDescent="0.35">
      <c r="A334" s="60">
        <v>2</v>
      </c>
      <c r="B334" s="32" t="s">
        <v>134</v>
      </c>
      <c r="C334" s="27">
        <v>61</v>
      </c>
      <c r="D334" s="22">
        <v>0.1</v>
      </c>
      <c r="E334" s="23">
        <f t="shared" ref="E334" si="152">C334*(1+D334)</f>
        <v>67.100000000000009</v>
      </c>
      <c r="F334" s="24" t="s">
        <v>17</v>
      </c>
      <c r="G334" s="57"/>
      <c r="H334" s="103">
        <f t="shared" si="148"/>
        <v>0</v>
      </c>
      <c r="I334" s="104">
        <f t="shared" si="149"/>
        <v>0</v>
      </c>
      <c r="J334" s="113">
        <v>13.420000000000002</v>
      </c>
      <c r="K334" s="105">
        <f t="shared" si="150"/>
        <v>0</v>
      </c>
      <c r="L334" s="106">
        <f t="shared" si="151"/>
        <v>0</v>
      </c>
    </row>
    <row r="335" spans="1:12" x14ac:dyDescent="0.35">
      <c r="A335" s="60">
        <v>3</v>
      </c>
      <c r="B335" s="26" t="s">
        <v>20</v>
      </c>
      <c r="C335" s="27">
        <v>2</v>
      </c>
      <c r="D335" s="22">
        <v>0</v>
      </c>
      <c r="E335" s="23">
        <f t="shared" ref="E335" si="153">C335*(1+D335)</f>
        <v>2</v>
      </c>
      <c r="F335" s="24" t="s">
        <v>18</v>
      </c>
      <c r="G335" s="57"/>
      <c r="H335" s="103">
        <f t="shared" si="148"/>
        <v>0</v>
      </c>
      <c r="I335" s="104">
        <f t="shared" si="149"/>
        <v>0</v>
      </c>
      <c r="J335" s="113">
        <v>1</v>
      </c>
      <c r="K335" s="105">
        <f t="shared" si="150"/>
        <v>0</v>
      </c>
      <c r="L335" s="106">
        <f t="shared" si="151"/>
        <v>0</v>
      </c>
    </row>
    <row r="336" spans="1:12" x14ac:dyDescent="0.35">
      <c r="A336" s="60">
        <v>4</v>
      </c>
      <c r="B336" s="34" t="s">
        <v>70</v>
      </c>
      <c r="C336" s="27">
        <v>2</v>
      </c>
      <c r="D336" s="22">
        <v>0</v>
      </c>
      <c r="E336" s="23">
        <f t="shared" ref="E336" si="154">C336*(1+D336)</f>
        <v>2</v>
      </c>
      <c r="F336" s="24" t="s">
        <v>18</v>
      </c>
      <c r="G336" s="57"/>
      <c r="H336" s="103">
        <f t="shared" si="148"/>
        <v>0</v>
      </c>
      <c r="I336" s="104">
        <f t="shared" si="149"/>
        <v>0</v>
      </c>
      <c r="J336" s="113">
        <v>1</v>
      </c>
      <c r="K336" s="105">
        <f t="shared" si="150"/>
        <v>0</v>
      </c>
      <c r="L336" s="106">
        <f t="shared" si="151"/>
        <v>0</v>
      </c>
    </row>
    <row r="337" spans="1:12" x14ac:dyDescent="0.35">
      <c r="A337" s="362" t="s">
        <v>90</v>
      </c>
      <c r="B337" s="363"/>
      <c r="C337" s="27"/>
      <c r="D337" s="22"/>
      <c r="E337" s="23"/>
      <c r="F337" s="24"/>
      <c r="G337" s="27"/>
      <c r="H337" s="27"/>
      <c r="I337" s="27"/>
      <c r="J337" s="24"/>
      <c r="K337" s="24"/>
      <c r="L337" s="109"/>
    </row>
    <row r="338" spans="1:12" ht="15" thickBot="1" x14ac:dyDescent="0.4">
      <c r="A338" s="60"/>
      <c r="B338" s="28"/>
      <c r="C338" s="27"/>
      <c r="D338" s="22"/>
      <c r="E338" s="23"/>
      <c r="F338" s="24"/>
      <c r="G338" s="27"/>
      <c r="H338" s="27"/>
      <c r="I338" s="27"/>
      <c r="J338" s="24"/>
      <c r="K338" s="24"/>
      <c r="L338" s="109"/>
    </row>
    <row r="339" spans="1:12" ht="15" thickBot="1" x14ac:dyDescent="0.4">
      <c r="A339" s="364" t="s">
        <v>170</v>
      </c>
      <c r="B339" s="365"/>
      <c r="C339" s="27"/>
      <c r="D339" s="22"/>
      <c r="E339" s="23"/>
      <c r="F339" s="24"/>
      <c r="G339" s="27"/>
      <c r="H339" s="27"/>
      <c r="I339" s="27"/>
      <c r="J339" s="24"/>
      <c r="K339" s="24"/>
      <c r="L339" s="109"/>
    </row>
    <row r="340" spans="1:12" x14ac:dyDescent="0.35">
      <c r="A340" s="60">
        <v>1</v>
      </c>
      <c r="B340" s="32" t="s">
        <v>110</v>
      </c>
      <c r="C340" s="27">
        <v>52</v>
      </c>
      <c r="D340" s="22">
        <v>0.1</v>
      </c>
      <c r="E340" s="23">
        <f>C340*(1+D340)</f>
        <v>57.2</v>
      </c>
      <c r="F340" s="24" t="s">
        <v>17</v>
      </c>
      <c r="G340" s="57"/>
      <c r="H340" s="103">
        <f t="shared" ref="H340:H350" si="155">G340*E340</f>
        <v>0</v>
      </c>
      <c r="I340" s="104">
        <f t="shared" ref="I340:I350" si="156">L$4</f>
        <v>0</v>
      </c>
      <c r="J340" s="113">
        <v>5.7200000000000006</v>
      </c>
      <c r="K340" s="105">
        <f t="shared" ref="K340:K350" si="157">J340*I340</f>
        <v>0</v>
      </c>
      <c r="L340" s="106">
        <f t="shared" ref="L340:L350" si="158">K340+H340</f>
        <v>0</v>
      </c>
    </row>
    <row r="341" spans="1:12" x14ac:dyDescent="0.35">
      <c r="A341" s="60">
        <v>2</v>
      </c>
      <c r="B341" s="32" t="s">
        <v>113</v>
      </c>
      <c r="C341" s="27">
        <v>42</v>
      </c>
      <c r="D341" s="22">
        <v>0.1</v>
      </c>
      <c r="E341" s="23">
        <f t="shared" ref="E341:E343" si="159">C341*(1+D341)</f>
        <v>46.2</v>
      </c>
      <c r="F341" s="24" t="s">
        <v>17</v>
      </c>
      <c r="G341" s="57"/>
      <c r="H341" s="103">
        <f t="shared" si="155"/>
        <v>0</v>
      </c>
      <c r="I341" s="104">
        <f t="shared" si="156"/>
        <v>0</v>
      </c>
      <c r="J341" s="113">
        <v>4.62</v>
      </c>
      <c r="K341" s="105">
        <f t="shared" si="157"/>
        <v>0</v>
      </c>
      <c r="L341" s="106">
        <f t="shared" si="158"/>
        <v>0</v>
      </c>
    </row>
    <row r="342" spans="1:12" x14ac:dyDescent="0.35">
      <c r="A342" s="60">
        <v>3</v>
      </c>
      <c r="B342" s="33" t="s">
        <v>114</v>
      </c>
      <c r="C342" s="27">
        <v>11</v>
      </c>
      <c r="D342" s="22">
        <v>0.1</v>
      </c>
      <c r="E342" s="23">
        <f t="shared" si="159"/>
        <v>12.100000000000001</v>
      </c>
      <c r="F342" s="24" t="s">
        <v>17</v>
      </c>
      <c r="G342" s="57"/>
      <c r="H342" s="103">
        <f t="shared" si="155"/>
        <v>0</v>
      </c>
      <c r="I342" s="104">
        <f t="shared" si="156"/>
        <v>0</v>
      </c>
      <c r="J342" s="113">
        <v>1.2100000000000002</v>
      </c>
      <c r="K342" s="105">
        <f t="shared" si="157"/>
        <v>0</v>
      </c>
      <c r="L342" s="106">
        <f t="shared" si="158"/>
        <v>0</v>
      </c>
    </row>
    <row r="343" spans="1:12" x14ac:dyDescent="0.35">
      <c r="A343" s="60">
        <v>4</v>
      </c>
      <c r="B343" s="45" t="s">
        <v>100</v>
      </c>
      <c r="C343" s="27">
        <v>8</v>
      </c>
      <c r="D343" s="22">
        <v>0.1</v>
      </c>
      <c r="E343" s="23">
        <f t="shared" si="159"/>
        <v>8.8000000000000007</v>
      </c>
      <c r="F343" s="24" t="s">
        <v>17</v>
      </c>
      <c r="G343" s="57"/>
      <c r="H343" s="103">
        <f t="shared" si="155"/>
        <v>0</v>
      </c>
      <c r="I343" s="104">
        <f t="shared" si="156"/>
        <v>0</v>
      </c>
      <c r="J343" s="113">
        <v>4.4000000000000004</v>
      </c>
      <c r="K343" s="105">
        <f t="shared" si="157"/>
        <v>0</v>
      </c>
      <c r="L343" s="106">
        <f t="shared" si="158"/>
        <v>0</v>
      </c>
    </row>
    <row r="344" spans="1:12" x14ac:dyDescent="0.35">
      <c r="A344" s="60">
        <v>5</v>
      </c>
      <c r="B344" s="26" t="s">
        <v>103</v>
      </c>
      <c r="C344" s="27">
        <v>6</v>
      </c>
      <c r="D344" s="22">
        <v>0</v>
      </c>
      <c r="E344" s="23">
        <f t="shared" ref="E344" si="160">C344*(1+D344)</f>
        <v>6</v>
      </c>
      <c r="F344" s="24" t="s">
        <v>18</v>
      </c>
      <c r="G344" s="57"/>
      <c r="H344" s="103">
        <f t="shared" si="155"/>
        <v>0</v>
      </c>
      <c r="I344" s="104">
        <f t="shared" si="156"/>
        <v>0</v>
      </c>
      <c r="J344" s="113">
        <v>3</v>
      </c>
      <c r="K344" s="105">
        <f t="shared" si="157"/>
        <v>0</v>
      </c>
      <c r="L344" s="106">
        <f t="shared" si="158"/>
        <v>0</v>
      </c>
    </row>
    <row r="345" spans="1:12" x14ac:dyDescent="0.35">
      <c r="A345" s="60">
        <v>6</v>
      </c>
      <c r="B345" s="46" t="s">
        <v>127</v>
      </c>
      <c r="C345" s="27">
        <v>3</v>
      </c>
      <c r="D345" s="22">
        <v>0</v>
      </c>
      <c r="E345" s="23">
        <f t="shared" ref="E345:E350" si="161">C345*(1+D345)</f>
        <v>3</v>
      </c>
      <c r="F345" s="24" t="s">
        <v>18</v>
      </c>
      <c r="G345" s="57"/>
      <c r="H345" s="103">
        <f t="shared" si="155"/>
        <v>0</v>
      </c>
      <c r="I345" s="104">
        <f t="shared" si="156"/>
        <v>0</v>
      </c>
      <c r="J345" s="113">
        <v>1.5</v>
      </c>
      <c r="K345" s="105">
        <f t="shared" si="157"/>
        <v>0</v>
      </c>
      <c r="L345" s="106">
        <f t="shared" si="158"/>
        <v>0</v>
      </c>
    </row>
    <row r="346" spans="1:12" x14ac:dyDescent="0.35">
      <c r="A346" s="60">
        <v>7</v>
      </c>
      <c r="B346" s="46" t="s">
        <v>135</v>
      </c>
      <c r="C346" s="27">
        <v>1</v>
      </c>
      <c r="D346" s="22">
        <v>0</v>
      </c>
      <c r="E346" s="23">
        <f t="shared" si="161"/>
        <v>1</v>
      </c>
      <c r="F346" s="24" t="s">
        <v>18</v>
      </c>
      <c r="G346" s="57"/>
      <c r="H346" s="103">
        <f t="shared" si="155"/>
        <v>0</v>
      </c>
      <c r="I346" s="104">
        <f t="shared" si="156"/>
        <v>0</v>
      </c>
      <c r="J346" s="113">
        <v>0.5</v>
      </c>
      <c r="K346" s="105">
        <f t="shared" si="157"/>
        <v>0</v>
      </c>
      <c r="L346" s="106">
        <f t="shared" si="158"/>
        <v>0</v>
      </c>
    </row>
    <row r="347" spans="1:12" x14ac:dyDescent="0.35">
      <c r="A347" s="60">
        <v>8</v>
      </c>
      <c r="B347" s="26" t="s">
        <v>43</v>
      </c>
      <c r="C347" s="27">
        <v>1</v>
      </c>
      <c r="D347" s="22">
        <v>0</v>
      </c>
      <c r="E347" s="23">
        <f t="shared" si="161"/>
        <v>1</v>
      </c>
      <c r="F347" s="24" t="s">
        <v>18</v>
      </c>
      <c r="G347" s="57"/>
      <c r="H347" s="103">
        <f t="shared" si="155"/>
        <v>0</v>
      </c>
      <c r="I347" s="104">
        <f t="shared" si="156"/>
        <v>0</v>
      </c>
      <c r="J347" s="113">
        <v>0.5</v>
      </c>
      <c r="K347" s="105">
        <f t="shared" si="157"/>
        <v>0</v>
      </c>
      <c r="L347" s="106">
        <f t="shared" si="158"/>
        <v>0</v>
      </c>
    </row>
    <row r="348" spans="1:12" x14ac:dyDescent="0.35">
      <c r="A348" s="60">
        <v>9</v>
      </c>
      <c r="B348" s="26" t="s">
        <v>150</v>
      </c>
      <c r="C348" s="27">
        <v>1</v>
      </c>
      <c r="D348" s="22">
        <v>0</v>
      </c>
      <c r="E348" s="23">
        <f t="shared" si="161"/>
        <v>1</v>
      </c>
      <c r="F348" s="24" t="s">
        <v>18</v>
      </c>
      <c r="G348" s="57"/>
      <c r="H348" s="103">
        <f t="shared" si="155"/>
        <v>0</v>
      </c>
      <c r="I348" s="104">
        <f t="shared" si="156"/>
        <v>0</v>
      </c>
      <c r="J348" s="113">
        <v>0.5</v>
      </c>
      <c r="K348" s="105">
        <f t="shared" si="157"/>
        <v>0</v>
      </c>
      <c r="L348" s="106">
        <f t="shared" si="158"/>
        <v>0</v>
      </c>
    </row>
    <row r="349" spans="1:12" x14ac:dyDescent="0.35">
      <c r="A349" s="60">
        <v>10</v>
      </c>
      <c r="B349" s="26" t="s">
        <v>42</v>
      </c>
      <c r="C349" s="27">
        <v>3</v>
      </c>
      <c r="D349" s="22">
        <v>0</v>
      </c>
      <c r="E349" s="23">
        <f t="shared" si="161"/>
        <v>3</v>
      </c>
      <c r="F349" s="24" t="s">
        <v>18</v>
      </c>
      <c r="G349" s="57"/>
      <c r="H349" s="103">
        <f t="shared" si="155"/>
        <v>0</v>
      </c>
      <c r="I349" s="104">
        <f t="shared" si="156"/>
        <v>0</v>
      </c>
      <c r="J349" s="113">
        <v>1.5</v>
      </c>
      <c r="K349" s="105">
        <f t="shared" si="157"/>
        <v>0</v>
      </c>
      <c r="L349" s="106">
        <f t="shared" si="158"/>
        <v>0</v>
      </c>
    </row>
    <row r="350" spans="1:12" x14ac:dyDescent="0.35">
      <c r="A350" s="60">
        <v>11</v>
      </c>
      <c r="B350" s="46" t="s">
        <v>71</v>
      </c>
      <c r="C350" s="27">
        <v>1</v>
      </c>
      <c r="D350" s="22">
        <v>0</v>
      </c>
      <c r="E350" s="23">
        <f t="shared" si="161"/>
        <v>1</v>
      </c>
      <c r="F350" s="24" t="s">
        <v>18</v>
      </c>
      <c r="G350" s="57"/>
      <c r="H350" s="103">
        <f t="shared" si="155"/>
        <v>0</v>
      </c>
      <c r="I350" s="104">
        <f t="shared" si="156"/>
        <v>0</v>
      </c>
      <c r="J350" s="113">
        <v>0.5</v>
      </c>
      <c r="K350" s="105">
        <f t="shared" si="157"/>
        <v>0</v>
      </c>
      <c r="L350" s="106">
        <f t="shared" si="158"/>
        <v>0</v>
      </c>
    </row>
    <row r="351" spans="1:12" x14ac:dyDescent="0.35">
      <c r="A351" s="362" t="s">
        <v>159</v>
      </c>
      <c r="B351" s="363"/>
      <c r="C351" s="27"/>
      <c r="D351" s="22"/>
      <c r="E351" s="23"/>
      <c r="F351" s="24"/>
      <c r="G351" s="27"/>
      <c r="H351" s="27"/>
      <c r="I351" s="27"/>
      <c r="J351" s="24"/>
      <c r="K351" s="24"/>
      <c r="L351" s="109"/>
    </row>
    <row r="352" spans="1:12" ht="15" thickBot="1" x14ac:dyDescent="0.4">
      <c r="A352" s="60"/>
      <c r="B352" s="28"/>
      <c r="C352" s="27"/>
      <c r="D352" s="22"/>
      <c r="E352" s="23"/>
      <c r="F352" s="24"/>
      <c r="G352" s="27"/>
      <c r="H352" s="27"/>
      <c r="I352" s="27"/>
      <c r="J352" s="24"/>
      <c r="K352" s="24"/>
      <c r="L352" s="109"/>
    </row>
    <row r="353" spans="1:12" ht="15" thickBot="1" x14ac:dyDescent="0.4">
      <c r="A353" s="364" t="s">
        <v>177</v>
      </c>
      <c r="B353" s="365"/>
      <c r="C353" s="27"/>
      <c r="D353" s="22"/>
      <c r="E353" s="23"/>
      <c r="F353" s="24"/>
      <c r="G353" s="27"/>
      <c r="H353" s="27"/>
      <c r="I353" s="27"/>
      <c r="J353" s="24"/>
      <c r="K353" s="24"/>
      <c r="L353" s="109"/>
    </row>
    <row r="354" spans="1:12" x14ac:dyDescent="0.35">
      <c r="A354" s="60">
        <v>1</v>
      </c>
      <c r="B354" s="45" t="s">
        <v>110</v>
      </c>
      <c r="C354" s="27">
        <v>68</v>
      </c>
      <c r="D354" s="22">
        <v>0.1</v>
      </c>
      <c r="E354" s="23">
        <f>C354*(1+D354)</f>
        <v>74.800000000000011</v>
      </c>
      <c r="F354" s="24" t="s">
        <v>17</v>
      </c>
      <c r="G354" s="57"/>
      <c r="H354" s="103">
        <f t="shared" ref="H354:H369" si="162">G354*E354</f>
        <v>0</v>
      </c>
      <c r="I354" s="104">
        <f t="shared" ref="I354:I369" si="163">L$4</f>
        <v>0</v>
      </c>
      <c r="J354" s="113">
        <v>7.4800000000000013</v>
      </c>
      <c r="K354" s="105">
        <f t="shared" ref="K354:K369" si="164">J354*I354</f>
        <v>0</v>
      </c>
      <c r="L354" s="106">
        <f t="shared" ref="L354:L369" si="165">K354+H354</f>
        <v>0</v>
      </c>
    </row>
    <row r="355" spans="1:12" x14ac:dyDescent="0.35">
      <c r="A355" s="60">
        <v>2</v>
      </c>
      <c r="B355" s="32" t="s">
        <v>113</v>
      </c>
      <c r="C355" s="27">
        <v>43</v>
      </c>
      <c r="D355" s="22">
        <v>0.1</v>
      </c>
      <c r="E355" s="23">
        <f t="shared" ref="E355:E357" si="166">C355*(1+D355)</f>
        <v>47.300000000000004</v>
      </c>
      <c r="F355" s="24" t="s">
        <v>17</v>
      </c>
      <c r="G355" s="57"/>
      <c r="H355" s="103">
        <f t="shared" si="162"/>
        <v>0</v>
      </c>
      <c r="I355" s="104">
        <f t="shared" si="163"/>
        <v>0</v>
      </c>
      <c r="J355" s="113">
        <v>4.7300000000000004</v>
      </c>
      <c r="K355" s="105">
        <f t="shared" si="164"/>
        <v>0</v>
      </c>
      <c r="L355" s="106">
        <f t="shared" si="165"/>
        <v>0</v>
      </c>
    </row>
    <row r="356" spans="1:12" x14ac:dyDescent="0.35">
      <c r="A356" s="60">
        <v>3</v>
      </c>
      <c r="B356" s="25" t="s">
        <v>93</v>
      </c>
      <c r="C356" s="27">
        <v>84</v>
      </c>
      <c r="D356" s="22">
        <v>0.1</v>
      </c>
      <c r="E356" s="23">
        <f t="shared" si="166"/>
        <v>92.4</v>
      </c>
      <c r="F356" s="24" t="s">
        <v>17</v>
      </c>
      <c r="G356" s="57"/>
      <c r="H356" s="103">
        <f t="shared" si="162"/>
        <v>0</v>
      </c>
      <c r="I356" s="104">
        <f t="shared" si="163"/>
        <v>0</v>
      </c>
      <c r="J356" s="113">
        <v>9.24</v>
      </c>
      <c r="K356" s="105">
        <f t="shared" si="164"/>
        <v>0</v>
      </c>
      <c r="L356" s="106">
        <f t="shared" si="165"/>
        <v>0</v>
      </c>
    </row>
    <row r="357" spans="1:12" x14ac:dyDescent="0.35">
      <c r="A357" s="60">
        <v>4</v>
      </c>
      <c r="B357" s="45" t="s">
        <v>100</v>
      </c>
      <c r="C357" s="27">
        <v>28</v>
      </c>
      <c r="D357" s="22">
        <v>0.1</v>
      </c>
      <c r="E357" s="23">
        <f t="shared" si="166"/>
        <v>30.800000000000004</v>
      </c>
      <c r="F357" s="24" t="s">
        <v>17</v>
      </c>
      <c r="G357" s="57"/>
      <c r="H357" s="103">
        <f t="shared" si="162"/>
        <v>0</v>
      </c>
      <c r="I357" s="104">
        <f t="shared" si="163"/>
        <v>0</v>
      </c>
      <c r="J357" s="113">
        <v>3.0800000000000005</v>
      </c>
      <c r="K357" s="105">
        <f t="shared" si="164"/>
        <v>0</v>
      </c>
      <c r="L357" s="106">
        <f t="shared" si="165"/>
        <v>0</v>
      </c>
    </row>
    <row r="358" spans="1:12" x14ac:dyDescent="0.35">
      <c r="A358" s="60">
        <v>5</v>
      </c>
      <c r="B358" s="46" t="s">
        <v>127</v>
      </c>
      <c r="C358" s="27">
        <v>1</v>
      </c>
      <c r="D358" s="22">
        <v>0</v>
      </c>
      <c r="E358" s="23">
        <f t="shared" ref="E358" si="167">C358*(1+D358)</f>
        <v>1</v>
      </c>
      <c r="F358" s="24" t="s">
        <v>18</v>
      </c>
      <c r="G358" s="57"/>
      <c r="H358" s="103">
        <f t="shared" si="162"/>
        <v>0</v>
      </c>
      <c r="I358" s="104">
        <f t="shared" si="163"/>
        <v>0</v>
      </c>
      <c r="J358" s="113">
        <v>0.5</v>
      </c>
      <c r="K358" s="105">
        <f t="shared" si="164"/>
        <v>0</v>
      </c>
      <c r="L358" s="106">
        <f t="shared" si="165"/>
        <v>0</v>
      </c>
    </row>
    <row r="359" spans="1:12" x14ac:dyDescent="0.35">
      <c r="A359" s="60">
        <v>6</v>
      </c>
      <c r="B359" s="26" t="s">
        <v>103</v>
      </c>
      <c r="C359" s="27">
        <v>4</v>
      </c>
      <c r="D359" s="22">
        <v>0</v>
      </c>
      <c r="E359" s="23">
        <f t="shared" ref="E359:E369" si="168">C359*(1+D359)</f>
        <v>4</v>
      </c>
      <c r="F359" s="24" t="s">
        <v>18</v>
      </c>
      <c r="G359" s="57"/>
      <c r="H359" s="103">
        <f t="shared" si="162"/>
        <v>0</v>
      </c>
      <c r="I359" s="104">
        <f t="shared" si="163"/>
        <v>0</v>
      </c>
      <c r="J359" s="113">
        <v>2</v>
      </c>
      <c r="K359" s="105">
        <f t="shared" si="164"/>
        <v>0</v>
      </c>
      <c r="L359" s="106">
        <f t="shared" si="165"/>
        <v>0</v>
      </c>
    </row>
    <row r="360" spans="1:12" x14ac:dyDescent="0.35">
      <c r="A360" s="60">
        <v>7</v>
      </c>
      <c r="B360" s="46" t="s">
        <v>136</v>
      </c>
      <c r="C360" s="27">
        <v>3</v>
      </c>
      <c r="D360" s="22">
        <v>0</v>
      </c>
      <c r="E360" s="23">
        <f t="shared" si="168"/>
        <v>3</v>
      </c>
      <c r="F360" s="24" t="s">
        <v>18</v>
      </c>
      <c r="G360" s="57"/>
      <c r="H360" s="103">
        <f t="shared" si="162"/>
        <v>0</v>
      </c>
      <c r="I360" s="104">
        <f t="shared" si="163"/>
        <v>0</v>
      </c>
      <c r="J360" s="113">
        <v>1.5</v>
      </c>
      <c r="K360" s="105">
        <f t="shared" si="164"/>
        <v>0</v>
      </c>
      <c r="L360" s="106">
        <f t="shared" si="165"/>
        <v>0</v>
      </c>
    </row>
    <row r="361" spans="1:12" x14ac:dyDescent="0.35">
      <c r="A361" s="60">
        <v>8</v>
      </c>
      <c r="B361" s="46" t="s">
        <v>137</v>
      </c>
      <c r="C361" s="27">
        <v>1</v>
      </c>
      <c r="D361" s="22">
        <v>0</v>
      </c>
      <c r="E361" s="23">
        <f t="shared" si="168"/>
        <v>1</v>
      </c>
      <c r="F361" s="24" t="s">
        <v>18</v>
      </c>
      <c r="G361" s="57"/>
      <c r="H361" s="103">
        <f t="shared" si="162"/>
        <v>0</v>
      </c>
      <c r="I361" s="104">
        <f t="shared" si="163"/>
        <v>0</v>
      </c>
      <c r="J361" s="113">
        <v>0.5</v>
      </c>
      <c r="K361" s="105">
        <f t="shared" si="164"/>
        <v>0</v>
      </c>
      <c r="L361" s="106">
        <f t="shared" si="165"/>
        <v>0</v>
      </c>
    </row>
    <row r="362" spans="1:12" x14ac:dyDescent="0.35">
      <c r="A362" s="60">
        <v>9</v>
      </c>
      <c r="B362" s="46" t="s">
        <v>138</v>
      </c>
      <c r="C362" s="27">
        <v>1</v>
      </c>
      <c r="D362" s="22">
        <v>0</v>
      </c>
      <c r="E362" s="23">
        <f t="shared" si="168"/>
        <v>1</v>
      </c>
      <c r="F362" s="24" t="s">
        <v>18</v>
      </c>
      <c r="G362" s="57"/>
      <c r="H362" s="103">
        <f t="shared" si="162"/>
        <v>0</v>
      </c>
      <c r="I362" s="104">
        <f t="shared" si="163"/>
        <v>0</v>
      </c>
      <c r="J362" s="113">
        <v>0.5</v>
      </c>
      <c r="K362" s="105">
        <f t="shared" si="164"/>
        <v>0</v>
      </c>
      <c r="L362" s="106">
        <f t="shared" si="165"/>
        <v>0</v>
      </c>
    </row>
    <row r="363" spans="1:12" x14ac:dyDescent="0.35">
      <c r="A363" s="60">
        <v>10</v>
      </c>
      <c r="B363" s="46" t="s">
        <v>148</v>
      </c>
      <c r="C363" s="27">
        <v>2</v>
      </c>
      <c r="D363" s="22">
        <v>0</v>
      </c>
      <c r="E363" s="23">
        <f t="shared" si="168"/>
        <v>2</v>
      </c>
      <c r="F363" s="24" t="s">
        <v>18</v>
      </c>
      <c r="G363" s="57"/>
      <c r="H363" s="103">
        <f t="shared" si="162"/>
        <v>0</v>
      </c>
      <c r="I363" s="104">
        <f t="shared" si="163"/>
        <v>0</v>
      </c>
      <c r="J363" s="113">
        <v>1</v>
      </c>
      <c r="K363" s="105">
        <f t="shared" si="164"/>
        <v>0</v>
      </c>
      <c r="L363" s="106">
        <f t="shared" si="165"/>
        <v>0</v>
      </c>
    </row>
    <row r="364" spans="1:12" x14ac:dyDescent="0.35">
      <c r="A364" s="60">
        <v>11</v>
      </c>
      <c r="B364" s="26" t="s">
        <v>104</v>
      </c>
      <c r="C364" s="27">
        <v>1</v>
      </c>
      <c r="D364" s="22">
        <v>0</v>
      </c>
      <c r="E364" s="23">
        <f t="shared" si="168"/>
        <v>1</v>
      </c>
      <c r="F364" s="24" t="s">
        <v>18</v>
      </c>
      <c r="G364" s="57"/>
      <c r="H364" s="103">
        <f t="shared" si="162"/>
        <v>0</v>
      </c>
      <c r="I364" s="104">
        <f t="shared" si="163"/>
        <v>0</v>
      </c>
      <c r="J364" s="113">
        <v>0.5</v>
      </c>
      <c r="K364" s="105">
        <f t="shared" si="164"/>
        <v>0</v>
      </c>
      <c r="L364" s="106">
        <f t="shared" si="165"/>
        <v>0</v>
      </c>
    </row>
    <row r="365" spans="1:12" x14ac:dyDescent="0.35">
      <c r="A365" s="60">
        <v>12</v>
      </c>
      <c r="B365" s="26" t="s">
        <v>150</v>
      </c>
      <c r="C365" s="27">
        <v>1</v>
      </c>
      <c r="D365" s="22">
        <v>0</v>
      </c>
      <c r="E365" s="23">
        <f t="shared" si="168"/>
        <v>1</v>
      </c>
      <c r="F365" s="24" t="s">
        <v>18</v>
      </c>
      <c r="G365" s="57"/>
      <c r="H365" s="103">
        <f t="shared" si="162"/>
        <v>0</v>
      </c>
      <c r="I365" s="104">
        <f t="shared" si="163"/>
        <v>0</v>
      </c>
      <c r="J365" s="113">
        <v>0.5</v>
      </c>
      <c r="K365" s="105">
        <f t="shared" si="164"/>
        <v>0</v>
      </c>
      <c r="L365" s="106">
        <f t="shared" si="165"/>
        <v>0</v>
      </c>
    </row>
    <row r="366" spans="1:12" x14ac:dyDescent="0.35">
      <c r="A366" s="60">
        <v>13</v>
      </c>
      <c r="B366" s="46" t="s">
        <v>72</v>
      </c>
      <c r="C366" s="27">
        <v>2</v>
      </c>
      <c r="D366" s="22">
        <v>0</v>
      </c>
      <c r="E366" s="23">
        <f t="shared" si="168"/>
        <v>2</v>
      </c>
      <c r="F366" s="24" t="s">
        <v>18</v>
      </c>
      <c r="G366" s="57"/>
      <c r="H366" s="103">
        <f t="shared" si="162"/>
        <v>0</v>
      </c>
      <c r="I366" s="104">
        <f t="shared" si="163"/>
        <v>0</v>
      </c>
      <c r="J366" s="113">
        <v>1</v>
      </c>
      <c r="K366" s="105">
        <f t="shared" si="164"/>
        <v>0</v>
      </c>
      <c r="L366" s="106">
        <f t="shared" si="165"/>
        <v>0</v>
      </c>
    </row>
    <row r="367" spans="1:12" x14ac:dyDescent="0.35">
      <c r="A367" s="60">
        <v>14</v>
      </c>
      <c r="B367" s="26" t="s">
        <v>54</v>
      </c>
      <c r="C367" s="27">
        <v>2</v>
      </c>
      <c r="D367" s="22">
        <v>0</v>
      </c>
      <c r="E367" s="23">
        <f t="shared" si="168"/>
        <v>2</v>
      </c>
      <c r="F367" s="24" t="s">
        <v>18</v>
      </c>
      <c r="G367" s="57"/>
      <c r="H367" s="103">
        <f t="shared" si="162"/>
        <v>0</v>
      </c>
      <c r="I367" s="104">
        <f t="shared" si="163"/>
        <v>0</v>
      </c>
      <c r="J367" s="113">
        <v>1</v>
      </c>
      <c r="K367" s="105">
        <f t="shared" si="164"/>
        <v>0</v>
      </c>
      <c r="L367" s="106">
        <f t="shared" si="165"/>
        <v>0</v>
      </c>
    </row>
    <row r="368" spans="1:12" x14ac:dyDescent="0.35">
      <c r="A368" s="60">
        <v>15</v>
      </c>
      <c r="B368" s="26" t="s">
        <v>42</v>
      </c>
      <c r="C368" s="27">
        <v>2</v>
      </c>
      <c r="D368" s="22">
        <v>0</v>
      </c>
      <c r="E368" s="23">
        <f t="shared" si="168"/>
        <v>2</v>
      </c>
      <c r="F368" s="24" t="s">
        <v>18</v>
      </c>
      <c r="G368" s="57"/>
      <c r="H368" s="103">
        <f t="shared" si="162"/>
        <v>0</v>
      </c>
      <c r="I368" s="104">
        <f t="shared" si="163"/>
        <v>0</v>
      </c>
      <c r="J368" s="113">
        <v>1</v>
      </c>
      <c r="K368" s="105">
        <f t="shared" si="164"/>
        <v>0</v>
      </c>
      <c r="L368" s="106">
        <f t="shared" si="165"/>
        <v>0</v>
      </c>
    </row>
    <row r="369" spans="1:12" x14ac:dyDescent="0.35">
      <c r="A369" s="60">
        <v>16</v>
      </c>
      <c r="B369" s="45" t="s">
        <v>73</v>
      </c>
      <c r="C369" s="27">
        <v>1</v>
      </c>
      <c r="D369" s="22">
        <v>0</v>
      </c>
      <c r="E369" s="23">
        <f t="shared" si="168"/>
        <v>1</v>
      </c>
      <c r="F369" s="24" t="s">
        <v>18</v>
      </c>
      <c r="G369" s="57"/>
      <c r="H369" s="103">
        <f t="shared" si="162"/>
        <v>0</v>
      </c>
      <c r="I369" s="104">
        <f t="shared" si="163"/>
        <v>0</v>
      </c>
      <c r="J369" s="113">
        <v>0.5</v>
      </c>
      <c r="K369" s="105">
        <f t="shared" si="164"/>
        <v>0</v>
      </c>
      <c r="L369" s="106">
        <f t="shared" si="165"/>
        <v>0</v>
      </c>
    </row>
    <row r="370" spans="1:12" x14ac:dyDescent="0.35">
      <c r="A370" s="362" t="s">
        <v>159</v>
      </c>
      <c r="B370" s="363"/>
      <c r="C370" s="27"/>
      <c r="D370" s="22"/>
      <c r="E370" s="23"/>
      <c r="F370" s="24"/>
      <c r="G370" s="27"/>
      <c r="H370" s="27"/>
      <c r="I370" s="27"/>
      <c r="J370" s="24"/>
      <c r="K370" s="24"/>
      <c r="L370" s="109"/>
    </row>
    <row r="371" spans="1:12" ht="15" thickBot="1" x14ac:dyDescent="0.4">
      <c r="A371" s="71"/>
      <c r="B371" s="8"/>
      <c r="C371" s="27"/>
      <c r="D371" s="22"/>
      <c r="E371" s="23"/>
      <c r="F371" s="24"/>
      <c r="G371" s="27"/>
      <c r="H371" s="27"/>
      <c r="I371" s="27"/>
      <c r="J371" s="24"/>
      <c r="K371" s="24"/>
      <c r="L371" s="109"/>
    </row>
    <row r="372" spans="1:12" ht="15" thickBot="1" x14ac:dyDescent="0.4">
      <c r="A372" s="364" t="s">
        <v>178</v>
      </c>
      <c r="B372" s="365"/>
      <c r="C372" s="27"/>
      <c r="D372" s="22"/>
      <c r="E372" s="23"/>
      <c r="F372" s="24"/>
      <c r="G372" s="27"/>
      <c r="H372" s="27"/>
      <c r="I372" s="27"/>
      <c r="J372" s="24"/>
      <c r="K372" s="24"/>
      <c r="L372" s="109"/>
    </row>
    <row r="373" spans="1:12" x14ac:dyDescent="0.35">
      <c r="A373" s="60">
        <v>1</v>
      </c>
      <c r="B373" s="26" t="s">
        <v>96</v>
      </c>
      <c r="C373" s="27">
        <v>164</v>
      </c>
      <c r="D373" s="22">
        <v>0.1</v>
      </c>
      <c r="E373" s="23">
        <f>C373*(1+D373)</f>
        <v>180.4</v>
      </c>
      <c r="F373" s="24" t="s">
        <v>17</v>
      </c>
      <c r="G373" s="57"/>
      <c r="H373" s="103">
        <f t="shared" ref="H373:H376" si="169">G373*E373</f>
        <v>0</v>
      </c>
      <c r="I373" s="104">
        <f t="shared" ref="I373:I376" si="170">L$4</f>
        <v>0</v>
      </c>
      <c r="J373" s="113">
        <v>18.040000000000003</v>
      </c>
      <c r="K373" s="105">
        <f t="shared" ref="K373:K376" si="171">J373*I373</f>
        <v>0</v>
      </c>
      <c r="L373" s="106">
        <f t="shared" ref="L373:L376" si="172">K373+H373</f>
        <v>0</v>
      </c>
    </row>
    <row r="374" spans="1:12" x14ac:dyDescent="0.35">
      <c r="A374" s="60">
        <v>2</v>
      </c>
      <c r="B374" s="26" t="s">
        <v>46</v>
      </c>
      <c r="C374" s="27">
        <v>14</v>
      </c>
      <c r="D374" s="22">
        <v>0</v>
      </c>
      <c r="E374" s="23">
        <f t="shared" ref="E374" si="173">C374*(1+D374)</f>
        <v>14</v>
      </c>
      <c r="F374" s="24" t="s">
        <v>18</v>
      </c>
      <c r="G374" s="57"/>
      <c r="H374" s="103">
        <f t="shared" si="169"/>
        <v>0</v>
      </c>
      <c r="I374" s="104">
        <f t="shared" si="170"/>
        <v>0</v>
      </c>
      <c r="J374" s="113">
        <v>7</v>
      </c>
      <c r="K374" s="105">
        <f t="shared" si="171"/>
        <v>0</v>
      </c>
      <c r="L374" s="106">
        <f t="shared" si="172"/>
        <v>0</v>
      </c>
    </row>
    <row r="375" spans="1:12" x14ac:dyDescent="0.35">
      <c r="A375" s="60">
        <v>3</v>
      </c>
      <c r="B375" s="34" t="s">
        <v>47</v>
      </c>
      <c r="C375" s="27">
        <v>12</v>
      </c>
      <c r="D375" s="22">
        <v>0</v>
      </c>
      <c r="E375" s="23">
        <f t="shared" ref="E375:E376" si="174">C375*(1+D375)</f>
        <v>12</v>
      </c>
      <c r="F375" s="24" t="s">
        <v>18</v>
      </c>
      <c r="G375" s="57"/>
      <c r="H375" s="103">
        <f t="shared" si="169"/>
        <v>0</v>
      </c>
      <c r="I375" s="104">
        <f t="shared" si="170"/>
        <v>0</v>
      </c>
      <c r="J375" s="113">
        <v>6</v>
      </c>
      <c r="K375" s="105">
        <f t="shared" si="171"/>
        <v>0</v>
      </c>
      <c r="L375" s="106">
        <f t="shared" si="172"/>
        <v>0</v>
      </c>
    </row>
    <row r="376" spans="1:12" x14ac:dyDescent="0.35">
      <c r="A376" s="60">
        <v>4</v>
      </c>
      <c r="B376" s="26" t="s">
        <v>20</v>
      </c>
      <c r="C376" s="27">
        <v>1</v>
      </c>
      <c r="D376" s="22">
        <v>0</v>
      </c>
      <c r="E376" s="23">
        <f t="shared" si="174"/>
        <v>1</v>
      </c>
      <c r="F376" s="24" t="s">
        <v>18</v>
      </c>
      <c r="G376" s="57"/>
      <c r="H376" s="103">
        <f t="shared" si="169"/>
        <v>0</v>
      </c>
      <c r="I376" s="104">
        <f t="shared" si="170"/>
        <v>0</v>
      </c>
      <c r="J376" s="113">
        <v>0.5</v>
      </c>
      <c r="K376" s="105">
        <f t="shared" si="171"/>
        <v>0</v>
      </c>
      <c r="L376" s="106">
        <f t="shared" si="172"/>
        <v>0</v>
      </c>
    </row>
    <row r="377" spans="1:12" s="7" customFormat="1" x14ac:dyDescent="0.35">
      <c r="A377" s="362" t="s">
        <v>90</v>
      </c>
      <c r="B377" s="363"/>
      <c r="C377" s="4"/>
      <c r="D377" s="5"/>
      <c r="E377" s="11"/>
      <c r="F377" s="6"/>
      <c r="G377" s="4"/>
      <c r="H377" s="4"/>
      <c r="I377" s="4"/>
      <c r="J377" s="83"/>
      <c r="K377" s="83"/>
      <c r="L377" s="110"/>
    </row>
    <row r="378" spans="1:12" s="7" customFormat="1" ht="15" thickBot="1" x14ac:dyDescent="0.4">
      <c r="A378" s="71"/>
      <c r="B378" s="8"/>
      <c r="C378" s="4"/>
      <c r="D378" s="5"/>
      <c r="E378" s="11"/>
      <c r="F378" s="6"/>
      <c r="G378" s="4"/>
      <c r="H378" s="4"/>
      <c r="I378" s="4"/>
      <c r="J378" s="83"/>
      <c r="K378" s="83"/>
      <c r="L378" s="110"/>
    </row>
    <row r="379" spans="1:12" ht="15" thickBot="1" x14ac:dyDescent="0.4">
      <c r="A379" s="364" t="s">
        <v>179</v>
      </c>
      <c r="B379" s="365"/>
      <c r="C379" s="27"/>
      <c r="D379" s="22"/>
      <c r="E379" s="23"/>
      <c r="F379" s="24"/>
      <c r="G379" s="27"/>
      <c r="H379" s="27"/>
      <c r="I379" s="27"/>
      <c r="J379" s="24"/>
      <c r="K379" s="24"/>
      <c r="L379" s="109"/>
    </row>
    <row r="380" spans="1:12" x14ac:dyDescent="0.35">
      <c r="A380" s="60">
        <v>1</v>
      </c>
      <c r="B380" s="45" t="s">
        <v>91</v>
      </c>
      <c r="C380" s="27">
        <v>33</v>
      </c>
      <c r="D380" s="22">
        <v>0.1</v>
      </c>
      <c r="E380" s="23">
        <f>C380*(1+D380)</f>
        <v>36.300000000000004</v>
      </c>
      <c r="F380" s="93" t="s">
        <v>17</v>
      </c>
      <c r="G380" s="57"/>
      <c r="H380" s="103">
        <f t="shared" ref="H380:H384" si="175">G380*E380</f>
        <v>0</v>
      </c>
      <c r="I380" s="104">
        <f t="shared" ref="I380:I384" si="176">L$4</f>
        <v>0</v>
      </c>
      <c r="J380" s="113">
        <v>7.2600000000000016</v>
      </c>
      <c r="K380" s="105">
        <f t="shared" ref="K380:K384" si="177">J380*I380</f>
        <v>0</v>
      </c>
      <c r="L380" s="106">
        <f t="shared" ref="L380:L384" si="178">K380+H380</f>
        <v>0</v>
      </c>
    </row>
    <row r="381" spans="1:12" x14ac:dyDescent="0.35">
      <c r="A381" s="60">
        <v>2</v>
      </c>
      <c r="B381" s="45" t="s">
        <v>93</v>
      </c>
      <c r="C381" s="27">
        <v>8</v>
      </c>
      <c r="D381" s="22">
        <v>0.1</v>
      </c>
      <c r="E381" s="23">
        <f>C381*(1+D381)</f>
        <v>8.8000000000000007</v>
      </c>
      <c r="F381" s="24" t="s">
        <v>17</v>
      </c>
      <c r="G381" s="57"/>
      <c r="H381" s="103">
        <f t="shared" si="175"/>
        <v>0</v>
      </c>
      <c r="I381" s="104">
        <f t="shared" si="176"/>
        <v>0</v>
      </c>
      <c r="J381" s="113">
        <v>0.88000000000000012</v>
      </c>
      <c r="K381" s="105">
        <f t="shared" si="177"/>
        <v>0</v>
      </c>
      <c r="L381" s="106">
        <f t="shared" si="178"/>
        <v>0</v>
      </c>
    </row>
    <row r="382" spans="1:12" x14ac:dyDescent="0.35">
      <c r="A382" s="60">
        <v>3</v>
      </c>
      <c r="B382" s="45" t="s">
        <v>74</v>
      </c>
      <c r="C382" s="27">
        <v>1</v>
      </c>
      <c r="D382" s="22">
        <v>0</v>
      </c>
      <c r="E382" s="23">
        <f t="shared" ref="E382" si="179">C382*(1+D382)</f>
        <v>1</v>
      </c>
      <c r="F382" s="24" t="s">
        <v>18</v>
      </c>
      <c r="G382" s="57"/>
      <c r="H382" s="103">
        <f t="shared" si="175"/>
        <v>0</v>
      </c>
      <c r="I382" s="104">
        <f t="shared" si="176"/>
        <v>0</v>
      </c>
      <c r="J382" s="113">
        <v>0.5</v>
      </c>
      <c r="K382" s="105">
        <f t="shared" si="177"/>
        <v>0</v>
      </c>
      <c r="L382" s="106">
        <f t="shared" si="178"/>
        <v>0</v>
      </c>
    </row>
    <row r="383" spans="1:12" x14ac:dyDescent="0.35">
      <c r="A383" s="60">
        <v>4</v>
      </c>
      <c r="B383" s="26" t="s">
        <v>75</v>
      </c>
      <c r="C383" s="27">
        <v>1</v>
      </c>
      <c r="D383" s="22">
        <v>0</v>
      </c>
      <c r="E383" s="23">
        <f t="shared" ref="E383:E384" si="180">C383*(1+D383)</f>
        <v>1</v>
      </c>
      <c r="F383" s="24" t="s">
        <v>18</v>
      </c>
      <c r="G383" s="57"/>
      <c r="H383" s="103">
        <f t="shared" si="175"/>
        <v>0</v>
      </c>
      <c r="I383" s="104">
        <f t="shared" si="176"/>
        <v>0</v>
      </c>
      <c r="J383" s="113">
        <v>0.5</v>
      </c>
      <c r="K383" s="105">
        <f t="shared" si="177"/>
        <v>0</v>
      </c>
      <c r="L383" s="106">
        <f t="shared" si="178"/>
        <v>0</v>
      </c>
    </row>
    <row r="384" spans="1:12" x14ac:dyDescent="0.35">
      <c r="A384" s="60">
        <v>5</v>
      </c>
      <c r="B384" s="26" t="s">
        <v>36</v>
      </c>
      <c r="C384" s="27">
        <v>1</v>
      </c>
      <c r="D384" s="22">
        <v>0</v>
      </c>
      <c r="E384" s="23">
        <f t="shared" si="180"/>
        <v>1</v>
      </c>
      <c r="F384" s="24" t="s">
        <v>18</v>
      </c>
      <c r="G384" s="57"/>
      <c r="H384" s="103">
        <f t="shared" si="175"/>
        <v>0</v>
      </c>
      <c r="I384" s="104">
        <f t="shared" si="176"/>
        <v>0</v>
      </c>
      <c r="J384" s="113">
        <v>0.5</v>
      </c>
      <c r="K384" s="105">
        <f t="shared" si="177"/>
        <v>0</v>
      </c>
      <c r="L384" s="106">
        <f t="shared" si="178"/>
        <v>0</v>
      </c>
    </row>
    <row r="385" spans="1:12" x14ac:dyDescent="0.35">
      <c r="A385" s="362" t="s">
        <v>90</v>
      </c>
      <c r="B385" s="363"/>
      <c r="C385" s="27"/>
      <c r="D385" s="22"/>
      <c r="E385" s="23"/>
      <c r="F385" s="24"/>
      <c r="G385" s="27"/>
      <c r="H385" s="27"/>
      <c r="I385" s="27"/>
      <c r="J385" s="24"/>
      <c r="K385" s="24"/>
      <c r="L385" s="109"/>
    </row>
    <row r="386" spans="1:12" ht="15" thickBot="1" x14ac:dyDescent="0.4">
      <c r="A386" s="71"/>
      <c r="B386" s="8"/>
      <c r="C386" s="27"/>
      <c r="D386" s="22"/>
      <c r="E386" s="23"/>
      <c r="F386" s="24"/>
      <c r="G386" s="27"/>
      <c r="H386" s="27"/>
      <c r="I386" s="27"/>
      <c r="J386" s="24"/>
      <c r="K386" s="24"/>
      <c r="L386" s="109"/>
    </row>
    <row r="387" spans="1:12" ht="15" thickBot="1" x14ac:dyDescent="0.4">
      <c r="A387" s="364" t="s">
        <v>139</v>
      </c>
      <c r="B387" s="365"/>
      <c r="C387" s="27"/>
      <c r="D387" s="22"/>
      <c r="E387" s="23"/>
      <c r="F387" s="24"/>
      <c r="G387" s="27"/>
      <c r="H387" s="27"/>
      <c r="I387" s="27"/>
      <c r="J387" s="24"/>
      <c r="K387" s="24"/>
      <c r="L387" s="109"/>
    </row>
    <row r="388" spans="1:12" ht="15" thickBot="1" x14ac:dyDescent="0.4">
      <c r="A388" s="364" t="s">
        <v>170</v>
      </c>
      <c r="B388" s="365"/>
      <c r="C388" s="27"/>
      <c r="D388" s="22"/>
      <c r="E388" s="23"/>
      <c r="F388" s="24"/>
      <c r="G388" s="27"/>
      <c r="H388" s="27"/>
      <c r="I388" s="27"/>
      <c r="J388" s="24"/>
      <c r="K388" s="24"/>
      <c r="L388" s="109"/>
    </row>
    <row r="389" spans="1:12" x14ac:dyDescent="0.35">
      <c r="A389" s="60">
        <v>1</v>
      </c>
      <c r="B389" s="45" t="s">
        <v>140</v>
      </c>
      <c r="C389" s="27">
        <v>12</v>
      </c>
      <c r="D389" s="22">
        <v>0.1</v>
      </c>
      <c r="E389" s="23">
        <f t="shared" ref="E389" si="181">C389*(1+D389)</f>
        <v>13.200000000000001</v>
      </c>
      <c r="F389" s="24" t="s">
        <v>17</v>
      </c>
      <c r="G389" s="57"/>
      <c r="H389" s="103">
        <f t="shared" ref="H389:H391" si="182">G389*E389</f>
        <v>0</v>
      </c>
      <c r="I389" s="104">
        <f t="shared" ref="I389:I391" si="183">L$4</f>
        <v>0</v>
      </c>
      <c r="J389" s="113">
        <v>1.3200000000000003</v>
      </c>
      <c r="K389" s="105">
        <f t="shared" ref="K389:K391" si="184">J389*I389</f>
        <v>0</v>
      </c>
      <c r="L389" s="106">
        <f t="shared" ref="L389:L391" si="185">K389+H389</f>
        <v>0</v>
      </c>
    </row>
    <row r="390" spans="1:12" x14ac:dyDescent="0.35">
      <c r="A390" s="60">
        <v>2</v>
      </c>
      <c r="B390" s="26" t="s">
        <v>103</v>
      </c>
      <c r="C390" s="27">
        <v>2</v>
      </c>
      <c r="D390" s="22">
        <v>0</v>
      </c>
      <c r="E390" s="23">
        <f t="shared" ref="E390" si="186">C390*(1+D390)</f>
        <v>2</v>
      </c>
      <c r="F390" s="24" t="s">
        <v>18</v>
      </c>
      <c r="G390" s="57"/>
      <c r="H390" s="103">
        <f t="shared" si="182"/>
        <v>0</v>
      </c>
      <c r="I390" s="104">
        <f t="shared" si="183"/>
        <v>0</v>
      </c>
      <c r="J390" s="113">
        <v>1</v>
      </c>
      <c r="K390" s="105">
        <f t="shared" si="184"/>
        <v>0</v>
      </c>
      <c r="L390" s="106">
        <f t="shared" si="185"/>
        <v>0</v>
      </c>
    </row>
    <row r="391" spans="1:12" x14ac:dyDescent="0.35">
      <c r="A391" s="60">
        <v>3</v>
      </c>
      <c r="B391" s="46" t="s">
        <v>127</v>
      </c>
      <c r="C391" s="27">
        <v>3</v>
      </c>
      <c r="D391" s="22">
        <v>0</v>
      </c>
      <c r="E391" s="23">
        <f t="shared" ref="E391" si="187">C391*(1+D391)</f>
        <v>3</v>
      </c>
      <c r="F391" s="24" t="s">
        <v>18</v>
      </c>
      <c r="G391" s="57"/>
      <c r="H391" s="103">
        <f t="shared" si="182"/>
        <v>0</v>
      </c>
      <c r="I391" s="104">
        <f t="shared" si="183"/>
        <v>0</v>
      </c>
      <c r="J391" s="113">
        <v>1.5</v>
      </c>
      <c r="K391" s="105">
        <f t="shared" si="184"/>
        <v>0</v>
      </c>
      <c r="L391" s="106">
        <f t="shared" si="185"/>
        <v>0</v>
      </c>
    </row>
    <row r="392" spans="1:12" x14ac:dyDescent="0.35">
      <c r="A392" s="362" t="s">
        <v>159</v>
      </c>
      <c r="B392" s="363"/>
      <c r="C392" s="27"/>
      <c r="D392" s="22"/>
      <c r="E392" s="23"/>
      <c r="F392" s="24"/>
      <c r="G392" s="27"/>
      <c r="H392" s="27"/>
      <c r="I392" s="27"/>
      <c r="J392" s="24"/>
      <c r="K392" s="24"/>
      <c r="L392" s="109"/>
    </row>
    <row r="393" spans="1:12" ht="15" thickBot="1" x14ac:dyDescent="0.4">
      <c r="A393" s="60"/>
      <c r="B393" s="28"/>
      <c r="C393" s="27"/>
      <c r="D393" s="22"/>
      <c r="E393" s="23"/>
      <c r="F393" s="24"/>
      <c r="G393" s="27"/>
      <c r="H393" s="27"/>
      <c r="I393" s="27"/>
      <c r="J393" s="24"/>
      <c r="K393" s="24"/>
      <c r="L393" s="109"/>
    </row>
    <row r="394" spans="1:12" ht="15" thickBot="1" x14ac:dyDescent="0.4">
      <c r="A394" s="364" t="s">
        <v>177</v>
      </c>
      <c r="B394" s="365"/>
      <c r="C394" s="27"/>
      <c r="D394" s="22"/>
      <c r="E394" s="23"/>
      <c r="F394" s="24"/>
      <c r="G394" s="27"/>
      <c r="H394" s="27"/>
      <c r="I394" s="27"/>
      <c r="J394" s="24"/>
      <c r="K394" s="24"/>
      <c r="L394" s="109"/>
    </row>
    <row r="395" spans="1:12" x14ac:dyDescent="0.35">
      <c r="A395" s="60">
        <v>1</v>
      </c>
      <c r="B395" s="32" t="s">
        <v>143</v>
      </c>
      <c r="C395" s="27">
        <v>2</v>
      </c>
      <c r="D395" s="22">
        <v>0.1</v>
      </c>
      <c r="E395" s="23">
        <f t="shared" ref="E395" si="188">C395*(1+D395)</f>
        <v>2.2000000000000002</v>
      </c>
      <c r="F395" s="24" t="s">
        <v>17</v>
      </c>
      <c r="G395" s="57"/>
      <c r="H395" s="103">
        <f t="shared" ref="H395:H399" si="189">G395*E395</f>
        <v>0</v>
      </c>
      <c r="I395" s="104">
        <f t="shared" ref="I395:I399" si="190">L$4</f>
        <v>0</v>
      </c>
      <c r="J395" s="113">
        <v>0.22000000000000003</v>
      </c>
      <c r="K395" s="105">
        <f t="shared" ref="K395:K399" si="191">J395*I395</f>
        <v>0</v>
      </c>
      <c r="L395" s="106">
        <f t="shared" ref="L395:L399" si="192">K395+H395</f>
        <v>0</v>
      </c>
    </row>
    <row r="396" spans="1:12" x14ac:dyDescent="0.35">
      <c r="A396" s="60">
        <v>2</v>
      </c>
      <c r="B396" s="32" t="s">
        <v>120</v>
      </c>
      <c r="C396" s="27">
        <v>3</v>
      </c>
      <c r="D396" s="22">
        <v>0.1</v>
      </c>
      <c r="E396" s="23">
        <f t="shared" ref="E396" si="193">C396*(1+D396)</f>
        <v>3.3000000000000003</v>
      </c>
      <c r="F396" s="24" t="s">
        <v>17</v>
      </c>
      <c r="G396" s="57"/>
      <c r="H396" s="103">
        <f t="shared" si="189"/>
        <v>0</v>
      </c>
      <c r="I396" s="104">
        <f t="shared" si="190"/>
        <v>0</v>
      </c>
      <c r="J396" s="113">
        <v>0.33000000000000007</v>
      </c>
      <c r="K396" s="105">
        <f t="shared" si="191"/>
        <v>0</v>
      </c>
      <c r="L396" s="106">
        <f t="shared" si="192"/>
        <v>0</v>
      </c>
    </row>
    <row r="397" spans="1:12" x14ac:dyDescent="0.35">
      <c r="A397" s="60">
        <v>3</v>
      </c>
      <c r="B397" s="46" t="s">
        <v>141</v>
      </c>
      <c r="C397" s="27">
        <v>2</v>
      </c>
      <c r="D397" s="22">
        <v>0</v>
      </c>
      <c r="E397" s="23">
        <f t="shared" ref="E397" si="194">C397*(1+D397)</f>
        <v>2</v>
      </c>
      <c r="F397" s="24" t="s">
        <v>18</v>
      </c>
      <c r="G397" s="57"/>
      <c r="H397" s="103">
        <f t="shared" si="189"/>
        <v>0</v>
      </c>
      <c r="I397" s="104">
        <f t="shared" si="190"/>
        <v>0</v>
      </c>
      <c r="J397" s="113">
        <v>1</v>
      </c>
      <c r="K397" s="105">
        <f t="shared" si="191"/>
        <v>0</v>
      </c>
      <c r="L397" s="106">
        <f t="shared" si="192"/>
        <v>0</v>
      </c>
    </row>
    <row r="398" spans="1:12" x14ac:dyDescent="0.35">
      <c r="A398" s="60">
        <v>4</v>
      </c>
      <c r="B398" s="26" t="s">
        <v>142</v>
      </c>
      <c r="C398" s="27">
        <v>1</v>
      </c>
      <c r="D398" s="22">
        <v>0</v>
      </c>
      <c r="E398" s="23">
        <f t="shared" ref="E398:E399" si="195">C398*(1+D398)</f>
        <v>1</v>
      </c>
      <c r="F398" s="24" t="s">
        <v>18</v>
      </c>
      <c r="G398" s="57"/>
      <c r="H398" s="103">
        <f t="shared" si="189"/>
        <v>0</v>
      </c>
      <c r="I398" s="104">
        <f t="shared" si="190"/>
        <v>0</v>
      </c>
      <c r="J398" s="113">
        <v>0.5</v>
      </c>
      <c r="K398" s="105">
        <f t="shared" si="191"/>
        <v>0</v>
      </c>
      <c r="L398" s="106">
        <f t="shared" si="192"/>
        <v>0</v>
      </c>
    </row>
    <row r="399" spans="1:12" x14ac:dyDescent="0.35">
      <c r="A399" s="60">
        <v>5</v>
      </c>
      <c r="B399" s="45" t="s">
        <v>65</v>
      </c>
      <c r="C399" s="27">
        <v>3</v>
      </c>
      <c r="D399" s="22">
        <v>0</v>
      </c>
      <c r="E399" s="23">
        <f t="shared" si="195"/>
        <v>3</v>
      </c>
      <c r="F399" s="24" t="s">
        <v>18</v>
      </c>
      <c r="G399" s="57"/>
      <c r="H399" s="103">
        <f t="shared" si="189"/>
        <v>0</v>
      </c>
      <c r="I399" s="104">
        <f t="shared" si="190"/>
        <v>0</v>
      </c>
      <c r="J399" s="113">
        <v>1.5</v>
      </c>
      <c r="K399" s="105">
        <f t="shared" si="191"/>
        <v>0</v>
      </c>
      <c r="L399" s="106">
        <f t="shared" si="192"/>
        <v>0</v>
      </c>
    </row>
    <row r="400" spans="1:12" x14ac:dyDescent="0.35">
      <c r="A400" s="362" t="s">
        <v>159</v>
      </c>
      <c r="B400" s="363"/>
      <c r="C400" s="27"/>
      <c r="D400" s="22"/>
      <c r="E400" s="23"/>
      <c r="F400" s="24"/>
      <c r="G400" s="27"/>
      <c r="H400" s="27"/>
      <c r="I400" s="27"/>
      <c r="J400" s="24"/>
      <c r="K400" s="24"/>
      <c r="L400" s="109"/>
    </row>
    <row r="401" spans="1:12" ht="15" thickBot="1" x14ac:dyDescent="0.4">
      <c r="A401" s="60"/>
      <c r="B401" s="28"/>
      <c r="C401" s="27"/>
      <c r="D401" s="22"/>
      <c r="E401" s="23"/>
      <c r="F401" s="24"/>
      <c r="G401" s="27"/>
      <c r="H401" s="27"/>
      <c r="I401" s="27"/>
      <c r="J401" s="24"/>
      <c r="K401" s="24"/>
      <c r="L401" s="109"/>
    </row>
    <row r="402" spans="1:12" ht="15" thickBot="1" x14ac:dyDescent="0.4">
      <c r="A402" s="364" t="s">
        <v>183</v>
      </c>
      <c r="B402" s="365"/>
      <c r="C402" s="27"/>
      <c r="D402" s="22"/>
      <c r="E402" s="23"/>
      <c r="F402" s="24"/>
      <c r="G402" s="27"/>
      <c r="H402" s="27"/>
      <c r="I402" s="27"/>
      <c r="J402" s="24"/>
      <c r="K402" s="24"/>
      <c r="L402" s="109"/>
    </row>
    <row r="403" spans="1:12" x14ac:dyDescent="0.35">
      <c r="A403" s="60">
        <v>1</v>
      </c>
      <c r="B403" s="40" t="s">
        <v>113</v>
      </c>
      <c r="C403" s="27">
        <v>24</v>
      </c>
      <c r="D403" s="22">
        <v>0.1</v>
      </c>
      <c r="E403" s="23">
        <f>C403*(1+D403)</f>
        <v>26.400000000000002</v>
      </c>
      <c r="F403" s="24" t="s">
        <v>17</v>
      </c>
      <c r="G403" s="57"/>
      <c r="H403" s="103">
        <f t="shared" ref="H403:H415" si="196">G403*E403</f>
        <v>0</v>
      </c>
      <c r="I403" s="104">
        <f t="shared" ref="I403:I415" si="197">L$4</f>
        <v>0</v>
      </c>
      <c r="J403" s="113">
        <v>2.6400000000000006</v>
      </c>
      <c r="K403" s="105">
        <f t="shared" ref="K403:K415" si="198">J403*I403</f>
        <v>0</v>
      </c>
      <c r="L403" s="106">
        <f t="shared" ref="L403:L415" si="199">K403+H403</f>
        <v>0</v>
      </c>
    </row>
    <row r="404" spans="1:12" x14ac:dyDescent="0.35">
      <c r="A404" s="60">
        <v>2</v>
      </c>
      <c r="B404" s="32" t="s">
        <v>93</v>
      </c>
      <c r="C404" s="27">
        <v>18</v>
      </c>
      <c r="D404" s="22">
        <v>0.1</v>
      </c>
      <c r="E404" s="23">
        <f t="shared" ref="E404:E406" si="200">C404*(1+D404)</f>
        <v>19.8</v>
      </c>
      <c r="F404" s="24" t="s">
        <v>17</v>
      </c>
      <c r="G404" s="57"/>
      <c r="H404" s="103">
        <f t="shared" si="196"/>
        <v>0</v>
      </c>
      <c r="I404" s="104">
        <f t="shared" si="197"/>
        <v>0</v>
      </c>
      <c r="J404" s="113">
        <v>1.9800000000000002</v>
      </c>
      <c r="K404" s="105">
        <f t="shared" si="198"/>
        <v>0</v>
      </c>
      <c r="L404" s="106">
        <f t="shared" si="199"/>
        <v>0</v>
      </c>
    </row>
    <row r="405" spans="1:12" x14ac:dyDescent="0.35">
      <c r="A405" s="60">
        <v>3</v>
      </c>
      <c r="B405" s="33" t="s">
        <v>147</v>
      </c>
      <c r="C405" s="27">
        <v>34</v>
      </c>
      <c r="D405" s="22">
        <v>0.1</v>
      </c>
      <c r="E405" s="23">
        <f t="shared" si="200"/>
        <v>37.400000000000006</v>
      </c>
      <c r="F405" s="24" t="s">
        <v>17</v>
      </c>
      <c r="G405" s="57"/>
      <c r="H405" s="103">
        <f t="shared" si="196"/>
        <v>0</v>
      </c>
      <c r="I405" s="104">
        <f t="shared" si="197"/>
        <v>0</v>
      </c>
      <c r="J405" s="113">
        <v>3.7400000000000007</v>
      </c>
      <c r="K405" s="105">
        <f t="shared" si="198"/>
        <v>0</v>
      </c>
      <c r="L405" s="106">
        <f t="shared" si="199"/>
        <v>0</v>
      </c>
    </row>
    <row r="406" spans="1:12" x14ac:dyDescent="0.35">
      <c r="A406" s="60">
        <v>4</v>
      </c>
      <c r="B406" s="32" t="s">
        <v>96</v>
      </c>
      <c r="C406" s="27">
        <v>45</v>
      </c>
      <c r="D406" s="22">
        <v>0.1</v>
      </c>
      <c r="E406" s="23">
        <f t="shared" si="200"/>
        <v>49.500000000000007</v>
      </c>
      <c r="F406" s="24" t="s">
        <v>17</v>
      </c>
      <c r="G406" s="57"/>
      <c r="H406" s="103">
        <f t="shared" si="196"/>
        <v>0</v>
      </c>
      <c r="I406" s="104">
        <f t="shared" si="197"/>
        <v>0</v>
      </c>
      <c r="J406" s="113">
        <v>4.9500000000000011</v>
      </c>
      <c r="K406" s="105">
        <f t="shared" si="198"/>
        <v>0</v>
      </c>
      <c r="L406" s="106">
        <f t="shared" si="199"/>
        <v>0</v>
      </c>
    </row>
    <row r="407" spans="1:12" x14ac:dyDescent="0.35">
      <c r="A407" s="60">
        <v>5</v>
      </c>
      <c r="B407" s="26" t="s">
        <v>46</v>
      </c>
      <c r="C407" s="27">
        <v>3</v>
      </c>
      <c r="D407" s="22">
        <v>0</v>
      </c>
      <c r="E407" s="23">
        <f t="shared" ref="E407" si="201">C407*(1+D407)</f>
        <v>3</v>
      </c>
      <c r="F407" s="24" t="s">
        <v>18</v>
      </c>
      <c r="G407" s="57"/>
      <c r="H407" s="103">
        <f t="shared" si="196"/>
        <v>0</v>
      </c>
      <c r="I407" s="104">
        <f t="shared" si="197"/>
        <v>0</v>
      </c>
      <c r="J407" s="113">
        <v>1.5</v>
      </c>
      <c r="K407" s="105">
        <f t="shared" si="198"/>
        <v>0</v>
      </c>
      <c r="L407" s="106">
        <f t="shared" si="199"/>
        <v>0</v>
      </c>
    </row>
    <row r="408" spans="1:12" x14ac:dyDescent="0.35">
      <c r="A408" s="60">
        <v>6</v>
      </c>
      <c r="B408" s="34" t="s">
        <v>47</v>
      </c>
      <c r="C408" s="27">
        <v>3</v>
      </c>
      <c r="D408" s="22">
        <v>0</v>
      </c>
      <c r="E408" s="23">
        <f t="shared" ref="E408:E415" si="202">C408*(1+D408)</f>
        <v>3</v>
      </c>
      <c r="F408" s="24" t="s">
        <v>18</v>
      </c>
      <c r="G408" s="57"/>
      <c r="H408" s="103">
        <f t="shared" si="196"/>
        <v>0</v>
      </c>
      <c r="I408" s="104">
        <f t="shared" si="197"/>
        <v>0</v>
      </c>
      <c r="J408" s="113">
        <v>1.5</v>
      </c>
      <c r="K408" s="105">
        <f t="shared" si="198"/>
        <v>0</v>
      </c>
      <c r="L408" s="106">
        <f t="shared" si="199"/>
        <v>0</v>
      </c>
    </row>
    <row r="409" spans="1:12" x14ac:dyDescent="0.35">
      <c r="A409" s="60">
        <v>7</v>
      </c>
      <c r="B409" s="34" t="s">
        <v>146</v>
      </c>
      <c r="C409" s="27">
        <v>1</v>
      </c>
      <c r="D409" s="22">
        <v>0</v>
      </c>
      <c r="E409" s="23">
        <f t="shared" si="202"/>
        <v>1</v>
      </c>
      <c r="F409" s="24" t="s">
        <v>18</v>
      </c>
      <c r="G409" s="57"/>
      <c r="H409" s="103">
        <f t="shared" si="196"/>
        <v>0</v>
      </c>
      <c r="I409" s="104">
        <f t="shared" si="197"/>
        <v>0</v>
      </c>
      <c r="J409" s="113">
        <v>0.5</v>
      </c>
      <c r="K409" s="105">
        <f t="shared" si="198"/>
        <v>0</v>
      </c>
      <c r="L409" s="106">
        <f t="shared" si="199"/>
        <v>0</v>
      </c>
    </row>
    <row r="410" spans="1:12" x14ac:dyDescent="0.35">
      <c r="A410" s="60">
        <v>8</v>
      </c>
      <c r="B410" s="34" t="s">
        <v>144</v>
      </c>
      <c r="C410" s="27">
        <v>1</v>
      </c>
      <c r="D410" s="22">
        <v>0</v>
      </c>
      <c r="E410" s="23">
        <f t="shared" si="202"/>
        <v>1</v>
      </c>
      <c r="F410" s="24" t="s">
        <v>18</v>
      </c>
      <c r="G410" s="57"/>
      <c r="H410" s="103">
        <f t="shared" si="196"/>
        <v>0</v>
      </c>
      <c r="I410" s="104">
        <f t="shared" si="197"/>
        <v>0</v>
      </c>
      <c r="J410" s="113">
        <v>0.5</v>
      </c>
      <c r="K410" s="105">
        <f t="shared" si="198"/>
        <v>0</v>
      </c>
      <c r="L410" s="106">
        <f t="shared" si="199"/>
        <v>0</v>
      </c>
    </row>
    <row r="411" spans="1:12" x14ac:dyDescent="0.35">
      <c r="A411" s="60">
        <v>9</v>
      </c>
      <c r="B411" s="26" t="s">
        <v>104</v>
      </c>
      <c r="C411" s="27">
        <v>1</v>
      </c>
      <c r="D411" s="22">
        <v>0</v>
      </c>
      <c r="E411" s="23">
        <f t="shared" si="202"/>
        <v>1</v>
      </c>
      <c r="F411" s="24" t="s">
        <v>18</v>
      </c>
      <c r="G411" s="57"/>
      <c r="H411" s="103">
        <f t="shared" si="196"/>
        <v>0</v>
      </c>
      <c r="I411" s="104">
        <f t="shared" si="197"/>
        <v>0</v>
      </c>
      <c r="J411" s="113">
        <v>0.5</v>
      </c>
      <c r="K411" s="105">
        <f t="shared" si="198"/>
        <v>0</v>
      </c>
      <c r="L411" s="106">
        <f t="shared" si="199"/>
        <v>0</v>
      </c>
    </row>
    <row r="412" spans="1:12" x14ac:dyDescent="0.35">
      <c r="A412" s="60">
        <v>10</v>
      </c>
      <c r="B412" s="45" t="s">
        <v>76</v>
      </c>
      <c r="C412" s="27">
        <v>3</v>
      </c>
      <c r="D412" s="22">
        <v>0</v>
      </c>
      <c r="E412" s="23">
        <f t="shared" si="202"/>
        <v>3</v>
      </c>
      <c r="F412" s="24" t="s">
        <v>18</v>
      </c>
      <c r="G412" s="57"/>
      <c r="H412" s="103">
        <f t="shared" si="196"/>
        <v>0</v>
      </c>
      <c r="I412" s="104">
        <f t="shared" si="197"/>
        <v>0</v>
      </c>
      <c r="J412" s="113">
        <v>1.5</v>
      </c>
      <c r="K412" s="105">
        <f t="shared" si="198"/>
        <v>0</v>
      </c>
      <c r="L412" s="106">
        <f t="shared" si="199"/>
        <v>0</v>
      </c>
    </row>
    <row r="413" spans="1:12" x14ac:dyDescent="0.35">
      <c r="A413" s="60">
        <v>11</v>
      </c>
      <c r="B413" s="45" t="s">
        <v>77</v>
      </c>
      <c r="C413" s="27">
        <v>7</v>
      </c>
      <c r="D413" s="22">
        <v>0</v>
      </c>
      <c r="E413" s="23">
        <f t="shared" si="202"/>
        <v>7</v>
      </c>
      <c r="F413" s="24" t="s">
        <v>18</v>
      </c>
      <c r="G413" s="57"/>
      <c r="H413" s="103">
        <f t="shared" si="196"/>
        <v>0</v>
      </c>
      <c r="I413" s="104">
        <f t="shared" si="197"/>
        <v>0</v>
      </c>
      <c r="J413" s="113">
        <v>3.5</v>
      </c>
      <c r="K413" s="105">
        <f t="shared" si="198"/>
        <v>0</v>
      </c>
      <c r="L413" s="106">
        <f t="shared" si="199"/>
        <v>0</v>
      </c>
    </row>
    <row r="414" spans="1:12" x14ac:dyDescent="0.35">
      <c r="A414" s="60">
        <v>12</v>
      </c>
      <c r="B414" s="45" t="s">
        <v>145</v>
      </c>
      <c r="C414" s="27">
        <v>1</v>
      </c>
      <c r="D414" s="22">
        <v>0</v>
      </c>
      <c r="E414" s="23">
        <f t="shared" si="202"/>
        <v>1</v>
      </c>
      <c r="F414" s="24" t="s">
        <v>18</v>
      </c>
      <c r="G414" s="57"/>
      <c r="H414" s="103">
        <f t="shared" si="196"/>
        <v>0</v>
      </c>
      <c r="I414" s="104">
        <f t="shared" si="197"/>
        <v>0</v>
      </c>
      <c r="J414" s="113">
        <v>0.5</v>
      </c>
      <c r="K414" s="105">
        <f t="shared" si="198"/>
        <v>0</v>
      </c>
      <c r="L414" s="106">
        <f t="shared" si="199"/>
        <v>0</v>
      </c>
    </row>
    <row r="415" spans="1:12" x14ac:dyDescent="0.35">
      <c r="A415" s="60">
        <v>13</v>
      </c>
      <c r="B415" s="45" t="s">
        <v>83</v>
      </c>
      <c r="C415" s="27">
        <v>1</v>
      </c>
      <c r="D415" s="22">
        <v>0</v>
      </c>
      <c r="E415" s="23">
        <f t="shared" si="202"/>
        <v>1</v>
      </c>
      <c r="F415" s="24" t="s">
        <v>18</v>
      </c>
      <c r="G415" s="57"/>
      <c r="H415" s="103">
        <f t="shared" si="196"/>
        <v>0</v>
      </c>
      <c r="I415" s="104">
        <f t="shared" si="197"/>
        <v>0</v>
      </c>
      <c r="J415" s="113">
        <v>0.5</v>
      </c>
      <c r="K415" s="105">
        <f t="shared" si="198"/>
        <v>0</v>
      </c>
      <c r="L415" s="106">
        <f t="shared" si="199"/>
        <v>0</v>
      </c>
    </row>
    <row r="416" spans="1:12" x14ac:dyDescent="0.35">
      <c r="A416" s="362" t="s">
        <v>160</v>
      </c>
      <c r="B416" s="363"/>
      <c r="C416" s="27"/>
      <c r="D416" s="22"/>
      <c r="E416" s="23"/>
      <c r="F416" s="24"/>
      <c r="G416" s="27"/>
      <c r="H416" s="27"/>
      <c r="I416" s="27"/>
      <c r="J416" s="24"/>
      <c r="K416" s="24"/>
      <c r="L416" s="109"/>
    </row>
    <row r="417" spans="1:12" ht="15" thickBot="1" x14ac:dyDescent="0.4">
      <c r="A417" s="71"/>
      <c r="B417" s="8"/>
      <c r="C417" s="27"/>
      <c r="D417" s="22"/>
      <c r="E417" s="23"/>
      <c r="F417" s="24"/>
      <c r="G417" s="27"/>
      <c r="H417" s="27"/>
      <c r="I417" s="27"/>
      <c r="J417" s="24"/>
      <c r="K417" s="24"/>
      <c r="L417" s="109"/>
    </row>
    <row r="418" spans="1:12" ht="15" thickBot="1" x14ac:dyDescent="0.4">
      <c r="A418" s="364" t="s">
        <v>239</v>
      </c>
      <c r="B418" s="365"/>
      <c r="C418" s="27"/>
      <c r="D418" s="22"/>
      <c r="E418" s="23"/>
      <c r="F418" s="24"/>
      <c r="G418" s="27"/>
      <c r="H418" s="27"/>
      <c r="I418" s="27"/>
      <c r="J418" s="24"/>
      <c r="K418" s="24"/>
      <c r="L418" s="109"/>
    </row>
    <row r="419" spans="1:12" ht="15" thickBot="1" x14ac:dyDescent="0.4">
      <c r="A419" s="364" t="s">
        <v>170</v>
      </c>
      <c r="B419" s="365"/>
      <c r="C419" s="27"/>
      <c r="D419" s="22"/>
      <c r="E419" s="23"/>
      <c r="F419" s="24"/>
      <c r="G419" s="27"/>
      <c r="H419" s="27"/>
      <c r="I419" s="27"/>
      <c r="J419" s="24"/>
      <c r="K419" s="24"/>
      <c r="L419" s="109"/>
    </row>
    <row r="420" spans="1:12" x14ac:dyDescent="0.35">
      <c r="A420" s="60">
        <v>1</v>
      </c>
      <c r="B420" s="32" t="s">
        <v>114</v>
      </c>
      <c r="C420" s="27">
        <v>14</v>
      </c>
      <c r="D420" s="22">
        <v>0.1</v>
      </c>
      <c r="E420" s="23">
        <f>C420*(1+D420)</f>
        <v>15.400000000000002</v>
      </c>
      <c r="F420" s="24" t="s">
        <v>17</v>
      </c>
      <c r="G420" s="57"/>
      <c r="H420" s="103">
        <f t="shared" ref="H420:H426" si="203">G420*E420</f>
        <v>0</v>
      </c>
      <c r="I420" s="104">
        <f t="shared" ref="I420:I426" si="204">L$4</f>
        <v>0</v>
      </c>
      <c r="J420" s="113">
        <v>1.5400000000000003</v>
      </c>
      <c r="K420" s="105">
        <f t="shared" ref="K420:K426" si="205">J420*I420</f>
        <v>0</v>
      </c>
      <c r="L420" s="106">
        <f t="shared" ref="L420:L426" si="206">K420+H420</f>
        <v>0</v>
      </c>
    </row>
    <row r="421" spans="1:12" x14ac:dyDescent="0.35">
      <c r="A421" s="60">
        <v>2</v>
      </c>
      <c r="B421" s="32" t="s">
        <v>100</v>
      </c>
      <c r="C421" s="27">
        <v>12</v>
      </c>
      <c r="D421" s="22">
        <v>0.1</v>
      </c>
      <c r="E421" s="23">
        <f t="shared" ref="E421" si="207">C421*(1+D421)</f>
        <v>13.200000000000001</v>
      </c>
      <c r="F421" s="24" t="s">
        <v>17</v>
      </c>
      <c r="G421" s="57"/>
      <c r="H421" s="103">
        <f t="shared" si="203"/>
        <v>0</v>
      </c>
      <c r="I421" s="104">
        <f t="shared" si="204"/>
        <v>0</v>
      </c>
      <c r="J421" s="113">
        <v>1.3200000000000003</v>
      </c>
      <c r="K421" s="105">
        <f t="shared" si="205"/>
        <v>0</v>
      </c>
      <c r="L421" s="106">
        <f t="shared" si="206"/>
        <v>0</v>
      </c>
    </row>
    <row r="422" spans="1:12" x14ac:dyDescent="0.35">
      <c r="A422" s="60">
        <v>3</v>
      </c>
      <c r="B422" s="46" t="s">
        <v>78</v>
      </c>
      <c r="C422" s="27">
        <v>1</v>
      </c>
      <c r="D422" s="22">
        <v>0</v>
      </c>
      <c r="E422" s="23">
        <f t="shared" ref="E422" si="208">C422*(1+D422)</f>
        <v>1</v>
      </c>
      <c r="F422" s="24" t="s">
        <v>18</v>
      </c>
      <c r="G422" s="57"/>
      <c r="H422" s="103">
        <f t="shared" si="203"/>
        <v>0</v>
      </c>
      <c r="I422" s="104">
        <f t="shared" si="204"/>
        <v>0</v>
      </c>
      <c r="J422" s="113">
        <v>0.5</v>
      </c>
      <c r="K422" s="105">
        <f t="shared" si="205"/>
        <v>0</v>
      </c>
      <c r="L422" s="106">
        <f t="shared" si="206"/>
        <v>0</v>
      </c>
    </row>
    <row r="423" spans="1:12" x14ac:dyDescent="0.35">
      <c r="A423" s="60">
        <v>4</v>
      </c>
      <c r="B423" s="26" t="s">
        <v>42</v>
      </c>
      <c r="C423" s="27">
        <v>2</v>
      </c>
      <c r="D423" s="22">
        <v>0</v>
      </c>
      <c r="E423" s="23">
        <f t="shared" ref="E423:E426" si="209">C423*(1+D423)</f>
        <v>2</v>
      </c>
      <c r="F423" s="24" t="s">
        <v>18</v>
      </c>
      <c r="G423" s="57"/>
      <c r="H423" s="103">
        <f t="shared" si="203"/>
        <v>0</v>
      </c>
      <c r="I423" s="104">
        <f t="shared" si="204"/>
        <v>0</v>
      </c>
      <c r="J423" s="113">
        <v>1</v>
      </c>
      <c r="K423" s="105">
        <f t="shared" si="205"/>
        <v>0</v>
      </c>
      <c r="L423" s="106">
        <f t="shared" si="206"/>
        <v>0</v>
      </c>
    </row>
    <row r="424" spans="1:12" x14ac:dyDescent="0.35">
      <c r="A424" s="60">
        <v>5</v>
      </c>
      <c r="B424" s="45" t="s">
        <v>79</v>
      </c>
      <c r="C424" s="27">
        <v>1</v>
      </c>
      <c r="D424" s="22">
        <v>0</v>
      </c>
      <c r="E424" s="23">
        <f t="shared" si="209"/>
        <v>1</v>
      </c>
      <c r="F424" s="24" t="s">
        <v>18</v>
      </c>
      <c r="G424" s="57"/>
      <c r="H424" s="103">
        <f t="shared" si="203"/>
        <v>0</v>
      </c>
      <c r="I424" s="104">
        <f t="shared" si="204"/>
        <v>0</v>
      </c>
      <c r="J424" s="113">
        <v>0.5</v>
      </c>
      <c r="K424" s="105">
        <f t="shared" si="205"/>
        <v>0</v>
      </c>
      <c r="L424" s="106">
        <f t="shared" si="206"/>
        <v>0</v>
      </c>
    </row>
    <row r="425" spans="1:12" x14ac:dyDescent="0.35">
      <c r="A425" s="60">
        <v>6</v>
      </c>
      <c r="B425" s="46" t="s">
        <v>63</v>
      </c>
      <c r="C425" s="27">
        <v>1</v>
      </c>
      <c r="D425" s="22">
        <v>0</v>
      </c>
      <c r="E425" s="23">
        <f t="shared" si="209"/>
        <v>1</v>
      </c>
      <c r="F425" s="24" t="s">
        <v>18</v>
      </c>
      <c r="G425" s="57"/>
      <c r="H425" s="103">
        <f t="shared" si="203"/>
        <v>0</v>
      </c>
      <c r="I425" s="104">
        <f t="shared" si="204"/>
        <v>0</v>
      </c>
      <c r="J425" s="113">
        <v>0.5</v>
      </c>
      <c r="K425" s="105">
        <f t="shared" si="205"/>
        <v>0</v>
      </c>
      <c r="L425" s="106">
        <f t="shared" si="206"/>
        <v>0</v>
      </c>
    </row>
    <row r="426" spans="1:12" x14ac:dyDescent="0.35">
      <c r="A426" s="60">
        <v>7</v>
      </c>
      <c r="B426" s="26" t="s">
        <v>43</v>
      </c>
      <c r="C426" s="27">
        <v>2</v>
      </c>
      <c r="D426" s="22">
        <v>0</v>
      </c>
      <c r="E426" s="23">
        <f t="shared" si="209"/>
        <v>2</v>
      </c>
      <c r="F426" s="24" t="s">
        <v>18</v>
      </c>
      <c r="G426" s="57"/>
      <c r="H426" s="103">
        <f t="shared" si="203"/>
        <v>0</v>
      </c>
      <c r="I426" s="104">
        <f t="shared" si="204"/>
        <v>0</v>
      </c>
      <c r="J426" s="113">
        <v>1</v>
      </c>
      <c r="K426" s="105">
        <f t="shared" si="205"/>
        <v>0</v>
      </c>
      <c r="L426" s="106">
        <f t="shared" si="206"/>
        <v>0</v>
      </c>
    </row>
    <row r="427" spans="1:12" x14ac:dyDescent="0.35">
      <c r="A427" s="362" t="s">
        <v>159</v>
      </c>
      <c r="B427" s="363"/>
      <c r="C427" s="27"/>
      <c r="D427" s="22"/>
      <c r="E427" s="23"/>
      <c r="F427" s="24"/>
      <c r="G427" s="27"/>
      <c r="H427" s="27"/>
      <c r="I427" s="27"/>
      <c r="J427" s="24"/>
      <c r="K427" s="24"/>
      <c r="L427" s="109"/>
    </row>
    <row r="428" spans="1:12" ht="15" thickBot="1" x14ac:dyDescent="0.4">
      <c r="A428" s="60"/>
      <c r="B428" s="28"/>
      <c r="C428" s="27"/>
      <c r="D428" s="22"/>
      <c r="E428" s="23"/>
      <c r="F428" s="24"/>
      <c r="G428" s="27"/>
      <c r="H428" s="27"/>
      <c r="I428" s="27"/>
      <c r="J428" s="24"/>
      <c r="K428" s="24"/>
      <c r="L428" s="109"/>
    </row>
    <row r="429" spans="1:12" ht="15" thickBot="1" x14ac:dyDescent="0.4">
      <c r="A429" s="364" t="s">
        <v>182</v>
      </c>
      <c r="B429" s="365"/>
      <c r="C429" s="27"/>
      <c r="D429" s="22"/>
      <c r="E429" s="23"/>
      <c r="F429" s="24"/>
      <c r="G429" s="27"/>
      <c r="H429" s="27"/>
      <c r="I429" s="27"/>
      <c r="J429" s="24"/>
      <c r="K429" s="24"/>
      <c r="L429" s="109"/>
    </row>
    <row r="430" spans="1:12" x14ac:dyDescent="0.35">
      <c r="A430" s="60">
        <v>1</v>
      </c>
      <c r="B430" s="32" t="s">
        <v>96</v>
      </c>
      <c r="C430" s="27">
        <v>49</v>
      </c>
      <c r="D430" s="22">
        <v>0.1</v>
      </c>
      <c r="E430" s="23">
        <f>C430*(1+D430)</f>
        <v>53.900000000000006</v>
      </c>
      <c r="F430" s="24" t="s">
        <v>17</v>
      </c>
      <c r="G430" s="57"/>
      <c r="H430" s="103">
        <f t="shared" ref="H430:H431" si="210">G430*E430</f>
        <v>0</v>
      </c>
      <c r="I430" s="104">
        <f t="shared" ref="I430:I431" si="211">L$4</f>
        <v>0</v>
      </c>
      <c r="J430" s="113">
        <v>5.3900000000000006</v>
      </c>
      <c r="K430" s="105">
        <f t="shared" ref="K430:K431" si="212">J430*I430</f>
        <v>0</v>
      </c>
      <c r="L430" s="106">
        <f t="shared" ref="L430:L431" si="213">K430+H430</f>
        <v>0</v>
      </c>
    </row>
    <row r="431" spans="1:12" x14ac:dyDescent="0.35">
      <c r="A431" s="60">
        <v>2</v>
      </c>
      <c r="B431" s="26" t="s">
        <v>46</v>
      </c>
      <c r="C431" s="27">
        <v>4</v>
      </c>
      <c r="D431" s="22">
        <v>0</v>
      </c>
      <c r="E431" s="23">
        <f t="shared" ref="E431" si="214">C431*(1+D431)</f>
        <v>4</v>
      </c>
      <c r="F431" s="24" t="s">
        <v>18</v>
      </c>
      <c r="G431" s="57"/>
      <c r="H431" s="103">
        <f t="shared" si="210"/>
        <v>0</v>
      </c>
      <c r="I431" s="104">
        <f t="shared" si="211"/>
        <v>0</v>
      </c>
      <c r="J431" s="24"/>
      <c r="K431" s="105">
        <f t="shared" si="212"/>
        <v>0</v>
      </c>
      <c r="L431" s="106">
        <f t="shared" si="213"/>
        <v>0</v>
      </c>
    </row>
    <row r="432" spans="1:12" x14ac:dyDescent="0.35">
      <c r="A432" s="362" t="s">
        <v>90</v>
      </c>
      <c r="B432" s="363"/>
      <c r="C432" s="27"/>
      <c r="D432" s="22"/>
      <c r="E432" s="23"/>
      <c r="F432" s="24"/>
      <c r="G432" s="27"/>
      <c r="H432" s="27"/>
      <c r="I432" s="27"/>
      <c r="J432" s="24"/>
      <c r="K432" s="24"/>
      <c r="L432" s="109"/>
    </row>
    <row r="433" spans="1:12" ht="15" thickBot="1" x14ac:dyDescent="0.4">
      <c r="A433" s="71"/>
      <c r="B433" s="8"/>
      <c r="C433" s="27"/>
      <c r="D433" s="22"/>
      <c r="E433" s="23"/>
      <c r="F433" s="24"/>
      <c r="G433" s="27"/>
      <c r="H433" s="27"/>
      <c r="I433" s="27"/>
      <c r="J433" s="24"/>
      <c r="K433" s="24"/>
      <c r="L433" s="109"/>
    </row>
    <row r="434" spans="1:12" ht="15" thickBot="1" x14ac:dyDescent="0.4">
      <c r="A434" s="364" t="s">
        <v>177</v>
      </c>
      <c r="B434" s="365"/>
      <c r="C434" s="27"/>
      <c r="D434" s="22"/>
      <c r="E434" s="23"/>
      <c r="F434" s="24"/>
      <c r="G434" s="27"/>
      <c r="H434" s="27"/>
      <c r="I434" s="27"/>
      <c r="J434" s="24"/>
      <c r="K434" s="24"/>
      <c r="L434" s="109"/>
    </row>
    <row r="435" spans="1:12" x14ac:dyDescent="0.35">
      <c r="A435" s="60">
        <v>1</v>
      </c>
      <c r="B435" s="32" t="s">
        <v>114</v>
      </c>
      <c r="C435" s="27">
        <v>26</v>
      </c>
      <c r="D435" s="22">
        <v>0.1</v>
      </c>
      <c r="E435" s="23">
        <f t="shared" ref="E435" si="215">C435*(1+D435)</f>
        <v>28.6</v>
      </c>
      <c r="F435" s="24" t="s">
        <v>17</v>
      </c>
      <c r="G435" s="57"/>
      <c r="H435" s="103">
        <f t="shared" ref="H435:H437" si="216">G435*E435</f>
        <v>0</v>
      </c>
      <c r="I435" s="104">
        <f t="shared" ref="I435:I437" si="217">L$4</f>
        <v>0</v>
      </c>
      <c r="J435" s="113">
        <v>2.8600000000000003</v>
      </c>
      <c r="K435" s="105">
        <f t="shared" ref="K435:K437" si="218">J435*I435</f>
        <v>0</v>
      </c>
      <c r="L435" s="106">
        <f t="shared" ref="L435:L437" si="219">K435+H435</f>
        <v>0</v>
      </c>
    </row>
    <row r="436" spans="1:12" x14ac:dyDescent="0.35">
      <c r="A436" s="60">
        <v>2</v>
      </c>
      <c r="B436" s="46" t="s">
        <v>62</v>
      </c>
      <c r="C436" s="27">
        <v>3</v>
      </c>
      <c r="D436" s="22">
        <v>0</v>
      </c>
      <c r="E436" s="23">
        <f t="shared" ref="E436" si="220">C436*(1+D436)</f>
        <v>3</v>
      </c>
      <c r="F436" s="24" t="s">
        <v>18</v>
      </c>
      <c r="G436" s="57"/>
      <c r="H436" s="103">
        <f t="shared" si="216"/>
        <v>0</v>
      </c>
      <c r="I436" s="104">
        <f t="shared" si="217"/>
        <v>0</v>
      </c>
      <c r="J436" s="113">
        <v>1.5</v>
      </c>
      <c r="K436" s="105">
        <f t="shared" si="218"/>
        <v>0</v>
      </c>
      <c r="L436" s="106">
        <f t="shared" si="219"/>
        <v>0</v>
      </c>
    </row>
    <row r="437" spans="1:12" x14ac:dyDescent="0.35">
      <c r="A437" s="60">
        <v>3</v>
      </c>
      <c r="B437" s="26" t="s">
        <v>43</v>
      </c>
      <c r="C437" s="27">
        <v>1</v>
      </c>
      <c r="D437" s="22">
        <v>0</v>
      </c>
      <c r="E437" s="23">
        <f t="shared" ref="E437" si="221">C437*(1+D437)</f>
        <v>1</v>
      </c>
      <c r="F437" s="24" t="s">
        <v>18</v>
      </c>
      <c r="G437" s="57"/>
      <c r="H437" s="103">
        <f t="shared" si="216"/>
        <v>0</v>
      </c>
      <c r="I437" s="104">
        <f t="shared" si="217"/>
        <v>0</v>
      </c>
      <c r="J437" s="113">
        <v>0.5</v>
      </c>
      <c r="K437" s="105">
        <f t="shared" si="218"/>
        <v>0</v>
      </c>
      <c r="L437" s="106">
        <f t="shared" si="219"/>
        <v>0</v>
      </c>
    </row>
    <row r="438" spans="1:12" x14ac:dyDescent="0.35">
      <c r="A438" s="362" t="s">
        <v>159</v>
      </c>
      <c r="B438" s="363"/>
      <c r="C438" s="27"/>
      <c r="D438" s="22"/>
      <c r="E438" s="23"/>
      <c r="F438" s="24"/>
      <c r="G438" s="27"/>
      <c r="H438" s="27"/>
      <c r="I438" s="27"/>
      <c r="J438" s="24"/>
      <c r="K438" s="24"/>
      <c r="L438" s="109"/>
    </row>
    <row r="439" spans="1:12" ht="15" thickBot="1" x14ac:dyDescent="0.4">
      <c r="A439" s="60"/>
      <c r="B439" s="28"/>
      <c r="C439" s="27"/>
      <c r="D439" s="22"/>
      <c r="E439" s="23"/>
      <c r="F439" s="24"/>
      <c r="G439" s="27"/>
      <c r="H439" s="27"/>
      <c r="I439" s="27"/>
      <c r="J439" s="24"/>
      <c r="K439" s="24"/>
      <c r="L439" s="109"/>
    </row>
    <row r="440" spans="1:12" ht="15" thickBot="1" x14ac:dyDescent="0.4">
      <c r="A440" s="364" t="s">
        <v>178</v>
      </c>
      <c r="B440" s="365"/>
      <c r="C440" s="27"/>
      <c r="D440" s="22"/>
      <c r="E440" s="23"/>
      <c r="F440" s="24"/>
      <c r="G440" s="27"/>
      <c r="H440" s="27"/>
      <c r="I440" s="27"/>
      <c r="J440" s="24"/>
      <c r="K440" s="24"/>
      <c r="L440" s="109"/>
    </row>
    <row r="441" spans="1:12" x14ac:dyDescent="0.35">
      <c r="A441" s="60">
        <v>1</v>
      </c>
      <c r="B441" s="32" t="s">
        <v>93</v>
      </c>
      <c r="C441" s="27">
        <v>12</v>
      </c>
      <c r="D441" s="22">
        <v>0.1</v>
      </c>
      <c r="E441" s="23">
        <f>C441*(1+D441)</f>
        <v>13.200000000000001</v>
      </c>
      <c r="F441" s="24" t="s">
        <v>17</v>
      </c>
      <c r="G441" s="57"/>
      <c r="H441" s="103">
        <f t="shared" ref="H441:H449" si="222">G441*E441</f>
        <v>0</v>
      </c>
      <c r="I441" s="104">
        <f t="shared" ref="I441:I449" si="223">L$4</f>
        <v>0</v>
      </c>
      <c r="J441" s="113">
        <v>1.3200000000000003</v>
      </c>
      <c r="K441" s="105">
        <f t="shared" ref="K441:K449" si="224">J441*I441</f>
        <v>0</v>
      </c>
      <c r="L441" s="106">
        <f t="shared" ref="L441:L449" si="225">K441+H441</f>
        <v>0</v>
      </c>
    </row>
    <row r="442" spans="1:12" x14ac:dyDescent="0.35">
      <c r="A442" s="60">
        <v>2</v>
      </c>
      <c r="B442" s="32" t="s">
        <v>91</v>
      </c>
      <c r="C442" s="27">
        <v>52</v>
      </c>
      <c r="D442" s="22">
        <v>0.1</v>
      </c>
      <c r="E442" s="23">
        <f t="shared" ref="E442:E443" si="226">C442*(1+D442)</f>
        <v>57.2</v>
      </c>
      <c r="F442" s="24" t="s">
        <v>17</v>
      </c>
      <c r="G442" s="57"/>
      <c r="H442" s="103">
        <f t="shared" si="222"/>
        <v>0</v>
      </c>
      <c r="I442" s="104">
        <f t="shared" si="223"/>
        <v>0</v>
      </c>
      <c r="J442" s="113">
        <v>11.440000000000001</v>
      </c>
      <c r="K442" s="105">
        <f t="shared" si="224"/>
        <v>0</v>
      </c>
      <c r="L442" s="106">
        <f t="shared" si="225"/>
        <v>0</v>
      </c>
    </row>
    <row r="443" spans="1:12" x14ac:dyDescent="0.35">
      <c r="A443" s="60">
        <v>3</v>
      </c>
      <c r="B443" s="32" t="s">
        <v>96</v>
      </c>
      <c r="C443" s="27">
        <v>81</v>
      </c>
      <c r="D443" s="22">
        <v>0.1</v>
      </c>
      <c r="E443" s="23">
        <f t="shared" si="226"/>
        <v>89.100000000000009</v>
      </c>
      <c r="F443" s="24" t="s">
        <v>17</v>
      </c>
      <c r="G443" s="57"/>
      <c r="H443" s="103">
        <f t="shared" si="222"/>
        <v>0</v>
      </c>
      <c r="I443" s="104">
        <f t="shared" si="223"/>
        <v>0</v>
      </c>
      <c r="J443" s="113">
        <v>8.9100000000000019</v>
      </c>
      <c r="K443" s="105">
        <f t="shared" si="224"/>
        <v>0</v>
      </c>
      <c r="L443" s="106">
        <f t="shared" si="225"/>
        <v>0</v>
      </c>
    </row>
    <row r="444" spans="1:12" x14ac:dyDescent="0.35">
      <c r="A444" s="60">
        <v>4</v>
      </c>
      <c r="B444" s="26" t="s">
        <v>54</v>
      </c>
      <c r="C444" s="27">
        <v>2</v>
      </c>
      <c r="D444" s="22">
        <v>0</v>
      </c>
      <c r="E444" s="23">
        <f t="shared" ref="E444" si="227">C444*(1+D444)</f>
        <v>2</v>
      </c>
      <c r="F444" s="24" t="s">
        <v>18</v>
      </c>
      <c r="G444" s="57"/>
      <c r="H444" s="103">
        <f t="shared" si="222"/>
        <v>0</v>
      </c>
      <c r="I444" s="104">
        <f t="shared" si="223"/>
        <v>0</v>
      </c>
      <c r="J444" s="113">
        <v>1</v>
      </c>
      <c r="K444" s="105">
        <f t="shared" si="224"/>
        <v>0</v>
      </c>
      <c r="L444" s="106">
        <f t="shared" si="225"/>
        <v>0</v>
      </c>
    </row>
    <row r="445" spans="1:12" x14ac:dyDescent="0.35">
      <c r="A445" s="60">
        <v>5</v>
      </c>
      <c r="B445" s="26" t="s">
        <v>46</v>
      </c>
      <c r="C445" s="27">
        <v>2</v>
      </c>
      <c r="D445" s="22">
        <v>0</v>
      </c>
      <c r="E445" s="23">
        <f t="shared" ref="E445:E449" si="228">C445*(1+D445)</f>
        <v>2</v>
      </c>
      <c r="F445" s="24" t="s">
        <v>18</v>
      </c>
      <c r="G445" s="57"/>
      <c r="H445" s="103">
        <f t="shared" si="222"/>
        <v>0</v>
      </c>
      <c r="I445" s="104">
        <f t="shared" si="223"/>
        <v>0</v>
      </c>
      <c r="J445" s="113">
        <v>1</v>
      </c>
      <c r="K445" s="105">
        <f t="shared" si="224"/>
        <v>0</v>
      </c>
      <c r="L445" s="106">
        <f t="shared" si="225"/>
        <v>0</v>
      </c>
    </row>
    <row r="446" spans="1:12" x14ac:dyDescent="0.35">
      <c r="A446" s="60">
        <v>6</v>
      </c>
      <c r="B446" s="46" t="s">
        <v>80</v>
      </c>
      <c r="C446" s="27">
        <v>1</v>
      </c>
      <c r="D446" s="22">
        <v>0</v>
      </c>
      <c r="E446" s="23">
        <f t="shared" si="228"/>
        <v>1</v>
      </c>
      <c r="F446" s="24" t="s">
        <v>18</v>
      </c>
      <c r="G446" s="57"/>
      <c r="H446" s="103">
        <f t="shared" si="222"/>
        <v>0</v>
      </c>
      <c r="I446" s="104">
        <f t="shared" si="223"/>
        <v>0</v>
      </c>
      <c r="J446" s="113">
        <v>0.5</v>
      </c>
      <c r="K446" s="105">
        <f t="shared" si="224"/>
        <v>0</v>
      </c>
      <c r="L446" s="106">
        <f t="shared" si="225"/>
        <v>0</v>
      </c>
    </row>
    <row r="447" spans="1:12" x14ac:dyDescent="0.35">
      <c r="A447" s="60">
        <v>7</v>
      </c>
      <c r="B447" s="46" t="s">
        <v>81</v>
      </c>
      <c r="C447" s="27">
        <v>1</v>
      </c>
      <c r="D447" s="22">
        <v>0</v>
      </c>
      <c r="E447" s="23">
        <f t="shared" si="228"/>
        <v>1</v>
      </c>
      <c r="F447" s="24" t="s">
        <v>18</v>
      </c>
      <c r="G447" s="57"/>
      <c r="H447" s="103">
        <f t="shared" si="222"/>
        <v>0</v>
      </c>
      <c r="I447" s="104">
        <f t="shared" si="223"/>
        <v>0</v>
      </c>
      <c r="J447" s="113">
        <v>0.5</v>
      </c>
      <c r="K447" s="105">
        <f t="shared" si="224"/>
        <v>0</v>
      </c>
      <c r="L447" s="106">
        <f t="shared" si="225"/>
        <v>0</v>
      </c>
    </row>
    <row r="448" spans="1:12" x14ac:dyDescent="0.35">
      <c r="A448" s="60">
        <v>8</v>
      </c>
      <c r="B448" s="46" t="s">
        <v>72</v>
      </c>
      <c r="C448" s="27">
        <v>1</v>
      </c>
      <c r="D448" s="22">
        <v>0</v>
      </c>
      <c r="E448" s="23">
        <f t="shared" si="228"/>
        <v>1</v>
      </c>
      <c r="F448" s="24" t="s">
        <v>18</v>
      </c>
      <c r="G448" s="57"/>
      <c r="H448" s="103">
        <f t="shared" si="222"/>
        <v>0</v>
      </c>
      <c r="I448" s="104">
        <f t="shared" si="223"/>
        <v>0</v>
      </c>
      <c r="J448" s="113">
        <v>0.5</v>
      </c>
      <c r="K448" s="105">
        <f t="shared" si="224"/>
        <v>0</v>
      </c>
      <c r="L448" s="106">
        <f t="shared" si="225"/>
        <v>0</v>
      </c>
    </row>
    <row r="449" spans="1:12" x14ac:dyDescent="0.35">
      <c r="A449" s="60">
        <v>9</v>
      </c>
      <c r="B449" s="46" t="s">
        <v>82</v>
      </c>
      <c r="C449" s="27">
        <v>1</v>
      </c>
      <c r="D449" s="22">
        <v>0</v>
      </c>
      <c r="E449" s="23">
        <f t="shared" si="228"/>
        <v>1</v>
      </c>
      <c r="F449" s="24" t="s">
        <v>18</v>
      </c>
      <c r="G449" s="57"/>
      <c r="H449" s="103">
        <f t="shared" si="222"/>
        <v>0</v>
      </c>
      <c r="I449" s="104">
        <f t="shared" si="223"/>
        <v>0</v>
      </c>
      <c r="J449" s="113">
        <v>0.5</v>
      </c>
      <c r="K449" s="105">
        <f t="shared" si="224"/>
        <v>0</v>
      </c>
      <c r="L449" s="106">
        <f t="shared" si="225"/>
        <v>0</v>
      </c>
    </row>
    <row r="450" spans="1:12" x14ac:dyDescent="0.35">
      <c r="A450" s="362" t="s">
        <v>90</v>
      </c>
      <c r="B450" s="363"/>
      <c r="C450" s="44"/>
      <c r="D450" s="22"/>
      <c r="E450" s="23"/>
      <c r="F450" s="24"/>
      <c r="G450" s="27"/>
      <c r="H450" s="27"/>
      <c r="I450" s="27"/>
      <c r="J450" s="24"/>
      <c r="K450" s="24"/>
      <c r="L450" s="109"/>
    </row>
    <row r="451" spans="1:12" ht="15" thickBot="1" x14ac:dyDescent="0.4">
      <c r="A451" s="60"/>
      <c r="B451" s="28"/>
      <c r="C451" s="27"/>
      <c r="D451" s="22"/>
      <c r="E451" s="23"/>
      <c r="F451" s="24"/>
      <c r="G451" s="27"/>
      <c r="H451" s="27"/>
      <c r="I451" s="27"/>
      <c r="J451" s="24"/>
      <c r="K451" s="24"/>
      <c r="L451" s="109"/>
    </row>
    <row r="452" spans="1:12" ht="15" thickBot="1" x14ac:dyDescent="0.4">
      <c r="A452" s="364" t="s">
        <v>156</v>
      </c>
      <c r="B452" s="365"/>
      <c r="C452" s="27"/>
      <c r="D452" s="22"/>
      <c r="E452" s="23"/>
      <c r="F452" s="24"/>
      <c r="G452" s="27"/>
      <c r="H452" s="27"/>
      <c r="I452" s="27"/>
      <c r="J452" s="24"/>
      <c r="K452" s="24"/>
      <c r="L452" s="109"/>
    </row>
    <row r="453" spans="1:12" ht="29" x14ac:dyDescent="0.35">
      <c r="A453" s="60">
        <v>1</v>
      </c>
      <c r="B453" s="47" t="s">
        <v>153</v>
      </c>
      <c r="C453" s="27">
        <v>45</v>
      </c>
      <c r="D453" s="22">
        <v>0</v>
      </c>
      <c r="E453" s="23">
        <f t="shared" ref="E453:E455" si="229">C453*(1+D453)</f>
        <v>45</v>
      </c>
      <c r="F453" s="24" t="s">
        <v>18</v>
      </c>
      <c r="G453" s="57"/>
      <c r="H453" s="103">
        <f t="shared" ref="H453:H482" si="230">G453*E453</f>
        <v>0</v>
      </c>
      <c r="I453" s="104">
        <f t="shared" ref="I453:I482" si="231">L$4</f>
        <v>0</v>
      </c>
      <c r="J453" s="113">
        <v>22.5</v>
      </c>
      <c r="K453" s="105">
        <f t="shared" ref="K453:K482" si="232">J453*I453</f>
        <v>0</v>
      </c>
      <c r="L453" s="106">
        <f t="shared" ref="L453:L482" si="233">K453+H453</f>
        <v>0</v>
      </c>
    </row>
    <row r="454" spans="1:12" ht="29" x14ac:dyDescent="0.35">
      <c r="A454" s="60">
        <v>2</v>
      </c>
      <c r="B454" s="47" t="s">
        <v>154</v>
      </c>
      <c r="C454" s="27">
        <v>27</v>
      </c>
      <c r="D454" s="22">
        <v>0</v>
      </c>
      <c r="E454" s="23">
        <f t="shared" si="229"/>
        <v>27</v>
      </c>
      <c r="F454" s="24" t="s">
        <v>18</v>
      </c>
      <c r="G454" s="57"/>
      <c r="H454" s="103">
        <f t="shared" si="230"/>
        <v>0</v>
      </c>
      <c r="I454" s="104">
        <f t="shared" si="231"/>
        <v>0</v>
      </c>
      <c r="J454" s="113">
        <v>13.5</v>
      </c>
      <c r="K454" s="105">
        <f t="shared" si="232"/>
        <v>0</v>
      </c>
      <c r="L454" s="106">
        <f t="shared" si="233"/>
        <v>0</v>
      </c>
    </row>
    <row r="455" spans="1:12" x14ac:dyDescent="0.35">
      <c r="A455" s="60">
        <v>3</v>
      </c>
      <c r="B455" s="45" t="s">
        <v>155</v>
      </c>
      <c r="C455" s="27">
        <v>1</v>
      </c>
      <c r="D455" s="22">
        <v>0</v>
      </c>
      <c r="E455" s="23">
        <f t="shared" si="229"/>
        <v>1</v>
      </c>
      <c r="F455" s="24" t="s">
        <v>18</v>
      </c>
      <c r="G455" s="57"/>
      <c r="H455" s="103">
        <f t="shared" si="230"/>
        <v>0</v>
      </c>
      <c r="I455" s="104">
        <f t="shared" si="231"/>
        <v>0</v>
      </c>
      <c r="J455" s="113">
        <v>0.5</v>
      </c>
      <c r="K455" s="105">
        <f t="shared" si="232"/>
        <v>0</v>
      </c>
      <c r="L455" s="106">
        <f t="shared" si="233"/>
        <v>0</v>
      </c>
    </row>
    <row r="456" spans="1:12" ht="15" thickBot="1" x14ac:dyDescent="0.4">
      <c r="A456" s="60"/>
      <c r="B456" s="45"/>
      <c r="C456" s="27"/>
      <c r="D456" s="22"/>
      <c r="E456" s="23"/>
      <c r="F456" s="24"/>
      <c r="G456" s="57"/>
      <c r="H456" s="103"/>
      <c r="I456" s="104"/>
      <c r="J456" s="24"/>
      <c r="K456" s="105"/>
      <c r="L456" s="106"/>
    </row>
    <row r="457" spans="1:12" ht="15" thickBot="1" x14ac:dyDescent="0.4">
      <c r="A457" s="364" t="s">
        <v>184</v>
      </c>
      <c r="B457" s="365"/>
      <c r="C457" s="40"/>
      <c r="D457" s="22"/>
      <c r="E457" s="23"/>
      <c r="F457" s="24"/>
      <c r="G457" s="57"/>
      <c r="H457" s="103"/>
      <c r="I457" s="104"/>
      <c r="J457" s="24"/>
      <c r="K457" s="105"/>
      <c r="L457" s="106"/>
    </row>
    <row r="458" spans="1:12" x14ac:dyDescent="0.35">
      <c r="A458" s="67">
        <v>1</v>
      </c>
      <c r="B458" s="2" t="s">
        <v>192</v>
      </c>
      <c r="C458" s="48">
        <v>1</v>
      </c>
      <c r="D458" s="22">
        <v>0</v>
      </c>
      <c r="E458" s="23">
        <f t="shared" si="50"/>
        <v>1</v>
      </c>
      <c r="F458" s="24" t="s">
        <v>18</v>
      </c>
      <c r="G458" s="57"/>
      <c r="H458" s="103">
        <f t="shared" si="230"/>
        <v>0</v>
      </c>
      <c r="I458" s="104">
        <f t="shared" si="231"/>
        <v>0</v>
      </c>
      <c r="J458" s="113">
        <v>1</v>
      </c>
      <c r="K458" s="105">
        <f t="shared" si="232"/>
        <v>0</v>
      </c>
      <c r="L458" s="106">
        <f t="shared" si="233"/>
        <v>0</v>
      </c>
    </row>
    <row r="459" spans="1:12" ht="43.5" x14ac:dyDescent="0.35">
      <c r="A459" s="67">
        <v>2</v>
      </c>
      <c r="B459" s="49" t="s">
        <v>193</v>
      </c>
      <c r="C459" s="48">
        <v>1</v>
      </c>
      <c r="D459" s="22">
        <v>0</v>
      </c>
      <c r="E459" s="23">
        <f t="shared" si="50"/>
        <v>1</v>
      </c>
      <c r="F459" s="24" t="s">
        <v>18</v>
      </c>
      <c r="G459" s="57"/>
      <c r="H459" s="103">
        <f t="shared" si="230"/>
        <v>0</v>
      </c>
      <c r="I459" s="104">
        <f t="shared" si="231"/>
        <v>0</v>
      </c>
      <c r="J459" s="24">
        <v>1</v>
      </c>
      <c r="K459" s="105">
        <f t="shared" si="232"/>
        <v>0</v>
      </c>
      <c r="L459" s="106">
        <f t="shared" si="233"/>
        <v>0</v>
      </c>
    </row>
    <row r="460" spans="1:12" ht="34.5" customHeight="1" x14ac:dyDescent="0.35">
      <c r="A460" s="67">
        <v>3</v>
      </c>
      <c r="B460" s="50" t="s">
        <v>194</v>
      </c>
      <c r="C460" s="48">
        <v>21</v>
      </c>
      <c r="D460" s="22">
        <v>0</v>
      </c>
      <c r="E460" s="23">
        <f t="shared" si="50"/>
        <v>21</v>
      </c>
      <c r="F460" s="24" t="s">
        <v>18</v>
      </c>
      <c r="G460" s="57"/>
      <c r="H460" s="103">
        <f t="shared" si="230"/>
        <v>0</v>
      </c>
      <c r="I460" s="104">
        <f t="shared" si="231"/>
        <v>0</v>
      </c>
      <c r="J460" s="24">
        <v>42</v>
      </c>
      <c r="K460" s="105">
        <f t="shared" si="232"/>
        <v>0</v>
      </c>
      <c r="L460" s="106">
        <f t="shared" si="233"/>
        <v>0</v>
      </c>
    </row>
    <row r="461" spans="1:12" ht="58" x14ac:dyDescent="0.35">
      <c r="A461" s="67">
        <v>4</v>
      </c>
      <c r="B461" s="49" t="s">
        <v>195</v>
      </c>
      <c r="C461" s="48">
        <v>1</v>
      </c>
      <c r="D461" s="22">
        <v>0</v>
      </c>
      <c r="E461" s="23">
        <f t="shared" si="50"/>
        <v>1</v>
      </c>
      <c r="F461" s="24" t="s">
        <v>18</v>
      </c>
      <c r="G461" s="57"/>
      <c r="H461" s="103">
        <f t="shared" si="230"/>
        <v>0</v>
      </c>
      <c r="I461" s="104">
        <f t="shared" si="231"/>
        <v>0</v>
      </c>
      <c r="J461" s="24">
        <v>1</v>
      </c>
      <c r="K461" s="105">
        <f t="shared" si="232"/>
        <v>0</v>
      </c>
      <c r="L461" s="106">
        <f t="shared" si="233"/>
        <v>0</v>
      </c>
    </row>
    <row r="462" spans="1:12" ht="43.5" x14ac:dyDescent="0.35">
      <c r="A462" s="67">
        <v>5</v>
      </c>
      <c r="B462" s="49" t="s">
        <v>196</v>
      </c>
      <c r="C462" s="48">
        <v>4</v>
      </c>
      <c r="D462" s="22">
        <v>0</v>
      </c>
      <c r="E462" s="23">
        <f t="shared" si="50"/>
        <v>4</v>
      </c>
      <c r="F462" s="24" t="s">
        <v>18</v>
      </c>
      <c r="G462" s="57"/>
      <c r="H462" s="103">
        <f t="shared" si="230"/>
        <v>0</v>
      </c>
      <c r="I462" s="104">
        <f t="shared" si="231"/>
        <v>0</v>
      </c>
      <c r="J462" s="24">
        <v>4</v>
      </c>
      <c r="K462" s="105">
        <f t="shared" si="232"/>
        <v>0</v>
      </c>
      <c r="L462" s="106">
        <f t="shared" si="233"/>
        <v>0</v>
      </c>
    </row>
    <row r="463" spans="1:12" ht="72.5" x14ac:dyDescent="0.35">
      <c r="A463" s="67">
        <v>6</v>
      </c>
      <c r="B463" s="49" t="s">
        <v>197</v>
      </c>
      <c r="C463" s="48">
        <v>7</v>
      </c>
      <c r="D463" s="22">
        <v>0</v>
      </c>
      <c r="E463" s="23">
        <f t="shared" si="50"/>
        <v>7</v>
      </c>
      <c r="F463" s="24" t="s">
        <v>18</v>
      </c>
      <c r="G463" s="57"/>
      <c r="H463" s="103">
        <f t="shared" si="230"/>
        <v>0</v>
      </c>
      <c r="I463" s="104">
        <f t="shared" si="231"/>
        <v>0</v>
      </c>
      <c r="J463" s="24">
        <v>7</v>
      </c>
      <c r="K463" s="105">
        <f t="shared" si="232"/>
        <v>0</v>
      </c>
      <c r="L463" s="106">
        <f t="shared" si="233"/>
        <v>0</v>
      </c>
    </row>
    <row r="464" spans="1:12" ht="43.5" x14ac:dyDescent="0.35">
      <c r="A464" s="67">
        <v>7</v>
      </c>
      <c r="B464" s="49" t="s">
        <v>198</v>
      </c>
      <c r="C464" s="48">
        <v>3</v>
      </c>
      <c r="D464" s="22">
        <v>0</v>
      </c>
      <c r="E464" s="23">
        <f t="shared" si="50"/>
        <v>3</v>
      </c>
      <c r="F464" s="24" t="s">
        <v>18</v>
      </c>
      <c r="G464" s="57"/>
      <c r="H464" s="103">
        <f t="shared" si="230"/>
        <v>0</v>
      </c>
      <c r="I464" s="104">
        <f t="shared" si="231"/>
        <v>0</v>
      </c>
      <c r="J464" s="24">
        <v>3</v>
      </c>
      <c r="K464" s="105">
        <f t="shared" si="232"/>
        <v>0</v>
      </c>
      <c r="L464" s="106">
        <f t="shared" si="233"/>
        <v>0</v>
      </c>
    </row>
    <row r="465" spans="1:12" ht="58" x14ac:dyDescent="0.35">
      <c r="A465" s="67">
        <v>8</v>
      </c>
      <c r="B465" s="49" t="s">
        <v>199</v>
      </c>
      <c r="C465" s="48">
        <v>6</v>
      </c>
      <c r="D465" s="22">
        <v>0</v>
      </c>
      <c r="E465" s="23">
        <f t="shared" si="50"/>
        <v>6</v>
      </c>
      <c r="F465" s="24" t="s">
        <v>18</v>
      </c>
      <c r="G465" s="57"/>
      <c r="H465" s="103">
        <f t="shared" si="230"/>
        <v>0</v>
      </c>
      <c r="I465" s="104">
        <f t="shared" si="231"/>
        <v>0</v>
      </c>
      <c r="J465" s="24">
        <v>6</v>
      </c>
      <c r="K465" s="105">
        <f t="shared" si="232"/>
        <v>0</v>
      </c>
      <c r="L465" s="106">
        <f t="shared" si="233"/>
        <v>0</v>
      </c>
    </row>
    <row r="466" spans="1:12" ht="43.5" x14ac:dyDescent="0.35">
      <c r="A466" s="67">
        <v>9</v>
      </c>
      <c r="B466" s="49" t="s">
        <v>200</v>
      </c>
      <c r="C466" s="48">
        <v>3</v>
      </c>
      <c r="D466" s="22">
        <v>0</v>
      </c>
      <c r="E466" s="23">
        <f t="shared" si="50"/>
        <v>3</v>
      </c>
      <c r="F466" s="24" t="s">
        <v>18</v>
      </c>
      <c r="G466" s="57"/>
      <c r="H466" s="103">
        <f t="shared" si="230"/>
        <v>0</v>
      </c>
      <c r="I466" s="104">
        <f t="shared" si="231"/>
        <v>0</v>
      </c>
      <c r="J466" s="24">
        <v>3</v>
      </c>
      <c r="K466" s="105">
        <f t="shared" si="232"/>
        <v>0</v>
      </c>
      <c r="L466" s="106">
        <f t="shared" si="233"/>
        <v>0</v>
      </c>
    </row>
    <row r="467" spans="1:12" ht="58" x14ac:dyDescent="0.35">
      <c r="A467" s="67">
        <v>10</v>
      </c>
      <c r="B467" s="49" t="s">
        <v>201</v>
      </c>
      <c r="C467" s="48">
        <v>5</v>
      </c>
      <c r="D467" s="22">
        <v>0</v>
      </c>
      <c r="E467" s="23">
        <f t="shared" si="50"/>
        <v>5</v>
      </c>
      <c r="F467" s="24" t="s">
        <v>18</v>
      </c>
      <c r="G467" s="57"/>
      <c r="H467" s="103">
        <f t="shared" si="230"/>
        <v>0</v>
      </c>
      <c r="I467" s="104">
        <f t="shared" si="231"/>
        <v>0</v>
      </c>
      <c r="J467" s="24">
        <v>15</v>
      </c>
      <c r="K467" s="105">
        <f t="shared" si="232"/>
        <v>0</v>
      </c>
      <c r="L467" s="106">
        <f t="shared" si="233"/>
        <v>0</v>
      </c>
    </row>
    <row r="468" spans="1:12" ht="58" x14ac:dyDescent="0.35">
      <c r="A468" s="67">
        <v>11</v>
      </c>
      <c r="B468" s="49" t="s">
        <v>202</v>
      </c>
      <c r="C468" s="48">
        <v>1</v>
      </c>
      <c r="D468" s="22">
        <v>0</v>
      </c>
      <c r="E468" s="23">
        <f t="shared" si="50"/>
        <v>1</v>
      </c>
      <c r="F468" s="24" t="s">
        <v>18</v>
      </c>
      <c r="G468" s="57"/>
      <c r="H468" s="103">
        <f t="shared" si="230"/>
        <v>0</v>
      </c>
      <c r="I468" s="104">
        <f t="shared" si="231"/>
        <v>0</v>
      </c>
      <c r="J468" s="24">
        <v>1</v>
      </c>
      <c r="K468" s="105">
        <f t="shared" si="232"/>
        <v>0</v>
      </c>
      <c r="L468" s="106">
        <f t="shared" si="233"/>
        <v>0</v>
      </c>
    </row>
    <row r="469" spans="1:12" ht="64" customHeight="1" x14ac:dyDescent="0.35">
      <c r="A469" s="67">
        <v>12</v>
      </c>
      <c r="B469" s="49" t="s">
        <v>203</v>
      </c>
      <c r="C469" s="48">
        <v>1</v>
      </c>
      <c r="D469" s="22">
        <v>0</v>
      </c>
      <c r="E469" s="23">
        <f t="shared" si="50"/>
        <v>1</v>
      </c>
      <c r="F469" s="24" t="s">
        <v>18</v>
      </c>
      <c r="G469" s="57"/>
      <c r="H469" s="103">
        <f t="shared" si="230"/>
        <v>0</v>
      </c>
      <c r="I469" s="104">
        <f t="shared" si="231"/>
        <v>0</v>
      </c>
      <c r="J469" s="24">
        <v>1</v>
      </c>
      <c r="K469" s="105">
        <f t="shared" si="232"/>
        <v>0</v>
      </c>
      <c r="L469" s="106">
        <f t="shared" si="233"/>
        <v>0</v>
      </c>
    </row>
    <row r="470" spans="1:12" ht="43.5" x14ac:dyDescent="0.35">
      <c r="A470" s="67">
        <v>13</v>
      </c>
      <c r="B470" s="49" t="s">
        <v>204</v>
      </c>
      <c r="C470" s="48">
        <v>1</v>
      </c>
      <c r="D470" s="22">
        <v>0</v>
      </c>
      <c r="E470" s="23">
        <f t="shared" si="50"/>
        <v>1</v>
      </c>
      <c r="F470" s="24" t="s">
        <v>18</v>
      </c>
      <c r="G470" s="57"/>
      <c r="H470" s="103">
        <f t="shared" si="230"/>
        <v>0</v>
      </c>
      <c r="I470" s="104">
        <f t="shared" si="231"/>
        <v>0</v>
      </c>
      <c r="J470" s="24">
        <v>1</v>
      </c>
      <c r="K470" s="105">
        <f t="shared" si="232"/>
        <v>0</v>
      </c>
      <c r="L470" s="106">
        <f t="shared" si="233"/>
        <v>0</v>
      </c>
    </row>
    <row r="471" spans="1:12" ht="58" x14ac:dyDescent="0.35">
      <c r="A471" s="67">
        <v>14</v>
      </c>
      <c r="B471" s="49" t="s">
        <v>205</v>
      </c>
      <c r="C471" s="48">
        <v>20</v>
      </c>
      <c r="D471" s="22">
        <v>0</v>
      </c>
      <c r="E471" s="23">
        <f t="shared" si="50"/>
        <v>20</v>
      </c>
      <c r="F471" s="24" t="s">
        <v>18</v>
      </c>
      <c r="G471" s="57"/>
      <c r="H471" s="103">
        <f t="shared" si="230"/>
        <v>0</v>
      </c>
      <c r="I471" s="104">
        <f t="shared" si="231"/>
        <v>0</v>
      </c>
      <c r="J471" s="24">
        <v>20</v>
      </c>
      <c r="K471" s="105">
        <f t="shared" si="232"/>
        <v>0</v>
      </c>
      <c r="L471" s="106">
        <f t="shared" si="233"/>
        <v>0</v>
      </c>
    </row>
    <row r="472" spans="1:12" ht="72.5" x14ac:dyDescent="0.35">
      <c r="A472" s="67">
        <v>15</v>
      </c>
      <c r="B472" s="49" t="s">
        <v>206</v>
      </c>
      <c r="C472" s="48">
        <v>58</v>
      </c>
      <c r="D472" s="22">
        <v>0</v>
      </c>
      <c r="E472" s="23">
        <f t="shared" si="50"/>
        <v>58</v>
      </c>
      <c r="F472" s="24" t="s">
        <v>18</v>
      </c>
      <c r="G472" s="57"/>
      <c r="H472" s="103">
        <f t="shared" si="230"/>
        <v>0</v>
      </c>
      <c r="I472" s="104">
        <f t="shared" si="231"/>
        <v>0</v>
      </c>
      <c r="J472" s="24">
        <v>116</v>
      </c>
      <c r="K472" s="105">
        <f t="shared" si="232"/>
        <v>0</v>
      </c>
      <c r="L472" s="106">
        <f t="shared" si="233"/>
        <v>0</v>
      </c>
    </row>
    <row r="473" spans="1:12" ht="64" customHeight="1" x14ac:dyDescent="0.35">
      <c r="A473" s="67">
        <v>16</v>
      </c>
      <c r="B473" s="49" t="s">
        <v>207</v>
      </c>
      <c r="C473" s="48">
        <v>5</v>
      </c>
      <c r="D473" s="22">
        <v>0</v>
      </c>
      <c r="E473" s="23">
        <v>1</v>
      </c>
      <c r="F473" s="24" t="s">
        <v>18</v>
      </c>
      <c r="G473" s="57"/>
      <c r="H473" s="103">
        <f t="shared" si="230"/>
        <v>0</v>
      </c>
      <c r="I473" s="104">
        <f t="shared" si="231"/>
        <v>0</v>
      </c>
      <c r="J473" s="24">
        <v>10</v>
      </c>
      <c r="K473" s="105">
        <f t="shared" si="232"/>
        <v>0</v>
      </c>
      <c r="L473" s="106">
        <f t="shared" si="233"/>
        <v>0</v>
      </c>
    </row>
    <row r="474" spans="1:12" ht="58" x14ac:dyDescent="0.35">
      <c r="A474" s="67">
        <v>17</v>
      </c>
      <c r="B474" s="49" t="s">
        <v>208</v>
      </c>
      <c r="C474" s="48">
        <v>3</v>
      </c>
      <c r="D474" s="22">
        <v>0</v>
      </c>
      <c r="E474" s="23">
        <f t="shared" si="50"/>
        <v>3</v>
      </c>
      <c r="F474" s="24" t="s">
        <v>18</v>
      </c>
      <c r="G474" s="57"/>
      <c r="H474" s="103">
        <f t="shared" si="230"/>
        <v>0</v>
      </c>
      <c r="I474" s="104">
        <f t="shared" si="231"/>
        <v>0</v>
      </c>
      <c r="J474" s="24">
        <v>3</v>
      </c>
      <c r="K474" s="105">
        <f t="shared" si="232"/>
        <v>0</v>
      </c>
      <c r="L474" s="106">
        <f t="shared" si="233"/>
        <v>0</v>
      </c>
    </row>
    <row r="475" spans="1:12" ht="72.5" x14ac:dyDescent="0.35">
      <c r="A475" s="67">
        <v>18</v>
      </c>
      <c r="B475" s="49" t="s">
        <v>209</v>
      </c>
      <c r="C475" s="48">
        <v>6</v>
      </c>
      <c r="D475" s="22">
        <v>0</v>
      </c>
      <c r="E475" s="23">
        <f t="shared" ref="E475:E504" si="234">C475*(1+D475)</f>
        <v>6</v>
      </c>
      <c r="F475" s="24" t="s">
        <v>18</v>
      </c>
      <c r="G475" s="57"/>
      <c r="H475" s="103">
        <f t="shared" si="230"/>
        <v>0</v>
      </c>
      <c r="I475" s="104">
        <f t="shared" si="231"/>
        <v>0</v>
      </c>
      <c r="J475" s="24">
        <v>6</v>
      </c>
      <c r="K475" s="105">
        <f t="shared" si="232"/>
        <v>0</v>
      </c>
      <c r="L475" s="106">
        <f t="shared" si="233"/>
        <v>0</v>
      </c>
    </row>
    <row r="476" spans="1:12" ht="72.5" x14ac:dyDescent="0.35">
      <c r="A476" s="67">
        <v>19</v>
      </c>
      <c r="B476" s="49" t="s">
        <v>210</v>
      </c>
      <c r="C476" s="48">
        <v>2</v>
      </c>
      <c r="D476" s="22">
        <v>0</v>
      </c>
      <c r="E476" s="23">
        <f t="shared" si="234"/>
        <v>2</v>
      </c>
      <c r="F476" s="24" t="s">
        <v>18</v>
      </c>
      <c r="G476" s="57"/>
      <c r="H476" s="103">
        <f t="shared" si="230"/>
        <v>0</v>
      </c>
      <c r="I476" s="104">
        <f t="shared" si="231"/>
        <v>0</v>
      </c>
      <c r="J476" s="24">
        <v>2</v>
      </c>
      <c r="K476" s="105">
        <f t="shared" si="232"/>
        <v>0</v>
      </c>
      <c r="L476" s="106">
        <f t="shared" si="233"/>
        <v>0</v>
      </c>
    </row>
    <row r="477" spans="1:12" ht="72.5" x14ac:dyDescent="0.35">
      <c r="A477" s="67">
        <v>20</v>
      </c>
      <c r="B477" s="49" t="s">
        <v>211</v>
      </c>
      <c r="C477" s="48">
        <v>6</v>
      </c>
      <c r="D477" s="22">
        <v>0</v>
      </c>
      <c r="E477" s="23">
        <f t="shared" si="234"/>
        <v>6</v>
      </c>
      <c r="F477" s="24" t="s">
        <v>18</v>
      </c>
      <c r="G477" s="57"/>
      <c r="H477" s="103">
        <f t="shared" si="230"/>
        <v>0</v>
      </c>
      <c r="I477" s="104">
        <f t="shared" si="231"/>
        <v>0</v>
      </c>
      <c r="J477" s="24">
        <v>6</v>
      </c>
      <c r="K477" s="105">
        <f t="shared" si="232"/>
        <v>0</v>
      </c>
      <c r="L477" s="106">
        <f t="shared" si="233"/>
        <v>0</v>
      </c>
    </row>
    <row r="478" spans="1:12" ht="43.5" x14ac:dyDescent="0.35">
      <c r="A478" s="67">
        <v>21</v>
      </c>
      <c r="B478" s="49" t="s">
        <v>212</v>
      </c>
      <c r="C478" s="48">
        <v>26</v>
      </c>
      <c r="D478" s="22">
        <v>0</v>
      </c>
      <c r="E478" s="23">
        <f t="shared" si="234"/>
        <v>26</v>
      </c>
      <c r="F478" s="24" t="s">
        <v>18</v>
      </c>
      <c r="G478" s="57"/>
      <c r="H478" s="103">
        <f t="shared" si="230"/>
        <v>0</v>
      </c>
      <c r="I478" s="104">
        <f t="shared" si="231"/>
        <v>0</v>
      </c>
      <c r="J478" s="24">
        <v>26</v>
      </c>
      <c r="K478" s="105">
        <f t="shared" si="232"/>
        <v>0</v>
      </c>
      <c r="L478" s="106">
        <f t="shared" si="233"/>
        <v>0</v>
      </c>
    </row>
    <row r="479" spans="1:12" ht="72.5" x14ac:dyDescent="0.35">
      <c r="A479" s="67">
        <v>22</v>
      </c>
      <c r="B479" s="49" t="s">
        <v>213</v>
      </c>
      <c r="C479" s="48">
        <v>1</v>
      </c>
      <c r="D479" s="22">
        <v>0</v>
      </c>
      <c r="E479" s="23">
        <f t="shared" si="234"/>
        <v>1</v>
      </c>
      <c r="F479" s="24" t="s">
        <v>18</v>
      </c>
      <c r="G479" s="57"/>
      <c r="H479" s="103">
        <f t="shared" si="230"/>
        <v>0</v>
      </c>
      <c r="I479" s="104">
        <f t="shared" si="231"/>
        <v>0</v>
      </c>
      <c r="J479" s="24">
        <v>1</v>
      </c>
      <c r="K479" s="105">
        <f t="shared" si="232"/>
        <v>0</v>
      </c>
      <c r="L479" s="106">
        <f t="shared" si="233"/>
        <v>0</v>
      </c>
    </row>
    <row r="480" spans="1:12" ht="87" x14ac:dyDescent="0.35">
      <c r="A480" s="67">
        <v>23</v>
      </c>
      <c r="B480" s="49" t="s">
        <v>214</v>
      </c>
      <c r="C480" s="48">
        <v>19</v>
      </c>
      <c r="D480" s="22">
        <v>0</v>
      </c>
      <c r="E480" s="23">
        <f t="shared" si="234"/>
        <v>19</v>
      </c>
      <c r="F480" s="24" t="s">
        <v>18</v>
      </c>
      <c r="G480" s="57"/>
      <c r="H480" s="103">
        <f t="shared" si="230"/>
        <v>0</v>
      </c>
      <c r="I480" s="104">
        <f t="shared" si="231"/>
        <v>0</v>
      </c>
      <c r="J480" s="24">
        <v>19</v>
      </c>
      <c r="K480" s="105">
        <f t="shared" si="232"/>
        <v>0</v>
      </c>
      <c r="L480" s="106">
        <f t="shared" si="233"/>
        <v>0</v>
      </c>
    </row>
    <row r="481" spans="1:12" ht="43.5" x14ac:dyDescent="0.35">
      <c r="A481" s="67">
        <v>24</v>
      </c>
      <c r="B481" s="49" t="s">
        <v>215</v>
      </c>
      <c r="C481" s="48">
        <v>7</v>
      </c>
      <c r="D481" s="22">
        <v>0</v>
      </c>
      <c r="E481" s="23">
        <f t="shared" si="234"/>
        <v>7</v>
      </c>
      <c r="F481" s="24" t="s">
        <v>18</v>
      </c>
      <c r="G481" s="57"/>
      <c r="H481" s="103">
        <f t="shared" si="230"/>
        <v>0</v>
      </c>
      <c r="I481" s="104">
        <f t="shared" si="231"/>
        <v>0</v>
      </c>
      <c r="J481" s="24">
        <v>14</v>
      </c>
      <c r="K481" s="105">
        <f t="shared" si="232"/>
        <v>0</v>
      </c>
      <c r="L481" s="106">
        <f t="shared" si="233"/>
        <v>0</v>
      </c>
    </row>
    <row r="482" spans="1:12" ht="58" x14ac:dyDescent="0.35">
      <c r="A482" s="67">
        <v>25</v>
      </c>
      <c r="B482" s="49" t="s">
        <v>216</v>
      </c>
      <c r="C482" s="48">
        <v>24</v>
      </c>
      <c r="D482" s="22">
        <v>0</v>
      </c>
      <c r="E482" s="23">
        <f t="shared" si="234"/>
        <v>24</v>
      </c>
      <c r="F482" s="24" t="s">
        <v>18</v>
      </c>
      <c r="G482" s="57"/>
      <c r="H482" s="103">
        <f t="shared" si="230"/>
        <v>0</v>
      </c>
      <c r="I482" s="104">
        <f t="shared" si="231"/>
        <v>0</v>
      </c>
      <c r="J482" s="24">
        <v>48</v>
      </c>
      <c r="K482" s="105">
        <f t="shared" si="232"/>
        <v>0</v>
      </c>
      <c r="L482" s="106">
        <f t="shared" si="233"/>
        <v>0</v>
      </c>
    </row>
    <row r="483" spans="1:12" ht="72.5" x14ac:dyDescent="0.35">
      <c r="A483" s="67">
        <v>26</v>
      </c>
      <c r="B483" s="49" t="s">
        <v>217</v>
      </c>
      <c r="C483" s="48">
        <v>2</v>
      </c>
      <c r="D483" s="22">
        <v>0</v>
      </c>
      <c r="E483" s="23">
        <f t="shared" si="234"/>
        <v>2</v>
      </c>
      <c r="F483" s="24" t="s">
        <v>18</v>
      </c>
      <c r="G483" s="57"/>
      <c r="H483" s="103">
        <f>G483*E483</f>
        <v>0</v>
      </c>
      <c r="I483" s="104">
        <f>L$4</f>
        <v>0</v>
      </c>
      <c r="J483" s="24">
        <v>2</v>
      </c>
      <c r="K483" s="105">
        <f>J483*I483</f>
        <v>0</v>
      </c>
      <c r="L483" s="106">
        <f>K483+H483</f>
        <v>0</v>
      </c>
    </row>
    <row r="484" spans="1:12" ht="72.5" x14ac:dyDescent="0.35">
      <c r="A484" s="67">
        <v>27</v>
      </c>
      <c r="B484" s="49" t="s">
        <v>218</v>
      </c>
      <c r="C484" s="48">
        <v>2</v>
      </c>
      <c r="D484" s="22">
        <v>0</v>
      </c>
      <c r="E484" s="23">
        <f t="shared" si="234"/>
        <v>2</v>
      </c>
      <c r="F484" s="24" t="s">
        <v>18</v>
      </c>
      <c r="G484" s="57"/>
      <c r="H484" s="103">
        <f t="shared" ref="H484:H504" si="235">G484*E484</f>
        <v>0</v>
      </c>
      <c r="I484" s="104">
        <f t="shared" ref="I484:I504" si="236">L$4</f>
        <v>0</v>
      </c>
      <c r="J484" s="24">
        <v>2</v>
      </c>
      <c r="K484" s="105">
        <f t="shared" ref="K484:K504" si="237">J484*I484</f>
        <v>0</v>
      </c>
      <c r="L484" s="106">
        <f t="shared" ref="L484:L504" si="238">K484+H484</f>
        <v>0</v>
      </c>
    </row>
    <row r="485" spans="1:12" ht="72.5" x14ac:dyDescent="0.35">
      <c r="A485" s="67">
        <v>28</v>
      </c>
      <c r="B485" s="49" t="s">
        <v>219</v>
      </c>
      <c r="C485" s="48">
        <v>89</v>
      </c>
      <c r="D485" s="22">
        <v>0</v>
      </c>
      <c r="E485" s="23">
        <f t="shared" si="234"/>
        <v>89</v>
      </c>
      <c r="F485" s="24" t="s">
        <v>18</v>
      </c>
      <c r="G485" s="57"/>
      <c r="H485" s="103">
        <f t="shared" si="235"/>
        <v>0</v>
      </c>
      <c r="I485" s="104">
        <f t="shared" si="236"/>
        <v>0</v>
      </c>
      <c r="J485" s="24">
        <v>89</v>
      </c>
      <c r="K485" s="105">
        <f t="shared" si="237"/>
        <v>0</v>
      </c>
      <c r="L485" s="106">
        <f t="shared" si="238"/>
        <v>0</v>
      </c>
    </row>
    <row r="486" spans="1:12" ht="58" x14ac:dyDescent="0.35">
      <c r="A486" s="67">
        <v>29</v>
      </c>
      <c r="B486" s="49" t="s">
        <v>220</v>
      </c>
      <c r="C486" s="48">
        <v>1</v>
      </c>
      <c r="D486" s="22">
        <v>0</v>
      </c>
      <c r="E486" s="23">
        <f t="shared" si="234"/>
        <v>1</v>
      </c>
      <c r="F486" s="24" t="s">
        <v>18</v>
      </c>
      <c r="G486" s="57"/>
      <c r="H486" s="103">
        <f t="shared" si="235"/>
        <v>0</v>
      </c>
      <c r="I486" s="104">
        <f t="shared" si="236"/>
        <v>0</v>
      </c>
      <c r="J486" s="24">
        <v>1</v>
      </c>
      <c r="K486" s="105">
        <f t="shared" si="237"/>
        <v>0</v>
      </c>
      <c r="L486" s="106">
        <f t="shared" si="238"/>
        <v>0</v>
      </c>
    </row>
    <row r="487" spans="1:12" ht="58" x14ac:dyDescent="0.35">
      <c r="A487" s="67">
        <v>30</v>
      </c>
      <c r="B487" s="49" t="s">
        <v>221</v>
      </c>
      <c r="C487" s="48">
        <v>3</v>
      </c>
      <c r="D487" s="22">
        <v>0</v>
      </c>
      <c r="E487" s="23">
        <f t="shared" si="234"/>
        <v>3</v>
      </c>
      <c r="F487" s="24" t="s">
        <v>18</v>
      </c>
      <c r="G487" s="57"/>
      <c r="H487" s="103">
        <f t="shared" si="235"/>
        <v>0</v>
      </c>
      <c r="I487" s="104">
        <f t="shared" si="236"/>
        <v>0</v>
      </c>
      <c r="J487" s="24">
        <v>3</v>
      </c>
      <c r="K487" s="105">
        <f t="shared" si="237"/>
        <v>0</v>
      </c>
      <c r="L487" s="106">
        <f t="shared" si="238"/>
        <v>0</v>
      </c>
    </row>
    <row r="488" spans="1:12" ht="58" x14ac:dyDescent="0.35">
      <c r="A488" s="67">
        <v>31</v>
      </c>
      <c r="B488" s="49" t="s">
        <v>222</v>
      </c>
      <c r="C488" s="48">
        <v>22</v>
      </c>
      <c r="D488" s="22">
        <v>0</v>
      </c>
      <c r="E488" s="23">
        <f t="shared" si="234"/>
        <v>22</v>
      </c>
      <c r="F488" s="24" t="s">
        <v>18</v>
      </c>
      <c r="G488" s="57"/>
      <c r="H488" s="103">
        <f t="shared" si="235"/>
        <v>0</v>
      </c>
      <c r="I488" s="104">
        <f t="shared" si="236"/>
        <v>0</v>
      </c>
      <c r="J488" s="24">
        <v>44</v>
      </c>
      <c r="K488" s="105">
        <f t="shared" si="237"/>
        <v>0</v>
      </c>
      <c r="L488" s="106">
        <f t="shared" si="238"/>
        <v>0</v>
      </c>
    </row>
    <row r="489" spans="1:12" ht="58" x14ac:dyDescent="0.35">
      <c r="A489" s="67">
        <v>32</v>
      </c>
      <c r="B489" s="49" t="s">
        <v>223</v>
      </c>
      <c r="C489" s="48">
        <v>2</v>
      </c>
      <c r="D489" s="22">
        <v>0</v>
      </c>
      <c r="E489" s="23">
        <f t="shared" si="234"/>
        <v>2</v>
      </c>
      <c r="F489" s="24" t="s">
        <v>18</v>
      </c>
      <c r="G489" s="57"/>
      <c r="H489" s="103">
        <f t="shared" si="235"/>
        <v>0</v>
      </c>
      <c r="I489" s="104">
        <f t="shared" si="236"/>
        <v>0</v>
      </c>
      <c r="J489" s="24">
        <v>4</v>
      </c>
      <c r="K489" s="105">
        <f t="shared" si="237"/>
        <v>0</v>
      </c>
      <c r="L489" s="106">
        <f t="shared" si="238"/>
        <v>0</v>
      </c>
    </row>
    <row r="490" spans="1:12" ht="72.5" x14ac:dyDescent="0.35">
      <c r="A490" s="67">
        <v>33</v>
      </c>
      <c r="B490" s="49" t="s">
        <v>224</v>
      </c>
      <c r="C490" s="48">
        <v>1</v>
      </c>
      <c r="D490" s="22">
        <v>0</v>
      </c>
      <c r="E490" s="23">
        <f t="shared" si="234"/>
        <v>1</v>
      </c>
      <c r="F490" s="24" t="s">
        <v>18</v>
      </c>
      <c r="G490" s="57"/>
      <c r="H490" s="103">
        <f t="shared" si="235"/>
        <v>0</v>
      </c>
      <c r="I490" s="104">
        <f t="shared" si="236"/>
        <v>0</v>
      </c>
      <c r="J490" s="24">
        <v>2</v>
      </c>
      <c r="K490" s="105">
        <f t="shared" si="237"/>
        <v>0</v>
      </c>
      <c r="L490" s="106">
        <f t="shared" si="238"/>
        <v>0</v>
      </c>
    </row>
    <row r="491" spans="1:12" ht="87" x14ac:dyDescent="0.35">
      <c r="A491" s="67">
        <v>34</v>
      </c>
      <c r="B491" s="49" t="s">
        <v>225</v>
      </c>
      <c r="C491" s="48">
        <v>61</v>
      </c>
      <c r="D491" s="22">
        <v>0</v>
      </c>
      <c r="E491" s="23">
        <f t="shared" si="234"/>
        <v>61</v>
      </c>
      <c r="F491" s="24" t="s">
        <v>18</v>
      </c>
      <c r="G491" s="57"/>
      <c r="H491" s="103">
        <f t="shared" si="235"/>
        <v>0</v>
      </c>
      <c r="I491" s="104">
        <f t="shared" si="236"/>
        <v>0</v>
      </c>
      <c r="J491" s="24">
        <v>122</v>
      </c>
      <c r="K491" s="105">
        <f t="shared" si="237"/>
        <v>0</v>
      </c>
      <c r="L491" s="106">
        <f t="shared" si="238"/>
        <v>0</v>
      </c>
    </row>
    <row r="492" spans="1:12" ht="48.75" customHeight="1" x14ac:dyDescent="0.35">
      <c r="A492" s="67">
        <v>35</v>
      </c>
      <c r="B492" s="50" t="s">
        <v>226</v>
      </c>
      <c r="C492" s="48">
        <v>1</v>
      </c>
      <c r="D492" s="22">
        <v>0</v>
      </c>
      <c r="E492" s="23">
        <f t="shared" si="234"/>
        <v>1</v>
      </c>
      <c r="F492" s="24" t="s">
        <v>18</v>
      </c>
      <c r="G492" s="57"/>
      <c r="H492" s="103">
        <f t="shared" si="235"/>
        <v>0</v>
      </c>
      <c r="I492" s="104">
        <f t="shared" si="236"/>
        <v>0</v>
      </c>
      <c r="J492" s="24">
        <v>1</v>
      </c>
      <c r="K492" s="105">
        <f t="shared" si="237"/>
        <v>0</v>
      </c>
      <c r="L492" s="106">
        <f t="shared" si="238"/>
        <v>0</v>
      </c>
    </row>
    <row r="493" spans="1:12" ht="87" x14ac:dyDescent="0.35">
      <c r="A493" s="67">
        <v>36</v>
      </c>
      <c r="B493" s="49" t="s">
        <v>227</v>
      </c>
      <c r="C493" s="48">
        <v>1</v>
      </c>
      <c r="D493" s="22">
        <v>0</v>
      </c>
      <c r="E493" s="23">
        <f t="shared" si="234"/>
        <v>1</v>
      </c>
      <c r="F493" s="24" t="s">
        <v>18</v>
      </c>
      <c r="G493" s="57"/>
      <c r="H493" s="103">
        <f t="shared" si="235"/>
        <v>0</v>
      </c>
      <c r="I493" s="104">
        <f t="shared" si="236"/>
        <v>0</v>
      </c>
      <c r="J493" s="24">
        <v>1</v>
      </c>
      <c r="K493" s="105">
        <f t="shared" si="237"/>
        <v>0</v>
      </c>
      <c r="L493" s="106">
        <f t="shared" si="238"/>
        <v>0</v>
      </c>
    </row>
    <row r="494" spans="1:12" ht="58" x14ac:dyDescent="0.35">
      <c r="A494" s="67">
        <v>37</v>
      </c>
      <c r="B494" s="49" t="s">
        <v>228</v>
      </c>
      <c r="C494" s="48">
        <v>1</v>
      </c>
      <c r="D494" s="22">
        <v>0</v>
      </c>
      <c r="E494" s="23">
        <f t="shared" si="234"/>
        <v>1</v>
      </c>
      <c r="F494" s="24" t="s">
        <v>18</v>
      </c>
      <c r="G494" s="57"/>
      <c r="H494" s="103">
        <f t="shared" si="235"/>
        <v>0</v>
      </c>
      <c r="I494" s="104">
        <f t="shared" si="236"/>
        <v>0</v>
      </c>
      <c r="J494" s="24">
        <v>1</v>
      </c>
      <c r="K494" s="105">
        <f t="shared" si="237"/>
        <v>0</v>
      </c>
      <c r="L494" s="106">
        <f t="shared" si="238"/>
        <v>0</v>
      </c>
    </row>
    <row r="495" spans="1:12" ht="72.5" x14ac:dyDescent="0.35">
      <c r="A495" s="67">
        <v>38</v>
      </c>
      <c r="B495" s="49" t="s">
        <v>229</v>
      </c>
      <c r="C495" s="48">
        <v>21</v>
      </c>
      <c r="D495" s="22">
        <v>0</v>
      </c>
      <c r="E495" s="23">
        <f t="shared" si="234"/>
        <v>21</v>
      </c>
      <c r="F495" s="24" t="s">
        <v>18</v>
      </c>
      <c r="G495" s="57"/>
      <c r="H495" s="103">
        <f t="shared" si="235"/>
        <v>0</v>
      </c>
      <c r="I495" s="104">
        <f t="shared" si="236"/>
        <v>0</v>
      </c>
      <c r="J495" s="24">
        <v>21</v>
      </c>
      <c r="K495" s="105">
        <f t="shared" si="237"/>
        <v>0</v>
      </c>
      <c r="L495" s="106">
        <f t="shared" si="238"/>
        <v>0</v>
      </c>
    </row>
    <row r="496" spans="1:12" ht="29" x14ac:dyDescent="0.35">
      <c r="A496" s="67">
        <v>39</v>
      </c>
      <c r="B496" s="49" t="s">
        <v>230</v>
      </c>
      <c r="C496" s="48">
        <v>1</v>
      </c>
      <c r="D496" s="22">
        <v>0</v>
      </c>
      <c r="E496" s="23">
        <f t="shared" si="234"/>
        <v>1</v>
      </c>
      <c r="F496" s="24" t="s">
        <v>18</v>
      </c>
      <c r="G496" s="57"/>
      <c r="H496" s="103">
        <f t="shared" si="235"/>
        <v>0</v>
      </c>
      <c r="I496" s="104">
        <f t="shared" si="236"/>
        <v>0</v>
      </c>
      <c r="J496" s="24">
        <v>3</v>
      </c>
      <c r="K496" s="105">
        <f t="shared" si="237"/>
        <v>0</v>
      </c>
      <c r="L496" s="106">
        <f t="shared" si="238"/>
        <v>0</v>
      </c>
    </row>
    <row r="497" spans="1:12" ht="29" x14ac:dyDescent="0.35">
      <c r="A497" s="67">
        <v>40</v>
      </c>
      <c r="B497" s="2" t="s">
        <v>231</v>
      </c>
      <c r="C497" s="48">
        <v>1</v>
      </c>
      <c r="D497" s="22">
        <v>0</v>
      </c>
      <c r="E497" s="23">
        <f t="shared" si="234"/>
        <v>1</v>
      </c>
      <c r="F497" s="24" t="s">
        <v>18</v>
      </c>
      <c r="G497" s="57"/>
      <c r="H497" s="103">
        <f t="shared" si="235"/>
        <v>0</v>
      </c>
      <c r="I497" s="104">
        <f t="shared" si="236"/>
        <v>0</v>
      </c>
      <c r="J497" s="24">
        <v>3</v>
      </c>
      <c r="K497" s="105">
        <f t="shared" si="237"/>
        <v>0</v>
      </c>
      <c r="L497" s="106">
        <f t="shared" si="238"/>
        <v>0</v>
      </c>
    </row>
    <row r="498" spans="1:12" ht="43.5" x14ac:dyDescent="0.35">
      <c r="A498" s="67">
        <v>41</v>
      </c>
      <c r="B498" s="2" t="s">
        <v>232</v>
      </c>
      <c r="C498" s="48">
        <v>1</v>
      </c>
      <c r="D498" s="22">
        <v>0</v>
      </c>
      <c r="E498" s="23">
        <f t="shared" si="234"/>
        <v>1</v>
      </c>
      <c r="F498" s="24" t="s">
        <v>18</v>
      </c>
      <c r="G498" s="57"/>
      <c r="H498" s="103">
        <f t="shared" si="235"/>
        <v>0</v>
      </c>
      <c r="I498" s="104">
        <f t="shared" si="236"/>
        <v>0</v>
      </c>
      <c r="J498" s="24">
        <v>3</v>
      </c>
      <c r="K498" s="105">
        <f t="shared" si="237"/>
        <v>0</v>
      </c>
      <c r="L498" s="106">
        <f t="shared" si="238"/>
        <v>0</v>
      </c>
    </row>
    <row r="499" spans="1:12" ht="34" customHeight="1" x14ac:dyDescent="0.35">
      <c r="A499" s="67">
        <v>42</v>
      </c>
      <c r="B499" s="49" t="s">
        <v>233</v>
      </c>
      <c r="C499" s="48">
        <v>1</v>
      </c>
      <c r="D499" s="22">
        <v>0</v>
      </c>
      <c r="E499" s="23">
        <f t="shared" si="234"/>
        <v>1</v>
      </c>
      <c r="F499" s="24" t="s">
        <v>18</v>
      </c>
      <c r="G499" s="57"/>
      <c r="H499" s="103">
        <f t="shared" si="235"/>
        <v>0</v>
      </c>
      <c r="I499" s="104">
        <f t="shared" si="236"/>
        <v>0</v>
      </c>
      <c r="J499" s="24">
        <v>2</v>
      </c>
      <c r="K499" s="105">
        <f t="shared" si="237"/>
        <v>0</v>
      </c>
      <c r="L499" s="106">
        <f t="shared" si="238"/>
        <v>0</v>
      </c>
    </row>
    <row r="500" spans="1:12" ht="34" customHeight="1" x14ac:dyDescent="0.35">
      <c r="A500" s="67">
        <v>43</v>
      </c>
      <c r="B500" s="49" t="s">
        <v>234</v>
      </c>
      <c r="C500" s="48">
        <v>1</v>
      </c>
      <c r="D500" s="22">
        <v>0</v>
      </c>
      <c r="E500" s="23">
        <f t="shared" si="234"/>
        <v>1</v>
      </c>
      <c r="F500" s="24" t="s">
        <v>18</v>
      </c>
      <c r="G500" s="57"/>
      <c r="H500" s="103">
        <f t="shared" si="235"/>
        <v>0</v>
      </c>
      <c r="I500" s="104">
        <f t="shared" si="236"/>
        <v>0</v>
      </c>
      <c r="J500" s="24">
        <v>2</v>
      </c>
      <c r="K500" s="105">
        <f t="shared" si="237"/>
        <v>0</v>
      </c>
      <c r="L500" s="106">
        <f t="shared" si="238"/>
        <v>0</v>
      </c>
    </row>
    <row r="501" spans="1:12" ht="34" customHeight="1" x14ac:dyDescent="0.35">
      <c r="A501" s="67">
        <v>44</v>
      </c>
      <c r="B501" s="49" t="s">
        <v>235</v>
      </c>
      <c r="C501" s="48">
        <v>1</v>
      </c>
      <c r="D501" s="22">
        <v>0</v>
      </c>
      <c r="E501" s="23">
        <f t="shared" si="234"/>
        <v>1</v>
      </c>
      <c r="F501" s="24" t="s">
        <v>18</v>
      </c>
      <c r="G501" s="57"/>
      <c r="H501" s="103">
        <f t="shared" si="235"/>
        <v>0</v>
      </c>
      <c r="I501" s="104">
        <f t="shared" si="236"/>
        <v>0</v>
      </c>
      <c r="J501" s="24">
        <v>2</v>
      </c>
      <c r="K501" s="105">
        <f t="shared" si="237"/>
        <v>0</v>
      </c>
      <c r="L501" s="106">
        <f t="shared" si="238"/>
        <v>0</v>
      </c>
    </row>
    <row r="502" spans="1:12" ht="43.5" x14ac:dyDescent="0.35">
      <c r="A502" s="67">
        <v>45</v>
      </c>
      <c r="B502" s="2" t="s">
        <v>236</v>
      </c>
      <c r="C502" s="48">
        <v>1</v>
      </c>
      <c r="D502" s="22">
        <v>0</v>
      </c>
      <c r="E502" s="23">
        <f t="shared" si="234"/>
        <v>1</v>
      </c>
      <c r="F502" s="24" t="s">
        <v>18</v>
      </c>
      <c r="G502" s="57"/>
      <c r="H502" s="103">
        <f t="shared" si="235"/>
        <v>0</v>
      </c>
      <c r="I502" s="104">
        <f t="shared" si="236"/>
        <v>0</v>
      </c>
      <c r="J502" s="24">
        <v>2</v>
      </c>
      <c r="K502" s="105">
        <f t="shared" si="237"/>
        <v>0</v>
      </c>
      <c r="L502" s="106">
        <f t="shared" si="238"/>
        <v>0</v>
      </c>
    </row>
    <row r="503" spans="1:12" ht="43.5" x14ac:dyDescent="0.35">
      <c r="A503" s="67">
        <v>46</v>
      </c>
      <c r="B503" s="49" t="s">
        <v>237</v>
      </c>
      <c r="C503" s="48">
        <v>1</v>
      </c>
      <c r="D503" s="22">
        <v>0</v>
      </c>
      <c r="E503" s="23">
        <f t="shared" si="234"/>
        <v>1</v>
      </c>
      <c r="F503" s="24" t="s">
        <v>18</v>
      </c>
      <c r="G503" s="57"/>
      <c r="H503" s="103">
        <f t="shared" si="235"/>
        <v>0</v>
      </c>
      <c r="I503" s="104">
        <f t="shared" si="236"/>
        <v>0</v>
      </c>
      <c r="J503" s="24">
        <v>2</v>
      </c>
      <c r="K503" s="105">
        <f t="shared" si="237"/>
        <v>0</v>
      </c>
      <c r="L503" s="106">
        <f t="shared" si="238"/>
        <v>0</v>
      </c>
    </row>
    <row r="504" spans="1:12" ht="43.5" x14ac:dyDescent="0.35">
      <c r="A504" s="67">
        <v>47</v>
      </c>
      <c r="B504" s="2" t="s">
        <v>238</v>
      </c>
      <c r="C504" s="48">
        <v>1</v>
      </c>
      <c r="D504" s="22">
        <v>0</v>
      </c>
      <c r="E504" s="23">
        <f t="shared" si="234"/>
        <v>1</v>
      </c>
      <c r="F504" s="24" t="s">
        <v>18</v>
      </c>
      <c r="G504" s="57"/>
      <c r="H504" s="103">
        <f t="shared" si="235"/>
        <v>0</v>
      </c>
      <c r="I504" s="104">
        <f t="shared" si="236"/>
        <v>0</v>
      </c>
      <c r="J504" s="24">
        <v>1</v>
      </c>
      <c r="K504" s="105">
        <f t="shared" si="237"/>
        <v>0</v>
      </c>
      <c r="L504" s="106">
        <f t="shared" si="238"/>
        <v>0</v>
      </c>
    </row>
    <row r="505" spans="1:12" ht="15" thickBot="1" x14ac:dyDescent="0.4">
      <c r="A505" s="67"/>
      <c r="B505" s="2"/>
      <c r="C505" s="48"/>
      <c r="D505" s="22"/>
      <c r="E505" s="23"/>
      <c r="F505" s="24"/>
      <c r="G505" s="26"/>
      <c r="H505" s="24"/>
      <c r="I505" s="24"/>
      <c r="J505" s="24"/>
      <c r="K505" s="21"/>
      <c r="L505" s="109"/>
    </row>
    <row r="506" spans="1:12" ht="15" thickBot="1" x14ac:dyDescent="0.4">
      <c r="A506" s="364" t="s">
        <v>241</v>
      </c>
      <c r="B506" s="365"/>
      <c r="C506" s="48"/>
      <c r="D506" s="22"/>
      <c r="E506" s="23"/>
      <c r="F506" s="24"/>
      <c r="G506" s="26"/>
      <c r="H506" s="24"/>
      <c r="I506" s="24"/>
      <c r="J506" s="24"/>
      <c r="K506" s="21"/>
      <c r="L506" s="109"/>
    </row>
    <row r="507" spans="1:12" x14ac:dyDescent="0.35">
      <c r="A507" s="94">
        <v>1</v>
      </c>
      <c r="B507" s="95" t="s">
        <v>242</v>
      </c>
      <c r="C507" s="48">
        <v>3390</v>
      </c>
      <c r="D507" s="22">
        <v>0.1</v>
      </c>
      <c r="E507" s="23">
        <f t="shared" ref="E507" si="239">C507*(1+D507)</f>
        <v>3729.0000000000005</v>
      </c>
      <c r="F507" s="93" t="s">
        <v>243</v>
      </c>
      <c r="G507" s="57"/>
      <c r="H507" s="103">
        <f t="shared" ref="H507" si="240">G507*E507</f>
        <v>0</v>
      </c>
      <c r="I507" s="104">
        <f t="shared" ref="I507" si="241">L$4</f>
        <v>0</v>
      </c>
      <c r="J507" s="113">
        <v>186.45000000000005</v>
      </c>
      <c r="K507" s="105">
        <f t="shared" ref="K507" si="242">J507*I507</f>
        <v>0</v>
      </c>
      <c r="L507" s="106">
        <f t="shared" ref="L507" si="243">K507+H507</f>
        <v>0</v>
      </c>
    </row>
    <row r="508" spans="1:12" ht="15" thickBot="1" x14ac:dyDescent="0.4">
      <c r="A508" s="91"/>
      <c r="B508" s="91"/>
      <c r="C508" s="84"/>
      <c r="D508" s="85"/>
      <c r="E508" s="86"/>
      <c r="F508" s="87"/>
      <c r="G508" s="88"/>
      <c r="H508" s="87"/>
      <c r="I508" s="87"/>
      <c r="J508" s="87"/>
      <c r="K508" s="111"/>
      <c r="L508" s="112"/>
    </row>
    <row r="509" spans="1:12" ht="15" thickBot="1" x14ac:dyDescent="0.4">
      <c r="A509" s="364" t="s">
        <v>240</v>
      </c>
      <c r="B509" s="365"/>
      <c r="C509" s="84"/>
      <c r="D509" s="85"/>
      <c r="E509" s="86"/>
      <c r="F509" s="87"/>
      <c r="G509" s="88"/>
      <c r="H509" s="87"/>
      <c r="I509" s="87"/>
      <c r="J509" s="87"/>
      <c r="K509" s="111"/>
      <c r="L509" s="112"/>
    </row>
    <row r="510" spans="1:12" x14ac:dyDescent="0.35">
      <c r="A510" s="94">
        <v>1</v>
      </c>
      <c r="B510" s="96" t="s">
        <v>244</v>
      </c>
      <c r="C510" s="97">
        <v>30</v>
      </c>
      <c r="D510" s="22">
        <v>0</v>
      </c>
      <c r="E510" s="23">
        <f t="shared" ref="E510:E519" si="244">C510*(1+D510)</f>
        <v>30</v>
      </c>
      <c r="F510" s="24" t="s">
        <v>18</v>
      </c>
      <c r="G510" s="57"/>
      <c r="H510" s="103">
        <f t="shared" ref="H510:H519" si="245">G510*E510</f>
        <v>0</v>
      </c>
      <c r="I510" s="104">
        <f t="shared" ref="I510:I519" si="246">L$4</f>
        <v>0</v>
      </c>
      <c r="J510" s="113">
        <v>7.5</v>
      </c>
      <c r="K510" s="105">
        <f t="shared" ref="K510:K519" si="247">J510*I510</f>
        <v>0</v>
      </c>
      <c r="L510" s="106">
        <f t="shared" ref="L510:L519" si="248">K510+H510</f>
        <v>0</v>
      </c>
    </row>
    <row r="511" spans="1:12" x14ac:dyDescent="0.35">
      <c r="A511" s="92">
        <v>2</v>
      </c>
      <c r="B511" s="96" t="s">
        <v>245</v>
      </c>
      <c r="C511" s="97">
        <v>68</v>
      </c>
      <c r="D511" s="22">
        <v>0</v>
      </c>
      <c r="E511" s="23">
        <f t="shared" si="244"/>
        <v>68</v>
      </c>
      <c r="F511" s="24" t="s">
        <v>18</v>
      </c>
      <c r="G511" s="57"/>
      <c r="H511" s="103">
        <f t="shared" si="245"/>
        <v>0</v>
      </c>
      <c r="I511" s="104">
        <f t="shared" si="246"/>
        <v>0</v>
      </c>
      <c r="J511" s="113">
        <v>17</v>
      </c>
      <c r="K511" s="105">
        <f t="shared" si="247"/>
        <v>0</v>
      </c>
      <c r="L511" s="106">
        <f t="shared" si="248"/>
        <v>0</v>
      </c>
    </row>
    <row r="512" spans="1:12" x14ac:dyDescent="0.35">
      <c r="A512" s="92">
        <v>3</v>
      </c>
      <c r="B512" s="96" t="s">
        <v>246</v>
      </c>
      <c r="C512" s="97">
        <v>2</v>
      </c>
      <c r="D512" s="22">
        <v>0</v>
      </c>
      <c r="E512" s="23">
        <f t="shared" si="244"/>
        <v>2</v>
      </c>
      <c r="F512" s="24" t="s">
        <v>18</v>
      </c>
      <c r="G512" s="57"/>
      <c r="H512" s="103">
        <f t="shared" si="245"/>
        <v>0</v>
      </c>
      <c r="I512" s="104">
        <f t="shared" si="246"/>
        <v>0</v>
      </c>
      <c r="J512" s="113">
        <v>0.5</v>
      </c>
      <c r="K512" s="105">
        <f t="shared" si="247"/>
        <v>0</v>
      </c>
      <c r="L512" s="106">
        <f t="shared" si="248"/>
        <v>0</v>
      </c>
    </row>
    <row r="513" spans="1:12" x14ac:dyDescent="0.35">
      <c r="A513" s="92">
        <v>4</v>
      </c>
      <c r="B513" s="96" t="s">
        <v>247</v>
      </c>
      <c r="C513" s="97">
        <v>42</v>
      </c>
      <c r="D513" s="22">
        <v>0</v>
      </c>
      <c r="E513" s="23">
        <f t="shared" si="244"/>
        <v>42</v>
      </c>
      <c r="F513" s="24" t="s">
        <v>18</v>
      </c>
      <c r="G513" s="57"/>
      <c r="H513" s="103">
        <f t="shared" si="245"/>
        <v>0</v>
      </c>
      <c r="I513" s="104">
        <f t="shared" si="246"/>
        <v>0</v>
      </c>
      <c r="J513" s="113">
        <v>10.5</v>
      </c>
      <c r="K513" s="105">
        <f t="shared" si="247"/>
        <v>0</v>
      </c>
      <c r="L513" s="106">
        <f t="shared" si="248"/>
        <v>0</v>
      </c>
    </row>
    <row r="514" spans="1:12" x14ac:dyDescent="0.35">
      <c r="A514" s="92">
        <v>5</v>
      </c>
      <c r="B514" s="96" t="s">
        <v>248</v>
      </c>
      <c r="C514" s="97">
        <v>47</v>
      </c>
      <c r="D514" s="22">
        <v>0</v>
      </c>
      <c r="E514" s="23">
        <f t="shared" si="244"/>
        <v>47</v>
      </c>
      <c r="F514" s="24" t="s">
        <v>18</v>
      </c>
      <c r="G514" s="57"/>
      <c r="H514" s="103">
        <f t="shared" si="245"/>
        <v>0</v>
      </c>
      <c r="I514" s="104">
        <f t="shared" si="246"/>
        <v>0</v>
      </c>
      <c r="J514" s="113">
        <v>11.75</v>
      </c>
      <c r="K514" s="105">
        <f t="shared" si="247"/>
        <v>0</v>
      </c>
      <c r="L514" s="106">
        <f t="shared" si="248"/>
        <v>0</v>
      </c>
    </row>
    <row r="515" spans="1:12" x14ac:dyDescent="0.35">
      <c r="A515" s="92">
        <v>6</v>
      </c>
      <c r="B515" s="96" t="s">
        <v>249</v>
      </c>
      <c r="C515" s="97">
        <v>35</v>
      </c>
      <c r="D515" s="22">
        <v>0</v>
      </c>
      <c r="E515" s="23">
        <f t="shared" si="244"/>
        <v>35</v>
      </c>
      <c r="F515" s="24" t="s">
        <v>18</v>
      </c>
      <c r="G515" s="57"/>
      <c r="H515" s="103">
        <f t="shared" si="245"/>
        <v>0</v>
      </c>
      <c r="I515" s="104">
        <f t="shared" si="246"/>
        <v>0</v>
      </c>
      <c r="J515" s="113">
        <v>8.75</v>
      </c>
      <c r="K515" s="105">
        <f t="shared" si="247"/>
        <v>0</v>
      </c>
      <c r="L515" s="106">
        <f t="shared" si="248"/>
        <v>0</v>
      </c>
    </row>
    <row r="516" spans="1:12" x14ac:dyDescent="0.35">
      <c r="A516" s="92">
        <v>7</v>
      </c>
      <c r="B516" s="96" t="s">
        <v>250</v>
      </c>
      <c r="C516" s="97">
        <v>18</v>
      </c>
      <c r="D516" s="22">
        <v>0</v>
      </c>
      <c r="E516" s="23">
        <f t="shared" si="244"/>
        <v>18</v>
      </c>
      <c r="F516" s="24" t="s">
        <v>18</v>
      </c>
      <c r="G516" s="57"/>
      <c r="H516" s="103">
        <f t="shared" si="245"/>
        <v>0</v>
      </c>
      <c r="I516" s="104">
        <f t="shared" si="246"/>
        <v>0</v>
      </c>
      <c r="J516" s="113">
        <v>4.5</v>
      </c>
      <c r="K516" s="105">
        <f t="shared" si="247"/>
        <v>0</v>
      </c>
      <c r="L516" s="106">
        <f t="shared" si="248"/>
        <v>0</v>
      </c>
    </row>
    <row r="517" spans="1:12" x14ac:dyDescent="0.35">
      <c r="A517" s="92">
        <v>8</v>
      </c>
      <c r="B517" s="96" t="s">
        <v>251</v>
      </c>
      <c r="C517" s="97">
        <v>15</v>
      </c>
      <c r="D517" s="22">
        <v>0</v>
      </c>
      <c r="E517" s="23">
        <f t="shared" si="244"/>
        <v>15</v>
      </c>
      <c r="F517" s="24" t="s">
        <v>18</v>
      </c>
      <c r="G517" s="57"/>
      <c r="H517" s="103">
        <f t="shared" si="245"/>
        <v>0</v>
      </c>
      <c r="I517" s="104">
        <f t="shared" si="246"/>
        <v>0</v>
      </c>
      <c r="J517" s="113">
        <v>3.75</v>
      </c>
      <c r="K517" s="105">
        <f t="shared" si="247"/>
        <v>0</v>
      </c>
      <c r="L517" s="106">
        <f t="shared" si="248"/>
        <v>0</v>
      </c>
    </row>
    <row r="518" spans="1:12" x14ac:dyDescent="0.35">
      <c r="A518" s="92">
        <v>9</v>
      </c>
      <c r="B518" s="96" t="s">
        <v>252</v>
      </c>
      <c r="C518" s="98">
        <v>6</v>
      </c>
      <c r="D518" s="22">
        <v>0</v>
      </c>
      <c r="E518" s="23">
        <f t="shared" si="244"/>
        <v>6</v>
      </c>
      <c r="F518" s="24" t="s">
        <v>18</v>
      </c>
      <c r="G518" s="57"/>
      <c r="H518" s="103">
        <f t="shared" si="245"/>
        <v>0</v>
      </c>
      <c r="I518" s="104">
        <f t="shared" si="246"/>
        <v>0</v>
      </c>
      <c r="J518" s="113">
        <v>1.5</v>
      </c>
      <c r="K518" s="105">
        <f t="shared" si="247"/>
        <v>0</v>
      </c>
      <c r="L518" s="106">
        <f t="shared" si="248"/>
        <v>0</v>
      </c>
    </row>
    <row r="519" spans="1:12" x14ac:dyDescent="0.35">
      <c r="A519" s="92">
        <v>10</v>
      </c>
      <c r="B519" s="96" t="s">
        <v>253</v>
      </c>
      <c r="C519" s="98">
        <v>18</v>
      </c>
      <c r="D519" s="22">
        <v>0</v>
      </c>
      <c r="E519" s="23">
        <f t="shared" si="244"/>
        <v>18</v>
      </c>
      <c r="F519" s="24" t="s">
        <v>18</v>
      </c>
      <c r="G519" s="57"/>
      <c r="H519" s="103">
        <f t="shared" si="245"/>
        <v>0</v>
      </c>
      <c r="I519" s="104">
        <f t="shared" si="246"/>
        <v>0</v>
      </c>
      <c r="J519" s="113">
        <v>4.5</v>
      </c>
      <c r="K519" s="105">
        <f t="shared" si="247"/>
        <v>0</v>
      </c>
      <c r="L519" s="106">
        <f t="shared" si="248"/>
        <v>0</v>
      </c>
    </row>
    <row r="520" spans="1:12" ht="72.5" x14ac:dyDescent="0.35">
      <c r="A520" s="92"/>
      <c r="B520" s="100" t="s">
        <v>254</v>
      </c>
      <c r="C520" s="99"/>
      <c r="D520" s="85"/>
      <c r="E520" s="86"/>
      <c r="F520" s="87"/>
      <c r="G520" s="88"/>
      <c r="H520" s="88"/>
      <c r="I520" s="88"/>
      <c r="J520" s="88"/>
      <c r="K520" s="89"/>
      <c r="L520" s="90"/>
    </row>
    <row r="521" spans="1:12" ht="15" thickBot="1" x14ac:dyDescent="0.4">
      <c r="A521" s="40"/>
      <c r="B521" s="40"/>
      <c r="C521" s="73"/>
      <c r="D521" s="73"/>
      <c r="E521" s="74"/>
      <c r="F521" s="73"/>
      <c r="G521" s="73"/>
      <c r="H521" s="73"/>
      <c r="I521" s="73"/>
      <c r="J521" s="73"/>
      <c r="K521" s="75"/>
      <c r="L521" s="76"/>
    </row>
    <row r="522" spans="1:12" ht="16" thickBot="1" x14ac:dyDescent="0.4">
      <c r="A522" s="366" t="s">
        <v>185</v>
      </c>
      <c r="B522" s="367"/>
      <c r="C522" s="358"/>
      <c r="D522" s="358"/>
      <c r="E522" s="358"/>
      <c r="F522" s="358"/>
      <c r="G522" s="358"/>
      <c r="H522" s="358"/>
      <c r="I522" s="358"/>
      <c r="J522" s="361"/>
      <c r="K522" s="359">
        <f>SUM(H8:H521)</f>
        <v>0</v>
      </c>
      <c r="L522" s="360"/>
    </row>
    <row r="523" spans="1:12" ht="16" thickBot="1" x14ac:dyDescent="0.4">
      <c r="A523" s="357" t="s">
        <v>186</v>
      </c>
      <c r="B523" s="358"/>
      <c r="C523" s="358"/>
      <c r="D523" s="358"/>
      <c r="E523" s="358"/>
      <c r="F523" s="358"/>
      <c r="G523" s="358"/>
      <c r="H523" s="358"/>
      <c r="I523" s="358"/>
      <c r="J523" s="361"/>
      <c r="K523" s="359">
        <f>SUM(K8:K521)</f>
        <v>0</v>
      </c>
      <c r="L523" s="360"/>
    </row>
    <row r="524" spans="1:12" ht="16" thickBot="1" x14ac:dyDescent="0.4">
      <c r="A524" s="357" t="s">
        <v>14</v>
      </c>
      <c r="B524" s="358"/>
      <c r="C524" s="358"/>
      <c r="D524" s="358"/>
      <c r="E524" s="358"/>
      <c r="F524" s="358"/>
      <c r="G524" s="358"/>
      <c r="H524" s="358"/>
      <c r="I524" s="358"/>
      <c r="J524" s="361"/>
      <c r="K524" s="359">
        <f>K522+K523</f>
        <v>0</v>
      </c>
      <c r="L524" s="360"/>
    </row>
    <row r="525" spans="1:12" ht="16" thickBot="1" x14ac:dyDescent="0.4">
      <c r="A525" s="357" t="s">
        <v>15</v>
      </c>
      <c r="B525" s="358"/>
      <c r="C525" s="358"/>
      <c r="D525" s="358"/>
      <c r="E525" s="358"/>
      <c r="F525" s="358"/>
      <c r="G525" s="358"/>
      <c r="H525" s="358"/>
      <c r="I525" s="358"/>
      <c r="J525" s="12">
        <v>0.25</v>
      </c>
      <c r="K525" s="359">
        <f>K524*J525</f>
        <v>0</v>
      </c>
      <c r="L525" s="360"/>
    </row>
    <row r="526" spans="1:12" ht="16" thickBot="1" x14ac:dyDescent="0.4">
      <c r="A526" s="357" t="s">
        <v>16</v>
      </c>
      <c r="B526" s="358"/>
      <c r="C526" s="358"/>
      <c r="D526" s="358"/>
      <c r="E526" s="358"/>
      <c r="F526" s="358"/>
      <c r="G526" s="358"/>
      <c r="H526" s="358"/>
      <c r="I526" s="358"/>
      <c r="J526" s="361"/>
      <c r="K526" s="359">
        <f>K525+K524</f>
        <v>0</v>
      </c>
      <c r="L526" s="360"/>
    </row>
    <row r="527" spans="1:12" x14ac:dyDescent="0.35">
      <c r="A527" s="51"/>
      <c r="B527" s="52"/>
      <c r="C527" s="53"/>
      <c r="D527" s="54"/>
      <c r="E527" s="55"/>
      <c r="F527" s="54"/>
      <c r="G527" s="54"/>
      <c r="H527" s="54"/>
      <c r="I527" s="54"/>
    </row>
    <row r="528" spans="1:12" x14ac:dyDescent="0.35">
      <c r="A528" s="51"/>
      <c r="B528" s="52"/>
      <c r="C528" s="53"/>
      <c r="D528" s="54"/>
      <c r="E528" s="55"/>
      <c r="F528" s="54"/>
      <c r="G528" s="54"/>
      <c r="H528" s="54"/>
      <c r="I528" s="54"/>
    </row>
    <row r="529" spans="1:9" x14ac:dyDescent="0.35">
      <c r="A529" s="51"/>
      <c r="B529" s="52"/>
      <c r="C529" s="53"/>
      <c r="D529" s="54"/>
      <c r="E529" s="55"/>
      <c r="F529" s="54"/>
      <c r="G529" s="54"/>
      <c r="H529" s="54"/>
      <c r="I529" s="54"/>
    </row>
    <row r="530" spans="1:9" x14ac:dyDescent="0.35">
      <c r="A530" s="51"/>
      <c r="B530" s="52"/>
      <c r="C530" s="53"/>
      <c r="D530" s="54"/>
      <c r="E530" s="55"/>
      <c r="F530" s="54"/>
      <c r="G530" s="54"/>
      <c r="H530" s="54"/>
      <c r="I530" s="54"/>
    </row>
    <row r="531" spans="1:9" x14ac:dyDescent="0.35">
      <c r="A531" s="51"/>
      <c r="B531" s="52"/>
      <c r="C531" s="53"/>
      <c r="D531" s="54"/>
      <c r="E531" s="55"/>
      <c r="F531" s="54"/>
      <c r="G531" s="54"/>
      <c r="H531" s="54"/>
      <c r="I531" s="54"/>
    </row>
  </sheetData>
  <mergeCells count="103">
    <mergeCell ref="A452:B452"/>
    <mergeCell ref="A107:B107"/>
    <mergeCell ref="A130:B130"/>
    <mergeCell ref="A198:B198"/>
    <mergeCell ref="A214:B214"/>
    <mergeCell ref="A228:B228"/>
    <mergeCell ref="A262:B262"/>
    <mergeCell ref="A277:B277"/>
    <mergeCell ref="A305:B305"/>
    <mergeCell ref="A319:B319"/>
    <mergeCell ref="A351:B351"/>
    <mergeCell ref="A370:B370"/>
    <mergeCell ref="A392:B392"/>
    <mergeCell ref="A234:B234"/>
    <mergeCell ref="A239:B239"/>
    <mergeCell ref="A283:B283"/>
    <mergeCell ref="A379:B379"/>
    <mergeCell ref="A242:B242"/>
    <mergeCell ref="A264:B264"/>
    <mergeCell ref="A279:B279"/>
    <mergeCell ref="A416:B416"/>
    <mergeCell ref="A450:B450"/>
    <mergeCell ref="A339:B339"/>
    <mergeCell ref="A290:B290"/>
    <mergeCell ref="A115:B115"/>
    <mergeCell ref="A132:B132"/>
    <mergeCell ref="A179:B179"/>
    <mergeCell ref="A144:B144"/>
    <mergeCell ref="A145:B145"/>
    <mergeCell ref="A140:B140"/>
    <mergeCell ref="A45:B45"/>
    <mergeCell ref="A60:B60"/>
    <mergeCell ref="A52:B52"/>
    <mergeCell ref="A80:B80"/>
    <mergeCell ref="A109:B109"/>
    <mergeCell ref="A172:B172"/>
    <mergeCell ref="A177:B177"/>
    <mergeCell ref="A138:B138"/>
    <mergeCell ref="A142:B142"/>
    <mergeCell ref="A170:B170"/>
    <mergeCell ref="A331:B331"/>
    <mergeCell ref="A329:B329"/>
    <mergeCell ref="A337:B337"/>
    <mergeCell ref="A353:B353"/>
    <mergeCell ref="A285:B285"/>
    <mergeCell ref="A332:B332"/>
    <mergeCell ref="A325:B325"/>
    <mergeCell ref="A387:B387"/>
    <mergeCell ref="A388:B388"/>
    <mergeCell ref="A287:B287"/>
    <mergeCell ref="A372:B372"/>
    <mergeCell ref="A307:B307"/>
    <mergeCell ref="A321:B321"/>
    <mergeCell ref="A327:B327"/>
    <mergeCell ref="A289:B289"/>
    <mergeCell ref="A506:B506"/>
    <mergeCell ref="C2:C3"/>
    <mergeCell ref="A523:J523"/>
    <mergeCell ref="J4:K4"/>
    <mergeCell ref="A6:B6"/>
    <mergeCell ref="A17:B17"/>
    <mergeCell ref="A82:B82"/>
    <mergeCell ref="A7:B7"/>
    <mergeCell ref="A40:B40"/>
    <mergeCell ref="A200:B200"/>
    <mergeCell ref="A201:B201"/>
    <mergeCell ref="A216:B216"/>
    <mergeCell ref="A230:B230"/>
    <mergeCell ref="A236:B236"/>
    <mergeCell ref="A241:B241"/>
    <mergeCell ref="A47:B47"/>
    <mergeCell ref="A54:B54"/>
    <mergeCell ref="A55:B55"/>
    <mergeCell ref="A62:B62"/>
    <mergeCell ref="A67:B67"/>
    <mergeCell ref="A65:B65"/>
    <mergeCell ref="A88:B88"/>
    <mergeCell ref="A89:B89"/>
    <mergeCell ref="A113:B113"/>
    <mergeCell ref="A525:I525"/>
    <mergeCell ref="K525:L525"/>
    <mergeCell ref="A526:J526"/>
    <mergeCell ref="K526:L526"/>
    <mergeCell ref="A377:B377"/>
    <mergeCell ref="A385:B385"/>
    <mergeCell ref="A434:B434"/>
    <mergeCell ref="A440:B440"/>
    <mergeCell ref="A394:B394"/>
    <mergeCell ref="A402:B402"/>
    <mergeCell ref="A418:B418"/>
    <mergeCell ref="A419:B419"/>
    <mergeCell ref="A429:B429"/>
    <mergeCell ref="A432:B432"/>
    <mergeCell ref="A400:B400"/>
    <mergeCell ref="A427:B427"/>
    <mergeCell ref="A438:B438"/>
    <mergeCell ref="A509:B509"/>
    <mergeCell ref="A457:B457"/>
    <mergeCell ref="K523:L523"/>
    <mergeCell ref="A524:J524"/>
    <mergeCell ref="K524:L524"/>
    <mergeCell ref="A522:J522"/>
    <mergeCell ref="K522:L5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40"/>
  <sheetViews>
    <sheetView view="pageBreakPreview" zoomScale="90" zoomScaleNormal="120" zoomScaleSheetLayoutView="90" workbookViewId="0">
      <pane xSplit="2" ySplit="6" topLeftCell="C7" activePane="bottomRight" state="frozen"/>
      <selection pane="topRight" activeCell="C1" sqref="C1"/>
      <selection pane="bottomLeft" activeCell="A4" sqref="A4"/>
      <selection pane="bottomRight"/>
    </sheetView>
  </sheetViews>
  <sheetFormatPr defaultColWidth="8.81640625" defaultRowHeight="14.5" x14ac:dyDescent="0.35"/>
  <cols>
    <col min="1" max="1" width="5.81640625" style="15" customWidth="1"/>
    <col min="2" max="2" width="74.453125" style="15" customWidth="1"/>
    <col min="3" max="3" width="9.7265625" style="19" bestFit="1" customWidth="1"/>
    <col min="4" max="4" width="10.81640625" style="19" customWidth="1"/>
    <col min="5" max="5" width="8.81640625" style="19" bestFit="1" customWidth="1"/>
    <col min="6" max="6" width="6.81640625" style="19" customWidth="1"/>
    <col min="7" max="7" width="5" style="115" bestFit="1" customWidth="1"/>
    <col min="8" max="8" width="9.1796875" style="115" bestFit="1" customWidth="1"/>
    <col min="9" max="9" width="10.453125" style="115" bestFit="1" customWidth="1"/>
    <col min="10" max="11" width="10.453125" style="19" bestFit="1" customWidth="1"/>
    <col min="12" max="12" width="11.26953125" style="19" bestFit="1" customWidth="1"/>
    <col min="13" max="16384" width="8.81640625" style="15"/>
  </cols>
  <sheetData>
    <row r="1" spans="1:12" ht="28.5" x14ac:dyDescent="0.65">
      <c r="A1" s="343"/>
      <c r="B1" s="344"/>
      <c r="C1" s="347" t="s">
        <v>162</v>
      </c>
      <c r="D1" s="340"/>
      <c r="E1" s="348"/>
      <c r="F1" s="348"/>
      <c r="G1" s="349"/>
      <c r="H1" s="349"/>
    </row>
    <row r="2" spans="1:12" ht="15.5" x14ac:dyDescent="0.35">
      <c r="A2" s="345"/>
      <c r="B2" s="346"/>
      <c r="C2" s="381" t="s">
        <v>163</v>
      </c>
      <c r="D2" s="341"/>
      <c r="E2" s="348"/>
      <c r="F2" s="348"/>
      <c r="G2" s="349"/>
      <c r="H2" s="349"/>
    </row>
    <row r="3" spans="1:12" ht="16" thickBot="1" x14ac:dyDescent="0.4">
      <c r="A3" s="345"/>
      <c r="B3" s="346"/>
      <c r="C3" s="381"/>
      <c r="D3" s="341"/>
      <c r="E3" s="348"/>
      <c r="F3" s="348"/>
      <c r="G3" s="349"/>
      <c r="H3" s="349"/>
    </row>
    <row r="4" spans="1:12" ht="19" thickBot="1" x14ac:dyDescent="0.5">
      <c r="A4" s="347"/>
      <c r="B4" s="346"/>
      <c r="C4" s="350" t="s">
        <v>4</v>
      </c>
      <c r="D4" s="342">
        <v>0</v>
      </c>
      <c r="E4" s="351"/>
      <c r="F4" s="348"/>
      <c r="G4" s="352"/>
      <c r="H4" s="352"/>
      <c r="I4" s="118"/>
      <c r="J4" s="369" t="s">
        <v>5</v>
      </c>
      <c r="K4" s="370"/>
      <c r="L4" s="119"/>
    </row>
    <row r="5" spans="1:12" ht="49.5" customHeight="1" thickBot="1" x14ac:dyDescent="0.4">
      <c r="A5" s="331" t="s">
        <v>6</v>
      </c>
      <c r="B5" s="332" t="s">
        <v>0</v>
      </c>
      <c r="C5" s="332" t="s">
        <v>1</v>
      </c>
      <c r="D5" s="331" t="s">
        <v>7</v>
      </c>
      <c r="E5" s="331" t="s">
        <v>2</v>
      </c>
      <c r="F5" s="331" t="s">
        <v>8</v>
      </c>
      <c r="G5" s="331" t="s">
        <v>9</v>
      </c>
      <c r="H5" s="334" t="s">
        <v>10</v>
      </c>
      <c r="I5" s="334" t="s">
        <v>11</v>
      </c>
      <c r="J5" s="334" t="s">
        <v>12</v>
      </c>
      <c r="K5" s="334" t="s">
        <v>13</v>
      </c>
      <c r="L5" s="331" t="s">
        <v>3</v>
      </c>
    </row>
    <row r="6" spans="1:12" ht="17.25" customHeight="1" thickBot="1" x14ac:dyDescent="0.4">
      <c r="A6" s="382" t="s">
        <v>255</v>
      </c>
      <c r="B6" s="383"/>
      <c r="C6" s="168"/>
      <c r="D6" s="120"/>
      <c r="E6" s="120"/>
      <c r="F6" s="120"/>
      <c r="G6" s="120"/>
      <c r="H6" s="120"/>
      <c r="I6" s="120"/>
      <c r="J6" s="120"/>
      <c r="K6" s="120"/>
      <c r="L6" s="121"/>
    </row>
    <row r="7" spans="1:12" ht="43.5" x14ac:dyDescent="0.35">
      <c r="A7" s="122">
        <v>1</v>
      </c>
      <c r="B7" s="185" t="s">
        <v>451</v>
      </c>
      <c r="C7" s="169">
        <v>2</v>
      </c>
      <c r="D7" s="124">
        <v>0</v>
      </c>
      <c r="E7" s="125">
        <f t="shared" ref="E7:E50" si="0">C7*(1+D7)</f>
        <v>2</v>
      </c>
      <c r="F7" s="58" t="s">
        <v>18</v>
      </c>
      <c r="G7" s="59"/>
      <c r="H7" s="101">
        <f t="shared" ref="H7" si="1">G7*E7</f>
        <v>0</v>
      </c>
      <c r="I7" s="102">
        <f>L$4</f>
        <v>0</v>
      </c>
      <c r="J7" s="170">
        <v>2.5</v>
      </c>
      <c r="K7" s="107">
        <f t="shared" ref="K7" si="2">J7*I7</f>
        <v>0</v>
      </c>
      <c r="L7" s="108">
        <f t="shared" ref="L7" si="3">K7+H7</f>
        <v>0</v>
      </c>
    </row>
    <row r="8" spans="1:12" ht="29.25" customHeight="1" x14ac:dyDescent="0.35">
      <c r="A8" s="126">
        <v>2</v>
      </c>
      <c r="B8" s="186" t="s">
        <v>452</v>
      </c>
      <c r="C8" s="123">
        <v>14</v>
      </c>
      <c r="D8" s="127">
        <v>0</v>
      </c>
      <c r="E8" s="128">
        <f t="shared" si="0"/>
        <v>14</v>
      </c>
      <c r="F8" s="24" t="s">
        <v>18</v>
      </c>
      <c r="G8" s="57"/>
      <c r="H8" s="103">
        <f t="shared" ref="H8:H12" si="4">G8*E8</f>
        <v>0</v>
      </c>
      <c r="I8" s="104">
        <f t="shared" ref="I8:I28" si="5">L$4</f>
        <v>0</v>
      </c>
      <c r="J8" s="113">
        <v>17.5</v>
      </c>
      <c r="K8" s="105">
        <f t="shared" ref="K8:K12" si="6">J8*I8</f>
        <v>0</v>
      </c>
      <c r="L8" s="106">
        <f t="shared" ref="L8:L12" si="7">K8+H8</f>
        <v>0</v>
      </c>
    </row>
    <row r="9" spans="1:12" ht="29.25" customHeight="1" x14ac:dyDescent="0.35">
      <c r="A9" s="126">
        <v>3</v>
      </c>
      <c r="B9" s="186" t="s">
        <v>453</v>
      </c>
      <c r="C9" s="123">
        <v>11</v>
      </c>
      <c r="D9" s="127">
        <v>0</v>
      </c>
      <c r="E9" s="128">
        <f t="shared" si="0"/>
        <v>11</v>
      </c>
      <c r="F9" s="24" t="s">
        <v>18</v>
      </c>
      <c r="G9" s="57"/>
      <c r="H9" s="103">
        <f t="shared" si="4"/>
        <v>0</v>
      </c>
      <c r="I9" s="104">
        <f t="shared" si="5"/>
        <v>0</v>
      </c>
      <c r="J9" s="113">
        <v>13.75</v>
      </c>
      <c r="K9" s="105">
        <f t="shared" si="6"/>
        <v>0</v>
      </c>
      <c r="L9" s="106">
        <f t="shared" si="7"/>
        <v>0</v>
      </c>
    </row>
    <row r="10" spans="1:12" ht="43.5" x14ac:dyDescent="0.35">
      <c r="A10" s="126">
        <v>4</v>
      </c>
      <c r="B10" s="185" t="s">
        <v>454</v>
      </c>
      <c r="C10" s="123">
        <v>57</v>
      </c>
      <c r="D10" s="127">
        <v>0</v>
      </c>
      <c r="E10" s="128">
        <f t="shared" si="0"/>
        <v>57</v>
      </c>
      <c r="F10" s="24" t="s">
        <v>18</v>
      </c>
      <c r="G10" s="57"/>
      <c r="H10" s="103">
        <f t="shared" si="4"/>
        <v>0</v>
      </c>
      <c r="I10" s="104">
        <f t="shared" si="5"/>
        <v>0</v>
      </c>
      <c r="J10" s="113">
        <v>71.25</v>
      </c>
      <c r="K10" s="105">
        <f t="shared" si="6"/>
        <v>0</v>
      </c>
      <c r="L10" s="106">
        <f t="shared" si="7"/>
        <v>0</v>
      </c>
    </row>
    <row r="11" spans="1:12" ht="43.5" x14ac:dyDescent="0.35">
      <c r="A11" s="126">
        <v>5</v>
      </c>
      <c r="B11" s="186" t="s">
        <v>455</v>
      </c>
      <c r="C11" s="123">
        <v>2</v>
      </c>
      <c r="D11" s="127">
        <v>0</v>
      </c>
      <c r="E11" s="128">
        <f t="shared" si="0"/>
        <v>2</v>
      </c>
      <c r="F11" s="24" t="s">
        <v>18</v>
      </c>
      <c r="G11" s="57"/>
      <c r="H11" s="103">
        <f t="shared" si="4"/>
        <v>0</v>
      </c>
      <c r="I11" s="104">
        <f t="shared" si="5"/>
        <v>0</v>
      </c>
      <c r="J11" s="113">
        <v>2.5</v>
      </c>
      <c r="K11" s="105">
        <f t="shared" si="6"/>
        <v>0</v>
      </c>
      <c r="L11" s="106">
        <f t="shared" si="7"/>
        <v>0</v>
      </c>
    </row>
    <row r="12" spans="1:12" ht="43.5" x14ac:dyDescent="0.35">
      <c r="A12" s="126">
        <v>6</v>
      </c>
      <c r="B12" s="185" t="s">
        <v>456</v>
      </c>
      <c r="C12" s="123">
        <v>101</v>
      </c>
      <c r="D12" s="127">
        <v>0</v>
      </c>
      <c r="E12" s="128">
        <f t="shared" si="0"/>
        <v>101</v>
      </c>
      <c r="F12" s="24" t="s">
        <v>18</v>
      </c>
      <c r="G12" s="57"/>
      <c r="H12" s="103">
        <f t="shared" si="4"/>
        <v>0</v>
      </c>
      <c r="I12" s="104">
        <f t="shared" si="5"/>
        <v>0</v>
      </c>
      <c r="J12" s="113">
        <v>126.25</v>
      </c>
      <c r="K12" s="105">
        <f t="shared" si="6"/>
        <v>0</v>
      </c>
      <c r="L12" s="106">
        <f t="shared" si="7"/>
        <v>0</v>
      </c>
    </row>
    <row r="13" spans="1:12" ht="43.5" x14ac:dyDescent="0.35">
      <c r="A13" s="126">
        <v>7</v>
      </c>
      <c r="B13" s="186" t="s">
        <v>457</v>
      </c>
      <c r="C13" s="123">
        <v>35</v>
      </c>
      <c r="D13" s="127">
        <v>0</v>
      </c>
      <c r="E13" s="128">
        <f t="shared" si="0"/>
        <v>35</v>
      </c>
      <c r="F13" s="24" t="s">
        <v>18</v>
      </c>
      <c r="G13" s="57"/>
      <c r="H13" s="103">
        <f t="shared" ref="H13:H28" si="8">G13*E13</f>
        <v>0</v>
      </c>
      <c r="I13" s="104">
        <f t="shared" si="5"/>
        <v>0</v>
      </c>
      <c r="J13" s="113">
        <v>43.75</v>
      </c>
      <c r="K13" s="105">
        <f t="shared" ref="K13:K28" si="9">J13*I13</f>
        <v>0</v>
      </c>
      <c r="L13" s="106">
        <f t="shared" ref="L13:L28" si="10">K13+H13</f>
        <v>0</v>
      </c>
    </row>
    <row r="14" spans="1:12" ht="29" x14ac:dyDescent="0.35">
      <c r="A14" s="126">
        <v>8</v>
      </c>
      <c r="B14" s="185" t="s">
        <v>458</v>
      </c>
      <c r="C14" s="123">
        <v>2</v>
      </c>
      <c r="D14" s="127">
        <v>0</v>
      </c>
      <c r="E14" s="128">
        <f t="shared" si="0"/>
        <v>2</v>
      </c>
      <c r="F14" s="24" t="s">
        <v>18</v>
      </c>
      <c r="G14" s="57"/>
      <c r="H14" s="103">
        <f t="shared" si="8"/>
        <v>0</v>
      </c>
      <c r="I14" s="104">
        <f t="shared" si="5"/>
        <v>0</v>
      </c>
      <c r="J14" s="113">
        <v>2.5</v>
      </c>
      <c r="K14" s="105">
        <f t="shared" si="9"/>
        <v>0</v>
      </c>
      <c r="L14" s="106">
        <f t="shared" si="10"/>
        <v>0</v>
      </c>
    </row>
    <row r="15" spans="1:12" ht="34" customHeight="1" x14ac:dyDescent="0.35">
      <c r="A15" s="126">
        <v>9</v>
      </c>
      <c r="B15" s="185" t="s">
        <v>459</v>
      </c>
      <c r="C15" s="123">
        <v>41</v>
      </c>
      <c r="D15" s="127">
        <v>0</v>
      </c>
      <c r="E15" s="128">
        <f t="shared" si="0"/>
        <v>41</v>
      </c>
      <c r="F15" s="24" t="s">
        <v>18</v>
      </c>
      <c r="G15" s="57"/>
      <c r="H15" s="103">
        <f t="shared" si="8"/>
        <v>0</v>
      </c>
      <c r="I15" s="104">
        <f t="shared" si="5"/>
        <v>0</v>
      </c>
      <c r="J15" s="113">
        <v>51.25</v>
      </c>
      <c r="K15" s="105">
        <f t="shared" si="9"/>
        <v>0</v>
      </c>
      <c r="L15" s="106">
        <f t="shared" si="10"/>
        <v>0</v>
      </c>
    </row>
    <row r="16" spans="1:12" ht="30" customHeight="1" x14ac:dyDescent="0.35">
      <c r="A16" s="126">
        <v>10</v>
      </c>
      <c r="B16" s="186" t="s">
        <v>460</v>
      </c>
      <c r="C16" s="123">
        <v>103</v>
      </c>
      <c r="D16" s="127">
        <v>0</v>
      </c>
      <c r="E16" s="128">
        <f t="shared" si="0"/>
        <v>103</v>
      </c>
      <c r="F16" s="24" t="s">
        <v>18</v>
      </c>
      <c r="G16" s="57"/>
      <c r="H16" s="103">
        <f t="shared" si="8"/>
        <v>0</v>
      </c>
      <c r="I16" s="104">
        <f t="shared" si="5"/>
        <v>0</v>
      </c>
      <c r="J16" s="113">
        <v>128.75</v>
      </c>
      <c r="K16" s="105">
        <f t="shared" si="9"/>
        <v>0</v>
      </c>
      <c r="L16" s="106">
        <f t="shared" si="10"/>
        <v>0</v>
      </c>
    </row>
    <row r="17" spans="1:12" ht="43.5" x14ac:dyDescent="0.35">
      <c r="A17" s="126">
        <v>11</v>
      </c>
      <c r="B17" s="185" t="s">
        <v>461</v>
      </c>
      <c r="C17" s="123">
        <v>19</v>
      </c>
      <c r="D17" s="127">
        <v>0</v>
      </c>
      <c r="E17" s="128">
        <f t="shared" si="0"/>
        <v>19</v>
      </c>
      <c r="F17" s="24" t="s">
        <v>18</v>
      </c>
      <c r="G17" s="57"/>
      <c r="H17" s="103">
        <f t="shared" si="8"/>
        <v>0</v>
      </c>
      <c r="I17" s="104">
        <f t="shared" si="5"/>
        <v>0</v>
      </c>
      <c r="J17" s="113">
        <v>23.75</v>
      </c>
      <c r="K17" s="105">
        <f t="shared" si="9"/>
        <v>0</v>
      </c>
      <c r="L17" s="106">
        <f t="shared" si="10"/>
        <v>0</v>
      </c>
    </row>
    <row r="18" spans="1:12" ht="43.5" x14ac:dyDescent="0.35">
      <c r="A18" s="126">
        <v>12</v>
      </c>
      <c r="B18" s="185" t="s">
        <v>462</v>
      </c>
      <c r="C18" s="123">
        <v>8</v>
      </c>
      <c r="D18" s="127">
        <v>0</v>
      </c>
      <c r="E18" s="128">
        <f t="shared" si="0"/>
        <v>8</v>
      </c>
      <c r="F18" s="24" t="s">
        <v>18</v>
      </c>
      <c r="G18" s="57"/>
      <c r="H18" s="103">
        <f t="shared" si="8"/>
        <v>0</v>
      </c>
      <c r="I18" s="104">
        <f t="shared" si="5"/>
        <v>0</v>
      </c>
      <c r="J18" s="113">
        <v>10</v>
      </c>
      <c r="K18" s="105">
        <f t="shared" si="9"/>
        <v>0</v>
      </c>
      <c r="L18" s="106">
        <f t="shared" si="10"/>
        <v>0</v>
      </c>
    </row>
    <row r="19" spans="1:12" ht="43.5" x14ac:dyDescent="0.35">
      <c r="A19" s="126">
        <v>13</v>
      </c>
      <c r="B19" s="186" t="s">
        <v>463</v>
      </c>
      <c r="C19" s="123">
        <v>5</v>
      </c>
      <c r="D19" s="127">
        <v>0</v>
      </c>
      <c r="E19" s="128">
        <f t="shared" si="0"/>
        <v>5</v>
      </c>
      <c r="F19" s="24" t="s">
        <v>18</v>
      </c>
      <c r="G19" s="57"/>
      <c r="H19" s="103">
        <f t="shared" si="8"/>
        <v>0</v>
      </c>
      <c r="I19" s="104">
        <f t="shared" si="5"/>
        <v>0</v>
      </c>
      <c r="J19" s="113">
        <v>6.25</v>
      </c>
      <c r="K19" s="105">
        <f t="shared" si="9"/>
        <v>0</v>
      </c>
      <c r="L19" s="106">
        <f t="shared" si="10"/>
        <v>0</v>
      </c>
    </row>
    <row r="20" spans="1:12" ht="43.5" x14ac:dyDescent="0.35">
      <c r="A20" s="126">
        <v>14</v>
      </c>
      <c r="B20" s="186" t="s">
        <v>464</v>
      </c>
      <c r="C20" s="123">
        <v>2</v>
      </c>
      <c r="D20" s="127">
        <v>0</v>
      </c>
      <c r="E20" s="128">
        <f t="shared" si="0"/>
        <v>2</v>
      </c>
      <c r="F20" s="24" t="s">
        <v>18</v>
      </c>
      <c r="G20" s="57"/>
      <c r="H20" s="103">
        <f t="shared" si="8"/>
        <v>0</v>
      </c>
      <c r="I20" s="104">
        <f t="shared" si="5"/>
        <v>0</v>
      </c>
      <c r="J20" s="113">
        <v>2.5</v>
      </c>
      <c r="K20" s="105">
        <f t="shared" si="9"/>
        <v>0</v>
      </c>
      <c r="L20" s="106">
        <f t="shared" si="10"/>
        <v>0</v>
      </c>
    </row>
    <row r="21" spans="1:12" ht="29" x14ac:dyDescent="0.35">
      <c r="A21" s="126">
        <v>15</v>
      </c>
      <c r="B21" s="186" t="s">
        <v>465</v>
      </c>
      <c r="C21" s="123">
        <v>54</v>
      </c>
      <c r="D21" s="127">
        <v>0</v>
      </c>
      <c r="E21" s="128">
        <f t="shared" si="0"/>
        <v>54</v>
      </c>
      <c r="F21" s="24" t="s">
        <v>18</v>
      </c>
      <c r="G21" s="57"/>
      <c r="H21" s="103">
        <f t="shared" si="8"/>
        <v>0</v>
      </c>
      <c r="I21" s="104">
        <f t="shared" si="5"/>
        <v>0</v>
      </c>
      <c r="J21" s="113">
        <v>67.5</v>
      </c>
      <c r="K21" s="105">
        <f t="shared" si="9"/>
        <v>0</v>
      </c>
      <c r="L21" s="106">
        <f t="shared" si="10"/>
        <v>0</v>
      </c>
    </row>
    <row r="22" spans="1:12" ht="29" x14ac:dyDescent="0.35">
      <c r="A22" s="126">
        <v>16</v>
      </c>
      <c r="B22" s="185" t="s">
        <v>466</v>
      </c>
      <c r="C22" s="123">
        <v>78</v>
      </c>
      <c r="D22" s="127">
        <v>0</v>
      </c>
      <c r="E22" s="128">
        <f t="shared" si="0"/>
        <v>78</v>
      </c>
      <c r="F22" s="24" t="s">
        <v>18</v>
      </c>
      <c r="G22" s="57"/>
      <c r="H22" s="103">
        <f t="shared" si="8"/>
        <v>0</v>
      </c>
      <c r="I22" s="104">
        <f t="shared" si="5"/>
        <v>0</v>
      </c>
      <c r="J22" s="113">
        <v>97.5</v>
      </c>
      <c r="K22" s="105">
        <f t="shared" si="9"/>
        <v>0</v>
      </c>
      <c r="L22" s="106">
        <f t="shared" si="10"/>
        <v>0</v>
      </c>
    </row>
    <row r="23" spans="1:12" ht="29" x14ac:dyDescent="0.35">
      <c r="A23" s="126">
        <v>17</v>
      </c>
      <c r="B23" s="185" t="s">
        <v>467</v>
      </c>
      <c r="C23" s="123">
        <v>13</v>
      </c>
      <c r="D23" s="127">
        <v>0</v>
      </c>
      <c r="E23" s="128">
        <f t="shared" si="0"/>
        <v>13</v>
      </c>
      <c r="F23" s="24" t="s">
        <v>18</v>
      </c>
      <c r="G23" s="57"/>
      <c r="H23" s="103">
        <f t="shared" si="8"/>
        <v>0</v>
      </c>
      <c r="I23" s="104">
        <f t="shared" si="5"/>
        <v>0</v>
      </c>
      <c r="J23" s="113">
        <v>16.25</v>
      </c>
      <c r="K23" s="105">
        <f t="shared" si="9"/>
        <v>0</v>
      </c>
      <c r="L23" s="106">
        <f t="shared" si="10"/>
        <v>0</v>
      </c>
    </row>
    <row r="24" spans="1:12" ht="43.5" x14ac:dyDescent="0.35">
      <c r="A24" s="126">
        <v>18</v>
      </c>
      <c r="B24" s="185" t="s">
        <v>468</v>
      </c>
      <c r="C24" s="123">
        <v>14</v>
      </c>
      <c r="D24" s="127">
        <v>0</v>
      </c>
      <c r="E24" s="128">
        <f t="shared" si="0"/>
        <v>14</v>
      </c>
      <c r="F24" s="24" t="s">
        <v>18</v>
      </c>
      <c r="G24" s="57"/>
      <c r="H24" s="103">
        <f t="shared" si="8"/>
        <v>0</v>
      </c>
      <c r="I24" s="104">
        <f t="shared" si="5"/>
        <v>0</v>
      </c>
      <c r="J24" s="113">
        <v>17.5</v>
      </c>
      <c r="K24" s="105">
        <f t="shared" si="9"/>
        <v>0</v>
      </c>
      <c r="L24" s="106">
        <f t="shared" si="10"/>
        <v>0</v>
      </c>
    </row>
    <row r="25" spans="1:12" ht="43.5" x14ac:dyDescent="0.35">
      <c r="A25" s="126">
        <v>19</v>
      </c>
      <c r="B25" s="185" t="s">
        <v>469</v>
      </c>
      <c r="C25" s="123">
        <v>6</v>
      </c>
      <c r="D25" s="127">
        <v>0</v>
      </c>
      <c r="E25" s="128">
        <f t="shared" si="0"/>
        <v>6</v>
      </c>
      <c r="F25" s="24" t="s">
        <v>18</v>
      </c>
      <c r="G25" s="57"/>
      <c r="H25" s="103">
        <f t="shared" si="8"/>
        <v>0</v>
      </c>
      <c r="I25" s="104">
        <f t="shared" si="5"/>
        <v>0</v>
      </c>
      <c r="J25" s="113">
        <v>7.5</v>
      </c>
      <c r="K25" s="105">
        <f t="shared" si="9"/>
        <v>0</v>
      </c>
      <c r="L25" s="106">
        <f t="shared" si="10"/>
        <v>0</v>
      </c>
    </row>
    <row r="26" spans="1:12" ht="29.25" customHeight="1" x14ac:dyDescent="0.35">
      <c r="A26" s="126">
        <v>20</v>
      </c>
      <c r="B26" s="186" t="s">
        <v>470</v>
      </c>
      <c r="C26" s="123">
        <v>29</v>
      </c>
      <c r="D26" s="127">
        <v>0</v>
      </c>
      <c r="E26" s="128">
        <f t="shared" si="0"/>
        <v>29</v>
      </c>
      <c r="F26" s="24" t="s">
        <v>18</v>
      </c>
      <c r="G26" s="57"/>
      <c r="H26" s="103">
        <f t="shared" si="8"/>
        <v>0</v>
      </c>
      <c r="I26" s="104">
        <f t="shared" si="5"/>
        <v>0</v>
      </c>
      <c r="J26" s="113">
        <v>36.25</v>
      </c>
      <c r="K26" s="105">
        <f t="shared" si="9"/>
        <v>0</v>
      </c>
      <c r="L26" s="106">
        <f t="shared" si="10"/>
        <v>0</v>
      </c>
    </row>
    <row r="27" spans="1:12" ht="43.5" x14ac:dyDescent="0.35">
      <c r="A27" s="129">
        <v>21</v>
      </c>
      <c r="B27" s="186" t="s">
        <v>471</v>
      </c>
      <c r="C27" s="123">
        <v>30</v>
      </c>
      <c r="D27" s="127">
        <v>0</v>
      </c>
      <c r="E27" s="128">
        <f t="shared" si="0"/>
        <v>30</v>
      </c>
      <c r="F27" s="24" t="s">
        <v>18</v>
      </c>
      <c r="G27" s="57"/>
      <c r="H27" s="103">
        <f t="shared" si="8"/>
        <v>0</v>
      </c>
      <c r="I27" s="104">
        <f t="shared" si="5"/>
        <v>0</v>
      </c>
      <c r="J27" s="113">
        <v>37.5</v>
      </c>
      <c r="K27" s="105">
        <f t="shared" si="9"/>
        <v>0</v>
      </c>
      <c r="L27" s="106">
        <f t="shared" si="10"/>
        <v>0</v>
      </c>
    </row>
    <row r="28" spans="1:12" ht="43.5" x14ac:dyDescent="0.35">
      <c r="A28" s="129">
        <v>22</v>
      </c>
      <c r="B28" s="34" t="s">
        <v>256</v>
      </c>
      <c r="C28" s="123">
        <v>1</v>
      </c>
      <c r="D28" s="127">
        <v>0</v>
      </c>
      <c r="E28" s="128">
        <f t="shared" si="0"/>
        <v>1</v>
      </c>
      <c r="F28" s="24" t="s">
        <v>18</v>
      </c>
      <c r="G28" s="57"/>
      <c r="H28" s="103">
        <f t="shared" si="8"/>
        <v>0</v>
      </c>
      <c r="I28" s="104">
        <f t="shared" si="5"/>
        <v>0</v>
      </c>
      <c r="J28" s="113">
        <v>1.25</v>
      </c>
      <c r="K28" s="105">
        <f t="shared" si="9"/>
        <v>0</v>
      </c>
      <c r="L28" s="106">
        <f t="shared" si="10"/>
        <v>0</v>
      </c>
    </row>
    <row r="29" spans="1:12" ht="15" thickBot="1" x14ac:dyDescent="0.4">
      <c r="A29" s="129"/>
      <c r="B29" s="130"/>
      <c r="C29" s="123"/>
      <c r="D29" s="127"/>
      <c r="E29" s="128"/>
      <c r="F29" s="24"/>
      <c r="G29" s="131"/>
      <c r="H29" s="131"/>
      <c r="I29" s="132"/>
      <c r="J29" s="113"/>
      <c r="K29" s="132"/>
      <c r="L29" s="133"/>
    </row>
    <row r="30" spans="1:12" ht="15" thickBot="1" x14ac:dyDescent="0.4">
      <c r="A30" s="379" t="s">
        <v>257</v>
      </c>
      <c r="B30" s="380"/>
      <c r="C30" s="134"/>
      <c r="D30" s="127"/>
      <c r="E30" s="128"/>
      <c r="F30" s="24"/>
      <c r="G30" s="135"/>
      <c r="H30" s="135"/>
      <c r="I30" s="132"/>
      <c r="J30" s="113"/>
      <c r="K30" s="136"/>
      <c r="L30" s="137"/>
    </row>
    <row r="31" spans="1:12" x14ac:dyDescent="0.35">
      <c r="A31" s="138">
        <v>1</v>
      </c>
      <c r="B31" s="139" t="s">
        <v>258</v>
      </c>
      <c r="C31" s="123">
        <f>99+101</f>
        <v>200</v>
      </c>
      <c r="D31" s="127">
        <v>0</v>
      </c>
      <c r="E31" s="128">
        <f t="shared" si="0"/>
        <v>200</v>
      </c>
      <c r="F31" s="24" t="s">
        <v>18</v>
      </c>
      <c r="G31" s="57"/>
      <c r="H31" s="103">
        <f t="shared" ref="H31:H50" si="11">G31*E31</f>
        <v>0</v>
      </c>
      <c r="I31" s="104">
        <f t="shared" ref="I31:I50" si="12">L$4</f>
        <v>0</v>
      </c>
      <c r="J31" s="113">
        <v>100</v>
      </c>
      <c r="K31" s="105">
        <f t="shared" ref="K31:K50" si="13">J31*I31</f>
        <v>0</v>
      </c>
      <c r="L31" s="106">
        <f t="shared" ref="L31:L50" si="14">K31+H31</f>
        <v>0</v>
      </c>
    </row>
    <row r="32" spans="1:12" x14ac:dyDescent="0.35">
      <c r="A32" s="126">
        <v>2</v>
      </c>
      <c r="B32" s="140" t="s">
        <v>259</v>
      </c>
      <c r="C32" s="123">
        <v>306</v>
      </c>
      <c r="D32" s="127">
        <v>0</v>
      </c>
      <c r="E32" s="128">
        <f t="shared" si="0"/>
        <v>306</v>
      </c>
      <c r="F32" s="24" t="s">
        <v>18</v>
      </c>
      <c r="G32" s="57"/>
      <c r="H32" s="103">
        <f t="shared" si="11"/>
        <v>0</v>
      </c>
      <c r="I32" s="104">
        <f t="shared" si="12"/>
        <v>0</v>
      </c>
      <c r="J32" s="113">
        <v>153</v>
      </c>
      <c r="K32" s="105">
        <f t="shared" si="13"/>
        <v>0</v>
      </c>
      <c r="L32" s="106">
        <f t="shared" si="14"/>
        <v>0</v>
      </c>
    </row>
    <row r="33" spans="1:12" ht="30" customHeight="1" x14ac:dyDescent="0.35">
      <c r="A33" s="126">
        <v>3</v>
      </c>
      <c r="B33" s="49" t="s">
        <v>260</v>
      </c>
      <c r="C33" s="123">
        <v>13</v>
      </c>
      <c r="D33" s="127">
        <v>0</v>
      </c>
      <c r="E33" s="128">
        <f t="shared" si="0"/>
        <v>13</v>
      </c>
      <c r="F33" s="24" t="s">
        <v>18</v>
      </c>
      <c r="G33" s="57"/>
      <c r="H33" s="103">
        <f t="shared" si="11"/>
        <v>0</v>
      </c>
      <c r="I33" s="104">
        <f t="shared" si="12"/>
        <v>0</v>
      </c>
      <c r="J33" s="113">
        <v>13</v>
      </c>
      <c r="K33" s="105">
        <f>J33*I33</f>
        <v>0</v>
      </c>
      <c r="L33" s="106">
        <f t="shared" si="14"/>
        <v>0</v>
      </c>
    </row>
    <row r="34" spans="1:12" ht="29" x14ac:dyDescent="0.35">
      <c r="A34" s="126">
        <v>4</v>
      </c>
      <c r="B34" s="140" t="s">
        <v>261</v>
      </c>
      <c r="C34" s="123">
        <v>6</v>
      </c>
      <c r="D34" s="127">
        <v>0</v>
      </c>
      <c r="E34" s="128">
        <f t="shared" si="0"/>
        <v>6</v>
      </c>
      <c r="F34" s="24" t="s">
        <v>18</v>
      </c>
      <c r="G34" s="57"/>
      <c r="H34" s="103">
        <f t="shared" si="11"/>
        <v>0</v>
      </c>
      <c r="I34" s="104">
        <f t="shared" si="12"/>
        <v>0</v>
      </c>
      <c r="J34" s="113">
        <v>6</v>
      </c>
      <c r="K34" s="105">
        <f>J34*I34</f>
        <v>0</v>
      </c>
      <c r="L34" s="106">
        <f t="shared" si="14"/>
        <v>0</v>
      </c>
    </row>
    <row r="35" spans="1:12" ht="29" x14ac:dyDescent="0.35">
      <c r="A35" s="126">
        <v>5</v>
      </c>
      <c r="B35" s="140" t="s">
        <v>262</v>
      </c>
      <c r="C35" s="123">
        <v>14</v>
      </c>
      <c r="D35" s="127">
        <v>0</v>
      </c>
      <c r="E35" s="128">
        <f t="shared" si="0"/>
        <v>14</v>
      </c>
      <c r="F35" s="24" t="s">
        <v>18</v>
      </c>
      <c r="G35" s="57"/>
      <c r="H35" s="103">
        <f t="shared" si="11"/>
        <v>0</v>
      </c>
      <c r="I35" s="104">
        <f t="shared" si="12"/>
        <v>0</v>
      </c>
      <c r="J35" s="113">
        <v>14</v>
      </c>
      <c r="K35" s="105">
        <f t="shared" si="13"/>
        <v>0</v>
      </c>
      <c r="L35" s="106">
        <f t="shared" si="14"/>
        <v>0</v>
      </c>
    </row>
    <row r="36" spans="1:12" ht="29" x14ac:dyDescent="0.35">
      <c r="A36" s="126">
        <v>6</v>
      </c>
      <c r="B36" s="140" t="s">
        <v>263</v>
      </c>
      <c r="C36" s="123">
        <v>14</v>
      </c>
      <c r="D36" s="127">
        <v>0</v>
      </c>
      <c r="E36" s="128">
        <f t="shared" si="0"/>
        <v>14</v>
      </c>
      <c r="F36" s="24" t="s">
        <v>18</v>
      </c>
      <c r="G36" s="57"/>
      <c r="H36" s="103">
        <f t="shared" si="11"/>
        <v>0</v>
      </c>
      <c r="I36" s="104">
        <f t="shared" si="12"/>
        <v>0</v>
      </c>
      <c r="J36" s="113">
        <v>14</v>
      </c>
      <c r="K36" s="105">
        <f t="shared" si="13"/>
        <v>0</v>
      </c>
      <c r="L36" s="106">
        <f t="shared" si="14"/>
        <v>0</v>
      </c>
    </row>
    <row r="37" spans="1:12" ht="29" x14ac:dyDescent="0.35">
      <c r="A37" s="126">
        <v>7</v>
      </c>
      <c r="B37" s="140" t="s">
        <v>264</v>
      </c>
      <c r="C37" s="123">
        <v>13</v>
      </c>
      <c r="D37" s="127">
        <v>0</v>
      </c>
      <c r="E37" s="128">
        <f t="shared" si="0"/>
        <v>13</v>
      </c>
      <c r="F37" s="24" t="s">
        <v>18</v>
      </c>
      <c r="G37" s="57"/>
      <c r="H37" s="103">
        <f t="shared" si="11"/>
        <v>0</v>
      </c>
      <c r="I37" s="104">
        <f t="shared" si="12"/>
        <v>0</v>
      </c>
      <c r="J37" s="113">
        <v>13</v>
      </c>
      <c r="K37" s="105">
        <f t="shared" si="13"/>
        <v>0</v>
      </c>
      <c r="L37" s="106">
        <f t="shared" si="14"/>
        <v>0</v>
      </c>
    </row>
    <row r="38" spans="1:12" x14ac:dyDescent="0.35">
      <c r="A38" s="126">
        <v>8</v>
      </c>
      <c r="B38" s="141" t="s">
        <v>265</v>
      </c>
      <c r="C38" s="123">
        <v>48</v>
      </c>
      <c r="D38" s="127">
        <v>0</v>
      </c>
      <c r="E38" s="128">
        <f t="shared" si="0"/>
        <v>48</v>
      </c>
      <c r="F38" s="24" t="s">
        <v>18</v>
      </c>
      <c r="G38" s="57"/>
      <c r="H38" s="103">
        <f t="shared" si="11"/>
        <v>0</v>
      </c>
      <c r="I38" s="104">
        <f t="shared" si="12"/>
        <v>0</v>
      </c>
      <c r="J38" s="113">
        <v>24</v>
      </c>
      <c r="K38" s="105">
        <f t="shared" si="13"/>
        <v>0</v>
      </c>
      <c r="L38" s="106">
        <f t="shared" si="14"/>
        <v>0</v>
      </c>
    </row>
    <row r="39" spans="1:12" x14ac:dyDescent="0.35">
      <c r="A39" s="126">
        <v>9</v>
      </c>
      <c r="B39" s="140" t="s">
        <v>266</v>
      </c>
      <c r="C39" s="123">
        <v>24</v>
      </c>
      <c r="D39" s="127">
        <v>0</v>
      </c>
      <c r="E39" s="128">
        <f t="shared" si="0"/>
        <v>24</v>
      </c>
      <c r="F39" s="24" t="s">
        <v>18</v>
      </c>
      <c r="G39" s="57"/>
      <c r="H39" s="103">
        <f t="shared" si="11"/>
        <v>0</v>
      </c>
      <c r="I39" s="104">
        <f t="shared" si="12"/>
        <v>0</v>
      </c>
      <c r="J39" s="113">
        <v>12</v>
      </c>
      <c r="K39" s="105">
        <f t="shared" si="13"/>
        <v>0</v>
      </c>
      <c r="L39" s="106">
        <f t="shared" si="14"/>
        <v>0</v>
      </c>
    </row>
    <row r="40" spans="1:12" x14ac:dyDescent="0.35">
      <c r="A40" s="126">
        <v>10</v>
      </c>
      <c r="B40" s="141" t="s">
        <v>267</v>
      </c>
      <c r="C40" s="123">
        <v>1</v>
      </c>
      <c r="D40" s="127">
        <v>0</v>
      </c>
      <c r="E40" s="128">
        <f t="shared" si="0"/>
        <v>1</v>
      </c>
      <c r="F40" s="24" t="s">
        <v>18</v>
      </c>
      <c r="G40" s="57"/>
      <c r="H40" s="103">
        <f t="shared" si="11"/>
        <v>0</v>
      </c>
      <c r="I40" s="104">
        <f t="shared" si="12"/>
        <v>0</v>
      </c>
      <c r="J40" s="113">
        <v>0.5</v>
      </c>
      <c r="K40" s="105">
        <f t="shared" si="13"/>
        <v>0</v>
      </c>
      <c r="L40" s="106">
        <f t="shared" si="14"/>
        <v>0</v>
      </c>
    </row>
    <row r="41" spans="1:12" x14ac:dyDescent="0.35">
      <c r="A41" s="126">
        <v>11</v>
      </c>
      <c r="B41" s="140" t="s">
        <v>268</v>
      </c>
      <c r="C41" s="123">
        <v>2</v>
      </c>
      <c r="D41" s="127">
        <v>0</v>
      </c>
      <c r="E41" s="128">
        <f t="shared" si="0"/>
        <v>2</v>
      </c>
      <c r="F41" s="24" t="s">
        <v>18</v>
      </c>
      <c r="G41" s="57"/>
      <c r="H41" s="103">
        <f t="shared" si="11"/>
        <v>0</v>
      </c>
      <c r="I41" s="104">
        <f t="shared" si="12"/>
        <v>0</v>
      </c>
      <c r="J41" s="113">
        <v>1</v>
      </c>
      <c r="K41" s="105">
        <f t="shared" si="13"/>
        <v>0</v>
      </c>
      <c r="L41" s="106">
        <f t="shared" si="14"/>
        <v>0</v>
      </c>
    </row>
    <row r="42" spans="1:12" ht="29.25" customHeight="1" x14ac:dyDescent="0.35">
      <c r="A42" s="126">
        <v>12</v>
      </c>
      <c r="B42" s="49" t="s">
        <v>269</v>
      </c>
      <c r="C42" s="123">
        <v>10</v>
      </c>
      <c r="D42" s="127">
        <v>0</v>
      </c>
      <c r="E42" s="128">
        <f t="shared" si="0"/>
        <v>10</v>
      </c>
      <c r="F42" s="24" t="s">
        <v>18</v>
      </c>
      <c r="G42" s="57"/>
      <c r="H42" s="103">
        <f t="shared" si="11"/>
        <v>0</v>
      </c>
      <c r="I42" s="104">
        <f t="shared" si="12"/>
        <v>0</v>
      </c>
      <c r="J42" s="113">
        <v>10</v>
      </c>
      <c r="K42" s="105">
        <f t="shared" si="13"/>
        <v>0</v>
      </c>
      <c r="L42" s="106">
        <f t="shared" si="14"/>
        <v>0</v>
      </c>
    </row>
    <row r="43" spans="1:12" ht="30.75" customHeight="1" x14ac:dyDescent="0.35">
      <c r="A43" s="126">
        <v>13</v>
      </c>
      <c r="B43" s="49" t="s">
        <v>270</v>
      </c>
      <c r="C43" s="123">
        <v>28</v>
      </c>
      <c r="D43" s="127">
        <v>0</v>
      </c>
      <c r="E43" s="128">
        <f t="shared" si="0"/>
        <v>28</v>
      </c>
      <c r="F43" s="24" t="s">
        <v>18</v>
      </c>
      <c r="G43" s="57"/>
      <c r="H43" s="103">
        <f t="shared" si="11"/>
        <v>0</v>
      </c>
      <c r="I43" s="104">
        <f t="shared" si="12"/>
        <v>0</v>
      </c>
      <c r="J43" s="113">
        <v>28</v>
      </c>
      <c r="K43" s="105">
        <f t="shared" si="13"/>
        <v>0</v>
      </c>
      <c r="L43" s="106">
        <f t="shared" si="14"/>
        <v>0</v>
      </c>
    </row>
    <row r="44" spans="1:12" x14ac:dyDescent="0.35">
      <c r="A44" s="126">
        <v>14</v>
      </c>
      <c r="B44" s="142" t="s">
        <v>271</v>
      </c>
      <c r="C44" s="123">
        <v>4</v>
      </c>
      <c r="D44" s="127">
        <v>0</v>
      </c>
      <c r="E44" s="128">
        <f t="shared" si="0"/>
        <v>4</v>
      </c>
      <c r="F44" s="24" t="s">
        <v>18</v>
      </c>
      <c r="G44" s="57"/>
      <c r="H44" s="103">
        <f t="shared" si="11"/>
        <v>0</v>
      </c>
      <c r="I44" s="104">
        <f t="shared" si="12"/>
        <v>0</v>
      </c>
      <c r="J44" s="113">
        <v>2</v>
      </c>
      <c r="K44" s="105">
        <f t="shared" si="13"/>
        <v>0</v>
      </c>
      <c r="L44" s="106">
        <f t="shared" si="14"/>
        <v>0</v>
      </c>
    </row>
    <row r="45" spans="1:12" ht="43.5" x14ac:dyDescent="0.35">
      <c r="A45" s="126">
        <v>15</v>
      </c>
      <c r="B45" s="34" t="s">
        <v>272</v>
      </c>
      <c r="C45" s="123">
        <v>8</v>
      </c>
      <c r="D45" s="127">
        <v>0</v>
      </c>
      <c r="E45" s="128">
        <f t="shared" si="0"/>
        <v>8</v>
      </c>
      <c r="F45" s="24" t="s">
        <v>18</v>
      </c>
      <c r="G45" s="57"/>
      <c r="H45" s="103">
        <f t="shared" si="11"/>
        <v>0</v>
      </c>
      <c r="I45" s="104">
        <f t="shared" si="12"/>
        <v>0</v>
      </c>
      <c r="J45" s="113">
        <v>8</v>
      </c>
      <c r="K45" s="105">
        <f t="shared" si="13"/>
        <v>0</v>
      </c>
      <c r="L45" s="106">
        <f t="shared" si="14"/>
        <v>0</v>
      </c>
    </row>
    <row r="46" spans="1:12" ht="58" x14ac:dyDescent="0.35">
      <c r="A46" s="126">
        <v>16</v>
      </c>
      <c r="B46" s="49" t="s">
        <v>273</v>
      </c>
      <c r="C46" s="123">
        <v>5</v>
      </c>
      <c r="D46" s="127">
        <v>0</v>
      </c>
      <c r="E46" s="128">
        <f t="shared" si="0"/>
        <v>5</v>
      </c>
      <c r="F46" s="24" t="s">
        <v>18</v>
      </c>
      <c r="G46" s="57"/>
      <c r="H46" s="103">
        <f t="shared" si="11"/>
        <v>0</v>
      </c>
      <c r="I46" s="104">
        <f t="shared" si="12"/>
        <v>0</v>
      </c>
      <c r="J46" s="113">
        <v>5</v>
      </c>
      <c r="K46" s="105">
        <f t="shared" si="13"/>
        <v>0</v>
      </c>
      <c r="L46" s="106">
        <f t="shared" si="14"/>
        <v>0</v>
      </c>
    </row>
    <row r="47" spans="1:12" ht="58" x14ac:dyDescent="0.35">
      <c r="A47" s="126">
        <v>17</v>
      </c>
      <c r="B47" s="34" t="s">
        <v>274</v>
      </c>
      <c r="C47" s="123">
        <v>11</v>
      </c>
      <c r="D47" s="127">
        <v>0</v>
      </c>
      <c r="E47" s="128">
        <f t="shared" si="0"/>
        <v>11</v>
      </c>
      <c r="F47" s="24" t="s">
        <v>18</v>
      </c>
      <c r="G47" s="57"/>
      <c r="H47" s="103">
        <f t="shared" si="11"/>
        <v>0</v>
      </c>
      <c r="I47" s="104">
        <f t="shared" si="12"/>
        <v>0</v>
      </c>
      <c r="J47" s="113">
        <v>11</v>
      </c>
      <c r="K47" s="105">
        <f t="shared" si="13"/>
        <v>0</v>
      </c>
      <c r="L47" s="106">
        <f t="shared" si="14"/>
        <v>0</v>
      </c>
    </row>
    <row r="48" spans="1:12" ht="29" x14ac:dyDescent="0.35">
      <c r="A48" s="126">
        <v>18</v>
      </c>
      <c r="B48" s="34" t="s">
        <v>275</v>
      </c>
      <c r="C48" s="123">
        <v>16</v>
      </c>
      <c r="D48" s="127">
        <v>0</v>
      </c>
      <c r="E48" s="128">
        <f t="shared" si="0"/>
        <v>16</v>
      </c>
      <c r="F48" s="24" t="s">
        <v>18</v>
      </c>
      <c r="G48" s="57"/>
      <c r="H48" s="103">
        <f t="shared" si="11"/>
        <v>0</v>
      </c>
      <c r="I48" s="104">
        <f t="shared" si="12"/>
        <v>0</v>
      </c>
      <c r="J48" s="113">
        <v>8</v>
      </c>
      <c r="K48" s="105">
        <f t="shared" si="13"/>
        <v>0</v>
      </c>
      <c r="L48" s="106">
        <f t="shared" si="14"/>
        <v>0</v>
      </c>
    </row>
    <row r="49" spans="1:12" ht="29" x14ac:dyDescent="0.35">
      <c r="A49" s="126">
        <v>19</v>
      </c>
      <c r="B49" s="34" t="s">
        <v>276</v>
      </c>
      <c r="C49" s="123">
        <v>8</v>
      </c>
      <c r="D49" s="127">
        <v>0</v>
      </c>
      <c r="E49" s="128">
        <f t="shared" si="0"/>
        <v>8</v>
      </c>
      <c r="F49" s="24" t="s">
        <v>18</v>
      </c>
      <c r="G49" s="57"/>
      <c r="H49" s="103">
        <f t="shared" si="11"/>
        <v>0</v>
      </c>
      <c r="I49" s="104">
        <f t="shared" si="12"/>
        <v>0</v>
      </c>
      <c r="J49" s="113">
        <v>4</v>
      </c>
      <c r="K49" s="105">
        <f t="shared" si="13"/>
        <v>0</v>
      </c>
      <c r="L49" s="106">
        <f t="shared" si="14"/>
        <v>0</v>
      </c>
    </row>
    <row r="50" spans="1:12" x14ac:dyDescent="0.35">
      <c r="A50" s="126">
        <v>20</v>
      </c>
      <c r="B50" s="130" t="s">
        <v>277</v>
      </c>
      <c r="C50" s="123">
        <v>63</v>
      </c>
      <c r="D50" s="127">
        <v>0</v>
      </c>
      <c r="E50" s="128">
        <f t="shared" si="0"/>
        <v>63</v>
      </c>
      <c r="F50" s="24" t="s">
        <v>18</v>
      </c>
      <c r="G50" s="57"/>
      <c r="H50" s="103">
        <f t="shared" si="11"/>
        <v>0</v>
      </c>
      <c r="I50" s="104">
        <f t="shared" si="12"/>
        <v>0</v>
      </c>
      <c r="J50" s="113">
        <v>32</v>
      </c>
      <c r="K50" s="105">
        <f t="shared" si="13"/>
        <v>0</v>
      </c>
      <c r="L50" s="106">
        <f t="shared" si="14"/>
        <v>0</v>
      </c>
    </row>
    <row r="51" spans="1:12" ht="15" thickBot="1" x14ac:dyDescent="0.4">
      <c r="A51" s="129"/>
      <c r="B51" s="130"/>
      <c r="C51" s="123"/>
      <c r="D51" s="127"/>
      <c r="E51" s="128"/>
      <c r="F51" s="24"/>
      <c r="G51" s="131"/>
      <c r="H51" s="131"/>
      <c r="I51" s="132"/>
      <c r="J51" s="113"/>
      <c r="K51" s="132"/>
      <c r="L51" s="133"/>
    </row>
    <row r="52" spans="1:12" ht="17.25" customHeight="1" thickBot="1" x14ac:dyDescent="0.4">
      <c r="A52" s="379" t="s">
        <v>278</v>
      </c>
      <c r="B52" s="380"/>
      <c r="C52" s="134"/>
      <c r="D52" s="127"/>
      <c r="E52" s="128"/>
      <c r="F52" s="24"/>
      <c r="G52" s="135"/>
      <c r="H52" s="135"/>
      <c r="I52" s="132"/>
      <c r="J52" s="113"/>
      <c r="K52" s="136"/>
      <c r="L52" s="137"/>
    </row>
    <row r="53" spans="1:12" x14ac:dyDescent="0.35">
      <c r="A53" s="138">
        <v>1</v>
      </c>
      <c r="B53" s="139" t="s">
        <v>258</v>
      </c>
      <c r="C53" s="123">
        <v>3</v>
      </c>
      <c r="D53" s="127">
        <v>0</v>
      </c>
      <c r="E53" s="128">
        <f t="shared" ref="E53:E120" si="15">C53*(1+D53)</f>
        <v>3</v>
      </c>
      <c r="F53" s="24" t="s">
        <v>18</v>
      </c>
      <c r="G53" s="57"/>
      <c r="H53" s="103">
        <f t="shared" ref="H53:H72" si="16">G53*E53</f>
        <v>0</v>
      </c>
      <c r="I53" s="104">
        <f t="shared" ref="I53:I71" si="17">L$4</f>
        <v>0</v>
      </c>
      <c r="J53" s="113">
        <v>1.5</v>
      </c>
      <c r="K53" s="105">
        <f t="shared" ref="K53:K72" si="18">J53*I53</f>
        <v>0</v>
      </c>
      <c r="L53" s="106">
        <f t="shared" ref="L53:L72" si="19">K53+H53</f>
        <v>0</v>
      </c>
    </row>
    <row r="54" spans="1:12" x14ac:dyDescent="0.35">
      <c r="A54" s="138">
        <v>2</v>
      </c>
      <c r="B54" s="140" t="s">
        <v>279</v>
      </c>
      <c r="C54" s="123">
        <v>35</v>
      </c>
      <c r="D54" s="127">
        <v>0</v>
      </c>
      <c r="E54" s="128">
        <f t="shared" si="15"/>
        <v>35</v>
      </c>
      <c r="F54" s="24" t="s">
        <v>18</v>
      </c>
      <c r="G54" s="57"/>
      <c r="H54" s="103">
        <f t="shared" si="16"/>
        <v>0</v>
      </c>
      <c r="I54" s="104">
        <f t="shared" si="17"/>
        <v>0</v>
      </c>
      <c r="J54" s="113">
        <v>17.5</v>
      </c>
      <c r="K54" s="105">
        <f t="shared" si="18"/>
        <v>0</v>
      </c>
      <c r="L54" s="106">
        <f t="shared" si="19"/>
        <v>0</v>
      </c>
    </row>
    <row r="55" spans="1:12" x14ac:dyDescent="0.35">
      <c r="A55" s="138">
        <v>3</v>
      </c>
      <c r="B55" s="140" t="s">
        <v>280</v>
      </c>
      <c r="C55" s="123">
        <v>2</v>
      </c>
      <c r="D55" s="127">
        <v>0</v>
      </c>
      <c r="E55" s="128">
        <f t="shared" si="15"/>
        <v>2</v>
      </c>
      <c r="F55" s="24" t="s">
        <v>18</v>
      </c>
      <c r="G55" s="57"/>
      <c r="H55" s="103">
        <f t="shared" si="16"/>
        <v>0</v>
      </c>
      <c r="I55" s="104">
        <f t="shared" si="17"/>
        <v>0</v>
      </c>
      <c r="J55" s="113">
        <v>1</v>
      </c>
      <c r="K55" s="105">
        <f t="shared" si="18"/>
        <v>0</v>
      </c>
      <c r="L55" s="106">
        <f t="shared" si="19"/>
        <v>0</v>
      </c>
    </row>
    <row r="56" spans="1:12" x14ac:dyDescent="0.35">
      <c r="A56" s="138">
        <v>4</v>
      </c>
      <c r="B56" s="140" t="s">
        <v>281</v>
      </c>
      <c r="C56" s="123">
        <v>1</v>
      </c>
      <c r="D56" s="127">
        <v>0</v>
      </c>
      <c r="E56" s="128">
        <f t="shared" si="15"/>
        <v>1</v>
      </c>
      <c r="F56" s="24" t="s">
        <v>18</v>
      </c>
      <c r="G56" s="57"/>
      <c r="H56" s="103">
        <f t="shared" si="16"/>
        <v>0</v>
      </c>
      <c r="I56" s="104">
        <f t="shared" si="17"/>
        <v>0</v>
      </c>
      <c r="J56" s="113">
        <v>1</v>
      </c>
      <c r="K56" s="105">
        <f t="shared" si="18"/>
        <v>0</v>
      </c>
      <c r="L56" s="106">
        <f t="shared" si="19"/>
        <v>0</v>
      </c>
    </row>
    <row r="57" spans="1:12" x14ac:dyDescent="0.35">
      <c r="A57" s="138">
        <v>5</v>
      </c>
      <c r="B57" s="140" t="s">
        <v>282</v>
      </c>
      <c r="C57" s="123">
        <v>1</v>
      </c>
      <c r="D57" s="127">
        <v>0</v>
      </c>
      <c r="E57" s="128">
        <f t="shared" si="15"/>
        <v>1</v>
      </c>
      <c r="F57" s="24" t="s">
        <v>18</v>
      </c>
      <c r="G57" s="57"/>
      <c r="H57" s="103">
        <f t="shared" si="16"/>
        <v>0</v>
      </c>
      <c r="I57" s="104">
        <f t="shared" si="17"/>
        <v>0</v>
      </c>
      <c r="J57" s="113">
        <v>3</v>
      </c>
      <c r="K57" s="105">
        <f t="shared" si="18"/>
        <v>0</v>
      </c>
      <c r="L57" s="106">
        <f t="shared" si="19"/>
        <v>0</v>
      </c>
    </row>
    <row r="58" spans="1:12" ht="17.25" customHeight="1" x14ac:dyDescent="0.35">
      <c r="A58" s="138">
        <v>6</v>
      </c>
      <c r="B58" s="140" t="s">
        <v>283</v>
      </c>
      <c r="C58" s="123">
        <v>1</v>
      </c>
      <c r="D58" s="127">
        <v>0</v>
      </c>
      <c r="E58" s="128">
        <f t="shared" si="15"/>
        <v>1</v>
      </c>
      <c r="F58" s="24" t="s">
        <v>18</v>
      </c>
      <c r="G58" s="57"/>
      <c r="H58" s="103">
        <f t="shared" si="16"/>
        <v>0</v>
      </c>
      <c r="I58" s="104">
        <f t="shared" si="17"/>
        <v>0</v>
      </c>
      <c r="J58" s="113">
        <v>1</v>
      </c>
      <c r="K58" s="105">
        <f t="shared" si="18"/>
        <v>0</v>
      </c>
      <c r="L58" s="106">
        <f t="shared" si="19"/>
        <v>0</v>
      </c>
    </row>
    <row r="59" spans="1:12" x14ac:dyDescent="0.35">
      <c r="A59" s="138">
        <v>7</v>
      </c>
      <c r="B59" s="140" t="s">
        <v>284</v>
      </c>
      <c r="C59" s="123">
        <v>24</v>
      </c>
      <c r="D59" s="127">
        <v>0</v>
      </c>
      <c r="E59" s="128">
        <f t="shared" si="15"/>
        <v>24</v>
      </c>
      <c r="F59" s="24" t="s">
        <v>18</v>
      </c>
      <c r="G59" s="57"/>
      <c r="H59" s="103">
        <f t="shared" si="16"/>
        <v>0</v>
      </c>
      <c r="I59" s="104">
        <f t="shared" si="17"/>
        <v>0</v>
      </c>
      <c r="J59" s="113">
        <v>1</v>
      </c>
      <c r="K59" s="105">
        <f t="shared" si="18"/>
        <v>0</v>
      </c>
      <c r="L59" s="106">
        <f t="shared" si="19"/>
        <v>0</v>
      </c>
    </row>
    <row r="60" spans="1:12" x14ac:dyDescent="0.35">
      <c r="A60" s="138">
        <v>8</v>
      </c>
      <c r="B60" s="140" t="s">
        <v>285</v>
      </c>
      <c r="C60" s="123">
        <f>29+61</f>
        <v>90</v>
      </c>
      <c r="D60" s="127">
        <v>0</v>
      </c>
      <c r="E60" s="128">
        <f t="shared" si="15"/>
        <v>90</v>
      </c>
      <c r="F60" s="24" t="s">
        <v>18</v>
      </c>
      <c r="G60" s="57"/>
      <c r="H60" s="103">
        <f t="shared" si="16"/>
        <v>0</v>
      </c>
      <c r="I60" s="104">
        <f t="shared" si="17"/>
        <v>0</v>
      </c>
      <c r="J60" s="113">
        <v>0.5</v>
      </c>
      <c r="K60" s="105">
        <f t="shared" si="18"/>
        <v>0</v>
      </c>
      <c r="L60" s="106">
        <f t="shared" si="19"/>
        <v>0</v>
      </c>
    </row>
    <row r="61" spans="1:12" x14ac:dyDescent="0.35">
      <c r="A61" s="138">
        <v>9</v>
      </c>
      <c r="B61" s="140" t="s">
        <v>286</v>
      </c>
      <c r="C61" s="123">
        <v>11</v>
      </c>
      <c r="D61" s="127">
        <v>0</v>
      </c>
      <c r="E61" s="128">
        <f t="shared" si="15"/>
        <v>11</v>
      </c>
      <c r="F61" s="24" t="s">
        <v>18</v>
      </c>
      <c r="G61" s="57"/>
      <c r="H61" s="103">
        <f t="shared" si="16"/>
        <v>0</v>
      </c>
      <c r="I61" s="104">
        <f t="shared" si="17"/>
        <v>0</v>
      </c>
      <c r="J61" s="113">
        <v>11</v>
      </c>
      <c r="K61" s="105">
        <f t="shared" si="18"/>
        <v>0</v>
      </c>
      <c r="L61" s="106">
        <f t="shared" si="19"/>
        <v>0</v>
      </c>
    </row>
    <row r="62" spans="1:12" x14ac:dyDescent="0.35">
      <c r="A62" s="138">
        <v>10</v>
      </c>
      <c r="B62" s="140" t="s">
        <v>287</v>
      </c>
      <c r="C62" s="123">
        <v>4</v>
      </c>
      <c r="D62" s="127">
        <v>0</v>
      </c>
      <c r="E62" s="128">
        <f t="shared" si="15"/>
        <v>4</v>
      </c>
      <c r="F62" s="24" t="s">
        <v>18</v>
      </c>
      <c r="G62" s="57"/>
      <c r="H62" s="103">
        <f t="shared" si="16"/>
        <v>0</v>
      </c>
      <c r="I62" s="104">
        <f t="shared" si="17"/>
        <v>0</v>
      </c>
      <c r="J62" s="113">
        <v>4</v>
      </c>
      <c r="K62" s="105">
        <f t="shared" si="18"/>
        <v>0</v>
      </c>
      <c r="L62" s="106">
        <f t="shared" si="19"/>
        <v>0</v>
      </c>
    </row>
    <row r="63" spans="1:12" x14ac:dyDescent="0.35">
      <c r="A63" s="138">
        <v>11</v>
      </c>
      <c r="B63" s="140" t="s">
        <v>288</v>
      </c>
      <c r="C63" s="123">
        <v>1</v>
      </c>
      <c r="D63" s="127">
        <v>0</v>
      </c>
      <c r="E63" s="128">
        <f t="shared" si="15"/>
        <v>1</v>
      </c>
      <c r="F63" s="24" t="s">
        <v>18</v>
      </c>
      <c r="G63" s="57"/>
      <c r="H63" s="103">
        <f t="shared" si="16"/>
        <v>0</v>
      </c>
      <c r="I63" s="104">
        <f t="shared" si="17"/>
        <v>0</v>
      </c>
      <c r="J63" s="113">
        <v>3</v>
      </c>
      <c r="K63" s="105">
        <f t="shared" si="18"/>
        <v>0</v>
      </c>
      <c r="L63" s="106">
        <f t="shared" si="19"/>
        <v>0</v>
      </c>
    </row>
    <row r="64" spans="1:12" x14ac:dyDescent="0.35">
      <c r="A64" s="138">
        <v>12</v>
      </c>
      <c r="B64" s="140" t="s">
        <v>289</v>
      </c>
      <c r="C64" s="123">
        <v>1</v>
      </c>
      <c r="D64" s="127">
        <v>0</v>
      </c>
      <c r="E64" s="128">
        <f t="shared" si="15"/>
        <v>1</v>
      </c>
      <c r="F64" s="24" t="s">
        <v>18</v>
      </c>
      <c r="G64" s="57"/>
      <c r="H64" s="103">
        <f t="shared" si="16"/>
        <v>0</v>
      </c>
      <c r="I64" s="104">
        <f t="shared" si="17"/>
        <v>0</v>
      </c>
      <c r="J64" s="113">
        <v>3</v>
      </c>
      <c r="K64" s="105">
        <f t="shared" si="18"/>
        <v>0</v>
      </c>
      <c r="L64" s="106">
        <f t="shared" si="19"/>
        <v>0</v>
      </c>
    </row>
    <row r="65" spans="1:12" x14ac:dyDescent="0.35">
      <c r="A65" s="138">
        <v>13</v>
      </c>
      <c r="B65" s="140" t="s">
        <v>290</v>
      </c>
      <c r="C65" s="123">
        <v>3</v>
      </c>
      <c r="D65" s="127">
        <v>0</v>
      </c>
      <c r="E65" s="128">
        <f t="shared" si="15"/>
        <v>3</v>
      </c>
      <c r="F65" s="24" t="s">
        <v>18</v>
      </c>
      <c r="G65" s="57"/>
      <c r="H65" s="103">
        <f t="shared" si="16"/>
        <v>0</v>
      </c>
      <c r="I65" s="104">
        <f t="shared" si="17"/>
        <v>0</v>
      </c>
      <c r="J65" s="113">
        <v>1.5</v>
      </c>
      <c r="K65" s="105">
        <f t="shared" si="18"/>
        <v>0</v>
      </c>
      <c r="L65" s="106">
        <f t="shared" si="19"/>
        <v>0</v>
      </c>
    </row>
    <row r="66" spans="1:12" x14ac:dyDescent="0.35">
      <c r="A66" s="138">
        <v>14</v>
      </c>
      <c r="B66" s="140" t="s">
        <v>291</v>
      </c>
      <c r="C66" s="123">
        <v>5</v>
      </c>
      <c r="D66" s="127">
        <v>0</v>
      </c>
      <c r="E66" s="128">
        <f t="shared" si="15"/>
        <v>5</v>
      </c>
      <c r="F66" s="24" t="s">
        <v>18</v>
      </c>
      <c r="G66" s="57"/>
      <c r="H66" s="103">
        <f t="shared" si="16"/>
        <v>0</v>
      </c>
      <c r="I66" s="104">
        <f t="shared" si="17"/>
        <v>0</v>
      </c>
      <c r="J66" s="113">
        <v>2.5</v>
      </c>
      <c r="K66" s="105">
        <f t="shared" si="18"/>
        <v>0</v>
      </c>
      <c r="L66" s="106">
        <f t="shared" si="19"/>
        <v>0</v>
      </c>
    </row>
    <row r="67" spans="1:12" x14ac:dyDescent="0.35">
      <c r="A67" s="138">
        <v>15</v>
      </c>
      <c r="B67" s="140" t="s">
        <v>292</v>
      </c>
      <c r="C67" s="123">
        <v>2</v>
      </c>
      <c r="D67" s="127">
        <v>0</v>
      </c>
      <c r="E67" s="128">
        <f t="shared" si="15"/>
        <v>2</v>
      </c>
      <c r="F67" s="24" t="s">
        <v>18</v>
      </c>
      <c r="G67" s="57"/>
      <c r="H67" s="103">
        <f t="shared" si="16"/>
        <v>0</v>
      </c>
      <c r="I67" s="104">
        <f t="shared" si="17"/>
        <v>0</v>
      </c>
      <c r="J67" s="113">
        <v>1</v>
      </c>
      <c r="K67" s="105">
        <f t="shared" si="18"/>
        <v>0</v>
      </c>
      <c r="L67" s="106">
        <f t="shared" si="19"/>
        <v>0</v>
      </c>
    </row>
    <row r="68" spans="1:12" x14ac:dyDescent="0.35">
      <c r="A68" s="138">
        <v>16</v>
      </c>
      <c r="B68" s="140" t="s">
        <v>293</v>
      </c>
      <c r="C68" s="123">
        <v>1</v>
      </c>
      <c r="D68" s="127">
        <v>0</v>
      </c>
      <c r="E68" s="128">
        <f t="shared" si="15"/>
        <v>1</v>
      </c>
      <c r="F68" s="24" t="s">
        <v>18</v>
      </c>
      <c r="G68" s="57"/>
      <c r="H68" s="103">
        <f t="shared" si="16"/>
        <v>0</v>
      </c>
      <c r="I68" s="104">
        <f t="shared" si="17"/>
        <v>0</v>
      </c>
      <c r="J68" s="113">
        <v>1</v>
      </c>
      <c r="K68" s="105">
        <f t="shared" si="18"/>
        <v>0</v>
      </c>
      <c r="L68" s="106">
        <f t="shared" si="19"/>
        <v>0</v>
      </c>
    </row>
    <row r="69" spans="1:12" x14ac:dyDescent="0.35">
      <c r="A69" s="138">
        <v>17</v>
      </c>
      <c r="B69" s="140" t="s">
        <v>294</v>
      </c>
      <c r="C69" s="123">
        <v>1</v>
      </c>
      <c r="D69" s="127">
        <v>0</v>
      </c>
      <c r="E69" s="128">
        <f t="shared" si="15"/>
        <v>1</v>
      </c>
      <c r="F69" s="24" t="s">
        <v>18</v>
      </c>
      <c r="G69" s="57"/>
      <c r="H69" s="103">
        <f t="shared" si="16"/>
        <v>0</v>
      </c>
      <c r="I69" s="104">
        <f t="shared" si="17"/>
        <v>0</v>
      </c>
      <c r="J69" s="113">
        <v>1</v>
      </c>
      <c r="K69" s="105">
        <f t="shared" si="18"/>
        <v>0</v>
      </c>
      <c r="L69" s="106">
        <f t="shared" si="19"/>
        <v>0</v>
      </c>
    </row>
    <row r="70" spans="1:12" x14ac:dyDescent="0.35">
      <c r="A70" s="138">
        <v>18</v>
      </c>
      <c r="B70" s="140" t="s">
        <v>295</v>
      </c>
      <c r="C70" s="123">
        <v>4</v>
      </c>
      <c r="D70" s="127">
        <v>0</v>
      </c>
      <c r="E70" s="128">
        <f t="shared" si="15"/>
        <v>4</v>
      </c>
      <c r="F70" s="24" t="s">
        <v>18</v>
      </c>
      <c r="G70" s="57"/>
      <c r="H70" s="103">
        <f t="shared" si="16"/>
        <v>0</v>
      </c>
      <c r="I70" s="104">
        <f t="shared" si="17"/>
        <v>0</v>
      </c>
      <c r="J70" s="113">
        <v>2</v>
      </c>
      <c r="K70" s="105">
        <f t="shared" si="18"/>
        <v>0</v>
      </c>
      <c r="L70" s="106">
        <f t="shared" si="19"/>
        <v>0</v>
      </c>
    </row>
    <row r="71" spans="1:12" x14ac:dyDescent="0.35">
      <c r="A71" s="138">
        <v>19</v>
      </c>
      <c r="B71" s="140" t="s">
        <v>296</v>
      </c>
      <c r="C71" s="123">
        <v>5</v>
      </c>
      <c r="D71" s="127">
        <v>0</v>
      </c>
      <c r="E71" s="128">
        <f t="shared" si="15"/>
        <v>5</v>
      </c>
      <c r="F71" s="24" t="s">
        <v>18</v>
      </c>
      <c r="G71" s="57"/>
      <c r="H71" s="103">
        <f t="shared" si="16"/>
        <v>0</v>
      </c>
      <c r="I71" s="104">
        <f t="shared" si="17"/>
        <v>0</v>
      </c>
      <c r="J71" s="113">
        <v>5</v>
      </c>
      <c r="K71" s="105">
        <f t="shared" si="18"/>
        <v>0</v>
      </c>
      <c r="L71" s="106">
        <f t="shared" si="19"/>
        <v>0</v>
      </c>
    </row>
    <row r="72" spans="1:12" x14ac:dyDescent="0.35">
      <c r="A72" s="138">
        <v>20</v>
      </c>
      <c r="B72" s="140" t="s">
        <v>297</v>
      </c>
      <c r="C72" s="123">
        <v>4</v>
      </c>
      <c r="D72" s="127">
        <v>0</v>
      </c>
      <c r="E72" s="128">
        <f t="shared" si="15"/>
        <v>4</v>
      </c>
      <c r="F72" s="24" t="s">
        <v>18</v>
      </c>
      <c r="G72" s="57"/>
      <c r="H72" s="103">
        <f t="shared" si="16"/>
        <v>0</v>
      </c>
      <c r="I72" s="104">
        <f>L$4</f>
        <v>0</v>
      </c>
      <c r="J72" s="113">
        <v>4</v>
      </c>
      <c r="K72" s="105">
        <f t="shared" si="18"/>
        <v>0</v>
      </c>
      <c r="L72" s="106">
        <f t="shared" si="19"/>
        <v>0</v>
      </c>
    </row>
    <row r="73" spans="1:12" x14ac:dyDescent="0.35">
      <c r="A73" s="138">
        <v>21</v>
      </c>
      <c r="B73" s="183" t="s">
        <v>360</v>
      </c>
      <c r="C73" s="123">
        <v>1</v>
      </c>
      <c r="D73" s="127">
        <v>0</v>
      </c>
      <c r="E73" s="128">
        <f t="shared" ref="E73:E77" si="20">C73*(1+D73)</f>
        <v>1</v>
      </c>
      <c r="F73" s="24" t="s">
        <v>18</v>
      </c>
      <c r="G73" s="57"/>
      <c r="H73" s="103">
        <f t="shared" ref="H73:H77" si="21">G73*E73</f>
        <v>0</v>
      </c>
      <c r="I73" s="104">
        <f t="shared" ref="I73:I77" si="22">L$4</f>
        <v>0</v>
      </c>
      <c r="J73" s="113">
        <v>6</v>
      </c>
      <c r="K73" s="105">
        <f t="shared" ref="K73:K77" si="23">J73*I73</f>
        <v>0</v>
      </c>
      <c r="L73" s="106">
        <f t="shared" ref="L73:L77" si="24">K73+H73</f>
        <v>0</v>
      </c>
    </row>
    <row r="74" spans="1:12" x14ac:dyDescent="0.35">
      <c r="A74" s="138">
        <v>22</v>
      </c>
      <c r="B74" s="183" t="s">
        <v>361</v>
      </c>
      <c r="C74" s="123">
        <v>2</v>
      </c>
      <c r="D74" s="127">
        <v>0</v>
      </c>
      <c r="E74" s="128">
        <f t="shared" si="20"/>
        <v>2</v>
      </c>
      <c r="F74" s="24" t="s">
        <v>18</v>
      </c>
      <c r="G74" s="57"/>
      <c r="H74" s="103">
        <f t="shared" si="21"/>
        <v>0</v>
      </c>
      <c r="I74" s="104">
        <f t="shared" si="22"/>
        <v>0</v>
      </c>
      <c r="J74" s="113">
        <v>2</v>
      </c>
      <c r="K74" s="105">
        <f t="shared" si="23"/>
        <v>0</v>
      </c>
      <c r="L74" s="106">
        <f t="shared" si="24"/>
        <v>0</v>
      </c>
    </row>
    <row r="75" spans="1:12" x14ac:dyDescent="0.35">
      <c r="A75" s="138">
        <v>23</v>
      </c>
      <c r="B75" s="183" t="s">
        <v>362</v>
      </c>
      <c r="C75" s="123">
        <v>1</v>
      </c>
      <c r="D75" s="127">
        <v>0</v>
      </c>
      <c r="E75" s="128">
        <f t="shared" si="20"/>
        <v>1</v>
      </c>
      <c r="F75" s="24" t="s">
        <v>18</v>
      </c>
      <c r="G75" s="57"/>
      <c r="H75" s="103">
        <f t="shared" si="21"/>
        <v>0</v>
      </c>
      <c r="I75" s="104">
        <f t="shared" si="22"/>
        <v>0</v>
      </c>
      <c r="J75" s="113">
        <v>1</v>
      </c>
      <c r="K75" s="105">
        <f t="shared" si="23"/>
        <v>0</v>
      </c>
      <c r="L75" s="106">
        <f t="shared" si="24"/>
        <v>0</v>
      </c>
    </row>
    <row r="76" spans="1:12" x14ac:dyDescent="0.35">
      <c r="A76" s="138">
        <v>24</v>
      </c>
      <c r="B76" s="183" t="s">
        <v>363</v>
      </c>
      <c r="C76" s="123">
        <v>1</v>
      </c>
      <c r="D76" s="127">
        <v>0</v>
      </c>
      <c r="E76" s="128">
        <f t="shared" si="20"/>
        <v>1</v>
      </c>
      <c r="F76" s="24" t="s">
        <v>18</v>
      </c>
      <c r="G76" s="57"/>
      <c r="H76" s="103">
        <f t="shared" si="21"/>
        <v>0</v>
      </c>
      <c r="I76" s="104">
        <f t="shared" si="22"/>
        <v>0</v>
      </c>
      <c r="J76" s="113">
        <v>8</v>
      </c>
      <c r="K76" s="105">
        <f t="shared" si="23"/>
        <v>0</v>
      </c>
      <c r="L76" s="106">
        <f t="shared" si="24"/>
        <v>0</v>
      </c>
    </row>
    <row r="77" spans="1:12" x14ac:dyDescent="0.35">
      <c r="A77" s="138">
        <v>25</v>
      </c>
      <c r="B77" s="183" t="s">
        <v>364</v>
      </c>
      <c r="C77" s="123">
        <v>1</v>
      </c>
      <c r="D77" s="127">
        <v>0</v>
      </c>
      <c r="E77" s="128">
        <f t="shared" si="20"/>
        <v>1</v>
      </c>
      <c r="F77" s="24" t="s">
        <v>18</v>
      </c>
      <c r="G77" s="57"/>
      <c r="H77" s="103">
        <f t="shared" si="21"/>
        <v>0</v>
      </c>
      <c r="I77" s="104">
        <f t="shared" si="22"/>
        <v>0</v>
      </c>
      <c r="J77" s="113">
        <v>3</v>
      </c>
      <c r="K77" s="105">
        <f t="shared" si="23"/>
        <v>0</v>
      </c>
      <c r="L77" s="106">
        <f t="shared" si="24"/>
        <v>0</v>
      </c>
    </row>
    <row r="78" spans="1:12" ht="17.25" customHeight="1" thickBot="1" x14ac:dyDescent="0.4">
      <c r="A78" s="129"/>
      <c r="B78" s="130"/>
      <c r="C78" s="123"/>
      <c r="D78" s="127"/>
      <c r="E78" s="128"/>
      <c r="F78" s="24"/>
      <c r="G78" s="131"/>
      <c r="H78" s="131"/>
      <c r="I78" s="132"/>
      <c r="J78" s="113"/>
      <c r="K78" s="132"/>
      <c r="L78" s="133"/>
    </row>
    <row r="79" spans="1:12" ht="17.25" customHeight="1" thickBot="1" x14ac:dyDescent="0.4">
      <c r="A79" s="382" t="s">
        <v>298</v>
      </c>
      <c r="B79" s="383"/>
      <c r="C79" s="134"/>
      <c r="D79" s="127"/>
      <c r="E79" s="128"/>
      <c r="F79" s="24"/>
      <c r="G79" s="131"/>
      <c r="H79" s="131"/>
      <c r="I79" s="132"/>
      <c r="J79" s="113"/>
      <c r="K79" s="132"/>
      <c r="L79" s="133"/>
    </row>
    <row r="80" spans="1:12" ht="17.25" customHeight="1" x14ac:dyDescent="0.35">
      <c r="A80" s="138">
        <v>1</v>
      </c>
      <c r="B80" s="139" t="s">
        <v>299</v>
      </c>
      <c r="C80" s="123">
        <f>432+110+125+23+85</f>
        <v>775</v>
      </c>
      <c r="D80" s="127">
        <v>0</v>
      </c>
      <c r="E80" s="128">
        <f t="shared" si="15"/>
        <v>775</v>
      </c>
      <c r="F80" s="24" t="s">
        <v>18</v>
      </c>
      <c r="G80" s="57"/>
      <c r="H80" s="103">
        <f t="shared" ref="H80:H89" si="25">G80*E80</f>
        <v>0</v>
      </c>
      <c r="I80" s="104">
        <f t="shared" ref="I80:I89" si="26">L$4</f>
        <v>0</v>
      </c>
      <c r="J80" s="113">
        <v>232.5</v>
      </c>
      <c r="K80" s="105">
        <f t="shared" ref="K80:K89" si="27">J80*I80</f>
        <v>0</v>
      </c>
      <c r="L80" s="106">
        <f t="shared" ref="L80:L89" si="28">K80+H80</f>
        <v>0</v>
      </c>
    </row>
    <row r="81" spans="1:12" ht="17.25" customHeight="1" x14ac:dyDescent="0.35">
      <c r="A81" s="126">
        <v>2</v>
      </c>
      <c r="B81" s="140" t="s">
        <v>300</v>
      </c>
      <c r="C81" s="123">
        <v>275</v>
      </c>
      <c r="D81" s="127">
        <v>0</v>
      </c>
      <c r="E81" s="128">
        <f t="shared" si="15"/>
        <v>275</v>
      </c>
      <c r="F81" s="24" t="s">
        <v>18</v>
      </c>
      <c r="G81" s="57"/>
      <c r="H81" s="103">
        <f t="shared" si="25"/>
        <v>0</v>
      </c>
      <c r="I81" s="104">
        <f t="shared" si="26"/>
        <v>0</v>
      </c>
      <c r="J81" s="113">
        <v>82.5</v>
      </c>
      <c r="K81" s="105">
        <f t="shared" si="27"/>
        <v>0</v>
      </c>
      <c r="L81" s="106">
        <f t="shared" si="28"/>
        <v>0</v>
      </c>
    </row>
    <row r="82" spans="1:12" x14ac:dyDescent="0.35">
      <c r="A82" s="126">
        <v>3</v>
      </c>
      <c r="B82" s="140" t="s">
        <v>301</v>
      </c>
      <c r="C82" s="123">
        <v>2</v>
      </c>
      <c r="D82" s="127">
        <v>0</v>
      </c>
      <c r="E82" s="128">
        <f t="shared" si="15"/>
        <v>2</v>
      </c>
      <c r="F82" s="24" t="s">
        <v>18</v>
      </c>
      <c r="G82" s="57"/>
      <c r="H82" s="103">
        <f t="shared" si="25"/>
        <v>0</v>
      </c>
      <c r="I82" s="104">
        <f t="shared" si="26"/>
        <v>0</v>
      </c>
      <c r="J82" s="113">
        <v>0.6</v>
      </c>
      <c r="K82" s="105">
        <f t="shared" si="27"/>
        <v>0</v>
      </c>
      <c r="L82" s="106">
        <f t="shared" si="28"/>
        <v>0</v>
      </c>
    </row>
    <row r="83" spans="1:12" ht="17.25" customHeight="1" x14ac:dyDescent="0.35">
      <c r="A83" s="126">
        <v>4</v>
      </c>
      <c r="B83" s="140" t="s">
        <v>302</v>
      </c>
      <c r="C83" s="123">
        <v>18</v>
      </c>
      <c r="D83" s="127">
        <v>0</v>
      </c>
      <c r="E83" s="128">
        <f t="shared" si="15"/>
        <v>18</v>
      </c>
      <c r="F83" s="24" t="s">
        <v>18</v>
      </c>
      <c r="G83" s="57"/>
      <c r="H83" s="103">
        <f t="shared" si="25"/>
        <v>0</v>
      </c>
      <c r="I83" s="104">
        <f t="shared" si="26"/>
        <v>0</v>
      </c>
      <c r="J83" s="113">
        <v>5.3999999999999995</v>
      </c>
      <c r="K83" s="105">
        <f t="shared" si="27"/>
        <v>0</v>
      </c>
      <c r="L83" s="106">
        <f t="shared" si="28"/>
        <v>0</v>
      </c>
    </row>
    <row r="84" spans="1:12" ht="17.25" customHeight="1" x14ac:dyDescent="0.35">
      <c r="A84" s="126">
        <v>5</v>
      </c>
      <c r="B84" s="141" t="s">
        <v>303</v>
      </c>
      <c r="C84" s="123">
        <v>26</v>
      </c>
      <c r="D84" s="127">
        <v>0</v>
      </c>
      <c r="E84" s="128">
        <f t="shared" si="15"/>
        <v>26</v>
      </c>
      <c r="F84" s="24" t="s">
        <v>18</v>
      </c>
      <c r="G84" s="57"/>
      <c r="H84" s="103">
        <f t="shared" si="25"/>
        <v>0</v>
      </c>
      <c r="I84" s="104">
        <f t="shared" si="26"/>
        <v>0</v>
      </c>
      <c r="J84" s="113">
        <v>7.8</v>
      </c>
      <c r="K84" s="105">
        <f t="shared" si="27"/>
        <v>0</v>
      </c>
      <c r="L84" s="106">
        <f t="shared" si="28"/>
        <v>0</v>
      </c>
    </row>
    <row r="85" spans="1:12" ht="17.25" customHeight="1" x14ac:dyDescent="0.35">
      <c r="A85" s="126">
        <v>6</v>
      </c>
      <c r="B85" s="140" t="s">
        <v>304</v>
      </c>
      <c r="C85" s="123">
        <v>1</v>
      </c>
      <c r="D85" s="127">
        <v>0</v>
      </c>
      <c r="E85" s="128">
        <f t="shared" si="15"/>
        <v>1</v>
      </c>
      <c r="F85" s="24" t="s">
        <v>18</v>
      </c>
      <c r="G85" s="57"/>
      <c r="H85" s="103">
        <f t="shared" si="25"/>
        <v>0</v>
      </c>
      <c r="I85" s="104">
        <f t="shared" si="26"/>
        <v>0</v>
      </c>
      <c r="J85" s="113">
        <v>0.5</v>
      </c>
      <c r="K85" s="105">
        <f t="shared" si="27"/>
        <v>0</v>
      </c>
      <c r="L85" s="106">
        <f t="shared" si="28"/>
        <v>0</v>
      </c>
    </row>
    <row r="86" spans="1:12" ht="17.25" customHeight="1" x14ac:dyDescent="0.35">
      <c r="A86" s="126">
        <v>7</v>
      </c>
      <c r="B86" s="141" t="s">
        <v>305</v>
      </c>
      <c r="C86" s="123">
        <v>1</v>
      </c>
      <c r="D86" s="127">
        <v>0</v>
      </c>
      <c r="E86" s="128">
        <f t="shared" si="15"/>
        <v>1</v>
      </c>
      <c r="F86" s="24" t="s">
        <v>18</v>
      </c>
      <c r="G86" s="57"/>
      <c r="H86" s="103">
        <f t="shared" si="25"/>
        <v>0</v>
      </c>
      <c r="I86" s="104">
        <f t="shared" si="26"/>
        <v>0</v>
      </c>
      <c r="J86" s="113">
        <v>0.5</v>
      </c>
      <c r="K86" s="105">
        <f t="shared" si="27"/>
        <v>0</v>
      </c>
      <c r="L86" s="106">
        <f t="shared" si="28"/>
        <v>0</v>
      </c>
    </row>
    <row r="87" spans="1:12" ht="17.25" customHeight="1" x14ac:dyDescent="0.35">
      <c r="A87" s="126">
        <v>8</v>
      </c>
      <c r="B87" s="140" t="s">
        <v>306</v>
      </c>
      <c r="C87" s="123">
        <v>2</v>
      </c>
      <c r="D87" s="127">
        <v>0</v>
      </c>
      <c r="E87" s="128">
        <f t="shared" si="15"/>
        <v>2</v>
      </c>
      <c r="F87" s="24" t="s">
        <v>18</v>
      </c>
      <c r="G87" s="57"/>
      <c r="H87" s="103">
        <f t="shared" si="25"/>
        <v>0</v>
      </c>
      <c r="I87" s="104">
        <f t="shared" si="26"/>
        <v>0</v>
      </c>
      <c r="J87" s="113">
        <v>1</v>
      </c>
      <c r="K87" s="105">
        <f t="shared" si="27"/>
        <v>0</v>
      </c>
      <c r="L87" s="106">
        <f t="shared" si="28"/>
        <v>0</v>
      </c>
    </row>
    <row r="88" spans="1:12" x14ac:dyDescent="0.35">
      <c r="A88" s="126">
        <v>9</v>
      </c>
      <c r="B88" s="140" t="s">
        <v>307</v>
      </c>
      <c r="C88" s="123">
        <v>3</v>
      </c>
      <c r="D88" s="127">
        <v>0</v>
      </c>
      <c r="E88" s="128">
        <f t="shared" si="15"/>
        <v>3</v>
      </c>
      <c r="F88" s="24" t="s">
        <v>18</v>
      </c>
      <c r="G88" s="57"/>
      <c r="H88" s="103">
        <f t="shared" si="25"/>
        <v>0</v>
      </c>
      <c r="I88" s="104">
        <f t="shared" si="26"/>
        <v>0</v>
      </c>
      <c r="J88" s="113">
        <v>1.5</v>
      </c>
      <c r="K88" s="105">
        <f t="shared" si="27"/>
        <v>0</v>
      </c>
      <c r="L88" s="106">
        <f t="shared" si="28"/>
        <v>0</v>
      </c>
    </row>
    <row r="89" spans="1:12" ht="17.25" customHeight="1" x14ac:dyDescent="0.35">
      <c r="A89" s="126">
        <v>10</v>
      </c>
      <c r="B89" s="140" t="s">
        <v>308</v>
      </c>
      <c r="C89" s="123">
        <v>4</v>
      </c>
      <c r="D89" s="127">
        <v>0</v>
      </c>
      <c r="E89" s="128">
        <f t="shared" si="15"/>
        <v>4</v>
      </c>
      <c r="F89" s="24" t="s">
        <v>18</v>
      </c>
      <c r="G89" s="57"/>
      <c r="H89" s="103">
        <f t="shared" si="25"/>
        <v>0</v>
      </c>
      <c r="I89" s="104">
        <f t="shared" si="26"/>
        <v>0</v>
      </c>
      <c r="J89" s="113">
        <v>2</v>
      </c>
      <c r="K89" s="105">
        <f t="shared" si="27"/>
        <v>0</v>
      </c>
      <c r="L89" s="106">
        <f t="shared" si="28"/>
        <v>0</v>
      </c>
    </row>
    <row r="90" spans="1:12" ht="17.25" customHeight="1" thickBot="1" x14ac:dyDescent="0.4">
      <c r="A90" s="129"/>
      <c r="B90" s="130"/>
      <c r="C90" s="123"/>
      <c r="D90" s="127"/>
      <c r="E90" s="128"/>
      <c r="F90" s="24"/>
      <c r="G90" s="131"/>
      <c r="H90" s="131"/>
      <c r="I90" s="132"/>
      <c r="J90" s="113"/>
      <c r="K90" s="132"/>
      <c r="L90" s="133"/>
    </row>
    <row r="91" spans="1:12" ht="17.25" customHeight="1" thickBot="1" x14ac:dyDescent="0.4">
      <c r="A91" s="382" t="s">
        <v>309</v>
      </c>
      <c r="B91" s="383"/>
      <c r="C91" s="134"/>
      <c r="D91" s="127"/>
      <c r="E91" s="128"/>
      <c r="F91" s="24"/>
      <c r="G91" s="131"/>
      <c r="H91" s="131"/>
      <c r="I91" s="132"/>
      <c r="J91" s="113"/>
      <c r="K91" s="132"/>
      <c r="L91" s="133"/>
    </row>
    <row r="92" spans="1:12" ht="17.25" customHeight="1" x14ac:dyDescent="0.35">
      <c r="A92" s="138">
        <v>1</v>
      </c>
      <c r="B92" s="139" t="s">
        <v>277</v>
      </c>
      <c r="C92" s="123">
        <v>97</v>
      </c>
      <c r="D92" s="127">
        <v>0</v>
      </c>
      <c r="E92" s="128">
        <f t="shared" ref="E92:E108" si="29">C92*(1+D92)</f>
        <v>97</v>
      </c>
      <c r="F92" s="24" t="s">
        <v>18</v>
      </c>
      <c r="G92" s="57"/>
      <c r="H92" s="103">
        <f t="shared" ref="H92:H108" si="30">G92*E92</f>
        <v>0</v>
      </c>
      <c r="I92" s="104">
        <f t="shared" ref="I92:I108" si="31">L$4</f>
        <v>0</v>
      </c>
      <c r="J92" s="113">
        <v>48.5</v>
      </c>
      <c r="K92" s="105">
        <f t="shared" ref="K92:K108" si="32">J92*I92</f>
        <v>0</v>
      </c>
      <c r="L92" s="106">
        <f t="shared" ref="L92:L108" si="33">K92+H92</f>
        <v>0</v>
      </c>
    </row>
    <row r="93" spans="1:12" ht="17.25" customHeight="1" x14ac:dyDescent="0.35">
      <c r="A93" s="126">
        <v>2</v>
      </c>
      <c r="B93" s="141" t="s">
        <v>310</v>
      </c>
      <c r="C93" s="123">
        <v>96</v>
      </c>
      <c r="D93" s="127">
        <v>0</v>
      </c>
      <c r="E93" s="128">
        <f t="shared" si="29"/>
        <v>96</v>
      </c>
      <c r="F93" s="24" t="s">
        <v>18</v>
      </c>
      <c r="G93" s="57"/>
      <c r="H93" s="103">
        <f t="shared" si="30"/>
        <v>0</v>
      </c>
      <c r="I93" s="104">
        <f t="shared" si="31"/>
        <v>0</v>
      </c>
      <c r="J93" s="113">
        <v>28.799999999999997</v>
      </c>
      <c r="K93" s="105">
        <f t="shared" si="32"/>
        <v>0</v>
      </c>
      <c r="L93" s="106">
        <f t="shared" si="33"/>
        <v>0</v>
      </c>
    </row>
    <row r="94" spans="1:12" ht="17.25" customHeight="1" x14ac:dyDescent="0.35">
      <c r="A94" s="126">
        <v>3</v>
      </c>
      <c r="B94" s="140" t="s">
        <v>311</v>
      </c>
      <c r="C94" s="123">
        <v>1</v>
      </c>
      <c r="D94" s="127">
        <v>0</v>
      </c>
      <c r="E94" s="128">
        <f t="shared" si="29"/>
        <v>1</v>
      </c>
      <c r="F94" s="24" t="s">
        <v>18</v>
      </c>
      <c r="G94" s="57"/>
      <c r="H94" s="103">
        <f t="shared" si="30"/>
        <v>0</v>
      </c>
      <c r="I94" s="104">
        <f t="shared" si="31"/>
        <v>0</v>
      </c>
      <c r="J94" s="113">
        <v>0.5</v>
      </c>
      <c r="K94" s="105">
        <f t="shared" si="32"/>
        <v>0</v>
      </c>
      <c r="L94" s="106">
        <f t="shared" si="33"/>
        <v>0</v>
      </c>
    </row>
    <row r="95" spans="1:12" ht="17.25" customHeight="1" x14ac:dyDescent="0.35">
      <c r="A95" s="126">
        <v>4</v>
      </c>
      <c r="B95" s="140" t="s">
        <v>312</v>
      </c>
      <c r="C95" s="123">
        <v>3</v>
      </c>
      <c r="D95" s="127">
        <v>0</v>
      </c>
      <c r="E95" s="128">
        <f t="shared" si="29"/>
        <v>3</v>
      </c>
      <c r="F95" s="24" t="s">
        <v>18</v>
      </c>
      <c r="G95" s="57"/>
      <c r="H95" s="103">
        <f t="shared" si="30"/>
        <v>0</v>
      </c>
      <c r="I95" s="104">
        <f t="shared" si="31"/>
        <v>0</v>
      </c>
      <c r="J95" s="113">
        <v>1.5</v>
      </c>
      <c r="K95" s="105">
        <f t="shared" si="32"/>
        <v>0</v>
      </c>
      <c r="L95" s="106">
        <f t="shared" si="33"/>
        <v>0</v>
      </c>
    </row>
    <row r="96" spans="1:12" ht="17.25" customHeight="1" x14ac:dyDescent="0.35">
      <c r="A96" s="126">
        <v>5</v>
      </c>
      <c r="B96" s="140" t="s">
        <v>313</v>
      </c>
      <c r="C96" s="123">
        <v>1</v>
      </c>
      <c r="D96" s="127">
        <v>0</v>
      </c>
      <c r="E96" s="128">
        <f t="shared" si="29"/>
        <v>1</v>
      </c>
      <c r="F96" s="24" t="s">
        <v>18</v>
      </c>
      <c r="G96" s="57"/>
      <c r="H96" s="103">
        <f t="shared" si="30"/>
        <v>0</v>
      </c>
      <c r="I96" s="104">
        <f t="shared" si="31"/>
        <v>0</v>
      </c>
      <c r="J96" s="113">
        <v>1</v>
      </c>
      <c r="K96" s="105">
        <f t="shared" si="32"/>
        <v>0</v>
      </c>
      <c r="L96" s="106">
        <f t="shared" si="33"/>
        <v>0</v>
      </c>
    </row>
    <row r="97" spans="1:12" ht="17.25" customHeight="1" x14ac:dyDescent="0.35">
      <c r="A97" s="126">
        <v>6</v>
      </c>
      <c r="B97" s="26" t="s">
        <v>314</v>
      </c>
      <c r="C97" s="123">
        <v>24</v>
      </c>
      <c r="D97" s="127">
        <v>0</v>
      </c>
      <c r="E97" s="128">
        <f t="shared" si="29"/>
        <v>24</v>
      </c>
      <c r="F97" s="24" t="s">
        <v>18</v>
      </c>
      <c r="G97" s="57"/>
      <c r="H97" s="103">
        <f t="shared" si="30"/>
        <v>0</v>
      </c>
      <c r="I97" s="104">
        <f t="shared" si="31"/>
        <v>0</v>
      </c>
      <c r="J97" s="113">
        <v>18</v>
      </c>
      <c r="K97" s="105">
        <f t="shared" si="32"/>
        <v>0</v>
      </c>
      <c r="L97" s="106">
        <f t="shared" si="33"/>
        <v>0</v>
      </c>
    </row>
    <row r="98" spans="1:12" ht="17.25" customHeight="1" x14ac:dyDescent="0.35">
      <c r="A98" s="126">
        <v>7</v>
      </c>
      <c r="B98" s="184" t="s">
        <v>365</v>
      </c>
      <c r="C98" s="144">
        <v>4</v>
      </c>
      <c r="D98" s="127">
        <v>0</v>
      </c>
      <c r="E98" s="128">
        <f t="shared" si="29"/>
        <v>4</v>
      </c>
      <c r="F98" s="24" t="s">
        <v>18</v>
      </c>
      <c r="G98" s="57"/>
      <c r="H98" s="103">
        <f t="shared" si="30"/>
        <v>0</v>
      </c>
      <c r="I98" s="104">
        <f t="shared" si="31"/>
        <v>0</v>
      </c>
      <c r="J98" s="113">
        <v>4</v>
      </c>
      <c r="K98" s="105">
        <f t="shared" si="32"/>
        <v>0</v>
      </c>
      <c r="L98" s="106">
        <f t="shared" si="33"/>
        <v>0</v>
      </c>
    </row>
    <row r="99" spans="1:12" ht="17.25" customHeight="1" x14ac:dyDescent="0.35">
      <c r="A99" s="126">
        <v>8</v>
      </c>
      <c r="B99" s="184" t="s">
        <v>366</v>
      </c>
      <c r="C99" s="144">
        <v>4</v>
      </c>
      <c r="D99" s="127">
        <v>0</v>
      </c>
      <c r="E99" s="128">
        <f t="shared" si="29"/>
        <v>4</v>
      </c>
      <c r="F99" s="24" t="s">
        <v>18</v>
      </c>
      <c r="G99" s="57"/>
      <c r="H99" s="103">
        <f t="shared" si="30"/>
        <v>0</v>
      </c>
      <c r="I99" s="104">
        <f t="shared" si="31"/>
        <v>0</v>
      </c>
      <c r="J99" s="113">
        <v>4</v>
      </c>
      <c r="K99" s="105">
        <f t="shared" si="32"/>
        <v>0</v>
      </c>
      <c r="L99" s="106">
        <f t="shared" si="33"/>
        <v>0</v>
      </c>
    </row>
    <row r="100" spans="1:12" ht="17.25" customHeight="1" x14ac:dyDescent="0.35">
      <c r="A100" s="126">
        <v>9</v>
      </c>
      <c r="B100" s="184" t="s">
        <v>367</v>
      </c>
      <c r="C100" s="144">
        <v>1</v>
      </c>
      <c r="D100" s="127">
        <v>0</v>
      </c>
      <c r="E100" s="128">
        <f t="shared" si="29"/>
        <v>1</v>
      </c>
      <c r="F100" s="24" t="s">
        <v>18</v>
      </c>
      <c r="G100" s="57"/>
      <c r="H100" s="103">
        <f t="shared" si="30"/>
        <v>0</v>
      </c>
      <c r="I100" s="104">
        <f t="shared" si="31"/>
        <v>0</v>
      </c>
      <c r="J100" s="113">
        <v>36</v>
      </c>
      <c r="K100" s="105">
        <f t="shared" si="32"/>
        <v>0</v>
      </c>
      <c r="L100" s="106">
        <f t="shared" si="33"/>
        <v>0</v>
      </c>
    </row>
    <row r="101" spans="1:12" ht="17.25" customHeight="1" x14ac:dyDescent="0.35">
      <c r="A101" s="126">
        <v>10</v>
      </c>
      <c r="B101" s="184" t="s">
        <v>368</v>
      </c>
      <c r="C101" s="144">
        <v>1</v>
      </c>
      <c r="D101" s="127">
        <v>0</v>
      </c>
      <c r="E101" s="128">
        <f t="shared" si="29"/>
        <v>1</v>
      </c>
      <c r="F101" s="24" t="s">
        <v>18</v>
      </c>
      <c r="G101" s="57"/>
      <c r="H101" s="103">
        <f t="shared" si="30"/>
        <v>0</v>
      </c>
      <c r="I101" s="104">
        <f t="shared" si="31"/>
        <v>0</v>
      </c>
      <c r="J101" s="113">
        <v>16</v>
      </c>
      <c r="K101" s="105">
        <f t="shared" si="32"/>
        <v>0</v>
      </c>
      <c r="L101" s="106">
        <f t="shared" si="33"/>
        <v>0</v>
      </c>
    </row>
    <row r="102" spans="1:12" ht="17.25" customHeight="1" x14ac:dyDescent="0.35">
      <c r="A102" s="126">
        <v>11</v>
      </c>
      <c r="B102" s="184" t="s">
        <v>369</v>
      </c>
      <c r="C102" s="144">
        <v>1</v>
      </c>
      <c r="D102" s="127">
        <v>0</v>
      </c>
      <c r="E102" s="128">
        <f t="shared" si="29"/>
        <v>1</v>
      </c>
      <c r="F102" s="24" t="s">
        <v>18</v>
      </c>
      <c r="G102" s="57"/>
      <c r="H102" s="103">
        <f t="shared" si="30"/>
        <v>0</v>
      </c>
      <c r="I102" s="104">
        <f t="shared" si="31"/>
        <v>0</v>
      </c>
      <c r="J102" s="113">
        <v>1</v>
      </c>
      <c r="K102" s="105">
        <f t="shared" si="32"/>
        <v>0</v>
      </c>
      <c r="L102" s="106">
        <f t="shared" si="33"/>
        <v>0</v>
      </c>
    </row>
    <row r="103" spans="1:12" ht="17.25" customHeight="1" x14ac:dyDescent="0.35">
      <c r="A103" s="126">
        <v>12</v>
      </c>
      <c r="B103" s="184" t="s">
        <v>370</v>
      </c>
      <c r="C103" s="144">
        <v>1</v>
      </c>
      <c r="D103" s="127">
        <v>0</v>
      </c>
      <c r="E103" s="128">
        <f t="shared" si="29"/>
        <v>1</v>
      </c>
      <c r="F103" s="24" t="s">
        <v>18</v>
      </c>
      <c r="G103" s="57"/>
      <c r="H103" s="103">
        <f t="shared" si="30"/>
        <v>0</v>
      </c>
      <c r="I103" s="104">
        <f t="shared" si="31"/>
        <v>0</v>
      </c>
      <c r="J103" s="113">
        <v>1</v>
      </c>
      <c r="K103" s="105">
        <f t="shared" si="32"/>
        <v>0</v>
      </c>
      <c r="L103" s="106">
        <f t="shared" si="33"/>
        <v>0</v>
      </c>
    </row>
    <row r="104" spans="1:12" ht="17.25" customHeight="1" x14ac:dyDescent="0.35">
      <c r="A104" s="126">
        <v>13</v>
      </c>
      <c r="B104" s="183" t="s">
        <v>371</v>
      </c>
      <c r="C104" s="123">
        <v>1</v>
      </c>
      <c r="D104" s="127">
        <v>0</v>
      </c>
      <c r="E104" s="128">
        <f t="shared" si="29"/>
        <v>1</v>
      </c>
      <c r="F104" s="24" t="s">
        <v>18</v>
      </c>
      <c r="G104" s="57"/>
      <c r="H104" s="103">
        <f t="shared" si="30"/>
        <v>0</v>
      </c>
      <c r="I104" s="104">
        <f t="shared" si="31"/>
        <v>0</v>
      </c>
      <c r="J104" s="113">
        <v>1</v>
      </c>
      <c r="K104" s="105">
        <f t="shared" si="32"/>
        <v>0</v>
      </c>
      <c r="L104" s="106">
        <f t="shared" si="33"/>
        <v>0</v>
      </c>
    </row>
    <row r="105" spans="1:12" ht="17.25" customHeight="1" x14ac:dyDescent="0.35">
      <c r="A105" s="126">
        <v>14</v>
      </c>
      <c r="B105" s="184" t="s">
        <v>372</v>
      </c>
      <c r="C105" s="144">
        <v>1</v>
      </c>
      <c r="D105" s="127">
        <v>0</v>
      </c>
      <c r="E105" s="128">
        <f t="shared" si="29"/>
        <v>1</v>
      </c>
      <c r="F105" s="24" t="s">
        <v>18</v>
      </c>
      <c r="G105" s="57"/>
      <c r="H105" s="103">
        <f t="shared" si="30"/>
        <v>0</v>
      </c>
      <c r="I105" s="104">
        <f t="shared" si="31"/>
        <v>0</v>
      </c>
      <c r="J105" s="113">
        <v>18</v>
      </c>
      <c r="K105" s="105">
        <f t="shared" si="32"/>
        <v>0</v>
      </c>
      <c r="L105" s="106">
        <f t="shared" si="33"/>
        <v>0</v>
      </c>
    </row>
    <row r="106" spans="1:12" ht="17.25" customHeight="1" x14ac:dyDescent="0.35">
      <c r="A106" s="126">
        <v>15</v>
      </c>
      <c r="B106" s="142" t="s">
        <v>373</v>
      </c>
      <c r="C106" s="144">
        <v>1</v>
      </c>
      <c r="D106" s="127">
        <v>0</v>
      </c>
      <c r="E106" s="128">
        <f t="shared" si="29"/>
        <v>1</v>
      </c>
      <c r="F106" s="24" t="s">
        <v>18</v>
      </c>
      <c r="G106" s="57"/>
      <c r="H106" s="103">
        <f t="shared" si="30"/>
        <v>0</v>
      </c>
      <c r="I106" s="104">
        <f t="shared" si="31"/>
        <v>0</v>
      </c>
      <c r="J106" s="113"/>
      <c r="K106" s="105">
        <f t="shared" si="32"/>
        <v>0</v>
      </c>
      <c r="L106" s="106">
        <f t="shared" si="33"/>
        <v>0</v>
      </c>
    </row>
    <row r="107" spans="1:12" ht="17.25" customHeight="1" x14ac:dyDescent="0.35">
      <c r="A107" s="126">
        <v>16</v>
      </c>
      <c r="B107" s="142" t="s">
        <v>374</v>
      </c>
      <c r="C107" s="144">
        <v>1</v>
      </c>
      <c r="D107" s="127">
        <v>0</v>
      </c>
      <c r="E107" s="128">
        <f t="shared" si="29"/>
        <v>1</v>
      </c>
      <c r="F107" s="24" t="s">
        <v>18</v>
      </c>
      <c r="G107" s="57"/>
      <c r="H107" s="103">
        <f t="shared" si="30"/>
        <v>0</v>
      </c>
      <c r="I107" s="104">
        <f t="shared" si="31"/>
        <v>0</v>
      </c>
      <c r="J107" s="113"/>
      <c r="K107" s="105">
        <f t="shared" si="32"/>
        <v>0</v>
      </c>
      <c r="L107" s="106">
        <f t="shared" si="33"/>
        <v>0</v>
      </c>
    </row>
    <row r="108" spans="1:12" ht="17.25" customHeight="1" x14ac:dyDescent="0.35">
      <c r="A108" s="126">
        <v>17</v>
      </c>
      <c r="B108" s="142" t="s">
        <v>375</v>
      </c>
      <c r="C108" s="144">
        <v>1</v>
      </c>
      <c r="D108" s="127">
        <v>0</v>
      </c>
      <c r="E108" s="128">
        <f t="shared" si="29"/>
        <v>1</v>
      </c>
      <c r="F108" s="24" t="s">
        <v>18</v>
      </c>
      <c r="G108" s="57"/>
      <c r="H108" s="103">
        <f t="shared" si="30"/>
        <v>0</v>
      </c>
      <c r="I108" s="104">
        <f t="shared" si="31"/>
        <v>0</v>
      </c>
      <c r="J108" s="113"/>
      <c r="K108" s="105">
        <f t="shared" si="32"/>
        <v>0</v>
      </c>
      <c r="L108" s="106">
        <f t="shared" si="33"/>
        <v>0</v>
      </c>
    </row>
    <row r="109" spans="1:12" ht="17.25" customHeight="1" thickBot="1" x14ac:dyDescent="0.4">
      <c r="A109" s="129"/>
      <c r="B109" s="88"/>
      <c r="C109" s="144"/>
      <c r="D109" s="127"/>
      <c r="E109" s="128"/>
      <c r="F109" s="24"/>
      <c r="G109" s="131"/>
      <c r="H109" s="131"/>
      <c r="I109" s="132"/>
      <c r="J109" s="113"/>
      <c r="K109" s="132"/>
      <c r="L109" s="133"/>
    </row>
    <row r="110" spans="1:12" ht="17.25" customHeight="1" thickBot="1" x14ac:dyDescent="0.4">
      <c r="A110" s="382" t="s">
        <v>315</v>
      </c>
      <c r="B110" s="383"/>
      <c r="C110" s="144"/>
      <c r="D110" s="127"/>
      <c r="E110" s="128"/>
      <c r="F110" s="24"/>
      <c r="G110" s="131"/>
      <c r="H110" s="131"/>
      <c r="I110" s="132"/>
      <c r="J110" s="113"/>
      <c r="K110" s="132"/>
      <c r="L110" s="133"/>
    </row>
    <row r="111" spans="1:12" ht="17.25" customHeight="1" x14ac:dyDescent="0.35">
      <c r="A111" s="138">
        <v>1</v>
      </c>
      <c r="B111" s="160" t="s">
        <v>316</v>
      </c>
      <c r="C111" s="123">
        <v>36</v>
      </c>
      <c r="D111" s="127">
        <v>0</v>
      </c>
      <c r="E111" s="128">
        <f t="shared" si="15"/>
        <v>36</v>
      </c>
      <c r="F111" s="24" t="s">
        <v>18</v>
      </c>
      <c r="G111" s="57"/>
      <c r="H111" s="103">
        <f t="shared" ref="H111:H120" si="34">G111*E111</f>
        <v>0</v>
      </c>
      <c r="I111" s="104">
        <f t="shared" ref="I111:I120" si="35">L$4</f>
        <v>0</v>
      </c>
      <c r="J111" s="113">
        <v>36</v>
      </c>
      <c r="K111" s="105">
        <f t="shared" ref="K111:K120" si="36">J111*I111</f>
        <v>0</v>
      </c>
      <c r="L111" s="106">
        <f t="shared" ref="L111:L120" si="37">K111+H111</f>
        <v>0</v>
      </c>
    </row>
    <row r="112" spans="1:12" ht="17.25" customHeight="1" x14ac:dyDescent="0.35">
      <c r="A112" s="126">
        <v>2</v>
      </c>
      <c r="B112" s="26" t="s">
        <v>317</v>
      </c>
      <c r="C112" s="123">
        <v>21</v>
      </c>
      <c r="D112" s="127">
        <v>0</v>
      </c>
      <c r="E112" s="128">
        <f t="shared" si="15"/>
        <v>21</v>
      </c>
      <c r="F112" s="24" t="s">
        <v>18</v>
      </c>
      <c r="G112" s="57"/>
      <c r="H112" s="103">
        <f t="shared" si="34"/>
        <v>0</v>
      </c>
      <c r="I112" s="104">
        <f t="shared" si="35"/>
        <v>0</v>
      </c>
      <c r="J112" s="113">
        <v>21</v>
      </c>
      <c r="K112" s="105">
        <f t="shared" si="36"/>
        <v>0</v>
      </c>
      <c r="L112" s="106">
        <f t="shared" si="37"/>
        <v>0</v>
      </c>
    </row>
    <row r="113" spans="1:12" ht="17.25" customHeight="1" x14ac:dyDescent="0.35">
      <c r="A113" s="126">
        <v>3</v>
      </c>
      <c r="B113" s="26" t="s">
        <v>318</v>
      </c>
      <c r="C113" s="123">
        <v>1</v>
      </c>
      <c r="D113" s="127">
        <v>0</v>
      </c>
      <c r="E113" s="128">
        <f t="shared" si="15"/>
        <v>1</v>
      </c>
      <c r="F113" s="24" t="s">
        <v>18</v>
      </c>
      <c r="G113" s="57"/>
      <c r="H113" s="103">
        <f t="shared" si="34"/>
        <v>0</v>
      </c>
      <c r="I113" s="104">
        <f t="shared" si="35"/>
        <v>0</v>
      </c>
      <c r="J113" s="113">
        <v>1</v>
      </c>
      <c r="K113" s="105">
        <f t="shared" si="36"/>
        <v>0</v>
      </c>
      <c r="L113" s="106">
        <f t="shared" si="37"/>
        <v>0</v>
      </c>
    </row>
    <row r="114" spans="1:12" ht="17.25" customHeight="1" x14ac:dyDescent="0.35">
      <c r="A114" s="126">
        <v>4</v>
      </c>
      <c r="B114" s="26" t="s">
        <v>319</v>
      </c>
      <c r="C114" s="123">
        <v>14</v>
      </c>
      <c r="D114" s="127">
        <v>0</v>
      </c>
      <c r="E114" s="128">
        <f t="shared" si="15"/>
        <v>14</v>
      </c>
      <c r="F114" s="24" t="s">
        <v>18</v>
      </c>
      <c r="G114" s="57"/>
      <c r="H114" s="103">
        <f t="shared" si="34"/>
        <v>0</v>
      </c>
      <c r="I114" s="104">
        <f t="shared" si="35"/>
        <v>0</v>
      </c>
      <c r="J114" s="113">
        <v>14</v>
      </c>
      <c r="K114" s="105">
        <f t="shared" si="36"/>
        <v>0</v>
      </c>
      <c r="L114" s="106">
        <f t="shared" si="37"/>
        <v>0</v>
      </c>
    </row>
    <row r="115" spans="1:12" ht="17.25" customHeight="1" x14ac:dyDescent="0.35">
      <c r="A115" s="126">
        <v>5</v>
      </c>
      <c r="B115" s="26" t="s">
        <v>320</v>
      </c>
      <c r="C115" s="123">
        <v>4</v>
      </c>
      <c r="D115" s="127">
        <v>0</v>
      </c>
      <c r="E115" s="128">
        <f t="shared" si="15"/>
        <v>4</v>
      </c>
      <c r="F115" s="24" t="s">
        <v>18</v>
      </c>
      <c r="G115" s="57"/>
      <c r="H115" s="103">
        <f t="shared" si="34"/>
        <v>0</v>
      </c>
      <c r="I115" s="104">
        <f t="shared" si="35"/>
        <v>0</v>
      </c>
      <c r="J115" s="113">
        <v>4</v>
      </c>
      <c r="K115" s="105">
        <f t="shared" si="36"/>
        <v>0</v>
      </c>
      <c r="L115" s="106">
        <f t="shared" si="37"/>
        <v>0</v>
      </c>
    </row>
    <row r="116" spans="1:12" ht="17.25" customHeight="1" x14ac:dyDescent="0.35">
      <c r="A116" s="126">
        <v>6</v>
      </c>
      <c r="B116" s="26" t="s">
        <v>321</v>
      </c>
      <c r="C116" s="123">
        <v>6</v>
      </c>
      <c r="D116" s="127">
        <v>0</v>
      </c>
      <c r="E116" s="128">
        <f t="shared" si="15"/>
        <v>6</v>
      </c>
      <c r="F116" s="24" t="s">
        <v>18</v>
      </c>
      <c r="G116" s="57"/>
      <c r="H116" s="103">
        <f t="shared" si="34"/>
        <v>0</v>
      </c>
      <c r="I116" s="104">
        <f t="shared" si="35"/>
        <v>0</v>
      </c>
      <c r="J116" s="113">
        <v>6</v>
      </c>
      <c r="K116" s="105">
        <f t="shared" si="36"/>
        <v>0</v>
      </c>
      <c r="L116" s="106">
        <f t="shared" si="37"/>
        <v>0</v>
      </c>
    </row>
    <row r="117" spans="1:12" ht="17.25" customHeight="1" x14ac:dyDescent="0.35">
      <c r="A117" s="126">
        <v>7</v>
      </c>
      <c r="B117" s="26" t="s">
        <v>322</v>
      </c>
      <c r="C117" s="123">
        <v>6</v>
      </c>
      <c r="D117" s="127">
        <v>0</v>
      </c>
      <c r="E117" s="128">
        <f t="shared" si="15"/>
        <v>6</v>
      </c>
      <c r="F117" s="24" t="s">
        <v>18</v>
      </c>
      <c r="G117" s="57"/>
      <c r="H117" s="103">
        <f t="shared" si="34"/>
        <v>0</v>
      </c>
      <c r="I117" s="104">
        <f t="shared" si="35"/>
        <v>0</v>
      </c>
      <c r="J117" s="113">
        <v>6</v>
      </c>
      <c r="K117" s="105">
        <f t="shared" si="36"/>
        <v>0</v>
      </c>
      <c r="L117" s="106">
        <f t="shared" si="37"/>
        <v>0</v>
      </c>
    </row>
    <row r="118" spans="1:12" ht="17.25" customHeight="1" x14ac:dyDescent="0.35">
      <c r="A118" s="126">
        <v>8</v>
      </c>
      <c r="B118" s="26" t="s">
        <v>323</v>
      </c>
      <c r="C118" s="123">
        <v>3</v>
      </c>
      <c r="D118" s="127">
        <v>0</v>
      </c>
      <c r="E118" s="128">
        <f t="shared" si="15"/>
        <v>3</v>
      </c>
      <c r="F118" s="24" t="s">
        <v>18</v>
      </c>
      <c r="G118" s="57"/>
      <c r="H118" s="103">
        <f t="shared" si="34"/>
        <v>0</v>
      </c>
      <c r="I118" s="104">
        <f t="shared" si="35"/>
        <v>0</v>
      </c>
      <c r="J118" s="113">
        <v>3</v>
      </c>
      <c r="K118" s="105">
        <f t="shared" si="36"/>
        <v>0</v>
      </c>
      <c r="L118" s="106">
        <f t="shared" si="37"/>
        <v>0</v>
      </c>
    </row>
    <row r="119" spans="1:12" ht="17.25" customHeight="1" x14ac:dyDescent="0.35">
      <c r="A119" s="126">
        <v>9</v>
      </c>
      <c r="B119" s="26" t="s">
        <v>324</v>
      </c>
      <c r="C119" s="123">
        <v>2</v>
      </c>
      <c r="D119" s="127">
        <v>0</v>
      </c>
      <c r="E119" s="128">
        <f t="shared" si="15"/>
        <v>2</v>
      </c>
      <c r="F119" s="24" t="s">
        <v>18</v>
      </c>
      <c r="G119" s="57"/>
      <c r="H119" s="103">
        <f t="shared" si="34"/>
        <v>0</v>
      </c>
      <c r="I119" s="104">
        <f t="shared" si="35"/>
        <v>0</v>
      </c>
      <c r="J119" s="113">
        <v>1</v>
      </c>
      <c r="K119" s="105">
        <f t="shared" si="36"/>
        <v>0</v>
      </c>
      <c r="L119" s="106">
        <f t="shared" si="37"/>
        <v>0</v>
      </c>
    </row>
    <row r="120" spans="1:12" ht="17.25" customHeight="1" x14ac:dyDescent="0.35">
      <c r="A120" s="129">
        <v>10</v>
      </c>
      <c r="B120" s="88" t="s">
        <v>325</v>
      </c>
      <c r="C120" s="123">
        <v>1</v>
      </c>
      <c r="D120" s="127">
        <v>0</v>
      </c>
      <c r="E120" s="128">
        <f t="shared" si="15"/>
        <v>1</v>
      </c>
      <c r="F120" s="24" t="s">
        <v>18</v>
      </c>
      <c r="G120" s="57"/>
      <c r="H120" s="103">
        <f t="shared" si="34"/>
        <v>0</v>
      </c>
      <c r="I120" s="104">
        <f t="shared" si="35"/>
        <v>0</v>
      </c>
      <c r="J120" s="113">
        <v>1</v>
      </c>
      <c r="K120" s="105">
        <f t="shared" si="36"/>
        <v>0</v>
      </c>
      <c r="L120" s="106">
        <f t="shared" si="37"/>
        <v>0</v>
      </c>
    </row>
    <row r="121" spans="1:12" ht="17.25" customHeight="1" thickBot="1" x14ac:dyDescent="0.4">
      <c r="A121" s="129"/>
      <c r="B121" s="130"/>
      <c r="C121" s="123"/>
      <c r="D121" s="127"/>
      <c r="E121" s="128"/>
      <c r="F121" s="24"/>
      <c r="G121" s="131"/>
      <c r="H121" s="131"/>
      <c r="I121" s="132"/>
      <c r="J121" s="113"/>
      <c r="K121" s="132"/>
      <c r="L121" s="133"/>
    </row>
    <row r="122" spans="1:12" ht="17.25" customHeight="1" thickBot="1" x14ac:dyDescent="0.4">
      <c r="A122" s="382" t="s">
        <v>326</v>
      </c>
      <c r="B122" s="383"/>
      <c r="C122" s="134"/>
      <c r="D122" s="127"/>
      <c r="E122" s="128"/>
      <c r="F122" s="24"/>
      <c r="G122" s="131"/>
      <c r="H122" s="131"/>
      <c r="I122" s="132"/>
      <c r="J122" s="113"/>
      <c r="K122" s="132"/>
      <c r="L122" s="133"/>
    </row>
    <row r="123" spans="1:12" ht="17.25" customHeight="1" x14ac:dyDescent="0.35">
      <c r="A123" s="138">
        <v>1</v>
      </c>
      <c r="B123" s="139" t="s">
        <v>327</v>
      </c>
      <c r="C123" s="123">
        <v>130</v>
      </c>
      <c r="D123" s="127">
        <v>0</v>
      </c>
      <c r="E123" s="128">
        <f>C123*(1+D123)</f>
        <v>130</v>
      </c>
      <c r="F123" s="24" t="s">
        <v>18</v>
      </c>
      <c r="G123" s="57"/>
      <c r="H123" s="103">
        <f t="shared" ref="H123:H125" si="38">G123*E123</f>
        <v>0</v>
      </c>
      <c r="I123" s="104">
        <f t="shared" ref="I123:I125" si="39">L$4</f>
        <v>0</v>
      </c>
      <c r="J123" s="113">
        <v>39</v>
      </c>
      <c r="K123" s="105">
        <f t="shared" ref="K123:K125" si="40">J123*I123</f>
        <v>0</v>
      </c>
      <c r="L123" s="106">
        <f t="shared" ref="L123:L125" si="41">K123+H123</f>
        <v>0</v>
      </c>
    </row>
    <row r="124" spans="1:12" ht="17.25" customHeight="1" x14ac:dyDescent="0.35">
      <c r="A124" s="126">
        <v>2</v>
      </c>
      <c r="B124" s="140" t="s">
        <v>328</v>
      </c>
      <c r="C124" s="123">
        <v>118</v>
      </c>
      <c r="D124" s="127">
        <v>0</v>
      </c>
      <c r="E124" s="128">
        <f>C124*(1+D124)</f>
        <v>118</v>
      </c>
      <c r="F124" s="24" t="s">
        <v>18</v>
      </c>
      <c r="G124" s="57"/>
      <c r="H124" s="103">
        <f t="shared" si="38"/>
        <v>0</v>
      </c>
      <c r="I124" s="104">
        <f t="shared" si="39"/>
        <v>0</v>
      </c>
      <c r="J124" s="113">
        <v>35.4</v>
      </c>
      <c r="K124" s="105">
        <f t="shared" si="40"/>
        <v>0</v>
      </c>
      <c r="L124" s="106">
        <f t="shared" si="41"/>
        <v>0</v>
      </c>
    </row>
    <row r="125" spans="1:12" ht="17.25" customHeight="1" x14ac:dyDescent="0.35">
      <c r="A125" s="126">
        <v>3</v>
      </c>
      <c r="B125" s="26" t="s">
        <v>320</v>
      </c>
      <c r="C125" s="123">
        <v>4</v>
      </c>
      <c r="D125" s="127">
        <v>0</v>
      </c>
      <c r="E125" s="128">
        <f>C125*(1+D125)</f>
        <v>4</v>
      </c>
      <c r="F125" s="24" t="s">
        <v>18</v>
      </c>
      <c r="G125" s="57"/>
      <c r="H125" s="103">
        <f t="shared" si="38"/>
        <v>0</v>
      </c>
      <c r="I125" s="104">
        <f t="shared" si="39"/>
        <v>0</v>
      </c>
      <c r="J125" s="113">
        <v>1.2</v>
      </c>
      <c r="K125" s="105">
        <f t="shared" si="40"/>
        <v>0</v>
      </c>
      <c r="L125" s="106">
        <f t="shared" si="41"/>
        <v>0</v>
      </c>
    </row>
    <row r="126" spans="1:12" ht="17.25" customHeight="1" thickBot="1" x14ac:dyDescent="0.4">
      <c r="A126" s="129"/>
      <c r="B126" s="130"/>
      <c r="C126" s="123"/>
      <c r="D126" s="127"/>
      <c r="E126" s="128"/>
      <c r="F126" s="24"/>
      <c r="G126" s="135"/>
      <c r="H126" s="135"/>
      <c r="I126" s="132"/>
      <c r="J126" s="113"/>
      <c r="K126" s="136"/>
      <c r="L126" s="137"/>
    </row>
    <row r="127" spans="1:12" ht="17.25" customHeight="1" thickBot="1" x14ac:dyDescent="0.4">
      <c r="A127" s="379" t="s">
        <v>329</v>
      </c>
      <c r="B127" s="380"/>
      <c r="C127" s="134"/>
      <c r="D127" s="127"/>
      <c r="E127" s="128"/>
      <c r="F127" s="24"/>
      <c r="G127" s="135"/>
      <c r="H127" s="135"/>
      <c r="I127" s="132"/>
      <c r="J127" s="113"/>
      <c r="K127" s="136"/>
      <c r="L127" s="137"/>
    </row>
    <row r="128" spans="1:12" ht="17.25" customHeight="1" x14ac:dyDescent="0.35">
      <c r="A128" s="138">
        <v>1</v>
      </c>
      <c r="B128" s="160" t="s">
        <v>330</v>
      </c>
      <c r="C128" s="123">
        <v>1400</v>
      </c>
      <c r="D128" s="127">
        <v>0.1</v>
      </c>
      <c r="E128" s="128">
        <f t="shared" ref="E128:E210" si="42">C128*(1+D128)</f>
        <v>1540.0000000000002</v>
      </c>
      <c r="F128" s="24" t="s">
        <v>17</v>
      </c>
      <c r="G128" s="57"/>
      <c r="H128" s="103">
        <f t="shared" ref="H128:H144" si="43">G128*E128</f>
        <v>0</v>
      </c>
      <c r="I128" s="104">
        <f t="shared" ref="I128:I144" si="44">L$4</f>
        <v>0</v>
      </c>
      <c r="J128" s="113">
        <v>29</v>
      </c>
      <c r="K128" s="105">
        <f t="shared" ref="K128:K144" si="45">J128*I128</f>
        <v>0</v>
      </c>
      <c r="L128" s="106">
        <f t="shared" ref="L128:L144" si="46">K128+H128</f>
        <v>0</v>
      </c>
    </row>
    <row r="129" spans="1:12" ht="17.25" customHeight="1" x14ac:dyDescent="0.35">
      <c r="A129" s="126">
        <v>2</v>
      </c>
      <c r="B129" s="26" t="s">
        <v>331</v>
      </c>
      <c r="C129" s="123">
        <f>2950+300</f>
        <v>3250</v>
      </c>
      <c r="D129" s="127">
        <v>0.1</v>
      </c>
      <c r="E129" s="128">
        <f t="shared" si="42"/>
        <v>3575.0000000000005</v>
      </c>
      <c r="F129" s="24" t="s">
        <v>17</v>
      </c>
      <c r="G129" s="57"/>
      <c r="H129" s="103">
        <f t="shared" si="43"/>
        <v>0</v>
      </c>
      <c r="I129" s="104">
        <f t="shared" si="44"/>
        <v>0</v>
      </c>
      <c r="J129" s="113">
        <v>86</v>
      </c>
      <c r="K129" s="105">
        <f t="shared" si="45"/>
        <v>0</v>
      </c>
      <c r="L129" s="106">
        <f t="shared" si="46"/>
        <v>0</v>
      </c>
    </row>
    <row r="130" spans="1:12" ht="17.25" customHeight="1" x14ac:dyDescent="0.35">
      <c r="A130" s="126">
        <v>3</v>
      </c>
      <c r="B130" s="26" t="s">
        <v>332</v>
      </c>
      <c r="C130" s="123">
        <v>1000</v>
      </c>
      <c r="D130" s="127">
        <v>0.1</v>
      </c>
      <c r="E130" s="128">
        <f t="shared" si="42"/>
        <v>1100</v>
      </c>
      <c r="F130" s="24" t="s">
        <v>17</v>
      </c>
      <c r="G130" s="57"/>
      <c r="H130" s="103">
        <f t="shared" si="43"/>
        <v>0</v>
      </c>
      <c r="I130" s="104">
        <f t="shared" si="44"/>
        <v>0</v>
      </c>
      <c r="J130" s="113">
        <v>23</v>
      </c>
      <c r="K130" s="105">
        <f t="shared" si="45"/>
        <v>0</v>
      </c>
      <c r="L130" s="106">
        <f t="shared" si="46"/>
        <v>0</v>
      </c>
    </row>
    <row r="131" spans="1:12" ht="17.25" customHeight="1" x14ac:dyDescent="0.35">
      <c r="A131" s="126">
        <v>4</v>
      </c>
      <c r="B131" s="26" t="s">
        <v>333</v>
      </c>
      <c r="C131" s="123">
        <v>300</v>
      </c>
      <c r="D131" s="127">
        <v>0.1</v>
      </c>
      <c r="E131" s="128">
        <f t="shared" si="42"/>
        <v>330</v>
      </c>
      <c r="F131" s="24" t="s">
        <v>17</v>
      </c>
      <c r="G131" s="57"/>
      <c r="H131" s="103">
        <f t="shared" si="43"/>
        <v>0</v>
      </c>
      <c r="I131" s="104">
        <f t="shared" si="44"/>
        <v>0</v>
      </c>
      <c r="J131" s="113">
        <v>9</v>
      </c>
      <c r="K131" s="105">
        <f t="shared" si="45"/>
        <v>0</v>
      </c>
      <c r="L131" s="106">
        <f t="shared" si="46"/>
        <v>0</v>
      </c>
    </row>
    <row r="132" spans="1:12" ht="17.25" customHeight="1" x14ac:dyDescent="0.35">
      <c r="A132" s="126">
        <v>5</v>
      </c>
      <c r="B132" s="26" t="s">
        <v>334</v>
      </c>
      <c r="C132" s="123">
        <v>1650</v>
      </c>
      <c r="D132" s="127">
        <v>0.1</v>
      </c>
      <c r="E132" s="128">
        <f t="shared" si="42"/>
        <v>1815.0000000000002</v>
      </c>
      <c r="F132" s="24" t="s">
        <v>17</v>
      </c>
      <c r="G132" s="57"/>
      <c r="H132" s="103">
        <f t="shared" si="43"/>
        <v>0</v>
      </c>
      <c r="I132" s="104">
        <f t="shared" si="44"/>
        <v>0</v>
      </c>
      <c r="J132" s="113">
        <v>34</v>
      </c>
      <c r="K132" s="105">
        <f t="shared" si="45"/>
        <v>0</v>
      </c>
      <c r="L132" s="106">
        <f t="shared" si="46"/>
        <v>0</v>
      </c>
    </row>
    <row r="133" spans="1:12" ht="17.25" customHeight="1" x14ac:dyDescent="0.35">
      <c r="A133" s="126">
        <v>6</v>
      </c>
      <c r="B133" s="26" t="s">
        <v>335</v>
      </c>
      <c r="C133" s="123">
        <v>1050</v>
      </c>
      <c r="D133" s="127">
        <v>0.1</v>
      </c>
      <c r="E133" s="128">
        <f t="shared" si="42"/>
        <v>1155</v>
      </c>
      <c r="F133" s="24" t="s">
        <v>17</v>
      </c>
      <c r="G133" s="57"/>
      <c r="H133" s="103">
        <f t="shared" si="43"/>
        <v>0</v>
      </c>
      <c r="I133" s="104">
        <f t="shared" si="44"/>
        <v>0</v>
      </c>
      <c r="J133" s="113">
        <v>35</v>
      </c>
      <c r="K133" s="105">
        <f t="shared" si="45"/>
        <v>0</v>
      </c>
      <c r="L133" s="106">
        <f t="shared" si="46"/>
        <v>0</v>
      </c>
    </row>
    <row r="134" spans="1:12" ht="17.25" customHeight="1" x14ac:dyDescent="0.35">
      <c r="A134" s="126">
        <v>7</v>
      </c>
      <c r="B134" s="26" t="s">
        <v>336</v>
      </c>
      <c r="C134" s="123">
        <v>800</v>
      </c>
      <c r="D134" s="127">
        <v>0.1</v>
      </c>
      <c r="E134" s="128">
        <f t="shared" si="42"/>
        <v>880.00000000000011</v>
      </c>
      <c r="F134" s="24" t="s">
        <v>17</v>
      </c>
      <c r="G134" s="57"/>
      <c r="H134" s="103">
        <f t="shared" si="43"/>
        <v>0</v>
      </c>
      <c r="I134" s="104">
        <f t="shared" si="44"/>
        <v>0</v>
      </c>
      <c r="J134" s="113">
        <v>14</v>
      </c>
      <c r="K134" s="105">
        <f t="shared" si="45"/>
        <v>0</v>
      </c>
      <c r="L134" s="106">
        <f t="shared" si="46"/>
        <v>0</v>
      </c>
    </row>
    <row r="135" spans="1:12" ht="17.25" customHeight="1" x14ac:dyDescent="0.35">
      <c r="A135" s="126">
        <v>8</v>
      </c>
      <c r="B135" s="26" t="s">
        <v>337</v>
      </c>
      <c r="C135" s="123">
        <v>700</v>
      </c>
      <c r="D135" s="127">
        <v>0.1</v>
      </c>
      <c r="E135" s="128">
        <f t="shared" si="42"/>
        <v>770.00000000000011</v>
      </c>
      <c r="F135" s="24" t="s">
        <v>17</v>
      </c>
      <c r="G135" s="57"/>
      <c r="H135" s="103">
        <f t="shared" si="43"/>
        <v>0</v>
      </c>
      <c r="I135" s="104">
        <f t="shared" si="44"/>
        <v>0</v>
      </c>
      <c r="J135" s="113">
        <v>25</v>
      </c>
      <c r="K135" s="105">
        <f t="shared" si="45"/>
        <v>0</v>
      </c>
      <c r="L135" s="106">
        <f t="shared" si="46"/>
        <v>0</v>
      </c>
    </row>
    <row r="136" spans="1:12" ht="17.25" customHeight="1" x14ac:dyDescent="0.35">
      <c r="A136" s="126">
        <v>9</v>
      </c>
      <c r="B136" s="26" t="s">
        <v>338</v>
      </c>
      <c r="C136" s="123">
        <f>725+2500</f>
        <v>3225</v>
      </c>
      <c r="D136" s="127">
        <v>0.1</v>
      </c>
      <c r="E136" s="128">
        <f t="shared" si="42"/>
        <v>3547.5000000000005</v>
      </c>
      <c r="F136" s="24" t="s">
        <v>17</v>
      </c>
      <c r="G136" s="57"/>
      <c r="H136" s="103">
        <f t="shared" si="43"/>
        <v>0</v>
      </c>
      <c r="I136" s="104">
        <f t="shared" si="44"/>
        <v>0</v>
      </c>
      <c r="J136" s="113">
        <v>49</v>
      </c>
      <c r="K136" s="105">
        <f t="shared" si="45"/>
        <v>0</v>
      </c>
      <c r="L136" s="106">
        <f t="shared" si="46"/>
        <v>0</v>
      </c>
    </row>
    <row r="137" spans="1:12" ht="17.25" customHeight="1" x14ac:dyDescent="0.35">
      <c r="A137" s="129">
        <v>10</v>
      </c>
      <c r="B137" s="26" t="s">
        <v>339</v>
      </c>
      <c r="C137" s="123">
        <f>550+1000</f>
        <v>1550</v>
      </c>
      <c r="D137" s="127">
        <v>0.1</v>
      </c>
      <c r="E137" s="128">
        <f t="shared" si="42"/>
        <v>1705.0000000000002</v>
      </c>
      <c r="F137" s="24" t="s">
        <v>17</v>
      </c>
      <c r="G137" s="57"/>
      <c r="H137" s="103">
        <f t="shared" si="43"/>
        <v>0</v>
      </c>
      <c r="I137" s="104">
        <f t="shared" si="44"/>
        <v>0</v>
      </c>
      <c r="J137" s="113">
        <v>19</v>
      </c>
      <c r="K137" s="105">
        <f t="shared" si="45"/>
        <v>0</v>
      </c>
      <c r="L137" s="106">
        <f t="shared" si="46"/>
        <v>0</v>
      </c>
    </row>
    <row r="138" spans="1:12" ht="17.25" customHeight="1" x14ac:dyDescent="0.35">
      <c r="A138" s="129">
        <v>11</v>
      </c>
      <c r="B138" s="26" t="s">
        <v>340</v>
      </c>
      <c r="C138" s="123">
        <f>500+2200</f>
        <v>2700</v>
      </c>
      <c r="D138" s="127">
        <v>0.1</v>
      </c>
      <c r="E138" s="128">
        <f t="shared" si="42"/>
        <v>2970.0000000000005</v>
      </c>
      <c r="F138" s="24" t="s">
        <v>17</v>
      </c>
      <c r="G138" s="57"/>
      <c r="H138" s="103">
        <f t="shared" si="43"/>
        <v>0</v>
      </c>
      <c r="I138" s="104">
        <f t="shared" si="44"/>
        <v>0</v>
      </c>
      <c r="J138" s="113">
        <v>24</v>
      </c>
      <c r="K138" s="105">
        <f t="shared" si="45"/>
        <v>0</v>
      </c>
      <c r="L138" s="106">
        <f t="shared" si="46"/>
        <v>0</v>
      </c>
    </row>
    <row r="139" spans="1:12" ht="17.25" customHeight="1" x14ac:dyDescent="0.35">
      <c r="A139" s="129">
        <v>12</v>
      </c>
      <c r="B139" s="26" t="s">
        <v>341</v>
      </c>
      <c r="C139" s="123">
        <f>24750+24750</f>
        <v>49500</v>
      </c>
      <c r="D139" s="127">
        <v>0.1</v>
      </c>
      <c r="E139" s="128">
        <f t="shared" si="42"/>
        <v>54450.000000000007</v>
      </c>
      <c r="F139" s="24" t="s">
        <v>17</v>
      </c>
      <c r="G139" s="57"/>
      <c r="H139" s="103">
        <f t="shared" si="43"/>
        <v>0</v>
      </c>
      <c r="I139" s="104">
        <f t="shared" si="44"/>
        <v>0</v>
      </c>
      <c r="J139" s="113">
        <v>474</v>
      </c>
      <c r="K139" s="105">
        <f t="shared" si="45"/>
        <v>0</v>
      </c>
      <c r="L139" s="106">
        <f t="shared" si="46"/>
        <v>0</v>
      </c>
    </row>
    <row r="140" spans="1:12" ht="17.25" customHeight="1" x14ac:dyDescent="0.35">
      <c r="A140" s="129">
        <v>13</v>
      </c>
      <c r="B140" s="26" t="s">
        <v>342</v>
      </c>
      <c r="C140" s="123">
        <v>10400</v>
      </c>
      <c r="D140" s="127">
        <v>0.1</v>
      </c>
      <c r="E140" s="128">
        <f t="shared" si="42"/>
        <v>11440.000000000002</v>
      </c>
      <c r="F140" s="24" t="s">
        <v>17</v>
      </c>
      <c r="G140" s="57"/>
      <c r="H140" s="103">
        <f t="shared" si="43"/>
        <v>0</v>
      </c>
      <c r="I140" s="104">
        <f t="shared" si="44"/>
        <v>0</v>
      </c>
      <c r="J140" s="113">
        <v>446</v>
      </c>
      <c r="K140" s="105">
        <f t="shared" si="45"/>
        <v>0</v>
      </c>
      <c r="L140" s="106">
        <f t="shared" si="46"/>
        <v>0</v>
      </c>
    </row>
    <row r="141" spans="1:12" ht="17.25" customHeight="1" x14ac:dyDescent="0.35">
      <c r="A141" s="129">
        <v>14</v>
      </c>
      <c r="B141" s="26" t="s">
        <v>343</v>
      </c>
      <c r="C141" s="123">
        <v>125</v>
      </c>
      <c r="D141" s="127">
        <v>0.1</v>
      </c>
      <c r="E141" s="128">
        <f t="shared" si="42"/>
        <v>137.5</v>
      </c>
      <c r="F141" s="24" t="s">
        <v>17</v>
      </c>
      <c r="G141" s="57"/>
      <c r="H141" s="103">
        <f t="shared" si="43"/>
        <v>0</v>
      </c>
      <c r="I141" s="104">
        <f t="shared" si="44"/>
        <v>0</v>
      </c>
      <c r="J141" s="113">
        <v>6</v>
      </c>
      <c r="K141" s="105">
        <f t="shared" si="45"/>
        <v>0</v>
      </c>
      <c r="L141" s="106">
        <f t="shared" si="46"/>
        <v>0</v>
      </c>
    </row>
    <row r="142" spans="1:12" ht="17.25" customHeight="1" x14ac:dyDescent="0.35">
      <c r="A142" s="129">
        <v>15</v>
      </c>
      <c r="B142" s="26" t="s">
        <v>344</v>
      </c>
      <c r="C142" s="123">
        <v>3500</v>
      </c>
      <c r="D142" s="127">
        <v>0.1</v>
      </c>
      <c r="E142" s="128">
        <f t="shared" si="42"/>
        <v>3850.0000000000005</v>
      </c>
      <c r="F142" s="24" t="s">
        <v>17</v>
      </c>
      <c r="G142" s="57"/>
      <c r="H142" s="103">
        <f t="shared" si="43"/>
        <v>0</v>
      </c>
      <c r="I142" s="104">
        <f t="shared" si="44"/>
        <v>0</v>
      </c>
      <c r="J142" s="113">
        <v>185</v>
      </c>
      <c r="K142" s="105">
        <f t="shared" si="45"/>
        <v>0</v>
      </c>
      <c r="L142" s="106">
        <f t="shared" si="46"/>
        <v>0</v>
      </c>
    </row>
    <row r="143" spans="1:12" ht="17.25" customHeight="1" x14ac:dyDescent="0.35">
      <c r="A143" s="129">
        <v>16</v>
      </c>
      <c r="B143" s="26" t="s">
        <v>345</v>
      </c>
      <c r="C143" s="123">
        <v>4800</v>
      </c>
      <c r="D143" s="127">
        <v>0.1</v>
      </c>
      <c r="E143" s="128">
        <f t="shared" si="42"/>
        <v>5280</v>
      </c>
      <c r="F143" s="24" t="s">
        <v>17</v>
      </c>
      <c r="G143" s="57"/>
      <c r="H143" s="103">
        <f t="shared" si="43"/>
        <v>0</v>
      </c>
      <c r="I143" s="104">
        <f t="shared" si="44"/>
        <v>0</v>
      </c>
      <c r="J143" s="113">
        <v>46</v>
      </c>
      <c r="K143" s="105">
        <f t="shared" si="45"/>
        <v>0</v>
      </c>
      <c r="L143" s="106">
        <f t="shared" si="46"/>
        <v>0</v>
      </c>
    </row>
    <row r="144" spans="1:12" ht="17.25" customHeight="1" x14ac:dyDescent="0.35">
      <c r="A144" s="129">
        <v>17</v>
      </c>
      <c r="B144" s="26" t="s">
        <v>346</v>
      </c>
      <c r="C144" s="123">
        <v>2800</v>
      </c>
      <c r="D144" s="127">
        <v>0.1</v>
      </c>
      <c r="E144" s="128">
        <f t="shared" si="42"/>
        <v>3080.0000000000005</v>
      </c>
      <c r="F144" s="24" t="s">
        <v>17</v>
      </c>
      <c r="G144" s="57"/>
      <c r="H144" s="103">
        <f t="shared" si="43"/>
        <v>0</v>
      </c>
      <c r="I144" s="104">
        <f t="shared" si="44"/>
        <v>0</v>
      </c>
      <c r="J144" s="113">
        <v>27</v>
      </c>
      <c r="K144" s="105">
        <f t="shared" si="45"/>
        <v>0</v>
      </c>
      <c r="L144" s="106">
        <f t="shared" si="46"/>
        <v>0</v>
      </c>
    </row>
    <row r="145" spans="1:16384" ht="17.25" customHeight="1" thickBot="1" x14ac:dyDescent="0.4">
      <c r="A145" s="384" t="s">
        <v>347</v>
      </c>
      <c r="B145" s="385"/>
      <c r="C145" s="134"/>
      <c r="D145" s="127"/>
      <c r="E145" s="128"/>
      <c r="F145" s="24"/>
      <c r="G145" s="135"/>
      <c r="H145" s="135"/>
      <c r="I145" s="132"/>
      <c r="J145" s="113"/>
      <c r="K145" s="136"/>
      <c r="L145" s="137"/>
    </row>
    <row r="146" spans="1:16384" s="54" customFormat="1" ht="17.25" customHeight="1" thickBot="1" x14ac:dyDescent="0.4">
      <c r="A146" s="379" t="s">
        <v>348</v>
      </c>
      <c r="B146" s="380"/>
      <c r="C146" s="145"/>
      <c r="D146" s="127"/>
      <c r="E146" s="128"/>
      <c r="F146" s="24"/>
      <c r="G146" s="143"/>
      <c r="H146" s="143"/>
      <c r="I146" s="143"/>
      <c r="J146" s="143"/>
      <c r="K146" s="143"/>
      <c r="L146" s="146"/>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47"/>
      <c r="BU146" s="147"/>
      <c r="BV146" s="147"/>
      <c r="BW146" s="147"/>
      <c r="BX146" s="147"/>
      <c r="BY146" s="147"/>
      <c r="BZ146" s="147"/>
      <c r="CA146" s="147"/>
      <c r="CB146" s="147"/>
      <c r="CC146" s="147"/>
      <c r="CD146" s="147"/>
      <c r="CE146" s="147"/>
      <c r="CF146" s="147"/>
      <c r="CG146" s="147"/>
      <c r="CH146" s="147"/>
      <c r="CI146" s="147"/>
      <c r="CJ146" s="147"/>
      <c r="CK146" s="147"/>
      <c r="CL146" s="147"/>
      <c r="CM146" s="147"/>
      <c r="CN146" s="147"/>
      <c r="CO146" s="147"/>
      <c r="CP146" s="147"/>
      <c r="CQ146" s="147"/>
      <c r="CR146" s="147"/>
      <c r="CS146" s="147"/>
      <c r="CT146" s="147"/>
      <c r="CU146" s="147"/>
      <c r="CV146" s="147"/>
      <c r="CW146" s="147"/>
      <c r="CX146" s="147"/>
      <c r="CY146" s="147"/>
      <c r="CZ146" s="147"/>
      <c r="DA146" s="147"/>
      <c r="DB146" s="147"/>
      <c r="DC146" s="147"/>
      <c r="DD146" s="147"/>
      <c r="DE146" s="147"/>
      <c r="DF146" s="147"/>
      <c r="DG146" s="147"/>
      <c r="DH146" s="147"/>
      <c r="DI146" s="147"/>
      <c r="DJ146" s="147"/>
      <c r="DK146" s="147"/>
      <c r="DL146" s="147"/>
      <c r="DM146" s="147"/>
      <c r="DN146" s="147"/>
      <c r="DO146" s="147"/>
      <c r="DP146" s="147"/>
      <c r="DQ146" s="147"/>
      <c r="DR146" s="147"/>
      <c r="DS146" s="147"/>
      <c r="DT146" s="147"/>
      <c r="DU146" s="147"/>
      <c r="DV146" s="147"/>
      <c r="DW146" s="147"/>
      <c r="DX146" s="147"/>
      <c r="DY146" s="147"/>
      <c r="DZ146" s="147"/>
      <c r="EA146" s="147"/>
      <c r="EB146" s="147"/>
      <c r="EC146" s="147"/>
      <c r="ED146" s="147"/>
      <c r="EE146" s="147"/>
      <c r="EF146" s="147"/>
      <c r="EG146" s="147"/>
      <c r="EH146" s="147"/>
      <c r="EI146" s="147"/>
      <c r="EJ146" s="147"/>
      <c r="EK146" s="147"/>
      <c r="EL146" s="147"/>
      <c r="EM146" s="147"/>
      <c r="EN146" s="147"/>
      <c r="EO146" s="147"/>
      <c r="EP146" s="147"/>
      <c r="EQ146" s="147"/>
      <c r="ER146" s="147"/>
      <c r="ES146" s="147"/>
      <c r="ET146" s="147"/>
      <c r="EU146" s="147"/>
      <c r="EV146" s="147"/>
      <c r="EW146" s="147"/>
      <c r="EX146" s="147"/>
      <c r="EY146" s="147"/>
      <c r="EZ146" s="147"/>
      <c r="FA146" s="147"/>
      <c r="FB146" s="147"/>
      <c r="FC146" s="147"/>
      <c r="FD146" s="147"/>
      <c r="FE146" s="147"/>
      <c r="FF146" s="147"/>
      <c r="FG146" s="147"/>
      <c r="FH146" s="147"/>
      <c r="FI146" s="147"/>
      <c r="FJ146" s="147"/>
      <c r="FK146" s="147"/>
      <c r="FL146" s="147"/>
      <c r="FM146" s="147"/>
      <c r="FN146" s="147"/>
      <c r="FO146" s="147"/>
      <c r="FP146" s="147"/>
      <c r="FQ146" s="147"/>
      <c r="FR146" s="147"/>
      <c r="FS146" s="147"/>
      <c r="FT146" s="147"/>
      <c r="FU146" s="147"/>
      <c r="FV146" s="147"/>
      <c r="FW146" s="147"/>
      <c r="FX146" s="147"/>
      <c r="FY146" s="147"/>
      <c r="FZ146" s="147"/>
      <c r="GA146" s="147"/>
      <c r="GB146" s="147"/>
      <c r="GC146" s="147"/>
      <c r="GD146" s="147"/>
      <c r="GE146" s="147"/>
      <c r="GF146" s="147"/>
      <c r="GG146" s="147"/>
      <c r="GH146" s="147"/>
      <c r="GI146" s="147"/>
      <c r="GJ146" s="147"/>
      <c r="GK146" s="147"/>
      <c r="GL146" s="147"/>
      <c r="GM146" s="147"/>
      <c r="GN146" s="147"/>
      <c r="GO146" s="147"/>
      <c r="GP146" s="147"/>
      <c r="GQ146" s="147"/>
      <c r="GR146" s="147"/>
      <c r="GS146" s="147"/>
      <c r="GT146" s="147"/>
      <c r="GU146" s="147"/>
      <c r="GV146" s="147"/>
      <c r="GW146" s="147"/>
      <c r="GX146" s="147"/>
      <c r="GY146" s="147"/>
      <c r="GZ146" s="147"/>
      <c r="HA146" s="147"/>
      <c r="HB146" s="147"/>
      <c r="HC146" s="147"/>
      <c r="HD146" s="147"/>
      <c r="HE146" s="147"/>
      <c r="HF146" s="147"/>
      <c r="HG146" s="147"/>
      <c r="HH146" s="147"/>
      <c r="HI146" s="147"/>
      <c r="HJ146" s="147"/>
      <c r="HK146" s="147"/>
      <c r="HL146" s="147"/>
      <c r="HM146" s="147"/>
      <c r="HN146" s="147"/>
      <c r="HO146" s="147"/>
      <c r="HP146" s="147"/>
      <c r="HQ146" s="147"/>
      <c r="HR146" s="147"/>
      <c r="HS146" s="147"/>
      <c r="HT146" s="147"/>
      <c r="HU146" s="147"/>
      <c r="HV146" s="147"/>
      <c r="HW146" s="147"/>
      <c r="HX146" s="147"/>
      <c r="HY146" s="147"/>
      <c r="HZ146" s="147"/>
      <c r="IA146" s="147"/>
      <c r="IB146" s="147"/>
      <c r="IC146" s="147"/>
      <c r="ID146" s="147"/>
      <c r="IE146" s="147"/>
      <c r="IF146" s="147"/>
      <c r="IG146" s="147"/>
      <c r="IH146" s="147"/>
      <c r="II146" s="147"/>
      <c r="IJ146" s="147"/>
      <c r="IK146" s="147"/>
      <c r="IL146" s="147"/>
      <c r="IM146" s="147"/>
      <c r="IN146" s="147"/>
      <c r="IO146" s="147"/>
      <c r="IP146" s="147"/>
      <c r="IQ146" s="147"/>
      <c r="IR146" s="147"/>
      <c r="IS146" s="147"/>
      <c r="IT146" s="147"/>
      <c r="IU146" s="147"/>
      <c r="IV146" s="147"/>
      <c r="IW146" s="147"/>
      <c r="IX146" s="147"/>
      <c r="IY146" s="147"/>
      <c r="IZ146" s="147"/>
      <c r="JA146" s="147"/>
      <c r="JB146" s="147"/>
      <c r="JC146" s="147"/>
      <c r="JD146" s="147"/>
      <c r="JE146" s="147"/>
      <c r="JF146" s="147"/>
      <c r="JG146" s="147"/>
      <c r="JH146" s="147"/>
      <c r="JI146" s="147"/>
      <c r="JJ146" s="147"/>
      <c r="JK146" s="147"/>
      <c r="JL146" s="147"/>
      <c r="JM146" s="147"/>
      <c r="JN146" s="147"/>
      <c r="JO146" s="147"/>
      <c r="JP146" s="147"/>
      <c r="JQ146" s="147"/>
      <c r="JR146" s="147"/>
      <c r="JS146" s="147"/>
      <c r="JT146" s="147"/>
      <c r="JU146" s="147"/>
      <c r="JV146" s="147"/>
      <c r="JW146" s="147"/>
      <c r="JX146" s="147"/>
      <c r="JY146" s="147"/>
      <c r="JZ146" s="147"/>
      <c r="KA146" s="147"/>
      <c r="KB146" s="147"/>
      <c r="KC146" s="147"/>
      <c r="KD146" s="147"/>
      <c r="KE146" s="147"/>
      <c r="KF146" s="147"/>
      <c r="KG146" s="147"/>
      <c r="KH146" s="147"/>
      <c r="KI146" s="147"/>
      <c r="KJ146" s="147"/>
      <c r="KK146" s="147"/>
      <c r="KL146" s="147"/>
      <c r="KM146" s="147"/>
      <c r="KN146" s="147"/>
      <c r="KO146" s="147"/>
      <c r="KP146" s="147"/>
      <c r="KQ146" s="147"/>
      <c r="KR146" s="147"/>
      <c r="KS146" s="147"/>
      <c r="KT146" s="147"/>
      <c r="KU146" s="147"/>
      <c r="KV146" s="147"/>
      <c r="KW146" s="147"/>
      <c r="KX146" s="147"/>
      <c r="KY146" s="147"/>
      <c r="KZ146" s="147"/>
      <c r="LA146" s="147"/>
      <c r="LB146" s="147"/>
      <c r="LC146" s="147"/>
      <c r="LD146" s="147"/>
      <c r="LE146" s="147"/>
      <c r="LF146" s="147"/>
      <c r="LG146" s="147"/>
      <c r="LH146" s="147"/>
      <c r="LI146" s="147"/>
      <c r="LJ146" s="147"/>
      <c r="LK146" s="147"/>
      <c r="LL146" s="147"/>
      <c r="LM146" s="147"/>
      <c r="LN146" s="147"/>
      <c r="LO146" s="147"/>
      <c r="LP146" s="147"/>
      <c r="LQ146" s="147"/>
      <c r="LR146" s="147"/>
      <c r="LS146" s="147"/>
      <c r="LT146" s="147"/>
      <c r="LU146" s="147"/>
      <c r="LV146" s="147"/>
      <c r="LW146" s="147"/>
      <c r="LX146" s="147"/>
      <c r="LY146" s="147"/>
      <c r="LZ146" s="147"/>
      <c r="MA146" s="147"/>
      <c r="MB146" s="147"/>
      <c r="MC146" s="147"/>
      <c r="MD146" s="147"/>
      <c r="ME146" s="147"/>
      <c r="MF146" s="147"/>
      <c r="MG146" s="147"/>
      <c r="MH146" s="147"/>
      <c r="MI146" s="147"/>
      <c r="MJ146" s="147"/>
      <c r="MK146" s="147"/>
      <c r="ML146" s="147"/>
      <c r="MM146" s="147"/>
      <c r="MN146" s="147"/>
      <c r="MO146" s="147"/>
      <c r="MP146" s="147"/>
      <c r="MQ146" s="147"/>
      <c r="MR146" s="147"/>
      <c r="MS146" s="147"/>
      <c r="MT146" s="147"/>
      <c r="MU146" s="147"/>
      <c r="MV146" s="147"/>
      <c r="MW146" s="147"/>
      <c r="MX146" s="147"/>
      <c r="MY146" s="147"/>
      <c r="MZ146" s="147"/>
      <c r="NA146" s="147"/>
      <c r="NB146" s="147"/>
      <c r="NC146" s="147"/>
      <c r="ND146" s="147"/>
      <c r="NE146" s="147"/>
      <c r="NF146" s="147"/>
      <c r="NG146" s="147"/>
      <c r="NH146" s="147"/>
      <c r="NI146" s="147"/>
      <c r="NJ146" s="147"/>
      <c r="NK146" s="147"/>
      <c r="NL146" s="147"/>
      <c r="NM146" s="147"/>
      <c r="NN146" s="147"/>
      <c r="NO146" s="147"/>
      <c r="NP146" s="147"/>
      <c r="NQ146" s="147"/>
      <c r="NR146" s="147"/>
      <c r="NS146" s="147"/>
      <c r="NT146" s="147"/>
      <c r="NU146" s="147"/>
      <c r="NV146" s="147"/>
      <c r="NW146" s="147"/>
      <c r="NX146" s="147"/>
      <c r="NY146" s="147"/>
      <c r="NZ146" s="147"/>
      <c r="OA146" s="147"/>
      <c r="OB146" s="147"/>
      <c r="OC146" s="147"/>
      <c r="OD146" s="147"/>
      <c r="OE146" s="147"/>
      <c r="OF146" s="147"/>
      <c r="OG146" s="147"/>
      <c r="OH146" s="147"/>
      <c r="OI146" s="147"/>
      <c r="OJ146" s="147"/>
      <c r="OK146" s="147"/>
      <c r="OL146" s="147"/>
      <c r="OM146" s="147"/>
      <c r="ON146" s="147"/>
      <c r="OO146" s="147"/>
      <c r="OP146" s="147"/>
      <c r="OQ146" s="147"/>
      <c r="OR146" s="147"/>
      <c r="OS146" s="147"/>
      <c r="OT146" s="147"/>
      <c r="OU146" s="147"/>
      <c r="OV146" s="147"/>
      <c r="OW146" s="147"/>
      <c r="OX146" s="147"/>
      <c r="OY146" s="147"/>
      <c r="OZ146" s="147"/>
      <c r="PA146" s="147"/>
      <c r="PB146" s="147"/>
      <c r="PC146" s="147"/>
      <c r="PD146" s="147"/>
      <c r="PE146" s="147"/>
      <c r="PF146" s="147"/>
      <c r="PG146" s="147"/>
      <c r="PH146" s="147"/>
      <c r="PI146" s="147"/>
      <c r="PJ146" s="147"/>
      <c r="PK146" s="147"/>
      <c r="PL146" s="147"/>
      <c r="PM146" s="147"/>
      <c r="PN146" s="147"/>
      <c r="PO146" s="147"/>
      <c r="PP146" s="147"/>
      <c r="PQ146" s="147"/>
      <c r="PR146" s="147"/>
      <c r="PS146" s="147"/>
      <c r="PT146" s="147"/>
      <c r="PU146" s="147"/>
      <c r="PV146" s="147"/>
      <c r="PW146" s="147"/>
      <c r="PX146" s="147"/>
      <c r="PY146" s="147"/>
      <c r="PZ146" s="147"/>
      <c r="QA146" s="147"/>
      <c r="QB146" s="147"/>
      <c r="QC146" s="147"/>
      <c r="QD146" s="147"/>
      <c r="QE146" s="147"/>
      <c r="QF146" s="147"/>
      <c r="QG146" s="147"/>
      <c r="QH146" s="147"/>
      <c r="QI146" s="147"/>
      <c r="QJ146" s="147"/>
      <c r="QK146" s="147"/>
      <c r="QL146" s="147"/>
      <c r="QM146" s="147"/>
      <c r="QN146" s="147"/>
      <c r="QO146" s="147"/>
      <c r="QP146" s="147"/>
      <c r="QQ146" s="147"/>
      <c r="QR146" s="147"/>
      <c r="QS146" s="147"/>
      <c r="QT146" s="147"/>
      <c r="QU146" s="147"/>
      <c r="QV146" s="147"/>
      <c r="QW146" s="147"/>
      <c r="QX146" s="147"/>
      <c r="QY146" s="147"/>
      <c r="QZ146" s="147"/>
      <c r="RA146" s="147"/>
      <c r="RB146" s="147"/>
      <c r="RC146" s="147"/>
      <c r="RD146" s="147"/>
      <c r="RE146" s="147"/>
      <c r="RF146" s="147"/>
      <c r="RG146" s="147"/>
      <c r="RH146" s="147"/>
      <c r="RI146" s="147"/>
      <c r="RJ146" s="147"/>
      <c r="RK146" s="147"/>
      <c r="RL146" s="147"/>
      <c r="RM146" s="147"/>
      <c r="RN146" s="147"/>
      <c r="RO146" s="147"/>
      <c r="RP146" s="147"/>
      <c r="RQ146" s="147"/>
      <c r="RR146" s="147"/>
      <c r="RS146" s="147"/>
      <c r="RT146" s="147"/>
      <c r="RU146" s="147"/>
      <c r="RV146" s="147"/>
      <c r="RW146" s="147"/>
      <c r="RX146" s="147"/>
      <c r="RY146" s="147"/>
      <c r="RZ146" s="147"/>
      <c r="SA146" s="147"/>
      <c r="SB146" s="147"/>
      <c r="SC146" s="147"/>
      <c r="SD146" s="147"/>
      <c r="SE146" s="147"/>
      <c r="SF146" s="147"/>
      <c r="SG146" s="147"/>
      <c r="SH146" s="147"/>
      <c r="SI146" s="147"/>
      <c r="SJ146" s="147"/>
      <c r="SK146" s="147"/>
      <c r="SL146" s="147"/>
      <c r="SM146" s="147"/>
      <c r="SN146" s="147"/>
      <c r="SO146" s="147"/>
      <c r="SP146" s="147"/>
      <c r="SQ146" s="147"/>
      <c r="SR146" s="147"/>
      <c r="SS146" s="147"/>
      <c r="ST146" s="147"/>
      <c r="SU146" s="147"/>
      <c r="SV146" s="147"/>
      <c r="SW146" s="147"/>
      <c r="SX146" s="147"/>
      <c r="SY146" s="147"/>
      <c r="SZ146" s="147"/>
      <c r="TA146" s="147"/>
      <c r="TB146" s="147"/>
      <c r="TC146" s="147"/>
      <c r="TD146" s="147"/>
      <c r="TE146" s="147"/>
      <c r="TF146" s="147"/>
      <c r="TG146" s="147"/>
      <c r="TH146" s="147"/>
      <c r="TI146" s="147"/>
      <c r="TJ146" s="147"/>
      <c r="TK146" s="147"/>
      <c r="TL146" s="147"/>
      <c r="TM146" s="147"/>
      <c r="TN146" s="147"/>
      <c r="TO146" s="147"/>
      <c r="TP146" s="147"/>
      <c r="TQ146" s="147"/>
      <c r="TR146" s="147"/>
      <c r="TS146" s="147"/>
      <c r="TT146" s="147"/>
      <c r="TU146" s="147"/>
      <c r="TV146" s="147"/>
      <c r="TW146" s="147"/>
      <c r="TX146" s="147"/>
      <c r="TY146" s="147"/>
      <c r="TZ146" s="147"/>
      <c r="UA146" s="147"/>
      <c r="UB146" s="147"/>
      <c r="UC146" s="147"/>
      <c r="UD146" s="147"/>
      <c r="UE146" s="147"/>
      <c r="UF146" s="147"/>
      <c r="UG146" s="147"/>
      <c r="UH146" s="147"/>
      <c r="UI146" s="147"/>
      <c r="UJ146" s="147"/>
      <c r="UK146" s="147"/>
      <c r="UL146" s="147"/>
      <c r="UM146" s="147"/>
      <c r="UN146" s="147"/>
      <c r="UO146" s="147"/>
      <c r="UP146" s="147"/>
      <c r="UQ146" s="147"/>
      <c r="UR146" s="147"/>
      <c r="US146" s="147"/>
      <c r="UT146" s="147"/>
      <c r="UU146" s="147"/>
      <c r="UV146" s="147"/>
      <c r="UW146" s="147"/>
      <c r="UX146" s="147"/>
      <c r="UY146" s="147"/>
      <c r="UZ146" s="147"/>
      <c r="VA146" s="147"/>
      <c r="VB146" s="147"/>
      <c r="VC146" s="147"/>
      <c r="VD146" s="147"/>
      <c r="VE146" s="147"/>
      <c r="VF146" s="147"/>
      <c r="VG146" s="147"/>
      <c r="VH146" s="147"/>
      <c r="VI146" s="147"/>
      <c r="VJ146" s="147"/>
      <c r="VK146" s="147"/>
      <c r="VL146" s="147"/>
      <c r="VM146" s="147"/>
      <c r="VN146" s="147"/>
      <c r="VO146" s="147"/>
      <c r="VP146" s="147"/>
      <c r="VQ146" s="147"/>
      <c r="VR146" s="147"/>
      <c r="VS146" s="147"/>
      <c r="VT146" s="147"/>
      <c r="VU146" s="147"/>
      <c r="VV146" s="147"/>
      <c r="VW146" s="147"/>
      <c r="VX146" s="147"/>
      <c r="VY146" s="147"/>
      <c r="VZ146" s="147"/>
      <c r="WA146" s="147"/>
      <c r="WB146" s="147"/>
      <c r="WC146" s="147"/>
      <c r="WD146" s="147"/>
      <c r="WE146" s="147"/>
      <c r="WF146" s="147"/>
      <c r="WG146" s="147"/>
      <c r="WH146" s="147"/>
      <c r="WI146" s="147"/>
      <c r="WJ146" s="147"/>
      <c r="WK146" s="147"/>
      <c r="WL146" s="147"/>
      <c r="WM146" s="147"/>
      <c r="WN146" s="147"/>
      <c r="WO146" s="147"/>
      <c r="WP146" s="147"/>
      <c r="WQ146" s="147"/>
      <c r="WR146" s="147"/>
      <c r="WS146" s="147"/>
      <c r="WT146" s="147"/>
      <c r="WU146" s="147"/>
      <c r="WV146" s="147"/>
      <c r="WW146" s="147"/>
      <c r="WX146" s="147"/>
      <c r="WY146" s="147"/>
      <c r="WZ146" s="147"/>
      <c r="XA146" s="147"/>
      <c r="XB146" s="147"/>
      <c r="XC146" s="147"/>
      <c r="XD146" s="147"/>
      <c r="XE146" s="147"/>
      <c r="XF146" s="147"/>
      <c r="XG146" s="147"/>
      <c r="XH146" s="147"/>
      <c r="XI146" s="147"/>
      <c r="XJ146" s="147"/>
      <c r="XK146" s="147"/>
      <c r="XL146" s="147"/>
      <c r="XM146" s="147"/>
      <c r="XN146" s="147"/>
      <c r="XO146" s="147"/>
      <c r="XP146" s="147"/>
      <c r="XQ146" s="147"/>
      <c r="XR146" s="147"/>
      <c r="XS146" s="147"/>
      <c r="XT146" s="147"/>
      <c r="XU146" s="147"/>
      <c r="XV146" s="147"/>
      <c r="XW146" s="147"/>
      <c r="XX146" s="147"/>
      <c r="XY146" s="147"/>
      <c r="XZ146" s="147"/>
      <c r="YA146" s="147"/>
      <c r="YB146" s="147"/>
      <c r="YC146" s="147"/>
      <c r="YD146" s="147"/>
      <c r="YE146" s="147"/>
      <c r="YF146" s="147"/>
      <c r="YG146" s="147"/>
      <c r="YH146" s="147"/>
      <c r="YI146" s="147"/>
      <c r="YJ146" s="147"/>
      <c r="YK146" s="147"/>
      <c r="YL146" s="147"/>
      <c r="YM146" s="147"/>
      <c r="YN146" s="147"/>
      <c r="YO146" s="147"/>
      <c r="YP146" s="147"/>
      <c r="YQ146" s="147"/>
      <c r="YR146" s="147"/>
      <c r="YS146" s="147"/>
      <c r="YT146" s="147"/>
      <c r="YU146" s="147"/>
      <c r="YV146" s="147"/>
      <c r="YW146" s="147"/>
      <c r="YX146" s="147"/>
      <c r="YY146" s="147"/>
      <c r="YZ146" s="147"/>
      <c r="ZA146" s="147"/>
      <c r="ZB146" s="147"/>
      <c r="ZC146" s="147"/>
      <c r="ZD146" s="147"/>
      <c r="ZE146" s="147"/>
      <c r="ZF146" s="147"/>
      <c r="ZG146" s="147"/>
      <c r="ZH146" s="147"/>
      <c r="ZI146" s="147"/>
      <c r="ZJ146" s="147"/>
      <c r="ZK146" s="147"/>
      <c r="ZL146" s="147"/>
      <c r="ZM146" s="147"/>
      <c r="ZN146" s="147"/>
      <c r="ZO146" s="147"/>
      <c r="ZP146" s="147"/>
      <c r="ZQ146" s="147"/>
      <c r="ZR146" s="147"/>
      <c r="ZS146" s="147"/>
      <c r="ZT146" s="147"/>
      <c r="ZU146" s="147"/>
      <c r="ZV146" s="147"/>
      <c r="ZW146" s="147"/>
      <c r="ZX146" s="147"/>
      <c r="ZY146" s="147"/>
      <c r="ZZ146" s="147"/>
      <c r="AAA146" s="147"/>
      <c r="AAB146" s="147"/>
      <c r="AAC146" s="147"/>
      <c r="AAD146" s="147"/>
      <c r="AAE146" s="147"/>
      <c r="AAF146" s="147"/>
      <c r="AAG146" s="147"/>
      <c r="AAH146" s="147"/>
      <c r="AAI146" s="147"/>
      <c r="AAJ146" s="147"/>
      <c r="AAK146" s="147"/>
      <c r="AAL146" s="147"/>
      <c r="AAM146" s="147"/>
      <c r="AAN146" s="147"/>
      <c r="AAO146" s="147"/>
      <c r="AAP146" s="147"/>
      <c r="AAQ146" s="147"/>
      <c r="AAR146" s="147"/>
      <c r="AAS146" s="147"/>
      <c r="AAT146" s="147"/>
      <c r="AAU146" s="147"/>
      <c r="AAV146" s="147"/>
      <c r="AAW146" s="147"/>
      <c r="AAX146" s="147"/>
      <c r="AAY146" s="147"/>
      <c r="AAZ146" s="147"/>
      <c r="ABA146" s="147"/>
      <c r="ABB146" s="147"/>
      <c r="ABC146" s="147"/>
      <c r="ABD146" s="147"/>
      <c r="ABE146" s="147"/>
      <c r="ABF146" s="147"/>
      <c r="ABG146" s="147"/>
      <c r="ABH146" s="147"/>
      <c r="ABI146" s="147"/>
      <c r="ABJ146" s="147"/>
      <c r="ABK146" s="147"/>
      <c r="ABL146" s="147"/>
      <c r="ABM146" s="147"/>
      <c r="ABN146" s="147"/>
      <c r="ABO146" s="147"/>
      <c r="ABP146" s="147"/>
      <c r="ABQ146" s="147"/>
      <c r="ABR146" s="147"/>
      <c r="ABS146" s="147"/>
      <c r="ABT146" s="147"/>
      <c r="ABU146" s="147"/>
      <c r="ABV146" s="147"/>
      <c r="ABW146" s="147"/>
      <c r="ABX146" s="147"/>
      <c r="ABY146" s="147"/>
      <c r="ABZ146" s="147"/>
      <c r="ACA146" s="147"/>
      <c r="ACB146" s="147"/>
      <c r="ACC146" s="147"/>
      <c r="ACD146" s="147"/>
      <c r="ACE146" s="147"/>
      <c r="ACF146" s="147"/>
      <c r="ACG146" s="147"/>
      <c r="ACH146" s="147"/>
      <c r="ACI146" s="147"/>
      <c r="ACJ146" s="147"/>
      <c r="ACK146" s="147"/>
      <c r="ACL146" s="147"/>
      <c r="ACM146" s="147"/>
      <c r="ACN146" s="147"/>
      <c r="ACO146" s="147"/>
      <c r="ACP146" s="147"/>
      <c r="ACQ146" s="147"/>
      <c r="ACR146" s="147"/>
      <c r="ACS146" s="147"/>
      <c r="ACT146" s="147"/>
      <c r="ACU146" s="147"/>
      <c r="ACV146" s="147"/>
      <c r="ACW146" s="147"/>
      <c r="ACX146" s="147"/>
      <c r="ACY146" s="147"/>
      <c r="ACZ146" s="147"/>
      <c r="ADA146" s="147"/>
      <c r="ADB146" s="147"/>
      <c r="ADC146" s="147"/>
      <c r="ADD146" s="147"/>
      <c r="ADE146" s="147"/>
      <c r="ADF146" s="147"/>
      <c r="ADG146" s="147"/>
      <c r="ADH146" s="147"/>
      <c r="ADI146" s="147"/>
      <c r="ADJ146" s="147"/>
      <c r="ADK146" s="147"/>
      <c r="ADL146" s="147"/>
      <c r="ADM146" s="147"/>
      <c r="ADN146" s="147"/>
      <c r="ADO146" s="147"/>
      <c r="ADP146" s="147"/>
      <c r="ADQ146" s="147"/>
      <c r="ADR146" s="147"/>
      <c r="ADS146" s="147"/>
      <c r="ADT146" s="147"/>
      <c r="ADU146" s="147"/>
      <c r="ADV146" s="147"/>
      <c r="ADW146" s="147"/>
      <c r="ADX146" s="147"/>
      <c r="ADY146" s="147"/>
      <c r="ADZ146" s="147"/>
      <c r="AEA146" s="147"/>
      <c r="AEB146" s="147"/>
      <c r="AEC146" s="147"/>
      <c r="AED146" s="147"/>
      <c r="AEE146" s="147"/>
      <c r="AEF146" s="147"/>
      <c r="AEG146" s="147"/>
      <c r="AEH146" s="147"/>
      <c r="AEI146" s="147"/>
      <c r="AEJ146" s="147"/>
      <c r="AEK146" s="147"/>
      <c r="AEL146" s="147"/>
      <c r="AEM146" s="147"/>
      <c r="AEN146" s="147"/>
      <c r="AEO146" s="147"/>
      <c r="AEP146" s="147"/>
      <c r="AEQ146" s="147"/>
      <c r="AER146" s="147"/>
      <c r="AES146" s="147"/>
      <c r="AET146" s="147"/>
      <c r="AEU146" s="147"/>
      <c r="AEV146" s="147"/>
      <c r="AEW146" s="147"/>
      <c r="AEX146" s="147"/>
      <c r="AEY146" s="147"/>
      <c r="AEZ146" s="147"/>
      <c r="AFA146" s="147"/>
      <c r="AFB146" s="147"/>
      <c r="AFC146" s="147"/>
      <c r="AFD146" s="147"/>
      <c r="AFE146" s="147"/>
      <c r="AFF146" s="147"/>
      <c r="AFG146" s="147"/>
      <c r="AFH146" s="147"/>
      <c r="AFI146" s="147"/>
      <c r="AFJ146" s="147"/>
      <c r="AFK146" s="147"/>
      <c r="AFL146" s="147"/>
      <c r="AFM146" s="147"/>
      <c r="AFN146" s="147"/>
      <c r="AFO146" s="147"/>
      <c r="AFP146" s="147"/>
      <c r="AFQ146" s="147"/>
      <c r="AFR146" s="147"/>
      <c r="AFS146" s="147"/>
      <c r="AFT146" s="147"/>
      <c r="AFU146" s="147"/>
      <c r="AFV146" s="147"/>
      <c r="AFW146" s="147"/>
      <c r="AFX146" s="147"/>
      <c r="AFY146" s="147"/>
      <c r="AFZ146" s="147"/>
      <c r="AGA146" s="147"/>
      <c r="AGB146" s="147"/>
      <c r="AGC146" s="147"/>
      <c r="AGD146" s="147"/>
      <c r="AGE146" s="147"/>
      <c r="AGF146" s="147"/>
      <c r="AGG146" s="147"/>
      <c r="AGH146" s="147"/>
      <c r="AGI146" s="147"/>
      <c r="AGJ146" s="147"/>
      <c r="AGK146" s="147"/>
      <c r="AGL146" s="147"/>
      <c r="AGM146" s="147"/>
      <c r="AGN146" s="147"/>
      <c r="AGO146" s="147"/>
      <c r="AGP146" s="147"/>
      <c r="AGQ146" s="147"/>
      <c r="AGR146" s="147"/>
      <c r="AGS146" s="147"/>
      <c r="AGT146" s="147"/>
      <c r="AGU146" s="147"/>
      <c r="AGV146" s="147"/>
      <c r="AGW146" s="147"/>
      <c r="AGX146" s="147"/>
      <c r="AGY146" s="147"/>
      <c r="AGZ146" s="147"/>
      <c r="AHA146" s="147"/>
      <c r="AHB146" s="147"/>
      <c r="AHC146" s="147"/>
      <c r="AHD146" s="147"/>
      <c r="AHE146" s="147"/>
      <c r="AHF146" s="147"/>
      <c r="AHG146" s="147"/>
      <c r="AHH146" s="147"/>
      <c r="AHI146" s="147"/>
      <c r="AHJ146" s="147"/>
      <c r="AHK146" s="147"/>
      <c r="AHL146" s="147"/>
      <c r="AHM146" s="147"/>
      <c r="AHN146" s="147"/>
      <c r="AHO146" s="147"/>
      <c r="AHP146" s="147"/>
      <c r="AHQ146" s="147"/>
      <c r="AHR146" s="147"/>
      <c r="AHS146" s="147"/>
      <c r="AHT146" s="147"/>
      <c r="AHU146" s="147"/>
      <c r="AHV146" s="147"/>
      <c r="AHW146" s="147"/>
      <c r="AHX146" s="147"/>
      <c r="AHY146" s="147"/>
      <c r="AHZ146" s="147"/>
      <c r="AIA146" s="147"/>
      <c r="AIB146" s="147"/>
      <c r="AIC146" s="147"/>
      <c r="AID146" s="147"/>
      <c r="AIE146" s="147"/>
      <c r="AIF146" s="147"/>
      <c r="AIG146" s="147"/>
      <c r="AIH146" s="147"/>
      <c r="AII146" s="147"/>
      <c r="AIJ146" s="147"/>
      <c r="AIK146" s="147"/>
      <c r="AIL146" s="147"/>
      <c r="AIM146" s="147"/>
      <c r="AIN146" s="147"/>
      <c r="AIO146" s="147"/>
      <c r="AIP146" s="147"/>
      <c r="AIQ146" s="147"/>
      <c r="AIR146" s="147"/>
      <c r="AIS146" s="147"/>
      <c r="AIT146" s="147"/>
      <c r="AIU146" s="147"/>
      <c r="AIV146" s="147"/>
      <c r="AIW146" s="147"/>
      <c r="AIX146" s="147"/>
      <c r="AIY146" s="147"/>
      <c r="AIZ146" s="147"/>
      <c r="AJA146" s="147"/>
      <c r="AJB146" s="147"/>
      <c r="AJC146" s="147"/>
      <c r="AJD146" s="147"/>
      <c r="AJE146" s="147"/>
      <c r="AJF146" s="147"/>
      <c r="AJG146" s="147"/>
      <c r="AJH146" s="147"/>
      <c r="AJI146" s="147"/>
      <c r="AJJ146" s="147"/>
      <c r="AJK146" s="147"/>
      <c r="AJL146" s="147"/>
      <c r="AJM146" s="147"/>
      <c r="AJN146" s="147"/>
      <c r="AJO146" s="147"/>
      <c r="AJP146" s="147"/>
      <c r="AJQ146" s="147"/>
      <c r="AJR146" s="147"/>
      <c r="AJS146" s="147"/>
      <c r="AJT146" s="147"/>
      <c r="AJU146" s="147"/>
      <c r="AJV146" s="147"/>
      <c r="AJW146" s="147"/>
      <c r="AJX146" s="147"/>
      <c r="AJY146" s="147"/>
      <c r="AJZ146" s="147"/>
      <c r="AKA146" s="147"/>
      <c r="AKB146" s="147"/>
      <c r="AKC146" s="147"/>
      <c r="AKD146" s="147"/>
      <c r="AKE146" s="147"/>
      <c r="AKF146" s="147"/>
      <c r="AKG146" s="147"/>
      <c r="AKH146" s="147"/>
      <c r="AKI146" s="147"/>
      <c r="AKJ146" s="147"/>
      <c r="AKK146" s="147"/>
      <c r="AKL146" s="147"/>
      <c r="AKM146" s="147"/>
      <c r="AKN146" s="147"/>
      <c r="AKO146" s="147"/>
      <c r="AKP146" s="147"/>
      <c r="AKQ146" s="147"/>
      <c r="AKR146" s="147"/>
      <c r="AKS146" s="147"/>
      <c r="AKT146" s="147"/>
      <c r="AKU146" s="147"/>
      <c r="AKV146" s="147"/>
      <c r="AKW146" s="147"/>
      <c r="AKX146" s="147"/>
      <c r="AKY146" s="147"/>
      <c r="AKZ146" s="147"/>
      <c r="ALA146" s="147"/>
      <c r="ALB146" s="147"/>
      <c r="ALC146" s="147"/>
      <c r="ALD146" s="147"/>
      <c r="ALE146" s="147"/>
      <c r="ALF146" s="147"/>
      <c r="ALG146" s="147"/>
      <c r="ALH146" s="147"/>
      <c r="ALI146" s="147"/>
      <c r="ALJ146" s="147"/>
      <c r="ALK146" s="147"/>
      <c r="ALL146" s="147"/>
      <c r="ALM146" s="147"/>
      <c r="ALN146" s="147"/>
      <c r="ALO146" s="147"/>
      <c r="ALP146" s="147"/>
      <c r="ALQ146" s="147"/>
      <c r="ALR146" s="147"/>
      <c r="ALS146" s="147"/>
      <c r="ALT146" s="147"/>
      <c r="ALU146" s="147"/>
      <c r="ALV146" s="147"/>
      <c r="ALW146" s="147"/>
      <c r="ALX146" s="147"/>
      <c r="ALY146" s="147"/>
      <c r="ALZ146" s="147"/>
      <c r="AMA146" s="147"/>
      <c r="AMB146" s="147"/>
      <c r="AMC146" s="147"/>
      <c r="AMD146" s="147"/>
      <c r="AME146" s="147"/>
      <c r="AMF146" s="147"/>
      <c r="AMG146" s="147"/>
      <c r="AMH146" s="147"/>
      <c r="AMI146" s="147"/>
      <c r="AMJ146" s="147"/>
      <c r="AMK146" s="147"/>
      <c r="AML146" s="147"/>
      <c r="AMM146" s="147"/>
      <c r="AMN146" s="147"/>
      <c r="AMO146" s="147"/>
      <c r="AMP146" s="147"/>
      <c r="AMQ146" s="147"/>
      <c r="AMR146" s="147"/>
      <c r="AMS146" s="147"/>
      <c r="AMT146" s="147"/>
      <c r="AMU146" s="147"/>
      <c r="AMV146" s="147"/>
      <c r="AMW146" s="147"/>
      <c r="AMX146" s="147"/>
      <c r="AMY146" s="147"/>
      <c r="AMZ146" s="147"/>
      <c r="ANA146" s="147"/>
      <c r="ANB146" s="147"/>
      <c r="ANC146" s="147"/>
      <c r="AND146" s="147"/>
      <c r="ANE146" s="147"/>
      <c r="ANF146" s="147"/>
      <c r="ANG146" s="147"/>
      <c r="ANH146" s="147"/>
      <c r="ANI146" s="147"/>
      <c r="ANJ146" s="147"/>
      <c r="ANK146" s="147"/>
      <c r="ANL146" s="147"/>
      <c r="ANM146" s="147"/>
      <c r="ANN146" s="147"/>
      <c r="ANO146" s="147"/>
      <c r="ANP146" s="147"/>
      <c r="ANQ146" s="147"/>
      <c r="ANR146" s="147"/>
      <c r="ANS146" s="147"/>
      <c r="ANT146" s="147"/>
      <c r="ANU146" s="147"/>
      <c r="ANV146" s="147"/>
      <c r="ANW146" s="147"/>
      <c r="ANX146" s="147"/>
      <c r="ANY146" s="147"/>
      <c r="ANZ146" s="147"/>
      <c r="AOA146" s="147"/>
      <c r="AOB146" s="147"/>
      <c r="AOC146" s="147"/>
      <c r="AOD146" s="147"/>
      <c r="AOE146" s="147"/>
      <c r="AOF146" s="147"/>
      <c r="AOG146" s="147"/>
      <c r="AOH146" s="147"/>
      <c r="AOI146" s="147"/>
      <c r="AOJ146" s="147"/>
      <c r="AOK146" s="147"/>
      <c r="AOL146" s="147"/>
      <c r="AOM146" s="147"/>
      <c r="AON146" s="147"/>
      <c r="AOO146" s="147"/>
      <c r="AOP146" s="147"/>
      <c r="AOQ146" s="147"/>
      <c r="AOR146" s="147"/>
      <c r="AOS146" s="147"/>
      <c r="AOT146" s="147"/>
      <c r="AOU146" s="147"/>
      <c r="AOV146" s="147"/>
      <c r="AOW146" s="147"/>
      <c r="AOX146" s="147"/>
      <c r="AOY146" s="147"/>
      <c r="AOZ146" s="147"/>
      <c r="APA146" s="147"/>
      <c r="APB146" s="147"/>
      <c r="APC146" s="147"/>
      <c r="APD146" s="147"/>
      <c r="APE146" s="147"/>
      <c r="APF146" s="147"/>
      <c r="APG146" s="147"/>
      <c r="APH146" s="147"/>
      <c r="API146" s="147"/>
      <c r="APJ146" s="147"/>
      <c r="APK146" s="147"/>
      <c r="APL146" s="147"/>
      <c r="APM146" s="147"/>
      <c r="APN146" s="147"/>
      <c r="APO146" s="147"/>
      <c r="APP146" s="147"/>
      <c r="APQ146" s="147"/>
      <c r="APR146" s="147"/>
      <c r="APS146" s="147"/>
      <c r="APT146" s="147"/>
      <c r="APU146" s="147"/>
      <c r="APV146" s="147"/>
      <c r="APW146" s="147"/>
      <c r="APX146" s="147"/>
      <c r="APY146" s="147"/>
      <c r="APZ146" s="147"/>
      <c r="AQA146" s="147"/>
      <c r="AQB146" s="147"/>
      <c r="AQC146" s="147"/>
      <c r="AQD146" s="147"/>
      <c r="AQE146" s="147"/>
      <c r="AQF146" s="147"/>
      <c r="AQG146" s="147"/>
      <c r="AQH146" s="147"/>
      <c r="AQI146" s="147"/>
      <c r="AQJ146" s="147"/>
      <c r="AQK146" s="147"/>
      <c r="AQL146" s="147"/>
      <c r="AQM146" s="147"/>
      <c r="AQN146" s="147"/>
      <c r="AQO146" s="147"/>
      <c r="AQP146" s="147"/>
      <c r="AQQ146" s="147"/>
      <c r="AQR146" s="147"/>
      <c r="AQS146" s="147"/>
      <c r="AQT146" s="147"/>
      <c r="AQU146" s="147"/>
      <c r="AQV146" s="147"/>
      <c r="AQW146" s="147"/>
      <c r="AQX146" s="147"/>
      <c r="AQY146" s="147"/>
      <c r="AQZ146" s="147"/>
      <c r="ARA146" s="147"/>
      <c r="ARB146" s="147"/>
      <c r="ARC146" s="147"/>
      <c r="ARD146" s="147"/>
      <c r="ARE146" s="147"/>
      <c r="ARF146" s="147"/>
      <c r="ARG146" s="147"/>
      <c r="ARH146" s="147"/>
      <c r="ARI146" s="147"/>
      <c r="ARJ146" s="147"/>
      <c r="ARK146" s="147"/>
      <c r="ARL146" s="147"/>
      <c r="ARM146" s="147"/>
      <c r="ARN146" s="147"/>
      <c r="ARO146" s="147"/>
      <c r="ARP146" s="147"/>
      <c r="ARQ146" s="147"/>
      <c r="ARR146" s="147"/>
      <c r="ARS146" s="147"/>
      <c r="ART146" s="147"/>
      <c r="ARU146" s="147"/>
      <c r="ARV146" s="147"/>
      <c r="ARW146" s="147"/>
      <c r="ARX146" s="147"/>
      <c r="ARY146" s="147"/>
      <c r="ARZ146" s="147"/>
      <c r="ASA146" s="147"/>
      <c r="ASB146" s="147"/>
      <c r="ASC146" s="147"/>
      <c r="ASD146" s="147"/>
      <c r="ASE146" s="147"/>
      <c r="ASF146" s="147"/>
      <c r="ASG146" s="147"/>
      <c r="ASH146" s="147"/>
      <c r="ASI146" s="147"/>
      <c r="ASJ146" s="147"/>
      <c r="ASK146" s="147"/>
      <c r="ASL146" s="147"/>
      <c r="ASM146" s="147"/>
      <c r="ASN146" s="147"/>
      <c r="ASO146" s="147"/>
      <c r="ASP146" s="147"/>
      <c r="ASQ146" s="147"/>
      <c r="ASR146" s="147"/>
      <c r="ASS146" s="147"/>
      <c r="AST146" s="147"/>
      <c r="ASU146" s="147"/>
      <c r="ASV146" s="147"/>
      <c r="ASW146" s="147"/>
      <c r="ASX146" s="147"/>
      <c r="ASY146" s="147"/>
      <c r="ASZ146" s="147"/>
      <c r="ATA146" s="147"/>
      <c r="ATB146" s="147"/>
      <c r="ATC146" s="147"/>
      <c r="ATD146" s="147"/>
      <c r="ATE146" s="147"/>
      <c r="ATF146" s="147"/>
      <c r="ATG146" s="147"/>
      <c r="ATH146" s="147"/>
      <c r="ATI146" s="147"/>
      <c r="ATJ146" s="147"/>
      <c r="ATK146" s="147"/>
      <c r="ATL146" s="147"/>
      <c r="ATM146" s="147"/>
      <c r="ATN146" s="147"/>
      <c r="ATO146" s="147"/>
      <c r="ATP146" s="147"/>
      <c r="ATQ146" s="147"/>
      <c r="ATR146" s="147"/>
      <c r="ATS146" s="147"/>
      <c r="ATT146" s="147"/>
      <c r="ATU146" s="147"/>
      <c r="ATV146" s="147"/>
      <c r="ATW146" s="147"/>
      <c r="ATX146" s="147"/>
      <c r="ATY146" s="147"/>
      <c r="ATZ146" s="147"/>
      <c r="AUA146" s="147"/>
      <c r="AUB146" s="147"/>
      <c r="AUC146" s="147"/>
      <c r="AUD146" s="147"/>
      <c r="AUE146" s="147"/>
      <c r="AUF146" s="147"/>
      <c r="AUG146" s="147"/>
      <c r="AUH146" s="147"/>
      <c r="AUI146" s="147"/>
      <c r="AUJ146" s="147"/>
      <c r="AUK146" s="147"/>
      <c r="AUL146" s="147"/>
      <c r="AUM146" s="147"/>
      <c r="AUN146" s="147"/>
      <c r="AUO146" s="147"/>
      <c r="AUP146" s="147"/>
      <c r="AUQ146" s="147"/>
      <c r="AUR146" s="147"/>
      <c r="AUS146" s="147"/>
      <c r="AUT146" s="147"/>
      <c r="AUU146" s="147"/>
      <c r="AUV146" s="147"/>
      <c r="AUW146" s="147"/>
      <c r="AUX146" s="147"/>
      <c r="AUY146" s="147"/>
      <c r="AUZ146" s="147"/>
      <c r="AVA146" s="147"/>
      <c r="AVB146" s="147"/>
      <c r="AVC146" s="147"/>
      <c r="AVD146" s="147"/>
      <c r="AVE146" s="147"/>
      <c r="AVF146" s="147"/>
      <c r="AVG146" s="147"/>
      <c r="AVH146" s="147"/>
      <c r="AVI146" s="147"/>
      <c r="AVJ146" s="147"/>
      <c r="AVK146" s="147"/>
      <c r="AVL146" s="147"/>
      <c r="AVM146" s="147"/>
      <c r="AVN146" s="147"/>
      <c r="AVO146" s="147"/>
      <c r="AVP146" s="147"/>
      <c r="AVQ146" s="147"/>
      <c r="AVR146" s="147"/>
      <c r="AVS146" s="147"/>
      <c r="AVT146" s="147"/>
      <c r="AVU146" s="147"/>
      <c r="AVV146" s="147"/>
      <c r="AVW146" s="147"/>
      <c r="AVX146" s="147"/>
      <c r="AVY146" s="147"/>
      <c r="AVZ146" s="147"/>
      <c r="AWA146" s="147"/>
      <c r="AWB146" s="147"/>
      <c r="AWC146" s="147"/>
      <c r="AWD146" s="147"/>
      <c r="AWE146" s="147"/>
      <c r="AWF146" s="147"/>
      <c r="AWG146" s="147"/>
      <c r="AWH146" s="147"/>
      <c r="AWI146" s="147"/>
      <c r="AWJ146" s="147"/>
      <c r="AWK146" s="147"/>
      <c r="AWL146" s="147"/>
      <c r="AWM146" s="147"/>
      <c r="AWN146" s="147"/>
      <c r="AWO146" s="147"/>
      <c r="AWP146" s="147"/>
      <c r="AWQ146" s="147"/>
      <c r="AWR146" s="147"/>
      <c r="AWS146" s="147"/>
      <c r="AWT146" s="147"/>
      <c r="AWU146" s="147"/>
      <c r="AWV146" s="147"/>
      <c r="AWW146" s="147"/>
      <c r="AWX146" s="147"/>
      <c r="AWY146" s="147"/>
      <c r="AWZ146" s="147"/>
      <c r="AXA146" s="147"/>
      <c r="AXB146" s="147"/>
      <c r="AXC146" s="147"/>
      <c r="AXD146" s="147"/>
      <c r="AXE146" s="147"/>
      <c r="AXF146" s="147"/>
      <c r="AXG146" s="147"/>
      <c r="AXH146" s="147"/>
      <c r="AXI146" s="147"/>
      <c r="AXJ146" s="147"/>
      <c r="AXK146" s="147"/>
      <c r="AXL146" s="147"/>
      <c r="AXM146" s="147"/>
      <c r="AXN146" s="147"/>
      <c r="AXO146" s="147"/>
      <c r="AXP146" s="147"/>
      <c r="AXQ146" s="147"/>
      <c r="AXR146" s="147"/>
      <c r="AXS146" s="147"/>
      <c r="AXT146" s="147"/>
      <c r="AXU146" s="147"/>
      <c r="AXV146" s="147"/>
      <c r="AXW146" s="147"/>
      <c r="AXX146" s="147"/>
      <c r="AXY146" s="147"/>
      <c r="AXZ146" s="147"/>
      <c r="AYA146" s="147"/>
      <c r="AYB146" s="147"/>
      <c r="AYC146" s="147"/>
      <c r="AYD146" s="147"/>
      <c r="AYE146" s="147"/>
      <c r="AYF146" s="147"/>
      <c r="AYG146" s="147"/>
      <c r="AYH146" s="147"/>
      <c r="AYI146" s="147"/>
      <c r="AYJ146" s="147"/>
      <c r="AYK146" s="147"/>
      <c r="AYL146" s="147"/>
      <c r="AYM146" s="147"/>
      <c r="AYN146" s="147"/>
      <c r="AYO146" s="147"/>
      <c r="AYP146" s="147"/>
      <c r="AYQ146" s="147"/>
      <c r="AYR146" s="147"/>
      <c r="AYS146" s="147"/>
      <c r="AYT146" s="147"/>
      <c r="AYU146" s="147"/>
      <c r="AYV146" s="147"/>
      <c r="AYW146" s="147"/>
      <c r="AYX146" s="147"/>
      <c r="AYY146" s="147"/>
      <c r="AYZ146" s="147"/>
      <c r="AZA146" s="147"/>
      <c r="AZB146" s="147"/>
      <c r="AZC146" s="147"/>
      <c r="AZD146" s="147"/>
      <c r="AZE146" s="147"/>
      <c r="AZF146" s="147"/>
      <c r="AZG146" s="147"/>
      <c r="AZH146" s="147"/>
      <c r="AZI146" s="147"/>
      <c r="AZJ146" s="147"/>
      <c r="AZK146" s="147"/>
      <c r="AZL146" s="147"/>
      <c r="AZM146" s="147"/>
      <c r="AZN146" s="147"/>
      <c r="AZO146" s="147"/>
      <c r="AZP146" s="147"/>
      <c r="AZQ146" s="147"/>
      <c r="AZR146" s="147"/>
      <c r="AZS146" s="147"/>
      <c r="AZT146" s="147"/>
      <c r="AZU146" s="147"/>
      <c r="AZV146" s="147"/>
      <c r="AZW146" s="147"/>
      <c r="AZX146" s="147"/>
      <c r="AZY146" s="147"/>
      <c r="AZZ146" s="147"/>
      <c r="BAA146" s="147"/>
      <c r="BAB146" s="147"/>
      <c r="BAC146" s="147"/>
      <c r="BAD146" s="147"/>
      <c r="BAE146" s="147"/>
      <c r="BAF146" s="147"/>
      <c r="BAG146" s="147"/>
      <c r="BAH146" s="147"/>
      <c r="BAI146" s="147"/>
      <c r="BAJ146" s="147"/>
      <c r="BAK146" s="147"/>
      <c r="BAL146" s="147"/>
      <c r="BAM146" s="147"/>
      <c r="BAN146" s="147"/>
      <c r="BAO146" s="147"/>
      <c r="BAP146" s="147"/>
      <c r="BAQ146" s="147"/>
      <c r="BAR146" s="147"/>
      <c r="BAS146" s="147"/>
      <c r="BAT146" s="147"/>
      <c r="BAU146" s="147"/>
      <c r="BAV146" s="147"/>
      <c r="BAW146" s="147"/>
      <c r="BAX146" s="147"/>
      <c r="BAY146" s="147"/>
      <c r="BAZ146" s="147"/>
      <c r="BBA146" s="147"/>
      <c r="BBB146" s="147"/>
      <c r="BBC146" s="147"/>
      <c r="BBD146" s="147"/>
      <c r="BBE146" s="147"/>
      <c r="BBF146" s="147"/>
      <c r="BBG146" s="147"/>
      <c r="BBH146" s="147"/>
      <c r="BBI146" s="147"/>
      <c r="BBJ146" s="147"/>
      <c r="BBK146" s="147"/>
      <c r="BBL146" s="147"/>
      <c r="BBM146" s="147"/>
      <c r="BBN146" s="147"/>
      <c r="BBO146" s="147"/>
      <c r="BBP146" s="147"/>
      <c r="BBQ146" s="147"/>
      <c r="BBR146" s="147"/>
      <c r="BBS146" s="147"/>
      <c r="BBT146" s="147"/>
      <c r="BBU146" s="147"/>
      <c r="BBV146" s="147"/>
      <c r="BBW146" s="147"/>
      <c r="BBX146" s="147"/>
      <c r="BBY146" s="147"/>
      <c r="BBZ146" s="147"/>
      <c r="BCA146" s="147"/>
      <c r="BCB146" s="147"/>
      <c r="BCC146" s="147"/>
      <c r="BCD146" s="147"/>
      <c r="BCE146" s="147"/>
      <c r="BCF146" s="147"/>
      <c r="BCG146" s="147"/>
      <c r="BCH146" s="147"/>
      <c r="BCI146" s="147"/>
      <c r="BCJ146" s="147"/>
      <c r="BCK146" s="147"/>
      <c r="BCL146" s="147"/>
      <c r="BCM146" s="147"/>
      <c r="BCN146" s="147"/>
      <c r="BCO146" s="147"/>
      <c r="BCP146" s="147"/>
      <c r="BCQ146" s="147"/>
      <c r="BCR146" s="147"/>
      <c r="BCS146" s="147"/>
      <c r="BCT146" s="147"/>
      <c r="BCU146" s="147"/>
      <c r="BCV146" s="147"/>
      <c r="BCW146" s="147"/>
      <c r="BCX146" s="147"/>
      <c r="BCY146" s="147"/>
      <c r="BCZ146" s="147"/>
      <c r="BDA146" s="147"/>
      <c r="BDB146" s="147"/>
      <c r="BDC146" s="147"/>
      <c r="BDD146" s="147"/>
      <c r="BDE146" s="147"/>
      <c r="BDF146" s="147"/>
      <c r="BDG146" s="147"/>
      <c r="BDH146" s="147"/>
      <c r="BDI146" s="147"/>
      <c r="BDJ146" s="147"/>
      <c r="BDK146" s="147"/>
      <c r="BDL146" s="147"/>
      <c r="BDM146" s="147"/>
      <c r="BDN146" s="147"/>
      <c r="BDO146" s="147"/>
      <c r="BDP146" s="147"/>
      <c r="BDQ146" s="147"/>
      <c r="BDR146" s="147"/>
      <c r="BDS146" s="147"/>
      <c r="BDT146" s="147"/>
      <c r="BDU146" s="147"/>
      <c r="BDV146" s="147"/>
      <c r="BDW146" s="147"/>
      <c r="BDX146" s="147"/>
      <c r="BDY146" s="147"/>
      <c r="BDZ146" s="147"/>
      <c r="BEA146" s="147"/>
      <c r="BEB146" s="147"/>
      <c r="BEC146" s="147"/>
      <c r="BED146" s="147"/>
      <c r="BEE146" s="147"/>
      <c r="BEF146" s="147"/>
      <c r="BEG146" s="147"/>
      <c r="BEH146" s="147"/>
      <c r="BEI146" s="147"/>
      <c r="BEJ146" s="147"/>
      <c r="BEK146" s="147"/>
      <c r="BEL146" s="147"/>
      <c r="BEM146" s="147"/>
      <c r="BEN146" s="147"/>
      <c r="BEO146" s="147"/>
      <c r="BEP146" s="147"/>
      <c r="BEQ146" s="147"/>
      <c r="BER146" s="147"/>
      <c r="BES146" s="147"/>
      <c r="BET146" s="147"/>
      <c r="BEU146" s="147"/>
      <c r="BEV146" s="147"/>
      <c r="BEW146" s="147"/>
      <c r="BEX146" s="147"/>
      <c r="BEY146" s="147"/>
      <c r="BEZ146" s="147"/>
      <c r="BFA146" s="147"/>
      <c r="BFB146" s="147"/>
      <c r="BFC146" s="147"/>
      <c r="BFD146" s="147"/>
      <c r="BFE146" s="147"/>
      <c r="BFF146" s="147"/>
      <c r="BFG146" s="147"/>
      <c r="BFH146" s="147"/>
      <c r="BFI146" s="147"/>
      <c r="BFJ146" s="147"/>
      <c r="BFK146" s="147"/>
      <c r="BFL146" s="147"/>
      <c r="BFM146" s="147"/>
      <c r="BFN146" s="147"/>
      <c r="BFO146" s="147"/>
      <c r="BFP146" s="147"/>
      <c r="BFQ146" s="147"/>
      <c r="BFR146" s="147"/>
      <c r="BFS146" s="147"/>
      <c r="BFT146" s="147"/>
      <c r="BFU146" s="147"/>
      <c r="BFV146" s="147"/>
      <c r="BFW146" s="147"/>
      <c r="BFX146" s="147"/>
      <c r="BFY146" s="147"/>
      <c r="BFZ146" s="147"/>
      <c r="BGA146" s="147"/>
      <c r="BGB146" s="147"/>
      <c r="BGC146" s="147"/>
      <c r="BGD146" s="147"/>
      <c r="BGE146" s="147"/>
      <c r="BGF146" s="147"/>
      <c r="BGG146" s="147"/>
      <c r="BGH146" s="147"/>
      <c r="BGI146" s="147"/>
      <c r="BGJ146" s="147"/>
      <c r="BGK146" s="147"/>
      <c r="BGL146" s="147"/>
      <c r="BGM146" s="147"/>
      <c r="BGN146" s="147"/>
      <c r="BGO146" s="147"/>
      <c r="BGP146" s="147"/>
      <c r="BGQ146" s="147"/>
      <c r="BGR146" s="147"/>
      <c r="BGS146" s="147"/>
      <c r="BGT146" s="147"/>
      <c r="BGU146" s="147"/>
      <c r="BGV146" s="147"/>
      <c r="BGW146" s="147"/>
      <c r="BGX146" s="147"/>
      <c r="BGY146" s="147"/>
      <c r="BGZ146" s="147"/>
      <c r="BHA146" s="147"/>
      <c r="BHB146" s="147"/>
      <c r="BHC146" s="147"/>
      <c r="BHD146" s="147"/>
      <c r="BHE146" s="147"/>
      <c r="BHF146" s="147"/>
      <c r="BHG146" s="147"/>
      <c r="BHH146" s="147"/>
      <c r="BHI146" s="147"/>
      <c r="BHJ146" s="147"/>
      <c r="BHK146" s="147"/>
      <c r="BHL146" s="147"/>
      <c r="BHM146" s="147"/>
      <c r="BHN146" s="147"/>
      <c r="BHO146" s="147"/>
      <c r="BHP146" s="147"/>
      <c r="BHQ146" s="147"/>
      <c r="BHR146" s="147"/>
      <c r="BHS146" s="147"/>
      <c r="BHT146" s="147"/>
      <c r="BHU146" s="147"/>
      <c r="BHV146" s="147"/>
      <c r="BHW146" s="147"/>
      <c r="BHX146" s="147"/>
      <c r="BHY146" s="147"/>
      <c r="BHZ146" s="147"/>
      <c r="BIA146" s="147"/>
      <c r="BIB146" s="147"/>
      <c r="BIC146" s="147"/>
      <c r="BID146" s="147"/>
      <c r="BIE146" s="147"/>
      <c r="BIF146" s="147"/>
      <c r="BIG146" s="147"/>
      <c r="BIH146" s="147"/>
      <c r="BII146" s="147"/>
      <c r="BIJ146" s="147"/>
      <c r="BIK146" s="147"/>
      <c r="BIL146" s="147"/>
      <c r="BIM146" s="147"/>
      <c r="BIN146" s="147"/>
      <c r="BIO146" s="147"/>
      <c r="BIP146" s="147"/>
      <c r="BIQ146" s="147"/>
      <c r="BIR146" s="147"/>
      <c r="BIS146" s="147"/>
      <c r="BIT146" s="147"/>
      <c r="BIU146" s="147"/>
      <c r="BIV146" s="147"/>
      <c r="BIW146" s="147"/>
      <c r="BIX146" s="147"/>
      <c r="BIY146" s="147"/>
      <c r="BIZ146" s="147"/>
      <c r="BJA146" s="147"/>
      <c r="BJB146" s="147"/>
      <c r="BJC146" s="147"/>
      <c r="BJD146" s="147"/>
      <c r="BJE146" s="147"/>
      <c r="BJF146" s="147"/>
      <c r="BJG146" s="147"/>
      <c r="BJH146" s="147"/>
      <c r="BJI146" s="147"/>
      <c r="BJJ146" s="147"/>
      <c r="BJK146" s="147"/>
      <c r="BJL146" s="147"/>
      <c r="BJM146" s="147"/>
      <c r="BJN146" s="147"/>
      <c r="BJO146" s="147"/>
      <c r="BJP146" s="147"/>
      <c r="BJQ146" s="147"/>
      <c r="BJR146" s="147"/>
      <c r="BJS146" s="147"/>
      <c r="BJT146" s="147"/>
      <c r="BJU146" s="147"/>
      <c r="BJV146" s="147"/>
      <c r="BJW146" s="147"/>
      <c r="BJX146" s="147"/>
      <c r="BJY146" s="147"/>
      <c r="BJZ146" s="147"/>
      <c r="BKA146" s="147"/>
      <c r="BKB146" s="147"/>
      <c r="BKC146" s="147"/>
      <c r="BKD146" s="147"/>
      <c r="BKE146" s="147"/>
      <c r="BKF146" s="147"/>
      <c r="BKG146" s="147"/>
      <c r="BKH146" s="147"/>
      <c r="BKI146" s="147"/>
      <c r="BKJ146" s="147"/>
      <c r="BKK146" s="147"/>
      <c r="BKL146" s="147"/>
      <c r="BKM146" s="147"/>
      <c r="BKN146" s="147"/>
      <c r="BKO146" s="147"/>
      <c r="BKP146" s="147"/>
      <c r="BKQ146" s="147"/>
      <c r="BKR146" s="147"/>
      <c r="BKS146" s="147"/>
      <c r="BKT146" s="147"/>
      <c r="BKU146" s="147"/>
      <c r="BKV146" s="147"/>
      <c r="BKW146" s="147"/>
      <c r="BKX146" s="147"/>
      <c r="BKY146" s="147"/>
      <c r="BKZ146" s="147"/>
      <c r="BLA146" s="147"/>
      <c r="BLB146" s="147"/>
      <c r="BLC146" s="147"/>
      <c r="BLD146" s="147"/>
      <c r="BLE146" s="147"/>
      <c r="BLF146" s="147"/>
      <c r="BLG146" s="147"/>
      <c r="BLH146" s="147"/>
      <c r="BLI146" s="147"/>
      <c r="BLJ146" s="147"/>
      <c r="BLK146" s="147"/>
      <c r="BLL146" s="147"/>
      <c r="BLM146" s="147"/>
      <c r="BLN146" s="147"/>
      <c r="BLO146" s="147"/>
      <c r="BLP146" s="147"/>
      <c r="BLQ146" s="147"/>
      <c r="BLR146" s="147"/>
      <c r="BLS146" s="147"/>
      <c r="BLT146" s="147"/>
      <c r="BLU146" s="147"/>
      <c r="BLV146" s="147"/>
      <c r="BLW146" s="147"/>
      <c r="BLX146" s="147"/>
      <c r="BLY146" s="147"/>
      <c r="BLZ146" s="147"/>
      <c r="BMA146" s="147"/>
      <c r="BMB146" s="147"/>
      <c r="BMC146" s="147"/>
      <c r="BMD146" s="147"/>
      <c r="BME146" s="147"/>
      <c r="BMF146" s="147"/>
      <c r="BMG146" s="147"/>
      <c r="BMH146" s="147"/>
      <c r="BMI146" s="147"/>
      <c r="BMJ146" s="147"/>
      <c r="BMK146" s="147"/>
      <c r="BML146" s="147"/>
      <c r="BMM146" s="147"/>
      <c r="BMN146" s="147"/>
      <c r="BMO146" s="147"/>
      <c r="BMP146" s="147"/>
      <c r="BMQ146" s="147"/>
      <c r="BMR146" s="147"/>
      <c r="BMS146" s="147"/>
      <c r="BMT146" s="147"/>
      <c r="BMU146" s="147"/>
      <c r="BMV146" s="147"/>
      <c r="BMW146" s="147"/>
      <c r="BMX146" s="147"/>
      <c r="BMY146" s="147"/>
      <c r="BMZ146" s="147"/>
      <c r="BNA146" s="147"/>
      <c r="BNB146" s="147"/>
      <c r="BNC146" s="147"/>
      <c r="BND146" s="147"/>
      <c r="BNE146" s="147"/>
      <c r="BNF146" s="147"/>
      <c r="BNG146" s="147"/>
      <c r="BNH146" s="147"/>
      <c r="BNI146" s="147"/>
      <c r="BNJ146" s="147"/>
      <c r="BNK146" s="147"/>
      <c r="BNL146" s="147"/>
      <c r="BNM146" s="147"/>
      <c r="BNN146" s="147"/>
      <c r="BNO146" s="147"/>
      <c r="BNP146" s="147"/>
      <c r="BNQ146" s="147"/>
      <c r="BNR146" s="147"/>
      <c r="BNS146" s="147"/>
      <c r="BNT146" s="147"/>
      <c r="BNU146" s="147"/>
      <c r="BNV146" s="147"/>
      <c r="BNW146" s="147"/>
      <c r="BNX146" s="147"/>
      <c r="BNY146" s="147"/>
      <c r="BNZ146" s="147"/>
      <c r="BOA146" s="147"/>
      <c r="BOB146" s="147"/>
      <c r="BOC146" s="147"/>
      <c r="BOD146" s="147"/>
      <c r="BOE146" s="147"/>
      <c r="BOF146" s="147"/>
      <c r="BOG146" s="147"/>
      <c r="BOH146" s="147"/>
      <c r="BOI146" s="147"/>
      <c r="BOJ146" s="147"/>
      <c r="BOK146" s="147"/>
      <c r="BOL146" s="147"/>
      <c r="BOM146" s="147"/>
      <c r="BON146" s="147"/>
      <c r="BOO146" s="147"/>
      <c r="BOP146" s="147"/>
      <c r="BOQ146" s="147"/>
      <c r="BOR146" s="147"/>
      <c r="BOS146" s="147"/>
      <c r="BOT146" s="147"/>
      <c r="BOU146" s="147"/>
      <c r="BOV146" s="147"/>
      <c r="BOW146" s="147"/>
      <c r="BOX146" s="147"/>
      <c r="BOY146" s="147"/>
      <c r="BOZ146" s="147"/>
      <c r="BPA146" s="147"/>
      <c r="BPB146" s="147"/>
      <c r="BPC146" s="147"/>
      <c r="BPD146" s="147"/>
      <c r="BPE146" s="147"/>
      <c r="BPF146" s="147"/>
      <c r="BPG146" s="147"/>
      <c r="BPH146" s="147"/>
      <c r="BPI146" s="147"/>
      <c r="BPJ146" s="147"/>
      <c r="BPK146" s="147"/>
      <c r="BPL146" s="147"/>
      <c r="BPM146" s="147"/>
      <c r="BPN146" s="147"/>
      <c r="BPO146" s="147"/>
      <c r="BPP146" s="147"/>
      <c r="BPQ146" s="147"/>
      <c r="BPR146" s="147"/>
      <c r="BPS146" s="147"/>
      <c r="BPT146" s="147"/>
      <c r="BPU146" s="147"/>
      <c r="BPV146" s="147"/>
      <c r="BPW146" s="147"/>
      <c r="BPX146" s="147"/>
      <c r="BPY146" s="147"/>
      <c r="BPZ146" s="147"/>
      <c r="BQA146" s="147"/>
      <c r="BQB146" s="147"/>
      <c r="BQC146" s="147"/>
      <c r="BQD146" s="147"/>
      <c r="BQE146" s="147"/>
      <c r="BQF146" s="147"/>
      <c r="BQG146" s="147"/>
      <c r="BQH146" s="147"/>
      <c r="BQI146" s="147"/>
      <c r="BQJ146" s="147"/>
      <c r="BQK146" s="147"/>
      <c r="BQL146" s="147"/>
      <c r="BQM146" s="147"/>
      <c r="BQN146" s="147"/>
      <c r="BQO146" s="147"/>
      <c r="BQP146" s="147"/>
      <c r="BQQ146" s="147"/>
      <c r="BQR146" s="147"/>
      <c r="BQS146" s="147"/>
      <c r="BQT146" s="147"/>
      <c r="BQU146" s="147"/>
      <c r="BQV146" s="147"/>
      <c r="BQW146" s="147"/>
      <c r="BQX146" s="147"/>
      <c r="BQY146" s="147"/>
      <c r="BQZ146" s="147"/>
      <c r="BRA146" s="147"/>
      <c r="BRB146" s="147"/>
      <c r="BRC146" s="147"/>
      <c r="BRD146" s="147"/>
      <c r="BRE146" s="147"/>
      <c r="BRF146" s="147"/>
      <c r="BRG146" s="147"/>
      <c r="BRH146" s="147"/>
      <c r="BRI146" s="147"/>
      <c r="BRJ146" s="147"/>
      <c r="BRK146" s="147"/>
      <c r="BRL146" s="147"/>
      <c r="BRM146" s="147"/>
      <c r="BRN146" s="147"/>
      <c r="BRO146" s="147"/>
      <c r="BRP146" s="147"/>
      <c r="BRQ146" s="147"/>
      <c r="BRR146" s="147"/>
      <c r="BRS146" s="147"/>
      <c r="BRT146" s="147"/>
      <c r="BRU146" s="147"/>
      <c r="BRV146" s="147"/>
      <c r="BRW146" s="147"/>
      <c r="BRX146" s="147"/>
      <c r="BRY146" s="147"/>
      <c r="BRZ146" s="147"/>
      <c r="BSA146" s="147"/>
      <c r="BSB146" s="147"/>
      <c r="BSC146" s="147"/>
      <c r="BSD146" s="147"/>
      <c r="BSE146" s="147"/>
      <c r="BSF146" s="147"/>
      <c r="BSG146" s="147"/>
      <c r="BSH146" s="147"/>
      <c r="BSI146" s="147"/>
      <c r="BSJ146" s="147"/>
      <c r="BSK146" s="147"/>
      <c r="BSL146" s="147"/>
      <c r="BSM146" s="147"/>
      <c r="BSN146" s="147"/>
      <c r="BSO146" s="147"/>
      <c r="BSP146" s="147"/>
      <c r="BSQ146" s="147"/>
      <c r="BSR146" s="147"/>
      <c r="BSS146" s="147"/>
      <c r="BST146" s="147"/>
      <c r="BSU146" s="147"/>
      <c r="BSV146" s="147"/>
      <c r="BSW146" s="147"/>
      <c r="BSX146" s="147"/>
      <c r="BSY146" s="147"/>
      <c r="BSZ146" s="147"/>
      <c r="BTA146" s="147"/>
      <c r="BTB146" s="147"/>
      <c r="BTC146" s="147"/>
      <c r="BTD146" s="147"/>
      <c r="BTE146" s="147"/>
      <c r="BTF146" s="147"/>
      <c r="BTG146" s="147"/>
      <c r="BTH146" s="147"/>
      <c r="BTI146" s="147"/>
      <c r="BTJ146" s="147"/>
      <c r="BTK146" s="147"/>
      <c r="BTL146" s="147"/>
      <c r="BTM146" s="147"/>
      <c r="BTN146" s="147"/>
      <c r="BTO146" s="147"/>
      <c r="BTP146" s="147"/>
      <c r="BTQ146" s="147"/>
      <c r="BTR146" s="147"/>
      <c r="BTS146" s="147"/>
      <c r="BTT146" s="147"/>
      <c r="BTU146" s="147"/>
      <c r="BTV146" s="147"/>
      <c r="BTW146" s="147"/>
      <c r="BTX146" s="147"/>
      <c r="BTY146" s="147"/>
      <c r="BTZ146" s="147"/>
      <c r="BUA146" s="147"/>
      <c r="BUB146" s="147"/>
      <c r="BUC146" s="147"/>
      <c r="BUD146" s="147"/>
      <c r="BUE146" s="147"/>
      <c r="BUF146" s="147"/>
      <c r="BUG146" s="147"/>
      <c r="BUH146" s="147"/>
      <c r="BUI146" s="147"/>
      <c r="BUJ146" s="147"/>
      <c r="BUK146" s="147"/>
      <c r="BUL146" s="147"/>
      <c r="BUM146" s="147"/>
      <c r="BUN146" s="147"/>
      <c r="BUO146" s="147"/>
      <c r="BUP146" s="147"/>
      <c r="BUQ146" s="147"/>
      <c r="BUR146" s="147"/>
      <c r="BUS146" s="147"/>
      <c r="BUT146" s="147"/>
      <c r="BUU146" s="147"/>
      <c r="BUV146" s="147"/>
      <c r="BUW146" s="147"/>
      <c r="BUX146" s="147"/>
      <c r="BUY146" s="147"/>
      <c r="BUZ146" s="147"/>
      <c r="BVA146" s="147"/>
      <c r="BVB146" s="147"/>
      <c r="BVC146" s="147"/>
      <c r="BVD146" s="147"/>
      <c r="BVE146" s="147"/>
      <c r="BVF146" s="147"/>
      <c r="BVG146" s="147"/>
      <c r="BVH146" s="147"/>
      <c r="BVI146" s="147"/>
      <c r="BVJ146" s="147"/>
      <c r="BVK146" s="147"/>
      <c r="BVL146" s="147"/>
      <c r="BVM146" s="147"/>
      <c r="BVN146" s="147"/>
      <c r="BVO146" s="147"/>
      <c r="BVP146" s="147"/>
      <c r="BVQ146" s="147"/>
      <c r="BVR146" s="147"/>
      <c r="BVS146" s="147"/>
      <c r="BVT146" s="147"/>
      <c r="BVU146" s="147"/>
      <c r="BVV146" s="147"/>
      <c r="BVW146" s="147"/>
      <c r="BVX146" s="147"/>
      <c r="BVY146" s="147"/>
      <c r="BVZ146" s="147"/>
      <c r="BWA146" s="147"/>
      <c r="BWB146" s="147"/>
      <c r="BWC146" s="147"/>
      <c r="BWD146" s="147"/>
      <c r="BWE146" s="147"/>
      <c r="BWF146" s="147"/>
      <c r="BWG146" s="147"/>
      <c r="BWH146" s="147"/>
      <c r="BWI146" s="147"/>
      <c r="BWJ146" s="147"/>
      <c r="BWK146" s="147"/>
      <c r="BWL146" s="147"/>
      <c r="BWM146" s="147"/>
      <c r="BWN146" s="147"/>
      <c r="BWO146" s="147"/>
      <c r="BWP146" s="147"/>
      <c r="BWQ146" s="147"/>
      <c r="BWR146" s="147"/>
      <c r="BWS146" s="147"/>
      <c r="BWT146" s="147"/>
      <c r="BWU146" s="147"/>
      <c r="BWV146" s="147"/>
      <c r="BWW146" s="147"/>
      <c r="BWX146" s="147"/>
      <c r="BWY146" s="147"/>
      <c r="BWZ146" s="147"/>
      <c r="BXA146" s="147"/>
      <c r="BXB146" s="147"/>
      <c r="BXC146" s="147"/>
      <c r="BXD146" s="147"/>
      <c r="BXE146" s="147"/>
      <c r="BXF146" s="147"/>
      <c r="BXG146" s="147"/>
      <c r="BXH146" s="147"/>
      <c r="BXI146" s="147"/>
      <c r="BXJ146" s="147"/>
      <c r="BXK146" s="147"/>
      <c r="BXL146" s="147"/>
      <c r="BXM146" s="147"/>
      <c r="BXN146" s="147"/>
      <c r="BXO146" s="147"/>
      <c r="BXP146" s="147"/>
      <c r="BXQ146" s="147"/>
      <c r="BXR146" s="147"/>
      <c r="BXS146" s="147"/>
      <c r="BXT146" s="147"/>
      <c r="BXU146" s="147"/>
      <c r="BXV146" s="147"/>
      <c r="BXW146" s="147"/>
      <c r="BXX146" s="147"/>
      <c r="BXY146" s="147"/>
      <c r="BXZ146" s="147"/>
      <c r="BYA146" s="147"/>
      <c r="BYB146" s="147"/>
      <c r="BYC146" s="147"/>
      <c r="BYD146" s="147"/>
      <c r="BYE146" s="147"/>
      <c r="BYF146" s="147"/>
      <c r="BYG146" s="147"/>
      <c r="BYH146" s="147"/>
      <c r="BYI146" s="147"/>
      <c r="BYJ146" s="147"/>
      <c r="BYK146" s="147"/>
      <c r="BYL146" s="147"/>
      <c r="BYM146" s="147"/>
      <c r="BYN146" s="147"/>
      <c r="BYO146" s="147"/>
      <c r="BYP146" s="147"/>
      <c r="BYQ146" s="147"/>
      <c r="BYR146" s="147"/>
      <c r="BYS146" s="147"/>
      <c r="BYT146" s="147"/>
      <c r="BYU146" s="147"/>
      <c r="BYV146" s="147"/>
      <c r="BYW146" s="147"/>
      <c r="BYX146" s="147"/>
      <c r="BYY146" s="147"/>
      <c r="BYZ146" s="147"/>
      <c r="BZA146" s="147"/>
      <c r="BZB146" s="147"/>
      <c r="BZC146" s="147"/>
      <c r="BZD146" s="147"/>
      <c r="BZE146" s="147"/>
      <c r="BZF146" s="147"/>
      <c r="BZG146" s="147"/>
      <c r="BZH146" s="147"/>
      <c r="BZI146" s="147"/>
      <c r="BZJ146" s="147"/>
      <c r="BZK146" s="147"/>
      <c r="BZL146" s="147"/>
      <c r="BZM146" s="147"/>
      <c r="BZN146" s="147"/>
      <c r="BZO146" s="147"/>
      <c r="BZP146" s="147"/>
      <c r="BZQ146" s="147"/>
      <c r="BZR146" s="147"/>
      <c r="BZS146" s="147"/>
      <c r="BZT146" s="147"/>
      <c r="BZU146" s="147"/>
      <c r="BZV146" s="147"/>
      <c r="BZW146" s="147"/>
      <c r="BZX146" s="147"/>
      <c r="BZY146" s="147"/>
      <c r="BZZ146" s="147"/>
      <c r="CAA146" s="147"/>
      <c r="CAB146" s="147"/>
      <c r="CAC146" s="147"/>
      <c r="CAD146" s="147"/>
      <c r="CAE146" s="147"/>
      <c r="CAF146" s="147"/>
      <c r="CAG146" s="147"/>
      <c r="CAH146" s="147"/>
      <c r="CAI146" s="147"/>
      <c r="CAJ146" s="147"/>
      <c r="CAK146" s="147"/>
      <c r="CAL146" s="147"/>
      <c r="CAM146" s="147"/>
      <c r="CAN146" s="147"/>
      <c r="CAO146" s="147"/>
      <c r="CAP146" s="147"/>
      <c r="CAQ146" s="147"/>
      <c r="CAR146" s="147"/>
      <c r="CAS146" s="147"/>
      <c r="CAT146" s="147"/>
      <c r="CAU146" s="147"/>
      <c r="CAV146" s="147"/>
      <c r="CAW146" s="147"/>
      <c r="CAX146" s="147"/>
      <c r="CAY146" s="147"/>
      <c r="CAZ146" s="147"/>
      <c r="CBA146" s="147"/>
      <c r="CBB146" s="147"/>
      <c r="CBC146" s="147"/>
      <c r="CBD146" s="147"/>
      <c r="CBE146" s="147"/>
      <c r="CBF146" s="147"/>
      <c r="CBG146" s="147"/>
      <c r="CBH146" s="147"/>
      <c r="CBI146" s="147"/>
      <c r="CBJ146" s="147"/>
      <c r="CBK146" s="147"/>
      <c r="CBL146" s="147"/>
      <c r="CBM146" s="147"/>
      <c r="CBN146" s="147"/>
      <c r="CBO146" s="147"/>
      <c r="CBP146" s="147"/>
      <c r="CBQ146" s="147"/>
      <c r="CBR146" s="147"/>
      <c r="CBS146" s="147"/>
      <c r="CBT146" s="147"/>
      <c r="CBU146" s="147"/>
      <c r="CBV146" s="147"/>
      <c r="CBW146" s="147"/>
      <c r="CBX146" s="147"/>
      <c r="CBY146" s="147"/>
      <c r="CBZ146" s="147"/>
      <c r="CCA146" s="147"/>
      <c r="CCB146" s="147"/>
      <c r="CCC146" s="147"/>
      <c r="CCD146" s="147"/>
      <c r="CCE146" s="147"/>
      <c r="CCF146" s="147"/>
      <c r="CCG146" s="147"/>
      <c r="CCH146" s="147"/>
      <c r="CCI146" s="147"/>
      <c r="CCJ146" s="147"/>
      <c r="CCK146" s="147"/>
      <c r="CCL146" s="147"/>
      <c r="CCM146" s="147"/>
      <c r="CCN146" s="147"/>
      <c r="CCO146" s="147"/>
      <c r="CCP146" s="147"/>
      <c r="CCQ146" s="147"/>
      <c r="CCR146" s="147"/>
      <c r="CCS146" s="147"/>
      <c r="CCT146" s="147"/>
      <c r="CCU146" s="147"/>
      <c r="CCV146" s="147"/>
      <c r="CCW146" s="147"/>
      <c r="CCX146" s="147"/>
      <c r="CCY146" s="147"/>
      <c r="CCZ146" s="147"/>
      <c r="CDA146" s="147"/>
      <c r="CDB146" s="147"/>
      <c r="CDC146" s="147"/>
      <c r="CDD146" s="147"/>
      <c r="CDE146" s="147"/>
      <c r="CDF146" s="147"/>
      <c r="CDG146" s="147"/>
      <c r="CDH146" s="147"/>
      <c r="CDI146" s="147"/>
      <c r="CDJ146" s="147"/>
      <c r="CDK146" s="147"/>
      <c r="CDL146" s="147"/>
      <c r="CDM146" s="147"/>
      <c r="CDN146" s="147"/>
      <c r="CDO146" s="147"/>
      <c r="CDP146" s="147"/>
      <c r="CDQ146" s="147"/>
      <c r="CDR146" s="147"/>
      <c r="CDS146" s="147"/>
      <c r="CDT146" s="147"/>
      <c r="CDU146" s="147"/>
      <c r="CDV146" s="147"/>
      <c r="CDW146" s="147"/>
      <c r="CDX146" s="147"/>
      <c r="CDY146" s="147"/>
      <c r="CDZ146" s="147"/>
      <c r="CEA146" s="147"/>
      <c r="CEB146" s="147"/>
      <c r="CEC146" s="147"/>
      <c r="CED146" s="147"/>
      <c r="CEE146" s="147"/>
      <c r="CEF146" s="147"/>
      <c r="CEG146" s="147"/>
      <c r="CEH146" s="147"/>
      <c r="CEI146" s="147"/>
      <c r="CEJ146" s="147"/>
      <c r="CEK146" s="147"/>
      <c r="CEL146" s="147"/>
      <c r="CEM146" s="147"/>
      <c r="CEN146" s="147"/>
      <c r="CEO146" s="147"/>
      <c r="CEP146" s="147"/>
      <c r="CEQ146" s="147"/>
      <c r="CER146" s="147"/>
      <c r="CES146" s="147"/>
      <c r="CET146" s="147"/>
      <c r="CEU146" s="147"/>
      <c r="CEV146" s="147"/>
      <c r="CEW146" s="147"/>
      <c r="CEX146" s="147"/>
      <c r="CEY146" s="147"/>
      <c r="CEZ146" s="147"/>
      <c r="CFA146" s="147"/>
      <c r="CFB146" s="147"/>
      <c r="CFC146" s="147"/>
      <c r="CFD146" s="147"/>
      <c r="CFE146" s="147"/>
      <c r="CFF146" s="147"/>
      <c r="CFG146" s="147"/>
      <c r="CFH146" s="147"/>
      <c r="CFI146" s="147"/>
      <c r="CFJ146" s="147"/>
      <c r="CFK146" s="147"/>
      <c r="CFL146" s="147"/>
      <c r="CFM146" s="147"/>
      <c r="CFN146" s="147"/>
      <c r="CFO146" s="147"/>
      <c r="CFP146" s="147"/>
      <c r="CFQ146" s="147"/>
      <c r="CFR146" s="147"/>
      <c r="CFS146" s="147"/>
      <c r="CFT146" s="147"/>
      <c r="CFU146" s="147"/>
      <c r="CFV146" s="147"/>
      <c r="CFW146" s="147"/>
      <c r="CFX146" s="147"/>
      <c r="CFY146" s="147"/>
      <c r="CFZ146" s="147"/>
      <c r="CGA146" s="147"/>
      <c r="CGB146" s="147"/>
      <c r="CGC146" s="147"/>
      <c r="CGD146" s="147"/>
      <c r="CGE146" s="147"/>
      <c r="CGF146" s="147"/>
      <c r="CGG146" s="147"/>
      <c r="CGH146" s="147"/>
      <c r="CGI146" s="147"/>
      <c r="CGJ146" s="147"/>
      <c r="CGK146" s="147"/>
      <c r="CGL146" s="147"/>
      <c r="CGM146" s="147"/>
      <c r="CGN146" s="147"/>
      <c r="CGO146" s="147"/>
      <c r="CGP146" s="147"/>
      <c r="CGQ146" s="147"/>
      <c r="CGR146" s="147"/>
      <c r="CGS146" s="147"/>
      <c r="CGT146" s="147"/>
      <c r="CGU146" s="147"/>
      <c r="CGV146" s="147"/>
      <c r="CGW146" s="147"/>
      <c r="CGX146" s="147"/>
      <c r="CGY146" s="147"/>
      <c r="CGZ146" s="147"/>
      <c r="CHA146" s="147"/>
      <c r="CHB146" s="147"/>
      <c r="CHC146" s="147"/>
      <c r="CHD146" s="147"/>
      <c r="CHE146" s="147"/>
      <c r="CHF146" s="147"/>
      <c r="CHG146" s="147"/>
      <c r="CHH146" s="147"/>
      <c r="CHI146" s="147"/>
      <c r="CHJ146" s="147"/>
      <c r="CHK146" s="147"/>
      <c r="CHL146" s="147"/>
      <c r="CHM146" s="147"/>
      <c r="CHN146" s="147"/>
      <c r="CHO146" s="147"/>
      <c r="CHP146" s="147"/>
      <c r="CHQ146" s="147"/>
      <c r="CHR146" s="147"/>
      <c r="CHS146" s="147"/>
      <c r="CHT146" s="147"/>
      <c r="CHU146" s="147"/>
      <c r="CHV146" s="147"/>
      <c r="CHW146" s="147"/>
      <c r="CHX146" s="147"/>
      <c r="CHY146" s="147"/>
      <c r="CHZ146" s="147"/>
      <c r="CIA146" s="147"/>
      <c r="CIB146" s="147"/>
      <c r="CIC146" s="147"/>
      <c r="CID146" s="147"/>
      <c r="CIE146" s="147"/>
      <c r="CIF146" s="147"/>
      <c r="CIG146" s="147"/>
      <c r="CIH146" s="147"/>
      <c r="CII146" s="147"/>
      <c r="CIJ146" s="147"/>
      <c r="CIK146" s="147"/>
      <c r="CIL146" s="147"/>
      <c r="CIM146" s="147"/>
      <c r="CIN146" s="147"/>
      <c r="CIO146" s="147"/>
      <c r="CIP146" s="147"/>
      <c r="CIQ146" s="147"/>
      <c r="CIR146" s="147"/>
      <c r="CIS146" s="147"/>
      <c r="CIT146" s="147"/>
      <c r="CIU146" s="147"/>
      <c r="CIV146" s="147"/>
      <c r="CIW146" s="147"/>
      <c r="CIX146" s="147"/>
      <c r="CIY146" s="147"/>
      <c r="CIZ146" s="147"/>
      <c r="CJA146" s="147"/>
      <c r="CJB146" s="147"/>
      <c r="CJC146" s="147"/>
      <c r="CJD146" s="147"/>
      <c r="CJE146" s="147"/>
      <c r="CJF146" s="147"/>
      <c r="CJG146" s="147"/>
      <c r="CJH146" s="147"/>
      <c r="CJI146" s="147"/>
      <c r="CJJ146" s="147"/>
      <c r="CJK146" s="147"/>
      <c r="CJL146" s="147"/>
      <c r="CJM146" s="147"/>
      <c r="CJN146" s="147"/>
      <c r="CJO146" s="147"/>
      <c r="CJP146" s="147"/>
      <c r="CJQ146" s="147"/>
      <c r="CJR146" s="147"/>
      <c r="CJS146" s="147"/>
      <c r="CJT146" s="147"/>
      <c r="CJU146" s="147"/>
      <c r="CJV146" s="147"/>
      <c r="CJW146" s="147"/>
      <c r="CJX146" s="147"/>
      <c r="CJY146" s="147"/>
      <c r="CJZ146" s="147"/>
      <c r="CKA146" s="147"/>
      <c r="CKB146" s="147"/>
      <c r="CKC146" s="147"/>
      <c r="CKD146" s="147"/>
      <c r="CKE146" s="147"/>
      <c r="CKF146" s="147"/>
      <c r="CKG146" s="147"/>
      <c r="CKH146" s="147"/>
      <c r="CKI146" s="147"/>
      <c r="CKJ146" s="147"/>
      <c r="CKK146" s="147"/>
      <c r="CKL146" s="147"/>
      <c r="CKM146" s="147"/>
      <c r="CKN146" s="147"/>
      <c r="CKO146" s="147"/>
      <c r="CKP146" s="147"/>
      <c r="CKQ146" s="147"/>
      <c r="CKR146" s="147"/>
      <c r="CKS146" s="147"/>
      <c r="CKT146" s="147"/>
      <c r="CKU146" s="147"/>
      <c r="CKV146" s="147"/>
      <c r="CKW146" s="147"/>
      <c r="CKX146" s="147"/>
      <c r="CKY146" s="147"/>
      <c r="CKZ146" s="147"/>
      <c r="CLA146" s="147"/>
      <c r="CLB146" s="147"/>
      <c r="CLC146" s="147"/>
      <c r="CLD146" s="147"/>
      <c r="CLE146" s="147"/>
      <c r="CLF146" s="147"/>
      <c r="CLG146" s="147"/>
      <c r="CLH146" s="147"/>
      <c r="CLI146" s="147"/>
      <c r="CLJ146" s="147"/>
      <c r="CLK146" s="147"/>
      <c r="CLL146" s="147"/>
      <c r="CLM146" s="147"/>
      <c r="CLN146" s="147"/>
      <c r="CLO146" s="147"/>
      <c r="CLP146" s="147"/>
      <c r="CLQ146" s="147"/>
      <c r="CLR146" s="147"/>
      <c r="CLS146" s="147"/>
      <c r="CLT146" s="147"/>
      <c r="CLU146" s="147"/>
      <c r="CLV146" s="147"/>
      <c r="CLW146" s="147"/>
      <c r="CLX146" s="147"/>
      <c r="CLY146" s="147"/>
      <c r="CLZ146" s="147"/>
      <c r="CMA146" s="147"/>
      <c r="CMB146" s="147"/>
      <c r="CMC146" s="147"/>
      <c r="CMD146" s="147"/>
      <c r="CME146" s="147"/>
      <c r="CMF146" s="147"/>
      <c r="CMG146" s="147"/>
      <c r="CMH146" s="147"/>
      <c r="CMI146" s="147"/>
      <c r="CMJ146" s="147"/>
      <c r="CMK146" s="147"/>
      <c r="CML146" s="147"/>
      <c r="CMM146" s="147"/>
      <c r="CMN146" s="147"/>
      <c r="CMO146" s="147"/>
      <c r="CMP146" s="147"/>
      <c r="CMQ146" s="147"/>
      <c r="CMR146" s="147"/>
      <c r="CMS146" s="147"/>
      <c r="CMT146" s="147"/>
      <c r="CMU146" s="147"/>
      <c r="CMV146" s="147"/>
      <c r="CMW146" s="147"/>
      <c r="CMX146" s="147"/>
      <c r="CMY146" s="147"/>
      <c r="CMZ146" s="147"/>
      <c r="CNA146" s="147"/>
      <c r="CNB146" s="147"/>
      <c r="CNC146" s="147"/>
      <c r="CND146" s="147"/>
      <c r="CNE146" s="147"/>
      <c r="CNF146" s="147"/>
      <c r="CNG146" s="147"/>
      <c r="CNH146" s="147"/>
      <c r="CNI146" s="147"/>
      <c r="CNJ146" s="147"/>
      <c r="CNK146" s="147"/>
      <c r="CNL146" s="147"/>
      <c r="CNM146" s="147"/>
      <c r="CNN146" s="147"/>
      <c r="CNO146" s="147"/>
      <c r="CNP146" s="147"/>
      <c r="CNQ146" s="147"/>
      <c r="CNR146" s="147"/>
      <c r="CNS146" s="147"/>
      <c r="CNT146" s="147"/>
      <c r="CNU146" s="147"/>
      <c r="CNV146" s="147"/>
      <c r="CNW146" s="147"/>
      <c r="CNX146" s="147"/>
      <c r="CNY146" s="147"/>
      <c r="CNZ146" s="147"/>
      <c r="COA146" s="147"/>
      <c r="COB146" s="147"/>
      <c r="COC146" s="147"/>
      <c r="COD146" s="147"/>
      <c r="COE146" s="147"/>
      <c r="COF146" s="147"/>
      <c r="COG146" s="147"/>
      <c r="COH146" s="147"/>
      <c r="COI146" s="147"/>
      <c r="COJ146" s="147"/>
      <c r="COK146" s="147"/>
      <c r="COL146" s="147"/>
      <c r="COM146" s="147"/>
      <c r="CON146" s="147"/>
      <c r="COO146" s="147"/>
      <c r="COP146" s="147"/>
      <c r="COQ146" s="147"/>
      <c r="COR146" s="147"/>
      <c r="COS146" s="147"/>
      <c r="COT146" s="147"/>
      <c r="COU146" s="147"/>
      <c r="COV146" s="147"/>
      <c r="COW146" s="147"/>
      <c r="COX146" s="147"/>
      <c r="COY146" s="147"/>
      <c r="COZ146" s="147"/>
      <c r="CPA146" s="147"/>
      <c r="CPB146" s="147"/>
      <c r="CPC146" s="147"/>
      <c r="CPD146" s="147"/>
      <c r="CPE146" s="147"/>
      <c r="CPF146" s="147"/>
      <c r="CPG146" s="147"/>
      <c r="CPH146" s="147"/>
      <c r="CPI146" s="147"/>
      <c r="CPJ146" s="147"/>
      <c r="CPK146" s="147"/>
      <c r="CPL146" s="147"/>
      <c r="CPM146" s="147"/>
      <c r="CPN146" s="147"/>
      <c r="CPO146" s="147"/>
      <c r="CPP146" s="147"/>
      <c r="CPQ146" s="147"/>
      <c r="CPR146" s="147"/>
      <c r="CPS146" s="147"/>
      <c r="CPT146" s="147"/>
      <c r="CPU146" s="147"/>
      <c r="CPV146" s="147"/>
      <c r="CPW146" s="147"/>
      <c r="CPX146" s="147"/>
      <c r="CPY146" s="147"/>
      <c r="CPZ146" s="147"/>
      <c r="CQA146" s="147"/>
      <c r="CQB146" s="147"/>
      <c r="CQC146" s="147"/>
      <c r="CQD146" s="147"/>
      <c r="CQE146" s="147"/>
      <c r="CQF146" s="147"/>
      <c r="CQG146" s="147"/>
      <c r="CQH146" s="147"/>
      <c r="CQI146" s="147"/>
      <c r="CQJ146" s="147"/>
      <c r="CQK146" s="147"/>
      <c r="CQL146" s="147"/>
      <c r="CQM146" s="147"/>
      <c r="CQN146" s="147"/>
      <c r="CQO146" s="147"/>
      <c r="CQP146" s="147"/>
      <c r="CQQ146" s="147"/>
      <c r="CQR146" s="147"/>
      <c r="CQS146" s="147"/>
      <c r="CQT146" s="147"/>
      <c r="CQU146" s="147"/>
      <c r="CQV146" s="147"/>
      <c r="CQW146" s="147"/>
      <c r="CQX146" s="147"/>
      <c r="CQY146" s="147"/>
      <c r="CQZ146" s="147"/>
      <c r="CRA146" s="147"/>
      <c r="CRB146" s="147"/>
      <c r="CRC146" s="147"/>
      <c r="CRD146" s="147"/>
      <c r="CRE146" s="147"/>
      <c r="CRF146" s="147"/>
      <c r="CRG146" s="147"/>
      <c r="CRH146" s="147"/>
      <c r="CRI146" s="147"/>
      <c r="CRJ146" s="147"/>
      <c r="CRK146" s="147"/>
      <c r="CRL146" s="147"/>
      <c r="CRM146" s="147"/>
      <c r="CRN146" s="147"/>
      <c r="CRO146" s="147"/>
      <c r="CRP146" s="147"/>
      <c r="CRQ146" s="147"/>
      <c r="CRR146" s="147"/>
      <c r="CRS146" s="147"/>
      <c r="CRT146" s="147"/>
      <c r="CRU146" s="147"/>
      <c r="CRV146" s="147"/>
      <c r="CRW146" s="147"/>
      <c r="CRX146" s="147"/>
      <c r="CRY146" s="147"/>
      <c r="CRZ146" s="147"/>
      <c r="CSA146" s="147"/>
      <c r="CSB146" s="147"/>
      <c r="CSC146" s="147"/>
      <c r="CSD146" s="147"/>
      <c r="CSE146" s="147"/>
      <c r="CSF146" s="147"/>
      <c r="CSG146" s="147"/>
      <c r="CSH146" s="147"/>
      <c r="CSI146" s="147"/>
      <c r="CSJ146" s="147"/>
      <c r="CSK146" s="147"/>
      <c r="CSL146" s="147"/>
      <c r="CSM146" s="147"/>
      <c r="CSN146" s="147"/>
      <c r="CSO146" s="147"/>
      <c r="CSP146" s="147"/>
      <c r="CSQ146" s="147"/>
      <c r="CSR146" s="147"/>
      <c r="CSS146" s="147"/>
      <c r="CST146" s="147"/>
      <c r="CSU146" s="147"/>
      <c r="CSV146" s="147"/>
      <c r="CSW146" s="147"/>
      <c r="CSX146" s="147"/>
      <c r="CSY146" s="147"/>
      <c r="CSZ146" s="147"/>
      <c r="CTA146" s="147"/>
      <c r="CTB146" s="147"/>
      <c r="CTC146" s="147"/>
      <c r="CTD146" s="147"/>
      <c r="CTE146" s="147"/>
      <c r="CTF146" s="147"/>
      <c r="CTG146" s="147"/>
      <c r="CTH146" s="147"/>
      <c r="CTI146" s="147"/>
      <c r="CTJ146" s="147"/>
      <c r="CTK146" s="147"/>
      <c r="CTL146" s="147"/>
      <c r="CTM146" s="147"/>
      <c r="CTN146" s="147"/>
      <c r="CTO146" s="147"/>
      <c r="CTP146" s="147"/>
      <c r="CTQ146" s="147"/>
      <c r="CTR146" s="147"/>
      <c r="CTS146" s="147"/>
      <c r="CTT146" s="147"/>
      <c r="CTU146" s="147"/>
      <c r="CTV146" s="147"/>
      <c r="CTW146" s="147"/>
      <c r="CTX146" s="147"/>
      <c r="CTY146" s="147"/>
      <c r="CTZ146" s="147"/>
      <c r="CUA146" s="147"/>
      <c r="CUB146" s="147"/>
      <c r="CUC146" s="147"/>
      <c r="CUD146" s="147"/>
      <c r="CUE146" s="147"/>
      <c r="CUF146" s="147"/>
      <c r="CUG146" s="147"/>
      <c r="CUH146" s="147"/>
      <c r="CUI146" s="147"/>
      <c r="CUJ146" s="147"/>
      <c r="CUK146" s="147"/>
      <c r="CUL146" s="147"/>
      <c r="CUM146" s="147"/>
      <c r="CUN146" s="147"/>
      <c r="CUO146" s="147"/>
      <c r="CUP146" s="147"/>
      <c r="CUQ146" s="147"/>
      <c r="CUR146" s="147"/>
      <c r="CUS146" s="147"/>
      <c r="CUT146" s="147"/>
      <c r="CUU146" s="147"/>
      <c r="CUV146" s="147"/>
      <c r="CUW146" s="147"/>
      <c r="CUX146" s="147"/>
      <c r="CUY146" s="147"/>
      <c r="CUZ146" s="147"/>
      <c r="CVA146" s="147"/>
      <c r="CVB146" s="147"/>
      <c r="CVC146" s="147"/>
      <c r="CVD146" s="147"/>
      <c r="CVE146" s="147"/>
      <c r="CVF146" s="147"/>
      <c r="CVG146" s="147"/>
      <c r="CVH146" s="147"/>
      <c r="CVI146" s="147"/>
      <c r="CVJ146" s="147"/>
      <c r="CVK146" s="147"/>
      <c r="CVL146" s="147"/>
      <c r="CVM146" s="147"/>
      <c r="CVN146" s="147"/>
      <c r="CVO146" s="147"/>
      <c r="CVP146" s="147"/>
      <c r="CVQ146" s="147"/>
      <c r="CVR146" s="147"/>
      <c r="CVS146" s="147"/>
      <c r="CVT146" s="147"/>
      <c r="CVU146" s="147"/>
      <c r="CVV146" s="147"/>
      <c r="CVW146" s="147"/>
      <c r="CVX146" s="147"/>
      <c r="CVY146" s="147"/>
      <c r="CVZ146" s="147"/>
      <c r="CWA146" s="147"/>
      <c r="CWB146" s="147"/>
      <c r="CWC146" s="147"/>
      <c r="CWD146" s="147"/>
      <c r="CWE146" s="147"/>
      <c r="CWF146" s="147"/>
      <c r="CWG146" s="147"/>
      <c r="CWH146" s="147"/>
      <c r="CWI146" s="147"/>
      <c r="CWJ146" s="147"/>
      <c r="CWK146" s="147"/>
      <c r="CWL146" s="147"/>
      <c r="CWM146" s="147"/>
      <c r="CWN146" s="147"/>
      <c r="CWO146" s="147"/>
      <c r="CWP146" s="147"/>
      <c r="CWQ146" s="147"/>
      <c r="CWR146" s="147"/>
      <c r="CWS146" s="147"/>
      <c r="CWT146" s="147"/>
      <c r="CWU146" s="147"/>
      <c r="CWV146" s="147"/>
      <c r="CWW146" s="147"/>
      <c r="CWX146" s="147"/>
      <c r="CWY146" s="147"/>
      <c r="CWZ146" s="147"/>
      <c r="CXA146" s="147"/>
      <c r="CXB146" s="147"/>
      <c r="CXC146" s="147"/>
      <c r="CXD146" s="147"/>
      <c r="CXE146" s="147"/>
      <c r="CXF146" s="147"/>
      <c r="CXG146" s="147"/>
      <c r="CXH146" s="147"/>
      <c r="CXI146" s="147"/>
      <c r="CXJ146" s="147"/>
      <c r="CXK146" s="147"/>
      <c r="CXL146" s="147"/>
      <c r="CXM146" s="147"/>
      <c r="CXN146" s="147"/>
      <c r="CXO146" s="147"/>
      <c r="CXP146" s="147"/>
      <c r="CXQ146" s="147"/>
      <c r="CXR146" s="147"/>
      <c r="CXS146" s="147"/>
      <c r="CXT146" s="147"/>
      <c r="CXU146" s="147"/>
      <c r="CXV146" s="147"/>
      <c r="CXW146" s="147"/>
      <c r="CXX146" s="147"/>
      <c r="CXY146" s="147"/>
      <c r="CXZ146" s="147"/>
      <c r="CYA146" s="147"/>
      <c r="CYB146" s="147"/>
      <c r="CYC146" s="147"/>
      <c r="CYD146" s="147"/>
      <c r="CYE146" s="147"/>
      <c r="CYF146" s="147"/>
      <c r="CYG146" s="147"/>
      <c r="CYH146" s="147"/>
      <c r="CYI146" s="147"/>
      <c r="CYJ146" s="147"/>
      <c r="CYK146" s="147"/>
      <c r="CYL146" s="147"/>
      <c r="CYM146" s="147"/>
      <c r="CYN146" s="147"/>
      <c r="CYO146" s="147"/>
      <c r="CYP146" s="147"/>
      <c r="CYQ146" s="147"/>
      <c r="CYR146" s="147"/>
      <c r="CYS146" s="147"/>
      <c r="CYT146" s="147"/>
      <c r="CYU146" s="147"/>
      <c r="CYV146" s="147"/>
      <c r="CYW146" s="147"/>
      <c r="CYX146" s="147"/>
      <c r="CYY146" s="147"/>
      <c r="CYZ146" s="147"/>
      <c r="CZA146" s="147"/>
      <c r="CZB146" s="147"/>
      <c r="CZC146" s="147"/>
      <c r="CZD146" s="147"/>
      <c r="CZE146" s="147"/>
      <c r="CZF146" s="147"/>
      <c r="CZG146" s="147"/>
      <c r="CZH146" s="147"/>
      <c r="CZI146" s="147"/>
      <c r="CZJ146" s="147"/>
      <c r="CZK146" s="147"/>
      <c r="CZL146" s="147"/>
      <c r="CZM146" s="147"/>
      <c r="CZN146" s="147"/>
      <c r="CZO146" s="147"/>
      <c r="CZP146" s="147"/>
      <c r="CZQ146" s="147"/>
      <c r="CZR146" s="147"/>
      <c r="CZS146" s="147"/>
      <c r="CZT146" s="147"/>
      <c r="CZU146" s="147"/>
      <c r="CZV146" s="147"/>
      <c r="CZW146" s="147"/>
      <c r="CZX146" s="147"/>
      <c r="CZY146" s="147"/>
      <c r="CZZ146" s="147"/>
      <c r="DAA146" s="147"/>
      <c r="DAB146" s="147"/>
      <c r="DAC146" s="147"/>
      <c r="DAD146" s="147"/>
      <c r="DAE146" s="147"/>
      <c r="DAF146" s="147"/>
      <c r="DAG146" s="147"/>
      <c r="DAH146" s="147"/>
      <c r="DAI146" s="147"/>
      <c r="DAJ146" s="147"/>
      <c r="DAK146" s="147"/>
      <c r="DAL146" s="147"/>
      <c r="DAM146" s="147"/>
      <c r="DAN146" s="147"/>
      <c r="DAO146" s="147"/>
      <c r="DAP146" s="147"/>
      <c r="DAQ146" s="147"/>
      <c r="DAR146" s="147"/>
      <c r="DAS146" s="147"/>
      <c r="DAT146" s="147"/>
      <c r="DAU146" s="147"/>
      <c r="DAV146" s="147"/>
      <c r="DAW146" s="147"/>
      <c r="DAX146" s="147"/>
      <c r="DAY146" s="147"/>
      <c r="DAZ146" s="147"/>
      <c r="DBA146" s="147"/>
      <c r="DBB146" s="147"/>
      <c r="DBC146" s="147"/>
      <c r="DBD146" s="147"/>
      <c r="DBE146" s="147"/>
      <c r="DBF146" s="147"/>
      <c r="DBG146" s="147"/>
      <c r="DBH146" s="147"/>
      <c r="DBI146" s="147"/>
      <c r="DBJ146" s="147"/>
      <c r="DBK146" s="147"/>
      <c r="DBL146" s="147"/>
      <c r="DBM146" s="147"/>
      <c r="DBN146" s="147"/>
      <c r="DBO146" s="147"/>
      <c r="DBP146" s="147"/>
      <c r="DBQ146" s="147"/>
      <c r="DBR146" s="147"/>
      <c r="DBS146" s="147"/>
      <c r="DBT146" s="147"/>
      <c r="DBU146" s="147"/>
      <c r="DBV146" s="147"/>
      <c r="DBW146" s="147"/>
      <c r="DBX146" s="147"/>
      <c r="DBY146" s="147"/>
      <c r="DBZ146" s="147"/>
      <c r="DCA146" s="147"/>
      <c r="DCB146" s="147"/>
      <c r="DCC146" s="147"/>
      <c r="DCD146" s="147"/>
      <c r="DCE146" s="147"/>
      <c r="DCF146" s="147"/>
      <c r="DCG146" s="147"/>
      <c r="DCH146" s="147"/>
      <c r="DCI146" s="147"/>
      <c r="DCJ146" s="147"/>
      <c r="DCK146" s="147"/>
      <c r="DCL146" s="147"/>
      <c r="DCM146" s="147"/>
      <c r="DCN146" s="147"/>
      <c r="DCO146" s="147"/>
      <c r="DCP146" s="147"/>
      <c r="DCQ146" s="147"/>
      <c r="DCR146" s="147"/>
      <c r="DCS146" s="147"/>
      <c r="DCT146" s="147"/>
      <c r="DCU146" s="147"/>
      <c r="DCV146" s="147"/>
      <c r="DCW146" s="147"/>
      <c r="DCX146" s="147"/>
      <c r="DCY146" s="147"/>
      <c r="DCZ146" s="147"/>
      <c r="DDA146" s="147"/>
      <c r="DDB146" s="147"/>
      <c r="DDC146" s="147"/>
      <c r="DDD146" s="147"/>
      <c r="DDE146" s="147"/>
      <c r="DDF146" s="147"/>
      <c r="DDG146" s="147"/>
      <c r="DDH146" s="147"/>
      <c r="DDI146" s="147"/>
      <c r="DDJ146" s="147"/>
      <c r="DDK146" s="147"/>
      <c r="DDL146" s="147"/>
      <c r="DDM146" s="147"/>
      <c r="DDN146" s="147"/>
      <c r="DDO146" s="147"/>
      <c r="DDP146" s="147"/>
      <c r="DDQ146" s="147"/>
      <c r="DDR146" s="147"/>
      <c r="DDS146" s="147"/>
      <c r="DDT146" s="147"/>
      <c r="DDU146" s="147"/>
      <c r="DDV146" s="147"/>
      <c r="DDW146" s="147"/>
      <c r="DDX146" s="147"/>
      <c r="DDY146" s="147"/>
      <c r="DDZ146" s="147"/>
      <c r="DEA146" s="147"/>
      <c r="DEB146" s="147"/>
      <c r="DEC146" s="147"/>
      <c r="DED146" s="147"/>
      <c r="DEE146" s="147"/>
      <c r="DEF146" s="147"/>
      <c r="DEG146" s="147"/>
      <c r="DEH146" s="147"/>
      <c r="DEI146" s="147"/>
      <c r="DEJ146" s="147"/>
      <c r="DEK146" s="147"/>
      <c r="DEL146" s="147"/>
      <c r="DEM146" s="147"/>
      <c r="DEN146" s="147"/>
      <c r="DEO146" s="147"/>
      <c r="DEP146" s="147"/>
      <c r="DEQ146" s="147"/>
      <c r="DER146" s="147"/>
      <c r="DES146" s="147"/>
      <c r="DET146" s="147"/>
      <c r="DEU146" s="147"/>
      <c r="DEV146" s="147"/>
      <c r="DEW146" s="147"/>
      <c r="DEX146" s="147"/>
      <c r="DEY146" s="147"/>
      <c r="DEZ146" s="147"/>
      <c r="DFA146" s="147"/>
      <c r="DFB146" s="147"/>
      <c r="DFC146" s="147"/>
      <c r="DFD146" s="147"/>
      <c r="DFE146" s="147"/>
      <c r="DFF146" s="147"/>
      <c r="DFG146" s="147"/>
      <c r="DFH146" s="147"/>
      <c r="DFI146" s="147"/>
      <c r="DFJ146" s="147"/>
      <c r="DFK146" s="147"/>
      <c r="DFL146" s="147"/>
      <c r="DFM146" s="147"/>
      <c r="DFN146" s="147"/>
      <c r="DFO146" s="147"/>
      <c r="DFP146" s="147"/>
      <c r="DFQ146" s="147"/>
      <c r="DFR146" s="147"/>
      <c r="DFS146" s="147"/>
      <c r="DFT146" s="147"/>
      <c r="DFU146" s="147"/>
      <c r="DFV146" s="147"/>
      <c r="DFW146" s="147"/>
      <c r="DFX146" s="147"/>
      <c r="DFY146" s="147"/>
      <c r="DFZ146" s="147"/>
      <c r="DGA146" s="147"/>
      <c r="DGB146" s="147"/>
      <c r="DGC146" s="147"/>
      <c r="DGD146" s="147"/>
      <c r="DGE146" s="147"/>
      <c r="DGF146" s="147"/>
      <c r="DGG146" s="147"/>
      <c r="DGH146" s="147"/>
      <c r="DGI146" s="147"/>
      <c r="DGJ146" s="147"/>
      <c r="DGK146" s="147"/>
      <c r="DGL146" s="147"/>
      <c r="DGM146" s="147"/>
      <c r="DGN146" s="147"/>
      <c r="DGO146" s="147"/>
      <c r="DGP146" s="147"/>
      <c r="DGQ146" s="147"/>
      <c r="DGR146" s="147"/>
      <c r="DGS146" s="147"/>
      <c r="DGT146" s="147"/>
      <c r="DGU146" s="147"/>
      <c r="DGV146" s="147"/>
      <c r="DGW146" s="147"/>
      <c r="DGX146" s="147"/>
      <c r="DGY146" s="147"/>
      <c r="DGZ146" s="147"/>
      <c r="DHA146" s="147"/>
      <c r="DHB146" s="147"/>
      <c r="DHC146" s="147"/>
      <c r="DHD146" s="147"/>
      <c r="DHE146" s="147"/>
      <c r="DHF146" s="147"/>
      <c r="DHG146" s="147"/>
      <c r="DHH146" s="147"/>
      <c r="DHI146" s="147"/>
      <c r="DHJ146" s="147"/>
      <c r="DHK146" s="147"/>
      <c r="DHL146" s="147"/>
      <c r="DHM146" s="147"/>
      <c r="DHN146" s="147"/>
      <c r="DHO146" s="147"/>
      <c r="DHP146" s="147"/>
      <c r="DHQ146" s="147"/>
      <c r="DHR146" s="147"/>
      <c r="DHS146" s="147"/>
      <c r="DHT146" s="147"/>
      <c r="DHU146" s="147"/>
      <c r="DHV146" s="147"/>
      <c r="DHW146" s="147"/>
      <c r="DHX146" s="147"/>
      <c r="DHY146" s="147"/>
      <c r="DHZ146" s="147"/>
      <c r="DIA146" s="147"/>
      <c r="DIB146" s="147"/>
      <c r="DIC146" s="147"/>
      <c r="DID146" s="147"/>
      <c r="DIE146" s="147"/>
      <c r="DIF146" s="147"/>
      <c r="DIG146" s="147"/>
      <c r="DIH146" s="147"/>
      <c r="DII146" s="147"/>
      <c r="DIJ146" s="147"/>
      <c r="DIK146" s="147"/>
      <c r="DIL146" s="147"/>
      <c r="DIM146" s="147"/>
      <c r="DIN146" s="147"/>
      <c r="DIO146" s="147"/>
      <c r="DIP146" s="147"/>
      <c r="DIQ146" s="147"/>
      <c r="DIR146" s="147"/>
      <c r="DIS146" s="147"/>
      <c r="DIT146" s="147"/>
      <c r="DIU146" s="147"/>
      <c r="DIV146" s="147"/>
      <c r="DIW146" s="147"/>
      <c r="DIX146" s="147"/>
      <c r="DIY146" s="147"/>
      <c r="DIZ146" s="147"/>
      <c r="DJA146" s="147"/>
      <c r="DJB146" s="147"/>
      <c r="DJC146" s="147"/>
      <c r="DJD146" s="147"/>
      <c r="DJE146" s="147"/>
      <c r="DJF146" s="147"/>
      <c r="DJG146" s="147"/>
      <c r="DJH146" s="147"/>
      <c r="DJI146" s="147"/>
      <c r="DJJ146" s="147"/>
      <c r="DJK146" s="147"/>
      <c r="DJL146" s="147"/>
      <c r="DJM146" s="147"/>
      <c r="DJN146" s="147"/>
      <c r="DJO146" s="147"/>
      <c r="DJP146" s="147"/>
      <c r="DJQ146" s="147"/>
      <c r="DJR146" s="147"/>
      <c r="DJS146" s="147"/>
      <c r="DJT146" s="147"/>
      <c r="DJU146" s="147"/>
      <c r="DJV146" s="147"/>
      <c r="DJW146" s="147"/>
      <c r="DJX146" s="147"/>
      <c r="DJY146" s="147"/>
      <c r="DJZ146" s="147"/>
      <c r="DKA146" s="147"/>
      <c r="DKB146" s="147"/>
      <c r="DKC146" s="147"/>
      <c r="DKD146" s="147"/>
      <c r="DKE146" s="147"/>
      <c r="DKF146" s="147"/>
      <c r="DKG146" s="147"/>
      <c r="DKH146" s="147"/>
      <c r="DKI146" s="147"/>
      <c r="DKJ146" s="147"/>
      <c r="DKK146" s="147"/>
      <c r="DKL146" s="147"/>
      <c r="DKM146" s="147"/>
      <c r="DKN146" s="147"/>
      <c r="DKO146" s="147"/>
      <c r="DKP146" s="147"/>
      <c r="DKQ146" s="147"/>
      <c r="DKR146" s="147"/>
      <c r="DKS146" s="147"/>
      <c r="DKT146" s="147"/>
      <c r="DKU146" s="147"/>
      <c r="DKV146" s="147"/>
      <c r="DKW146" s="147"/>
      <c r="DKX146" s="147"/>
      <c r="DKY146" s="147"/>
      <c r="DKZ146" s="147"/>
      <c r="DLA146" s="147"/>
      <c r="DLB146" s="147"/>
      <c r="DLC146" s="147"/>
      <c r="DLD146" s="147"/>
      <c r="DLE146" s="147"/>
      <c r="DLF146" s="147"/>
      <c r="DLG146" s="147"/>
      <c r="DLH146" s="147"/>
      <c r="DLI146" s="147"/>
      <c r="DLJ146" s="147"/>
      <c r="DLK146" s="147"/>
      <c r="DLL146" s="147"/>
      <c r="DLM146" s="147"/>
      <c r="DLN146" s="147"/>
      <c r="DLO146" s="147"/>
      <c r="DLP146" s="147"/>
      <c r="DLQ146" s="147"/>
      <c r="DLR146" s="147"/>
      <c r="DLS146" s="147"/>
      <c r="DLT146" s="147"/>
      <c r="DLU146" s="147"/>
      <c r="DLV146" s="147"/>
      <c r="DLW146" s="147"/>
      <c r="DLX146" s="147"/>
      <c r="DLY146" s="147"/>
      <c r="DLZ146" s="147"/>
      <c r="DMA146" s="147"/>
      <c r="DMB146" s="147"/>
      <c r="DMC146" s="147"/>
      <c r="DMD146" s="147"/>
      <c r="DME146" s="147"/>
      <c r="DMF146" s="147"/>
      <c r="DMG146" s="147"/>
      <c r="DMH146" s="147"/>
      <c r="DMI146" s="147"/>
      <c r="DMJ146" s="147"/>
      <c r="DMK146" s="147"/>
      <c r="DML146" s="147"/>
      <c r="DMM146" s="147"/>
      <c r="DMN146" s="147"/>
      <c r="DMO146" s="147"/>
      <c r="DMP146" s="147"/>
      <c r="DMQ146" s="147"/>
      <c r="DMR146" s="147"/>
      <c r="DMS146" s="147"/>
      <c r="DMT146" s="147"/>
      <c r="DMU146" s="147"/>
      <c r="DMV146" s="147"/>
      <c r="DMW146" s="147"/>
      <c r="DMX146" s="147"/>
      <c r="DMY146" s="147"/>
      <c r="DMZ146" s="147"/>
      <c r="DNA146" s="147"/>
      <c r="DNB146" s="147"/>
      <c r="DNC146" s="147"/>
      <c r="DND146" s="147"/>
      <c r="DNE146" s="147"/>
      <c r="DNF146" s="147"/>
      <c r="DNG146" s="147"/>
      <c r="DNH146" s="147"/>
      <c r="DNI146" s="147"/>
      <c r="DNJ146" s="147"/>
      <c r="DNK146" s="147"/>
      <c r="DNL146" s="147"/>
      <c r="DNM146" s="147"/>
      <c r="DNN146" s="147"/>
      <c r="DNO146" s="147"/>
      <c r="DNP146" s="147"/>
      <c r="DNQ146" s="147"/>
      <c r="DNR146" s="147"/>
      <c r="DNS146" s="147"/>
      <c r="DNT146" s="147"/>
      <c r="DNU146" s="147"/>
      <c r="DNV146" s="147"/>
      <c r="DNW146" s="147"/>
      <c r="DNX146" s="147"/>
      <c r="DNY146" s="147"/>
      <c r="DNZ146" s="147"/>
      <c r="DOA146" s="147"/>
      <c r="DOB146" s="147"/>
      <c r="DOC146" s="147"/>
      <c r="DOD146" s="147"/>
      <c r="DOE146" s="147"/>
      <c r="DOF146" s="147"/>
      <c r="DOG146" s="147"/>
      <c r="DOH146" s="147"/>
      <c r="DOI146" s="147"/>
      <c r="DOJ146" s="147"/>
      <c r="DOK146" s="147"/>
      <c r="DOL146" s="147"/>
      <c r="DOM146" s="147"/>
      <c r="DON146" s="147"/>
      <c r="DOO146" s="147"/>
      <c r="DOP146" s="147"/>
      <c r="DOQ146" s="147"/>
      <c r="DOR146" s="147"/>
      <c r="DOS146" s="147"/>
      <c r="DOT146" s="147"/>
      <c r="DOU146" s="147"/>
      <c r="DOV146" s="147"/>
      <c r="DOW146" s="147"/>
      <c r="DOX146" s="147"/>
      <c r="DOY146" s="147"/>
      <c r="DOZ146" s="147"/>
      <c r="DPA146" s="147"/>
      <c r="DPB146" s="147"/>
      <c r="DPC146" s="147"/>
      <c r="DPD146" s="147"/>
      <c r="DPE146" s="147"/>
      <c r="DPF146" s="147"/>
      <c r="DPG146" s="147"/>
      <c r="DPH146" s="147"/>
      <c r="DPI146" s="147"/>
      <c r="DPJ146" s="147"/>
      <c r="DPK146" s="147"/>
      <c r="DPL146" s="147"/>
      <c r="DPM146" s="147"/>
      <c r="DPN146" s="147"/>
      <c r="DPO146" s="147"/>
      <c r="DPP146" s="147"/>
      <c r="DPQ146" s="147"/>
      <c r="DPR146" s="147"/>
      <c r="DPS146" s="147"/>
      <c r="DPT146" s="147"/>
      <c r="DPU146" s="147"/>
      <c r="DPV146" s="147"/>
      <c r="DPW146" s="147"/>
      <c r="DPX146" s="147"/>
      <c r="DPY146" s="147"/>
      <c r="DPZ146" s="147"/>
      <c r="DQA146" s="147"/>
      <c r="DQB146" s="147"/>
      <c r="DQC146" s="147"/>
      <c r="DQD146" s="147"/>
      <c r="DQE146" s="147"/>
      <c r="DQF146" s="147"/>
      <c r="DQG146" s="147"/>
      <c r="DQH146" s="147"/>
      <c r="DQI146" s="147"/>
      <c r="DQJ146" s="147"/>
      <c r="DQK146" s="147"/>
      <c r="DQL146" s="147"/>
      <c r="DQM146" s="147"/>
      <c r="DQN146" s="147"/>
      <c r="DQO146" s="147"/>
      <c r="DQP146" s="147"/>
      <c r="DQQ146" s="147"/>
      <c r="DQR146" s="147"/>
      <c r="DQS146" s="147"/>
      <c r="DQT146" s="147"/>
      <c r="DQU146" s="147"/>
      <c r="DQV146" s="147"/>
      <c r="DQW146" s="147"/>
      <c r="DQX146" s="147"/>
      <c r="DQY146" s="147"/>
      <c r="DQZ146" s="147"/>
      <c r="DRA146" s="147"/>
      <c r="DRB146" s="147"/>
      <c r="DRC146" s="147"/>
      <c r="DRD146" s="147"/>
      <c r="DRE146" s="147"/>
      <c r="DRF146" s="147"/>
      <c r="DRG146" s="147"/>
      <c r="DRH146" s="147"/>
      <c r="DRI146" s="147"/>
      <c r="DRJ146" s="147"/>
      <c r="DRK146" s="147"/>
      <c r="DRL146" s="147"/>
      <c r="DRM146" s="147"/>
      <c r="DRN146" s="147"/>
      <c r="DRO146" s="147"/>
      <c r="DRP146" s="147"/>
      <c r="DRQ146" s="147"/>
      <c r="DRR146" s="147"/>
      <c r="DRS146" s="147"/>
      <c r="DRT146" s="147"/>
      <c r="DRU146" s="147"/>
      <c r="DRV146" s="147"/>
      <c r="DRW146" s="147"/>
      <c r="DRX146" s="147"/>
      <c r="DRY146" s="147"/>
      <c r="DRZ146" s="147"/>
      <c r="DSA146" s="147"/>
      <c r="DSB146" s="147"/>
      <c r="DSC146" s="147"/>
      <c r="DSD146" s="147"/>
      <c r="DSE146" s="147"/>
      <c r="DSF146" s="147"/>
      <c r="DSG146" s="147"/>
      <c r="DSH146" s="147"/>
      <c r="DSI146" s="147"/>
      <c r="DSJ146" s="147"/>
      <c r="DSK146" s="147"/>
      <c r="DSL146" s="147"/>
      <c r="DSM146" s="147"/>
      <c r="DSN146" s="147"/>
      <c r="DSO146" s="147"/>
      <c r="DSP146" s="147"/>
      <c r="DSQ146" s="147"/>
      <c r="DSR146" s="147"/>
      <c r="DSS146" s="147"/>
      <c r="DST146" s="147"/>
      <c r="DSU146" s="147"/>
      <c r="DSV146" s="147"/>
      <c r="DSW146" s="147"/>
      <c r="DSX146" s="147"/>
      <c r="DSY146" s="147"/>
      <c r="DSZ146" s="147"/>
      <c r="DTA146" s="147"/>
      <c r="DTB146" s="147"/>
      <c r="DTC146" s="147"/>
      <c r="DTD146" s="147"/>
      <c r="DTE146" s="147"/>
      <c r="DTF146" s="147"/>
      <c r="DTG146" s="147"/>
      <c r="DTH146" s="147"/>
      <c r="DTI146" s="147"/>
      <c r="DTJ146" s="147"/>
      <c r="DTK146" s="147"/>
      <c r="DTL146" s="147"/>
      <c r="DTM146" s="147"/>
      <c r="DTN146" s="147"/>
      <c r="DTO146" s="147"/>
      <c r="DTP146" s="147"/>
      <c r="DTQ146" s="147"/>
      <c r="DTR146" s="147"/>
      <c r="DTS146" s="147"/>
      <c r="DTT146" s="147"/>
      <c r="DTU146" s="147"/>
      <c r="DTV146" s="147"/>
      <c r="DTW146" s="147"/>
      <c r="DTX146" s="147"/>
      <c r="DTY146" s="147"/>
      <c r="DTZ146" s="147"/>
      <c r="DUA146" s="147"/>
      <c r="DUB146" s="147"/>
      <c r="DUC146" s="147"/>
      <c r="DUD146" s="147"/>
      <c r="DUE146" s="147"/>
      <c r="DUF146" s="147"/>
      <c r="DUG146" s="147"/>
      <c r="DUH146" s="147"/>
      <c r="DUI146" s="147"/>
      <c r="DUJ146" s="147"/>
      <c r="DUK146" s="147"/>
      <c r="DUL146" s="147"/>
      <c r="DUM146" s="147"/>
      <c r="DUN146" s="147"/>
      <c r="DUO146" s="147"/>
      <c r="DUP146" s="147"/>
      <c r="DUQ146" s="147"/>
      <c r="DUR146" s="147"/>
      <c r="DUS146" s="147"/>
      <c r="DUT146" s="147"/>
      <c r="DUU146" s="147"/>
      <c r="DUV146" s="147"/>
      <c r="DUW146" s="147"/>
      <c r="DUX146" s="147"/>
      <c r="DUY146" s="147"/>
      <c r="DUZ146" s="147"/>
      <c r="DVA146" s="147"/>
      <c r="DVB146" s="147"/>
      <c r="DVC146" s="147"/>
      <c r="DVD146" s="147"/>
      <c r="DVE146" s="147"/>
      <c r="DVF146" s="147"/>
      <c r="DVG146" s="147"/>
      <c r="DVH146" s="147"/>
      <c r="DVI146" s="147"/>
      <c r="DVJ146" s="147"/>
      <c r="DVK146" s="147"/>
      <c r="DVL146" s="147"/>
      <c r="DVM146" s="147"/>
      <c r="DVN146" s="147"/>
      <c r="DVO146" s="147"/>
      <c r="DVP146" s="147"/>
      <c r="DVQ146" s="147"/>
      <c r="DVR146" s="147"/>
      <c r="DVS146" s="147"/>
      <c r="DVT146" s="147"/>
      <c r="DVU146" s="147"/>
      <c r="DVV146" s="147"/>
      <c r="DVW146" s="147"/>
      <c r="DVX146" s="147"/>
      <c r="DVY146" s="147"/>
      <c r="DVZ146" s="147"/>
      <c r="DWA146" s="147"/>
      <c r="DWB146" s="147"/>
      <c r="DWC146" s="147"/>
      <c r="DWD146" s="147"/>
      <c r="DWE146" s="147"/>
      <c r="DWF146" s="147"/>
      <c r="DWG146" s="147"/>
      <c r="DWH146" s="147"/>
      <c r="DWI146" s="147"/>
      <c r="DWJ146" s="147"/>
      <c r="DWK146" s="147"/>
      <c r="DWL146" s="147"/>
      <c r="DWM146" s="147"/>
      <c r="DWN146" s="147"/>
      <c r="DWO146" s="147"/>
      <c r="DWP146" s="147"/>
      <c r="DWQ146" s="147"/>
      <c r="DWR146" s="147"/>
      <c r="DWS146" s="147"/>
      <c r="DWT146" s="147"/>
      <c r="DWU146" s="147"/>
      <c r="DWV146" s="147"/>
      <c r="DWW146" s="147"/>
      <c r="DWX146" s="147"/>
      <c r="DWY146" s="147"/>
      <c r="DWZ146" s="147"/>
      <c r="DXA146" s="147"/>
      <c r="DXB146" s="147"/>
      <c r="DXC146" s="147"/>
      <c r="DXD146" s="147"/>
      <c r="DXE146" s="147"/>
      <c r="DXF146" s="147"/>
      <c r="DXG146" s="147"/>
      <c r="DXH146" s="147"/>
      <c r="DXI146" s="147"/>
      <c r="DXJ146" s="147"/>
      <c r="DXK146" s="147"/>
      <c r="DXL146" s="147"/>
      <c r="DXM146" s="147"/>
      <c r="DXN146" s="147"/>
      <c r="DXO146" s="147"/>
      <c r="DXP146" s="147"/>
      <c r="DXQ146" s="147"/>
      <c r="DXR146" s="147"/>
      <c r="DXS146" s="147"/>
      <c r="DXT146" s="147"/>
      <c r="DXU146" s="147"/>
      <c r="DXV146" s="147"/>
      <c r="DXW146" s="147"/>
      <c r="DXX146" s="147"/>
      <c r="DXY146" s="147"/>
      <c r="DXZ146" s="147"/>
      <c r="DYA146" s="147"/>
      <c r="DYB146" s="147"/>
      <c r="DYC146" s="147"/>
      <c r="DYD146" s="147"/>
      <c r="DYE146" s="147"/>
      <c r="DYF146" s="147"/>
      <c r="DYG146" s="147"/>
      <c r="DYH146" s="147"/>
      <c r="DYI146" s="147"/>
      <c r="DYJ146" s="147"/>
      <c r="DYK146" s="147"/>
      <c r="DYL146" s="147"/>
      <c r="DYM146" s="147"/>
      <c r="DYN146" s="147"/>
      <c r="DYO146" s="147"/>
      <c r="DYP146" s="147"/>
      <c r="DYQ146" s="147"/>
      <c r="DYR146" s="147"/>
      <c r="DYS146" s="147"/>
      <c r="DYT146" s="147"/>
      <c r="DYU146" s="147"/>
      <c r="DYV146" s="147"/>
      <c r="DYW146" s="147"/>
      <c r="DYX146" s="147"/>
      <c r="DYY146" s="147"/>
      <c r="DYZ146" s="147"/>
      <c r="DZA146" s="147"/>
      <c r="DZB146" s="147"/>
      <c r="DZC146" s="147"/>
      <c r="DZD146" s="147"/>
      <c r="DZE146" s="147"/>
      <c r="DZF146" s="147"/>
      <c r="DZG146" s="147"/>
      <c r="DZH146" s="147"/>
      <c r="DZI146" s="147"/>
      <c r="DZJ146" s="147"/>
      <c r="DZK146" s="147"/>
      <c r="DZL146" s="147"/>
      <c r="DZM146" s="147"/>
      <c r="DZN146" s="147"/>
      <c r="DZO146" s="147"/>
      <c r="DZP146" s="147"/>
      <c r="DZQ146" s="147"/>
      <c r="DZR146" s="147"/>
      <c r="DZS146" s="147"/>
      <c r="DZT146" s="147"/>
      <c r="DZU146" s="147"/>
      <c r="DZV146" s="147"/>
      <c r="DZW146" s="147"/>
      <c r="DZX146" s="147"/>
      <c r="DZY146" s="147"/>
      <c r="DZZ146" s="147"/>
      <c r="EAA146" s="147"/>
      <c r="EAB146" s="147"/>
      <c r="EAC146" s="147"/>
      <c r="EAD146" s="147"/>
      <c r="EAE146" s="147"/>
      <c r="EAF146" s="147"/>
      <c r="EAG146" s="147"/>
      <c r="EAH146" s="147"/>
      <c r="EAI146" s="147"/>
      <c r="EAJ146" s="147"/>
      <c r="EAK146" s="147"/>
      <c r="EAL146" s="147"/>
      <c r="EAM146" s="147"/>
      <c r="EAN146" s="147"/>
      <c r="EAO146" s="147"/>
      <c r="EAP146" s="147"/>
      <c r="EAQ146" s="147"/>
      <c r="EAR146" s="147"/>
      <c r="EAS146" s="147"/>
      <c r="EAT146" s="147"/>
      <c r="EAU146" s="147"/>
      <c r="EAV146" s="147"/>
      <c r="EAW146" s="147"/>
      <c r="EAX146" s="147"/>
      <c r="EAY146" s="147"/>
      <c r="EAZ146" s="147"/>
      <c r="EBA146" s="147"/>
      <c r="EBB146" s="147"/>
      <c r="EBC146" s="147"/>
      <c r="EBD146" s="147"/>
      <c r="EBE146" s="147"/>
      <c r="EBF146" s="147"/>
      <c r="EBG146" s="147"/>
      <c r="EBH146" s="147"/>
      <c r="EBI146" s="147"/>
      <c r="EBJ146" s="147"/>
      <c r="EBK146" s="147"/>
      <c r="EBL146" s="147"/>
      <c r="EBM146" s="147"/>
      <c r="EBN146" s="147"/>
      <c r="EBO146" s="147"/>
      <c r="EBP146" s="147"/>
      <c r="EBQ146" s="147"/>
      <c r="EBR146" s="147"/>
      <c r="EBS146" s="147"/>
      <c r="EBT146" s="147"/>
      <c r="EBU146" s="147"/>
      <c r="EBV146" s="147"/>
      <c r="EBW146" s="147"/>
      <c r="EBX146" s="147"/>
      <c r="EBY146" s="147"/>
      <c r="EBZ146" s="147"/>
      <c r="ECA146" s="147"/>
      <c r="ECB146" s="147"/>
      <c r="ECC146" s="147"/>
      <c r="ECD146" s="147"/>
      <c r="ECE146" s="147"/>
      <c r="ECF146" s="147"/>
      <c r="ECG146" s="147"/>
      <c r="ECH146" s="147"/>
      <c r="ECI146" s="147"/>
      <c r="ECJ146" s="147"/>
      <c r="ECK146" s="147"/>
      <c r="ECL146" s="147"/>
      <c r="ECM146" s="147"/>
      <c r="ECN146" s="147"/>
      <c r="ECO146" s="147"/>
      <c r="ECP146" s="147"/>
      <c r="ECQ146" s="147"/>
      <c r="ECR146" s="147"/>
      <c r="ECS146" s="147"/>
      <c r="ECT146" s="147"/>
      <c r="ECU146" s="147"/>
      <c r="ECV146" s="147"/>
      <c r="ECW146" s="147"/>
      <c r="ECX146" s="147"/>
      <c r="ECY146" s="147"/>
      <c r="ECZ146" s="147"/>
      <c r="EDA146" s="147"/>
      <c r="EDB146" s="147"/>
      <c r="EDC146" s="147"/>
      <c r="EDD146" s="147"/>
      <c r="EDE146" s="147"/>
      <c r="EDF146" s="147"/>
      <c r="EDG146" s="147"/>
      <c r="EDH146" s="147"/>
      <c r="EDI146" s="147"/>
      <c r="EDJ146" s="147"/>
      <c r="EDK146" s="147"/>
      <c r="EDL146" s="147"/>
      <c r="EDM146" s="147"/>
      <c r="EDN146" s="147"/>
      <c r="EDO146" s="147"/>
      <c r="EDP146" s="147"/>
      <c r="EDQ146" s="147"/>
      <c r="EDR146" s="147"/>
      <c r="EDS146" s="147"/>
      <c r="EDT146" s="147"/>
      <c r="EDU146" s="147"/>
      <c r="EDV146" s="147"/>
      <c r="EDW146" s="147"/>
      <c r="EDX146" s="147"/>
      <c r="EDY146" s="147"/>
      <c r="EDZ146" s="147"/>
      <c r="EEA146" s="147"/>
      <c r="EEB146" s="147"/>
      <c r="EEC146" s="147"/>
      <c r="EED146" s="147"/>
      <c r="EEE146" s="147"/>
      <c r="EEF146" s="147"/>
      <c r="EEG146" s="147"/>
      <c r="EEH146" s="147"/>
      <c r="EEI146" s="147"/>
      <c r="EEJ146" s="147"/>
      <c r="EEK146" s="147"/>
      <c r="EEL146" s="147"/>
      <c r="EEM146" s="147"/>
      <c r="EEN146" s="147"/>
      <c r="EEO146" s="147"/>
      <c r="EEP146" s="147"/>
      <c r="EEQ146" s="147"/>
      <c r="EER146" s="147"/>
      <c r="EES146" s="147"/>
      <c r="EET146" s="147"/>
      <c r="EEU146" s="147"/>
      <c r="EEV146" s="147"/>
      <c r="EEW146" s="147"/>
      <c r="EEX146" s="147"/>
      <c r="EEY146" s="147"/>
      <c r="EEZ146" s="147"/>
      <c r="EFA146" s="147"/>
      <c r="EFB146" s="147"/>
      <c r="EFC146" s="147"/>
      <c r="EFD146" s="147"/>
      <c r="EFE146" s="147"/>
      <c r="EFF146" s="147"/>
      <c r="EFG146" s="147"/>
      <c r="EFH146" s="147"/>
      <c r="EFI146" s="147"/>
      <c r="EFJ146" s="147"/>
      <c r="EFK146" s="147"/>
      <c r="EFL146" s="147"/>
      <c r="EFM146" s="147"/>
      <c r="EFN146" s="147"/>
      <c r="EFO146" s="147"/>
      <c r="EFP146" s="147"/>
      <c r="EFQ146" s="147"/>
      <c r="EFR146" s="147"/>
      <c r="EFS146" s="147"/>
      <c r="EFT146" s="147"/>
      <c r="EFU146" s="147"/>
      <c r="EFV146" s="147"/>
      <c r="EFW146" s="147"/>
      <c r="EFX146" s="147"/>
      <c r="EFY146" s="147"/>
      <c r="EFZ146" s="147"/>
      <c r="EGA146" s="147"/>
      <c r="EGB146" s="147"/>
      <c r="EGC146" s="147"/>
      <c r="EGD146" s="147"/>
      <c r="EGE146" s="147"/>
      <c r="EGF146" s="147"/>
      <c r="EGG146" s="147"/>
      <c r="EGH146" s="147"/>
      <c r="EGI146" s="147"/>
      <c r="EGJ146" s="147"/>
      <c r="EGK146" s="147"/>
      <c r="EGL146" s="147"/>
      <c r="EGM146" s="147"/>
      <c r="EGN146" s="147"/>
      <c r="EGO146" s="147"/>
      <c r="EGP146" s="147"/>
      <c r="EGQ146" s="147"/>
      <c r="EGR146" s="147"/>
      <c r="EGS146" s="147"/>
      <c r="EGT146" s="147"/>
      <c r="EGU146" s="147"/>
      <c r="EGV146" s="147"/>
      <c r="EGW146" s="147"/>
      <c r="EGX146" s="147"/>
      <c r="EGY146" s="147"/>
      <c r="EGZ146" s="147"/>
      <c r="EHA146" s="147"/>
      <c r="EHB146" s="147"/>
      <c r="EHC146" s="147"/>
      <c r="EHD146" s="147"/>
      <c r="EHE146" s="147"/>
      <c r="EHF146" s="147"/>
      <c r="EHG146" s="147"/>
      <c r="EHH146" s="147"/>
      <c r="EHI146" s="147"/>
      <c r="EHJ146" s="147"/>
      <c r="EHK146" s="147"/>
      <c r="EHL146" s="147"/>
      <c r="EHM146" s="147"/>
      <c r="EHN146" s="147"/>
      <c r="EHO146" s="147"/>
      <c r="EHP146" s="147"/>
      <c r="EHQ146" s="147"/>
      <c r="EHR146" s="147"/>
      <c r="EHS146" s="147"/>
      <c r="EHT146" s="147"/>
      <c r="EHU146" s="147"/>
      <c r="EHV146" s="147"/>
      <c r="EHW146" s="147"/>
      <c r="EHX146" s="147"/>
      <c r="EHY146" s="147"/>
      <c r="EHZ146" s="147"/>
      <c r="EIA146" s="147"/>
      <c r="EIB146" s="147"/>
      <c r="EIC146" s="147"/>
      <c r="EID146" s="147"/>
      <c r="EIE146" s="147"/>
      <c r="EIF146" s="147"/>
      <c r="EIG146" s="147"/>
      <c r="EIH146" s="147"/>
      <c r="EII146" s="147"/>
      <c r="EIJ146" s="147"/>
      <c r="EIK146" s="147"/>
      <c r="EIL146" s="147"/>
      <c r="EIM146" s="147"/>
      <c r="EIN146" s="147"/>
      <c r="EIO146" s="147"/>
      <c r="EIP146" s="147"/>
      <c r="EIQ146" s="147"/>
      <c r="EIR146" s="147"/>
      <c r="EIS146" s="147"/>
      <c r="EIT146" s="147"/>
      <c r="EIU146" s="147"/>
      <c r="EIV146" s="147"/>
      <c r="EIW146" s="147"/>
      <c r="EIX146" s="147"/>
      <c r="EIY146" s="147"/>
      <c r="EIZ146" s="147"/>
      <c r="EJA146" s="147"/>
      <c r="EJB146" s="147"/>
      <c r="EJC146" s="147"/>
      <c r="EJD146" s="147"/>
      <c r="EJE146" s="147"/>
      <c r="EJF146" s="147"/>
      <c r="EJG146" s="147"/>
      <c r="EJH146" s="147"/>
      <c r="EJI146" s="147"/>
      <c r="EJJ146" s="147"/>
      <c r="EJK146" s="147"/>
      <c r="EJL146" s="147"/>
      <c r="EJM146" s="147"/>
      <c r="EJN146" s="147"/>
      <c r="EJO146" s="147"/>
      <c r="EJP146" s="147"/>
      <c r="EJQ146" s="147"/>
      <c r="EJR146" s="147"/>
      <c r="EJS146" s="147"/>
      <c r="EJT146" s="147"/>
      <c r="EJU146" s="147"/>
      <c r="EJV146" s="147"/>
      <c r="EJW146" s="147"/>
      <c r="EJX146" s="147"/>
      <c r="EJY146" s="147"/>
      <c r="EJZ146" s="147"/>
      <c r="EKA146" s="147"/>
      <c r="EKB146" s="147"/>
      <c r="EKC146" s="147"/>
      <c r="EKD146" s="147"/>
      <c r="EKE146" s="147"/>
      <c r="EKF146" s="147"/>
      <c r="EKG146" s="147"/>
      <c r="EKH146" s="147"/>
      <c r="EKI146" s="147"/>
      <c r="EKJ146" s="147"/>
      <c r="EKK146" s="147"/>
      <c r="EKL146" s="147"/>
      <c r="EKM146" s="147"/>
      <c r="EKN146" s="147"/>
      <c r="EKO146" s="147"/>
      <c r="EKP146" s="147"/>
      <c r="EKQ146" s="147"/>
      <c r="EKR146" s="147"/>
      <c r="EKS146" s="147"/>
      <c r="EKT146" s="147"/>
      <c r="EKU146" s="147"/>
      <c r="EKV146" s="147"/>
      <c r="EKW146" s="147"/>
      <c r="EKX146" s="147"/>
      <c r="EKY146" s="147"/>
      <c r="EKZ146" s="147"/>
      <c r="ELA146" s="147"/>
      <c r="ELB146" s="147"/>
      <c r="ELC146" s="147"/>
      <c r="ELD146" s="147"/>
      <c r="ELE146" s="147"/>
      <c r="ELF146" s="147"/>
      <c r="ELG146" s="147"/>
      <c r="ELH146" s="147"/>
      <c r="ELI146" s="147"/>
      <c r="ELJ146" s="147"/>
      <c r="ELK146" s="147"/>
      <c r="ELL146" s="147"/>
      <c r="ELM146" s="147"/>
      <c r="ELN146" s="147"/>
      <c r="ELO146" s="147"/>
      <c r="ELP146" s="147"/>
      <c r="ELQ146" s="147"/>
      <c r="ELR146" s="147"/>
      <c r="ELS146" s="147"/>
      <c r="ELT146" s="147"/>
      <c r="ELU146" s="147"/>
      <c r="ELV146" s="147"/>
      <c r="ELW146" s="147"/>
      <c r="ELX146" s="147"/>
      <c r="ELY146" s="147"/>
      <c r="ELZ146" s="147"/>
      <c r="EMA146" s="147"/>
      <c r="EMB146" s="147"/>
      <c r="EMC146" s="147"/>
      <c r="EMD146" s="147"/>
      <c r="EME146" s="147"/>
      <c r="EMF146" s="147"/>
      <c r="EMG146" s="147"/>
      <c r="EMH146" s="147"/>
      <c r="EMI146" s="147"/>
      <c r="EMJ146" s="147"/>
      <c r="EMK146" s="147"/>
      <c r="EML146" s="147"/>
      <c r="EMM146" s="147"/>
      <c r="EMN146" s="147"/>
      <c r="EMO146" s="147"/>
      <c r="EMP146" s="147"/>
      <c r="EMQ146" s="147"/>
      <c r="EMR146" s="147"/>
      <c r="EMS146" s="147"/>
      <c r="EMT146" s="147"/>
      <c r="EMU146" s="147"/>
      <c r="EMV146" s="147"/>
      <c r="EMW146" s="147"/>
      <c r="EMX146" s="147"/>
      <c r="EMY146" s="147"/>
      <c r="EMZ146" s="147"/>
      <c r="ENA146" s="147"/>
      <c r="ENB146" s="147"/>
      <c r="ENC146" s="147"/>
      <c r="END146" s="147"/>
      <c r="ENE146" s="147"/>
      <c r="ENF146" s="147"/>
      <c r="ENG146" s="147"/>
      <c r="ENH146" s="147"/>
      <c r="ENI146" s="147"/>
      <c r="ENJ146" s="147"/>
      <c r="ENK146" s="147"/>
      <c r="ENL146" s="147"/>
      <c r="ENM146" s="147"/>
      <c r="ENN146" s="147"/>
      <c r="ENO146" s="147"/>
      <c r="ENP146" s="147"/>
      <c r="ENQ146" s="147"/>
      <c r="ENR146" s="147"/>
      <c r="ENS146" s="147"/>
      <c r="ENT146" s="147"/>
      <c r="ENU146" s="147"/>
      <c r="ENV146" s="147"/>
      <c r="ENW146" s="147"/>
      <c r="ENX146" s="147"/>
      <c r="ENY146" s="147"/>
      <c r="ENZ146" s="147"/>
      <c r="EOA146" s="147"/>
      <c r="EOB146" s="147"/>
      <c r="EOC146" s="147"/>
      <c r="EOD146" s="147"/>
      <c r="EOE146" s="147"/>
      <c r="EOF146" s="147"/>
      <c r="EOG146" s="147"/>
      <c r="EOH146" s="147"/>
      <c r="EOI146" s="147"/>
      <c r="EOJ146" s="147"/>
      <c r="EOK146" s="147"/>
      <c r="EOL146" s="147"/>
      <c r="EOM146" s="147"/>
      <c r="EON146" s="147"/>
      <c r="EOO146" s="147"/>
      <c r="EOP146" s="147"/>
      <c r="EOQ146" s="147"/>
      <c r="EOR146" s="147"/>
      <c r="EOS146" s="147"/>
      <c r="EOT146" s="147"/>
      <c r="EOU146" s="147"/>
      <c r="EOV146" s="147"/>
      <c r="EOW146" s="147"/>
      <c r="EOX146" s="147"/>
      <c r="EOY146" s="147"/>
      <c r="EOZ146" s="147"/>
      <c r="EPA146" s="147"/>
      <c r="EPB146" s="147"/>
      <c r="EPC146" s="147"/>
      <c r="EPD146" s="147"/>
      <c r="EPE146" s="147"/>
      <c r="EPF146" s="147"/>
      <c r="EPG146" s="147"/>
      <c r="EPH146" s="147"/>
      <c r="EPI146" s="147"/>
      <c r="EPJ146" s="147"/>
      <c r="EPK146" s="147"/>
      <c r="EPL146" s="147"/>
      <c r="EPM146" s="147"/>
      <c r="EPN146" s="147"/>
      <c r="EPO146" s="147"/>
      <c r="EPP146" s="147"/>
      <c r="EPQ146" s="147"/>
      <c r="EPR146" s="147"/>
      <c r="EPS146" s="147"/>
      <c r="EPT146" s="147"/>
      <c r="EPU146" s="147"/>
      <c r="EPV146" s="147"/>
      <c r="EPW146" s="147"/>
      <c r="EPX146" s="147"/>
      <c r="EPY146" s="147"/>
      <c r="EPZ146" s="147"/>
      <c r="EQA146" s="147"/>
      <c r="EQB146" s="147"/>
      <c r="EQC146" s="147"/>
      <c r="EQD146" s="147"/>
      <c r="EQE146" s="147"/>
      <c r="EQF146" s="147"/>
      <c r="EQG146" s="147"/>
      <c r="EQH146" s="147"/>
      <c r="EQI146" s="147"/>
      <c r="EQJ146" s="147"/>
      <c r="EQK146" s="147"/>
      <c r="EQL146" s="147"/>
      <c r="EQM146" s="147"/>
      <c r="EQN146" s="147"/>
      <c r="EQO146" s="147"/>
      <c r="EQP146" s="147"/>
      <c r="EQQ146" s="147"/>
      <c r="EQR146" s="147"/>
      <c r="EQS146" s="147"/>
      <c r="EQT146" s="147"/>
      <c r="EQU146" s="147"/>
      <c r="EQV146" s="147"/>
      <c r="EQW146" s="147"/>
      <c r="EQX146" s="147"/>
      <c r="EQY146" s="147"/>
      <c r="EQZ146" s="147"/>
      <c r="ERA146" s="147"/>
      <c r="ERB146" s="147"/>
      <c r="ERC146" s="147"/>
      <c r="ERD146" s="147"/>
      <c r="ERE146" s="147"/>
      <c r="ERF146" s="147"/>
      <c r="ERG146" s="147"/>
      <c r="ERH146" s="147"/>
      <c r="ERI146" s="147"/>
      <c r="ERJ146" s="147"/>
      <c r="ERK146" s="147"/>
      <c r="ERL146" s="147"/>
      <c r="ERM146" s="147"/>
      <c r="ERN146" s="147"/>
      <c r="ERO146" s="147"/>
      <c r="ERP146" s="147"/>
      <c r="ERQ146" s="147"/>
      <c r="ERR146" s="147"/>
      <c r="ERS146" s="147"/>
      <c r="ERT146" s="147"/>
      <c r="ERU146" s="147"/>
      <c r="ERV146" s="147"/>
      <c r="ERW146" s="147"/>
      <c r="ERX146" s="147"/>
      <c r="ERY146" s="147"/>
      <c r="ERZ146" s="147"/>
      <c r="ESA146" s="147"/>
      <c r="ESB146" s="147"/>
      <c r="ESC146" s="147"/>
      <c r="ESD146" s="147"/>
      <c r="ESE146" s="147"/>
      <c r="ESF146" s="147"/>
      <c r="ESG146" s="147"/>
      <c r="ESH146" s="147"/>
      <c r="ESI146" s="147"/>
      <c r="ESJ146" s="147"/>
      <c r="ESK146" s="147"/>
      <c r="ESL146" s="147"/>
      <c r="ESM146" s="147"/>
      <c r="ESN146" s="147"/>
      <c r="ESO146" s="147"/>
      <c r="ESP146" s="147"/>
      <c r="ESQ146" s="147"/>
      <c r="ESR146" s="147"/>
      <c r="ESS146" s="147"/>
      <c r="EST146" s="147"/>
      <c r="ESU146" s="147"/>
      <c r="ESV146" s="147"/>
      <c r="ESW146" s="147"/>
      <c r="ESX146" s="147"/>
      <c r="ESY146" s="147"/>
      <c r="ESZ146" s="147"/>
      <c r="ETA146" s="147"/>
      <c r="ETB146" s="147"/>
      <c r="ETC146" s="147"/>
      <c r="ETD146" s="147"/>
      <c r="ETE146" s="147"/>
      <c r="ETF146" s="147"/>
      <c r="ETG146" s="147"/>
      <c r="ETH146" s="147"/>
      <c r="ETI146" s="147"/>
      <c r="ETJ146" s="147"/>
      <c r="ETK146" s="147"/>
      <c r="ETL146" s="147"/>
      <c r="ETM146" s="147"/>
      <c r="ETN146" s="147"/>
      <c r="ETO146" s="147"/>
      <c r="ETP146" s="147"/>
      <c r="ETQ146" s="147"/>
      <c r="ETR146" s="147"/>
      <c r="ETS146" s="147"/>
      <c r="ETT146" s="147"/>
      <c r="ETU146" s="147"/>
      <c r="ETV146" s="147"/>
      <c r="ETW146" s="147"/>
      <c r="ETX146" s="147"/>
      <c r="ETY146" s="147"/>
      <c r="ETZ146" s="147"/>
      <c r="EUA146" s="147"/>
      <c r="EUB146" s="147"/>
      <c r="EUC146" s="147"/>
      <c r="EUD146" s="147"/>
      <c r="EUE146" s="147"/>
      <c r="EUF146" s="147"/>
      <c r="EUG146" s="147"/>
      <c r="EUH146" s="147"/>
      <c r="EUI146" s="147"/>
      <c r="EUJ146" s="147"/>
      <c r="EUK146" s="147"/>
      <c r="EUL146" s="147"/>
      <c r="EUM146" s="147"/>
      <c r="EUN146" s="147"/>
      <c r="EUO146" s="147"/>
      <c r="EUP146" s="147"/>
      <c r="EUQ146" s="147"/>
      <c r="EUR146" s="147"/>
      <c r="EUS146" s="147"/>
      <c r="EUT146" s="147"/>
      <c r="EUU146" s="147"/>
      <c r="EUV146" s="147"/>
      <c r="EUW146" s="147"/>
      <c r="EUX146" s="147"/>
      <c r="EUY146" s="147"/>
      <c r="EUZ146" s="147"/>
      <c r="EVA146" s="147"/>
      <c r="EVB146" s="147"/>
      <c r="EVC146" s="147"/>
      <c r="EVD146" s="147"/>
      <c r="EVE146" s="147"/>
      <c r="EVF146" s="147"/>
      <c r="EVG146" s="147"/>
      <c r="EVH146" s="147"/>
      <c r="EVI146" s="147"/>
      <c r="EVJ146" s="147"/>
      <c r="EVK146" s="147"/>
      <c r="EVL146" s="147"/>
      <c r="EVM146" s="147"/>
      <c r="EVN146" s="147"/>
      <c r="EVO146" s="147"/>
      <c r="EVP146" s="147"/>
      <c r="EVQ146" s="147"/>
      <c r="EVR146" s="147"/>
      <c r="EVS146" s="147"/>
      <c r="EVT146" s="147"/>
      <c r="EVU146" s="147"/>
      <c r="EVV146" s="147"/>
      <c r="EVW146" s="147"/>
      <c r="EVX146" s="147"/>
      <c r="EVY146" s="147"/>
      <c r="EVZ146" s="147"/>
      <c r="EWA146" s="147"/>
      <c r="EWB146" s="147"/>
      <c r="EWC146" s="147"/>
      <c r="EWD146" s="147"/>
      <c r="EWE146" s="147"/>
      <c r="EWF146" s="147"/>
      <c r="EWG146" s="147"/>
      <c r="EWH146" s="147"/>
      <c r="EWI146" s="147"/>
      <c r="EWJ146" s="147"/>
      <c r="EWK146" s="147"/>
      <c r="EWL146" s="147"/>
      <c r="EWM146" s="147"/>
      <c r="EWN146" s="147"/>
      <c r="EWO146" s="147"/>
      <c r="EWP146" s="147"/>
      <c r="EWQ146" s="147"/>
      <c r="EWR146" s="147"/>
      <c r="EWS146" s="147"/>
      <c r="EWT146" s="147"/>
      <c r="EWU146" s="147"/>
      <c r="EWV146" s="147"/>
      <c r="EWW146" s="147"/>
      <c r="EWX146" s="147"/>
      <c r="EWY146" s="147"/>
      <c r="EWZ146" s="147"/>
      <c r="EXA146" s="147"/>
      <c r="EXB146" s="147"/>
      <c r="EXC146" s="147"/>
      <c r="EXD146" s="147"/>
      <c r="EXE146" s="147"/>
      <c r="EXF146" s="147"/>
      <c r="EXG146" s="147"/>
      <c r="EXH146" s="147"/>
      <c r="EXI146" s="147"/>
      <c r="EXJ146" s="147"/>
      <c r="EXK146" s="147"/>
      <c r="EXL146" s="147"/>
      <c r="EXM146" s="147"/>
      <c r="EXN146" s="147"/>
      <c r="EXO146" s="147"/>
      <c r="EXP146" s="147"/>
      <c r="EXQ146" s="147"/>
      <c r="EXR146" s="147"/>
      <c r="EXS146" s="147"/>
      <c r="EXT146" s="147"/>
      <c r="EXU146" s="147"/>
      <c r="EXV146" s="147"/>
      <c r="EXW146" s="147"/>
      <c r="EXX146" s="147"/>
      <c r="EXY146" s="147"/>
      <c r="EXZ146" s="147"/>
      <c r="EYA146" s="147"/>
      <c r="EYB146" s="147"/>
      <c r="EYC146" s="147"/>
      <c r="EYD146" s="147"/>
      <c r="EYE146" s="147"/>
      <c r="EYF146" s="147"/>
      <c r="EYG146" s="147"/>
      <c r="EYH146" s="147"/>
      <c r="EYI146" s="147"/>
      <c r="EYJ146" s="147"/>
      <c r="EYK146" s="147"/>
      <c r="EYL146" s="147"/>
      <c r="EYM146" s="147"/>
      <c r="EYN146" s="147"/>
      <c r="EYO146" s="147"/>
      <c r="EYP146" s="147"/>
      <c r="EYQ146" s="147"/>
      <c r="EYR146" s="147"/>
      <c r="EYS146" s="147"/>
      <c r="EYT146" s="147"/>
      <c r="EYU146" s="147"/>
      <c r="EYV146" s="147"/>
      <c r="EYW146" s="147"/>
      <c r="EYX146" s="147"/>
      <c r="EYY146" s="147"/>
      <c r="EYZ146" s="147"/>
      <c r="EZA146" s="147"/>
      <c r="EZB146" s="147"/>
      <c r="EZC146" s="147"/>
      <c r="EZD146" s="147"/>
      <c r="EZE146" s="147"/>
      <c r="EZF146" s="147"/>
      <c r="EZG146" s="147"/>
      <c r="EZH146" s="147"/>
      <c r="EZI146" s="147"/>
      <c r="EZJ146" s="147"/>
      <c r="EZK146" s="147"/>
      <c r="EZL146" s="147"/>
      <c r="EZM146" s="147"/>
      <c r="EZN146" s="147"/>
      <c r="EZO146" s="147"/>
      <c r="EZP146" s="147"/>
      <c r="EZQ146" s="147"/>
      <c r="EZR146" s="147"/>
      <c r="EZS146" s="147"/>
      <c r="EZT146" s="147"/>
      <c r="EZU146" s="147"/>
      <c r="EZV146" s="147"/>
      <c r="EZW146" s="147"/>
      <c r="EZX146" s="147"/>
      <c r="EZY146" s="147"/>
      <c r="EZZ146" s="147"/>
      <c r="FAA146" s="147"/>
      <c r="FAB146" s="147"/>
      <c r="FAC146" s="147"/>
      <c r="FAD146" s="147"/>
      <c r="FAE146" s="147"/>
      <c r="FAF146" s="147"/>
      <c r="FAG146" s="147"/>
      <c r="FAH146" s="147"/>
      <c r="FAI146" s="147"/>
      <c r="FAJ146" s="147"/>
      <c r="FAK146" s="147"/>
      <c r="FAL146" s="147"/>
      <c r="FAM146" s="147"/>
      <c r="FAN146" s="147"/>
      <c r="FAO146" s="147"/>
      <c r="FAP146" s="147"/>
      <c r="FAQ146" s="147"/>
      <c r="FAR146" s="147"/>
      <c r="FAS146" s="147"/>
      <c r="FAT146" s="147"/>
      <c r="FAU146" s="147"/>
      <c r="FAV146" s="147"/>
      <c r="FAW146" s="147"/>
      <c r="FAX146" s="147"/>
      <c r="FAY146" s="147"/>
      <c r="FAZ146" s="147"/>
      <c r="FBA146" s="147"/>
      <c r="FBB146" s="147"/>
      <c r="FBC146" s="147"/>
      <c r="FBD146" s="147"/>
      <c r="FBE146" s="147"/>
      <c r="FBF146" s="147"/>
      <c r="FBG146" s="147"/>
      <c r="FBH146" s="147"/>
      <c r="FBI146" s="147"/>
      <c r="FBJ146" s="147"/>
      <c r="FBK146" s="147"/>
      <c r="FBL146" s="147"/>
      <c r="FBM146" s="147"/>
      <c r="FBN146" s="147"/>
      <c r="FBO146" s="147"/>
      <c r="FBP146" s="147"/>
      <c r="FBQ146" s="147"/>
      <c r="FBR146" s="147"/>
      <c r="FBS146" s="147"/>
      <c r="FBT146" s="147"/>
      <c r="FBU146" s="147"/>
      <c r="FBV146" s="147"/>
      <c r="FBW146" s="147"/>
      <c r="FBX146" s="147"/>
      <c r="FBY146" s="147"/>
      <c r="FBZ146" s="147"/>
      <c r="FCA146" s="147"/>
      <c r="FCB146" s="147"/>
      <c r="FCC146" s="147"/>
      <c r="FCD146" s="147"/>
      <c r="FCE146" s="147"/>
      <c r="FCF146" s="147"/>
      <c r="FCG146" s="147"/>
      <c r="FCH146" s="147"/>
      <c r="FCI146" s="147"/>
      <c r="FCJ146" s="147"/>
      <c r="FCK146" s="147"/>
      <c r="FCL146" s="147"/>
      <c r="FCM146" s="147"/>
      <c r="FCN146" s="147"/>
      <c r="FCO146" s="147"/>
      <c r="FCP146" s="147"/>
      <c r="FCQ146" s="147"/>
      <c r="FCR146" s="147"/>
      <c r="FCS146" s="147"/>
      <c r="FCT146" s="147"/>
      <c r="FCU146" s="147"/>
      <c r="FCV146" s="147"/>
      <c r="FCW146" s="147"/>
      <c r="FCX146" s="147"/>
      <c r="FCY146" s="147"/>
      <c r="FCZ146" s="147"/>
      <c r="FDA146" s="147"/>
      <c r="FDB146" s="147"/>
      <c r="FDC146" s="147"/>
      <c r="FDD146" s="147"/>
      <c r="FDE146" s="147"/>
      <c r="FDF146" s="147"/>
      <c r="FDG146" s="147"/>
      <c r="FDH146" s="147"/>
      <c r="FDI146" s="147"/>
      <c r="FDJ146" s="147"/>
      <c r="FDK146" s="147"/>
      <c r="FDL146" s="147"/>
      <c r="FDM146" s="147"/>
      <c r="FDN146" s="147"/>
      <c r="FDO146" s="147"/>
      <c r="FDP146" s="147"/>
      <c r="FDQ146" s="147"/>
      <c r="FDR146" s="147"/>
      <c r="FDS146" s="147"/>
      <c r="FDT146" s="147"/>
      <c r="FDU146" s="147"/>
      <c r="FDV146" s="147"/>
      <c r="FDW146" s="147"/>
      <c r="FDX146" s="147"/>
      <c r="FDY146" s="147"/>
      <c r="FDZ146" s="147"/>
      <c r="FEA146" s="147"/>
      <c r="FEB146" s="147"/>
      <c r="FEC146" s="147"/>
      <c r="FED146" s="147"/>
      <c r="FEE146" s="147"/>
      <c r="FEF146" s="147"/>
      <c r="FEG146" s="147"/>
      <c r="FEH146" s="147"/>
      <c r="FEI146" s="147"/>
      <c r="FEJ146" s="147"/>
      <c r="FEK146" s="147"/>
      <c r="FEL146" s="147"/>
      <c r="FEM146" s="147"/>
      <c r="FEN146" s="147"/>
      <c r="FEO146" s="147"/>
      <c r="FEP146" s="147"/>
      <c r="FEQ146" s="147"/>
      <c r="FER146" s="147"/>
      <c r="FES146" s="147"/>
      <c r="FET146" s="147"/>
      <c r="FEU146" s="147"/>
      <c r="FEV146" s="147"/>
      <c r="FEW146" s="147"/>
      <c r="FEX146" s="147"/>
      <c r="FEY146" s="147"/>
      <c r="FEZ146" s="147"/>
      <c r="FFA146" s="147"/>
      <c r="FFB146" s="147"/>
      <c r="FFC146" s="147"/>
      <c r="FFD146" s="147"/>
      <c r="FFE146" s="147"/>
      <c r="FFF146" s="147"/>
      <c r="FFG146" s="147"/>
      <c r="FFH146" s="147"/>
      <c r="FFI146" s="147"/>
      <c r="FFJ146" s="147"/>
      <c r="FFK146" s="147"/>
      <c r="FFL146" s="147"/>
      <c r="FFM146" s="147"/>
      <c r="FFN146" s="147"/>
      <c r="FFO146" s="147"/>
      <c r="FFP146" s="147"/>
      <c r="FFQ146" s="147"/>
      <c r="FFR146" s="147"/>
      <c r="FFS146" s="147"/>
      <c r="FFT146" s="147"/>
      <c r="FFU146" s="147"/>
      <c r="FFV146" s="147"/>
      <c r="FFW146" s="147"/>
      <c r="FFX146" s="147"/>
      <c r="FFY146" s="147"/>
      <c r="FFZ146" s="147"/>
      <c r="FGA146" s="147"/>
      <c r="FGB146" s="147"/>
      <c r="FGC146" s="147"/>
      <c r="FGD146" s="147"/>
      <c r="FGE146" s="147"/>
      <c r="FGF146" s="147"/>
      <c r="FGG146" s="147"/>
      <c r="FGH146" s="147"/>
      <c r="FGI146" s="147"/>
      <c r="FGJ146" s="147"/>
      <c r="FGK146" s="147"/>
      <c r="FGL146" s="147"/>
      <c r="FGM146" s="147"/>
      <c r="FGN146" s="147"/>
      <c r="FGO146" s="147"/>
      <c r="FGP146" s="147"/>
      <c r="FGQ146" s="147"/>
      <c r="FGR146" s="147"/>
      <c r="FGS146" s="147"/>
      <c r="FGT146" s="147"/>
      <c r="FGU146" s="147"/>
      <c r="FGV146" s="147"/>
      <c r="FGW146" s="147"/>
      <c r="FGX146" s="147"/>
      <c r="FGY146" s="147"/>
      <c r="FGZ146" s="147"/>
      <c r="FHA146" s="147"/>
      <c r="FHB146" s="147"/>
      <c r="FHC146" s="147"/>
      <c r="FHD146" s="147"/>
      <c r="FHE146" s="147"/>
      <c r="FHF146" s="147"/>
      <c r="FHG146" s="147"/>
      <c r="FHH146" s="147"/>
      <c r="FHI146" s="147"/>
      <c r="FHJ146" s="147"/>
      <c r="FHK146" s="147"/>
      <c r="FHL146" s="147"/>
      <c r="FHM146" s="147"/>
      <c r="FHN146" s="147"/>
      <c r="FHO146" s="147"/>
      <c r="FHP146" s="147"/>
      <c r="FHQ146" s="147"/>
      <c r="FHR146" s="147"/>
      <c r="FHS146" s="147"/>
      <c r="FHT146" s="147"/>
      <c r="FHU146" s="147"/>
      <c r="FHV146" s="147"/>
      <c r="FHW146" s="147"/>
      <c r="FHX146" s="147"/>
      <c r="FHY146" s="147"/>
      <c r="FHZ146" s="147"/>
      <c r="FIA146" s="147"/>
      <c r="FIB146" s="147"/>
      <c r="FIC146" s="147"/>
      <c r="FID146" s="147"/>
      <c r="FIE146" s="147"/>
      <c r="FIF146" s="147"/>
      <c r="FIG146" s="147"/>
      <c r="FIH146" s="147"/>
      <c r="FII146" s="147"/>
      <c r="FIJ146" s="147"/>
      <c r="FIK146" s="147"/>
      <c r="FIL146" s="147"/>
      <c r="FIM146" s="147"/>
      <c r="FIN146" s="147"/>
      <c r="FIO146" s="147"/>
      <c r="FIP146" s="147"/>
      <c r="FIQ146" s="147"/>
      <c r="FIR146" s="147"/>
      <c r="FIS146" s="147"/>
      <c r="FIT146" s="147"/>
      <c r="FIU146" s="147"/>
      <c r="FIV146" s="147"/>
      <c r="FIW146" s="147"/>
      <c r="FIX146" s="147"/>
      <c r="FIY146" s="147"/>
      <c r="FIZ146" s="147"/>
      <c r="FJA146" s="147"/>
      <c r="FJB146" s="147"/>
      <c r="FJC146" s="147"/>
      <c r="FJD146" s="147"/>
      <c r="FJE146" s="147"/>
      <c r="FJF146" s="147"/>
      <c r="FJG146" s="147"/>
      <c r="FJH146" s="147"/>
      <c r="FJI146" s="147"/>
      <c r="FJJ146" s="147"/>
      <c r="FJK146" s="147"/>
      <c r="FJL146" s="147"/>
      <c r="FJM146" s="147"/>
      <c r="FJN146" s="147"/>
      <c r="FJO146" s="147"/>
      <c r="FJP146" s="147"/>
      <c r="FJQ146" s="147"/>
      <c r="FJR146" s="147"/>
      <c r="FJS146" s="147"/>
      <c r="FJT146" s="147"/>
      <c r="FJU146" s="147"/>
      <c r="FJV146" s="147"/>
      <c r="FJW146" s="147"/>
      <c r="FJX146" s="147"/>
      <c r="FJY146" s="147"/>
      <c r="FJZ146" s="147"/>
      <c r="FKA146" s="147"/>
      <c r="FKB146" s="147"/>
      <c r="FKC146" s="147"/>
      <c r="FKD146" s="147"/>
      <c r="FKE146" s="147"/>
      <c r="FKF146" s="147"/>
      <c r="FKG146" s="147"/>
      <c r="FKH146" s="147"/>
      <c r="FKI146" s="147"/>
      <c r="FKJ146" s="147"/>
      <c r="FKK146" s="147"/>
      <c r="FKL146" s="147"/>
      <c r="FKM146" s="147"/>
      <c r="FKN146" s="147"/>
      <c r="FKO146" s="147"/>
      <c r="FKP146" s="147"/>
      <c r="FKQ146" s="147"/>
      <c r="FKR146" s="147"/>
      <c r="FKS146" s="147"/>
      <c r="FKT146" s="147"/>
      <c r="FKU146" s="147"/>
      <c r="FKV146" s="147"/>
      <c r="FKW146" s="147"/>
      <c r="FKX146" s="147"/>
      <c r="FKY146" s="147"/>
      <c r="FKZ146" s="147"/>
      <c r="FLA146" s="147"/>
      <c r="FLB146" s="147"/>
      <c r="FLC146" s="147"/>
      <c r="FLD146" s="147"/>
      <c r="FLE146" s="147"/>
      <c r="FLF146" s="147"/>
      <c r="FLG146" s="147"/>
      <c r="FLH146" s="147"/>
      <c r="FLI146" s="147"/>
      <c r="FLJ146" s="147"/>
      <c r="FLK146" s="147"/>
      <c r="FLL146" s="147"/>
      <c r="FLM146" s="147"/>
      <c r="FLN146" s="147"/>
      <c r="FLO146" s="147"/>
      <c r="FLP146" s="147"/>
      <c r="FLQ146" s="147"/>
      <c r="FLR146" s="147"/>
      <c r="FLS146" s="147"/>
      <c r="FLT146" s="147"/>
      <c r="FLU146" s="147"/>
      <c r="FLV146" s="147"/>
      <c r="FLW146" s="147"/>
      <c r="FLX146" s="147"/>
      <c r="FLY146" s="147"/>
      <c r="FLZ146" s="147"/>
      <c r="FMA146" s="147"/>
      <c r="FMB146" s="147"/>
      <c r="FMC146" s="147"/>
      <c r="FMD146" s="147"/>
      <c r="FME146" s="147"/>
      <c r="FMF146" s="147"/>
      <c r="FMG146" s="147"/>
      <c r="FMH146" s="147"/>
      <c r="FMI146" s="147"/>
      <c r="FMJ146" s="147"/>
      <c r="FMK146" s="147"/>
      <c r="FML146" s="147"/>
      <c r="FMM146" s="147"/>
      <c r="FMN146" s="147"/>
      <c r="FMO146" s="147"/>
      <c r="FMP146" s="147"/>
      <c r="FMQ146" s="147"/>
      <c r="FMR146" s="147"/>
      <c r="FMS146" s="147"/>
      <c r="FMT146" s="147"/>
      <c r="FMU146" s="147"/>
      <c r="FMV146" s="147"/>
      <c r="FMW146" s="147"/>
      <c r="FMX146" s="147"/>
      <c r="FMY146" s="147"/>
      <c r="FMZ146" s="147"/>
      <c r="FNA146" s="147"/>
      <c r="FNB146" s="147"/>
      <c r="FNC146" s="147"/>
      <c r="FND146" s="147"/>
      <c r="FNE146" s="147"/>
      <c r="FNF146" s="147"/>
      <c r="FNG146" s="147"/>
      <c r="FNH146" s="147"/>
      <c r="FNI146" s="147"/>
      <c r="FNJ146" s="147"/>
      <c r="FNK146" s="147"/>
      <c r="FNL146" s="147"/>
      <c r="FNM146" s="147"/>
      <c r="FNN146" s="147"/>
      <c r="FNO146" s="147"/>
      <c r="FNP146" s="147"/>
      <c r="FNQ146" s="147"/>
      <c r="FNR146" s="147"/>
      <c r="FNS146" s="147"/>
      <c r="FNT146" s="147"/>
      <c r="FNU146" s="147"/>
      <c r="FNV146" s="147"/>
      <c r="FNW146" s="147"/>
      <c r="FNX146" s="147"/>
      <c r="FNY146" s="147"/>
      <c r="FNZ146" s="147"/>
      <c r="FOA146" s="147"/>
      <c r="FOB146" s="147"/>
      <c r="FOC146" s="147"/>
      <c r="FOD146" s="147"/>
      <c r="FOE146" s="147"/>
      <c r="FOF146" s="147"/>
      <c r="FOG146" s="147"/>
      <c r="FOH146" s="147"/>
      <c r="FOI146" s="147"/>
      <c r="FOJ146" s="147"/>
      <c r="FOK146" s="147"/>
      <c r="FOL146" s="147"/>
      <c r="FOM146" s="147"/>
      <c r="FON146" s="147"/>
      <c r="FOO146" s="147"/>
      <c r="FOP146" s="147"/>
      <c r="FOQ146" s="147"/>
      <c r="FOR146" s="147"/>
      <c r="FOS146" s="147"/>
      <c r="FOT146" s="147"/>
      <c r="FOU146" s="147"/>
      <c r="FOV146" s="147"/>
      <c r="FOW146" s="147"/>
      <c r="FOX146" s="147"/>
      <c r="FOY146" s="147"/>
      <c r="FOZ146" s="147"/>
      <c r="FPA146" s="147"/>
      <c r="FPB146" s="147"/>
      <c r="FPC146" s="147"/>
      <c r="FPD146" s="147"/>
      <c r="FPE146" s="147"/>
      <c r="FPF146" s="147"/>
      <c r="FPG146" s="147"/>
      <c r="FPH146" s="147"/>
      <c r="FPI146" s="147"/>
      <c r="FPJ146" s="147"/>
      <c r="FPK146" s="147"/>
      <c r="FPL146" s="147"/>
      <c r="FPM146" s="147"/>
      <c r="FPN146" s="147"/>
      <c r="FPO146" s="147"/>
      <c r="FPP146" s="147"/>
      <c r="FPQ146" s="147"/>
      <c r="FPR146" s="147"/>
      <c r="FPS146" s="147"/>
      <c r="FPT146" s="147"/>
      <c r="FPU146" s="147"/>
      <c r="FPV146" s="147"/>
      <c r="FPW146" s="147"/>
      <c r="FPX146" s="147"/>
      <c r="FPY146" s="147"/>
      <c r="FPZ146" s="147"/>
      <c r="FQA146" s="147"/>
      <c r="FQB146" s="147"/>
      <c r="FQC146" s="147"/>
      <c r="FQD146" s="147"/>
      <c r="FQE146" s="147"/>
      <c r="FQF146" s="147"/>
      <c r="FQG146" s="147"/>
      <c r="FQH146" s="147"/>
      <c r="FQI146" s="147"/>
      <c r="FQJ146" s="147"/>
      <c r="FQK146" s="147"/>
      <c r="FQL146" s="147"/>
      <c r="FQM146" s="147"/>
      <c r="FQN146" s="147"/>
      <c r="FQO146" s="147"/>
      <c r="FQP146" s="147"/>
      <c r="FQQ146" s="147"/>
      <c r="FQR146" s="147"/>
      <c r="FQS146" s="147"/>
      <c r="FQT146" s="147"/>
      <c r="FQU146" s="147"/>
      <c r="FQV146" s="147"/>
      <c r="FQW146" s="147"/>
      <c r="FQX146" s="147"/>
      <c r="FQY146" s="147"/>
      <c r="FQZ146" s="147"/>
      <c r="FRA146" s="147"/>
      <c r="FRB146" s="147"/>
      <c r="FRC146" s="147"/>
      <c r="FRD146" s="147"/>
      <c r="FRE146" s="147"/>
      <c r="FRF146" s="147"/>
      <c r="FRG146" s="147"/>
      <c r="FRH146" s="147"/>
      <c r="FRI146" s="147"/>
      <c r="FRJ146" s="147"/>
      <c r="FRK146" s="147"/>
      <c r="FRL146" s="147"/>
      <c r="FRM146" s="147"/>
      <c r="FRN146" s="147"/>
      <c r="FRO146" s="147"/>
      <c r="FRP146" s="147"/>
      <c r="FRQ146" s="147"/>
      <c r="FRR146" s="147"/>
      <c r="FRS146" s="147"/>
      <c r="FRT146" s="147"/>
      <c r="FRU146" s="147"/>
      <c r="FRV146" s="147"/>
      <c r="FRW146" s="147"/>
      <c r="FRX146" s="147"/>
      <c r="FRY146" s="147"/>
      <c r="FRZ146" s="147"/>
      <c r="FSA146" s="147"/>
      <c r="FSB146" s="147"/>
      <c r="FSC146" s="147"/>
      <c r="FSD146" s="147"/>
      <c r="FSE146" s="147"/>
      <c r="FSF146" s="147"/>
      <c r="FSG146" s="147"/>
      <c r="FSH146" s="147"/>
      <c r="FSI146" s="147"/>
      <c r="FSJ146" s="147"/>
      <c r="FSK146" s="147"/>
      <c r="FSL146" s="147"/>
      <c r="FSM146" s="147"/>
      <c r="FSN146" s="147"/>
      <c r="FSO146" s="147"/>
      <c r="FSP146" s="147"/>
      <c r="FSQ146" s="147"/>
      <c r="FSR146" s="147"/>
      <c r="FSS146" s="147"/>
      <c r="FST146" s="147"/>
      <c r="FSU146" s="147"/>
      <c r="FSV146" s="147"/>
      <c r="FSW146" s="147"/>
      <c r="FSX146" s="147"/>
      <c r="FSY146" s="147"/>
      <c r="FSZ146" s="147"/>
      <c r="FTA146" s="147"/>
      <c r="FTB146" s="147"/>
      <c r="FTC146" s="147"/>
      <c r="FTD146" s="147"/>
      <c r="FTE146" s="147"/>
      <c r="FTF146" s="147"/>
      <c r="FTG146" s="147"/>
      <c r="FTH146" s="147"/>
      <c r="FTI146" s="147"/>
      <c r="FTJ146" s="147"/>
      <c r="FTK146" s="147"/>
      <c r="FTL146" s="147"/>
      <c r="FTM146" s="147"/>
      <c r="FTN146" s="147"/>
      <c r="FTO146" s="147"/>
      <c r="FTP146" s="147"/>
      <c r="FTQ146" s="147"/>
      <c r="FTR146" s="147"/>
      <c r="FTS146" s="147"/>
      <c r="FTT146" s="147"/>
      <c r="FTU146" s="147"/>
      <c r="FTV146" s="147"/>
      <c r="FTW146" s="147"/>
      <c r="FTX146" s="147"/>
      <c r="FTY146" s="147"/>
      <c r="FTZ146" s="147"/>
      <c r="FUA146" s="147"/>
      <c r="FUB146" s="147"/>
      <c r="FUC146" s="147"/>
      <c r="FUD146" s="147"/>
      <c r="FUE146" s="147"/>
      <c r="FUF146" s="147"/>
      <c r="FUG146" s="147"/>
      <c r="FUH146" s="147"/>
      <c r="FUI146" s="147"/>
      <c r="FUJ146" s="147"/>
      <c r="FUK146" s="147"/>
      <c r="FUL146" s="147"/>
      <c r="FUM146" s="147"/>
      <c r="FUN146" s="147"/>
      <c r="FUO146" s="147"/>
      <c r="FUP146" s="147"/>
      <c r="FUQ146" s="147"/>
      <c r="FUR146" s="147"/>
      <c r="FUS146" s="147"/>
      <c r="FUT146" s="147"/>
      <c r="FUU146" s="147"/>
      <c r="FUV146" s="147"/>
      <c r="FUW146" s="147"/>
      <c r="FUX146" s="147"/>
      <c r="FUY146" s="147"/>
      <c r="FUZ146" s="147"/>
      <c r="FVA146" s="147"/>
      <c r="FVB146" s="147"/>
      <c r="FVC146" s="147"/>
      <c r="FVD146" s="147"/>
      <c r="FVE146" s="147"/>
      <c r="FVF146" s="147"/>
      <c r="FVG146" s="147"/>
      <c r="FVH146" s="147"/>
      <c r="FVI146" s="147"/>
      <c r="FVJ146" s="147"/>
      <c r="FVK146" s="147"/>
      <c r="FVL146" s="147"/>
      <c r="FVM146" s="147"/>
      <c r="FVN146" s="147"/>
      <c r="FVO146" s="147"/>
      <c r="FVP146" s="147"/>
      <c r="FVQ146" s="147"/>
      <c r="FVR146" s="147"/>
      <c r="FVS146" s="147"/>
      <c r="FVT146" s="147"/>
      <c r="FVU146" s="147"/>
      <c r="FVV146" s="147"/>
      <c r="FVW146" s="147"/>
      <c r="FVX146" s="147"/>
      <c r="FVY146" s="147"/>
      <c r="FVZ146" s="147"/>
      <c r="FWA146" s="147"/>
      <c r="FWB146" s="147"/>
      <c r="FWC146" s="147"/>
      <c r="FWD146" s="147"/>
      <c r="FWE146" s="147"/>
      <c r="FWF146" s="147"/>
      <c r="FWG146" s="147"/>
      <c r="FWH146" s="147"/>
      <c r="FWI146" s="147"/>
      <c r="FWJ146" s="147"/>
      <c r="FWK146" s="147"/>
      <c r="FWL146" s="147"/>
      <c r="FWM146" s="147"/>
      <c r="FWN146" s="147"/>
      <c r="FWO146" s="147"/>
      <c r="FWP146" s="147"/>
      <c r="FWQ146" s="147"/>
      <c r="FWR146" s="147"/>
      <c r="FWS146" s="147"/>
      <c r="FWT146" s="147"/>
      <c r="FWU146" s="147"/>
      <c r="FWV146" s="147"/>
      <c r="FWW146" s="147"/>
      <c r="FWX146" s="147"/>
      <c r="FWY146" s="147"/>
      <c r="FWZ146" s="147"/>
      <c r="FXA146" s="147"/>
      <c r="FXB146" s="147"/>
      <c r="FXC146" s="147"/>
      <c r="FXD146" s="147"/>
      <c r="FXE146" s="147"/>
      <c r="FXF146" s="147"/>
      <c r="FXG146" s="147"/>
      <c r="FXH146" s="147"/>
      <c r="FXI146" s="147"/>
      <c r="FXJ146" s="147"/>
      <c r="FXK146" s="147"/>
      <c r="FXL146" s="147"/>
      <c r="FXM146" s="147"/>
      <c r="FXN146" s="147"/>
      <c r="FXO146" s="147"/>
      <c r="FXP146" s="147"/>
      <c r="FXQ146" s="147"/>
      <c r="FXR146" s="147"/>
      <c r="FXS146" s="147"/>
      <c r="FXT146" s="147"/>
      <c r="FXU146" s="147"/>
      <c r="FXV146" s="147"/>
      <c r="FXW146" s="147"/>
      <c r="FXX146" s="147"/>
      <c r="FXY146" s="147"/>
      <c r="FXZ146" s="147"/>
      <c r="FYA146" s="147"/>
      <c r="FYB146" s="147"/>
      <c r="FYC146" s="147"/>
      <c r="FYD146" s="147"/>
      <c r="FYE146" s="147"/>
      <c r="FYF146" s="147"/>
      <c r="FYG146" s="147"/>
      <c r="FYH146" s="147"/>
      <c r="FYI146" s="147"/>
      <c r="FYJ146" s="147"/>
      <c r="FYK146" s="147"/>
      <c r="FYL146" s="147"/>
      <c r="FYM146" s="147"/>
      <c r="FYN146" s="147"/>
      <c r="FYO146" s="147"/>
      <c r="FYP146" s="147"/>
      <c r="FYQ146" s="147"/>
      <c r="FYR146" s="147"/>
      <c r="FYS146" s="147"/>
      <c r="FYT146" s="147"/>
      <c r="FYU146" s="147"/>
      <c r="FYV146" s="147"/>
      <c r="FYW146" s="147"/>
      <c r="FYX146" s="147"/>
      <c r="FYY146" s="147"/>
      <c r="FYZ146" s="147"/>
      <c r="FZA146" s="147"/>
      <c r="FZB146" s="147"/>
      <c r="FZC146" s="147"/>
      <c r="FZD146" s="147"/>
      <c r="FZE146" s="147"/>
      <c r="FZF146" s="147"/>
      <c r="FZG146" s="147"/>
      <c r="FZH146" s="147"/>
      <c r="FZI146" s="147"/>
      <c r="FZJ146" s="147"/>
      <c r="FZK146" s="147"/>
      <c r="FZL146" s="147"/>
      <c r="FZM146" s="147"/>
      <c r="FZN146" s="147"/>
      <c r="FZO146" s="147"/>
      <c r="FZP146" s="147"/>
      <c r="FZQ146" s="147"/>
      <c r="FZR146" s="147"/>
      <c r="FZS146" s="147"/>
      <c r="FZT146" s="147"/>
      <c r="FZU146" s="147"/>
      <c r="FZV146" s="147"/>
      <c r="FZW146" s="147"/>
      <c r="FZX146" s="147"/>
      <c r="FZY146" s="147"/>
      <c r="FZZ146" s="147"/>
      <c r="GAA146" s="147"/>
      <c r="GAB146" s="147"/>
      <c r="GAC146" s="147"/>
      <c r="GAD146" s="147"/>
      <c r="GAE146" s="147"/>
      <c r="GAF146" s="147"/>
      <c r="GAG146" s="147"/>
      <c r="GAH146" s="147"/>
      <c r="GAI146" s="147"/>
      <c r="GAJ146" s="147"/>
      <c r="GAK146" s="147"/>
      <c r="GAL146" s="147"/>
      <c r="GAM146" s="147"/>
      <c r="GAN146" s="147"/>
      <c r="GAO146" s="147"/>
      <c r="GAP146" s="147"/>
      <c r="GAQ146" s="147"/>
      <c r="GAR146" s="147"/>
      <c r="GAS146" s="147"/>
      <c r="GAT146" s="147"/>
      <c r="GAU146" s="147"/>
      <c r="GAV146" s="147"/>
      <c r="GAW146" s="147"/>
      <c r="GAX146" s="147"/>
      <c r="GAY146" s="147"/>
      <c r="GAZ146" s="147"/>
      <c r="GBA146" s="147"/>
      <c r="GBB146" s="147"/>
      <c r="GBC146" s="147"/>
      <c r="GBD146" s="147"/>
      <c r="GBE146" s="147"/>
      <c r="GBF146" s="147"/>
      <c r="GBG146" s="147"/>
      <c r="GBH146" s="147"/>
      <c r="GBI146" s="147"/>
      <c r="GBJ146" s="147"/>
      <c r="GBK146" s="147"/>
      <c r="GBL146" s="147"/>
      <c r="GBM146" s="147"/>
      <c r="GBN146" s="147"/>
      <c r="GBO146" s="147"/>
      <c r="GBP146" s="147"/>
      <c r="GBQ146" s="147"/>
      <c r="GBR146" s="147"/>
      <c r="GBS146" s="147"/>
      <c r="GBT146" s="147"/>
      <c r="GBU146" s="147"/>
      <c r="GBV146" s="147"/>
      <c r="GBW146" s="147"/>
      <c r="GBX146" s="147"/>
      <c r="GBY146" s="147"/>
      <c r="GBZ146" s="147"/>
      <c r="GCA146" s="147"/>
      <c r="GCB146" s="147"/>
      <c r="GCC146" s="147"/>
      <c r="GCD146" s="147"/>
      <c r="GCE146" s="147"/>
      <c r="GCF146" s="147"/>
      <c r="GCG146" s="147"/>
      <c r="GCH146" s="147"/>
      <c r="GCI146" s="147"/>
      <c r="GCJ146" s="147"/>
      <c r="GCK146" s="147"/>
      <c r="GCL146" s="147"/>
      <c r="GCM146" s="147"/>
      <c r="GCN146" s="147"/>
      <c r="GCO146" s="147"/>
      <c r="GCP146" s="147"/>
      <c r="GCQ146" s="147"/>
      <c r="GCR146" s="147"/>
      <c r="GCS146" s="147"/>
      <c r="GCT146" s="147"/>
      <c r="GCU146" s="147"/>
      <c r="GCV146" s="147"/>
      <c r="GCW146" s="147"/>
      <c r="GCX146" s="147"/>
      <c r="GCY146" s="147"/>
      <c r="GCZ146" s="147"/>
      <c r="GDA146" s="147"/>
      <c r="GDB146" s="147"/>
      <c r="GDC146" s="147"/>
      <c r="GDD146" s="147"/>
      <c r="GDE146" s="147"/>
      <c r="GDF146" s="147"/>
      <c r="GDG146" s="147"/>
      <c r="GDH146" s="147"/>
      <c r="GDI146" s="147"/>
      <c r="GDJ146" s="147"/>
      <c r="GDK146" s="147"/>
      <c r="GDL146" s="147"/>
      <c r="GDM146" s="147"/>
      <c r="GDN146" s="147"/>
      <c r="GDO146" s="147"/>
      <c r="GDP146" s="147"/>
      <c r="GDQ146" s="147"/>
      <c r="GDR146" s="147"/>
      <c r="GDS146" s="147"/>
      <c r="GDT146" s="147"/>
      <c r="GDU146" s="147"/>
      <c r="GDV146" s="147"/>
      <c r="GDW146" s="147"/>
      <c r="GDX146" s="147"/>
      <c r="GDY146" s="147"/>
      <c r="GDZ146" s="147"/>
      <c r="GEA146" s="147"/>
      <c r="GEB146" s="147"/>
      <c r="GEC146" s="147"/>
      <c r="GED146" s="147"/>
      <c r="GEE146" s="147"/>
      <c r="GEF146" s="147"/>
      <c r="GEG146" s="147"/>
      <c r="GEH146" s="147"/>
      <c r="GEI146" s="147"/>
      <c r="GEJ146" s="147"/>
      <c r="GEK146" s="147"/>
      <c r="GEL146" s="147"/>
      <c r="GEM146" s="147"/>
      <c r="GEN146" s="147"/>
      <c r="GEO146" s="147"/>
      <c r="GEP146" s="147"/>
      <c r="GEQ146" s="147"/>
      <c r="GER146" s="147"/>
      <c r="GES146" s="147"/>
      <c r="GET146" s="147"/>
      <c r="GEU146" s="147"/>
      <c r="GEV146" s="147"/>
      <c r="GEW146" s="147"/>
      <c r="GEX146" s="147"/>
      <c r="GEY146" s="147"/>
      <c r="GEZ146" s="147"/>
      <c r="GFA146" s="147"/>
      <c r="GFB146" s="147"/>
      <c r="GFC146" s="147"/>
      <c r="GFD146" s="147"/>
      <c r="GFE146" s="147"/>
      <c r="GFF146" s="147"/>
      <c r="GFG146" s="147"/>
      <c r="GFH146" s="147"/>
      <c r="GFI146" s="147"/>
      <c r="GFJ146" s="147"/>
      <c r="GFK146" s="147"/>
      <c r="GFL146" s="147"/>
      <c r="GFM146" s="147"/>
      <c r="GFN146" s="147"/>
      <c r="GFO146" s="147"/>
      <c r="GFP146" s="147"/>
      <c r="GFQ146" s="147"/>
      <c r="GFR146" s="147"/>
      <c r="GFS146" s="147"/>
      <c r="GFT146" s="147"/>
      <c r="GFU146" s="147"/>
      <c r="GFV146" s="147"/>
      <c r="GFW146" s="147"/>
      <c r="GFX146" s="147"/>
      <c r="GFY146" s="147"/>
      <c r="GFZ146" s="147"/>
      <c r="GGA146" s="147"/>
      <c r="GGB146" s="147"/>
      <c r="GGC146" s="147"/>
      <c r="GGD146" s="147"/>
      <c r="GGE146" s="147"/>
      <c r="GGF146" s="147"/>
      <c r="GGG146" s="147"/>
      <c r="GGH146" s="147"/>
      <c r="GGI146" s="147"/>
      <c r="GGJ146" s="147"/>
      <c r="GGK146" s="147"/>
      <c r="GGL146" s="147"/>
      <c r="GGM146" s="147"/>
      <c r="GGN146" s="147"/>
      <c r="GGO146" s="147"/>
      <c r="GGP146" s="147"/>
      <c r="GGQ146" s="147"/>
      <c r="GGR146" s="147"/>
      <c r="GGS146" s="147"/>
      <c r="GGT146" s="147"/>
      <c r="GGU146" s="147"/>
      <c r="GGV146" s="147"/>
      <c r="GGW146" s="147"/>
      <c r="GGX146" s="147"/>
      <c r="GGY146" s="147"/>
      <c r="GGZ146" s="147"/>
      <c r="GHA146" s="147"/>
      <c r="GHB146" s="147"/>
      <c r="GHC146" s="147"/>
      <c r="GHD146" s="147"/>
      <c r="GHE146" s="147"/>
      <c r="GHF146" s="147"/>
      <c r="GHG146" s="147"/>
      <c r="GHH146" s="147"/>
      <c r="GHI146" s="147"/>
      <c r="GHJ146" s="147"/>
      <c r="GHK146" s="147"/>
      <c r="GHL146" s="147"/>
      <c r="GHM146" s="147"/>
      <c r="GHN146" s="147"/>
      <c r="GHO146" s="147"/>
      <c r="GHP146" s="147"/>
      <c r="GHQ146" s="147"/>
      <c r="GHR146" s="147"/>
      <c r="GHS146" s="147"/>
      <c r="GHT146" s="147"/>
      <c r="GHU146" s="147"/>
      <c r="GHV146" s="147"/>
      <c r="GHW146" s="147"/>
      <c r="GHX146" s="147"/>
      <c r="GHY146" s="147"/>
      <c r="GHZ146" s="147"/>
      <c r="GIA146" s="147"/>
      <c r="GIB146" s="147"/>
      <c r="GIC146" s="147"/>
      <c r="GID146" s="147"/>
      <c r="GIE146" s="147"/>
      <c r="GIF146" s="147"/>
      <c r="GIG146" s="147"/>
      <c r="GIH146" s="147"/>
      <c r="GII146" s="147"/>
      <c r="GIJ146" s="147"/>
      <c r="GIK146" s="147"/>
      <c r="GIL146" s="147"/>
      <c r="GIM146" s="147"/>
      <c r="GIN146" s="147"/>
      <c r="GIO146" s="147"/>
      <c r="GIP146" s="147"/>
      <c r="GIQ146" s="147"/>
      <c r="GIR146" s="147"/>
      <c r="GIS146" s="147"/>
      <c r="GIT146" s="147"/>
      <c r="GIU146" s="147"/>
      <c r="GIV146" s="147"/>
      <c r="GIW146" s="147"/>
      <c r="GIX146" s="147"/>
      <c r="GIY146" s="147"/>
      <c r="GIZ146" s="147"/>
      <c r="GJA146" s="147"/>
      <c r="GJB146" s="147"/>
      <c r="GJC146" s="147"/>
      <c r="GJD146" s="147"/>
      <c r="GJE146" s="147"/>
      <c r="GJF146" s="147"/>
      <c r="GJG146" s="147"/>
      <c r="GJH146" s="147"/>
      <c r="GJI146" s="147"/>
      <c r="GJJ146" s="147"/>
      <c r="GJK146" s="147"/>
      <c r="GJL146" s="147"/>
      <c r="GJM146" s="147"/>
      <c r="GJN146" s="147"/>
      <c r="GJO146" s="147"/>
      <c r="GJP146" s="147"/>
      <c r="GJQ146" s="147"/>
      <c r="GJR146" s="147"/>
      <c r="GJS146" s="147"/>
      <c r="GJT146" s="147"/>
      <c r="GJU146" s="147"/>
      <c r="GJV146" s="147"/>
      <c r="GJW146" s="147"/>
      <c r="GJX146" s="147"/>
      <c r="GJY146" s="147"/>
      <c r="GJZ146" s="147"/>
      <c r="GKA146" s="147"/>
      <c r="GKB146" s="147"/>
      <c r="GKC146" s="147"/>
      <c r="GKD146" s="147"/>
      <c r="GKE146" s="147"/>
      <c r="GKF146" s="147"/>
      <c r="GKG146" s="147"/>
      <c r="GKH146" s="147"/>
      <c r="GKI146" s="147"/>
      <c r="GKJ146" s="147"/>
      <c r="GKK146" s="147"/>
      <c r="GKL146" s="147"/>
      <c r="GKM146" s="147"/>
      <c r="GKN146" s="147"/>
      <c r="GKO146" s="147"/>
      <c r="GKP146" s="147"/>
      <c r="GKQ146" s="147"/>
      <c r="GKR146" s="147"/>
      <c r="GKS146" s="147"/>
      <c r="GKT146" s="147"/>
      <c r="GKU146" s="147"/>
      <c r="GKV146" s="147"/>
      <c r="GKW146" s="147"/>
      <c r="GKX146" s="147"/>
      <c r="GKY146" s="147"/>
      <c r="GKZ146" s="147"/>
      <c r="GLA146" s="147"/>
      <c r="GLB146" s="147"/>
      <c r="GLC146" s="147"/>
      <c r="GLD146" s="147"/>
      <c r="GLE146" s="147"/>
      <c r="GLF146" s="147"/>
      <c r="GLG146" s="147"/>
      <c r="GLH146" s="147"/>
      <c r="GLI146" s="147"/>
      <c r="GLJ146" s="147"/>
      <c r="GLK146" s="147"/>
      <c r="GLL146" s="147"/>
      <c r="GLM146" s="147"/>
      <c r="GLN146" s="147"/>
      <c r="GLO146" s="147"/>
      <c r="GLP146" s="147"/>
      <c r="GLQ146" s="147"/>
      <c r="GLR146" s="147"/>
      <c r="GLS146" s="147"/>
      <c r="GLT146" s="147"/>
      <c r="GLU146" s="147"/>
      <c r="GLV146" s="147"/>
      <c r="GLW146" s="147"/>
      <c r="GLX146" s="147"/>
      <c r="GLY146" s="147"/>
      <c r="GLZ146" s="147"/>
      <c r="GMA146" s="147"/>
      <c r="GMB146" s="147"/>
      <c r="GMC146" s="147"/>
      <c r="GMD146" s="147"/>
      <c r="GME146" s="147"/>
      <c r="GMF146" s="147"/>
      <c r="GMG146" s="147"/>
      <c r="GMH146" s="147"/>
      <c r="GMI146" s="147"/>
      <c r="GMJ146" s="147"/>
      <c r="GMK146" s="147"/>
      <c r="GML146" s="147"/>
      <c r="GMM146" s="147"/>
      <c r="GMN146" s="147"/>
      <c r="GMO146" s="147"/>
      <c r="GMP146" s="147"/>
      <c r="GMQ146" s="147"/>
      <c r="GMR146" s="147"/>
      <c r="GMS146" s="147"/>
      <c r="GMT146" s="147"/>
      <c r="GMU146" s="147"/>
      <c r="GMV146" s="147"/>
      <c r="GMW146" s="147"/>
      <c r="GMX146" s="147"/>
      <c r="GMY146" s="147"/>
      <c r="GMZ146" s="147"/>
      <c r="GNA146" s="147"/>
      <c r="GNB146" s="147"/>
      <c r="GNC146" s="147"/>
      <c r="GND146" s="147"/>
      <c r="GNE146" s="147"/>
      <c r="GNF146" s="147"/>
      <c r="GNG146" s="147"/>
      <c r="GNH146" s="147"/>
      <c r="GNI146" s="147"/>
      <c r="GNJ146" s="147"/>
      <c r="GNK146" s="147"/>
      <c r="GNL146" s="147"/>
      <c r="GNM146" s="147"/>
      <c r="GNN146" s="147"/>
      <c r="GNO146" s="147"/>
      <c r="GNP146" s="147"/>
      <c r="GNQ146" s="147"/>
      <c r="GNR146" s="147"/>
      <c r="GNS146" s="147"/>
      <c r="GNT146" s="147"/>
      <c r="GNU146" s="147"/>
      <c r="GNV146" s="147"/>
      <c r="GNW146" s="147"/>
      <c r="GNX146" s="147"/>
      <c r="GNY146" s="147"/>
      <c r="GNZ146" s="147"/>
      <c r="GOA146" s="147"/>
      <c r="GOB146" s="147"/>
      <c r="GOC146" s="147"/>
      <c r="GOD146" s="147"/>
      <c r="GOE146" s="147"/>
      <c r="GOF146" s="147"/>
      <c r="GOG146" s="147"/>
      <c r="GOH146" s="147"/>
      <c r="GOI146" s="147"/>
      <c r="GOJ146" s="147"/>
      <c r="GOK146" s="147"/>
      <c r="GOL146" s="147"/>
      <c r="GOM146" s="147"/>
      <c r="GON146" s="147"/>
      <c r="GOO146" s="147"/>
      <c r="GOP146" s="147"/>
      <c r="GOQ146" s="147"/>
      <c r="GOR146" s="147"/>
      <c r="GOS146" s="147"/>
      <c r="GOT146" s="147"/>
      <c r="GOU146" s="147"/>
      <c r="GOV146" s="147"/>
      <c r="GOW146" s="147"/>
      <c r="GOX146" s="147"/>
      <c r="GOY146" s="147"/>
      <c r="GOZ146" s="147"/>
      <c r="GPA146" s="147"/>
      <c r="GPB146" s="147"/>
      <c r="GPC146" s="147"/>
      <c r="GPD146" s="147"/>
      <c r="GPE146" s="147"/>
      <c r="GPF146" s="147"/>
      <c r="GPG146" s="147"/>
      <c r="GPH146" s="147"/>
      <c r="GPI146" s="147"/>
      <c r="GPJ146" s="147"/>
      <c r="GPK146" s="147"/>
      <c r="GPL146" s="147"/>
      <c r="GPM146" s="147"/>
      <c r="GPN146" s="147"/>
      <c r="GPO146" s="147"/>
      <c r="GPP146" s="147"/>
      <c r="GPQ146" s="147"/>
      <c r="GPR146" s="147"/>
      <c r="GPS146" s="147"/>
      <c r="GPT146" s="147"/>
      <c r="GPU146" s="147"/>
      <c r="GPV146" s="147"/>
      <c r="GPW146" s="147"/>
      <c r="GPX146" s="147"/>
      <c r="GPY146" s="147"/>
      <c r="GPZ146" s="147"/>
      <c r="GQA146" s="147"/>
      <c r="GQB146" s="147"/>
      <c r="GQC146" s="147"/>
      <c r="GQD146" s="147"/>
      <c r="GQE146" s="147"/>
      <c r="GQF146" s="147"/>
      <c r="GQG146" s="147"/>
      <c r="GQH146" s="147"/>
      <c r="GQI146" s="147"/>
      <c r="GQJ146" s="147"/>
      <c r="GQK146" s="147"/>
      <c r="GQL146" s="147"/>
      <c r="GQM146" s="147"/>
      <c r="GQN146" s="147"/>
      <c r="GQO146" s="147"/>
      <c r="GQP146" s="147"/>
      <c r="GQQ146" s="147"/>
      <c r="GQR146" s="147"/>
      <c r="GQS146" s="147"/>
      <c r="GQT146" s="147"/>
      <c r="GQU146" s="147"/>
      <c r="GQV146" s="147"/>
      <c r="GQW146" s="147"/>
      <c r="GQX146" s="147"/>
      <c r="GQY146" s="147"/>
      <c r="GQZ146" s="147"/>
      <c r="GRA146" s="147"/>
      <c r="GRB146" s="147"/>
      <c r="GRC146" s="147"/>
      <c r="GRD146" s="147"/>
      <c r="GRE146" s="147"/>
      <c r="GRF146" s="147"/>
      <c r="GRG146" s="147"/>
      <c r="GRH146" s="147"/>
      <c r="GRI146" s="147"/>
      <c r="GRJ146" s="147"/>
      <c r="GRK146" s="147"/>
      <c r="GRL146" s="147"/>
      <c r="GRM146" s="147"/>
      <c r="GRN146" s="147"/>
      <c r="GRO146" s="147"/>
      <c r="GRP146" s="147"/>
      <c r="GRQ146" s="147"/>
      <c r="GRR146" s="147"/>
      <c r="GRS146" s="147"/>
      <c r="GRT146" s="147"/>
      <c r="GRU146" s="147"/>
      <c r="GRV146" s="147"/>
      <c r="GRW146" s="147"/>
      <c r="GRX146" s="147"/>
      <c r="GRY146" s="147"/>
      <c r="GRZ146" s="147"/>
      <c r="GSA146" s="147"/>
      <c r="GSB146" s="147"/>
      <c r="GSC146" s="147"/>
      <c r="GSD146" s="147"/>
      <c r="GSE146" s="147"/>
      <c r="GSF146" s="147"/>
      <c r="GSG146" s="147"/>
      <c r="GSH146" s="147"/>
      <c r="GSI146" s="147"/>
      <c r="GSJ146" s="147"/>
      <c r="GSK146" s="147"/>
      <c r="GSL146" s="147"/>
      <c r="GSM146" s="147"/>
      <c r="GSN146" s="147"/>
      <c r="GSO146" s="147"/>
      <c r="GSP146" s="147"/>
      <c r="GSQ146" s="147"/>
      <c r="GSR146" s="147"/>
      <c r="GSS146" s="147"/>
      <c r="GST146" s="147"/>
      <c r="GSU146" s="147"/>
      <c r="GSV146" s="147"/>
      <c r="GSW146" s="147"/>
      <c r="GSX146" s="147"/>
      <c r="GSY146" s="147"/>
      <c r="GSZ146" s="147"/>
      <c r="GTA146" s="147"/>
      <c r="GTB146" s="147"/>
      <c r="GTC146" s="147"/>
      <c r="GTD146" s="147"/>
      <c r="GTE146" s="147"/>
      <c r="GTF146" s="147"/>
      <c r="GTG146" s="147"/>
      <c r="GTH146" s="147"/>
      <c r="GTI146" s="147"/>
      <c r="GTJ146" s="147"/>
      <c r="GTK146" s="147"/>
      <c r="GTL146" s="147"/>
      <c r="GTM146" s="147"/>
      <c r="GTN146" s="147"/>
      <c r="GTO146" s="147"/>
      <c r="GTP146" s="147"/>
      <c r="GTQ146" s="147"/>
      <c r="GTR146" s="147"/>
      <c r="GTS146" s="147"/>
      <c r="GTT146" s="147"/>
      <c r="GTU146" s="147"/>
      <c r="GTV146" s="147"/>
      <c r="GTW146" s="147"/>
      <c r="GTX146" s="147"/>
      <c r="GTY146" s="147"/>
      <c r="GTZ146" s="147"/>
      <c r="GUA146" s="147"/>
      <c r="GUB146" s="147"/>
      <c r="GUC146" s="147"/>
      <c r="GUD146" s="147"/>
      <c r="GUE146" s="147"/>
      <c r="GUF146" s="147"/>
      <c r="GUG146" s="147"/>
      <c r="GUH146" s="147"/>
      <c r="GUI146" s="147"/>
      <c r="GUJ146" s="147"/>
      <c r="GUK146" s="147"/>
      <c r="GUL146" s="147"/>
      <c r="GUM146" s="147"/>
      <c r="GUN146" s="147"/>
      <c r="GUO146" s="147"/>
      <c r="GUP146" s="147"/>
      <c r="GUQ146" s="147"/>
      <c r="GUR146" s="147"/>
      <c r="GUS146" s="147"/>
      <c r="GUT146" s="147"/>
      <c r="GUU146" s="147"/>
      <c r="GUV146" s="147"/>
      <c r="GUW146" s="147"/>
      <c r="GUX146" s="147"/>
      <c r="GUY146" s="147"/>
      <c r="GUZ146" s="147"/>
      <c r="GVA146" s="147"/>
      <c r="GVB146" s="147"/>
      <c r="GVC146" s="147"/>
      <c r="GVD146" s="147"/>
      <c r="GVE146" s="147"/>
      <c r="GVF146" s="147"/>
      <c r="GVG146" s="147"/>
      <c r="GVH146" s="147"/>
      <c r="GVI146" s="147"/>
      <c r="GVJ146" s="147"/>
      <c r="GVK146" s="147"/>
      <c r="GVL146" s="147"/>
      <c r="GVM146" s="147"/>
      <c r="GVN146" s="147"/>
      <c r="GVO146" s="147"/>
      <c r="GVP146" s="147"/>
      <c r="GVQ146" s="147"/>
      <c r="GVR146" s="147"/>
      <c r="GVS146" s="147"/>
      <c r="GVT146" s="147"/>
      <c r="GVU146" s="147"/>
      <c r="GVV146" s="147"/>
      <c r="GVW146" s="147"/>
      <c r="GVX146" s="147"/>
      <c r="GVY146" s="147"/>
      <c r="GVZ146" s="147"/>
      <c r="GWA146" s="147"/>
      <c r="GWB146" s="147"/>
      <c r="GWC146" s="147"/>
      <c r="GWD146" s="147"/>
      <c r="GWE146" s="147"/>
      <c r="GWF146" s="147"/>
      <c r="GWG146" s="147"/>
      <c r="GWH146" s="147"/>
      <c r="GWI146" s="147"/>
      <c r="GWJ146" s="147"/>
      <c r="GWK146" s="147"/>
      <c r="GWL146" s="147"/>
      <c r="GWM146" s="147"/>
      <c r="GWN146" s="147"/>
      <c r="GWO146" s="147"/>
      <c r="GWP146" s="147"/>
      <c r="GWQ146" s="147"/>
      <c r="GWR146" s="147"/>
      <c r="GWS146" s="147"/>
      <c r="GWT146" s="147"/>
      <c r="GWU146" s="147"/>
      <c r="GWV146" s="147"/>
      <c r="GWW146" s="147"/>
      <c r="GWX146" s="147"/>
      <c r="GWY146" s="147"/>
      <c r="GWZ146" s="147"/>
      <c r="GXA146" s="147"/>
      <c r="GXB146" s="147"/>
      <c r="GXC146" s="147"/>
      <c r="GXD146" s="147"/>
      <c r="GXE146" s="147"/>
      <c r="GXF146" s="147"/>
      <c r="GXG146" s="147"/>
      <c r="GXH146" s="147"/>
      <c r="GXI146" s="147"/>
      <c r="GXJ146" s="147"/>
      <c r="GXK146" s="147"/>
      <c r="GXL146" s="147"/>
      <c r="GXM146" s="147"/>
      <c r="GXN146" s="147"/>
      <c r="GXO146" s="147"/>
      <c r="GXP146" s="147"/>
      <c r="GXQ146" s="147"/>
      <c r="GXR146" s="147"/>
      <c r="GXS146" s="147"/>
      <c r="GXT146" s="147"/>
      <c r="GXU146" s="147"/>
      <c r="GXV146" s="147"/>
      <c r="GXW146" s="147"/>
      <c r="GXX146" s="147"/>
      <c r="GXY146" s="147"/>
      <c r="GXZ146" s="147"/>
      <c r="GYA146" s="147"/>
      <c r="GYB146" s="147"/>
      <c r="GYC146" s="147"/>
      <c r="GYD146" s="147"/>
      <c r="GYE146" s="147"/>
      <c r="GYF146" s="147"/>
      <c r="GYG146" s="147"/>
      <c r="GYH146" s="147"/>
      <c r="GYI146" s="147"/>
      <c r="GYJ146" s="147"/>
      <c r="GYK146" s="147"/>
      <c r="GYL146" s="147"/>
      <c r="GYM146" s="147"/>
      <c r="GYN146" s="147"/>
      <c r="GYO146" s="147"/>
      <c r="GYP146" s="147"/>
      <c r="GYQ146" s="147"/>
      <c r="GYR146" s="147"/>
      <c r="GYS146" s="147"/>
      <c r="GYT146" s="147"/>
      <c r="GYU146" s="147"/>
      <c r="GYV146" s="147"/>
      <c r="GYW146" s="147"/>
      <c r="GYX146" s="147"/>
      <c r="GYY146" s="147"/>
      <c r="GYZ146" s="147"/>
      <c r="GZA146" s="147"/>
      <c r="GZB146" s="147"/>
      <c r="GZC146" s="147"/>
      <c r="GZD146" s="147"/>
      <c r="GZE146" s="147"/>
      <c r="GZF146" s="147"/>
      <c r="GZG146" s="147"/>
      <c r="GZH146" s="147"/>
      <c r="GZI146" s="147"/>
      <c r="GZJ146" s="147"/>
      <c r="GZK146" s="147"/>
      <c r="GZL146" s="147"/>
      <c r="GZM146" s="147"/>
      <c r="GZN146" s="147"/>
      <c r="GZO146" s="147"/>
      <c r="GZP146" s="147"/>
      <c r="GZQ146" s="147"/>
      <c r="GZR146" s="147"/>
      <c r="GZS146" s="147"/>
      <c r="GZT146" s="147"/>
      <c r="GZU146" s="147"/>
      <c r="GZV146" s="147"/>
      <c r="GZW146" s="147"/>
      <c r="GZX146" s="147"/>
      <c r="GZY146" s="147"/>
      <c r="GZZ146" s="147"/>
      <c r="HAA146" s="147"/>
      <c r="HAB146" s="147"/>
      <c r="HAC146" s="147"/>
      <c r="HAD146" s="147"/>
      <c r="HAE146" s="147"/>
      <c r="HAF146" s="147"/>
      <c r="HAG146" s="147"/>
      <c r="HAH146" s="147"/>
      <c r="HAI146" s="147"/>
      <c r="HAJ146" s="147"/>
      <c r="HAK146" s="147"/>
      <c r="HAL146" s="147"/>
      <c r="HAM146" s="147"/>
      <c r="HAN146" s="147"/>
      <c r="HAO146" s="147"/>
      <c r="HAP146" s="147"/>
      <c r="HAQ146" s="147"/>
      <c r="HAR146" s="147"/>
      <c r="HAS146" s="147"/>
      <c r="HAT146" s="147"/>
      <c r="HAU146" s="147"/>
      <c r="HAV146" s="147"/>
      <c r="HAW146" s="147"/>
      <c r="HAX146" s="147"/>
      <c r="HAY146" s="147"/>
      <c r="HAZ146" s="147"/>
      <c r="HBA146" s="147"/>
      <c r="HBB146" s="147"/>
      <c r="HBC146" s="147"/>
      <c r="HBD146" s="147"/>
      <c r="HBE146" s="147"/>
      <c r="HBF146" s="147"/>
      <c r="HBG146" s="147"/>
      <c r="HBH146" s="147"/>
      <c r="HBI146" s="147"/>
      <c r="HBJ146" s="147"/>
      <c r="HBK146" s="147"/>
      <c r="HBL146" s="147"/>
      <c r="HBM146" s="147"/>
      <c r="HBN146" s="147"/>
      <c r="HBO146" s="147"/>
      <c r="HBP146" s="147"/>
      <c r="HBQ146" s="147"/>
      <c r="HBR146" s="147"/>
      <c r="HBS146" s="147"/>
      <c r="HBT146" s="147"/>
      <c r="HBU146" s="147"/>
      <c r="HBV146" s="147"/>
      <c r="HBW146" s="147"/>
      <c r="HBX146" s="147"/>
      <c r="HBY146" s="147"/>
      <c r="HBZ146" s="147"/>
      <c r="HCA146" s="147"/>
      <c r="HCB146" s="147"/>
      <c r="HCC146" s="147"/>
      <c r="HCD146" s="147"/>
      <c r="HCE146" s="147"/>
      <c r="HCF146" s="147"/>
      <c r="HCG146" s="147"/>
      <c r="HCH146" s="147"/>
      <c r="HCI146" s="147"/>
      <c r="HCJ146" s="147"/>
      <c r="HCK146" s="147"/>
      <c r="HCL146" s="147"/>
      <c r="HCM146" s="147"/>
      <c r="HCN146" s="147"/>
      <c r="HCO146" s="147"/>
      <c r="HCP146" s="147"/>
      <c r="HCQ146" s="147"/>
      <c r="HCR146" s="147"/>
      <c r="HCS146" s="147"/>
      <c r="HCT146" s="147"/>
      <c r="HCU146" s="147"/>
      <c r="HCV146" s="147"/>
      <c r="HCW146" s="147"/>
      <c r="HCX146" s="147"/>
      <c r="HCY146" s="147"/>
      <c r="HCZ146" s="147"/>
      <c r="HDA146" s="147"/>
      <c r="HDB146" s="147"/>
      <c r="HDC146" s="147"/>
      <c r="HDD146" s="147"/>
      <c r="HDE146" s="147"/>
      <c r="HDF146" s="147"/>
      <c r="HDG146" s="147"/>
      <c r="HDH146" s="147"/>
      <c r="HDI146" s="147"/>
      <c r="HDJ146" s="147"/>
      <c r="HDK146" s="147"/>
      <c r="HDL146" s="147"/>
      <c r="HDM146" s="147"/>
      <c r="HDN146" s="147"/>
      <c r="HDO146" s="147"/>
      <c r="HDP146" s="147"/>
      <c r="HDQ146" s="147"/>
      <c r="HDR146" s="147"/>
      <c r="HDS146" s="147"/>
      <c r="HDT146" s="147"/>
      <c r="HDU146" s="147"/>
      <c r="HDV146" s="147"/>
      <c r="HDW146" s="147"/>
      <c r="HDX146" s="147"/>
      <c r="HDY146" s="147"/>
      <c r="HDZ146" s="147"/>
      <c r="HEA146" s="147"/>
      <c r="HEB146" s="147"/>
      <c r="HEC146" s="147"/>
      <c r="HED146" s="147"/>
      <c r="HEE146" s="147"/>
      <c r="HEF146" s="147"/>
      <c r="HEG146" s="147"/>
      <c r="HEH146" s="147"/>
      <c r="HEI146" s="147"/>
      <c r="HEJ146" s="147"/>
      <c r="HEK146" s="147"/>
      <c r="HEL146" s="147"/>
      <c r="HEM146" s="147"/>
      <c r="HEN146" s="147"/>
      <c r="HEO146" s="147"/>
      <c r="HEP146" s="147"/>
      <c r="HEQ146" s="147"/>
      <c r="HER146" s="147"/>
      <c r="HES146" s="147"/>
      <c r="HET146" s="147"/>
      <c r="HEU146" s="147"/>
      <c r="HEV146" s="147"/>
      <c r="HEW146" s="147"/>
      <c r="HEX146" s="147"/>
      <c r="HEY146" s="147"/>
      <c r="HEZ146" s="147"/>
      <c r="HFA146" s="147"/>
      <c r="HFB146" s="147"/>
      <c r="HFC146" s="147"/>
      <c r="HFD146" s="147"/>
      <c r="HFE146" s="147"/>
      <c r="HFF146" s="147"/>
      <c r="HFG146" s="147"/>
      <c r="HFH146" s="147"/>
      <c r="HFI146" s="147"/>
      <c r="HFJ146" s="147"/>
      <c r="HFK146" s="147"/>
      <c r="HFL146" s="147"/>
      <c r="HFM146" s="147"/>
      <c r="HFN146" s="147"/>
      <c r="HFO146" s="147"/>
      <c r="HFP146" s="147"/>
      <c r="HFQ146" s="147"/>
      <c r="HFR146" s="147"/>
      <c r="HFS146" s="147"/>
      <c r="HFT146" s="147"/>
      <c r="HFU146" s="147"/>
      <c r="HFV146" s="147"/>
      <c r="HFW146" s="147"/>
      <c r="HFX146" s="147"/>
      <c r="HFY146" s="147"/>
      <c r="HFZ146" s="147"/>
      <c r="HGA146" s="147"/>
      <c r="HGB146" s="147"/>
      <c r="HGC146" s="147"/>
      <c r="HGD146" s="147"/>
      <c r="HGE146" s="147"/>
      <c r="HGF146" s="147"/>
      <c r="HGG146" s="147"/>
      <c r="HGH146" s="147"/>
      <c r="HGI146" s="147"/>
      <c r="HGJ146" s="147"/>
      <c r="HGK146" s="147"/>
      <c r="HGL146" s="147"/>
      <c r="HGM146" s="147"/>
      <c r="HGN146" s="147"/>
      <c r="HGO146" s="147"/>
      <c r="HGP146" s="147"/>
      <c r="HGQ146" s="147"/>
      <c r="HGR146" s="147"/>
      <c r="HGS146" s="147"/>
      <c r="HGT146" s="147"/>
      <c r="HGU146" s="147"/>
      <c r="HGV146" s="147"/>
      <c r="HGW146" s="147"/>
      <c r="HGX146" s="147"/>
      <c r="HGY146" s="147"/>
      <c r="HGZ146" s="147"/>
      <c r="HHA146" s="147"/>
      <c r="HHB146" s="147"/>
      <c r="HHC146" s="147"/>
      <c r="HHD146" s="147"/>
      <c r="HHE146" s="147"/>
      <c r="HHF146" s="147"/>
      <c r="HHG146" s="147"/>
      <c r="HHH146" s="147"/>
      <c r="HHI146" s="147"/>
      <c r="HHJ146" s="147"/>
      <c r="HHK146" s="147"/>
      <c r="HHL146" s="147"/>
      <c r="HHM146" s="147"/>
      <c r="HHN146" s="147"/>
      <c r="HHO146" s="147"/>
      <c r="HHP146" s="147"/>
      <c r="HHQ146" s="147"/>
      <c r="HHR146" s="147"/>
      <c r="HHS146" s="147"/>
      <c r="HHT146" s="147"/>
      <c r="HHU146" s="147"/>
      <c r="HHV146" s="147"/>
      <c r="HHW146" s="147"/>
      <c r="HHX146" s="147"/>
      <c r="HHY146" s="147"/>
      <c r="HHZ146" s="147"/>
      <c r="HIA146" s="147"/>
      <c r="HIB146" s="147"/>
      <c r="HIC146" s="147"/>
      <c r="HID146" s="147"/>
      <c r="HIE146" s="147"/>
      <c r="HIF146" s="147"/>
      <c r="HIG146" s="147"/>
      <c r="HIH146" s="147"/>
      <c r="HII146" s="147"/>
      <c r="HIJ146" s="147"/>
      <c r="HIK146" s="147"/>
      <c r="HIL146" s="147"/>
      <c r="HIM146" s="147"/>
      <c r="HIN146" s="147"/>
      <c r="HIO146" s="147"/>
      <c r="HIP146" s="147"/>
      <c r="HIQ146" s="147"/>
      <c r="HIR146" s="147"/>
      <c r="HIS146" s="147"/>
      <c r="HIT146" s="147"/>
      <c r="HIU146" s="147"/>
      <c r="HIV146" s="147"/>
      <c r="HIW146" s="147"/>
      <c r="HIX146" s="147"/>
      <c r="HIY146" s="147"/>
      <c r="HIZ146" s="147"/>
      <c r="HJA146" s="147"/>
      <c r="HJB146" s="147"/>
      <c r="HJC146" s="147"/>
      <c r="HJD146" s="147"/>
      <c r="HJE146" s="147"/>
      <c r="HJF146" s="147"/>
      <c r="HJG146" s="147"/>
      <c r="HJH146" s="147"/>
      <c r="HJI146" s="147"/>
      <c r="HJJ146" s="147"/>
      <c r="HJK146" s="147"/>
      <c r="HJL146" s="147"/>
      <c r="HJM146" s="147"/>
      <c r="HJN146" s="147"/>
      <c r="HJO146" s="147"/>
      <c r="HJP146" s="147"/>
      <c r="HJQ146" s="147"/>
      <c r="HJR146" s="147"/>
      <c r="HJS146" s="147"/>
      <c r="HJT146" s="147"/>
      <c r="HJU146" s="147"/>
      <c r="HJV146" s="147"/>
      <c r="HJW146" s="147"/>
      <c r="HJX146" s="147"/>
      <c r="HJY146" s="147"/>
      <c r="HJZ146" s="147"/>
      <c r="HKA146" s="147"/>
      <c r="HKB146" s="147"/>
      <c r="HKC146" s="147"/>
      <c r="HKD146" s="147"/>
      <c r="HKE146" s="147"/>
      <c r="HKF146" s="147"/>
      <c r="HKG146" s="147"/>
      <c r="HKH146" s="147"/>
      <c r="HKI146" s="147"/>
      <c r="HKJ146" s="147"/>
      <c r="HKK146" s="147"/>
      <c r="HKL146" s="147"/>
      <c r="HKM146" s="147"/>
      <c r="HKN146" s="147"/>
      <c r="HKO146" s="147"/>
      <c r="HKP146" s="147"/>
      <c r="HKQ146" s="147"/>
      <c r="HKR146" s="147"/>
      <c r="HKS146" s="147"/>
      <c r="HKT146" s="147"/>
      <c r="HKU146" s="147"/>
      <c r="HKV146" s="147"/>
      <c r="HKW146" s="147"/>
      <c r="HKX146" s="147"/>
      <c r="HKY146" s="147"/>
      <c r="HKZ146" s="147"/>
      <c r="HLA146" s="147"/>
      <c r="HLB146" s="147"/>
      <c r="HLC146" s="147"/>
      <c r="HLD146" s="147"/>
      <c r="HLE146" s="147"/>
      <c r="HLF146" s="147"/>
      <c r="HLG146" s="147"/>
      <c r="HLH146" s="147"/>
      <c r="HLI146" s="147"/>
      <c r="HLJ146" s="147"/>
      <c r="HLK146" s="147"/>
      <c r="HLL146" s="147"/>
      <c r="HLM146" s="147"/>
      <c r="HLN146" s="147"/>
      <c r="HLO146" s="147"/>
      <c r="HLP146" s="147"/>
      <c r="HLQ146" s="147"/>
      <c r="HLR146" s="147"/>
      <c r="HLS146" s="147"/>
      <c r="HLT146" s="147"/>
      <c r="HLU146" s="147"/>
      <c r="HLV146" s="147"/>
      <c r="HLW146" s="147"/>
      <c r="HLX146" s="147"/>
      <c r="HLY146" s="147"/>
      <c r="HLZ146" s="147"/>
      <c r="HMA146" s="147"/>
      <c r="HMB146" s="147"/>
      <c r="HMC146" s="147"/>
      <c r="HMD146" s="147"/>
      <c r="HME146" s="147"/>
      <c r="HMF146" s="147"/>
      <c r="HMG146" s="147"/>
      <c r="HMH146" s="147"/>
      <c r="HMI146" s="147"/>
      <c r="HMJ146" s="147"/>
      <c r="HMK146" s="147"/>
      <c r="HML146" s="147"/>
      <c r="HMM146" s="147"/>
      <c r="HMN146" s="147"/>
      <c r="HMO146" s="147"/>
      <c r="HMP146" s="147"/>
      <c r="HMQ146" s="147"/>
      <c r="HMR146" s="147"/>
      <c r="HMS146" s="147"/>
      <c r="HMT146" s="147"/>
      <c r="HMU146" s="147"/>
      <c r="HMV146" s="147"/>
      <c r="HMW146" s="147"/>
      <c r="HMX146" s="147"/>
      <c r="HMY146" s="147"/>
      <c r="HMZ146" s="147"/>
      <c r="HNA146" s="147"/>
      <c r="HNB146" s="147"/>
      <c r="HNC146" s="147"/>
      <c r="HND146" s="147"/>
      <c r="HNE146" s="147"/>
      <c r="HNF146" s="147"/>
      <c r="HNG146" s="147"/>
      <c r="HNH146" s="147"/>
      <c r="HNI146" s="147"/>
      <c r="HNJ146" s="147"/>
      <c r="HNK146" s="147"/>
      <c r="HNL146" s="147"/>
      <c r="HNM146" s="147"/>
      <c r="HNN146" s="147"/>
      <c r="HNO146" s="147"/>
      <c r="HNP146" s="147"/>
      <c r="HNQ146" s="147"/>
      <c r="HNR146" s="147"/>
      <c r="HNS146" s="147"/>
      <c r="HNT146" s="147"/>
      <c r="HNU146" s="147"/>
      <c r="HNV146" s="147"/>
      <c r="HNW146" s="147"/>
      <c r="HNX146" s="147"/>
      <c r="HNY146" s="147"/>
      <c r="HNZ146" s="147"/>
      <c r="HOA146" s="147"/>
      <c r="HOB146" s="147"/>
      <c r="HOC146" s="147"/>
      <c r="HOD146" s="147"/>
      <c r="HOE146" s="147"/>
      <c r="HOF146" s="147"/>
      <c r="HOG146" s="147"/>
      <c r="HOH146" s="147"/>
      <c r="HOI146" s="147"/>
      <c r="HOJ146" s="147"/>
      <c r="HOK146" s="147"/>
      <c r="HOL146" s="147"/>
      <c r="HOM146" s="147"/>
      <c r="HON146" s="147"/>
      <c r="HOO146" s="147"/>
      <c r="HOP146" s="147"/>
      <c r="HOQ146" s="147"/>
      <c r="HOR146" s="147"/>
      <c r="HOS146" s="147"/>
      <c r="HOT146" s="147"/>
      <c r="HOU146" s="147"/>
      <c r="HOV146" s="147"/>
      <c r="HOW146" s="147"/>
      <c r="HOX146" s="147"/>
      <c r="HOY146" s="147"/>
      <c r="HOZ146" s="147"/>
      <c r="HPA146" s="147"/>
      <c r="HPB146" s="147"/>
      <c r="HPC146" s="147"/>
      <c r="HPD146" s="147"/>
      <c r="HPE146" s="147"/>
      <c r="HPF146" s="147"/>
      <c r="HPG146" s="147"/>
      <c r="HPH146" s="147"/>
      <c r="HPI146" s="147"/>
      <c r="HPJ146" s="147"/>
      <c r="HPK146" s="147"/>
      <c r="HPL146" s="147"/>
      <c r="HPM146" s="147"/>
      <c r="HPN146" s="147"/>
      <c r="HPO146" s="147"/>
      <c r="HPP146" s="147"/>
      <c r="HPQ146" s="147"/>
      <c r="HPR146" s="147"/>
      <c r="HPS146" s="147"/>
      <c r="HPT146" s="147"/>
      <c r="HPU146" s="147"/>
      <c r="HPV146" s="147"/>
      <c r="HPW146" s="147"/>
      <c r="HPX146" s="147"/>
      <c r="HPY146" s="147"/>
      <c r="HPZ146" s="147"/>
      <c r="HQA146" s="147"/>
      <c r="HQB146" s="147"/>
      <c r="HQC146" s="147"/>
      <c r="HQD146" s="147"/>
      <c r="HQE146" s="147"/>
      <c r="HQF146" s="147"/>
      <c r="HQG146" s="147"/>
      <c r="HQH146" s="147"/>
      <c r="HQI146" s="147"/>
      <c r="HQJ146" s="147"/>
      <c r="HQK146" s="147"/>
      <c r="HQL146" s="147"/>
      <c r="HQM146" s="147"/>
      <c r="HQN146" s="147"/>
      <c r="HQO146" s="147"/>
      <c r="HQP146" s="147"/>
      <c r="HQQ146" s="147"/>
      <c r="HQR146" s="147"/>
      <c r="HQS146" s="147"/>
      <c r="HQT146" s="147"/>
      <c r="HQU146" s="147"/>
      <c r="HQV146" s="147"/>
      <c r="HQW146" s="147"/>
      <c r="HQX146" s="147"/>
      <c r="HQY146" s="147"/>
      <c r="HQZ146" s="147"/>
      <c r="HRA146" s="147"/>
      <c r="HRB146" s="147"/>
      <c r="HRC146" s="147"/>
      <c r="HRD146" s="147"/>
      <c r="HRE146" s="147"/>
      <c r="HRF146" s="147"/>
      <c r="HRG146" s="147"/>
      <c r="HRH146" s="147"/>
      <c r="HRI146" s="147"/>
      <c r="HRJ146" s="147"/>
      <c r="HRK146" s="147"/>
      <c r="HRL146" s="147"/>
      <c r="HRM146" s="147"/>
      <c r="HRN146" s="147"/>
      <c r="HRO146" s="147"/>
      <c r="HRP146" s="147"/>
      <c r="HRQ146" s="147"/>
      <c r="HRR146" s="147"/>
      <c r="HRS146" s="147"/>
      <c r="HRT146" s="147"/>
      <c r="HRU146" s="147"/>
      <c r="HRV146" s="147"/>
      <c r="HRW146" s="147"/>
      <c r="HRX146" s="147"/>
      <c r="HRY146" s="147"/>
      <c r="HRZ146" s="147"/>
      <c r="HSA146" s="147"/>
      <c r="HSB146" s="147"/>
      <c r="HSC146" s="147"/>
      <c r="HSD146" s="147"/>
      <c r="HSE146" s="147"/>
      <c r="HSF146" s="147"/>
      <c r="HSG146" s="147"/>
      <c r="HSH146" s="147"/>
      <c r="HSI146" s="147"/>
      <c r="HSJ146" s="147"/>
      <c r="HSK146" s="147"/>
      <c r="HSL146" s="147"/>
      <c r="HSM146" s="147"/>
      <c r="HSN146" s="147"/>
      <c r="HSO146" s="147"/>
      <c r="HSP146" s="147"/>
      <c r="HSQ146" s="147"/>
      <c r="HSR146" s="147"/>
      <c r="HSS146" s="147"/>
      <c r="HST146" s="147"/>
      <c r="HSU146" s="147"/>
      <c r="HSV146" s="147"/>
      <c r="HSW146" s="147"/>
      <c r="HSX146" s="147"/>
      <c r="HSY146" s="147"/>
      <c r="HSZ146" s="147"/>
      <c r="HTA146" s="147"/>
      <c r="HTB146" s="147"/>
      <c r="HTC146" s="147"/>
      <c r="HTD146" s="147"/>
      <c r="HTE146" s="147"/>
      <c r="HTF146" s="147"/>
      <c r="HTG146" s="147"/>
      <c r="HTH146" s="147"/>
      <c r="HTI146" s="147"/>
      <c r="HTJ146" s="147"/>
      <c r="HTK146" s="147"/>
      <c r="HTL146" s="147"/>
      <c r="HTM146" s="147"/>
      <c r="HTN146" s="147"/>
      <c r="HTO146" s="147"/>
      <c r="HTP146" s="147"/>
      <c r="HTQ146" s="147"/>
      <c r="HTR146" s="147"/>
      <c r="HTS146" s="147"/>
      <c r="HTT146" s="147"/>
      <c r="HTU146" s="147"/>
      <c r="HTV146" s="147"/>
      <c r="HTW146" s="147"/>
      <c r="HTX146" s="147"/>
      <c r="HTY146" s="147"/>
      <c r="HTZ146" s="147"/>
      <c r="HUA146" s="147"/>
      <c r="HUB146" s="147"/>
      <c r="HUC146" s="147"/>
      <c r="HUD146" s="147"/>
      <c r="HUE146" s="147"/>
      <c r="HUF146" s="147"/>
      <c r="HUG146" s="147"/>
      <c r="HUH146" s="147"/>
      <c r="HUI146" s="147"/>
      <c r="HUJ146" s="147"/>
      <c r="HUK146" s="147"/>
      <c r="HUL146" s="147"/>
      <c r="HUM146" s="147"/>
      <c r="HUN146" s="147"/>
      <c r="HUO146" s="147"/>
      <c r="HUP146" s="147"/>
      <c r="HUQ146" s="147"/>
      <c r="HUR146" s="147"/>
      <c r="HUS146" s="147"/>
      <c r="HUT146" s="147"/>
      <c r="HUU146" s="147"/>
      <c r="HUV146" s="147"/>
      <c r="HUW146" s="147"/>
      <c r="HUX146" s="147"/>
      <c r="HUY146" s="147"/>
      <c r="HUZ146" s="147"/>
      <c r="HVA146" s="147"/>
      <c r="HVB146" s="147"/>
      <c r="HVC146" s="147"/>
      <c r="HVD146" s="147"/>
      <c r="HVE146" s="147"/>
      <c r="HVF146" s="147"/>
      <c r="HVG146" s="147"/>
      <c r="HVH146" s="147"/>
      <c r="HVI146" s="147"/>
      <c r="HVJ146" s="147"/>
      <c r="HVK146" s="147"/>
      <c r="HVL146" s="147"/>
      <c r="HVM146" s="147"/>
      <c r="HVN146" s="147"/>
      <c r="HVO146" s="147"/>
      <c r="HVP146" s="147"/>
      <c r="HVQ146" s="147"/>
      <c r="HVR146" s="147"/>
      <c r="HVS146" s="147"/>
      <c r="HVT146" s="147"/>
      <c r="HVU146" s="147"/>
      <c r="HVV146" s="147"/>
      <c r="HVW146" s="147"/>
      <c r="HVX146" s="147"/>
      <c r="HVY146" s="147"/>
      <c r="HVZ146" s="147"/>
      <c r="HWA146" s="147"/>
      <c r="HWB146" s="147"/>
      <c r="HWC146" s="147"/>
      <c r="HWD146" s="147"/>
      <c r="HWE146" s="147"/>
      <c r="HWF146" s="147"/>
      <c r="HWG146" s="147"/>
      <c r="HWH146" s="147"/>
      <c r="HWI146" s="147"/>
      <c r="HWJ146" s="147"/>
      <c r="HWK146" s="147"/>
      <c r="HWL146" s="147"/>
      <c r="HWM146" s="147"/>
      <c r="HWN146" s="147"/>
      <c r="HWO146" s="147"/>
      <c r="HWP146" s="147"/>
      <c r="HWQ146" s="147"/>
      <c r="HWR146" s="147"/>
      <c r="HWS146" s="147"/>
      <c r="HWT146" s="147"/>
      <c r="HWU146" s="147"/>
      <c r="HWV146" s="147"/>
      <c r="HWW146" s="147"/>
      <c r="HWX146" s="147"/>
      <c r="HWY146" s="147"/>
      <c r="HWZ146" s="147"/>
      <c r="HXA146" s="147"/>
      <c r="HXB146" s="147"/>
      <c r="HXC146" s="147"/>
      <c r="HXD146" s="147"/>
      <c r="HXE146" s="147"/>
      <c r="HXF146" s="147"/>
      <c r="HXG146" s="147"/>
      <c r="HXH146" s="147"/>
      <c r="HXI146" s="147"/>
      <c r="HXJ146" s="147"/>
      <c r="HXK146" s="147"/>
      <c r="HXL146" s="147"/>
      <c r="HXM146" s="147"/>
      <c r="HXN146" s="147"/>
      <c r="HXO146" s="147"/>
      <c r="HXP146" s="147"/>
      <c r="HXQ146" s="147"/>
      <c r="HXR146" s="147"/>
      <c r="HXS146" s="147"/>
      <c r="HXT146" s="147"/>
      <c r="HXU146" s="147"/>
      <c r="HXV146" s="147"/>
      <c r="HXW146" s="147"/>
      <c r="HXX146" s="147"/>
      <c r="HXY146" s="147"/>
      <c r="HXZ146" s="147"/>
      <c r="HYA146" s="147"/>
      <c r="HYB146" s="147"/>
      <c r="HYC146" s="147"/>
      <c r="HYD146" s="147"/>
      <c r="HYE146" s="147"/>
      <c r="HYF146" s="147"/>
      <c r="HYG146" s="147"/>
      <c r="HYH146" s="147"/>
      <c r="HYI146" s="147"/>
      <c r="HYJ146" s="147"/>
      <c r="HYK146" s="147"/>
      <c r="HYL146" s="147"/>
      <c r="HYM146" s="147"/>
      <c r="HYN146" s="147"/>
      <c r="HYO146" s="147"/>
      <c r="HYP146" s="147"/>
      <c r="HYQ146" s="147"/>
      <c r="HYR146" s="147"/>
      <c r="HYS146" s="147"/>
      <c r="HYT146" s="147"/>
      <c r="HYU146" s="147"/>
      <c r="HYV146" s="147"/>
      <c r="HYW146" s="147"/>
      <c r="HYX146" s="147"/>
      <c r="HYY146" s="147"/>
      <c r="HYZ146" s="147"/>
      <c r="HZA146" s="147"/>
      <c r="HZB146" s="147"/>
      <c r="HZC146" s="147"/>
      <c r="HZD146" s="147"/>
      <c r="HZE146" s="147"/>
      <c r="HZF146" s="147"/>
      <c r="HZG146" s="147"/>
      <c r="HZH146" s="147"/>
      <c r="HZI146" s="147"/>
      <c r="HZJ146" s="147"/>
      <c r="HZK146" s="147"/>
      <c r="HZL146" s="147"/>
      <c r="HZM146" s="147"/>
      <c r="HZN146" s="147"/>
      <c r="HZO146" s="147"/>
      <c r="HZP146" s="147"/>
      <c r="HZQ146" s="147"/>
      <c r="HZR146" s="147"/>
      <c r="HZS146" s="147"/>
      <c r="HZT146" s="147"/>
      <c r="HZU146" s="147"/>
      <c r="HZV146" s="147"/>
      <c r="HZW146" s="147"/>
      <c r="HZX146" s="147"/>
      <c r="HZY146" s="147"/>
      <c r="HZZ146" s="147"/>
      <c r="IAA146" s="147"/>
      <c r="IAB146" s="147"/>
      <c r="IAC146" s="147"/>
      <c r="IAD146" s="147"/>
      <c r="IAE146" s="147"/>
      <c r="IAF146" s="147"/>
      <c r="IAG146" s="147"/>
      <c r="IAH146" s="147"/>
      <c r="IAI146" s="147"/>
      <c r="IAJ146" s="147"/>
      <c r="IAK146" s="147"/>
      <c r="IAL146" s="147"/>
      <c r="IAM146" s="147"/>
      <c r="IAN146" s="147"/>
      <c r="IAO146" s="147"/>
      <c r="IAP146" s="147"/>
      <c r="IAQ146" s="147"/>
      <c r="IAR146" s="147"/>
      <c r="IAS146" s="147"/>
      <c r="IAT146" s="147"/>
      <c r="IAU146" s="147"/>
      <c r="IAV146" s="147"/>
      <c r="IAW146" s="147"/>
      <c r="IAX146" s="147"/>
      <c r="IAY146" s="147"/>
      <c r="IAZ146" s="147"/>
      <c r="IBA146" s="147"/>
      <c r="IBB146" s="147"/>
      <c r="IBC146" s="147"/>
      <c r="IBD146" s="147"/>
      <c r="IBE146" s="147"/>
      <c r="IBF146" s="147"/>
      <c r="IBG146" s="147"/>
      <c r="IBH146" s="147"/>
      <c r="IBI146" s="147"/>
      <c r="IBJ146" s="147"/>
      <c r="IBK146" s="147"/>
      <c r="IBL146" s="147"/>
      <c r="IBM146" s="147"/>
      <c r="IBN146" s="147"/>
      <c r="IBO146" s="147"/>
      <c r="IBP146" s="147"/>
      <c r="IBQ146" s="147"/>
      <c r="IBR146" s="147"/>
      <c r="IBS146" s="147"/>
      <c r="IBT146" s="147"/>
      <c r="IBU146" s="147"/>
      <c r="IBV146" s="147"/>
      <c r="IBW146" s="147"/>
      <c r="IBX146" s="147"/>
      <c r="IBY146" s="147"/>
      <c r="IBZ146" s="147"/>
      <c r="ICA146" s="147"/>
      <c r="ICB146" s="147"/>
      <c r="ICC146" s="147"/>
      <c r="ICD146" s="147"/>
      <c r="ICE146" s="147"/>
      <c r="ICF146" s="147"/>
      <c r="ICG146" s="147"/>
      <c r="ICH146" s="147"/>
      <c r="ICI146" s="147"/>
      <c r="ICJ146" s="147"/>
      <c r="ICK146" s="147"/>
      <c r="ICL146" s="147"/>
      <c r="ICM146" s="147"/>
      <c r="ICN146" s="147"/>
      <c r="ICO146" s="147"/>
      <c r="ICP146" s="147"/>
      <c r="ICQ146" s="147"/>
      <c r="ICR146" s="147"/>
      <c r="ICS146" s="147"/>
      <c r="ICT146" s="147"/>
      <c r="ICU146" s="147"/>
      <c r="ICV146" s="147"/>
      <c r="ICW146" s="147"/>
      <c r="ICX146" s="147"/>
      <c r="ICY146" s="147"/>
      <c r="ICZ146" s="147"/>
      <c r="IDA146" s="147"/>
      <c r="IDB146" s="147"/>
      <c r="IDC146" s="147"/>
      <c r="IDD146" s="147"/>
      <c r="IDE146" s="147"/>
      <c r="IDF146" s="147"/>
      <c r="IDG146" s="147"/>
      <c r="IDH146" s="147"/>
      <c r="IDI146" s="147"/>
      <c r="IDJ146" s="147"/>
      <c r="IDK146" s="147"/>
      <c r="IDL146" s="147"/>
      <c r="IDM146" s="147"/>
      <c r="IDN146" s="147"/>
      <c r="IDO146" s="147"/>
      <c r="IDP146" s="147"/>
      <c r="IDQ146" s="147"/>
      <c r="IDR146" s="147"/>
      <c r="IDS146" s="147"/>
      <c r="IDT146" s="147"/>
      <c r="IDU146" s="147"/>
      <c r="IDV146" s="147"/>
      <c r="IDW146" s="147"/>
      <c r="IDX146" s="147"/>
      <c r="IDY146" s="147"/>
      <c r="IDZ146" s="147"/>
      <c r="IEA146" s="147"/>
      <c r="IEB146" s="147"/>
      <c r="IEC146" s="147"/>
      <c r="IED146" s="147"/>
      <c r="IEE146" s="147"/>
      <c r="IEF146" s="147"/>
      <c r="IEG146" s="147"/>
      <c r="IEH146" s="147"/>
      <c r="IEI146" s="147"/>
      <c r="IEJ146" s="147"/>
      <c r="IEK146" s="147"/>
      <c r="IEL146" s="147"/>
      <c r="IEM146" s="147"/>
      <c r="IEN146" s="147"/>
      <c r="IEO146" s="147"/>
      <c r="IEP146" s="147"/>
      <c r="IEQ146" s="147"/>
      <c r="IER146" s="147"/>
      <c r="IES146" s="147"/>
      <c r="IET146" s="147"/>
      <c r="IEU146" s="147"/>
      <c r="IEV146" s="147"/>
      <c r="IEW146" s="147"/>
      <c r="IEX146" s="147"/>
      <c r="IEY146" s="147"/>
      <c r="IEZ146" s="147"/>
      <c r="IFA146" s="147"/>
      <c r="IFB146" s="147"/>
      <c r="IFC146" s="147"/>
      <c r="IFD146" s="147"/>
      <c r="IFE146" s="147"/>
      <c r="IFF146" s="147"/>
      <c r="IFG146" s="147"/>
      <c r="IFH146" s="147"/>
      <c r="IFI146" s="147"/>
      <c r="IFJ146" s="147"/>
      <c r="IFK146" s="147"/>
      <c r="IFL146" s="147"/>
      <c r="IFM146" s="147"/>
      <c r="IFN146" s="147"/>
      <c r="IFO146" s="147"/>
      <c r="IFP146" s="147"/>
      <c r="IFQ146" s="147"/>
      <c r="IFR146" s="147"/>
      <c r="IFS146" s="147"/>
      <c r="IFT146" s="147"/>
      <c r="IFU146" s="147"/>
      <c r="IFV146" s="147"/>
      <c r="IFW146" s="147"/>
      <c r="IFX146" s="147"/>
      <c r="IFY146" s="147"/>
      <c r="IFZ146" s="147"/>
      <c r="IGA146" s="147"/>
      <c r="IGB146" s="147"/>
      <c r="IGC146" s="147"/>
      <c r="IGD146" s="147"/>
      <c r="IGE146" s="147"/>
      <c r="IGF146" s="147"/>
      <c r="IGG146" s="147"/>
      <c r="IGH146" s="147"/>
      <c r="IGI146" s="147"/>
      <c r="IGJ146" s="147"/>
      <c r="IGK146" s="147"/>
      <c r="IGL146" s="147"/>
      <c r="IGM146" s="147"/>
      <c r="IGN146" s="147"/>
      <c r="IGO146" s="147"/>
      <c r="IGP146" s="147"/>
      <c r="IGQ146" s="147"/>
      <c r="IGR146" s="147"/>
      <c r="IGS146" s="147"/>
      <c r="IGT146" s="147"/>
      <c r="IGU146" s="147"/>
      <c r="IGV146" s="147"/>
      <c r="IGW146" s="147"/>
      <c r="IGX146" s="147"/>
      <c r="IGY146" s="147"/>
      <c r="IGZ146" s="147"/>
      <c r="IHA146" s="147"/>
      <c r="IHB146" s="147"/>
      <c r="IHC146" s="147"/>
      <c r="IHD146" s="147"/>
      <c r="IHE146" s="147"/>
      <c r="IHF146" s="147"/>
      <c r="IHG146" s="147"/>
      <c r="IHH146" s="147"/>
      <c r="IHI146" s="147"/>
      <c r="IHJ146" s="147"/>
      <c r="IHK146" s="147"/>
      <c r="IHL146" s="147"/>
      <c r="IHM146" s="147"/>
      <c r="IHN146" s="147"/>
      <c r="IHO146" s="147"/>
      <c r="IHP146" s="147"/>
      <c r="IHQ146" s="147"/>
      <c r="IHR146" s="147"/>
      <c r="IHS146" s="147"/>
      <c r="IHT146" s="147"/>
      <c r="IHU146" s="147"/>
      <c r="IHV146" s="147"/>
      <c r="IHW146" s="147"/>
      <c r="IHX146" s="147"/>
      <c r="IHY146" s="147"/>
      <c r="IHZ146" s="147"/>
      <c r="IIA146" s="147"/>
      <c r="IIB146" s="147"/>
      <c r="IIC146" s="147"/>
      <c r="IID146" s="147"/>
      <c r="IIE146" s="147"/>
      <c r="IIF146" s="147"/>
      <c r="IIG146" s="147"/>
      <c r="IIH146" s="147"/>
      <c r="III146" s="147"/>
      <c r="IIJ146" s="147"/>
      <c r="IIK146" s="147"/>
      <c r="IIL146" s="147"/>
      <c r="IIM146" s="147"/>
      <c r="IIN146" s="147"/>
      <c r="IIO146" s="147"/>
      <c r="IIP146" s="147"/>
      <c r="IIQ146" s="147"/>
      <c r="IIR146" s="147"/>
      <c r="IIS146" s="147"/>
      <c r="IIT146" s="147"/>
      <c r="IIU146" s="147"/>
      <c r="IIV146" s="147"/>
      <c r="IIW146" s="147"/>
      <c r="IIX146" s="147"/>
      <c r="IIY146" s="147"/>
      <c r="IIZ146" s="147"/>
      <c r="IJA146" s="147"/>
      <c r="IJB146" s="147"/>
      <c r="IJC146" s="147"/>
      <c r="IJD146" s="147"/>
      <c r="IJE146" s="147"/>
      <c r="IJF146" s="147"/>
      <c r="IJG146" s="147"/>
      <c r="IJH146" s="147"/>
      <c r="IJI146" s="147"/>
      <c r="IJJ146" s="147"/>
      <c r="IJK146" s="147"/>
      <c r="IJL146" s="147"/>
      <c r="IJM146" s="147"/>
      <c r="IJN146" s="147"/>
      <c r="IJO146" s="147"/>
      <c r="IJP146" s="147"/>
      <c r="IJQ146" s="147"/>
      <c r="IJR146" s="147"/>
      <c r="IJS146" s="147"/>
      <c r="IJT146" s="147"/>
      <c r="IJU146" s="147"/>
      <c r="IJV146" s="147"/>
      <c r="IJW146" s="147"/>
      <c r="IJX146" s="147"/>
      <c r="IJY146" s="147"/>
      <c r="IJZ146" s="147"/>
      <c r="IKA146" s="147"/>
      <c r="IKB146" s="147"/>
      <c r="IKC146" s="147"/>
      <c r="IKD146" s="147"/>
      <c r="IKE146" s="147"/>
      <c r="IKF146" s="147"/>
      <c r="IKG146" s="147"/>
      <c r="IKH146" s="147"/>
      <c r="IKI146" s="147"/>
      <c r="IKJ146" s="147"/>
      <c r="IKK146" s="147"/>
      <c r="IKL146" s="147"/>
      <c r="IKM146" s="147"/>
      <c r="IKN146" s="147"/>
      <c r="IKO146" s="147"/>
      <c r="IKP146" s="147"/>
      <c r="IKQ146" s="147"/>
      <c r="IKR146" s="147"/>
      <c r="IKS146" s="147"/>
      <c r="IKT146" s="147"/>
      <c r="IKU146" s="147"/>
      <c r="IKV146" s="147"/>
      <c r="IKW146" s="147"/>
      <c r="IKX146" s="147"/>
      <c r="IKY146" s="147"/>
      <c r="IKZ146" s="147"/>
      <c r="ILA146" s="147"/>
      <c r="ILB146" s="147"/>
      <c r="ILC146" s="147"/>
      <c r="ILD146" s="147"/>
      <c r="ILE146" s="147"/>
      <c r="ILF146" s="147"/>
      <c r="ILG146" s="147"/>
      <c r="ILH146" s="147"/>
      <c r="ILI146" s="147"/>
      <c r="ILJ146" s="147"/>
      <c r="ILK146" s="147"/>
      <c r="ILL146" s="147"/>
      <c r="ILM146" s="147"/>
      <c r="ILN146" s="147"/>
      <c r="ILO146" s="147"/>
      <c r="ILP146" s="147"/>
      <c r="ILQ146" s="147"/>
      <c r="ILR146" s="147"/>
      <c r="ILS146" s="147"/>
      <c r="ILT146" s="147"/>
      <c r="ILU146" s="147"/>
      <c r="ILV146" s="147"/>
      <c r="ILW146" s="147"/>
      <c r="ILX146" s="147"/>
      <c r="ILY146" s="147"/>
      <c r="ILZ146" s="147"/>
      <c r="IMA146" s="147"/>
      <c r="IMB146" s="147"/>
      <c r="IMC146" s="147"/>
      <c r="IMD146" s="147"/>
      <c r="IME146" s="147"/>
      <c r="IMF146" s="147"/>
      <c r="IMG146" s="147"/>
      <c r="IMH146" s="147"/>
      <c r="IMI146" s="147"/>
      <c r="IMJ146" s="147"/>
      <c r="IMK146" s="147"/>
      <c r="IML146" s="147"/>
      <c r="IMM146" s="147"/>
      <c r="IMN146" s="147"/>
      <c r="IMO146" s="147"/>
      <c r="IMP146" s="147"/>
      <c r="IMQ146" s="147"/>
      <c r="IMR146" s="147"/>
      <c r="IMS146" s="147"/>
      <c r="IMT146" s="147"/>
      <c r="IMU146" s="147"/>
      <c r="IMV146" s="147"/>
      <c r="IMW146" s="147"/>
      <c r="IMX146" s="147"/>
      <c r="IMY146" s="147"/>
      <c r="IMZ146" s="147"/>
      <c r="INA146" s="147"/>
      <c r="INB146" s="147"/>
      <c r="INC146" s="147"/>
      <c r="IND146" s="147"/>
      <c r="INE146" s="147"/>
      <c r="INF146" s="147"/>
      <c r="ING146" s="147"/>
      <c r="INH146" s="147"/>
      <c r="INI146" s="147"/>
      <c r="INJ146" s="147"/>
      <c r="INK146" s="147"/>
      <c r="INL146" s="147"/>
      <c r="INM146" s="147"/>
      <c r="INN146" s="147"/>
      <c r="INO146" s="147"/>
      <c r="INP146" s="147"/>
      <c r="INQ146" s="147"/>
      <c r="INR146" s="147"/>
      <c r="INS146" s="147"/>
      <c r="INT146" s="147"/>
      <c r="INU146" s="147"/>
      <c r="INV146" s="147"/>
      <c r="INW146" s="147"/>
      <c r="INX146" s="147"/>
      <c r="INY146" s="147"/>
      <c r="INZ146" s="147"/>
      <c r="IOA146" s="147"/>
      <c r="IOB146" s="147"/>
      <c r="IOC146" s="147"/>
      <c r="IOD146" s="147"/>
      <c r="IOE146" s="147"/>
      <c r="IOF146" s="147"/>
      <c r="IOG146" s="147"/>
      <c r="IOH146" s="147"/>
      <c r="IOI146" s="147"/>
      <c r="IOJ146" s="147"/>
      <c r="IOK146" s="147"/>
      <c r="IOL146" s="147"/>
      <c r="IOM146" s="147"/>
      <c r="ION146" s="147"/>
      <c r="IOO146" s="147"/>
      <c r="IOP146" s="147"/>
      <c r="IOQ146" s="147"/>
      <c r="IOR146" s="147"/>
      <c r="IOS146" s="147"/>
      <c r="IOT146" s="147"/>
      <c r="IOU146" s="147"/>
      <c r="IOV146" s="147"/>
      <c r="IOW146" s="147"/>
      <c r="IOX146" s="147"/>
      <c r="IOY146" s="147"/>
      <c r="IOZ146" s="147"/>
      <c r="IPA146" s="147"/>
      <c r="IPB146" s="147"/>
      <c r="IPC146" s="147"/>
      <c r="IPD146" s="147"/>
      <c r="IPE146" s="147"/>
      <c r="IPF146" s="147"/>
      <c r="IPG146" s="147"/>
      <c r="IPH146" s="147"/>
      <c r="IPI146" s="147"/>
      <c r="IPJ146" s="147"/>
      <c r="IPK146" s="147"/>
      <c r="IPL146" s="147"/>
      <c r="IPM146" s="147"/>
      <c r="IPN146" s="147"/>
      <c r="IPO146" s="147"/>
      <c r="IPP146" s="147"/>
      <c r="IPQ146" s="147"/>
      <c r="IPR146" s="147"/>
      <c r="IPS146" s="147"/>
      <c r="IPT146" s="147"/>
      <c r="IPU146" s="147"/>
      <c r="IPV146" s="147"/>
      <c r="IPW146" s="147"/>
      <c r="IPX146" s="147"/>
      <c r="IPY146" s="147"/>
      <c r="IPZ146" s="147"/>
      <c r="IQA146" s="147"/>
      <c r="IQB146" s="147"/>
      <c r="IQC146" s="147"/>
      <c r="IQD146" s="147"/>
      <c r="IQE146" s="147"/>
      <c r="IQF146" s="147"/>
      <c r="IQG146" s="147"/>
      <c r="IQH146" s="147"/>
      <c r="IQI146" s="147"/>
      <c r="IQJ146" s="147"/>
      <c r="IQK146" s="147"/>
      <c r="IQL146" s="147"/>
      <c r="IQM146" s="147"/>
      <c r="IQN146" s="147"/>
      <c r="IQO146" s="147"/>
      <c r="IQP146" s="147"/>
      <c r="IQQ146" s="147"/>
      <c r="IQR146" s="147"/>
      <c r="IQS146" s="147"/>
      <c r="IQT146" s="147"/>
      <c r="IQU146" s="147"/>
      <c r="IQV146" s="147"/>
      <c r="IQW146" s="147"/>
      <c r="IQX146" s="147"/>
      <c r="IQY146" s="147"/>
      <c r="IQZ146" s="147"/>
      <c r="IRA146" s="147"/>
      <c r="IRB146" s="147"/>
      <c r="IRC146" s="147"/>
      <c r="IRD146" s="147"/>
      <c r="IRE146" s="147"/>
      <c r="IRF146" s="147"/>
      <c r="IRG146" s="147"/>
      <c r="IRH146" s="147"/>
      <c r="IRI146" s="147"/>
      <c r="IRJ146" s="147"/>
      <c r="IRK146" s="147"/>
      <c r="IRL146" s="147"/>
      <c r="IRM146" s="147"/>
      <c r="IRN146" s="147"/>
      <c r="IRO146" s="147"/>
      <c r="IRP146" s="147"/>
      <c r="IRQ146" s="147"/>
      <c r="IRR146" s="147"/>
      <c r="IRS146" s="147"/>
      <c r="IRT146" s="147"/>
      <c r="IRU146" s="147"/>
      <c r="IRV146" s="147"/>
      <c r="IRW146" s="147"/>
      <c r="IRX146" s="147"/>
      <c r="IRY146" s="147"/>
      <c r="IRZ146" s="147"/>
      <c r="ISA146" s="147"/>
      <c r="ISB146" s="147"/>
      <c r="ISC146" s="147"/>
      <c r="ISD146" s="147"/>
      <c r="ISE146" s="147"/>
      <c r="ISF146" s="147"/>
      <c r="ISG146" s="147"/>
      <c r="ISH146" s="147"/>
      <c r="ISI146" s="147"/>
      <c r="ISJ146" s="147"/>
      <c r="ISK146" s="147"/>
      <c r="ISL146" s="147"/>
      <c r="ISM146" s="147"/>
      <c r="ISN146" s="147"/>
      <c r="ISO146" s="147"/>
      <c r="ISP146" s="147"/>
      <c r="ISQ146" s="147"/>
      <c r="ISR146" s="147"/>
      <c r="ISS146" s="147"/>
      <c r="IST146" s="147"/>
      <c r="ISU146" s="147"/>
      <c r="ISV146" s="147"/>
      <c r="ISW146" s="147"/>
      <c r="ISX146" s="147"/>
      <c r="ISY146" s="147"/>
      <c r="ISZ146" s="147"/>
      <c r="ITA146" s="147"/>
      <c r="ITB146" s="147"/>
      <c r="ITC146" s="147"/>
      <c r="ITD146" s="147"/>
      <c r="ITE146" s="147"/>
      <c r="ITF146" s="147"/>
      <c r="ITG146" s="147"/>
      <c r="ITH146" s="147"/>
      <c r="ITI146" s="147"/>
      <c r="ITJ146" s="147"/>
      <c r="ITK146" s="147"/>
      <c r="ITL146" s="147"/>
      <c r="ITM146" s="147"/>
      <c r="ITN146" s="147"/>
      <c r="ITO146" s="147"/>
      <c r="ITP146" s="147"/>
      <c r="ITQ146" s="147"/>
      <c r="ITR146" s="147"/>
      <c r="ITS146" s="147"/>
      <c r="ITT146" s="147"/>
      <c r="ITU146" s="147"/>
      <c r="ITV146" s="147"/>
      <c r="ITW146" s="147"/>
      <c r="ITX146" s="147"/>
      <c r="ITY146" s="147"/>
      <c r="ITZ146" s="147"/>
      <c r="IUA146" s="147"/>
      <c r="IUB146" s="147"/>
      <c r="IUC146" s="147"/>
      <c r="IUD146" s="147"/>
      <c r="IUE146" s="147"/>
      <c r="IUF146" s="147"/>
      <c r="IUG146" s="147"/>
      <c r="IUH146" s="147"/>
      <c r="IUI146" s="147"/>
      <c r="IUJ146" s="147"/>
      <c r="IUK146" s="147"/>
      <c r="IUL146" s="147"/>
      <c r="IUM146" s="147"/>
      <c r="IUN146" s="147"/>
      <c r="IUO146" s="147"/>
      <c r="IUP146" s="147"/>
      <c r="IUQ146" s="147"/>
      <c r="IUR146" s="147"/>
      <c r="IUS146" s="147"/>
      <c r="IUT146" s="147"/>
      <c r="IUU146" s="147"/>
      <c r="IUV146" s="147"/>
      <c r="IUW146" s="147"/>
      <c r="IUX146" s="147"/>
      <c r="IUY146" s="147"/>
      <c r="IUZ146" s="147"/>
      <c r="IVA146" s="147"/>
      <c r="IVB146" s="147"/>
      <c r="IVC146" s="147"/>
      <c r="IVD146" s="147"/>
      <c r="IVE146" s="147"/>
      <c r="IVF146" s="147"/>
      <c r="IVG146" s="147"/>
      <c r="IVH146" s="147"/>
      <c r="IVI146" s="147"/>
      <c r="IVJ146" s="147"/>
      <c r="IVK146" s="147"/>
      <c r="IVL146" s="147"/>
      <c r="IVM146" s="147"/>
      <c r="IVN146" s="147"/>
      <c r="IVO146" s="147"/>
      <c r="IVP146" s="147"/>
      <c r="IVQ146" s="147"/>
      <c r="IVR146" s="147"/>
      <c r="IVS146" s="147"/>
      <c r="IVT146" s="147"/>
      <c r="IVU146" s="147"/>
      <c r="IVV146" s="147"/>
      <c r="IVW146" s="147"/>
      <c r="IVX146" s="147"/>
      <c r="IVY146" s="147"/>
      <c r="IVZ146" s="147"/>
      <c r="IWA146" s="147"/>
      <c r="IWB146" s="147"/>
      <c r="IWC146" s="147"/>
      <c r="IWD146" s="147"/>
      <c r="IWE146" s="147"/>
      <c r="IWF146" s="147"/>
      <c r="IWG146" s="147"/>
      <c r="IWH146" s="147"/>
      <c r="IWI146" s="147"/>
      <c r="IWJ146" s="147"/>
      <c r="IWK146" s="147"/>
      <c r="IWL146" s="147"/>
      <c r="IWM146" s="147"/>
      <c r="IWN146" s="147"/>
      <c r="IWO146" s="147"/>
      <c r="IWP146" s="147"/>
      <c r="IWQ146" s="147"/>
      <c r="IWR146" s="147"/>
      <c r="IWS146" s="147"/>
      <c r="IWT146" s="147"/>
      <c r="IWU146" s="147"/>
      <c r="IWV146" s="147"/>
      <c r="IWW146" s="147"/>
      <c r="IWX146" s="147"/>
      <c r="IWY146" s="147"/>
      <c r="IWZ146" s="147"/>
      <c r="IXA146" s="147"/>
      <c r="IXB146" s="147"/>
      <c r="IXC146" s="147"/>
      <c r="IXD146" s="147"/>
      <c r="IXE146" s="147"/>
      <c r="IXF146" s="147"/>
      <c r="IXG146" s="147"/>
      <c r="IXH146" s="147"/>
      <c r="IXI146" s="147"/>
      <c r="IXJ146" s="147"/>
      <c r="IXK146" s="147"/>
      <c r="IXL146" s="147"/>
      <c r="IXM146" s="147"/>
      <c r="IXN146" s="147"/>
      <c r="IXO146" s="147"/>
      <c r="IXP146" s="147"/>
      <c r="IXQ146" s="147"/>
      <c r="IXR146" s="147"/>
      <c r="IXS146" s="147"/>
      <c r="IXT146" s="147"/>
      <c r="IXU146" s="147"/>
      <c r="IXV146" s="147"/>
      <c r="IXW146" s="147"/>
      <c r="IXX146" s="147"/>
      <c r="IXY146" s="147"/>
      <c r="IXZ146" s="147"/>
      <c r="IYA146" s="147"/>
      <c r="IYB146" s="147"/>
      <c r="IYC146" s="147"/>
      <c r="IYD146" s="147"/>
      <c r="IYE146" s="147"/>
      <c r="IYF146" s="147"/>
      <c r="IYG146" s="147"/>
      <c r="IYH146" s="147"/>
      <c r="IYI146" s="147"/>
      <c r="IYJ146" s="147"/>
      <c r="IYK146" s="147"/>
      <c r="IYL146" s="147"/>
      <c r="IYM146" s="147"/>
      <c r="IYN146" s="147"/>
      <c r="IYO146" s="147"/>
      <c r="IYP146" s="147"/>
      <c r="IYQ146" s="147"/>
      <c r="IYR146" s="147"/>
      <c r="IYS146" s="147"/>
      <c r="IYT146" s="147"/>
      <c r="IYU146" s="147"/>
      <c r="IYV146" s="147"/>
      <c r="IYW146" s="147"/>
      <c r="IYX146" s="147"/>
      <c r="IYY146" s="147"/>
      <c r="IYZ146" s="147"/>
      <c r="IZA146" s="147"/>
      <c r="IZB146" s="147"/>
      <c r="IZC146" s="147"/>
      <c r="IZD146" s="147"/>
      <c r="IZE146" s="147"/>
      <c r="IZF146" s="147"/>
      <c r="IZG146" s="147"/>
      <c r="IZH146" s="147"/>
      <c r="IZI146" s="147"/>
      <c r="IZJ146" s="147"/>
      <c r="IZK146" s="147"/>
      <c r="IZL146" s="147"/>
      <c r="IZM146" s="147"/>
      <c r="IZN146" s="147"/>
      <c r="IZO146" s="147"/>
      <c r="IZP146" s="147"/>
      <c r="IZQ146" s="147"/>
      <c r="IZR146" s="147"/>
      <c r="IZS146" s="147"/>
      <c r="IZT146" s="147"/>
      <c r="IZU146" s="147"/>
      <c r="IZV146" s="147"/>
      <c r="IZW146" s="147"/>
      <c r="IZX146" s="147"/>
      <c r="IZY146" s="147"/>
      <c r="IZZ146" s="147"/>
      <c r="JAA146" s="147"/>
      <c r="JAB146" s="147"/>
      <c r="JAC146" s="147"/>
      <c r="JAD146" s="147"/>
      <c r="JAE146" s="147"/>
      <c r="JAF146" s="147"/>
      <c r="JAG146" s="147"/>
      <c r="JAH146" s="147"/>
      <c r="JAI146" s="147"/>
      <c r="JAJ146" s="147"/>
      <c r="JAK146" s="147"/>
      <c r="JAL146" s="147"/>
      <c r="JAM146" s="147"/>
      <c r="JAN146" s="147"/>
      <c r="JAO146" s="147"/>
      <c r="JAP146" s="147"/>
      <c r="JAQ146" s="147"/>
      <c r="JAR146" s="147"/>
      <c r="JAS146" s="147"/>
      <c r="JAT146" s="147"/>
      <c r="JAU146" s="147"/>
      <c r="JAV146" s="147"/>
      <c r="JAW146" s="147"/>
      <c r="JAX146" s="147"/>
      <c r="JAY146" s="147"/>
      <c r="JAZ146" s="147"/>
      <c r="JBA146" s="147"/>
      <c r="JBB146" s="147"/>
      <c r="JBC146" s="147"/>
      <c r="JBD146" s="147"/>
      <c r="JBE146" s="147"/>
      <c r="JBF146" s="147"/>
      <c r="JBG146" s="147"/>
      <c r="JBH146" s="147"/>
      <c r="JBI146" s="147"/>
      <c r="JBJ146" s="147"/>
      <c r="JBK146" s="147"/>
      <c r="JBL146" s="147"/>
      <c r="JBM146" s="147"/>
      <c r="JBN146" s="147"/>
      <c r="JBO146" s="147"/>
      <c r="JBP146" s="147"/>
      <c r="JBQ146" s="147"/>
      <c r="JBR146" s="147"/>
      <c r="JBS146" s="147"/>
      <c r="JBT146" s="147"/>
      <c r="JBU146" s="147"/>
      <c r="JBV146" s="147"/>
      <c r="JBW146" s="147"/>
      <c r="JBX146" s="147"/>
      <c r="JBY146" s="147"/>
      <c r="JBZ146" s="147"/>
      <c r="JCA146" s="147"/>
      <c r="JCB146" s="147"/>
      <c r="JCC146" s="147"/>
      <c r="JCD146" s="147"/>
      <c r="JCE146" s="147"/>
      <c r="JCF146" s="147"/>
      <c r="JCG146" s="147"/>
      <c r="JCH146" s="147"/>
      <c r="JCI146" s="147"/>
      <c r="JCJ146" s="147"/>
      <c r="JCK146" s="147"/>
      <c r="JCL146" s="147"/>
      <c r="JCM146" s="147"/>
      <c r="JCN146" s="147"/>
      <c r="JCO146" s="147"/>
      <c r="JCP146" s="147"/>
      <c r="JCQ146" s="147"/>
      <c r="JCR146" s="147"/>
      <c r="JCS146" s="147"/>
      <c r="JCT146" s="147"/>
      <c r="JCU146" s="147"/>
      <c r="JCV146" s="147"/>
      <c r="JCW146" s="147"/>
      <c r="JCX146" s="147"/>
      <c r="JCY146" s="147"/>
      <c r="JCZ146" s="147"/>
      <c r="JDA146" s="147"/>
      <c r="JDB146" s="147"/>
      <c r="JDC146" s="147"/>
      <c r="JDD146" s="147"/>
      <c r="JDE146" s="147"/>
      <c r="JDF146" s="147"/>
      <c r="JDG146" s="147"/>
      <c r="JDH146" s="147"/>
      <c r="JDI146" s="147"/>
      <c r="JDJ146" s="147"/>
      <c r="JDK146" s="147"/>
      <c r="JDL146" s="147"/>
      <c r="JDM146" s="147"/>
      <c r="JDN146" s="147"/>
      <c r="JDO146" s="147"/>
      <c r="JDP146" s="147"/>
      <c r="JDQ146" s="147"/>
      <c r="JDR146" s="147"/>
      <c r="JDS146" s="147"/>
      <c r="JDT146" s="147"/>
      <c r="JDU146" s="147"/>
      <c r="JDV146" s="147"/>
      <c r="JDW146" s="147"/>
      <c r="JDX146" s="147"/>
      <c r="JDY146" s="147"/>
      <c r="JDZ146" s="147"/>
      <c r="JEA146" s="147"/>
      <c r="JEB146" s="147"/>
      <c r="JEC146" s="147"/>
      <c r="JED146" s="147"/>
      <c r="JEE146" s="147"/>
      <c r="JEF146" s="147"/>
      <c r="JEG146" s="147"/>
      <c r="JEH146" s="147"/>
      <c r="JEI146" s="147"/>
      <c r="JEJ146" s="147"/>
      <c r="JEK146" s="147"/>
      <c r="JEL146" s="147"/>
      <c r="JEM146" s="147"/>
      <c r="JEN146" s="147"/>
      <c r="JEO146" s="147"/>
      <c r="JEP146" s="147"/>
      <c r="JEQ146" s="147"/>
      <c r="JER146" s="147"/>
      <c r="JES146" s="147"/>
      <c r="JET146" s="147"/>
      <c r="JEU146" s="147"/>
      <c r="JEV146" s="147"/>
      <c r="JEW146" s="147"/>
      <c r="JEX146" s="147"/>
      <c r="JEY146" s="147"/>
      <c r="JEZ146" s="147"/>
      <c r="JFA146" s="147"/>
      <c r="JFB146" s="147"/>
      <c r="JFC146" s="147"/>
      <c r="JFD146" s="147"/>
      <c r="JFE146" s="147"/>
      <c r="JFF146" s="147"/>
      <c r="JFG146" s="147"/>
      <c r="JFH146" s="147"/>
      <c r="JFI146" s="147"/>
      <c r="JFJ146" s="147"/>
      <c r="JFK146" s="147"/>
      <c r="JFL146" s="147"/>
      <c r="JFM146" s="147"/>
      <c r="JFN146" s="147"/>
      <c r="JFO146" s="147"/>
      <c r="JFP146" s="147"/>
      <c r="JFQ146" s="147"/>
      <c r="JFR146" s="147"/>
      <c r="JFS146" s="147"/>
      <c r="JFT146" s="147"/>
      <c r="JFU146" s="147"/>
      <c r="JFV146" s="147"/>
      <c r="JFW146" s="147"/>
      <c r="JFX146" s="147"/>
      <c r="JFY146" s="147"/>
      <c r="JFZ146" s="147"/>
      <c r="JGA146" s="147"/>
      <c r="JGB146" s="147"/>
      <c r="JGC146" s="147"/>
      <c r="JGD146" s="147"/>
      <c r="JGE146" s="147"/>
      <c r="JGF146" s="147"/>
      <c r="JGG146" s="147"/>
      <c r="JGH146" s="147"/>
      <c r="JGI146" s="147"/>
      <c r="JGJ146" s="147"/>
      <c r="JGK146" s="147"/>
      <c r="JGL146" s="147"/>
      <c r="JGM146" s="147"/>
      <c r="JGN146" s="147"/>
      <c r="JGO146" s="147"/>
      <c r="JGP146" s="147"/>
      <c r="JGQ146" s="147"/>
      <c r="JGR146" s="147"/>
      <c r="JGS146" s="147"/>
      <c r="JGT146" s="147"/>
      <c r="JGU146" s="147"/>
      <c r="JGV146" s="147"/>
      <c r="JGW146" s="147"/>
      <c r="JGX146" s="147"/>
      <c r="JGY146" s="147"/>
      <c r="JGZ146" s="147"/>
      <c r="JHA146" s="147"/>
      <c r="JHB146" s="147"/>
      <c r="JHC146" s="147"/>
      <c r="JHD146" s="147"/>
      <c r="JHE146" s="147"/>
      <c r="JHF146" s="147"/>
      <c r="JHG146" s="147"/>
      <c r="JHH146" s="147"/>
      <c r="JHI146" s="147"/>
      <c r="JHJ146" s="147"/>
      <c r="JHK146" s="147"/>
      <c r="JHL146" s="147"/>
      <c r="JHM146" s="147"/>
      <c r="JHN146" s="147"/>
      <c r="JHO146" s="147"/>
      <c r="JHP146" s="147"/>
      <c r="JHQ146" s="147"/>
      <c r="JHR146" s="147"/>
      <c r="JHS146" s="147"/>
      <c r="JHT146" s="147"/>
      <c r="JHU146" s="147"/>
      <c r="JHV146" s="147"/>
      <c r="JHW146" s="147"/>
      <c r="JHX146" s="147"/>
      <c r="JHY146" s="147"/>
      <c r="JHZ146" s="147"/>
      <c r="JIA146" s="147"/>
      <c r="JIB146" s="147"/>
      <c r="JIC146" s="147"/>
      <c r="JID146" s="147"/>
      <c r="JIE146" s="147"/>
      <c r="JIF146" s="147"/>
      <c r="JIG146" s="147"/>
      <c r="JIH146" s="147"/>
      <c r="JII146" s="147"/>
      <c r="JIJ146" s="147"/>
      <c r="JIK146" s="147"/>
      <c r="JIL146" s="147"/>
      <c r="JIM146" s="147"/>
      <c r="JIN146" s="147"/>
      <c r="JIO146" s="147"/>
      <c r="JIP146" s="147"/>
      <c r="JIQ146" s="147"/>
      <c r="JIR146" s="147"/>
      <c r="JIS146" s="147"/>
      <c r="JIT146" s="147"/>
      <c r="JIU146" s="147"/>
      <c r="JIV146" s="147"/>
      <c r="JIW146" s="147"/>
      <c r="JIX146" s="147"/>
      <c r="JIY146" s="147"/>
      <c r="JIZ146" s="147"/>
      <c r="JJA146" s="147"/>
      <c r="JJB146" s="147"/>
      <c r="JJC146" s="147"/>
      <c r="JJD146" s="147"/>
      <c r="JJE146" s="147"/>
      <c r="JJF146" s="147"/>
      <c r="JJG146" s="147"/>
      <c r="JJH146" s="147"/>
      <c r="JJI146" s="147"/>
      <c r="JJJ146" s="147"/>
      <c r="JJK146" s="147"/>
      <c r="JJL146" s="147"/>
      <c r="JJM146" s="147"/>
      <c r="JJN146" s="147"/>
      <c r="JJO146" s="147"/>
      <c r="JJP146" s="147"/>
      <c r="JJQ146" s="147"/>
      <c r="JJR146" s="147"/>
      <c r="JJS146" s="147"/>
      <c r="JJT146" s="147"/>
      <c r="JJU146" s="147"/>
      <c r="JJV146" s="147"/>
      <c r="JJW146" s="147"/>
      <c r="JJX146" s="147"/>
      <c r="JJY146" s="147"/>
      <c r="JJZ146" s="147"/>
      <c r="JKA146" s="147"/>
      <c r="JKB146" s="147"/>
      <c r="JKC146" s="147"/>
      <c r="JKD146" s="147"/>
      <c r="JKE146" s="147"/>
      <c r="JKF146" s="147"/>
      <c r="JKG146" s="147"/>
      <c r="JKH146" s="147"/>
      <c r="JKI146" s="147"/>
      <c r="JKJ146" s="147"/>
      <c r="JKK146" s="147"/>
      <c r="JKL146" s="147"/>
      <c r="JKM146" s="147"/>
      <c r="JKN146" s="147"/>
      <c r="JKO146" s="147"/>
      <c r="JKP146" s="147"/>
      <c r="JKQ146" s="147"/>
      <c r="JKR146" s="147"/>
      <c r="JKS146" s="147"/>
      <c r="JKT146" s="147"/>
      <c r="JKU146" s="147"/>
      <c r="JKV146" s="147"/>
      <c r="JKW146" s="147"/>
      <c r="JKX146" s="147"/>
      <c r="JKY146" s="147"/>
      <c r="JKZ146" s="147"/>
      <c r="JLA146" s="147"/>
      <c r="JLB146" s="147"/>
      <c r="JLC146" s="147"/>
      <c r="JLD146" s="147"/>
      <c r="JLE146" s="147"/>
      <c r="JLF146" s="147"/>
      <c r="JLG146" s="147"/>
      <c r="JLH146" s="147"/>
      <c r="JLI146" s="147"/>
      <c r="JLJ146" s="147"/>
      <c r="JLK146" s="147"/>
      <c r="JLL146" s="147"/>
      <c r="JLM146" s="147"/>
      <c r="JLN146" s="147"/>
      <c r="JLO146" s="147"/>
      <c r="JLP146" s="147"/>
      <c r="JLQ146" s="147"/>
      <c r="JLR146" s="147"/>
      <c r="JLS146" s="147"/>
      <c r="JLT146" s="147"/>
      <c r="JLU146" s="147"/>
      <c r="JLV146" s="147"/>
      <c r="JLW146" s="147"/>
      <c r="JLX146" s="147"/>
      <c r="JLY146" s="147"/>
      <c r="JLZ146" s="147"/>
      <c r="JMA146" s="147"/>
      <c r="JMB146" s="147"/>
      <c r="JMC146" s="147"/>
      <c r="JMD146" s="147"/>
      <c r="JME146" s="147"/>
      <c r="JMF146" s="147"/>
      <c r="JMG146" s="147"/>
      <c r="JMH146" s="147"/>
      <c r="JMI146" s="147"/>
      <c r="JMJ146" s="147"/>
      <c r="JMK146" s="147"/>
      <c r="JML146" s="147"/>
      <c r="JMM146" s="147"/>
      <c r="JMN146" s="147"/>
      <c r="JMO146" s="147"/>
      <c r="JMP146" s="147"/>
      <c r="JMQ146" s="147"/>
      <c r="JMR146" s="147"/>
      <c r="JMS146" s="147"/>
      <c r="JMT146" s="147"/>
      <c r="JMU146" s="147"/>
      <c r="JMV146" s="147"/>
      <c r="JMW146" s="147"/>
      <c r="JMX146" s="147"/>
      <c r="JMY146" s="147"/>
      <c r="JMZ146" s="147"/>
      <c r="JNA146" s="147"/>
      <c r="JNB146" s="147"/>
      <c r="JNC146" s="147"/>
      <c r="JND146" s="147"/>
      <c r="JNE146" s="147"/>
      <c r="JNF146" s="147"/>
      <c r="JNG146" s="147"/>
      <c r="JNH146" s="147"/>
      <c r="JNI146" s="147"/>
      <c r="JNJ146" s="147"/>
      <c r="JNK146" s="147"/>
      <c r="JNL146" s="147"/>
      <c r="JNM146" s="147"/>
      <c r="JNN146" s="147"/>
      <c r="JNO146" s="147"/>
      <c r="JNP146" s="147"/>
      <c r="JNQ146" s="147"/>
      <c r="JNR146" s="147"/>
      <c r="JNS146" s="147"/>
      <c r="JNT146" s="147"/>
      <c r="JNU146" s="147"/>
      <c r="JNV146" s="147"/>
      <c r="JNW146" s="147"/>
      <c r="JNX146" s="147"/>
      <c r="JNY146" s="147"/>
      <c r="JNZ146" s="147"/>
      <c r="JOA146" s="147"/>
      <c r="JOB146" s="147"/>
      <c r="JOC146" s="147"/>
      <c r="JOD146" s="147"/>
      <c r="JOE146" s="147"/>
      <c r="JOF146" s="147"/>
      <c r="JOG146" s="147"/>
      <c r="JOH146" s="147"/>
      <c r="JOI146" s="147"/>
      <c r="JOJ146" s="147"/>
      <c r="JOK146" s="147"/>
      <c r="JOL146" s="147"/>
      <c r="JOM146" s="147"/>
      <c r="JON146" s="147"/>
      <c r="JOO146" s="147"/>
      <c r="JOP146" s="147"/>
      <c r="JOQ146" s="147"/>
      <c r="JOR146" s="147"/>
      <c r="JOS146" s="147"/>
      <c r="JOT146" s="147"/>
      <c r="JOU146" s="147"/>
      <c r="JOV146" s="147"/>
      <c r="JOW146" s="147"/>
      <c r="JOX146" s="147"/>
      <c r="JOY146" s="147"/>
      <c r="JOZ146" s="147"/>
      <c r="JPA146" s="147"/>
      <c r="JPB146" s="147"/>
      <c r="JPC146" s="147"/>
      <c r="JPD146" s="147"/>
      <c r="JPE146" s="147"/>
      <c r="JPF146" s="147"/>
      <c r="JPG146" s="147"/>
      <c r="JPH146" s="147"/>
      <c r="JPI146" s="147"/>
      <c r="JPJ146" s="147"/>
      <c r="JPK146" s="147"/>
      <c r="JPL146" s="147"/>
      <c r="JPM146" s="147"/>
      <c r="JPN146" s="147"/>
      <c r="JPO146" s="147"/>
      <c r="JPP146" s="147"/>
      <c r="JPQ146" s="147"/>
      <c r="JPR146" s="147"/>
      <c r="JPS146" s="147"/>
      <c r="JPT146" s="147"/>
      <c r="JPU146" s="147"/>
      <c r="JPV146" s="147"/>
      <c r="JPW146" s="147"/>
      <c r="JPX146" s="147"/>
      <c r="JPY146" s="147"/>
      <c r="JPZ146" s="147"/>
      <c r="JQA146" s="147"/>
      <c r="JQB146" s="147"/>
      <c r="JQC146" s="147"/>
      <c r="JQD146" s="147"/>
      <c r="JQE146" s="147"/>
      <c r="JQF146" s="147"/>
      <c r="JQG146" s="147"/>
      <c r="JQH146" s="147"/>
      <c r="JQI146" s="147"/>
      <c r="JQJ146" s="147"/>
      <c r="JQK146" s="147"/>
      <c r="JQL146" s="147"/>
      <c r="JQM146" s="147"/>
      <c r="JQN146" s="147"/>
      <c r="JQO146" s="147"/>
      <c r="JQP146" s="147"/>
      <c r="JQQ146" s="147"/>
      <c r="JQR146" s="147"/>
      <c r="JQS146" s="147"/>
      <c r="JQT146" s="147"/>
      <c r="JQU146" s="147"/>
      <c r="JQV146" s="147"/>
      <c r="JQW146" s="147"/>
      <c r="JQX146" s="147"/>
      <c r="JQY146" s="147"/>
      <c r="JQZ146" s="147"/>
      <c r="JRA146" s="147"/>
      <c r="JRB146" s="147"/>
      <c r="JRC146" s="147"/>
      <c r="JRD146" s="147"/>
      <c r="JRE146" s="147"/>
      <c r="JRF146" s="147"/>
      <c r="JRG146" s="147"/>
      <c r="JRH146" s="147"/>
      <c r="JRI146" s="147"/>
      <c r="JRJ146" s="147"/>
      <c r="JRK146" s="147"/>
      <c r="JRL146" s="147"/>
      <c r="JRM146" s="147"/>
      <c r="JRN146" s="147"/>
      <c r="JRO146" s="147"/>
      <c r="JRP146" s="147"/>
      <c r="JRQ146" s="147"/>
      <c r="JRR146" s="147"/>
      <c r="JRS146" s="147"/>
      <c r="JRT146" s="147"/>
      <c r="JRU146" s="147"/>
      <c r="JRV146" s="147"/>
      <c r="JRW146" s="147"/>
      <c r="JRX146" s="147"/>
      <c r="JRY146" s="147"/>
      <c r="JRZ146" s="147"/>
      <c r="JSA146" s="147"/>
      <c r="JSB146" s="147"/>
      <c r="JSC146" s="147"/>
      <c r="JSD146" s="147"/>
      <c r="JSE146" s="147"/>
      <c r="JSF146" s="147"/>
      <c r="JSG146" s="147"/>
      <c r="JSH146" s="147"/>
      <c r="JSI146" s="147"/>
      <c r="JSJ146" s="147"/>
      <c r="JSK146" s="147"/>
      <c r="JSL146" s="147"/>
      <c r="JSM146" s="147"/>
      <c r="JSN146" s="147"/>
      <c r="JSO146" s="147"/>
      <c r="JSP146" s="147"/>
      <c r="JSQ146" s="147"/>
      <c r="JSR146" s="147"/>
      <c r="JSS146" s="147"/>
      <c r="JST146" s="147"/>
      <c r="JSU146" s="147"/>
      <c r="JSV146" s="147"/>
      <c r="JSW146" s="147"/>
      <c r="JSX146" s="147"/>
      <c r="JSY146" s="147"/>
      <c r="JSZ146" s="147"/>
      <c r="JTA146" s="147"/>
      <c r="JTB146" s="147"/>
      <c r="JTC146" s="147"/>
      <c r="JTD146" s="147"/>
      <c r="JTE146" s="147"/>
      <c r="JTF146" s="147"/>
      <c r="JTG146" s="147"/>
      <c r="JTH146" s="147"/>
      <c r="JTI146" s="147"/>
      <c r="JTJ146" s="147"/>
      <c r="JTK146" s="147"/>
      <c r="JTL146" s="147"/>
      <c r="JTM146" s="147"/>
      <c r="JTN146" s="147"/>
      <c r="JTO146" s="147"/>
      <c r="JTP146" s="147"/>
      <c r="JTQ146" s="147"/>
      <c r="JTR146" s="147"/>
      <c r="JTS146" s="147"/>
      <c r="JTT146" s="147"/>
      <c r="JTU146" s="147"/>
      <c r="JTV146" s="147"/>
      <c r="JTW146" s="147"/>
      <c r="JTX146" s="147"/>
      <c r="JTY146" s="147"/>
      <c r="JTZ146" s="147"/>
      <c r="JUA146" s="147"/>
      <c r="JUB146" s="147"/>
      <c r="JUC146" s="147"/>
      <c r="JUD146" s="147"/>
      <c r="JUE146" s="147"/>
      <c r="JUF146" s="147"/>
      <c r="JUG146" s="147"/>
      <c r="JUH146" s="147"/>
      <c r="JUI146" s="147"/>
      <c r="JUJ146" s="147"/>
      <c r="JUK146" s="147"/>
      <c r="JUL146" s="147"/>
      <c r="JUM146" s="147"/>
      <c r="JUN146" s="147"/>
      <c r="JUO146" s="147"/>
      <c r="JUP146" s="147"/>
      <c r="JUQ146" s="147"/>
      <c r="JUR146" s="147"/>
      <c r="JUS146" s="147"/>
      <c r="JUT146" s="147"/>
      <c r="JUU146" s="147"/>
      <c r="JUV146" s="147"/>
      <c r="JUW146" s="147"/>
      <c r="JUX146" s="147"/>
      <c r="JUY146" s="147"/>
      <c r="JUZ146" s="147"/>
      <c r="JVA146" s="147"/>
      <c r="JVB146" s="147"/>
      <c r="JVC146" s="147"/>
      <c r="JVD146" s="147"/>
      <c r="JVE146" s="147"/>
      <c r="JVF146" s="147"/>
      <c r="JVG146" s="147"/>
      <c r="JVH146" s="147"/>
      <c r="JVI146" s="147"/>
      <c r="JVJ146" s="147"/>
      <c r="JVK146" s="147"/>
      <c r="JVL146" s="147"/>
      <c r="JVM146" s="147"/>
      <c r="JVN146" s="147"/>
      <c r="JVO146" s="147"/>
      <c r="JVP146" s="147"/>
      <c r="JVQ146" s="147"/>
      <c r="JVR146" s="147"/>
      <c r="JVS146" s="147"/>
      <c r="JVT146" s="147"/>
      <c r="JVU146" s="147"/>
      <c r="JVV146" s="147"/>
      <c r="JVW146" s="147"/>
      <c r="JVX146" s="147"/>
      <c r="JVY146" s="147"/>
      <c r="JVZ146" s="147"/>
      <c r="JWA146" s="147"/>
      <c r="JWB146" s="147"/>
      <c r="JWC146" s="147"/>
      <c r="JWD146" s="147"/>
      <c r="JWE146" s="147"/>
      <c r="JWF146" s="147"/>
      <c r="JWG146" s="147"/>
      <c r="JWH146" s="147"/>
      <c r="JWI146" s="147"/>
      <c r="JWJ146" s="147"/>
      <c r="JWK146" s="147"/>
      <c r="JWL146" s="147"/>
      <c r="JWM146" s="147"/>
      <c r="JWN146" s="147"/>
      <c r="JWO146" s="147"/>
      <c r="JWP146" s="147"/>
      <c r="JWQ146" s="147"/>
      <c r="JWR146" s="147"/>
      <c r="JWS146" s="147"/>
      <c r="JWT146" s="147"/>
      <c r="JWU146" s="147"/>
      <c r="JWV146" s="147"/>
      <c r="JWW146" s="147"/>
      <c r="JWX146" s="147"/>
      <c r="JWY146" s="147"/>
      <c r="JWZ146" s="147"/>
      <c r="JXA146" s="147"/>
      <c r="JXB146" s="147"/>
      <c r="JXC146" s="147"/>
      <c r="JXD146" s="147"/>
      <c r="JXE146" s="147"/>
      <c r="JXF146" s="147"/>
      <c r="JXG146" s="147"/>
      <c r="JXH146" s="147"/>
      <c r="JXI146" s="147"/>
      <c r="JXJ146" s="147"/>
      <c r="JXK146" s="147"/>
      <c r="JXL146" s="147"/>
      <c r="JXM146" s="147"/>
      <c r="JXN146" s="147"/>
      <c r="JXO146" s="147"/>
      <c r="JXP146" s="147"/>
      <c r="JXQ146" s="147"/>
      <c r="JXR146" s="147"/>
      <c r="JXS146" s="147"/>
      <c r="JXT146" s="147"/>
      <c r="JXU146" s="147"/>
      <c r="JXV146" s="147"/>
      <c r="JXW146" s="147"/>
      <c r="JXX146" s="147"/>
      <c r="JXY146" s="147"/>
      <c r="JXZ146" s="147"/>
      <c r="JYA146" s="147"/>
      <c r="JYB146" s="147"/>
      <c r="JYC146" s="147"/>
      <c r="JYD146" s="147"/>
      <c r="JYE146" s="147"/>
      <c r="JYF146" s="147"/>
      <c r="JYG146" s="147"/>
      <c r="JYH146" s="147"/>
      <c r="JYI146" s="147"/>
      <c r="JYJ146" s="147"/>
      <c r="JYK146" s="147"/>
      <c r="JYL146" s="147"/>
      <c r="JYM146" s="147"/>
      <c r="JYN146" s="147"/>
      <c r="JYO146" s="147"/>
      <c r="JYP146" s="147"/>
      <c r="JYQ146" s="147"/>
      <c r="JYR146" s="147"/>
      <c r="JYS146" s="147"/>
      <c r="JYT146" s="147"/>
      <c r="JYU146" s="147"/>
      <c r="JYV146" s="147"/>
      <c r="JYW146" s="147"/>
      <c r="JYX146" s="147"/>
      <c r="JYY146" s="147"/>
      <c r="JYZ146" s="147"/>
      <c r="JZA146" s="147"/>
      <c r="JZB146" s="147"/>
      <c r="JZC146" s="147"/>
      <c r="JZD146" s="147"/>
      <c r="JZE146" s="147"/>
      <c r="JZF146" s="147"/>
      <c r="JZG146" s="147"/>
      <c r="JZH146" s="147"/>
      <c r="JZI146" s="147"/>
      <c r="JZJ146" s="147"/>
      <c r="JZK146" s="147"/>
      <c r="JZL146" s="147"/>
      <c r="JZM146" s="147"/>
      <c r="JZN146" s="147"/>
      <c r="JZO146" s="147"/>
      <c r="JZP146" s="147"/>
      <c r="JZQ146" s="147"/>
      <c r="JZR146" s="147"/>
      <c r="JZS146" s="147"/>
      <c r="JZT146" s="147"/>
      <c r="JZU146" s="147"/>
      <c r="JZV146" s="147"/>
      <c r="JZW146" s="147"/>
      <c r="JZX146" s="147"/>
      <c r="JZY146" s="147"/>
      <c r="JZZ146" s="147"/>
      <c r="KAA146" s="147"/>
      <c r="KAB146" s="147"/>
      <c r="KAC146" s="147"/>
      <c r="KAD146" s="147"/>
      <c r="KAE146" s="147"/>
      <c r="KAF146" s="147"/>
      <c r="KAG146" s="147"/>
      <c r="KAH146" s="147"/>
      <c r="KAI146" s="147"/>
      <c r="KAJ146" s="147"/>
      <c r="KAK146" s="147"/>
      <c r="KAL146" s="147"/>
      <c r="KAM146" s="147"/>
      <c r="KAN146" s="147"/>
      <c r="KAO146" s="147"/>
      <c r="KAP146" s="147"/>
      <c r="KAQ146" s="147"/>
      <c r="KAR146" s="147"/>
      <c r="KAS146" s="147"/>
      <c r="KAT146" s="147"/>
      <c r="KAU146" s="147"/>
      <c r="KAV146" s="147"/>
      <c r="KAW146" s="147"/>
      <c r="KAX146" s="147"/>
      <c r="KAY146" s="147"/>
      <c r="KAZ146" s="147"/>
      <c r="KBA146" s="147"/>
      <c r="KBB146" s="147"/>
      <c r="KBC146" s="147"/>
      <c r="KBD146" s="147"/>
      <c r="KBE146" s="147"/>
      <c r="KBF146" s="147"/>
      <c r="KBG146" s="147"/>
      <c r="KBH146" s="147"/>
      <c r="KBI146" s="147"/>
      <c r="KBJ146" s="147"/>
      <c r="KBK146" s="147"/>
      <c r="KBL146" s="147"/>
      <c r="KBM146" s="147"/>
      <c r="KBN146" s="147"/>
      <c r="KBO146" s="147"/>
      <c r="KBP146" s="147"/>
      <c r="KBQ146" s="147"/>
      <c r="KBR146" s="147"/>
      <c r="KBS146" s="147"/>
      <c r="KBT146" s="147"/>
      <c r="KBU146" s="147"/>
      <c r="KBV146" s="147"/>
      <c r="KBW146" s="147"/>
      <c r="KBX146" s="147"/>
      <c r="KBY146" s="147"/>
      <c r="KBZ146" s="147"/>
      <c r="KCA146" s="147"/>
      <c r="KCB146" s="147"/>
      <c r="KCC146" s="147"/>
      <c r="KCD146" s="147"/>
      <c r="KCE146" s="147"/>
      <c r="KCF146" s="147"/>
      <c r="KCG146" s="147"/>
      <c r="KCH146" s="147"/>
      <c r="KCI146" s="147"/>
      <c r="KCJ146" s="147"/>
      <c r="KCK146" s="147"/>
      <c r="KCL146" s="147"/>
      <c r="KCM146" s="147"/>
      <c r="KCN146" s="147"/>
      <c r="KCO146" s="147"/>
      <c r="KCP146" s="147"/>
      <c r="KCQ146" s="147"/>
      <c r="KCR146" s="147"/>
      <c r="KCS146" s="147"/>
      <c r="KCT146" s="147"/>
      <c r="KCU146" s="147"/>
      <c r="KCV146" s="147"/>
      <c r="KCW146" s="147"/>
      <c r="KCX146" s="147"/>
      <c r="KCY146" s="147"/>
      <c r="KCZ146" s="147"/>
      <c r="KDA146" s="147"/>
      <c r="KDB146" s="147"/>
      <c r="KDC146" s="147"/>
      <c r="KDD146" s="147"/>
      <c r="KDE146" s="147"/>
      <c r="KDF146" s="147"/>
      <c r="KDG146" s="147"/>
      <c r="KDH146" s="147"/>
      <c r="KDI146" s="147"/>
      <c r="KDJ146" s="147"/>
      <c r="KDK146" s="147"/>
      <c r="KDL146" s="147"/>
      <c r="KDM146" s="147"/>
      <c r="KDN146" s="147"/>
      <c r="KDO146" s="147"/>
      <c r="KDP146" s="147"/>
      <c r="KDQ146" s="147"/>
      <c r="KDR146" s="147"/>
      <c r="KDS146" s="147"/>
      <c r="KDT146" s="147"/>
      <c r="KDU146" s="147"/>
      <c r="KDV146" s="147"/>
      <c r="KDW146" s="147"/>
      <c r="KDX146" s="147"/>
      <c r="KDY146" s="147"/>
      <c r="KDZ146" s="147"/>
      <c r="KEA146" s="147"/>
      <c r="KEB146" s="147"/>
      <c r="KEC146" s="147"/>
      <c r="KED146" s="147"/>
      <c r="KEE146" s="147"/>
      <c r="KEF146" s="147"/>
      <c r="KEG146" s="147"/>
      <c r="KEH146" s="147"/>
      <c r="KEI146" s="147"/>
      <c r="KEJ146" s="147"/>
      <c r="KEK146" s="147"/>
      <c r="KEL146" s="147"/>
      <c r="KEM146" s="147"/>
      <c r="KEN146" s="147"/>
      <c r="KEO146" s="147"/>
      <c r="KEP146" s="147"/>
      <c r="KEQ146" s="147"/>
      <c r="KER146" s="147"/>
      <c r="KES146" s="147"/>
      <c r="KET146" s="147"/>
      <c r="KEU146" s="147"/>
      <c r="KEV146" s="147"/>
      <c r="KEW146" s="147"/>
      <c r="KEX146" s="147"/>
      <c r="KEY146" s="147"/>
      <c r="KEZ146" s="147"/>
      <c r="KFA146" s="147"/>
      <c r="KFB146" s="147"/>
      <c r="KFC146" s="147"/>
      <c r="KFD146" s="147"/>
      <c r="KFE146" s="147"/>
      <c r="KFF146" s="147"/>
      <c r="KFG146" s="147"/>
      <c r="KFH146" s="147"/>
      <c r="KFI146" s="147"/>
      <c r="KFJ146" s="147"/>
      <c r="KFK146" s="147"/>
      <c r="KFL146" s="147"/>
      <c r="KFM146" s="147"/>
      <c r="KFN146" s="147"/>
      <c r="KFO146" s="147"/>
      <c r="KFP146" s="147"/>
      <c r="KFQ146" s="147"/>
      <c r="KFR146" s="147"/>
      <c r="KFS146" s="147"/>
      <c r="KFT146" s="147"/>
      <c r="KFU146" s="147"/>
      <c r="KFV146" s="147"/>
      <c r="KFW146" s="147"/>
      <c r="KFX146" s="147"/>
      <c r="KFY146" s="147"/>
      <c r="KFZ146" s="147"/>
      <c r="KGA146" s="147"/>
      <c r="KGB146" s="147"/>
      <c r="KGC146" s="147"/>
      <c r="KGD146" s="147"/>
      <c r="KGE146" s="147"/>
      <c r="KGF146" s="147"/>
      <c r="KGG146" s="147"/>
      <c r="KGH146" s="147"/>
      <c r="KGI146" s="147"/>
      <c r="KGJ146" s="147"/>
      <c r="KGK146" s="147"/>
      <c r="KGL146" s="147"/>
      <c r="KGM146" s="147"/>
      <c r="KGN146" s="147"/>
      <c r="KGO146" s="147"/>
      <c r="KGP146" s="147"/>
      <c r="KGQ146" s="147"/>
      <c r="KGR146" s="147"/>
      <c r="KGS146" s="147"/>
      <c r="KGT146" s="147"/>
      <c r="KGU146" s="147"/>
      <c r="KGV146" s="147"/>
      <c r="KGW146" s="147"/>
      <c r="KGX146" s="147"/>
      <c r="KGY146" s="147"/>
      <c r="KGZ146" s="147"/>
      <c r="KHA146" s="147"/>
      <c r="KHB146" s="147"/>
      <c r="KHC146" s="147"/>
      <c r="KHD146" s="147"/>
      <c r="KHE146" s="147"/>
      <c r="KHF146" s="147"/>
      <c r="KHG146" s="147"/>
      <c r="KHH146" s="147"/>
      <c r="KHI146" s="147"/>
      <c r="KHJ146" s="147"/>
      <c r="KHK146" s="147"/>
      <c r="KHL146" s="147"/>
      <c r="KHM146" s="147"/>
      <c r="KHN146" s="147"/>
      <c r="KHO146" s="147"/>
      <c r="KHP146" s="147"/>
      <c r="KHQ146" s="147"/>
      <c r="KHR146" s="147"/>
      <c r="KHS146" s="147"/>
      <c r="KHT146" s="147"/>
      <c r="KHU146" s="147"/>
      <c r="KHV146" s="147"/>
      <c r="KHW146" s="147"/>
      <c r="KHX146" s="147"/>
      <c r="KHY146" s="147"/>
      <c r="KHZ146" s="147"/>
      <c r="KIA146" s="147"/>
      <c r="KIB146" s="147"/>
      <c r="KIC146" s="147"/>
      <c r="KID146" s="147"/>
      <c r="KIE146" s="147"/>
      <c r="KIF146" s="147"/>
      <c r="KIG146" s="147"/>
      <c r="KIH146" s="147"/>
      <c r="KII146" s="147"/>
      <c r="KIJ146" s="147"/>
      <c r="KIK146" s="147"/>
      <c r="KIL146" s="147"/>
      <c r="KIM146" s="147"/>
      <c r="KIN146" s="147"/>
      <c r="KIO146" s="147"/>
      <c r="KIP146" s="147"/>
      <c r="KIQ146" s="147"/>
      <c r="KIR146" s="147"/>
      <c r="KIS146" s="147"/>
      <c r="KIT146" s="147"/>
      <c r="KIU146" s="147"/>
      <c r="KIV146" s="147"/>
      <c r="KIW146" s="147"/>
      <c r="KIX146" s="147"/>
      <c r="KIY146" s="147"/>
      <c r="KIZ146" s="147"/>
      <c r="KJA146" s="147"/>
      <c r="KJB146" s="147"/>
      <c r="KJC146" s="147"/>
      <c r="KJD146" s="147"/>
      <c r="KJE146" s="147"/>
      <c r="KJF146" s="147"/>
      <c r="KJG146" s="147"/>
      <c r="KJH146" s="147"/>
      <c r="KJI146" s="147"/>
      <c r="KJJ146" s="147"/>
      <c r="KJK146" s="147"/>
      <c r="KJL146" s="147"/>
      <c r="KJM146" s="147"/>
      <c r="KJN146" s="147"/>
      <c r="KJO146" s="147"/>
      <c r="KJP146" s="147"/>
      <c r="KJQ146" s="147"/>
      <c r="KJR146" s="147"/>
      <c r="KJS146" s="147"/>
      <c r="KJT146" s="147"/>
      <c r="KJU146" s="147"/>
      <c r="KJV146" s="147"/>
      <c r="KJW146" s="147"/>
      <c r="KJX146" s="147"/>
      <c r="KJY146" s="147"/>
      <c r="KJZ146" s="147"/>
      <c r="KKA146" s="147"/>
      <c r="KKB146" s="147"/>
      <c r="KKC146" s="147"/>
      <c r="KKD146" s="147"/>
      <c r="KKE146" s="147"/>
      <c r="KKF146" s="147"/>
      <c r="KKG146" s="147"/>
      <c r="KKH146" s="147"/>
      <c r="KKI146" s="147"/>
      <c r="KKJ146" s="147"/>
      <c r="KKK146" s="147"/>
      <c r="KKL146" s="147"/>
      <c r="KKM146" s="147"/>
      <c r="KKN146" s="147"/>
      <c r="KKO146" s="147"/>
      <c r="KKP146" s="147"/>
      <c r="KKQ146" s="147"/>
      <c r="KKR146" s="147"/>
      <c r="KKS146" s="147"/>
      <c r="KKT146" s="147"/>
      <c r="KKU146" s="147"/>
      <c r="KKV146" s="147"/>
      <c r="KKW146" s="147"/>
      <c r="KKX146" s="147"/>
      <c r="KKY146" s="147"/>
      <c r="KKZ146" s="147"/>
      <c r="KLA146" s="147"/>
      <c r="KLB146" s="147"/>
      <c r="KLC146" s="147"/>
      <c r="KLD146" s="147"/>
      <c r="KLE146" s="147"/>
      <c r="KLF146" s="147"/>
      <c r="KLG146" s="147"/>
      <c r="KLH146" s="147"/>
      <c r="KLI146" s="147"/>
      <c r="KLJ146" s="147"/>
      <c r="KLK146" s="147"/>
      <c r="KLL146" s="147"/>
      <c r="KLM146" s="147"/>
      <c r="KLN146" s="147"/>
      <c r="KLO146" s="147"/>
      <c r="KLP146" s="147"/>
      <c r="KLQ146" s="147"/>
      <c r="KLR146" s="147"/>
      <c r="KLS146" s="147"/>
      <c r="KLT146" s="147"/>
      <c r="KLU146" s="147"/>
      <c r="KLV146" s="147"/>
      <c r="KLW146" s="147"/>
      <c r="KLX146" s="147"/>
      <c r="KLY146" s="147"/>
      <c r="KLZ146" s="147"/>
      <c r="KMA146" s="147"/>
      <c r="KMB146" s="147"/>
      <c r="KMC146" s="147"/>
      <c r="KMD146" s="147"/>
      <c r="KME146" s="147"/>
      <c r="KMF146" s="147"/>
      <c r="KMG146" s="147"/>
      <c r="KMH146" s="147"/>
      <c r="KMI146" s="147"/>
      <c r="KMJ146" s="147"/>
      <c r="KMK146" s="147"/>
      <c r="KML146" s="147"/>
      <c r="KMM146" s="147"/>
      <c r="KMN146" s="147"/>
      <c r="KMO146" s="147"/>
      <c r="KMP146" s="147"/>
      <c r="KMQ146" s="147"/>
      <c r="KMR146" s="147"/>
      <c r="KMS146" s="147"/>
      <c r="KMT146" s="147"/>
      <c r="KMU146" s="147"/>
      <c r="KMV146" s="147"/>
      <c r="KMW146" s="147"/>
      <c r="KMX146" s="147"/>
      <c r="KMY146" s="147"/>
      <c r="KMZ146" s="147"/>
      <c r="KNA146" s="147"/>
      <c r="KNB146" s="147"/>
      <c r="KNC146" s="147"/>
      <c r="KND146" s="147"/>
      <c r="KNE146" s="147"/>
      <c r="KNF146" s="147"/>
      <c r="KNG146" s="147"/>
      <c r="KNH146" s="147"/>
      <c r="KNI146" s="147"/>
      <c r="KNJ146" s="147"/>
      <c r="KNK146" s="147"/>
      <c r="KNL146" s="147"/>
      <c r="KNM146" s="147"/>
      <c r="KNN146" s="147"/>
      <c r="KNO146" s="147"/>
      <c r="KNP146" s="147"/>
      <c r="KNQ146" s="147"/>
      <c r="KNR146" s="147"/>
      <c r="KNS146" s="147"/>
      <c r="KNT146" s="147"/>
      <c r="KNU146" s="147"/>
      <c r="KNV146" s="147"/>
      <c r="KNW146" s="147"/>
      <c r="KNX146" s="147"/>
      <c r="KNY146" s="147"/>
      <c r="KNZ146" s="147"/>
      <c r="KOA146" s="147"/>
      <c r="KOB146" s="147"/>
      <c r="KOC146" s="147"/>
      <c r="KOD146" s="147"/>
      <c r="KOE146" s="147"/>
      <c r="KOF146" s="147"/>
      <c r="KOG146" s="147"/>
      <c r="KOH146" s="147"/>
      <c r="KOI146" s="147"/>
      <c r="KOJ146" s="147"/>
      <c r="KOK146" s="147"/>
      <c r="KOL146" s="147"/>
      <c r="KOM146" s="147"/>
      <c r="KON146" s="147"/>
      <c r="KOO146" s="147"/>
      <c r="KOP146" s="147"/>
      <c r="KOQ146" s="147"/>
      <c r="KOR146" s="147"/>
      <c r="KOS146" s="147"/>
      <c r="KOT146" s="147"/>
      <c r="KOU146" s="147"/>
      <c r="KOV146" s="147"/>
      <c r="KOW146" s="147"/>
      <c r="KOX146" s="147"/>
      <c r="KOY146" s="147"/>
      <c r="KOZ146" s="147"/>
      <c r="KPA146" s="147"/>
      <c r="KPB146" s="147"/>
      <c r="KPC146" s="147"/>
      <c r="KPD146" s="147"/>
      <c r="KPE146" s="147"/>
      <c r="KPF146" s="147"/>
      <c r="KPG146" s="147"/>
      <c r="KPH146" s="147"/>
      <c r="KPI146" s="147"/>
      <c r="KPJ146" s="147"/>
      <c r="KPK146" s="147"/>
      <c r="KPL146" s="147"/>
      <c r="KPM146" s="147"/>
      <c r="KPN146" s="147"/>
      <c r="KPO146" s="147"/>
      <c r="KPP146" s="147"/>
      <c r="KPQ146" s="147"/>
      <c r="KPR146" s="147"/>
      <c r="KPS146" s="147"/>
      <c r="KPT146" s="147"/>
      <c r="KPU146" s="147"/>
      <c r="KPV146" s="147"/>
      <c r="KPW146" s="147"/>
      <c r="KPX146" s="147"/>
      <c r="KPY146" s="147"/>
      <c r="KPZ146" s="147"/>
      <c r="KQA146" s="147"/>
      <c r="KQB146" s="147"/>
      <c r="KQC146" s="147"/>
      <c r="KQD146" s="147"/>
      <c r="KQE146" s="147"/>
      <c r="KQF146" s="147"/>
      <c r="KQG146" s="147"/>
      <c r="KQH146" s="147"/>
      <c r="KQI146" s="147"/>
      <c r="KQJ146" s="147"/>
      <c r="KQK146" s="147"/>
      <c r="KQL146" s="147"/>
      <c r="KQM146" s="147"/>
      <c r="KQN146" s="147"/>
      <c r="KQO146" s="147"/>
      <c r="KQP146" s="147"/>
      <c r="KQQ146" s="147"/>
      <c r="KQR146" s="147"/>
      <c r="KQS146" s="147"/>
      <c r="KQT146" s="147"/>
      <c r="KQU146" s="147"/>
      <c r="KQV146" s="147"/>
      <c r="KQW146" s="147"/>
      <c r="KQX146" s="147"/>
      <c r="KQY146" s="147"/>
      <c r="KQZ146" s="147"/>
      <c r="KRA146" s="147"/>
      <c r="KRB146" s="147"/>
      <c r="KRC146" s="147"/>
      <c r="KRD146" s="147"/>
      <c r="KRE146" s="147"/>
      <c r="KRF146" s="147"/>
      <c r="KRG146" s="147"/>
      <c r="KRH146" s="147"/>
      <c r="KRI146" s="147"/>
      <c r="KRJ146" s="147"/>
      <c r="KRK146" s="147"/>
      <c r="KRL146" s="147"/>
      <c r="KRM146" s="147"/>
      <c r="KRN146" s="147"/>
      <c r="KRO146" s="147"/>
      <c r="KRP146" s="147"/>
      <c r="KRQ146" s="147"/>
      <c r="KRR146" s="147"/>
      <c r="KRS146" s="147"/>
      <c r="KRT146" s="147"/>
      <c r="KRU146" s="147"/>
      <c r="KRV146" s="147"/>
      <c r="KRW146" s="147"/>
      <c r="KRX146" s="147"/>
      <c r="KRY146" s="147"/>
      <c r="KRZ146" s="147"/>
      <c r="KSA146" s="147"/>
      <c r="KSB146" s="147"/>
      <c r="KSC146" s="147"/>
      <c r="KSD146" s="147"/>
      <c r="KSE146" s="147"/>
      <c r="KSF146" s="147"/>
      <c r="KSG146" s="147"/>
      <c r="KSH146" s="147"/>
      <c r="KSI146" s="147"/>
      <c r="KSJ146" s="147"/>
      <c r="KSK146" s="147"/>
      <c r="KSL146" s="147"/>
      <c r="KSM146" s="147"/>
      <c r="KSN146" s="147"/>
      <c r="KSO146" s="147"/>
      <c r="KSP146" s="147"/>
      <c r="KSQ146" s="147"/>
      <c r="KSR146" s="147"/>
      <c r="KSS146" s="147"/>
      <c r="KST146" s="147"/>
      <c r="KSU146" s="147"/>
      <c r="KSV146" s="147"/>
      <c r="KSW146" s="147"/>
      <c r="KSX146" s="147"/>
      <c r="KSY146" s="147"/>
      <c r="KSZ146" s="147"/>
      <c r="KTA146" s="147"/>
      <c r="KTB146" s="147"/>
      <c r="KTC146" s="147"/>
      <c r="KTD146" s="147"/>
      <c r="KTE146" s="147"/>
      <c r="KTF146" s="147"/>
      <c r="KTG146" s="147"/>
      <c r="KTH146" s="147"/>
      <c r="KTI146" s="147"/>
      <c r="KTJ146" s="147"/>
      <c r="KTK146" s="147"/>
      <c r="KTL146" s="147"/>
      <c r="KTM146" s="147"/>
      <c r="KTN146" s="147"/>
      <c r="KTO146" s="147"/>
      <c r="KTP146" s="147"/>
      <c r="KTQ146" s="147"/>
      <c r="KTR146" s="147"/>
      <c r="KTS146" s="147"/>
      <c r="KTT146" s="147"/>
      <c r="KTU146" s="147"/>
      <c r="KTV146" s="147"/>
      <c r="KTW146" s="147"/>
      <c r="KTX146" s="147"/>
      <c r="KTY146" s="147"/>
      <c r="KTZ146" s="147"/>
      <c r="KUA146" s="147"/>
      <c r="KUB146" s="147"/>
      <c r="KUC146" s="147"/>
      <c r="KUD146" s="147"/>
      <c r="KUE146" s="147"/>
      <c r="KUF146" s="147"/>
      <c r="KUG146" s="147"/>
      <c r="KUH146" s="147"/>
      <c r="KUI146" s="147"/>
      <c r="KUJ146" s="147"/>
      <c r="KUK146" s="147"/>
      <c r="KUL146" s="147"/>
      <c r="KUM146" s="147"/>
      <c r="KUN146" s="147"/>
      <c r="KUO146" s="147"/>
      <c r="KUP146" s="147"/>
      <c r="KUQ146" s="147"/>
      <c r="KUR146" s="147"/>
      <c r="KUS146" s="147"/>
      <c r="KUT146" s="147"/>
      <c r="KUU146" s="147"/>
      <c r="KUV146" s="147"/>
      <c r="KUW146" s="147"/>
      <c r="KUX146" s="147"/>
      <c r="KUY146" s="147"/>
      <c r="KUZ146" s="147"/>
      <c r="KVA146" s="147"/>
      <c r="KVB146" s="147"/>
      <c r="KVC146" s="147"/>
      <c r="KVD146" s="147"/>
      <c r="KVE146" s="147"/>
      <c r="KVF146" s="147"/>
      <c r="KVG146" s="147"/>
      <c r="KVH146" s="147"/>
      <c r="KVI146" s="147"/>
      <c r="KVJ146" s="147"/>
      <c r="KVK146" s="147"/>
      <c r="KVL146" s="147"/>
      <c r="KVM146" s="147"/>
      <c r="KVN146" s="147"/>
      <c r="KVO146" s="147"/>
      <c r="KVP146" s="147"/>
      <c r="KVQ146" s="147"/>
      <c r="KVR146" s="147"/>
      <c r="KVS146" s="147"/>
      <c r="KVT146" s="147"/>
      <c r="KVU146" s="147"/>
      <c r="KVV146" s="147"/>
      <c r="KVW146" s="147"/>
      <c r="KVX146" s="147"/>
      <c r="KVY146" s="147"/>
      <c r="KVZ146" s="147"/>
      <c r="KWA146" s="147"/>
      <c r="KWB146" s="147"/>
      <c r="KWC146" s="147"/>
      <c r="KWD146" s="147"/>
      <c r="KWE146" s="147"/>
      <c r="KWF146" s="147"/>
      <c r="KWG146" s="147"/>
      <c r="KWH146" s="147"/>
      <c r="KWI146" s="147"/>
      <c r="KWJ146" s="147"/>
      <c r="KWK146" s="147"/>
      <c r="KWL146" s="147"/>
      <c r="KWM146" s="147"/>
      <c r="KWN146" s="147"/>
      <c r="KWO146" s="147"/>
      <c r="KWP146" s="147"/>
      <c r="KWQ146" s="147"/>
      <c r="KWR146" s="147"/>
      <c r="KWS146" s="147"/>
      <c r="KWT146" s="147"/>
      <c r="KWU146" s="147"/>
      <c r="KWV146" s="147"/>
      <c r="KWW146" s="147"/>
      <c r="KWX146" s="147"/>
      <c r="KWY146" s="147"/>
      <c r="KWZ146" s="147"/>
      <c r="KXA146" s="147"/>
      <c r="KXB146" s="147"/>
      <c r="KXC146" s="147"/>
      <c r="KXD146" s="147"/>
      <c r="KXE146" s="147"/>
      <c r="KXF146" s="147"/>
      <c r="KXG146" s="147"/>
      <c r="KXH146" s="147"/>
      <c r="KXI146" s="147"/>
      <c r="KXJ146" s="147"/>
      <c r="KXK146" s="147"/>
      <c r="KXL146" s="147"/>
      <c r="KXM146" s="147"/>
      <c r="KXN146" s="147"/>
      <c r="KXO146" s="147"/>
      <c r="KXP146" s="147"/>
      <c r="KXQ146" s="147"/>
      <c r="KXR146" s="147"/>
      <c r="KXS146" s="147"/>
      <c r="KXT146" s="147"/>
      <c r="KXU146" s="147"/>
      <c r="KXV146" s="147"/>
      <c r="KXW146" s="147"/>
      <c r="KXX146" s="147"/>
      <c r="KXY146" s="147"/>
      <c r="KXZ146" s="147"/>
      <c r="KYA146" s="147"/>
      <c r="KYB146" s="147"/>
      <c r="KYC146" s="147"/>
      <c r="KYD146" s="147"/>
      <c r="KYE146" s="147"/>
      <c r="KYF146" s="147"/>
      <c r="KYG146" s="147"/>
      <c r="KYH146" s="147"/>
      <c r="KYI146" s="147"/>
      <c r="KYJ146" s="147"/>
      <c r="KYK146" s="147"/>
      <c r="KYL146" s="147"/>
      <c r="KYM146" s="147"/>
      <c r="KYN146" s="147"/>
      <c r="KYO146" s="147"/>
      <c r="KYP146" s="147"/>
      <c r="KYQ146" s="147"/>
      <c r="KYR146" s="147"/>
      <c r="KYS146" s="147"/>
      <c r="KYT146" s="147"/>
      <c r="KYU146" s="147"/>
      <c r="KYV146" s="147"/>
      <c r="KYW146" s="147"/>
      <c r="KYX146" s="147"/>
      <c r="KYY146" s="147"/>
      <c r="KYZ146" s="147"/>
      <c r="KZA146" s="147"/>
      <c r="KZB146" s="147"/>
      <c r="KZC146" s="147"/>
      <c r="KZD146" s="147"/>
      <c r="KZE146" s="147"/>
      <c r="KZF146" s="147"/>
      <c r="KZG146" s="147"/>
      <c r="KZH146" s="147"/>
      <c r="KZI146" s="147"/>
      <c r="KZJ146" s="147"/>
      <c r="KZK146" s="147"/>
      <c r="KZL146" s="147"/>
      <c r="KZM146" s="147"/>
      <c r="KZN146" s="147"/>
      <c r="KZO146" s="147"/>
      <c r="KZP146" s="147"/>
      <c r="KZQ146" s="147"/>
      <c r="KZR146" s="147"/>
      <c r="KZS146" s="147"/>
      <c r="KZT146" s="147"/>
      <c r="KZU146" s="147"/>
      <c r="KZV146" s="147"/>
      <c r="KZW146" s="147"/>
      <c r="KZX146" s="147"/>
      <c r="KZY146" s="147"/>
      <c r="KZZ146" s="147"/>
      <c r="LAA146" s="147"/>
      <c r="LAB146" s="147"/>
      <c r="LAC146" s="147"/>
      <c r="LAD146" s="147"/>
      <c r="LAE146" s="147"/>
      <c r="LAF146" s="147"/>
      <c r="LAG146" s="147"/>
      <c r="LAH146" s="147"/>
      <c r="LAI146" s="147"/>
      <c r="LAJ146" s="147"/>
      <c r="LAK146" s="147"/>
      <c r="LAL146" s="147"/>
      <c r="LAM146" s="147"/>
      <c r="LAN146" s="147"/>
      <c r="LAO146" s="147"/>
      <c r="LAP146" s="147"/>
      <c r="LAQ146" s="147"/>
      <c r="LAR146" s="147"/>
      <c r="LAS146" s="147"/>
      <c r="LAT146" s="147"/>
      <c r="LAU146" s="147"/>
      <c r="LAV146" s="147"/>
      <c r="LAW146" s="147"/>
      <c r="LAX146" s="147"/>
      <c r="LAY146" s="147"/>
      <c r="LAZ146" s="147"/>
      <c r="LBA146" s="147"/>
      <c r="LBB146" s="147"/>
      <c r="LBC146" s="147"/>
      <c r="LBD146" s="147"/>
      <c r="LBE146" s="147"/>
      <c r="LBF146" s="147"/>
      <c r="LBG146" s="147"/>
      <c r="LBH146" s="147"/>
      <c r="LBI146" s="147"/>
      <c r="LBJ146" s="147"/>
      <c r="LBK146" s="147"/>
      <c r="LBL146" s="147"/>
      <c r="LBM146" s="147"/>
      <c r="LBN146" s="147"/>
      <c r="LBO146" s="147"/>
      <c r="LBP146" s="147"/>
      <c r="LBQ146" s="147"/>
      <c r="LBR146" s="147"/>
      <c r="LBS146" s="147"/>
      <c r="LBT146" s="147"/>
      <c r="LBU146" s="147"/>
      <c r="LBV146" s="147"/>
      <c r="LBW146" s="147"/>
      <c r="LBX146" s="147"/>
      <c r="LBY146" s="147"/>
      <c r="LBZ146" s="147"/>
      <c r="LCA146" s="147"/>
      <c r="LCB146" s="147"/>
      <c r="LCC146" s="147"/>
      <c r="LCD146" s="147"/>
      <c r="LCE146" s="147"/>
      <c r="LCF146" s="147"/>
      <c r="LCG146" s="147"/>
      <c r="LCH146" s="147"/>
      <c r="LCI146" s="147"/>
      <c r="LCJ146" s="147"/>
      <c r="LCK146" s="147"/>
      <c r="LCL146" s="147"/>
      <c r="LCM146" s="147"/>
      <c r="LCN146" s="147"/>
      <c r="LCO146" s="147"/>
      <c r="LCP146" s="147"/>
      <c r="LCQ146" s="147"/>
      <c r="LCR146" s="147"/>
      <c r="LCS146" s="147"/>
      <c r="LCT146" s="147"/>
      <c r="LCU146" s="147"/>
      <c r="LCV146" s="147"/>
      <c r="LCW146" s="147"/>
      <c r="LCX146" s="147"/>
      <c r="LCY146" s="147"/>
      <c r="LCZ146" s="147"/>
      <c r="LDA146" s="147"/>
      <c r="LDB146" s="147"/>
      <c r="LDC146" s="147"/>
      <c r="LDD146" s="147"/>
      <c r="LDE146" s="147"/>
      <c r="LDF146" s="147"/>
      <c r="LDG146" s="147"/>
      <c r="LDH146" s="147"/>
      <c r="LDI146" s="147"/>
      <c r="LDJ146" s="147"/>
      <c r="LDK146" s="147"/>
      <c r="LDL146" s="147"/>
      <c r="LDM146" s="147"/>
      <c r="LDN146" s="147"/>
      <c r="LDO146" s="147"/>
      <c r="LDP146" s="147"/>
      <c r="LDQ146" s="147"/>
      <c r="LDR146" s="147"/>
      <c r="LDS146" s="147"/>
      <c r="LDT146" s="147"/>
      <c r="LDU146" s="147"/>
      <c r="LDV146" s="147"/>
      <c r="LDW146" s="147"/>
      <c r="LDX146" s="147"/>
      <c r="LDY146" s="147"/>
      <c r="LDZ146" s="147"/>
      <c r="LEA146" s="147"/>
      <c r="LEB146" s="147"/>
      <c r="LEC146" s="147"/>
      <c r="LED146" s="147"/>
      <c r="LEE146" s="147"/>
      <c r="LEF146" s="147"/>
      <c r="LEG146" s="147"/>
      <c r="LEH146" s="147"/>
      <c r="LEI146" s="147"/>
      <c r="LEJ146" s="147"/>
      <c r="LEK146" s="147"/>
      <c r="LEL146" s="147"/>
      <c r="LEM146" s="147"/>
      <c r="LEN146" s="147"/>
      <c r="LEO146" s="147"/>
      <c r="LEP146" s="147"/>
      <c r="LEQ146" s="147"/>
      <c r="LER146" s="147"/>
      <c r="LES146" s="147"/>
      <c r="LET146" s="147"/>
      <c r="LEU146" s="147"/>
      <c r="LEV146" s="147"/>
      <c r="LEW146" s="147"/>
      <c r="LEX146" s="147"/>
      <c r="LEY146" s="147"/>
      <c r="LEZ146" s="147"/>
      <c r="LFA146" s="147"/>
      <c r="LFB146" s="147"/>
      <c r="LFC146" s="147"/>
      <c r="LFD146" s="147"/>
      <c r="LFE146" s="147"/>
      <c r="LFF146" s="147"/>
      <c r="LFG146" s="147"/>
      <c r="LFH146" s="147"/>
      <c r="LFI146" s="147"/>
      <c r="LFJ146" s="147"/>
      <c r="LFK146" s="147"/>
      <c r="LFL146" s="147"/>
      <c r="LFM146" s="147"/>
      <c r="LFN146" s="147"/>
      <c r="LFO146" s="147"/>
      <c r="LFP146" s="147"/>
      <c r="LFQ146" s="147"/>
      <c r="LFR146" s="147"/>
      <c r="LFS146" s="147"/>
      <c r="LFT146" s="147"/>
      <c r="LFU146" s="147"/>
      <c r="LFV146" s="147"/>
      <c r="LFW146" s="147"/>
      <c r="LFX146" s="147"/>
      <c r="LFY146" s="147"/>
      <c r="LFZ146" s="147"/>
      <c r="LGA146" s="147"/>
      <c r="LGB146" s="147"/>
      <c r="LGC146" s="147"/>
      <c r="LGD146" s="147"/>
      <c r="LGE146" s="147"/>
      <c r="LGF146" s="147"/>
      <c r="LGG146" s="147"/>
      <c r="LGH146" s="147"/>
      <c r="LGI146" s="147"/>
      <c r="LGJ146" s="147"/>
      <c r="LGK146" s="147"/>
      <c r="LGL146" s="147"/>
      <c r="LGM146" s="147"/>
      <c r="LGN146" s="147"/>
      <c r="LGO146" s="147"/>
      <c r="LGP146" s="147"/>
      <c r="LGQ146" s="147"/>
      <c r="LGR146" s="147"/>
      <c r="LGS146" s="147"/>
      <c r="LGT146" s="147"/>
      <c r="LGU146" s="147"/>
      <c r="LGV146" s="147"/>
      <c r="LGW146" s="147"/>
      <c r="LGX146" s="147"/>
      <c r="LGY146" s="147"/>
      <c r="LGZ146" s="147"/>
      <c r="LHA146" s="147"/>
      <c r="LHB146" s="147"/>
      <c r="LHC146" s="147"/>
      <c r="LHD146" s="147"/>
      <c r="LHE146" s="147"/>
      <c r="LHF146" s="147"/>
      <c r="LHG146" s="147"/>
      <c r="LHH146" s="147"/>
      <c r="LHI146" s="147"/>
      <c r="LHJ146" s="147"/>
      <c r="LHK146" s="147"/>
      <c r="LHL146" s="147"/>
      <c r="LHM146" s="147"/>
      <c r="LHN146" s="147"/>
      <c r="LHO146" s="147"/>
      <c r="LHP146" s="147"/>
      <c r="LHQ146" s="147"/>
      <c r="LHR146" s="147"/>
      <c r="LHS146" s="147"/>
      <c r="LHT146" s="147"/>
      <c r="LHU146" s="147"/>
      <c r="LHV146" s="147"/>
      <c r="LHW146" s="147"/>
      <c r="LHX146" s="147"/>
      <c r="LHY146" s="147"/>
      <c r="LHZ146" s="147"/>
      <c r="LIA146" s="147"/>
      <c r="LIB146" s="147"/>
      <c r="LIC146" s="147"/>
      <c r="LID146" s="147"/>
      <c r="LIE146" s="147"/>
      <c r="LIF146" s="147"/>
      <c r="LIG146" s="147"/>
      <c r="LIH146" s="147"/>
      <c r="LII146" s="147"/>
      <c r="LIJ146" s="147"/>
      <c r="LIK146" s="147"/>
      <c r="LIL146" s="147"/>
      <c r="LIM146" s="147"/>
      <c r="LIN146" s="147"/>
      <c r="LIO146" s="147"/>
      <c r="LIP146" s="147"/>
      <c r="LIQ146" s="147"/>
      <c r="LIR146" s="147"/>
      <c r="LIS146" s="147"/>
      <c r="LIT146" s="147"/>
      <c r="LIU146" s="147"/>
      <c r="LIV146" s="147"/>
      <c r="LIW146" s="147"/>
      <c r="LIX146" s="147"/>
      <c r="LIY146" s="147"/>
      <c r="LIZ146" s="147"/>
      <c r="LJA146" s="147"/>
      <c r="LJB146" s="147"/>
      <c r="LJC146" s="147"/>
      <c r="LJD146" s="147"/>
      <c r="LJE146" s="147"/>
      <c r="LJF146" s="147"/>
      <c r="LJG146" s="147"/>
      <c r="LJH146" s="147"/>
      <c r="LJI146" s="147"/>
      <c r="LJJ146" s="147"/>
      <c r="LJK146" s="147"/>
      <c r="LJL146" s="147"/>
      <c r="LJM146" s="147"/>
      <c r="LJN146" s="147"/>
      <c r="LJO146" s="147"/>
      <c r="LJP146" s="147"/>
      <c r="LJQ146" s="147"/>
      <c r="LJR146" s="147"/>
      <c r="LJS146" s="147"/>
      <c r="LJT146" s="147"/>
      <c r="LJU146" s="147"/>
      <c r="LJV146" s="147"/>
      <c r="LJW146" s="147"/>
      <c r="LJX146" s="147"/>
      <c r="LJY146" s="147"/>
      <c r="LJZ146" s="147"/>
      <c r="LKA146" s="147"/>
      <c r="LKB146" s="147"/>
      <c r="LKC146" s="147"/>
      <c r="LKD146" s="147"/>
      <c r="LKE146" s="147"/>
      <c r="LKF146" s="147"/>
      <c r="LKG146" s="147"/>
      <c r="LKH146" s="147"/>
      <c r="LKI146" s="147"/>
      <c r="LKJ146" s="147"/>
      <c r="LKK146" s="147"/>
      <c r="LKL146" s="147"/>
      <c r="LKM146" s="147"/>
      <c r="LKN146" s="147"/>
      <c r="LKO146" s="147"/>
      <c r="LKP146" s="147"/>
      <c r="LKQ146" s="147"/>
      <c r="LKR146" s="147"/>
      <c r="LKS146" s="147"/>
      <c r="LKT146" s="147"/>
      <c r="LKU146" s="147"/>
      <c r="LKV146" s="147"/>
      <c r="LKW146" s="147"/>
      <c r="LKX146" s="147"/>
      <c r="LKY146" s="147"/>
      <c r="LKZ146" s="147"/>
      <c r="LLA146" s="147"/>
      <c r="LLB146" s="147"/>
      <c r="LLC146" s="147"/>
      <c r="LLD146" s="147"/>
      <c r="LLE146" s="147"/>
      <c r="LLF146" s="147"/>
      <c r="LLG146" s="147"/>
      <c r="LLH146" s="147"/>
      <c r="LLI146" s="147"/>
      <c r="LLJ146" s="147"/>
      <c r="LLK146" s="147"/>
      <c r="LLL146" s="147"/>
      <c r="LLM146" s="147"/>
      <c r="LLN146" s="147"/>
      <c r="LLO146" s="147"/>
      <c r="LLP146" s="147"/>
      <c r="LLQ146" s="147"/>
      <c r="LLR146" s="147"/>
      <c r="LLS146" s="147"/>
      <c r="LLT146" s="147"/>
      <c r="LLU146" s="147"/>
      <c r="LLV146" s="147"/>
      <c r="LLW146" s="147"/>
      <c r="LLX146" s="147"/>
      <c r="LLY146" s="147"/>
      <c r="LLZ146" s="147"/>
      <c r="LMA146" s="147"/>
      <c r="LMB146" s="147"/>
      <c r="LMC146" s="147"/>
      <c r="LMD146" s="147"/>
      <c r="LME146" s="147"/>
      <c r="LMF146" s="147"/>
      <c r="LMG146" s="147"/>
      <c r="LMH146" s="147"/>
      <c r="LMI146" s="147"/>
      <c r="LMJ146" s="147"/>
      <c r="LMK146" s="147"/>
      <c r="LML146" s="147"/>
      <c r="LMM146" s="147"/>
      <c r="LMN146" s="147"/>
      <c r="LMO146" s="147"/>
      <c r="LMP146" s="147"/>
      <c r="LMQ146" s="147"/>
      <c r="LMR146" s="147"/>
      <c r="LMS146" s="147"/>
      <c r="LMT146" s="147"/>
      <c r="LMU146" s="147"/>
      <c r="LMV146" s="147"/>
      <c r="LMW146" s="147"/>
      <c r="LMX146" s="147"/>
      <c r="LMY146" s="147"/>
      <c r="LMZ146" s="147"/>
      <c r="LNA146" s="147"/>
      <c r="LNB146" s="147"/>
      <c r="LNC146" s="147"/>
      <c r="LND146" s="147"/>
      <c r="LNE146" s="147"/>
      <c r="LNF146" s="147"/>
      <c r="LNG146" s="147"/>
      <c r="LNH146" s="147"/>
      <c r="LNI146" s="147"/>
      <c r="LNJ146" s="147"/>
      <c r="LNK146" s="147"/>
      <c r="LNL146" s="147"/>
      <c r="LNM146" s="147"/>
      <c r="LNN146" s="147"/>
      <c r="LNO146" s="147"/>
      <c r="LNP146" s="147"/>
      <c r="LNQ146" s="147"/>
      <c r="LNR146" s="147"/>
      <c r="LNS146" s="147"/>
      <c r="LNT146" s="147"/>
      <c r="LNU146" s="147"/>
      <c r="LNV146" s="147"/>
      <c r="LNW146" s="147"/>
      <c r="LNX146" s="147"/>
      <c r="LNY146" s="147"/>
      <c r="LNZ146" s="147"/>
      <c r="LOA146" s="147"/>
      <c r="LOB146" s="147"/>
      <c r="LOC146" s="147"/>
      <c r="LOD146" s="147"/>
      <c r="LOE146" s="147"/>
      <c r="LOF146" s="147"/>
      <c r="LOG146" s="147"/>
      <c r="LOH146" s="147"/>
      <c r="LOI146" s="147"/>
      <c r="LOJ146" s="147"/>
      <c r="LOK146" s="147"/>
      <c r="LOL146" s="147"/>
      <c r="LOM146" s="147"/>
      <c r="LON146" s="147"/>
      <c r="LOO146" s="147"/>
      <c r="LOP146" s="147"/>
      <c r="LOQ146" s="147"/>
      <c r="LOR146" s="147"/>
      <c r="LOS146" s="147"/>
      <c r="LOT146" s="147"/>
      <c r="LOU146" s="147"/>
      <c r="LOV146" s="147"/>
      <c r="LOW146" s="147"/>
      <c r="LOX146" s="147"/>
      <c r="LOY146" s="147"/>
      <c r="LOZ146" s="147"/>
      <c r="LPA146" s="147"/>
      <c r="LPB146" s="147"/>
      <c r="LPC146" s="147"/>
      <c r="LPD146" s="147"/>
      <c r="LPE146" s="147"/>
      <c r="LPF146" s="147"/>
      <c r="LPG146" s="147"/>
      <c r="LPH146" s="147"/>
      <c r="LPI146" s="147"/>
      <c r="LPJ146" s="147"/>
      <c r="LPK146" s="147"/>
      <c r="LPL146" s="147"/>
      <c r="LPM146" s="147"/>
      <c r="LPN146" s="147"/>
      <c r="LPO146" s="147"/>
      <c r="LPP146" s="147"/>
      <c r="LPQ146" s="147"/>
      <c r="LPR146" s="147"/>
      <c r="LPS146" s="147"/>
      <c r="LPT146" s="147"/>
      <c r="LPU146" s="147"/>
      <c r="LPV146" s="147"/>
      <c r="LPW146" s="147"/>
      <c r="LPX146" s="147"/>
      <c r="LPY146" s="147"/>
      <c r="LPZ146" s="147"/>
      <c r="LQA146" s="147"/>
      <c r="LQB146" s="147"/>
      <c r="LQC146" s="147"/>
      <c r="LQD146" s="147"/>
      <c r="LQE146" s="147"/>
      <c r="LQF146" s="147"/>
      <c r="LQG146" s="147"/>
      <c r="LQH146" s="147"/>
      <c r="LQI146" s="147"/>
      <c r="LQJ146" s="147"/>
      <c r="LQK146" s="147"/>
      <c r="LQL146" s="147"/>
      <c r="LQM146" s="147"/>
      <c r="LQN146" s="147"/>
      <c r="LQO146" s="147"/>
      <c r="LQP146" s="147"/>
      <c r="LQQ146" s="147"/>
      <c r="LQR146" s="147"/>
      <c r="LQS146" s="147"/>
      <c r="LQT146" s="147"/>
      <c r="LQU146" s="147"/>
      <c r="LQV146" s="147"/>
      <c r="LQW146" s="147"/>
      <c r="LQX146" s="147"/>
      <c r="LQY146" s="147"/>
      <c r="LQZ146" s="147"/>
      <c r="LRA146" s="147"/>
      <c r="LRB146" s="147"/>
      <c r="LRC146" s="147"/>
      <c r="LRD146" s="147"/>
      <c r="LRE146" s="147"/>
      <c r="LRF146" s="147"/>
      <c r="LRG146" s="147"/>
      <c r="LRH146" s="147"/>
      <c r="LRI146" s="147"/>
      <c r="LRJ146" s="147"/>
      <c r="LRK146" s="147"/>
      <c r="LRL146" s="147"/>
      <c r="LRM146" s="147"/>
      <c r="LRN146" s="147"/>
      <c r="LRO146" s="147"/>
      <c r="LRP146" s="147"/>
      <c r="LRQ146" s="147"/>
      <c r="LRR146" s="147"/>
      <c r="LRS146" s="147"/>
      <c r="LRT146" s="147"/>
      <c r="LRU146" s="147"/>
      <c r="LRV146" s="147"/>
      <c r="LRW146" s="147"/>
      <c r="LRX146" s="147"/>
      <c r="LRY146" s="147"/>
      <c r="LRZ146" s="147"/>
      <c r="LSA146" s="147"/>
      <c r="LSB146" s="147"/>
      <c r="LSC146" s="147"/>
      <c r="LSD146" s="147"/>
      <c r="LSE146" s="147"/>
      <c r="LSF146" s="147"/>
      <c r="LSG146" s="147"/>
      <c r="LSH146" s="147"/>
      <c r="LSI146" s="147"/>
      <c r="LSJ146" s="147"/>
      <c r="LSK146" s="147"/>
      <c r="LSL146" s="147"/>
      <c r="LSM146" s="147"/>
      <c r="LSN146" s="147"/>
      <c r="LSO146" s="147"/>
      <c r="LSP146" s="147"/>
      <c r="LSQ146" s="147"/>
      <c r="LSR146" s="147"/>
      <c r="LSS146" s="147"/>
      <c r="LST146" s="147"/>
      <c r="LSU146" s="147"/>
      <c r="LSV146" s="147"/>
      <c r="LSW146" s="147"/>
      <c r="LSX146" s="147"/>
      <c r="LSY146" s="147"/>
      <c r="LSZ146" s="147"/>
      <c r="LTA146" s="147"/>
      <c r="LTB146" s="147"/>
      <c r="LTC146" s="147"/>
      <c r="LTD146" s="147"/>
      <c r="LTE146" s="147"/>
      <c r="LTF146" s="147"/>
      <c r="LTG146" s="147"/>
      <c r="LTH146" s="147"/>
      <c r="LTI146" s="147"/>
      <c r="LTJ146" s="147"/>
      <c r="LTK146" s="147"/>
      <c r="LTL146" s="147"/>
      <c r="LTM146" s="147"/>
      <c r="LTN146" s="147"/>
      <c r="LTO146" s="147"/>
      <c r="LTP146" s="147"/>
      <c r="LTQ146" s="147"/>
      <c r="LTR146" s="147"/>
      <c r="LTS146" s="147"/>
      <c r="LTT146" s="147"/>
      <c r="LTU146" s="147"/>
      <c r="LTV146" s="147"/>
      <c r="LTW146" s="147"/>
      <c r="LTX146" s="147"/>
      <c r="LTY146" s="147"/>
      <c r="LTZ146" s="147"/>
      <c r="LUA146" s="147"/>
      <c r="LUB146" s="147"/>
      <c r="LUC146" s="147"/>
      <c r="LUD146" s="147"/>
      <c r="LUE146" s="147"/>
      <c r="LUF146" s="147"/>
      <c r="LUG146" s="147"/>
      <c r="LUH146" s="147"/>
      <c r="LUI146" s="147"/>
      <c r="LUJ146" s="147"/>
      <c r="LUK146" s="147"/>
      <c r="LUL146" s="147"/>
      <c r="LUM146" s="147"/>
      <c r="LUN146" s="147"/>
      <c r="LUO146" s="147"/>
      <c r="LUP146" s="147"/>
      <c r="LUQ146" s="147"/>
      <c r="LUR146" s="147"/>
      <c r="LUS146" s="147"/>
      <c r="LUT146" s="147"/>
      <c r="LUU146" s="147"/>
      <c r="LUV146" s="147"/>
      <c r="LUW146" s="147"/>
      <c r="LUX146" s="147"/>
      <c r="LUY146" s="147"/>
      <c r="LUZ146" s="147"/>
      <c r="LVA146" s="147"/>
      <c r="LVB146" s="147"/>
      <c r="LVC146" s="147"/>
      <c r="LVD146" s="147"/>
      <c r="LVE146" s="147"/>
      <c r="LVF146" s="147"/>
      <c r="LVG146" s="147"/>
      <c r="LVH146" s="147"/>
      <c r="LVI146" s="147"/>
      <c r="LVJ146" s="147"/>
      <c r="LVK146" s="147"/>
      <c r="LVL146" s="147"/>
      <c r="LVM146" s="147"/>
      <c r="LVN146" s="147"/>
      <c r="LVO146" s="147"/>
      <c r="LVP146" s="147"/>
      <c r="LVQ146" s="147"/>
      <c r="LVR146" s="147"/>
      <c r="LVS146" s="147"/>
      <c r="LVT146" s="147"/>
      <c r="LVU146" s="147"/>
      <c r="LVV146" s="147"/>
      <c r="LVW146" s="147"/>
      <c r="LVX146" s="147"/>
      <c r="LVY146" s="147"/>
      <c r="LVZ146" s="147"/>
      <c r="LWA146" s="147"/>
      <c r="LWB146" s="147"/>
      <c r="LWC146" s="147"/>
      <c r="LWD146" s="147"/>
      <c r="LWE146" s="147"/>
      <c r="LWF146" s="147"/>
      <c r="LWG146" s="147"/>
      <c r="LWH146" s="147"/>
      <c r="LWI146" s="147"/>
      <c r="LWJ146" s="147"/>
      <c r="LWK146" s="147"/>
      <c r="LWL146" s="147"/>
      <c r="LWM146" s="147"/>
      <c r="LWN146" s="147"/>
      <c r="LWO146" s="147"/>
      <c r="LWP146" s="147"/>
      <c r="LWQ146" s="147"/>
      <c r="LWR146" s="147"/>
      <c r="LWS146" s="147"/>
      <c r="LWT146" s="147"/>
      <c r="LWU146" s="147"/>
      <c r="LWV146" s="147"/>
      <c r="LWW146" s="147"/>
      <c r="LWX146" s="147"/>
      <c r="LWY146" s="147"/>
      <c r="LWZ146" s="147"/>
      <c r="LXA146" s="147"/>
      <c r="LXB146" s="147"/>
      <c r="LXC146" s="147"/>
      <c r="LXD146" s="147"/>
      <c r="LXE146" s="147"/>
      <c r="LXF146" s="147"/>
      <c r="LXG146" s="147"/>
      <c r="LXH146" s="147"/>
      <c r="LXI146" s="147"/>
      <c r="LXJ146" s="147"/>
      <c r="LXK146" s="147"/>
      <c r="LXL146" s="147"/>
      <c r="LXM146" s="147"/>
      <c r="LXN146" s="147"/>
      <c r="LXO146" s="147"/>
      <c r="LXP146" s="147"/>
      <c r="LXQ146" s="147"/>
      <c r="LXR146" s="147"/>
      <c r="LXS146" s="147"/>
      <c r="LXT146" s="147"/>
      <c r="LXU146" s="147"/>
      <c r="LXV146" s="147"/>
      <c r="LXW146" s="147"/>
      <c r="LXX146" s="147"/>
      <c r="LXY146" s="147"/>
      <c r="LXZ146" s="147"/>
      <c r="LYA146" s="147"/>
      <c r="LYB146" s="147"/>
      <c r="LYC146" s="147"/>
      <c r="LYD146" s="147"/>
      <c r="LYE146" s="147"/>
      <c r="LYF146" s="147"/>
      <c r="LYG146" s="147"/>
      <c r="LYH146" s="147"/>
      <c r="LYI146" s="147"/>
      <c r="LYJ146" s="147"/>
      <c r="LYK146" s="147"/>
      <c r="LYL146" s="147"/>
      <c r="LYM146" s="147"/>
      <c r="LYN146" s="147"/>
      <c r="LYO146" s="147"/>
      <c r="LYP146" s="147"/>
      <c r="LYQ146" s="147"/>
      <c r="LYR146" s="147"/>
      <c r="LYS146" s="147"/>
      <c r="LYT146" s="147"/>
      <c r="LYU146" s="147"/>
      <c r="LYV146" s="147"/>
      <c r="LYW146" s="147"/>
      <c r="LYX146" s="147"/>
      <c r="LYY146" s="147"/>
      <c r="LYZ146" s="147"/>
      <c r="LZA146" s="147"/>
      <c r="LZB146" s="147"/>
      <c r="LZC146" s="147"/>
      <c r="LZD146" s="147"/>
      <c r="LZE146" s="147"/>
      <c r="LZF146" s="147"/>
      <c r="LZG146" s="147"/>
      <c r="LZH146" s="147"/>
      <c r="LZI146" s="147"/>
      <c r="LZJ146" s="147"/>
      <c r="LZK146" s="147"/>
      <c r="LZL146" s="147"/>
      <c r="LZM146" s="147"/>
      <c r="LZN146" s="147"/>
      <c r="LZO146" s="147"/>
      <c r="LZP146" s="147"/>
      <c r="LZQ146" s="147"/>
      <c r="LZR146" s="147"/>
      <c r="LZS146" s="147"/>
      <c r="LZT146" s="147"/>
      <c r="LZU146" s="147"/>
      <c r="LZV146" s="147"/>
      <c r="LZW146" s="147"/>
      <c r="LZX146" s="147"/>
      <c r="LZY146" s="147"/>
      <c r="LZZ146" s="147"/>
      <c r="MAA146" s="147"/>
      <c r="MAB146" s="147"/>
      <c r="MAC146" s="147"/>
      <c r="MAD146" s="147"/>
      <c r="MAE146" s="147"/>
      <c r="MAF146" s="147"/>
      <c r="MAG146" s="147"/>
      <c r="MAH146" s="147"/>
      <c r="MAI146" s="147"/>
      <c r="MAJ146" s="147"/>
      <c r="MAK146" s="147"/>
      <c r="MAL146" s="147"/>
      <c r="MAM146" s="147"/>
      <c r="MAN146" s="147"/>
      <c r="MAO146" s="147"/>
      <c r="MAP146" s="147"/>
      <c r="MAQ146" s="147"/>
      <c r="MAR146" s="147"/>
      <c r="MAS146" s="147"/>
      <c r="MAT146" s="147"/>
      <c r="MAU146" s="147"/>
      <c r="MAV146" s="147"/>
      <c r="MAW146" s="147"/>
      <c r="MAX146" s="147"/>
      <c r="MAY146" s="147"/>
      <c r="MAZ146" s="147"/>
      <c r="MBA146" s="147"/>
      <c r="MBB146" s="147"/>
      <c r="MBC146" s="147"/>
      <c r="MBD146" s="147"/>
      <c r="MBE146" s="147"/>
      <c r="MBF146" s="147"/>
      <c r="MBG146" s="147"/>
      <c r="MBH146" s="147"/>
      <c r="MBI146" s="147"/>
      <c r="MBJ146" s="147"/>
      <c r="MBK146" s="147"/>
      <c r="MBL146" s="147"/>
      <c r="MBM146" s="147"/>
      <c r="MBN146" s="147"/>
      <c r="MBO146" s="147"/>
      <c r="MBP146" s="147"/>
      <c r="MBQ146" s="147"/>
      <c r="MBR146" s="147"/>
      <c r="MBS146" s="147"/>
      <c r="MBT146" s="147"/>
      <c r="MBU146" s="147"/>
      <c r="MBV146" s="147"/>
      <c r="MBW146" s="147"/>
      <c r="MBX146" s="147"/>
      <c r="MBY146" s="147"/>
      <c r="MBZ146" s="147"/>
      <c r="MCA146" s="147"/>
      <c r="MCB146" s="147"/>
      <c r="MCC146" s="147"/>
      <c r="MCD146" s="147"/>
      <c r="MCE146" s="147"/>
      <c r="MCF146" s="147"/>
      <c r="MCG146" s="147"/>
      <c r="MCH146" s="147"/>
      <c r="MCI146" s="147"/>
      <c r="MCJ146" s="147"/>
      <c r="MCK146" s="147"/>
      <c r="MCL146" s="147"/>
      <c r="MCM146" s="147"/>
      <c r="MCN146" s="147"/>
      <c r="MCO146" s="147"/>
      <c r="MCP146" s="147"/>
      <c r="MCQ146" s="147"/>
      <c r="MCR146" s="147"/>
      <c r="MCS146" s="147"/>
      <c r="MCT146" s="147"/>
      <c r="MCU146" s="147"/>
      <c r="MCV146" s="147"/>
      <c r="MCW146" s="147"/>
      <c r="MCX146" s="147"/>
      <c r="MCY146" s="147"/>
      <c r="MCZ146" s="147"/>
      <c r="MDA146" s="147"/>
      <c r="MDB146" s="147"/>
      <c r="MDC146" s="147"/>
      <c r="MDD146" s="147"/>
      <c r="MDE146" s="147"/>
      <c r="MDF146" s="147"/>
      <c r="MDG146" s="147"/>
      <c r="MDH146" s="147"/>
      <c r="MDI146" s="147"/>
      <c r="MDJ146" s="147"/>
      <c r="MDK146" s="147"/>
      <c r="MDL146" s="147"/>
      <c r="MDM146" s="147"/>
      <c r="MDN146" s="147"/>
      <c r="MDO146" s="147"/>
      <c r="MDP146" s="147"/>
      <c r="MDQ146" s="147"/>
      <c r="MDR146" s="147"/>
      <c r="MDS146" s="147"/>
      <c r="MDT146" s="147"/>
      <c r="MDU146" s="147"/>
      <c r="MDV146" s="147"/>
      <c r="MDW146" s="147"/>
      <c r="MDX146" s="147"/>
      <c r="MDY146" s="147"/>
      <c r="MDZ146" s="147"/>
      <c r="MEA146" s="147"/>
      <c r="MEB146" s="147"/>
      <c r="MEC146" s="147"/>
      <c r="MED146" s="147"/>
      <c r="MEE146" s="147"/>
      <c r="MEF146" s="147"/>
      <c r="MEG146" s="147"/>
      <c r="MEH146" s="147"/>
      <c r="MEI146" s="147"/>
      <c r="MEJ146" s="147"/>
      <c r="MEK146" s="147"/>
      <c r="MEL146" s="147"/>
      <c r="MEM146" s="147"/>
      <c r="MEN146" s="147"/>
      <c r="MEO146" s="147"/>
      <c r="MEP146" s="147"/>
      <c r="MEQ146" s="147"/>
      <c r="MER146" s="147"/>
      <c r="MES146" s="147"/>
      <c r="MET146" s="147"/>
      <c r="MEU146" s="147"/>
      <c r="MEV146" s="147"/>
      <c r="MEW146" s="147"/>
      <c r="MEX146" s="147"/>
      <c r="MEY146" s="147"/>
      <c r="MEZ146" s="147"/>
      <c r="MFA146" s="147"/>
      <c r="MFB146" s="147"/>
      <c r="MFC146" s="147"/>
      <c r="MFD146" s="147"/>
      <c r="MFE146" s="147"/>
      <c r="MFF146" s="147"/>
      <c r="MFG146" s="147"/>
      <c r="MFH146" s="147"/>
      <c r="MFI146" s="147"/>
      <c r="MFJ146" s="147"/>
      <c r="MFK146" s="147"/>
      <c r="MFL146" s="147"/>
      <c r="MFM146" s="147"/>
      <c r="MFN146" s="147"/>
      <c r="MFO146" s="147"/>
      <c r="MFP146" s="147"/>
      <c r="MFQ146" s="147"/>
      <c r="MFR146" s="147"/>
      <c r="MFS146" s="147"/>
      <c r="MFT146" s="147"/>
      <c r="MFU146" s="147"/>
      <c r="MFV146" s="147"/>
      <c r="MFW146" s="147"/>
      <c r="MFX146" s="147"/>
      <c r="MFY146" s="147"/>
      <c r="MFZ146" s="147"/>
      <c r="MGA146" s="147"/>
      <c r="MGB146" s="147"/>
      <c r="MGC146" s="147"/>
      <c r="MGD146" s="147"/>
      <c r="MGE146" s="147"/>
      <c r="MGF146" s="147"/>
      <c r="MGG146" s="147"/>
      <c r="MGH146" s="147"/>
      <c r="MGI146" s="147"/>
      <c r="MGJ146" s="147"/>
      <c r="MGK146" s="147"/>
      <c r="MGL146" s="147"/>
      <c r="MGM146" s="147"/>
      <c r="MGN146" s="147"/>
      <c r="MGO146" s="147"/>
      <c r="MGP146" s="147"/>
      <c r="MGQ146" s="147"/>
      <c r="MGR146" s="147"/>
      <c r="MGS146" s="147"/>
      <c r="MGT146" s="147"/>
      <c r="MGU146" s="147"/>
      <c r="MGV146" s="147"/>
      <c r="MGW146" s="147"/>
      <c r="MGX146" s="147"/>
      <c r="MGY146" s="147"/>
      <c r="MGZ146" s="147"/>
      <c r="MHA146" s="147"/>
      <c r="MHB146" s="147"/>
      <c r="MHC146" s="147"/>
      <c r="MHD146" s="147"/>
      <c r="MHE146" s="147"/>
      <c r="MHF146" s="147"/>
      <c r="MHG146" s="147"/>
      <c r="MHH146" s="147"/>
      <c r="MHI146" s="147"/>
      <c r="MHJ146" s="147"/>
      <c r="MHK146" s="147"/>
      <c r="MHL146" s="147"/>
      <c r="MHM146" s="147"/>
      <c r="MHN146" s="147"/>
      <c r="MHO146" s="147"/>
      <c r="MHP146" s="147"/>
      <c r="MHQ146" s="147"/>
      <c r="MHR146" s="147"/>
      <c r="MHS146" s="147"/>
      <c r="MHT146" s="147"/>
      <c r="MHU146" s="147"/>
      <c r="MHV146" s="147"/>
      <c r="MHW146" s="147"/>
      <c r="MHX146" s="147"/>
      <c r="MHY146" s="147"/>
      <c r="MHZ146" s="147"/>
      <c r="MIA146" s="147"/>
      <c r="MIB146" s="147"/>
      <c r="MIC146" s="147"/>
      <c r="MID146" s="147"/>
      <c r="MIE146" s="147"/>
      <c r="MIF146" s="147"/>
      <c r="MIG146" s="147"/>
      <c r="MIH146" s="147"/>
      <c r="MII146" s="147"/>
      <c r="MIJ146" s="147"/>
      <c r="MIK146" s="147"/>
      <c r="MIL146" s="147"/>
      <c r="MIM146" s="147"/>
      <c r="MIN146" s="147"/>
      <c r="MIO146" s="147"/>
      <c r="MIP146" s="147"/>
      <c r="MIQ146" s="147"/>
      <c r="MIR146" s="147"/>
      <c r="MIS146" s="147"/>
      <c r="MIT146" s="147"/>
      <c r="MIU146" s="147"/>
      <c r="MIV146" s="147"/>
      <c r="MIW146" s="147"/>
      <c r="MIX146" s="147"/>
      <c r="MIY146" s="147"/>
      <c r="MIZ146" s="147"/>
      <c r="MJA146" s="147"/>
      <c r="MJB146" s="147"/>
      <c r="MJC146" s="147"/>
      <c r="MJD146" s="147"/>
      <c r="MJE146" s="147"/>
      <c r="MJF146" s="147"/>
      <c r="MJG146" s="147"/>
      <c r="MJH146" s="147"/>
      <c r="MJI146" s="147"/>
      <c r="MJJ146" s="147"/>
      <c r="MJK146" s="147"/>
      <c r="MJL146" s="147"/>
      <c r="MJM146" s="147"/>
      <c r="MJN146" s="147"/>
      <c r="MJO146" s="147"/>
      <c r="MJP146" s="147"/>
      <c r="MJQ146" s="147"/>
      <c r="MJR146" s="147"/>
      <c r="MJS146" s="147"/>
      <c r="MJT146" s="147"/>
      <c r="MJU146" s="147"/>
      <c r="MJV146" s="147"/>
      <c r="MJW146" s="147"/>
      <c r="MJX146" s="147"/>
      <c r="MJY146" s="147"/>
      <c r="MJZ146" s="147"/>
      <c r="MKA146" s="147"/>
      <c r="MKB146" s="147"/>
      <c r="MKC146" s="147"/>
      <c r="MKD146" s="147"/>
      <c r="MKE146" s="147"/>
      <c r="MKF146" s="147"/>
      <c r="MKG146" s="147"/>
      <c r="MKH146" s="147"/>
      <c r="MKI146" s="147"/>
      <c r="MKJ146" s="147"/>
      <c r="MKK146" s="147"/>
      <c r="MKL146" s="147"/>
      <c r="MKM146" s="147"/>
      <c r="MKN146" s="147"/>
      <c r="MKO146" s="147"/>
      <c r="MKP146" s="147"/>
      <c r="MKQ146" s="147"/>
      <c r="MKR146" s="147"/>
      <c r="MKS146" s="147"/>
      <c r="MKT146" s="147"/>
      <c r="MKU146" s="147"/>
      <c r="MKV146" s="147"/>
      <c r="MKW146" s="147"/>
      <c r="MKX146" s="147"/>
      <c r="MKY146" s="147"/>
      <c r="MKZ146" s="147"/>
      <c r="MLA146" s="147"/>
      <c r="MLB146" s="147"/>
      <c r="MLC146" s="147"/>
      <c r="MLD146" s="147"/>
      <c r="MLE146" s="147"/>
      <c r="MLF146" s="147"/>
      <c r="MLG146" s="147"/>
      <c r="MLH146" s="147"/>
      <c r="MLI146" s="147"/>
      <c r="MLJ146" s="147"/>
      <c r="MLK146" s="147"/>
      <c r="MLL146" s="147"/>
      <c r="MLM146" s="147"/>
      <c r="MLN146" s="147"/>
      <c r="MLO146" s="147"/>
      <c r="MLP146" s="147"/>
      <c r="MLQ146" s="147"/>
      <c r="MLR146" s="147"/>
      <c r="MLS146" s="147"/>
      <c r="MLT146" s="147"/>
      <c r="MLU146" s="147"/>
      <c r="MLV146" s="147"/>
      <c r="MLW146" s="147"/>
      <c r="MLX146" s="147"/>
      <c r="MLY146" s="147"/>
      <c r="MLZ146" s="147"/>
      <c r="MMA146" s="147"/>
      <c r="MMB146" s="147"/>
      <c r="MMC146" s="147"/>
      <c r="MMD146" s="147"/>
      <c r="MME146" s="147"/>
      <c r="MMF146" s="147"/>
      <c r="MMG146" s="147"/>
      <c r="MMH146" s="147"/>
      <c r="MMI146" s="147"/>
      <c r="MMJ146" s="147"/>
      <c r="MMK146" s="147"/>
      <c r="MML146" s="147"/>
      <c r="MMM146" s="147"/>
      <c r="MMN146" s="147"/>
      <c r="MMO146" s="147"/>
      <c r="MMP146" s="147"/>
      <c r="MMQ146" s="147"/>
      <c r="MMR146" s="147"/>
      <c r="MMS146" s="147"/>
      <c r="MMT146" s="147"/>
      <c r="MMU146" s="147"/>
      <c r="MMV146" s="147"/>
      <c r="MMW146" s="147"/>
      <c r="MMX146" s="147"/>
      <c r="MMY146" s="147"/>
      <c r="MMZ146" s="147"/>
      <c r="MNA146" s="147"/>
      <c r="MNB146" s="147"/>
      <c r="MNC146" s="147"/>
      <c r="MND146" s="147"/>
      <c r="MNE146" s="147"/>
      <c r="MNF146" s="147"/>
      <c r="MNG146" s="147"/>
      <c r="MNH146" s="147"/>
      <c r="MNI146" s="147"/>
      <c r="MNJ146" s="147"/>
      <c r="MNK146" s="147"/>
      <c r="MNL146" s="147"/>
      <c r="MNM146" s="147"/>
      <c r="MNN146" s="147"/>
      <c r="MNO146" s="147"/>
      <c r="MNP146" s="147"/>
      <c r="MNQ146" s="147"/>
      <c r="MNR146" s="147"/>
      <c r="MNS146" s="147"/>
      <c r="MNT146" s="147"/>
      <c r="MNU146" s="147"/>
      <c r="MNV146" s="147"/>
      <c r="MNW146" s="147"/>
      <c r="MNX146" s="147"/>
      <c r="MNY146" s="147"/>
      <c r="MNZ146" s="147"/>
      <c r="MOA146" s="147"/>
      <c r="MOB146" s="147"/>
      <c r="MOC146" s="147"/>
      <c r="MOD146" s="147"/>
      <c r="MOE146" s="147"/>
      <c r="MOF146" s="147"/>
      <c r="MOG146" s="147"/>
      <c r="MOH146" s="147"/>
      <c r="MOI146" s="147"/>
      <c r="MOJ146" s="147"/>
      <c r="MOK146" s="147"/>
      <c r="MOL146" s="147"/>
      <c r="MOM146" s="147"/>
      <c r="MON146" s="147"/>
      <c r="MOO146" s="147"/>
      <c r="MOP146" s="147"/>
      <c r="MOQ146" s="147"/>
      <c r="MOR146" s="147"/>
      <c r="MOS146" s="147"/>
      <c r="MOT146" s="147"/>
      <c r="MOU146" s="147"/>
      <c r="MOV146" s="147"/>
      <c r="MOW146" s="147"/>
      <c r="MOX146" s="147"/>
      <c r="MOY146" s="147"/>
      <c r="MOZ146" s="147"/>
      <c r="MPA146" s="147"/>
      <c r="MPB146" s="147"/>
      <c r="MPC146" s="147"/>
      <c r="MPD146" s="147"/>
      <c r="MPE146" s="147"/>
      <c r="MPF146" s="147"/>
      <c r="MPG146" s="147"/>
      <c r="MPH146" s="147"/>
      <c r="MPI146" s="147"/>
      <c r="MPJ146" s="147"/>
      <c r="MPK146" s="147"/>
      <c r="MPL146" s="147"/>
      <c r="MPM146" s="147"/>
      <c r="MPN146" s="147"/>
      <c r="MPO146" s="147"/>
      <c r="MPP146" s="147"/>
      <c r="MPQ146" s="147"/>
      <c r="MPR146" s="147"/>
      <c r="MPS146" s="147"/>
      <c r="MPT146" s="147"/>
      <c r="MPU146" s="147"/>
      <c r="MPV146" s="147"/>
      <c r="MPW146" s="147"/>
      <c r="MPX146" s="147"/>
      <c r="MPY146" s="147"/>
      <c r="MPZ146" s="147"/>
      <c r="MQA146" s="147"/>
      <c r="MQB146" s="147"/>
      <c r="MQC146" s="147"/>
      <c r="MQD146" s="147"/>
      <c r="MQE146" s="147"/>
      <c r="MQF146" s="147"/>
      <c r="MQG146" s="147"/>
      <c r="MQH146" s="147"/>
      <c r="MQI146" s="147"/>
      <c r="MQJ146" s="147"/>
      <c r="MQK146" s="147"/>
      <c r="MQL146" s="147"/>
      <c r="MQM146" s="147"/>
      <c r="MQN146" s="147"/>
      <c r="MQO146" s="147"/>
      <c r="MQP146" s="147"/>
      <c r="MQQ146" s="147"/>
      <c r="MQR146" s="147"/>
      <c r="MQS146" s="147"/>
      <c r="MQT146" s="147"/>
      <c r="MQU146" s="147"/>
      <c r="MQV146" s="147"/>
      <c r="MQW146" s="147"/>
      <c r="MQX146" s="147"/>
      <c r="MQY146" s="147"/>
      <c r="MQZ146" s="147"/>
      <c r="MRA146" s="147"/>
      <c r="MRB146" s="147"/>
      <c r="MRC146" s="147"/>
      <c r="MRD146" s="147"/>
      <c r="MRE146" s="147"/>
      <c r="MRF146" s="147"/>
      <c r="MRG146" s="147"/>
      <c r="MRH146" s="147"/>
      <c r="MRI146" s="147"/>
      <c r="MRJ146" s="147"/>
      <c r="MRK146" s="147"/>
      <c r="MRL146" s="147"/>
      <c r="MRM146" s="147"/>
      <c r="MRN146" s="147"/>
      <c r="MRO146" s="147"/>
      <c r="MRP146" s="147"/>
      <c r="MRQ146" s="147"/>
      <c r="MRR146" s="147"/>
      <c r="MRS146" s="147"/>
      <c r="MRT146" s="147"/>
      <c r="MRU146" s="147"/>
      <c r="MRV146" s="147"/>
      <c r="MRW146" s="147"/>
      <c r="MRX146" s="147"/>
      <c r="MRY146" s="147"/>
      <c r="MRZ146" s="147"/>
      <c r="MSA146" s="147"/>
      <c r="MSB146" s="147"/>
      <c r="MSC146" s="147"/>
      <c r="MSD146" s="147"/>
      <c r="MSE146" s="147"/>
      <c r="MSF146" s="147"/>
      <c r="MSG146" s="147"/>
      <c r="MSH146" s="147"/>
      <c r="MSI146" s="147"/>
      <c r="MSJ146" s="147"/>
      <c r="MSK146" s="147"/>
      <c r="MSL146" s="147"/>
      <c r="MSM146" s="147"/>
      <c r="MSN146" s="147"/>
      <c r="MSO146" s="147"/>
      <c r="MSP146" s="147"/>
      <c r="MSQ146" s="147"/>
      <c r="MSR146" s="147"/>
      <c r="MSS146" s="147"/>
      <c r="MST146" s="147"/>
      <c r="MSU146" s="147"/>
      <c r="MSV146" s="147"/>
      <c r="MSW146" s="147"/>
      <c r="MSX146" s="147"/>
      <c r="MSY146" s="147"/>
      <c r="MSZ146" s="147"/>
      <c r="MTA146" s="147"/>
      <c r="MTB146" s="147"/>
      <c r="MTC146" s="147"/>
      <c r="MTD146" s="147"/>
      <c r="MTE146" s="147"/>
      <c r="MTF146" s="147"/>
      <c r="MTG146" s="147"/>
      <c r="MTH146" s="147"/>
      <c r="MTI146" s="147"/>
      <c r="MTJ146" s="147"/>
      <c r="MTK146" s="147"/>
      <c r="MTL146" s="147"/>
      <c r="MTM146" s="147"/>
      <c r="MTN146" s="147"/>
      <c r="MTO146" s="147"/>
      <c r="MTP146" s="147"/>
      <c r="MTQ146" s="147"/>
      <c r="MTR146" s="147"/>
      <c r="MTS146" s="147"/>
      <c r="MTT146" s="147"/>
      <c r="MTU146" s="147"/>
      <c r="MTV146" s="147"/>
      <c r="MTW146" s="147"/>
      <c r="MTX146" s="147"/>
      <c r="MTY146" s="147"/>
      <c r="MTZ146" s="147"/>
      <c r="MUA146" s="147"/>
      <c r="MUB146" s="147"/>
      <c r="MUC146" s="147"/>
      <c r="MUD146" s="147"/>
      <c r="MUE146" s="147"/>
      <c r="MUF146" s="147"/>
      <c r="MUG146" s="147"/>
      <c r="MUH146" s="147"/>
      <c r="MUI146" s="147"/>
      <c r="MUJ146" s="147"/>
      <c r="MUK146" s="147"/>
      <c r="MUL146" s="147"/>
      <c r="MUM146" s="147"/>
      <c r="MUN146" s="147"/>
      <c r="MUO146" s="147"/>
      <c r="MUP146" s="147"/>
      <c r="MUQ146" s="147"/>
      <c r="MUR146" s="147"/>
      <c r="MUS146" s="147"/>
      <c r="MUT146" s="147"/>
      <c r="MUU146" s="147"/>
      <c r="MUV146" s="147"/>
      <c r="MUW146" s="147"/>
      <c r="MUX146" s="147"/>
      <c r="MUY146" s="147"/>
      <c r="MUZ146" s="147"/>
      <c r="MVA146" s="147"/>
      <c r="MVB146" s="147"/>
      <c r="MVC146" s="147"/>
      <c r="MVD146" s="147"/>
      <c r="MVE146" s="147"/>
      <c r="MVF146" s="147"/>
      <c r="MVG146" s="147"/>
      <c r="MVH146" s="147"/>
      <c r="MVI146" s="147"/>
      <c r="MVJ146" s="147"/>
      <c r="MVK146" s="147"/>
      <c r="MVL146" s="147"/>
      <c r="MVM146" s="147"/>
      <c r="MVN146" s="147"/>
      <c r="MVO146" s="147"/>
      <c r="MVP146" s="147"/>
      <c r="MVQ146" s="147"/>
      <c r="MVR146" s="147"/>
      <c r="MVS146" s="147"/>
      <c r="MVT146" s="147"/>
      <c r="MVU146" s="147"/>
      <c r="MVV146" s="147"/>
      <c r="MVW146" s="147"/>
      <c r="MVX146" s="147"/>
      <c r="MVY146" s="147"/>
      <c r="MVZ146" s="147"/>
      <c r="MWA146" s="147"/>
      <c r="MWB146" s="147"/>
      <c r="MWC146" s="147"/>
      <c r="MWD146" s="147"/>
      <c r="MWE146" s="147"/>
      <c r="MWF146" s="147"/>
      <c r="MWG146" s="147"/>
      <c r="MWH146" s="147"/>
      <c r="MWI146" s="147"/>
      <c r="MWJ146" s="147"/>
      <c r="MWK146" s="147"/>
      <c r="MWL146" s="147"/>
      <c r="MWM146" s="147"/>
      <c r="MWN146" s="147"/>
      <c r="MWO146" s="147"/>
      <c r="MWP146" s="147"/>
      <c r="MWQ146" s="147"/>
      <c r="MWR146" s="147"/>
      <c r="MWS146" s="147"/>
      <c r="MWT146" s="147"/>
      <c r="MWU146" s="147"/>
      <c r="MWV146" s="147"/>
      <c r="MWW146" s="147"/>
      <c r="MWX146" s="147"/>
      <c r="MWY146" s="147"/>
      <c r="MWZ146" s="147"/>
      <c r="MXA146" s="147"/>
      <c r="MXB146" s="147"/>
      <c r="MXC146" s="147"/>
      <c r="MXD146" s="147"/>
      <c r="MXE146" s="147"/>
      <c r="MXF146" s="147"/>
      <c r="MXG146" s="147"/>
      <c r="MXH146" s="147"/>
      <c r="MXI146" s="147"/>
      <c r="MXJ146" s="147"/>
      <c r="MXK146" s="147"/>
      <c r="MXL146" s="147"/>
      <c r="MXM146" s="147"/>
      <c r="MXN146" s="147"/>
      <c r="MXO146" s="147"/>
      <c r="MXP146" s="147"/>
      <c r="MXQ146" s="147"/>
      <c r="MXR146" s="147"/>
      <c r="MXS146" s="147"/>
      <c r="MXT146" s="147"/>
      <c r="MXU146" s="147"/>
      <c r="MXV146" s="147"/>
      <c r="MXW146" s="147"/>
      <c r="MXX146" s="147"/>
      <c r="MXY146" s="147"/>
      <c r="MXZ146" s="147"/>
      <c r="MYA146" s="147"/>
      <c r="MYB146" s="147"/>
      <c r="MYC146" s="147"/>
      <c r="MYD146" s="147"/>
      <c r="MYE146" s="147"/>
      <c r="MYF146" s="147"/>
      <c r="MYG146" s="147"/>
      <c r="MYH146" s="147"/>
      <c r="MYI146" s="147"/>
      <c r="MYJ146" s="147"/>
      <c r="MYK146" s="147"/>
      <c r="MYL146" s="147"/>
      <c r="MYM146" s="147"/>
      <c r="MYN146" s="147"/>
      <c r="MYO146" s="147"/>
      <c r="MYP146" s="147"/>
      <c r="MYQ146" s="147"/>
      <c r="MYR146" s="147"/>
      <c r="MYS146" s="147"/>
      <c r="MYT146" s="147"/>
      <c r="MYU146" s="147"/>
      <c r="MYV146" s="147"/>
      <c r="MYW146" s="147"/>
      <c r="MYX146" s="147"/>
      <c r="MYY146" s="147"/>
      <c r="MYZ146" s="147"/>
      <c r="MZA146" s="147"/>
      <c r="MZB146" s="147"/>
      <c r="MZC146" s="147"/>
      <c r="MZD146" s="147"/>
      <c r="MZE146" s="147"/>
      <c r="MZF146" s="147"/>
      <c r="MZG146" s="147"/>
      <c r="MZH146" s="147"/>
      <c r="MZI146" s="147"/>
      <c r="MZJ146" s="147"/>
      <c r="MZK146" s="147"/>
      <c r="MZL146" s="147"/>
      <c r="MZM146" s="147"/>
      <c r="MZN146" s="147"/>
      <c r="MZO146" s="147"/>
      <c r="MZP146" s="147"/>
      <c r="MZQ146" s="147"/>
      <c r="MZR146" s="147"/>
      <c r="MZS146" s="147"/>
      <c r="MZT146" s="147"/>
      <c r="MZU146" s="147"/>
      <c r="MZV146" s="147"/>
      <c r="MZW146" s="147"/>
      <c r="MZX146" s="147"/>
      <c r="MZY146" s="147"/>
      <c r="MZZ146" s="147"/>
      <c r="NAA146" s="147"/>
      <c r="NAB146" s="147"/>
      <c r="NAC146" s="147"/>
      <c r="NAD146" s="147"/>
      <c r="NAE146" s="147"/>
      <c r="NAF146" s="147"/>
      <c r="NAG146" s="147"/>
      <c r="NAH146" s="147"/>
      <c r="NAI146" s="147"/>
      <c r="NAJ146" s="147"/>
      <c r="NAK146" s="147"/>
      <c r="NAL146" s="147"/>
      <c r="NAM146" s="147"/>
      <c r="NAN146" s="147"/>
      <c r="NAO146" s="147"/>
      <c r="NAP146" s="147"/>
      <c r="NAQ146" s="147"/>
      <c r="NAR146" s="147"/>
      <c r="NAS146" s="147"/>
      <c r="NAT146" s="147"/>
      <c r="NAU146" s="147"/>
      <c r="NAV146" s="147"/>
      <c r="NAW146" s="147"/>
      <c r="NAX146" s="147"/>
      <c r="NAY146" s="147"/>
      <c r="NAZ146" s="147"/>
      <c r="NBA146" s="147"/>
      <c r="NBB146" s="147"/>
      <c r="NBC146" s="147"/>
      <c r="NBD146" s="147"/>
      <c r="NBE146" s="147"/>
      <c r="NBF146" s="147"/>
      <c r="NBG146" s="147"/>
      <c r="NBH146" s="147"/>
      <c r="NBI146" s="147"/>
      <c r="NBJ146" s="147"/>
      <c r="NBK146" s="147"/>
      <c r="NBL146" s="147"/>
      <c r="NBM146" s="147"/>
      <c r="NBN146" s="147"/>
      <c r="NBO146" s="147"/>
      <c r="NBP146" s="147"/>
      <c r="NBQ146" s="147"/>
      <c r="NBR146" s="147"/>
      <c r="NBS146" s="147"/>
      <c r="NBT146" s="147"/>
      <c r="NBU146" s="147"/>
      <c r="NBV146" s="147"/>
      <c r="NBW146" s="147"/>
      <c r="NBX146" s="147"/>
      <c r="NBY146" s="147"/>
      <c r="NBZ146" s="147"/>
      <c r="NCA146" s="147"/>
      <c r="NCB146" s="147"/>
      <c r="NCC146" s="147"/>
      <c r="NCD146" s="147"/>
      <c r="NCE146" s="147"/>
      <c r="NCF146" s="147"/>
      <c r="NCG146" s="147"/>
      <c r="NCH146" s="147"/>
      <c r="NCI146" s="147"/>
      <c r="NCJ146" s="147"/>
      <c r="NCK146" s="147"/>
      <c r="NCL146" s="147"/>
      <c r="NCM146" s="147"/>
      <c r="NCN146" s="147"/>
      <c r="NCO146" s="147"/>
      <c r="NCP146" s="147"/>
      <c r="NCQ146" s="147"/>
      <c r="NCR146" s="147"/>
      <c r="NCS146" s="147"/>
      <c r="NCT146" s="147"/>
      <c r="NCU146" s="147"/>
      <c r="NCV146" s="147"/>
      <c r="NCW146" s="147"/>
      <c r="NCX146" s="147"/>
      <c r="NCY146" s="147"/>
      <c r="NCZ146" s="147"/>
      <c r="NDA146" s="147"/>
      <c r="NDB146" s="147"/>
      <c r="NDC146" s="147"/>
      <c r="NDD146" s="147"/>
      <c r="NDE146" s="147"/>
      <c r="NDF146" s="147"/>
      <c r="NDG146" s="147"/>
      <c r="NDH146" s="147"/>
      <c r="NDI146" s="147"/>
      <c r="NDJ146" s="147"/>
      <c r="NDK146" s="147"/>
      <c r="NDL146" s="147"/>
      <c r="NDM146" s="147"/>
      <c r="NDN146" s="147"/>
      <c r="NDO146" s="147"/>
      <c r="NDP146" s="147"/>
      <c r="NDQ146" s="147"/>
      <c r="NDR146" s="147"/>
      <c r="NDS146" s="147"/>
      <c r="NDT146" s="147"/>
      <c r="NDU146" s="147"/>
      <c r="NDV146" s="147"/>
      <c r="NDW146" s="147"/>
      <c r="NDX146" s="147"/>
      <c r="NDY146" s="147"/>
      <c r="NDZ146" s="147"/>
      <c r="NEA146" s="147"/>
      <c r="NEB146" s="147"/>
      <c r="NEC146" s="147"/>
      <c r="NED146" s="147"/>
      <c r="NEE146" s="147"/>
      <c r="NEF146" s="147"/>
      <c r="NEG146" s="147"/>
      <c r="NEH146" s="147"/>
      <c r="NEI146" s="147"/>
      <c r="NEJ146" s="147"/>
      <c r="NEK146" s="147"/>
      <c r="NEL146" s="147"/>
      <c r="NEM146" s="147"/>
      <c r="NEN146" s="147"/>
      <c r="NEO146" s="147"/>
      <c r="NEP146" s="147"/>
      <c r="NEQ146" s="147"/>
      <c r="NER146" s="147"/>
      <c r="NES146" s="147"/>
      <c r="NET146" s="147"/>
      <c r="NEU146" s="147"/>
      <c r="NEV146" s="147"/>
      <c r="NEW146" s="147"/>
      <c r="NEX146" s="147"/>
      <c r="NEY146" s="147"/>
      <c r="NEZ146" s="147"/>
      <c r="NFA146" s="147"/>
      <c r="NFB146" s="147"/>
      <c r="NFC146" s="147"/>
      <c r="NFD146" s="147"/>
      <c r="NFE146" s="147"/>
      <c r="NFF146" s="147"/>
      <c r="NFG146" s="147"/>
      <c r="NFH146" s="147"/>
      <c r="NFI146" s="147"/>
      <c r="NFJ146" s="147"/>
      <c r="NFK146" s="147"/>
      <c r="NFL146" s="147"/>
      <c r="NFM146" s="147"/>
      <c r="NFN146" s="147"/>
      <c r="NFO146" s="147"/>
      <c r="NFP146" s="147"/>
      <c r="NFQ146" s="147"/>
      <c r="NFR146" s="147"/>
      <c r="NFS146" s="147"/>
      <c r="NFT146" s="147"/>
      <c r="NFU146" s="147"/>
      <c r="NFV146" s="147"/>
      <c r="NFW146" s="147"/>
      <c r="NFX146" s="147"/>
      <c r="NFY146" s="147"/>
      <c r="NFZ146" s="147"/>
      <c r="NGA146" s="147"/>
      <c r="NGB146" s="147"/>
      <c r="NGC146" s="147"/>
      <c r="NGD146" s="147"/>
      <c r="NGE146" s="147"/>
      <c r="NGF146" s="147"/>
      <c r="NGG146" s="147"/>
      <c r="NGH146" s="147"/>
      <c r="NGI146" s="147"/>
      <c r="NGJ146" s="147"/>
      <c r="NGK146" s="147"/>
      <c r="NGL146" s="147"/>
      <c r="NGM146" s="147"/>
      <c r="NGN146" s="147"/>
      <c r="NGO146" s="147"/>
      <c r="NGP146" s="147"/>
      <c r="NGQ146" s="147"/>
      <c r="NGR146" s="147"/>
      <c r="NGS146" s="147"/>
      <c r="NGT146" s="147"/>
      <c r="NGU146" s="147"/>
      <c r="NGV146" s="147"/>
      <c r="NGW146" s="147"/>
      <c r="NGX146" s="147"/>
      <c r="NGY146" s="147"/>
      <c r="NGZ146" s="147"/>
      <c r="NHA146" s="147"/>
      <c r="NHB146" s="147"/>
      <c r="NHC146" s="147"/>
      <c r="NHD146" s="147"/>
      <c r="NHE146" s="147"/>
      <c r="NHF146" s="147"/>
      <c r="NHG146" s="147"/>
      <c r="NHH146" s="147"/>
      <c r="NHI146" s="147"/>
      <c r="NHJ146" s="147"/>
      <c r="NHK146" s="147"/>
      <c r="NHL146" s="147"/>
      <c r="NHM146" s="147"/>
      <c r="NHN146" s="147"/>
      <c r="NHO146" s="147"/>
      <c r="NHP146" s="147"/>
      <c r="NHQ146" s="147"/>
      <c r="NHR146" s="147"/>
      <c r="NHS146" s="147"/>
      <c r="NHT146" s="147"/>
      <c r="NHU146" s="147"/>
      <c r="NHV146" s="147"/>
      <c r="NHW146" s="147"/>
      <c r="NHX146" s="147"/>
      <c r="NHY146" s="147"/>
      <c r="NHZ146" s="147"/>
      <c r="NIA146" s="147"/>
      <c r="NIB146" s="147"/>
      <c r="NIC146" s="147"/>
      <c r="NID146" s="147"/>
      <c r="NIE146" s="147"/>
      <c r="NIF146" s="147"/>
      <c r="NIG146" s="147"/>
      <c r="NIH146" s="147"/>
      <c r="NII146" s="147"/>
      <c r="NIJ146" s="147"/>
      <c r="NIK146" s="147"/>
      <c r="NIL146" s="147"/>
      <c r="NIM146" s="147"/>
      <c r="NIN146" s="147"/>
      <c r="NIO146" s="147"/>
      <c r="NIP146" s="147"/>
      <c r="NIQ146" s="147"/>
      <c r="NIR146" s="147"/>
      <c r="NIS146" s="147"/>
      <c r="NIT146" s="147"/>
      <c r="NIU146" s="147"/>
      <c r="NIV146" s="147"/>
      <c r="NIW146" s="147"/>
      <c r="NIX146" s="147"/>
      <c r="NIY146" s="147"/>
      <c r="NIZ146" s="147"/>
      <c r="NJA146" s="147"/>
      <c r="NJB146" s="147"/>
      <c r="NJC146" s="147"/>
      <c r="NJD146" s="147"/>
      <c r="NJE146" s="147"/>
      <c r="NJF146" s="147"/>
      <c r="NJG146" s="147"/>
      <c r="NJH146" s="147"/>
      <c r="NJI146" s="147"/>
      <c r="NJJ146" s="147"/>
      <c r="NJK146" s="147"/>
      <c r="NJL146" s="147"/>
      <c r="NJM146" s="147"/>
      <c r="NJN146" s="147"/>
      <c r="NJO146" s="147"/>
      <c r="NJP146" s="147"/>
      <c r="NJQ146" s="147"/>
      <c r="NJR146" s="147"/>
      <c r="NJS146" s="147"/>
      <c r="NJT146" s="147"/>
      <c r="NJU146" s="147"/>
      <c r="NJV146" s="147"/>
      <c r="NJW146" s="147"/>
      <c r="NJX146" s="147"/>
      <c r="NJY146" s="147"/>
      <c r="NJZ146" s="147"/>
      <c r="NKA146" s="147"/>
      <c r="NKB146" s="147"/>
      <c r="NKC146" s="147"/>
      <c r="NKD146" s="147"/>
      <c r="NKE146" s="147"/>
      <c r="NKF146" s="147"/>
      <c r="NKG146" s="147"/>
      <c r="NKH146" s="147"/>
      <c r="NKI146" s="147"/>
      <c r="NKJ146" s="147"/>
      <c r="NKK146" s="147"/>
      <c r="NKL146" s="147"/>
      <c r="NKM146" s="147"/>
      <c r="NKN146" s="147"/>
      <c r="NKO146" s="147"/>
      <c r="NKP146" s="147"/>
      <c r="NKQ146" s="147"/>
      <c r="NKR146" s="147"/>
      <c r="NKS146" s="147"/>
      <c r="NKT146" s="147"/>
      <c r="NKU146" s="147"/>
      <c r="NKV146" s="147"/>
      <c r="NKW146" s="147"/>
      <c r="NKX146" s="147"/>
      <c r="NKY146" s="147"/>
      <c r="NKZ146" s="147"/>
      <c r="NLA146" s="147"/>
      <c r="NLB146" s="147"/>
      <c r="NLC146" s="147"/>
      <c r="NLD146" s="147"/>
      <c r="NLE146" s="147"/>
      <c r="NLF146" s="147"/>
      <c r="NLG146" s="147"/>
      <c r="NLH146" s="147"/>
      <c r="NLI146" s="147"/>
      <c r="NLJ146" s="147"/>
      <c r="NLK146" s="147"/>
      <c r="NLL146" s="147"/>
      <c r="NLM146" s="147"/>
      <c r="NLN146" s="147"/>
      <c r="NLO146" s="147"/>
      <c r="NLP146" s="147"/>
      <c r="NLQ146" s="147"/>
      <c r="NLR146" s="147"/>
      <c r="NLS146" s="147"/>
      <c r="NLT146" s="147"/>
      <c r="NLU146" s="147"/>
      <c r="NLV146" s="147"/>
      <c r="NLW146" s="147"/>
      <c r="NLX146" s="147"/>
      <c r="NLY146" s="147"/>
      <c r="NLZ146" s="147"/>
      <c r="NMA146" s="147"/>
      <c r="NMB146" s="147"/>
      <c r="NMC146" s="147"/>
      <c r="NMD146" s="147"/>
      <c r="NME146" s="147"/>
      <c r="NMF146" s="147"/>
      <c r="NMG146" s="147"/>
      <c r="NMH146" s="147"/>
      <c r="NMI146" s="147"/>
      <c r="NMJ146" s="147"/>
      <c r="NMK146" s="147"/>
      <c r="NML146" s="147"/>
      <c r="NMM146" s="147"/>
      <c r="NMN146" s="147"/>
      <c r="NMO146" s="147"/>
      <c r="NMP146" s="147"/>
      <c r="NMQ146" s="147"/>
      <c r="NMR146" s="147"/>
      <c r="NMS146" s="147"/>
      <c r="NMT146" s="147"/>
      <c r="NMU146" s="147"/>
      <c r="NMV146" s="147"/>
      <c r="NMW146" s="147"/>
      <c r="NMX146" s="147"/>
      <c r="NMY146" s="147"/>
      <c r="NMZ146" s="147"/>
      <c r="NNA146" s="147"/>
      <c r="NNB146" s="147"/>
      <c r="NNC146" s="147"/>
      <c r="NND146" s="147"/>
      <c r="NNE146" s="147"/>
      <c r="NNF146" s="147"/>
      <c r="NNG146" s="147"/>
      <c r="NNH146" s="147"/>
      <c r="NNI146" s="147"/>
      <c r="NNJ146" s="147"/>
      <c r="NNK146" s="147"/>
      <c r="NNL146" s="147"/>
      <c r="NNM146" s="147"/>
      <c r="NNN146" s="147"/>
      <c r="NNO146" s="147"/>
      <c r="NNP146" s="147"/>
      <c r="NNQ146" s="147"/>
      <c r="NNR146" s="147"/>
      <c r="NNS146" s="147"/>
      <c r="NNT146" s="147"/>
      <c r="NNU146" s="147"/>
      <c r="NNV146" s="147"/>
      <c r="NNW146" s="147"/>
      <c r="NNX146" s="147"/>
      <c r="NNY146" s="147"/>
      <c r="NNZ146" s="147"/>
      <c r="NOA146" s="147"/>
      <c r="NOB146" s="147"/>
      <c r="NOC146" s="147"/>
      <c r="NOD146" s="147"/>
      <c r="NOE146" s="147"/>
      <c r="NOF146" s="147"/>
      <c r="NOG146" s="147"/>
      <c r="NOH146" s="147"/>
      <c r="NOI146" s="147"/>
      <c r="NOJ146" s="147"/>
      <c r="NOK146" s="147"/>
      <c r="NOL146" s="147"/>
      <c r="NOM146" s="147"/>
      <c r="NON146" s="147"/>
      <c r="NOO146" s="147"/>
      <c r="NOP146" s="147"/>
      <c r="NOQ146" s="147"/>
      <c r="NOR146" s="147"/>
      <c r="NOS146" s="147"/>
      <c r="NOT146" s="147"/>
      <c r="NOU146" s="147"/>
      <c r="NOV146" s="147"/>
      <c r="NOW146" s="147"/>
      <c r="NOX146" s="147"/>
      <c r="NOY146" s="147"/>
      <c r="NOZ146" s="147"/>
      <c r="NPA146" s="147"/>
      <c r="NPB146" s="147"/>
      <c r="NPC146" s="147"/>
      <c r="NPD146" s="147"/>
      <c r="NPE146" s="147"/>
      <c r="NPF146" s="147"/>
      <c r="NPG146" s="147"/>
      <c r="NPH146" s="147"/>
      <c r="NPI146" s="147"/>
      <c r="NPJ146" s="147"/>
      <c r="NPK146" s="147"/>
      <c r="NPL146" s="147"/>
      <c r="NPM146" s="147"/>
      <c r="NPN146" s="147"/>
      <c r="NPO146" s="147"/>
      <c r="NPP146" s="147"/>
      <c r="NPQ146" s="147"/>
      <c r="NPR146" s="147"/>
      <c r="NPS146" s="147"/>
      <c r="NPT146" s="147"/>
      <c r="NPU146" s="147"/>
      <c r="NPV146" s="147"/>
      <c r="NPW146" s="147"/>
      <c r="NPX146" s="147"/>
      <c r="NPY146" s="147"/>
      <c r="NPZ146" s="147"/>
      <c r="NQA146" s="147"/>
      <c r="NQB146" s="147"/>
      <c r="NQC146" s="147"/>
      <c r="NQD146" s="147"/>
      <c r="NQE146" s="147"/>
      <c r="NQF146" s="147"/>
      <c r="NQG146" s="147"/>
      <c r="NQH146" s="147"/>
      <c r="NQI146" s="147"/>
      <c r="NQJ146" s="147"/>
      <c r="NQK146" s="147"/>
      <c r="NQL146" s="147"/>
      <c r="NQM146" s="147"/>
      <c r="NQN146" s="147"/>
      <c r="NQO146" s="147"/>
      <c r="NQP146" s="147"/>
      <c r="NQQ146" s="147"/>
      <c r="NQR146" s="147"/>
      <c r="NQS146" s="147"/>
      <c r="NQT146" s="147"/>
      <c r="NQU146" s="147"/>
      <c r="NQV146" s="147"/>
      <c r="NQW146" s="147"/>
      <c r="NQX146" s="147"/>
      <c r="NQY146" s="147"/>
      <c r="NQZ146" s="147"/>
      <c r="NRA146" s="147"/>
      <c r="NRB146" s="147"/>
      <c r="NRC146" s="147"/>
      <c r="NRD146" s="147"/>
      <c r="NRE146" s="147"/>
      <c r="NRF146" s="147"/>
      <c r="NRG146" s="147"/>
      <c r="NRH146" s="147"/>
      <c r="NRI146" s="147"/>
      <c r="NRJ146" s="147"/>
      <c r="NRK146" s="147"/>
      <c r="NRL146" s="147"/>
      <c r="NRM146" s="147"/>
      <c r="NRN146" s="147"/>
      <c r="NRO146" s="147"/>
      <c r="NRP146" s="147"/>
      <c r="NRQ146" s="147"/>
      <c r="NRR146" s="147"/>
      <c r="NRS146" s="147"/>
      <c r="NRT146" s="147"/>
      <c r="NRU146" s="147"/>
      <c r="NRV146" s="147"/>
      <c r="NRW146" s="147"/>
      <c r="NRX146" s="147"/>
      <c r="NRY146" s="147"/>
      <c r="NRZ146" s="147"/>
      <c r="NSA146" s="147"/>
      <c r="NSB146" s="147"/>
      <c r="NSC146" s="147"/>
      <c r="NSD146" s="147"/>
      <c r="NSE146" s="147"/>
      <c r="NSF146" s="147"/>
      <c r="NSG146" s="147"/>
      <c r="NSH146" s="147"/>
      <c r="NSI146" s="147"/>
      <c r="NSJ146" s="147"/>
      <c r="NSK146" s="147"/>
      <c r="NSL146" s="147"/>
      <c r="NSM146" s="147"/>
      <c r="NSN146" s="147"/>
      <c r="NSO146" s="147"/>
      <c r="NSP146" s="147"/>
      <c r="NSQ146" s="147"/>
      <c r="NSR146" s="147"/>
      <c r="NSS146" s="147"/>
      <c r="NST146" s="147"/>
      <c r="NSU146" s="147"/>
      <c r="NSV146" s="147"/>
      <c r="NSW146" s="147"/>
      <c r="NSX146" s="147"/>
      <c r="NSY146" s="147"/>
      <c r="NSZ146" s="147"/>
      <c r="NTA146" s="147"/>
      <c r="NTB146" s="147"/>
      <c r="NTC146" s="147"/>
      <c r="NTD146" s="147"/>
      <c r="NTE146" s="147"/>
      <c r="NTF146" s="147"/>
      <c r="NTG146" s="147"/>
      <c r="NTH146" s="147"/>
      <c r="NTI146" s="147"/>
      <c r="NTJ146" s="147"/>
      <c r="NTK146" s="147"/>
      <c r="NTL146" s="147"/>
      <c r="NTM146" s="147"/>
      <c r="NTN146" s="147"/>
      <c r="NTO146" s="147"/>
      <c r="NTP146" s="147"/>
      <c r="NTQ146" s="147"/>
      <c r="NTR146" s="147"/>
      <c r="NTS146" s="147"/>
      <c r="NTT146" s="147"/>
      <c r="NTU146" s="147"/>
      <c r="NTV146" s="147"/>
      <c r="NTW146" s="147"/>
      <c r="NTX146" s="147"/>
      <c r="NTY146" s="147"/>
      <c r="NTZ146" s="147"/>
      <c r="NUA146" s="147"/>
      <c r="NUB146" s="147"/>
      <c r="NUC146" s="147"/>
      <c r="NUD146" s="147"/>
      <c r="NUE146" s="147"/>
      <c r="NUF146" s="147"/>
      <c r="NUG146" s="147"/>
      <c r="NUH146" s="147"/>
      <c r="NUI146" s="147"/>
      <c r="NUJ146" s="147"/>
      <c r="NUK146" s="147"/>
      <c r="NUL146" s="147"/>
      <c r="NUM146" s="147"/>
      <c r="NUN146" s="147"/>
      <c r="NUO146" s="147"/>
      <c r="NUP146" s="147"/>
      <c r="NUQ146" s="147"/>
      <c r="NUR146" s="147"/>
      <c r="NUS146" s="147"/>
      <c r="NUT146" s="147"/>
      <c r="NUU146" s="147"/>
      <c r="NUV146" s="147"/>
      <c r="NUW146" s="147"/>
      <c r="NUX146" s="147"/>
      <c r="NUY146" s="147"/>
      <c r="NUZ146" s="147"/>
      <c r="NVA146" s="147"/>
      <c r="NVB146" s="147"/>
      <c r="NVC146" s="147"/>
      <c r="NVD146" s="147"/>
      <c r="NVE146" s="147"/>
      <c r="NVF146" s="147"/>
      <c r="NVG146" s="147"/>
      <c r="NVH146" s="147"/>
      <c r="NVI146" s="147"/>
      <c r="NVJ146" s="147"/>
      <c r="NVK146" s="147"/>
      <c r="NVL146" s="147"/>
      <c r="NVM146" s="147"/>
      <c r="NVN146" s="147"/>
      <c r="NVO146" s="147"/>
      <c r="NVP146" s="147"/>
      <c r="NVQ146" s="147"/>
      <c r="NVR146" s="147"/>
      <c r="NVS146" s="147"/>
      <c r="NVT146" s="147"/>
      <c r="NVU146" s="147"/>
      <c r="NVV146" s="147"/>
      <c r="NVW146" s="147"/>
      <c r="NVX146" s="147"/>
      <c r="NVY146" s="147"/>
      <c r="NVZ146" s="147"/>
      <c r="NWA146" s="147"/>
      <c r="NWB146" s="147"/>
      <c r="NWC146" s="147"/>
      <c r="NWD146" s="147"/>
      <c r="NWE146" s="147"/>
      <c r="NWF146" s="147"/>
      <c r="NWG146" s="147"/>
      <c r="NWH146" s="147"/>
      <c r="NWI146" s="147"/>
      <c r="NWJ146" s="147"/>
      <c r="NWK146" s="147"/>
      <c r="NWL146" s="147"/>
      <c r="NWM146" s="147"/>
      <c r="NWN146" s="147"/>
      <c r="NWO146" s="147"/>
      <c r="NWP146" s="147"/>
      <c r="NWQ146" s="147"/>
      <c r="NWR146" s="147"/>
      <c r="NWS146" s="147"/>
      <c r="NWT146" s="147"/>
      <c r="NWU146" s="147"/>
      <c r="NWV146" s="147"/>
      <c r="NWW146" s="147"/>
      <c r="NWX146" s="147"/>
      <c r="NWY146" s="147"/>
      <c r="NWZ146" s="147"/>
      <c r="NXA146" s="147"/>
      <c r="NXB146" s="147"/>
      <c r="NXC146" s="147"/>
      <c r="NXD146" s="147"/>
      <c r="NXE146" s="147"/>
      <c r="NXF146" s="147"/>
      <c r="NXG146" s="147"/>
      <c r="NXH146" s="147"/>
      <c r="NXI146" s="147"/>
      <c r="NXJ146" s="147"/>
      <c r="NXK146" s="147"/>
      <c r="NXL146" s="147"/>
      <c r="NXM146" s="147"/>
      <c r="NXN146" s="147"/>
      <c r="NXO146" s="147"/>
      <c r="NXP146" s="147"/>
      <c r="NXQ146" s="147"/>
      <c r="NXR146" s="147"/>
      <c r="NXS146" s="147"/>
      <c r="NXT146" s="147"/>
      <c r="NXU146" s="147"/>
      <c r="NXV146" s="147"/>
      <c r="NXW146" s="147"/>
      <c r="NXX146" s="147"/>
      <c r="NXY146" s="147"/>
      <c r="NXZ146" s="147"/>
      <c r="NYA146" s="147"/>
      <c r="NYB146" s="147"/>
      <c r="NYC146" s="147"/>
      <c r="NYD146" s="147"/>
      <c r="NYE146" s="147"/>
      <c r="NYF146" s="147"/>
      <c r="NYG146" s="147"/>
      <c r="NYH146" s="147"/>
      <c r="NYI146" s="147"/>
      <c r="NYJ146" s="147"/>
      <c r="NYK146" s="147"/>
      <c r="NYL146" s="147"/>
      <c r="NYM146" s="147"/>
      <c r="NYN146" s="147"/>
      <c r="NYO146" s="147"/>
      <c r="NYP146" s="147"/>
      <c r="NYQ146" s="147"/>
      <c r="NYR146" s="147"/>
      <c r="NYS146" s="147"/>
      <c r="NYT146" s="147"/>
      <c r="NYU146" s="147"/>
      <c r="NYV146" s="147"/>
      <c r="NYW146" s="147"/>
      <c r="NYX146" s="147"/>
      <c r="NYY146" s="147"/>
      <c r="NYZ146" s="147"/>
      <c r="NZA146" s="147"/>
      <c r="NZB146" s="147"/>
      <c r="NZC146" s="147"/>
      <c r="NZD146" s="147"/>
      <c r="NZE146" s="147"/>
      <c r="NZF146" s="147"/>
      <c r="NZG146" s="147"/>
      <c r="NZH146" s="147"/>
      <c r="NZI146" s="147"/>
      <c r="NZJ146" s="147"/>
      <c r="NZK146" s="147"/>
      <c r="NZL146" s="147"/>
      <c r="NZM146" s="147"/>
      <c r="NZN146" s="147"/>
      <c r="NZO146" s="147"/>
      <c r="NZP146" s="147"/>
      <c r="NZQ146" s="147"/>
      <c r="NZR146" s="147"/>
      <c r="NZS146" s="147"/>
      <c r="NZT146" s="147"/>
      <c r="NZU146" s="147"/>
      <c r="NZV146" s="147"/>
      <c r="NZW146" s="147"/>
      <c r="NZX146" s="147"/>
      <c r="NZY146" s="147"/>
      <c r="NZZ146" s="147"/>
      <c r="OAA146" s="147"/>
      <c r="OAB146" s="147"/>
      <c r="OAC146" s="147"/>
      <c r="OAD146" s="147"/>
      <c r="OAE146" s="147"/>
      <c r="OAF146" s="147"/>
      <c r="OAG146" s="147"/>
      <c r="OAH146" s="147"/>
      <c r="OAI146" s="147"/>
      <c r="OAJ146" s="147"/>
      <c r="OAK146" s="147"/>
      <c r="OAL146" s="147"/>
      <c r="OAM146" s="147"/>
      <c r="OAN146" s="147"/>
      <c r="OAO146" s="147"/>
      <c r="OAP146" s="147"/>
      <c r="OAQ146" s="147"/>
      <c r="OAR146" s="147"/>
      <c r="OAS146" s="147"/>
      <c r="OAT146" s="147"/>
      <c r="OAU146" s="147"/>
      <c r="OAV146" s="147"/>
      <c r="OAW146" s="147"/>
      <c r="OAX146" s="147"/>
      <c r="OAY146" s="147"/>
      <c r="OAZ146" s="147"/>
      <c r="OBA146" s="147"/>
      <c r="OBB146" s="147"/>
      <c r="OBC146" s="147"/>
      <c r="OBD146" s="147"/>
      <c r="OBE146" s="147"/>
      <c r="OBF146" s="147"/>
      <c r="OBG146" s="147"/>
      <c r="OBH146" s="147"/>
      <c r="OBI146" s="147"/>
      <c r="OBJ146" s="147"/>
      <c r="OBK146" s="147"/>
      <c r="OBL146" s="147"/>
      <c r="OBM146" s="147"/>
      <c r="OBN146" s="147"/>
      <c r="OBO146" s="147"/>
      <c r="OBP146" s="147"/>
      <c r="OBQ146" s="147"/>
      <c r="OBR146" s="147"/>
      <c r="OBS146" s="147"/>
      <c r="OBT146" s="147"/>
      <c r="OBU146" s="147"/>
      <c r="OBV146" s="147"/>
      <c r="OBW146" s="147"/>
      <c r="OBX146" s="147"/>
      <c r="OBY146" s="147"/>
      <c r="OBZ146" s="147"/>
      <c r="OCA146" s="147"/>
      <c r="OCB146" s="147"/>
      <c r="OCC146" s="147"/>
      <c r="OCD146" s="147"/>
      <c r="OCE146" s="147"/>
      <c r="OCF146" s="147"/>
      <c r="OCG146" s="147"/>
      <c r="OCH146" s="147"/>
      <c r="OCI146" s="147"/>
      <c r="OCJ146" s="147"/>
      <c r="OCK146" s="147"/>
      <c r="OCL146" s="147"/>
      <c r="OCM146" s="147"/>
      <c r="OCN146" s="147"/>
      <c r="OCO146" s="147"/>
      <c r="OCP146" s="147"/>
      <c r="OCQ146" s="147"/>
      <c r="OCR146" s="147"/>
      <c r="OCS146" s="147"/>
      <c r="OCT146" s="147"/>
      <c r="OCU146" s="147"/>
      <c r="OCV146" s="147"/>
      <c r="OCW146" s="147"/>
      <c r="OCX146" s="147"/>
      <c r="OCY146" s="147"/>
      <c r="OCZ146" s="147"/>
      <c r="ODA146" s="147"/>
      <c r="ODB146" s="147"/>
      <c r="ODC146" s="147"/>
      <c r="ODD146" s="147"/>
      <c r="ODE146" s="147"/>
      <c r="ODF146" s="147"/>
      <c r="ODG146" s="147"/>
      <c r="ODH146" s="147"/>
      <c r="ODI146" s="147"/>
      <c r="ODJ146" s="147"/>
      <c r="ODK146" s="147"/>
      <c r="ODL146" s="147"/>
      <c r="ODM146" s="147"/>
      <c r="ODN146" s="147"/>
      <c r="ODO146" s="147"/>
      <c r="ODP146" s="147"/>
      <c r="ODQ146" s="147"/>
      <c r="ODR146" s="147"/>
      <c r="ODS146" s="147"/>
      <c r="ODT146" s="147"/>
      <c r="ODU146" s="147"/>
      <c r="ODV146" s="147"/>
      <c r="ODW146" s="147"/>
      <c r="ODX146" s="147"/>
      <c r="ODY146" s="147"/>
      <c r="ODZ146" s="147"/>
      <c r="OEA146" s="147"/>
      <c r="OEB146" s="147"/>
      <c r="OEC146" s="147"/>
      <c r="OED146" s="147"/>
      <c r="OEE146" s="147"/>
      <c r="OEF146" s="147"/>
      <c r="OEG146" s="147"/>
      <c r="OEH146" s="147"/>
      <c r="OEI146" s="147"/>
      <c r="OEJ146" s="147"/>
      <c r="OEK146" s="147"/>
      <c r="OEL146" s="147"/>
      <c r="OEM146" s="147"/>
      <c r="OEN146" s="147"/>
      <c r="OEO146" s="147"/>
      <c r="OEP146" s="147"/>
      <c r="OEQ146" s="147"/>
      <c r="OER146" s="147"/>
      <c r="OES146" s="147"/>
      <c r="OET146" s="147"/>
      <c r="OEU146" s="147"/>
      <c r="OEV146" s="147"/>
      <c r="OEW146" s="147"/>
      <c r="OEX146" s="147"/>
      <c r="OEY146" s="147"/>
      <c r="OEZ146" s="147"/>
      <c r="OFA146" s="147"/>
      <c r="OFB146" s="147"/>
      <c r="OFC146" s="147"/>
      <c r="OFD146" s="147"/>
      <c r="OFE146" s="147"/>
      <c r="OFF146" s="147"/>
      <c r="OFG146" s="147"/>
      <c r="OFH146" s="147"/>
      <c r="OFI146" s="147"/>
      <c r="OFJ146" s="147"/>
      <c r="OFK146" s="147"/>
      <c r="OFL146" s="147"/>
      <c r="OFM146" s="147"/>
      <c r="OFN146" s="147"/>
      <c r="OFO146" s="147"/>
      <c r="OFP146" s="147"/>
      <c r="OFQ146" s="147"/>
      <c r="OFR146" s="147"/>
      <c r="OFS146" s="147"/>
      <c r="OFT146" s="147"/>
      <c r="OFU146" s="147"/>
      <c r="OFV146" s="147"/>
      <c r="OFW146" s="147"/>
      <c r="OFX146" s="147"/>
      <c r="OFY146" s="147"/>
      <c r="OFZ146" s="147"/>
      <c r="OGA146" s="147"/>
      <c r="OGB146" s="147"/>
      <c r="OGC146" s="147"/>
      <c r="OGD146" s="147"/>
      <c r="OGE146" s="147"/>
      <c r="OGF146" s="147"/>
      <c r="OGG146" s="147"/>
      <c r="OGH146" s="147"/>
      <c r="OGI146" s="147"/>
      <c r="OGJ146" s="147"/>
      <c r="OGK146" s="147"/>
      <c r="OGL146" s="147"/>
      <c r="OGM146" s="147"/>
      <c r="OGN146" s="147"/>
      <c r="OGO146" s="147"/>
      <c r="OGP146" s="147"/>
      <c r="OGQ146" s="147"/>
      <c r="OGR146" s="147"/>
      <c r="OGS146" s="147"/>
      <c r="OGT146" s="147"/>
      <c r="OGU146" s="147"/>
      <c r="OGV146" s="147"/>
      <c r="OGW146" s="147"/>
      <c r="OGX146" s="147"/>
      <c r="OGY146" s="147"/>
      <c r="OGZ146" s="147"/>
      <c r="OHA146" s="147"/>
      <c r="OHB146" s="147"/>
      <c r="OHC146" s="147"/>
      <c r="OHD146" s="147"/>
      <c r="OHE146" s="147"/>
      <c r="OHF146" s="147"/>
      <c r="OHG146" s="147"/>
      <c r="OHH146" s="147"/>
      <c r="OHI146" s="147"/>
      <c r="OHJ146" s="147"/>
      <c r="OHK146" s="147"/>
      <c r="OHL146" s="147"/>
      <c r="OHM146" s="147"/>
      <c r="OHN146" s="147"/>
      <c r="OHO146" s="147"/>
      <c r="OHP146" s="147"/>
      <c r="OHQ146" s="147"/>
      <c r="OHR146" s="147"/>
      <c r="OHS146" s="147"/>
      <c r="OHT146" s="147"/>
      <c r="OHU146" s="147"/>
      <c r="OHV146" s="147"/>
      <c r="OHW146" s="147"/>
      <c r="OHX146" s="147"/>
      <c r="OHY146" s="147"/>
      <c r="OHZ146" s="147"/>
      <c r="OIA146" s="147"/>
      <c r="OIB146" s="147"/>
      <c r="OIC146" s="147"/>
      <c r="OID146" s="147"/>
      <c r="OIE146" s="147"/>
      <c r="OIF146" s="147"/>
      <c r="OIG146" s="147"/>
      <c r="OIH146" s="147"/>
      <c r="OII146" s="147"/>
      <c r="OIJ146" s="147"/>
      <c r="OIK146" s="147"/>
      <c r="OIL146" s="147"/>
      <c r="OIM146" s="147"/>
      <c r="OIN146" s="147"/>
      <c r="OIO146" s="147"/>
      <c r="OIP146" s="147"/>
      <c r="OIQ146" s="147"/>
      <c r="OIR146" s="147"/>
      <c r="OIS146" s="147"/>
      <c r="OIT146" s="147"/>
      <c r="OIU146" s="147"/>
      <c r="OIV146" s="147"/>
      <c r="OIW146" s="147"/>
      <c r="OIX146" s="147"/>
      <c r="OIY146" s="147"/>
      <c r="OIZ146" s="147"/>
      <c r="OJA146" s="147"/>
      <c r="OJB146" s="147"/>
      <c r="OJC146" s="147"/>
      <c r="OJD146" s="147"/>
      <c r="OJE146" s="147"/>
      <c r="OJF146" s="147"/>
      <c r="OJG146" s="147"/>
      <c r="OJH146" s="147"/>
      <c r="OJI146" s="147"/>
      <c r="OJJ146" s="147"/>
      <c r="OJK146" s="147"/>
      <c r="OJL146" s="147"/>
      <c r="OJM146" s="147"/>
      <c r="OJN146" s="147"/>
      <c r="OJO146" s="147"/>
      <c r="OJP146" s="147"/>
      <c r="OJQ146" s="147"/>
      <c r="OJR146" s="147"/>
      <c r="OJS146" s="147"/>
      <c r="OJT146" s="147"/>
      <c r="OJU146" s="147"/>
      <c r="OJV146" s="147"/>
      <c r="OJW146" s="147"/>
      <c r="OJX146" s="147"/>
      <c r="OJY146" s="147"/>
      <c r="OJZ146" s="147"/>
      <c r="OKA146" s="147"/>
      <c r="OKB146" s="147"/>
      <c r="OKC146" s="147"/>
      <c r="OKD146" s="147"/>
      <c r="OKE146" s="147"/>
      <c r="OKF146" s="147"/>
      <c r="OKG146" s="147"/>
      <c r="OKH146" s="147"/>
      <c r="OKI146" s="147"/>
      <c r="OKJ146" s="147"/>
      <c r="OKK146" s="147"/>
      <c r="OKL146" s="147"/>
      <c r="OKM146" s="147"/>
      <c r="OKN146" s="147"/>
      <c r="OKO146" s="147"/>
      <c r="OKP146" s="147"/>
      <c r="OKQ146" s="147"/>
      <c r="OKR146" s="147"/>
      <c r="OKS146" s="147"/>
      <c r="OKT146" s="147"/>
      <c r="OKU146" s="147"/>
      <c r="OKV146" s="147"/>
      <c r="OKW146" s="147"/>
      <c r="OKX146" s="147"/>
      <c r="OKY146" s="147"/>
      <c r="OKZ146" s="147"/>
      <c r="OLA146" s="147"/>
      <c r="OLB146" s="147"/>
      <c r="OLC146" s="147"/>
      <c r="OLD146" s="147"/>
      <c r="OLE146" s="147"/>
      <c r="OLF146" s="147"/>
      <c r="OLG146" s="147"/>
      <c r="OLH146" s="147"/>
      <c r="OLI146" s="147"/>
      <c r="OLJ146" s="147"/>
      <c r="OLK146" s="147"/>
      <c r="OLL146" s="147"/>
      <c r="OLM146" s="147"/>
      <c r="OLN146" s="147"/>
      <c r="OLO146" s="147"/>
      <c r="OLP146" s="147"/>
      <c r="OLQ146" s="147"/>
      <c r="OLR146" s="147"/>
      <c r="OLS146" s="147"/>
      <c r="OLT146" s="147"/>
      <c r="OLU146" s="147"/>
      <c r="OLV146" s="147"/>
      <c r="OLW146" s="147"/>
      <c r="OLX146" s="147"/>
      <c r="OLY146" s="147"/>
      <c r="OLZ146" s="147"/>
      <c r="OMA146" s="147"/>
      <c r="OMB146" s="147"/>
      <c r="OMC146" s="147"/>
      <c r="OMD146" s="147"/>
      <c r="OME146" s="147"/>
      <c r="OMF146" s="147"/>
      <c r="OMG146" s="147"/>
      <c r="OMH146" s="147"/>
      <c r="OMI146" s="147"/>
      <c r="OMJ146" s="147"/>
      <c r="OMK146" s="147"/>
      <c r="OML146" s="147"/>
      <c r="OMM146" s="147"/>
      <c r="OMN146" s="147"/>
      <c r="OMO146" s="147"/>
      <c r="OMP146" s="147"/>
      <c r="OMQ146" s="147"/>
      <c r="OMR146" s="147"/>
      <c r="OMS146" s="147"/>
      <c r="OMT146" s="147"/>
      <c r="OMU146" s="147"/>
      <c r="OMV146" s="147"/>
      <c r="OMW146" s="147"/>
      <c r="OMX146" s="147"/>
      <c r="OMY146" s="147"/>
      <c r="OMZ146" s="147"/>
      <c r="ONA146" s="147"/>
      <c r="ONB146" s="147"/>
      <c r="ONC146" s="147"/>
      <c r="OND146" s="147"/>
      <c r="ONE146" s="147"/>
      <c r="ONF146" s="147"/>
      <c r="ONG146" s="147"/>
      <c r="ONH146" s="147"/>
      <c r="ONI146" s="147"/>
      <c r="ONJ146" s="147"/>
      <c r="ONK146" s="147"/>
      <c r="ONL146" s="147"/>
      <c r="ONM146" s="147"/>
      <c r="ONN146" s="147"/>
      <c r="ONO146" s="147"/>
      <c r="ONP146" s="147"/>
      <c r="ONQ146" s="147"/>
      <c r="ONR146" s="147"/>
      <c r="ONS146" s="147"/>
      <c r="ONT146" s="147"/>
      <c r="ONU146" s="147"/>
      <c r="ONV146" s="147"/>
      <c r="ONW146" s="147"/>
      <c r="ONX146" s="147"/>
      <c r="ONY146" s="147"/>
      <c r="ONZ146" s="147"/>
      <c r="OOA146" s="147"/>
      <c r="OOB146" s="147"/>
      <c r="OOC146" s="147"/>
      <c r="OOD146" s="147"/>
      <c r="OOE146" s="147"/>
      <c r="OOF146" s="147"/>
      <c r="OOG146" s="147"/>
      <c r="OOH146" s="147"/>
      <c r="OOI146" s="147"/>
      <c r="OOJ146" s="147"/>
      <c r="OOK146" s="147"/>
      <c r="OOL146" s="147"/>
      <c r="OOM146" s="147"/>
      <c r="OON146" s="147"/>
      <c r="OOO146" s="147"/>
      <c r="OOP146" s="147"/>
      <c r="OOQ146" s="147"/>
      <c r="OOR146" s="147"/>
      <c r="OOS146" s="147"/>
      <c r="OOT146" s="147"/>
      <c r="OOU146" s="147"/>
      <c r="OOV146" s="147"/>
      <c r="OOW146" s="147"/>
      <c r="OOX146" s="147"/>
      <c r="OOY146" s="147"/>
      <c r="OOZ146" s="147"/>
      <c r="OPA146" s="147"/>
      <c r="OPB146" s="147"/>
      <c r="OPC146" s="147"/>
      <c r="OPD146" s="147"/>
      <c r="OPE146" s="147"/>
      <c r="OPF146" s="147"/>
      <c r="OPG146" s="147"/>
      <c r="OPH146" s="147"/>
      <c r="OPI146" s="147"/>
      <c r="OPJ146" s="147"/>
      <c r="OPK146" s="147"/>
      <c r="OPL146" s="147"/>
      <c r="OPM146" s="147"/>
      <c r="OPN146" s="147"/>
      <c r="OPO146" s="147"/>
      <c r="OPP146" s="147"/>
      <c r="OPQ146" s="147"/>
      <c r="OPR146" s="147"/>
      <c r="OPS146" s="147"/>
      <c r="OPT146" s="147"/>
      <c r="OPU146" s="147"/>
      <c r="OPV146" s="147"/>
      <c r="OPW146" s="147"/>
      <c r="OPX146" s="147"/>
      <c r="OPY146" s="147"/>
      <c r="OPZ146" s="147"/>
      <c r="OQA146" s="147"/>
      <c r="OQB146" s="147"/>
      <c r="OQC146" s="147"/>
      <c r="OQD146" s="147"/>
      <c r="OQE146" s="147"/>
      <c r="OQF146" s="147"/>
      <c r="OQG146" s="147"/>
      <c r="OQH146" s="147"/>
      <c r="OQI146" s="147"/>
      <c r="OQJ146" s="147"/>
      <c r="OQK146" s="147"/>
      <c r="OQL146" s="147"/>
      <c r="OQM146" s="147"/>
      <c r="OQN146" s="147"/>
      <c r="OQO146" s="147"/>
      <c r="OQP146" s="147"/>
      <c r="OQQ146" s="147"/>
      <c r="OQR146" s="147"/>
      <c r="OQS146" s="147"/>
      <c r="OQT146" s="147"/>
      <c r="OQU146" s="147"/>
      <c r="OQV146" s="147"/>
      <c r="OQW146" s="147"/>
      <c r="OQX146" s="147"/>
      <c r="OQY146" s="147"/>
      <c r="OQZ146" s="147"/>
      <c r="ORA146" s="147"/>
      <c r="ORB146" s="147"/>
      <c r="ORC146" s="147"/>
      <c r="ORD146" s="147"/>
      <c r="ORE146" s="147"/>
      <c r="ORF146" s="147"/>
      <c r="ORG146" s="147"/>
      <c r="ORH146" s="147"/>
      <c r="ORI146" s="147"/>
      <c r="ORJ146" s="147"/>
      <c r="ORK146" s="147"/>
      <c r="ORL146" s="147"/>
      <c r="ORM146" s="147"/>
      <c r="ORN146" s="147"/>
      <c r="ORO146" s="147"/>
      <c r="ORP146" s="147"/>
      <c r="ORQ146" s="147"/>
      <c r="ORR146" s="147"/>
      <c r="ORS146" s="147"/>
      <c r="ORT146" s="147"/>
      <c r="ORU146" s="147"/>
      <c r="ORV146" s="147"/>
      <c r="ORW146" s="147"/>
      <c r="ORX146" s="147"/>
      <c r="ORY146" s="147"/>
      <c r="ORZ146" s="147"/>
      <c r="OSA146" s="147"/>
      <c r="OSB146" s="147"/>
      <c r="OSC146" s="147"/>
      <c r="OSD146" s="147"/>
      <c r="OSE146" s="147"/>
      <c r="OSF146" s="147"/>
      <c r="OSG146" s="147"/>
      <c r="OSH146" s="147"/>
      <c r="OSI146" s="147"/>
      <c r="OSJ146" s="147"/>
      <c r="OSK146" s="147"/>
      <c r="OSL146" s="147"/>
      <c r="OSM146" s="147"/>
      <c r="OSN146" s="147"/>
      <c r="OSO146" s="147"/>
      <c r="OSP146" s="147"/>
      <c r="OSQ146" s="147"/>
      <c r="OSR146" s="147"/>
      <c r="OSS146" s="147"/>
      <c r="OST146" s="147"/>
      <c r="OSU146" s="147"/>
      <c r="OSV146" s="147"/>
      <c r="OSW146" s="147"/>
      <c r="OSX146" s="147"/>
      <c r="OSY146" s="147"/>
      <c r="OSZ146" s="147"/>
      <c r="OTA146" s="147"/>
      <c r="OTB146" s="147"/>
      <c r="OTC146" s="147"/>
      <c r="OTD146" s="147"/>
      <c r="OTE146" s="147"/>
      <c r="OTF146" s="147"/>
      <c r="OTG146" s="147"/>
      <c r="OTH146" s="147"/>
      <c r="OTI146" s="147"/>
      <c r="OTJ146" s="147"/>
      <c r="OTK146" s="147"/>
      <c r="OTL146" s="147"/>
      <c r="OTM146" s="147"/>
      <c r="OTN146" s="147"/>
      <c r="OTO146" s="147"/>
      <c r="OTP146" s="147"/>
      <c r="OTQ146" s="147"/>
      <c r="OTR146" s="147"/>
      <c r="OTS146" s="147"/>
      <c r="OTT146" s="147"/>
      <c r="OTU146" s="147"/>
      <c r="OTV146" s="147"/>
      <c r="OTW146" s="147"/>
      <c r="OTX146" s="147"/>
      <c r="OTY146" s="147"/>
      <c r="OTZ146" s="147"/>
      <c r="OUA146" s="147"/>
      <c r="OUB146" s="147"/>
      <c r="OUC146" s="147"/>
      <c r="OUD146" s="147"/>
      <c r="OUE146" s="147"/>
      <c r="OUF146" s="147"/>
      <c r="OUG146" s="147"/>
      <c r="OUH146" s="147"/>
      <c r="OUI146" s="147"/>
      <c r="OUJ146" s="147"/>
      <c r="OUK146" s="147"/>
      <c r="OUL146" s="147"/>
      <c r="OUM146" s="147"/>
      <c r="OUN146" s="147"/>
      <c r="OUO146" s="147"/>
      <c r="OUP146" s="147"/>
      <c r="OUQ146" s="147"/>
      <c r="OUR146" s="147"/>
      <c r="OUS146" s="147"/>
      <c r="OUT146" s="147"/>
      <c r="OUU146" s="147"/>
      <c r="OUV146" s="147"/>
      <c r="OUW146" s="147"/>
      <c r="OUX146" s="147"/>
      <c r="OUY146" s="147"/>
      <c r="OUZ146" s="147"/>
      <c r="OVA146" s="147"/>
      <c r="OVB146" s="147"/>
      <c r="OVC146" s="147"/>
      <c r="OVD146" s="147"/>
      <c r="OVE146" s="147"/>
      <c r="OVF146" s="147"/>
      <c r="OVG146" s="147"/>
      <c r="OVH146" s="147"/>
      <c r="OVI146" s="147"/>
      <c r="OVJ146" s="147"/>
      <c r="OVK146" s="147"/>
      <c r="OVL146" s="147"/>
      <c r="OVM146" s="147"/>
      <c r="OVN146" s="147"/>
      <c r="OVO146" s="147"/>
      <c r="OVP146" s="147"/>
      <c r="OVQ146" s="147"/>
      <c r="OVR146" s="147"/>
      <c r="OVS146" s="147"/>
      <c r="OVT146" s="147"/>
      <c r="OVU146" s="147"/>
      <c r="OVV146" s="147"/>
      <c r="OVW146" s="147"/>
      <c r="OVX146" s="147"/>
      <c r="OVY146" s="147"/>
      <c r="OVZ146" s="147"/>
      <c r="OWA146" s="147"/>
      <c r="OWB146" s="147"/>
      <c r="OWC146" s="147"/>
      <c r="OWD146" s="147"/>
      <c r="OWE146" s="147"/>
      <c r="OWF146" s="147"/>
      <c r="OWG146" s="147"/>
      <c r="OWH146" s="147"/>
      <c r="OWI146" s="147"/>
      <c r="OWJ146" s="147"/>
      <c r="OWK146" s="147"/>
      <c r="OWL146" s="147"/>
      <c r="OWM146" s="147"/>
      <c r="OWN146" s="147"/>
      <c r="OWO146" s="147"/>
      <c r="OWP146" s="147"/>
      <c r="OWQ146" s="147"/>
      <c r="OWR146" s="147"/>
      <c r="OWS146" s="147"/>
      <c r="OWT146" s="147"/>
      <c r="OWU146" s="147"/>
      <c r="OWV146" s="147"/>
      <c r="OWW146" s="147"/>
      <c r="OWX146" s="147"/>
      <c r="OWY146" s="147"/>
      <c r="OWZ146" s="147"/>
      <c r="OXA146" s="147"/>
      <c r="OXB146" s="147"/>
      <c r="OXC146" s="147"/>
      <c r="OXD146" s="147"/>
      <c r="OXE146" s="147"/>
      <c r="OXF146" s="147"/>
      <c r="OXG146" s="147"/>
      <c r="OXH146" s="147"/>
      <c r="OXI146" s="147"/>
      <c r="OXJ146" s="147"/>
      <c r="OXK146" s="147"/>
      <c r="OXL146" s="147"/>
      <c r="OXM146" s="147"/>
      <c r="OXN146" s="147"/>
      <c r="OXO146" s="147"/>
      <c r="OXP146" s="147"/>
      <c r="OXQ146" s="147"/>
      <c r="OXR146" s="147"/>
      <c r="OXS146" s="147"/>
      <c r="OXT146" s="147"/>
      <c r="OXU146" s="147"/>
      <c r="OXV146" s="147"/>
      <c r="OXW146" s="147"/>
      <c r="OXX146" s="147"/>
      <c r="OXY146" s="147"/>
      <c r="OXZ146" s="147"/>
      <c r="OYA146" s="147"/>
      <c r="OYB146" s="147"/>
      <c r="OYC146" s="147"/>
      <c r="OYD146" s="147"/>
      <c r="OYE146" s="147"/>
      <c r="OYF146" s="147"/>
      <c r="OYG146" s="147"/>
      <c r="OYH146" s="147"/>
      <c r="OYI146" s="147"/>
      <c r="OYJ146" s="147"/>
      <c r="OYK146" s="147"/>
      <c r="OYL146" s="147"/>
      <c r="OYM146" s="147"/>
      <c r="OYN146" s="147"/>
      <c r="OYO146" s="147"/>
      <c r="OYP146" s="147"/>
      <c r="OYQ146" s="147"/>
      <c r="OYR146" s="147"/>
      <c r="OYS146" s="147"/>
      <c r="OYT146" s="147"/>
      <c r="OYU146" s="147"/>
      <c r="OYV146" s="147"/>
      <c r="OYW146" s="147"/>
      <c r="OYX146" s="147"/>
      <c r="OYY146" s="147"/>
      <c r="OYZ146" s="147"/>
      <c r="OZA146" s="147"/>
      <c r="OZB146" s="147"/>
      <c r="OZC146" s="147"/>
      <c r="OZD146" s="147"/>
      <c r="OZE146" s="147"/>
      <c r="OZF146" s="147"/>
      <c r="OZG146" s="147"/>
      <c r="OZH146" s="147"/>
      <c r="OZI146" s="147"/>
      <c r="OZJ146" s="147"/>
      <c r="OZK146" s="147"/>
      <c r="OZL146" s="147"/>
      <c r="OZM146" s="147"/>
      <c r="OZN146" s="147"/>
      <c r="OZO146" s="147"/>
      <c r="OZP146" s="147"/>
      <c r="OZQ146" s="147"/>
      <c r="OZR146" s="147"/>
      <c r="OZS146" s="147"/>
      <c r="OZT146" s="147"/>
      <c r="OZU146" s="147"/>
      <c r="OZV146" s="147"/>
      <c r="OZW146" s="147"/>
      <c r="OZX146" s="147"/>
      <c r="OZY146" s="147"/>
      <c r="OZZ146" s="147"/>
      <c r="PAA146" s="147"/>
      <c r="PAB146" s="147"/>
      <c r="PAC146" s="147"/>
      <c r="PAD146" s="147"/>
      <c r="PAE146" s="147"/>
      <c r="PAF146" s="147"/>
      <c r="PAG146" s="147"/>
      <c r="PAH146" s="147"/>
      <c r="PAI146" s="147"/>
      <c r="PAJ146" s="147"/>
      <c r="PAK146" s="147"/>
      <c r="PAL146" s="147"/>
      <c r="PAM146" s="147"/>
      <c r="PAN146" s="147"/>
      <c r="PAO146" s="147"/>
      <c r="PAP146" s="147"/>
      <c r="PAQ146" s="147"/>
      <c r="PAR146" s="147"/>
      <c r="PAS146" s="147"/>
      <c r="PAT146" s="147"/>
      <c r="PAU146" s="147"/>
      <c r="PAV146" s="147"/>
      <c r="PAW146" s="147"/>
      <c r="PAX146" s="147"/>
      <c r="PAY146" s="147"/>
      <c r="PAZ146" s="147"/>
      <c r="PBA146" s="147"/>
      <c r="PBB146" s="147"/>
      <c r="PBC146" s="147"/>
      <c r="PBD146" s="147"/>
      <c r="PBE146" s="147"/>
      <c r="PBF146" s="147"/>
      <c r="PBG146" s="147"/>
      <c r="PBH146" s="147"/>
      <c r="PBI146" s="147"/>
      <c r="PBJ146" s="147"/>
      <c r="PBK146" s="147"/>
      <c r="PBL146" s="147"/>
      <c r="PBM146" s="147"/>
      <c r="PBN146" s="147"/>
      <c r="PBO146" s="147"/>
      <c r="PBP146" s="147"/>
      <c r="PBQ146" s="147"/>
      <c r="PBR146" s="147"/>
      <c r="PBS146" s="147"/>
      <c r="PBT146" s="147"/>
      <c r="PBU146" s="147"/>
      <c r="PBV146" s="147"/>
      <c r="PBW146" s="147"/>
      <c r="PBX146" s="147"/>
      <c r="PBY146" s="147"/>
      <c r="PBZ146" s="147"/>
      <c r="PCA146" s="147"/>
      <c r="PCB146" s="147"/>
      <c r="PCC146" s="147"/>
      <c r="PCD146" s="147"/>
      <c r="PCE146" s="147"/>
      <c r="PCF146" s="147"/>
      <c r="PCG146" s="147"/>
      <c r="PCH146" s="147"/>
      <c r="PCI146" s="147"/>
      <c r="PCJ146" s="147"/>
      <c r="PCK146" s="147"/>
      <c r="PCL146" s="147"/>
      <c r="PCM146" s="147"/>
      <c r="PCN146" s="147"/>
      <c r="PCO146" s="147"/>
      <c r="PCP146" s="147"/>
      <c r="PCQ146" s="147"/>
      <c r="PCR146" s="147"/>
      <c r="PCS146" s="147"/>
      <c r="PCT146" s="147"/>
      <c r="PCU146" s="147"/>
      <c r="PCV146" s="147"/>
      <c r="PCW146" s="147"/>
      <c r="PCX146" s="147"/>
      <c r="PCY146" s="147"/>
      <c r="PCZ146" s="147"/>
      <c r="PDA146" s="147"/>
      <c r="PDB146" s="147"/>
      <c r="PDC146" s="147"/>
      <c r="PDD146" s="147"/>
      <c r="PDE146" s="147"/>
      <c r="PDF146" s="147"/>
      <c r="PDG146" s="147"/>
      <c r="PDH146" s="147"/>
      <c r="PDI146" s="147"/>
      <c r="PDJ146" s="147"/>
      <c r="PDK146" s="147"/>
      <c r="PDL146" s="147"/>
      <c r="PDM146" s="147"/>
      <c r="PDN146" s="147"/>
      <c r="PDO146" s="147"/>
      <c r="PDP146" s="147"/>
      <c r="PDQ146" s="147"/>
      <c r="PDR146" s="147"/>
      <c r="PDS146" s="147"/>
      <c r="PDT146" s="147"/>
      <c r="PDU146" s="147"/>
      <c r="PDV146" s="147"/>
      <c r="PDW146" s="147"/>
      <c r="PDX146" s="147"/>
      <c r="PDY146" s="147"/>
      <c r="PDZ146" s="147"/>
      <c r="PEA146" s="147"/>
      <c r="PEB146" s="147"/>
      <c r="PEC146" s="147"/>
      <c r="PED146" s="147"/>
      <c r="PEE146" s="147"/>
      <c r="PEF146" s="147"/>
      <c r="PEG146" s="147"/>
      <c r="PEH146" s="147"/>
      <c r="PEI146" s="147"/>
      <c r="PEJ146" s="147"/>
      <c r="PEK146" s="147"/>
      <c r="PEL146" s="147"/>
      <c r="PEM146" s="147"/>
      <c r="PEN146" s="147"/>
      <c r="PEO146" s="147"/>
      <c r="PEP146" s="147"/>
      <c r="PEQ146" s="147"/>
      <c r="PER146" s="147"/>
      <c r="PES146" s="147"/>
      <c r="PET146" s="147"/>
      <c r="PEU146" s="147"/>
      <c r="PEV146" s="147"/>
      <c r="PEW146" s="147"/>
      <c r="PEX146" s="147"/>
      <c r="PEY146" s="147"/>
      <c r="PEZ146" s="147"/>
      <c r="PFA146" s="147"/>
      <c r="PFB146" s="147"/>
      <c r="PFC146" s="147"/>
      <c r="PFD146" s="147"/>
      <c r="PFE146" s="147"/>
      <c r="PFF146" s="147"/>
      <c r="PFG146" s="147"/>
      <c r="PFH146" s="147"/>
      <c r="PFI146" s="147"/>
      <c r="PFJ146" s="147"/>
      <c r="PFK146" s="147"/>
      <c r="PFL146" s="147"/>
      <c r="PFM146" s="147"/>
      <c r="PFN146" s="147"/>
      <c r="PFO146" s="147"/>
      <c r="PFP146" s="147"/>
      <c r="PFQ146" s="147"/>
      <c r="PFR146" s="147"/>
      <c r="PFS146" s="147"/>
      <c r="PFT146" s="147"/>
      <c r="PFU146" s="147"/>
      <c r="PFV146" s="147"/>
      <c r="PFW146" s="147"/>
      <c r="PFX146" s="147"/>
      <c r="PFY146" s="147"/>
      <c r="PFZ146" s="147"/>
      <c r="PGA146" s="147"/>
      <c r="PGB146" s="147"/>
      <c r="PGC146" s="147"/>
      <c r="PGD146" s="147"/>
      <c r="PGE146" s="147"/>
      <c r="PGF146" s="147"/>
      <c r="PGG146" s="147"/>
      <c r="PGH146" s="147"/>
      <c r="PGI146" s="147"/>
      <c r="PGJ146" s="147"/>
      <c r="PGK146" s="147"/>
      <c r="PGL146" s="147"/>
      <c r="PGM146" s="147"/>
      <c r="PGN146" s="147"/>
      <c r="PGO146" s="147"/>
      <c r="PGP146" s="147"/>
      <c r="PGQ146" s="147"/>
      <c r="PGR146" s="147"/>
      <c r="PGS146" s="147"/>
      <c r="PGT146" s="147"/>
      <c r="PGU146" s="147"/>
      <c r="PGV146" s="147"/>
      <c r="PGW146" s="147"/>
      <c r="PGX146" s="147"/>
      <c r="PGY146" s="147"/>
      <c r="PGZ146" s="147"/>
      <c r="PHA146" s="147"/>
      <c r="PHB146" s="147"/>
      <c r="PHC146" s="147"/>
      <c r="PHD146" s="147"/>
      <c r="PHE146" s="147"/>
      <c r="PHF146" s="147"/>
      <c r="PHG146" s="147"/>
      <c r="PHH146" s="147"/>
      <c r="PHI146" s="147"/>
      <c r="PHJ146" s="147"/>
      <c r="PHK146" s="147"/>
      <c r="PHL146" s="147"/>
      <c r="PHM146" s="147"/>
      <c r="PHN146" s="147"/>
      <c r="PHO146" s="147"/>
      <c r="PHP146" s="147"/>
      <c r="PHQ146" s="147"/>
      <c r="PHR146" s="147"/>
      <c r="PHS146" s="147"/>
      <c r="PHT146" s="147"/>
      <c r="PHU146" s="147"/>
      <c r="PHV146" s="147"/>
      <c r="PHW146" s="147"/>
      <c r="PHX146" s="147"/>
      <c r="PHY146" s="147"/>
      <c r="PHZ146" s="147"/>
      <c r="PIA146" s="147"/>
      <c r="PIB146" s="147"/>
      <c r="PIC146" s="147"/>
      <c r="PID146" s="147"/>
      <c r="PIE146" s="147"/>
      <c r="PIF146" s="147"/>
      <c r="PIG146" s="147"/>
      <c r="PIH146" s="147"/>
      <c r="PII146" s="147"/>
      <c r="PIJ146" s="147"/>
      <c r="PIK146" s="147"/>
      <c r="PIL146" s="147"/>
      <c r="PIM146" s="147"/>
      <c r="PIN146" s="147"/>
      <c r="PIO146" s="147"/>
      <c r="PIP146" s="147"/>
      <c r="PIQ146" s="147"/>
      <c r="PIR146" s="147"/>
      <c r="PIS146" s="147"/>
      <c r="PIT146" s="147"/>
      <c r="PIU146" s="147"/>
      <c r="PIV146" s="147"/>
      <c r="PIW146" s="147"/>
      <c r="PIX146" s="147"/>
      <c r="PIY146" s="147"/>
      <c r="PIZ146" s="147"/>
      <c r="PJA146" s="147"/>
      <c r="PJB146" s="147"/>
      <c r="PJC146" s="147"/>
      <c r="PJD146" s="147"/>
      <c r="PJE146" s="147"/>
      <c r="PJF146" s="147"/>
      <c r="PJG146" s="147"/>
      <c r="PJH146" s="147"/>
      <c r="PJI146" s="147"/>
      <c r="PJJ146" s="147"/>
      <c r="PJK146" s="147"/>
      <c r="PJL146" s="147"/>
      <c r="PJM146" s="147"/>
      <c r="PJN146" s="147"/>
      <c r="PJO146" s="147"/>
      <c r="PJP146" s="147"/>
      <c r="PJQ146" s="147"/>
      <c r="PJR146" s="147"/>
      <c r="PJS146" s="147"/>
      <c r="PJT146" s="147"/>
      <c r="PJU146" s="147"/>
      <c r="PJV146" s="147"/>
      <c r="PJW146" s="147"/>
      <c r="PJX146" s="147"/>
      <c r="PJY146" s="147"/>
      <c r="PJZ146" s="147"/>
      <c r="PKA146" s="147"/>
      <c r="PKB146" s="147"/>
      <c r="PKC146" s="147"/>
      <c r="PKD146" s="147"/>
      <c r="PKE146" s="147"/>
      <c r="PKF146" s="147"/>
      <c r="PKG146" s="147"/>
      <c r="PKH146" s="147"/>
      <c r="PKI146" s="147"/>
      <c r="PKJ146" s="147"/>
      <c r="PKK146" s="147"/>
      <c r="PKL146" s="147"/>
      <c r="PKM146" s="147"/>
      <c r="PKN146" s="147"/>
      <c r="PKO146" s="147"/>
      <c r="PKP146" s="147"/>
      <c r="PKQ146" s="147"/>
      <c r="PKR146" s="147"/>
      <c r="PKS146" s="147"/>
      <c r="PKT146" s="147"/>
      <c r="PKU146" s="147"/>
      <c r="PKV146" s="147"/>
      <c r="PKW146" s="147"/>
      <c r="PKX146" s="147"/>
      <c r="PKY146" s="147"/>
      <c r="PKZ146" s="147"/>
      <c r="PLA146" s="147"/>
      <c r="PLB146" s="147"/>
      <c r="PLC146" s="147"/>
      <c r="PLD146" s="147"/>
      <c r="PLE146" s="147"/>
      <c r="PLF146" s="147"/>
      <c r="PLG146" s="147"/>
      <c r="PLH146" s="147"/>
      <c r="PLI146" s="147"/>
      <c r="PLJ146" s="147"/>
      <c r="PLK146" s="147"/>
      <c r="PLL146" s="147"/>
      <c r="PLM146" s="147"/>
      <c r="PLN146" s="147"/>
      <c r="PLO146" s="147"/>
      <c r="PLP146" s="147"/>
      <c r="PLQ146" s="147"/>
      <c r="PLR146" s="147"/>
      <c r="PLS146" s="147"/>
      <c r="PLT146" s="147"/>
      <c r="PLU146" s="147"/>
      <c r="PLV146" s="147"/>
      <c r="PLW146" s="147"/>
      <c r="PLX146" s="147"/>
      <c r="PLY146" s="147"/>
      <c r="PLZ146" s="147"/>
      <c r="PMA146" s="147"/>
      <c r="PMB146" s="147"/>
      <c r="PMC146" s="147"/>
      <c r="PMD146" s="147"/>
      <c r="PME146" s="147"/>
      <c r="PMF146" s="147"/>
      <c r="PMG146" s="147"/>
      <c r="PMH146" s="147"/>
      <c r="PMI146" s="147"/>
      <c r="PMJ146" s="147"/>
      <c r="PMK146" s="147"/>
      <c r="PML146" s="147"/>
      <c r="PMM146" s="147"/>
      <c r="PMN146" s="147"/>
      <c r="PMO146" s="147"/>
      <c r="PMP146" s="147"/>
      <c r="PMQ146" s="147"/>
      <c r="PMR146" s="147"/>
      <c r="PMS146" s="147"/>
      <c r="PMT146" s="147"/>
      <c r="PMU146" s="147"/>
      <c r="PMV146" s="147"/>
      <c r="PMW146" s="147"/>
      <c r="PMX146" s="147"/>
      <c r="PMY146" s="147"/>
      <c r="PMZ146" s="147"/>
      <c r="PNA146" s="147"/>
      <c r="PNB146" s="147"/>
      <c r="PNC146" s="147"/>
      <c r="PND146" s="147"/>
      <c r="PNE146" s="147"/>
      <c r="PNF146" s="147"/>
      <c r="PNG146" s="147"/>
      <c r="PNH146" s="147"/>
      <c r="PNI146" s="147"/>
      <c r="PNJ146" s="147"/>
      <c r="PNK146" s="147"/>
      <c r="PNL146" s="147"/>
      <c r="PNM146" s="147"/>
      <c r="PNN146" s="147"/>
      <c r="PNO146" s="147"/>
      <c r="PNP146" s="147"/>
      <c r="PNQ146" s="147"/>
      <c r="PNR146" s="147"/>
      <c r="PNS146" s="147"/>
      <c r="PNT146" s="147"/>
      <c r="PNU146" s="147"/>
      <c r="PNV146" s="147"/>
      <c r="PNW146" s="147"/>
      <c r="PNX146" s="147"/>
      <c r="PNY146" s="147"/>
      <c r="PNZ146" s="147"/>
      <c r="POA146" s="147"/>
      <c r="POB146" s="147"/>
      <c r="POC146" s="147"/>
      <c r="POD146" s="147"/>
      <c r="POE146" s="147"/>
      <c r="POF146" s="147"/>
      <c r="POG146" s="147"/>
      <c r="POH146" s="147"/>
      <c r="POI146" s="147"/>
      <c r="POJ146" s="147"/>
      <c r="POK146" s="147"/>
      <c r="POL146" s="147"/>
      <c r="POM146" s="147"/>
      <c r="PON146" s="147"/>
      <c r="POO146" s="147"/>
      <c r="POP146" s="147"/>
      <c r="POQ146" s="147"/>
      <c r="POR146" s="147"/>
      <c r="POS146" s="147"/>
      <c r="POT146" s="147"/>
      <c r="POU146" s="147"/>
      <c r="POV146" s="147"/>
      <c r="POW146" s="147"/>
      <c r="POX146" s="147"/>
      <c r="POY146" s="147"/>
      <c r="POZ146" s="147"/>
      <c r="PPA146" s="147"/>
      <c r="PPB146" s="147"/>
      <c r="PPC146" s="147"/>
      <c r="PPD146" s="147"/>
      <c r="PPE146" s="147"/>
      <c r="PPF146" s="147"/>
      <c r="PPG146" s="147"/>
      <c r="PPH146" s="147"/>
      <c r="PPI146" s="147"/>
      <c r="PPJ146" s="147"/>
      <c r="PPK146" s="147"/>
      <c r="PPL146" s="147"/>
      <c r="PPM146" s="147"/>
      <c r="PPN146" s="147"/>
      <c r="PPO146" s="147"/>
      <c r="PPP146" s="147"/>
      <c r="PPQ146" s="147"/>
      <c r="PPR146" s="147"/>
      <c r="PPS146" s="147"/>
      <c r="PPT146" s="147"/>
      <c r="PPU146" s="147"/>
      <c r="PPV146" s="147"/>
      <c r="PPW146" s="147"/>
      <c r="PPX146" s="147"/>
      <c r="PPY146" s="147"/>
      <c r="PPZ146" s="147"/>
      <c r="PQA146" s="147"/>
      <c r="PQB146" s="147"/>
      <c r="PQC146" s="147"/>
      <c r="PQD146" s="147"/>
      <c r="PQE146" s="147"/>
      <c r="PQF146" s="147"/>
      <c r="PQG146" s="147"/>
      <c r="PQH146" s="147"/>
      <c r="PQI146" s="147"/>
      <c r="PQJ146" s="147"/>
      <c r="PQK146" s="147"/>
      <c r="PQL146" s="147"/>
      <c r="PQM146" s="147"/>
      <c r="PQN146" s="147"/>
      <c r="PQO146" s="147"/>
      <c r="PQP146" s="147"/>
      <c r="PQQ146" s="147"/>
      <c r="PQR146" s="147"/>
      <c r="PQS146" s="147"/>
      <c r="PQT146" s="147"/>
      <c r="PQU146" s="147"/>
      <c r="PQV146" s="147"/>
      <c r="PQW146" s="147"/>
      <c r="PQX146" s="147"/>
      <c r="PQY146" s="147"/>
      <c r="PQZ146" s="147"/>
      <c r="PRA146" s="147"/>
      <c r="PRB146" s="147"/>
      <c r="PRC146" s="147"/>
      <c r="PRD146" s="147"/>
      <c r="PRE146" s="147"/>
      <c r="PRF146" s="147"/>
      <c r="PRG146" s="147"/>
      <c r="PRH146" s="147"/>
      <c r="PRI146" s="147"/>
      <c r="PRJ146" s="147"/>
      <c r="PRK146" s="147"/>
      <c r="PRL146" s="147"/>
      <c r="PRM146" s="147"/>
      <c r="PRN146" s="147"/>
      <c r="PRO146" s="147"/>
      <c r="PRP146" s="147"/>
      <c r="PRQ146" s="147"/>
      <c r="PRR146" s="147"/>
      <c r="PRS146" s="147"/>
      <c r="PRT146" s="147"/>
      <c r="PRU146" s="147"/>
      <c r="PRV146" s="147"/>
      <c r="PRW146" s="147"/>
      <c r="PRX146" s="147"/>
      <c r="PRY146" s="147"/>
      <c r="PRZ146" s="147"/>
      <c r="PSA146" s="147"/>
      <c r="PSB146" s="147"/>
      <c r="PSC146" s="147"/>
      <c r="PSD146" s="147"/>
      <c r="PSE146" s="147"/>
      <c r="PSF146" s="147"/>
      <c r="PSG146" s="147"/>
      <c r="PSH146" s="147"/>
      <c r="PSI146" s="147"/>
      <c r="PSJ146" s="147"/>
      <c r="PSK146" s="147"/>
      <c r="PSL146" s="147"/>
      <c r="PSM146" s="147"/>
      <c r="PSN146" s="147"/>
      <c r="PSO146" s="147"/>
      <c r="PSP146" s="147"/>
      <c r="PSQ146" s="147"/>
      <c r="PSR146" s="147"/>
      <c r="PSS146" s="147"/>
      <c r="PST146" s="147"/>
      <c r="PSU146" s="147"/>
      <c r="PSV146" s="147"/>
      <c r="PSW146" s="147"/>
      <c r="PSX146" s="147"/>
      <c r="PSY146" s="147"/>
      <c r="PSZ146" s="147"/>
      <c r="PTA146" s="147"/>
      <c r="PTB146" s="147"/>
      <c r="PTC146" s="147"/>
      <c r="PTD146" s="147"/>
      <c r="PTE146" s="147"/>
      <c r="PTF146" s="147"/>
      <c r="PTG146" s="147"/>
      <c r="PTH146" s="147"/>
      <c r="PTI146" s="147"/>
      <c r="PTJ146" s="147"/>
      <c r="PTK146" s="147"/>
      <c r="PTL146" s="147"/>
      <c r="PTM146" s="147"/>
      <c r="PTN146" s="147"/>
      <c r="PTO146" s="147"/>
      <c r="PTP146" s="147"/>
      <c r="PTQ146" s="147"/>
      <c r="PTR146" s="147"/>
      <c r="PTS146" s="147"/>
      <c r="PTT146" s="147"/>
      <c r="PTU146" s="147"/>
      <c r="PTV146" s="147"/>
      <c r="PTW146" s="147"/>
      <c r="PTX146" s="147"/>
      <c r="PTY146" s="147"/>
      <c r="PTZ146" s="147"/>
      <c r="PUA146" s="147"/>
      <c r="PUB146" s="147"/>
      <c r="PUC146" s="147"/>
      <c r="PUD146" s="147"/>
      <c r="PUE146" s="147"/>
      <c r="PUF146" s="147"/>
      <c r="PUG146" s="147"/>
      <c r="PUH146" s="147"/>
      <c r="PUI146" s="147"/>
      <c r="PUJ146" s="147"/>
      <c r="PUK146" s="147"/>
      <c r="PUL146" s="147"/>
      <c r="PUM146" s="147"/>
      <c r="PUN146" s="147"/>
      <c r="PUO146" s="147"/>
      <c r="PUP146" s="147"/>
      <c r="PUQ146" s="147"/>
      <c r="PUR146" s="147"/>
      <c r="PUS146" s="147"/>
      <c r="PUT146" s="147"/>
      <c r="PUU146" s="147"/>
      <c r="PUV146" s="147"/>
      <c r="PUW146" s="147"/>
      <c r="PUX146" s="147"/>
      <c r="PUY146" s="147"/>
      <c r="PUZ146" s="147"/>
      <c r="PVA146" s="147"/>
      <c r="PVB146" s="147"/>
      <c r="PVC146" s="147"/>
      <c r="PVD146" s="147"/>
      <c r="PVE146" s="147"/>
      <c r="PVF146" s="147"/>
      <c r="PVG146" s="147"/>
      <c r="PVH146" s="147"/>
      <c r="PVI146" s="147"/>
      <c r="PVJ146" s="147"/>
      <c r="PVK146" s="147"/>
      <c r="PVL146" s="147"/>
      <c r="PVM146" s="147"/>
      <c r="PVN146" s="147"/>
      <c r="PVO146" s="147"/>
      <c r="PVP146" s="147"/>
      <c r="PVQ146" s="147"/>
      <c r="PVR146" s="147"/>
      <c r="PVS146" s="147"/>
      <c r="PVT146" s="147"/>
      <c r="PVU146" s="147"/>
      <c r="PVV146" s="147"/>
      <c r="PVW146" s="147"/>
      <c r="PVX146" s="147"/>
      <c r="PVY146" s="147"/>
      <c r="PVZ146" s="147"/>
      <c r="PWA146" s="147"/>
      <c r="PWB146" s="147"/>
      <c r="PWC146" s="147"/>
      <c r="PWD146" s="147"/>
      <c r="PWE146" s="147"/>
      <c r="PWF146" s="147"/>
      <c r="PWG146" s="147"/>
      <c r="PWH146" s="147"/>
      <c r="PWI146" s="147"/>
      <c r="PWJ146" s="147"/>
      <c r="PWK146" s="147"/>
      <c r="PWL146" s="147"/>
      <c r="PWM146" s="147"/>
      <c r="PWN146" s="147"/>
      <c r="PWO146" s="147"/>
      <c r="PWP146" s="147"/>
      <c r="PWQ146" s="147"/>
      <c r="PWR146" s="147"/>
      <c r="PWS146" s="147"/>
      <c r="PWT146" s="147"/>
      <c r="PWU146" s="147"/>
      <c r="PWV146" s="147"/>
      <c r="PWW146" s="147"/>
      <c r="PWX146" s="147"/>
      <c r="PWY146" s="147"/>
      <c r="PWZ146" s="147"/>
      <c r="PXA146" s="147"/>
      <c r="PXB146" s="147"/>
      <c r="PXC146" s="147"/>
      <c r="PXD146" s="147"/>
      <c r="PXE146" s="147"/>
      <c r="PXF146" s="147"/>
      <c r="PXG146" s="147"/>
      <c r="PXH146" s="147"/>
      <c r="PXI146" s="147"/>
      <c r="PXJ146" s="147"/>
      <c r="PXK146" s="147"/>
      <c r="PXL146" s="147"/>
      <c r="PXM146" s="147"/>
      <c r="PXN146" s="147"/>
      <c r="PXO146" s="147"/>
      <c r="PXP146" s="147"/>
      <c r="PXQ146" s="147"/>
      <c r="PXR146" s="147"/>
      <c r="PXS146" s="147"/>
      <c r="PXT146" s="147"/>
      <c r="PXU146" s="147"/>
      <c r="PXV146" s="147"/>
      <c r="PXW146" s="147"/>
      <c r="PXX146" s="147"/>
      <c r="PXY146" s="147"/>
      <c r="PXZ146" s="147"/>
      <c r="PYA146" s="147"/>
      <c r="PYB146" s="147"/>
      <c r="PYC146" s="147"/>
      <c r="PYD146" s="147"/>
      <c r="PYE146" s="147"/>
      <c r="PYF146" s="147"/>
      <c r="PYG146" s="147"/>
      <c r="PYH146" s="147"/>
      <c r="PYI146" s="147"/>
      <c r="PYJ146" s="147"/>
      <c r="PYK146" s="147"/>
      <c r="PYL146" s="147"/>
      <c r="PYM146" s="147"/>
      <c r="PYN146" s="147"/>
      <c r="PYO146" s="147"/>
      <c r="PYP146" s="147"/>
      <c r="PYQ146" s="147"/>
      <c r="PYR146" s="147"/>
      <c r="PYS146" s="147"/>
      <c r="PYT146" s="147"/>
      <c r="PYU146" s="147"/>
      <c r="PYV146" s="147"/>
      <c r="PYW146" s="147"/>
      <c r="PYX146" s="147"/>
      <c r="PYY146" s="147"/>
      <c r="PYZ146" s="147"/>
      <c r="PZA146" s="147"/>
      <c r="PZB146" s="147"/>
      <c r="PZC146" s="147"/>
      <c r="PZD146" s="147"/>
      <c r="PZE146" s="147"/>
      <c r="PZF146" s="147"/>
      <c r="PZG146" s="147"/>
      <c r="PZH146" s="147"/>
      <c r="PZI146" s="147"/>
      <c r="PZJ146" s="147"/>
      <c r="PZK146" s="147"/>
      <c r="PZL146" s="147"/>
      <c r="PZM146" s="147"/>
      <c r="PZN146" s="147"/>
      <c r="PZO146" s="147"/>
      <c r="PZP146" s="147"/>
      <c r="PZQ146" s="147"/>
      <c r="PZR146" s="147"/>
      <c r="PZS146" s="147"/>
      <c r="PZT146" s="147"/>
      <c r="PZU146" s="147"/>
      <c r="PZV146" s="147"/>
      <c r="PZW146" s="147"/>
      <c r="PZX146" s="147"/>
      <c r="PZY146" s="147"/>
      <c r="PZZ146" s="147"/>
      <c r="QAA146" s="147"/>
      <c r="QAB146" s="147"/>
      <c r="QAC146" s="147"/>
      <c r="QAD146" s="147"/>
      <c r="QAE146" s="147"/>
      <c r="QAF146" s="147"/>
      <c r="QAG146" s="147"/>
      <c r="QAH146" s="147"/>
      <c r="QAI146" s="147"/>
      <c r="QAJ146" s="147"/>
      <c r="QAK146" s="147"/>
      <c r="QAL146" s="147"/>
      <c r="QAM146" s="147"/>
      <c r="QAN146" s="147"/>
      <c r="QAO146" s="147"/>
      <c r="QAP146" s="147"/>
      <c r="QAQ146" s="147"/>
      <c r="QAR146" s="147"/>
      <c r="QAS146" s="147"/>
      <c r="QAT146" s="147"/>
      <c r="QAU146" s="147"/>
      <c r="QAV146" s="147"/>
      <c r="QAW146" s="147"/>
      <c r="QAX146" s="147"/>
      <c r="QAY146" s="147"/>
      <c r="QAZ146" s="147"/>
      <c r="QBA146" s="147"/>
      <c r="QBB146" s="147"/>
      <c r="QBC146" s="147"/>
      <c r="QBD146" s="147"/>
      <c r="QBE146" s="147"/>
      <c r="QBF146" s="147"/>
      <c r="QBG146" s="147"/>
      <c r="QBH146" s="147"/>
      <c r="QBI146" s="147"/>
      <c r="QBJ146" s="147"/>
      <c r="QBK146" s="147"/>
      <c r="QBL146" s="147"/>
      <c r="QBM146" s="147"/>
      <c r="QBN146" s="147"/>
      <c r="QBO146" s="147"/>
      <c r="QBP146" s="147"/>
      <c r="QBQ146" s="147"/>
      <c r="QBR146" s="147"/>
      <c r="QBS146" s="147"/>
      <c r="QBT146" s="147"/>
      <c r="QBU146" s="147"/>
      <c r="QBV146" s="147"/>
      <c r="QBW146" s="147"/>
      <c r="QBX146" s="147"/>
      <c r="QBY146" s="147"/>
      <c r="QBZ146" s="147"/>
      <c r="QCA146" s="147"/>
      <c r="QCB146" s="147"/>
      <c r="QCC146" s="147"/>
      <c r="QCD146" s="147"/>
      <c r="QCE146" s="147"/>
      <c r="QCF146" s="147"/>
      <c r="QCG146" s="147"/>
      <c r="QCH146" s="147"/>
      <c r="QCI146" s="147"/>
      <c r="QCJ146" s="147"/>
      <c r="QCK146" s="147"/>
      <c r="QCL146" s="147"/>
      <c r="QCM146" s="147"/>
      <c r="QCN146" s="147"/>
      <c r="QCO146" s="147"/>
      <c r="QCP146" s="147"/>
      <c r="QCQ146" s="147"/>
      <c r="QCR146" s="147"/>
      <c r="QCS146" s="147"/>
      <c r="QCT146" s="147"/>
      <c r="QCU146" s="147"/>
      <c r="QCV146" s="147"/>
      <c r="QCW146" s="147"/>
      <c r="QCX146" s="147"/>
      <c r="QCY146" s="147"/>
      <c r="QCZ146" s="147"/>
      <c r="QDA146" s="147"/>
      <c r="QDB146" s="147"/>
      <c r="QDC146" s="147"/>
      <c r="QDD146" s="147"/>
      <c r="QDE146" s="147"/>
      <c r="QDF146" s="147"/>
      <c r="QDG146" s="147"/>
      <c r="QDH146" s="147"/>
      <c r="QDI146" s="147"/>
      <c r="QDJ146" s="147"/>
      <c r="QDK146" s="147"/>
      <c r="QDL146" s="147"/>
      <c r="QDM146" s="147"/>
      <c r="QDN146" s="147"/>
      <c r="QDO146" s="147"/>
      <c r="QDP146" s="147"/>
      <c r="QDQ146" s="147"/>
      <c r="QDR146" s="147"/>
      <c r="QDS146" s="147"/>
      <c r="QDT146" s="147"/>
      <c r="QDU146" s="147"/>
      <c r="QDV146" s="147"/>
      <c r="QDW146" s="147"/>
      <c r="QDX146" s="147"/>
      <c r="QDY146" s="147"/>
      <c r="QDZ146" s="147"/>
      <c r="QEA146" s="147"/>
      <c r="QEB146" s="147"/>
      <c r="QEC146" s="147"/>
      <c r="QED146" s="147"/>
      <c r="QEE146" s="147"/>
      <c r="QEF146" s="147"/>
      <c r="QEG146" s="147"/>
      <c r="QEH146" s="147"/>
      <c r="QEI146" s="147"/>
      <c r="QEJ146" s="147"/>
      <c r="QEK146" s="147"/>
      <c r="QEL146" s="147"/>
      <c r="QEM146" s="147"/>
      <c r="QEN146" s="147"/>
      <c r="QEO146" s="147"/>
      <c r="QEP146" s="147"/>
      <c r="QEQ146" s="147"/>
      <c r="QER146" s="147"/>
      <c r="QES146" s="147"/>
      <c r="QET146" s="147"/>
      <c r="QEU146" s="147"/>
      <c r="QEV146" s="147"/>
      <c r="QEW146" s="147"/>
      <c r="QEX146" s="147"/>
      <c r="QEY146" s="147"/>
      <c r="QEZ146" s="147"/>
      <c r="QFA146" s="147"/>
      <c r="QFB146" s="147"/>
      <c r="QFC146" s="147"/>
      <c r="QFD146" s="147"/>
      <c r="QFE146" s="147"/>
      <c r="QFF146" s="147"/>
      <c r="QFG146" s="147"/>
      <c r="QFH146" s="147"/>
      <c r="QFI146" s="147"/>
      <c r="QFJ146" s="147"/>
      <c r="QFK146" s="147"/>
      <c r="QFL146" s="147"/>
      <c r="QFM146" s="147"/>
      <c r="QFN146" s="147"/>
      <c r="QFO146" s="147"/>
      <c r="QFP146" s="147"/>
      <c r="QFQ146" s="147"/>
      <c r="QFR146" s="147"/>
      <c r="QFS146" s="147"/>
      <c r="QFT146" s="147"/>
      <c r="QFU146" s="147"/>
      <c r="QFV146" s="147"/>
      <c r="QFW146" s="147"/>
      <c r="QFX146" s="147"/>
      <c r="QFY146" s="147"/>
      <c r="QFZ146" s="147"/>
      <c r="QGA146" s="147"/>
      <c r="QGB146" s="147"/>
      <c r="QGC146" s="147"/>
      <c r="QGD146" s="147"/>
      <c r="QGE146" s="147"/>
      <c r="QGF146" s="147"/>
      <c r="QGG146" s="147"/>
      <c r="QGH146" s="147"/>
      <c r="QGI146" s="147"/>
      <c r="QGJ146" s="147"/>
      <c r="QGK146" s="147"/>
      <c r="QGL146" s="147"/>
      <c r="QGM146" s="147"/>
      <c r="QGN146" s="147"/>
      <c r="QGO146" s="147"/>
      <c r="QGP146" s="147"/>
      <c r="QGQ146" s="147"/>
      <c r="QGR146" s="147"/>
      <c r="QGS146" s="147"/>
      <c r="QGT146" s="147"/>
      <c r="QGU146" s="147"/>
      <c r="QGV146" s="147"/>
      <c r="QGW146" s="147"/>
      <c r="QGX146" s="147"/>
      <c r="QGY146" s="147"/>
      <c r="QGZ146" s="147"/>
      <c r="QHA146" s="147"/>
      <c r="QHB146" s="147"/>
      <c r="QHC146" s="147"/>
      <c r="QHD146" s="147"/>
      <c r="QHE146" s="147"/>
      <c r="QHF146" s="147"/>
      <c r="QHG146" s="147"/>
      <c r="QHH146" s="147"/>
      <c r="QHI146" s="147"/>
      <c r="QHJ146" s="147"/>
      <c r="QHK146" s="147"/>
      <c r="QHL146" s="147"/>
      <c r="QHM146" s="147"/>
      <c r="QHN146" s="147"/>
      <c r="QHO146" s="147"/>
      <c r="QHP146" s="147"/>
      <c r="QHQ146" s="147"/>
      <c r="QHR146" s="147"/>
      <c r="QHS146" s="147"/>
      <c r="QHT146" s="147"/>
      <c r="QHU146" s="147"/>
      <c r="QHV146" s="147"/>
      <c r="QHW146" s="147"/>
      <c r="QHX146" s="147"/>
      <c r="QHY146" s="147"/>
      <c r="QHZ146" s="147"/>
      <c r="QIA146" s="147"/>
      <c r="QIB146" s="147"/>
      <c r="QIC146" s="147"/>
      <c r="QID146" s="147"/>
      <c r="QIE146" s="147"/>
      <c r="QIF146" s="147"/>
      <c r="QIG146" s="147"/>
      <c r="QIH146" s="147"/>
      <c r="QII146" s="147"/>
      <c r="QIJ146" s="147"/>
      <c r="QIK146" s="147"/>
      <c r="QIL146" s="147"/>
      <c r="QIM146" s="147"/>
      <c r="QIN146" s="147"/>
      <c r="QIO146" s="147"/>
      <c r="QIP146" s="147"/>
      <c r="QIQ146" s="147"/>
      <c r="QIR146" s="147"/>
      <c r="QIS146" s="147"/>
      <c r="QIT146" s="147"/>
      <c r="QIU146" s="147"/>
      <c r="QIV146" s="147"/>
      <c r="QIW146" s="147"/>
      <c r="QIX146" s="147"/>
      <c r="QIY146" s="147"/>
      <c r="QIZ146" s="147"/>
      <c r="QJA146" s="147"/>
      <c r="QJB146" s="147"/>
      <c r="QJC146" s="147"/>
      <c r="QJD146" s="147"/>
      <c r="QJE146" s="147"/>
      <c r="QJF146" s="147"/>
      <c r="QJG146" s="147"/>
      <c r="QJH146" s="147"/>
      <c r="QJI146" s="147"/>
      <c r="QJJ146" s="147"/>
      <c r="QJK146" s="147"/>
      <c r="QJL146" s="147"/>
      <c r="QJM146" s="147"/>
      <c r="QJN146" s="147"/>
      <c r="QJO146" s="147"/>
      <c r="QJP146" s="147"/>
      <c r="QJQ146" s="147"/>
      <c r="QJR146" s="147"/>
      <c r="QJS146" s="147"/>
      <c r="QJT146" s="147"/>
      <c r="QJU146" s="147"/>
      <c r="QJV146" s="147"/>
      <c r="QJW146" s="147"/>
      <c r="QJX146" s="147"/>
      <c r="QJY146" s="147"/>
      <c r="QJZ146" s="147"/>
      <c r="QKA146" s="147"/>
      <c r="QKB146" s="147"/>
      <c r="QKC146" s="147"/>
      <c r="QKD146" s="147"/>
      <c r="QKE146" s="147"/>
      <c r="QKF146" s="147"/>
      <c r="QKG146" s="147"/>
      <c r="QKH146" s="147"/>
      <c r="QKI146" s="147"/>
      <c r="QKJ146" s="147"/>
      <c r="QKK146" s="147"/>
      <c r="QKL146" s="147"/>
      <c r="QKM146" s="147"/>
      <c r="QKN146" s="147"/>
      <c r="QKO146" s="147"/>
      <c r="QKP146" s="147"/>
      <c r="QKQ146" s="147"/>
      <c r="QKR146" s="147"/>
      <c r="QKS146" s="147"/>
      <c r="QKT146" s="147"/>
      <c r="QKU146" s="147"/>
      <c r="QKV146" s="147"/>
      <c r="QKW146" s="147"/>
      <c r="QKX146" s="147"/>
      <c r="QKY146" s="147"/>
      <c r="QKZ146" s="147"/>
      <c r="QLA146" s="147"/>
      <c r="QLB146" s="147"/>
      <c r="QLC146" s="147"/>
      <c r="QLD146" s="147"/>
      <c r="QLE146" s="147"/>
      <c r="QLF146" s="147"/>
      <c r="QLG146" s="147"/>
      <c r="QLH146" s="147"/>
      <c r="QLI146" s="147"/>
      <c r="QLJ146" s="147"/>
      <c r="QLK146" s="147"/>
      <c r="QLL146" s="147"/>
      <c r="QLM146" s="147"/>
      <c r="QLN146" s="147"/>
      <c r="QLO146" s="147"/>
      <c r="QLP146" s="147"/>
      <c r="QLQ146" s="147"/>
      <c r="QLR146" s="147"/>
      <c r="QLS146" s="147"/>
      <c r="QLT146" s="147"/>
      <c r="QLU146" s="147"/>
      <c r="QLV146" s="147"/>
      <c r="QLW146" s="147"/>
      <c r="QLX146" s="147"/>
      <c r="QLY146" s="147"/>
      <c r="QLZ146" s="147"/>
      <c r="QMA146" s="147"/>
      <c r="QMB146" s="147"/>
      <c r="QMC146" s="147"/>
      <c r="QMD146" s="147"/>
      <c r="QME146" s="147"/>
      <c r="QMF146" s="147"/>
      <c r="QMG146" s="147"/>
      <c r="QMH146" s="147"/>
      <c r="QMI146" s="147"/>
      <c r="QMJ146" s="147"/>
      <c r="QMK146" s="147"/>
      <c r="QML146" s="147"/>
      <c r="QMM146" s="147"/>
      <c r="QMN146" s="147"/>
      <c r="QMO146" s="147"/>
      <c r="QMP146" s="147"/>
      <c r="QMQ146" s="147"/>
      <c r="QMR146" s="147"/>
      <c r="QMS146" s="147"/>
      <c r="QMT146" s="147"/>
      <c r="QMU146" s="147"/>
      <c r="QMV146" s="147"/>
      <c r="QMW146" s="147"/>
      <c r="QMX146" s="147"/>
      <c r="QMY146" s="147"/>
      <c r="QMZ146" s="147"/>
      <c r="QNA146" s="147"/>
      <c r="QNB146" s="147"/>
      <c r="QNC146" s="147"/>
      <c r="QND146" s="147"/>
      <c r="QNE146" s="147"/>
      <c r="QNF146" s="147"/>
      <c r="QNG146" s="147"/>
      <c r="QNH146" s="147"/>
      <c r="QNI146" s="147"/>
      <c r="QNJ146" s="147"/>
      <c r="QNK146" s="147"/>
      <c r="QNL146" s="147"/>
      <c r="QNM146" s="147"/>
      <c r="QNN146" s="147"/>
      <c r="QNO146" s="147"/>
      <c r="QNP146" s="147"/>
      <c r="QNQ146" s="147"/>
      <c r="QNR146" s="147"/>
      <c r="QNS146" s="147"/>
      <c r="QNT146" s="147"/>
      <c r="QNU146" s="147"/>
      <c r="QNV146" s="147"/>
      <c r="QNW146" s="147"/>
      <c r="QNX146" s="147"/>
      <c r="QNY146" s="147"/>
      <c r="QNZ146" s="147"/>
      <c r="QOA146" s="147"/>
      <c r="QOB146" s="147"/>
      <c r="QOC146" s="147"/>
      <c r="QOD146" s="147"/>
      <c r="QOE146" s="147"/>
      <c r="QOF146" s="147"/>
      <c r="QOG146" s="147"/>
      <c r="QOH146" s="147"/>
      <c r="QOI146" s="147"/>
      <c r="QOJ146" s="147"/>
      <c r="QOK146" s="147"/>
      <c r="QOL146" s="147"/>
      <c r="QOM146" s="147"/>
      <c r="QON146" s="147"/>
      <c r="QOO146" s="147"/>
      <c r="QOP146" s="147"/>
      <c r="QOQ146" s="147"/>
      <c r="QOR146" s="147"/>
      <c r="QOS146" s="147"/>
      <c r="QOT146" s="147"/>
      <c r="QOU146" s="147"/>
      <c r="QOV146" s="147"/>
      <c r="QOW146" s="147"/>
      <c r="QOX146" s="147"/>
      <c r="QOY146" s="147"/>
      <c r="QOZ146" s="147"/>
      <c r="QPA146" s="147"/>
      <c r="QPB146" s="147"/>
      <c r="QPC146" s="147"/>
      <c r="QPD146" s="147"/>
      <c r="QPE146" s="147"/>
      <c r="QPF146" s="147"/>
      <c r="QPG146" s="147"/>
      <c r="QPH146" s="147"/>
      <c r="QPI146" s="147"/>
      <c r="QPJ146" s="147"/>
      <c r="QPK146" s="147"/>
      <c r="QPL146" s="147"/>
      <c r="QPM146" s="147"/>
      <c r="QPN146" s="147"/>
      <c r="QPO146" s="147"/>
      <c r="QPP146" s="147"/>
      <c r="QPQ146" s="147"/>
      <c r="QPR146" s="147"/>
      <c r="QPS146" s="147"/>
      <c r="QPT146" s="147"/>
      <c r="QPU146" s="147"/>
      <c r="QPV146" s="147"/>
      <c r="QPW146" s="147"/>
      <c r="QPX146" s="147"/>
      <c r="QPY146" s="147"/>
      <c r="QPZ146" s="147"/>
      <c r="QQA146" s="147"/>
      <c r="QQB146" s="147"/>
      <c r="QQC146" s="147"/>
      <c r="QQD146" s="147"/>
      <c r="QQE146" s="147"/>
      <c r="QQF146" s="147"/>
      <c r="QQG146" s="147"/>
      <c r="QQH146" s="147"/>
      <c r="QQI146" s="147"/>
      <c r="QQJ146" s="147"/>
      <c r="QQK146" s="147"/>
      <c r="QQL146" s="147"/>
      <c r="QQM146" s="147"/>
      <c r="QQN146" s="147"/>
      <c r="QQO146" s="147"/>
      <c r="QQP146" s="147"/>
      <c r="QQQ146" s="147"/>
      <c r="QQR146" s="147"/>
      <c r="QQS146" s="147"/>
      <c r="QQT146" s="147"/>
      <c r="QQU146" s="147"/>
      <c r="QQV146" s="147"/>
      <c r="QQW146" s="147"/>
      <c r="QQX146" s="147"/>
      <c r="QQY146" s="147"/>
      <c r="QQZ146" s="147"/>
      <c r="QRA146" s="147"/>
      <c r="QRB146" s="147"/>
      <c r="QRC146" s="147"/>
      <c r="QRD146" s="147"/>
      <c r="QRE146" s="147"/>
      <c r="QRF146" s="147"/>
      <c r="QRG146" s="147"/>
      <c r="QRH146" s="147"/>
      <c r="QRI146" s="147"/>
      <c r="QRJ146" s="147"/>
      <c r="QRK146" s="147"/>
      <c r="QRL146" s="147"/>
      <c r="QRM146" s="147"/>
      <c r="QRN146" s="147"/>
      <c r="QRO146" s="147"/>
      <c r="QRP146" s="147"/>
      <c r="QRQ146" s="147"/>
      <c r="QRR146" s="147"/>
      <c r="QRS146" s="147"/>
      <c r="QRT146" s="147"/>
      <c r="QRU146" s="147"/>
      <c r="QRV146" s="147"/>
      <c r="QRW146" s="147"/>
      <c r="QRX146" s="147"/>
      <c r="QRY146" s="147"/>
      <c r="QRZ146" s="147"/>
      <c r="QSA146" s="147"/>
      <c r="QSB146" s="147"/>
      <c r="QSC146" s="147"/>
      <c r="QSD146" s="147"/>
      <c r="QSE146" s="147"/>
      <c r="QSF146" s="147"/>
      <c r="QSG146" s="147"/>
      <c r="QSH146" s="147"/>
      <c r="QSI146" s="147"/>
      <c r="QSJ146" s="147"/>
      <c r="QSK146" s="147"/>
      <c r="QSL146" s="147"/>
      <c r="QSM146" s="147"/>
      <c r="QSN146" s="147"/>
      <c r="QSO146" s="147"/>
      <c r="QSP146" s="147"/>
      <c r="QSQ146" s="147"/>
      <c r="QSR146" s="147"/>
      <c r="QSS146" s="147"/>
      <c r="QST146" s="147"/>
      <c r="QSU146" s="147"/>
      <c r="QSV146" s="147"/>
      <c r="QSW146" s="147"/>
      <c r="QSX146" s="147"/>
      <c r="QSY146" s="147"/>
      <c r="QSZ146" s="147"/>
      <c r="QTA146" s="147"/>
      <c r="QTB146" s="147"/>
      <c r="QTC146" s="147"/>
      <c r="QTD146" s="147"/>
      <c r="QTE146" s="147"/>
      <c r="QTF146" s="147"/>
      <c r="QTG146" s="147"/>
      <c r="QTH146" s="147"/>
      <c r="QTI146" s="147"/>
      <c r="QTJ146" s="147"/>
      <c r="QTK146" s="147"/>
      <c r="QTL146" s="147"/>
      <c r="QTM146" s="147"/>
      <c r="QTN146" s="147"/>
      <c r="QTO146" s="147"/>
      <c r="QTP146" s="147"/>
      <c r="QTQ146" s="147"/>
      <c r="QTR146" s="147"/>
      <c r="QTS146" s="147"/>
      <c r="QTT146" s="147"/>
      <c r="QTU146" s="147"/>
      <c r="QTV146" s="147"/>
      <c r="QTW146" s="147"/>
      <c r="QTX146" s="147"/>
      <c r="QTY146" s="147"/>
      <c r="QTZ146" s="147"/>
      <c r="QUA146" s="147"/>
      <c r="QUB146" s="147"/>
      <c r="QUC146" s="147"/>
      <c r="QUD146" s="147"/>
      <c r="QUE146" s="147"/>
      <c r="QUF146" s="147"/>
      <c r="QUG146" s="147"/>
      <c r="QUH146" s="147"/>
      <c r="QUI146" s="147"/>
      <c r="QUJ146" s="147"/>
      <c r="QUK146" s="147"/>
      <c r="QUL146" s="147"/>
      <c r="QUM146" s="147"/>
      <c r="QUN146" s="147"/>
      <c r="QUO146" s="147"/>
      <c r="QUP146" s="147"/>
      <c r="QUQ146" s="147"/>
      <c r="QUR146" s="147"/>
      <c r="QUS146" s="147"/>
      <c r="QUT146" s="147"/>
      <c r="QUU146" s="147"/>
      <c r="QUV146" s="147"/>
      <c r="QUW146" s="147"/>
      <c r="QUX146" s="147"/>
      <c r="QUY146" s="147"/>
      <c r="QUZ146" s="147"/>
      <c r="QVA146" s="147"/>
      <c r="QVB146" s="147"/>
      <c r="QVC146" s="147"/>
      <c r="QVD146" s="147"/>
      <c r="QVE146" s="147"/>
      <c r="QVF146" s="147"/>
      <c r="QVG146" s="147"/>
      <c r="QVH146" s="147"/>
      <c r="QVI146" s="147"/>
      <c r="QVJ146" s="147"/>
      <c r="QVK146" s="147"/>
      <c r="QVL146" s="147"/>
      <c r="QVM146" s="147"/>
      <c r="QVN146" s="147"/>
      <c r="QVO146" s="147"/>
      <c r="QVP146" s="147"/>
      <c r="QVQ146" s="147"/>
      <c r="QVR146" s="147"/>
      <c r="QVS146" s="147"/>
      <c r="QVT146" s="147"/>
      <c r="QVU146" s="147"/>
      <c r="QVV146" s="147"/>
      <c r="QVW146" s="147"/>
      <c r="QVX146" s="147"/>
      <c r="QVY146" s="147"/>
      <c r="QVZ146" s="147"/>
      <c r="QWA146" s="147"/>
      <c r="QWB146" s="147"/>
      <c r="QWC146" s="147"/>
      <c r="QWD146" s="147"/>
      <c r="QWE146" s="147"/>
      <c r="QWF146" s="147"/>
      <c r="QWG146" s="147"/>
      <c r="QWH146" s="147"/>
      <c r="QWI146" s="147"/>
      <c r="QWJ146" s="147"/>
      <c r="QWK146" s="147"/>
      <c r="QWL146" s="147"/>
      <c r="QWM146" s="147"/>
      <c r="QWN146" s="147"/>
      <c r="QWO146" s="147"/>
      <c r="QWP146" s="147"/>
      <c r="QWQ146" s="147"/>
      <c r="QWR146" s="147"/>
      <c r="QWS146" s="147"/>
      <c r="QWT146" s="147"/>
      <c r="QWU146" s="147"/>
      <c r="QWV146" s="147"/>
      <c r="QWW146" s="147"/>
      <c r="QWX146" s="147"/>
      <c r="QWY146" s="147"/>
      <c r="QWZ146" s="147"/>
      <c r="QXA146" s="147"/>
      <c r="QXB146" s="147"/>
      <c r="QXC146" s="147"/>
      <c r="QXD146" s="147"/>
      <c r="QXE146" s="147"/>
      <c r="QXF146" s="147"/>
      <c r="QXG146" s="147"/>
      <c r="QXH146" s="147"/>
      <c r="QXI146" s="147"/>
      <c r="QXJ146" s="147"/>
      <c r="QXK146" s="147"/>
      <c r="QXL146" s="147"/>
      <c r="QXM146" s="147"/>
      <c r="QXN146" s="147"/>
      <c r="QXO146" s="147"/>
      <c r="QXP146" s="147"/>
      <c r="QXQ146" s="147"/>
      <c r="QXR146" s="147"/>
      <c r="QXS146" s="147"/>
      <c r="QXT146" s="147"/>
      <c r="QXU146" s="147"/>
      <c r="QXV146" s="147"/>
      <c r="QXW146" s="147"/>
      <c r="QXX146" s="147"/>
      <c r="QXY146" s="147"/>
      <c r="QXZ146" s="147"/>
      <c r="QYA146" s="147"/>
      <c r="QYB146" s="147"/>
      <c r="QYC146" s="147"/>
      <c r="QYD146" s="147"/>
      <c r="QYE146" s="147"/>
      <c r="QYF146" s="147"/>
      <c r="QYG146" s="147"/>
      <c r="QYH146" s="147"/>
      <c r="QYI146" s="147"/>
      <c r="QYJ146" s="147"/>
      <c r="QYK146" s="147"/>
      <c r="QYL146" s="147"/>
      <c r="QYM146" s="147"/>
      <c r="QYN146" s="147"/>
      <c r="QYO146" s="147"/>
      <c r="QYP146" s="147"/>
      <c r="QYQ146" s="147"/>
      <c r="QYR146" s="147"/>
      <c r="QYS146" s="147"/>
      <c r="QYT146" s="147"/>
      <c r="QYU146" s="147"/>
      <c r="QYV146" s="147"/>
      <c r="QYW146" s="147"/>
      <c r="QYX146" s="147"/>
      <c r="QYY146" s="147"/>
      <c r="QYZ146" s="147"/>
      <c r="QZA146" s="147"/>
      <c r="QZB146" s="147"/>
      <c r="QZC146" s="147"/>
      <c r="QZD146" s="147"/>
      <c r="QZE146" s="147"/>
      <c r="QZF146" s="147"/>
      <c r="QZG146" s="147"/>
      <c r="QZH146" s="147"/>
      <c r="QZI146" s="147"/>
      <c r="QZJ146" s="147"/>
      <c r="QZK146" s="147"/>
      <c r="QZL146" s="147"/>
      <c r="QZM146" s="147"/>
      <c r="QZN146" s="147"/>
      <c r="QZO146" s="147"/>
      <c r="QZP146" s="147"/>
      <c r="QZQ146" s="147"/>
      <c r="QZR146" s="147"/>
      <c r="QZS146" s="147"/>
      <c r="QZT146" s="147"/>
      <c r="QZU146" s="147"/>
      <c r="QZV146" s="147"/>
      <c r="QZW146" s="147"/>
      <c r="QZX146" s="147"/>
      <c r="QZY146" s="147"/>
      <c r="QZZ146" s="147"/>
      <c r="RAA146" s="147"/>
      <c r="RAB146" s="147"/>
      <c r="RAC146" s="147"/>
      <c r="RAD146" s="147"/>
      <c r="RAE146" s="147"/>
      <c r="RAF146" s="147"/>
      <c r="RAG146" s="147"/>
      <c r="RAH146" s="147"/>
      <c r="RAI146" s="147"/>
      <c r="RAJ146" s="147"/>
      <c r="RAK146" s="147"/>
      <c r="RAL146" s="147"/>
      <c r="RAM146" s="147"/>
      <c r="RAN146" s="147"/>
      <c r="RAO146" s="147"/>
      <c r="RAP146" s="147"/>
      <c r="RAQ146" s="147"/>
      <c r="RAR146" s="147"/>
      <c r="RAS146" s="147"/>
      <c r="RAT146" s="147"/>
      <c r="RAU146" s="147"/>
      <c r="RAV146" s="147"/>
      <c r="RAW146" s="147"/>
      <c r="RAX146" s="147"/>
      <c r="RAY146" s="147"/>
      <c r="RAZ146" s="147"/>
      <c r="RBA146" s="147"/>
      <c r="RBB146" s="147"/>
      <c r="RBC146" s="147"/>
      <c r="RBD146" s="147"/>
      <c r="RBE146" s="147"/>
      <c r="RBF146" s="147"/>
      <c r="RBG146" s="147"/>
      <c r="RBH146" s="147"/>
      <c r="RBI146" s="147"/>
      <c r="RBJ146" s="147"/>
      <c r="RBK146" s="147"/>
      <c r="RBL146" s="147"/>
      <c r="RBM146" s="147"/>
      <c r="RBN146" s="147"/>
      <c r="RBO146" s="147"/>
      <c r="RBP146" s="147"/>
      <c r="RBQ146" s="147"/>
      <c r="RBR146" s="147"/>
      <c r="RBS146" s="147"/>
      <c r="RBT146" s="147"/>
      <c r="RBU146" s="147"/>
      <c r="RBV146" s="147"/>
      <c r="RBW146" s="147"/>
      <c r="RBX146" s="147"/>
      <c r="RBY146" s="147"/>
      <c r="RBZ146" s="147"/>
      <c r="RCA146" s="147"/>
      <c r="RCB146" s="147"/>
      <c r="RCC146" s="147"/>
      <c r="RCD146" s="147"/>
      <c r="RCE146" s="147"/>
      <c r="RCF146" s="147"/>
      <c r="RCG146" s="147"/>
      <c r="RCH146" s="147"/>
      <c r="RCI146" s="147"/>
      <c r="RCJ146" s="147"/>
      <c r="RCK146" s="147"/>
      <c r="RCL146" s="147"/>
      <c r="RCM146" s="147"/>
      <c r="RCN146" s="147"/>
      <c r="RCO146" s="147"/>
      <c r="RCP146" s="147"/>
      <c r="RCQ146" s="147"/>
      <c r="RCR146" s="147"/>
      <c r="RCS146" s="147"/>
      <c r="RCT146" s="147"/>
      <c r="RCU146" s="147"/>
      <c r="RCV146" s="147"/>
      <c r="RCW146" s="147"/>
      <c r="RCX146" s="147"/>
      <c r="RCY146" s="147"/>
      <c r="RCZ146" s="147"/>
      <c r="RDA146" s="147"/>
      <c r="RDB146" s="147"/>
      <c r="RDC146" s="147"/>
      <c r="RDD146" s="147"/>
      <c r="RDE146" s="147"/>
      <c r="RDF146" s="147"/>
      <c r="RDG146" s="147"/>
      <c r="RDH146" s="147"/>
      <c r="RDI146" s="147"/>
      <c r="RDJ146" s="147"/>
      <c r="RDK146" s="147"/>
      <c r="RDL146" s="147"/>
      <c r="RDM146" s="147"/>
      <c r="RDN146" s="147"/>
      <c r="RDO146" s="147"/>
      <c r="RDP146" s="147"/>
      <c r="RDQ146" s="147"/>
      <c r="RDR146" s="147"/>
      <c r="RDS146" s="147"/>
      <c r="RDT146" s="147"/>
      <c r="RDU146" s="147"/>
      <c r="RDV146" s="147"/>
      <c r="RDW146" s="147"/>
      <c r="RDX146" s="147"/>
      <c r="RDY146" s="147"/>
      <c r="RDZ146" s="147"/>
      <c r="REA146" s="147"/>
      <c r="REB146" s="147"/>
      <c r="REC146" s="147"/>
      <c r="RED146" s="147"/>
      <c r="REE146" s="147"/>
      <c r="REF146" s="147"/>
      <c r="REG146" s="147"/>
      <c r="REH146" s="147"/>
      <c r="REI146" s="147"/>
      <c r="REJ146" s="147"/>
      <c r="REK146" s="147"/>
      <c r="REL146" s="147"/>
      <c r="REM146" s="147"/>
      <c r="REN146" s="147"/>
      <c r="REO146" s="147"/>
      <c r="REP146" s="147"/>
      <c r="REQ146" s="147"/>
      <c r="RER146" s="147"/>
      <c r="RES146" s="147"/>
      <c r="RET146" s="147"/>
      <c r="REU146" s="147"/>
      <c r="REV146" s="147"/>
      <c r="REW146" s="147"/>
      <c r="REX146" s="147"/>
      <c r="REY146" s="147"/>
      <c r="REZ146" s="147"/>
      <c r="RFA146" s="147"/>
      <c r="RFB146" s="147"/>
      <c r="RFC146" s="147"/>
      <c r="RFD146" s="147"/>
      <c r="RFE146" s="147"/>
      <c r="RFF146" s="147"/>
      <c r="RFG146" s="147"/>
      <c r="RFH146" s="147"/>
      <c r="RFI146" s="147"/>
      <c r="RFJ146" s="147"/>
      <c r="RFK146" s="147"/>
      <c r="RFL146" s="147"/>
      <c r="RFM146" s="147"/>
      <c r="RFN146" s="147"/>
      <c r="RFO146" s="147"/>
      <c r="RFP146" s="147"/>
      <c r="RFQ146" s="147"/>
      <c r="RFR146" s="147"/>
      <c r="RFS146" s="147"/>
      <c r="RFT146" s="147"/>
      <c r="RFU146" s="147"/>
      <c r="RFV146" s="147"/>
      <c r="RFW146" s="147"/>
      <c r="RFX146" s="147"/>
      <c r="RFY146" s="147"/>
      <c r="RFZ146" s="147"/>
      <c r="RGA146" s="147"/>
      <c r="RGB146" s="147"/>
      <c r="RGC146" s="147"/>
      <c r="RGD146" s="147"/>
      <c r="RGE146" s="147"/>
      <c r="RGF146" s="147"/>
      <c r="RGG146" s="147"/>
      <c r="RGH146" s="147"/>
      <c r="RGI146" s="147"/>
      <c r="RGJ146" s="147"/>
      <c r="RGK146" s="147"/>
      <c r="RGL146" s="147"/>
      <c r="RGM146" s="147"/>
      <c r="RGN146" s="147"/>
      <c r="RGO146" s="147"/>
      <c r="RGP146" s="147"/>
      <c r="RGQ146" s="147"/>
      <c r="RGR146" s="147"/>
      <c r="RGS146" s="147"/>
      <c r="RGT146" s="147"/>
      <c r="RGU146" s="147"/>
      <c r="RGV146" s="147"/>
      <c r="RGW146" s="147"/>
      <c r="RGX146" s="147"/>
      <c r="RGY146" s="147"/>
      <c r="RGZ146" s="147"/>
      <c r="RHA146" s="147"/>
      <c r="RHB146" s="147"/>
      <c r="RHC146" s="147"/>
      <c r="RHD146" s="147"/>
      <c r="RHE146" s="147"/>
      <c r="RHF146" s="147"/>
      <c r="RHG146" s="147"/>
      <c r="RHH146" s="147"/>
      <c r="RHI146" s="147"/>
      <c r="RHJ146" s="147"/>
      <c r="RHK146" s="147"/>
      <c r="RHL146" s="147"/>
      <c r="RHM146" s="147"/>
      <c r="RHN146" s="147"/>
      <c r="RHO146" s="147"/>
      <c r="RHP146" s="147"/>
      <c r="RHQ146" s="147"/>
      <c r="RHR146" s="147"/>
      <c r="RHS146" s="147"/>
      <c r="RHT146" s="147"/>
      <c r="RHU146" s="147"/>
      <c r="RHV146" s="147"/>
      <c r="RHW146" s="147"/>
      <c r="RHX146" s="147"/>
      <c r="RHY146" s="147"/>
      <c r="RHZ146" s="147"/>
      <c r="RIA146" s="147"/>
      <c r="RIB146" s="147"/>
      <c r="RIC146" s="147"/>
      <c r="RID146" s="147"/>
      <c r="RIE146" s="147"/>
      <c r="RIF146" s="147"/>
      <c r="RIG146" s="147"/>
      <c r="RIH146" s="147"/>
      <c r="RII146" s="147"/>
      <c r="RIJ146" s="147"/>
      <c r="RIK146" s="147"/>
      <c r="RIL146" s="147"/>
      <c r="RIM146" s="147"/>
      <c r="RIN146" s="147"/>
      <c r="RIO146" s="147"/>
      <c r="RIP146" s="147"/>
      <c r="RIQ146" s="147"/>
      <c r="RIR146" s="147"/>
      <c r="RIS146" s="147"/>
      <c r="RIT146" s="147"/>
      <c r="RIU146" s="147"/>
      <c r="RIV146" s="147"/>
      <c r="RIW146" s="147"/>
      <c r="RIX146" s="147"/>
      <c r="RIY146" s="147"/>
      <c r="RIZ146" s="147"/>
      <c r="RJA146" s="147"/>
      <c r="RJB146" s="147"/>
      <c r="RJC146" s="147"/>
      <c r="RJD146" s="147"/>
      <c r="RJE146" s="147"/>
      <c r="RJF146" s="147"/>
      <c r="RJG146" s="147"/>
      <c r="RJH146" s="147"/>
      <c r="RJI146" s="147"/>
      <c r="RJJ146" s="147"/>
      <c r="RJK146" s="147"/>
      <c r="RJL146" s="147"/>
      <c r="RJM146" s="147"/>
      <c r="RJN146" s="147"/>
      <c r="RJO146" s="147"/>
      <c r="RJP146" s="147"/>
      <c r="RJQ146" s="147"/>
      <c r="RJR146" s="147"/>
      <c r="RJS146" s="147"/>
      <c r="RJT146" s="147"/>
      <c r="RJU146" s="147"/>
      <c r="RJV146" s="147"/>
      <c r="RJW146" s="147"/>
      <c r="RJX146" s="147"/>
      <c r="RJY146" s="147"/>
      <c r="RJZ146" s="147"/>
      <c r="RKA146" s="147"/>
      <c r="RKB146" s="147"/>
      <c r="RKC146" s="147"/>
      <c r="RKD146" s="147"/>
      <c r="RKE146" s="147"/>
      <c r="RKF146" s="147"/>
      <c r="RKG146" s="147"/>
      <c r="RKH146" s="147"/>
      <c r="RKI146" s="147"/>
      <c r="RKJ146" s="147"/>
      <c r="RKK146" s="147"/>
      <c r="RKL146" s="147"/>
      <c r="RKM146" s="147"/>
      <c r="RKN146" s="147"/>
      <c r="RKO146" s="147"/>
      <c r="RKP146" s="147"/>
      <c r="RKQ146" s="147"/>
      <c r="RKR146" s="147"/>
      <c r="RKS146" s="147"/>
      <c r="RKT146" s="147"/>
      <c r="RKU146" s="147"/>
      <c r="RKV146" s="147"/>
      <c r="RKW146" s="147"/>
      <c r="RKX146" s="147"/>
      <c r="RKY146" s="147"/>
      <c r="RKZ146" s="147"/>
      <c r="RLA146" s="147"/>
      <c r="RLB146" s="147"/>
      <c r="RLC146" s="147"/>
      <c r="RLD146" s="147"/>
      <c r="RLE146" s="147"/>
      <c r="RLF146" s="147"/>
      <c r="RLG146" s="147"/>
      <c r="RLH146" s="147"/>
      <c r="RLI146" s="147"/>
      <c r="RLJ146" s="147"/>
      <c r="RLK146" s="147"/>
      <c r="RLL146" s="147"/>
      <c r="RLM146" s="147"/>
      <c r="RLN146" s="147"/>
      <c r="RLO146" s="147"/>
      <c r="RLP146" s="147"/>
      <c r="RLQ146" s="147"/>
      <c r="RLR146" s="147"/>
      <c r="RLS146" s="147"/>
      <c r="RLT146" s="147"/>
      <c r="RLU146" s="147"/>
      <c r="RLV146" s="147"/>
      <c r="RLW146" s="147"/>
      <c r="RLX146" s="147"/>
      <c r="RLY146" s="147"/>
      <c r="RLZ146" s="147"/>
      <c r="RMA146" s="147"/>
      <c r="RMB146" s="147"/>
      <c r="RMC146" s="147"/>
      <c r="RMD146" s="147"/>
      <c r="RME146" s="147"/>
      <c r="RMF146" s="147"/>
      <c r="RMG146" s="147"/>
      <c r="RMH146" s="147"/>
      <c r="RMI146" s="147"/>
      <c r="RMJ146" s="147"/>
      <c r="RMK146" s="147"/>
      <c r="RML146" s="147"/>
      <c r="RMM146" s="147"/>
      <c r="RMN146" s="147"/>
      <c r="RMO146" s="147"/>
      <c r="RMP146" s="147"/>
      <c r="RMQ146" s="147"/>
      <c r="RMR146" s="147"/>
      <c r="RMS146" s="147"/>
      <c r="RMT146" s="147"/>
      <c r="RMU146" s="147"/>
      <c r="RMV146" s="147"/>
      <c r="RMW146" s="147"/>
      <c r="RMX146" s="147"/>
      <c r="RMY146" s="147"/>
      <c r="RMZ146" s="147"/>
      <c r="RNA146" s="147"/>
      <c r="RNB146" s="147"/>
      <c r="RNC146" s="147"/>
      <c r="RND146" s="147"/>
      <c r="RNE146" s="147"/>
      <c r="RNF146" s="147"/>
      <c r="RNG146" s="147"/>
      <c r="RNH146" s="147"/>
      <c r="RNI146" s="147"/>
      <c r="RNJ146" s="147"/>
      <c r="RNK146" s="147"/>
      <c r="RNL146" s="147"/>
      <c r="RNM146" s="147"/>
      <c r="RNN146" s="147"/>
      <c r="RNO146" s="147"/>
      <c r="RNP146" s="147"/>
      <c r="RNQ146" s="147"/>
      <c r="RNR146" s="147"/>
      <c r="RNS146" s="147"/>
      <c r="RNT146" s="147"/>
      <c r="RNU146" s="147"/>
      <c r="RNV146" s="147"/>
      <c r="RNW146" s="147"/>
      <c r="RNX146" s="147"/>
      <c r="RNY146" s="147"/>
      <c r="RNZ146" s="147"/>
      <c r="ROA146" s="147"/>
      <c r="ROB146" s="147"/>
      <c r="ROC146" s="147"/>
      <c r="ROD146" s="147"/>
      <c r="ROE146" s="147"/>
      <c r="ROF146" s="147"/>
      <c r="ROG146" s="147"/>
      <c r="ROH146" s="147"/>
      <c r="ROI146" s="147"/>
      <c r="ROJ146" s="147"/>
      <c r="ROK146" s="147"/>
      <c r="ROL146" s="147"/>
      <c r="ROM146" s="147"/>
      <c r="RON146" s="147"/>
      <c r="ROO146" s="147"/>
      <c r="ROP146" s="147"/>
      <c r="ROQ146" s="147"/>
      <c r="ROR146" s="147"/>
      <c r="ROS146" s="147"/>
      <c r="ROT146" s="147"/>
      <c r="ROU146" s="147"/>
      <c r="ROV146" s="147"/>
      <c r="ROW146" s="147"/>
      <c r="ROX146" s="147"/>
      <c r="ROY146" s="147"/>
      <c r="ROZ146" s="147"/>
      <c r="RPA146" s="147"/>
      <c r="RPB146" s="147"/>
      <c r="RPC146" s="147"/>
      <c r="RPD146" s="147"/>
      <c r="RPE146" s="147"/>
      <c r="RPF146" s="147"/>
      <c r="RPG146" s="147"/>
      <c r="RPH146" s="147"/>
      <c r="RPI146" s="147"/>
      <c r="RPJ146" s="147"/>
      <c r="RPK146" s="147"/>
      <c r="RPL146" s="147"/>
      <c r="RPM146" s="147"/>
      <c r="RPN146" s="147"/>
      <c r="RPO146" s="147"/>
      <c r="RPP146" s="147"/>
      <c r="RPQ146" s="147"/>
      <c r="RPR146" s="147"/>
      <c r="RPS146" s="147"/>
      <c r="RPT146" s="147"/>
      <c r="RPU146" s="147"/>
      <c r="RPV146" s="147"/>
      <c r="RPW146" s="147"/>
      <c r="RPX146" s="147"/>
      <c r="RPY146" s="147"/>
      <c r="RPZ146" s="147"/>
      <c r="RQA146" s="147"/>
      <c r="RQB146" s="147"/>
      <c r="RQC146" s="147"/>
      <c r="RQD146" s="147"/>
      <c r="RQE146" s="147"/>
      <c r="RQF146" s="147"/>
      <c r="RQG146" s="147"/>
      <c r="RQH146" s="147"/>
      <c r="RQI146" s="147"/>
      <c r="RQJ146" s="147"/>
      <c r="RQK146" s="147"/>
      <c r="RQL146" s="147"/>
      <c r="RQM146" s="147"/>
      <c r="RQN146" s="147"/>
      <c r="RQO146" s="147"/>
      <c r="RQP146" s="147"/>
      <c r="RQQ146" s="147"/>
      <c r="RQR146" s="147"/>
      <c r="RQS146" s="147"/>
      <c r="RQT146" s="147"/>
      <c r="RQU146" s="147"/>
      <c r="RQV146" s="147"/>
      <c r="RQW146" s="147"/>
      <c r="RQX146" s="147"/>
      <c r="RQY146" s="147"/>
      <c r="RQZ146" s="147"/>
      <c r="RRA146" s="147"/>
      <c r="RRB146" s="147"/>
      <c r="RRC146" s="147"/>
      <c r="RRD146" s="147"/>
      <c r="RRE146" s="147"/>
      <c r="RRF146" s="147"/>
      <c r="RRG146" s="147"/>
      <c r="RRH146" s="147"/>
      <c r="RRI146" s="147"/>
      <c r="RRJ146" s="147"/>
      <c r="RRK146" s="147"/>
      <c r="RRL146" s="147"/>
      <c r="RRM146" s="147"/>
      <c r="RRN146" s="147"/>
      <c r="RRO146" s="147"/>
      <c r="RRP146" s="147"/>
      <c r="RRQ146" s="147"/>
      <c r="RRR146" s="147"/>
      <c r="RRS146" s="147"/>
      <c r="RRT146" s="147"/>
      <c r="RRU146" s="147"/>
      <c r="RRV146" s="147"/>
      <c r="RRW146" s="147"/>
      <c r="RRX146" s="147"/>
      <c r="RRY146" s="147"/>
      <c r="RRZ146" s="147"/>
      <c r="RSA146" s="147"/>
      <c r="RSB146" s="147"/>
      <c r="RSC146" s="147"/>
      <c r="RSD146" s="147"/>
      <c r="RSE146" s="147"/>
      <c r="RSF146" s="147"/>
      <c r="RSG146" s="147"/>
      <c r="RSH146" s="147"/>
      <c r="RSI146" s="147"/>
      <c r="RSJ146" s="147"/>
      <c r="RSK146" s="147"/>
      <c r="RSL146" s="147"/>
      <c r="RSM146" s="147"/>
      <c r="RSN146" s="147"/>
      <c r="RSO146" s="147"/>
      <c r="RSP146" s="147"/>
      <c r="RSQ146" s="147"/>
      <c r="RSR146" s="147"/>
      <c r="RSS146" s="147"/>
      <c r="RST146" s="147"/>
      <c r="RSU146" s="147"/>
      <c r="RSV146" s="147"/>
      <c r="RSW146" s="147"/>
      <c r="RSX146" s="147"/>
      <c r="RSY146" s="147"/>
      <c r="RSZ146" s="147"/>
      <c r="RTA146" s="147"/>
      <c r="RTB146" s="147"/>
      <c r="RTC146" s="147"/>
      <c r="RTD146" s="147"/>
      <c r="RTE146" s="147"/>
      <c r="RTF146" s="147"/>
      <c r="RTG146" s="147"/>
      <c r="RTH146" s="147"/>
      <c r="RTI146" s="147"/>
      <c r="RTJ146" s="147"/>
      <c r="RTK146" s="147"/>
      <c r="RTL146" s="147"/>
      <c r="RTM146" s="147"/>
      <c r="RTN146" s="147"/>
      <c r="RTO146" s="147"/>
      <c r="RTP146" s="147"/>
      <c r="RTQ146" s="147"/>
      <c r="RTR146" s="147"/>
      <c r="RTS146" s="147"/>
      <c r="RTT146" s="147"/>
      <c r="RTU146" s="147"/>
      <c r="RTV146" s="147"/>
      <c r="RTW146" s="147"/>
      <c r="RTX146" s="147"/>
      <c r="RTY146" s="147"/>
      <c r="RTZ146" s="147"/>
      <c r="RUA146" s="147"/>
      <c r="RUB146" s="147"/>
      <c r="RUC146" s="147"/>
      <c r="RUD146" s="147"/>
      <c r="RUE146" s="147"/>
      <c r="RUF146" s="147"/>
      <c r="RUG146" s="147"/>
      <c r="RUH146" s="147"/>
      <c r="RUI146" s="147"/>
      <c r="RUJ146" s="147"/>
      <c r="RUK146" s="147"/>
      <c r="RUL146" s="147"/>
      <c r="RUM146" s="147"/>
      <c r="RUN146" s="147"/>
      <c r="RUO146" s="147"/>
      <c r="RUP146" s="147"/>
      <c r="RUQ146" s="147"/>
      <c r="RUR146" s="147"/>
      <c r="RUS146" s="147"/>
      <c r="RUT146" s="147"/>
      <c r="RUU146" s="147"/>
      <c r="RUV146" s="147"/>
      <c r="RUW146" s="147"/>
      <c r="RUX146" s="147"/>
      <c r="RUY146" s="147"/>
      <c r="RUZ146" s="147"/>
      <c r="RVA146" s="147"/>
      <c r="RVB146" s="147"/>
      <c r="RVC146" s="147"/>
      <c r="RVD146" s="147"/>
      <c r="RVE146" s="147"/>
      <c r="RVF146" s="147"/>
      <c r="RVG146" s="147"/>
      <c r="RVH146" s="147"/>
      <c r="RVI146" s="147"/>
      <c r="RVJ146" s="147"/>
      <c r="RVK146" s="147"/>
      <c r="RVL146" s="147"/>
      <c r="RVM146" s="147"/>
      <c r="RVN146" s="147"/>
      <c r="RVO146" s="147"/>
      <c r="RVP146" s="147"/>
      <c r="RVQ146" s="147"/>
      <c r="RVR146" s="147"/>
      <c r="RVS146" s="147"/>
      <c r="RVT146" s="147"/>
      <c r="RVU146" s="147"/>
      <c r="RVV146" s="147"/>
      <c r="RVW146" s="147"/>
      <c r="RVX146" s="147"/>
      <c r="RVY146" s="147"/>
      <c r="RVZ146" s="147"/>
      <c r="RWA146" s="147"/>
      <c r="RWB146" s="147"/>
      <c r="RWC146" s="147"/>
      <c r="RWD146" s="147"/>
      <c r="RWE146" s="147"/>
      <c r="RWF146" s="147"/>
      <c r="RWG146" s="147"/>
      <c r="RWH146" s="147"/>
      <c r="RWI146" s="147"/>
      <c r="RWJ146" s="147"/>
      <c r="RWK146" s="147"/>
      <c r="RWL146" s="147"/>
      <c r="RWM146" s="147"/>
      <c r="RWN146" s="147"/>
      <c r="RWO146" s="147"/>
      <c r="RWP146" s="147"/>
      <c r="RWQ146" s="147"/>
      <c r="RWR146" s="147"/>
      <c r="RWS146" s="147"/>
      <c r="RWT146" s="147"/>
      <c r="RWU146" s="147"/>
      <c r="RWV146" s="147"/>
      <c r="RWW146" s="147"/>
      <c r="RWX146" s="147"/>
      <c r="RWY146" s="147"/>
      <c r="RWZ146" s="147"/>
      <c r="RXA146" s="147"/>
      <c r="RXB146" s="147"/>
      <c r="RXC146" s="147"/>
      <c r="RXD146" s="147"/>
      <c r="RXE146" s="147"/>
      <c r="RXF146" s="147"/>
      <c r="RXG146" s="147"/>
      <c r="RXH146" s="147"/>
      <c r="RXI146" s="147"/>
      <c r="RXJ146" s="147"/>
      <c r="RXK146" s="147"/>
      <c r="RXL146" s="147"/>
      <c r="RXM146" s="147"/>
      <c r="RXN146" s="147"/>
      <c r="RXO146" s="147"/>
      <c r="RXP146" s="147"/>
      <c r="RXQ146" s="147"/>
      <c r="RXR146" s="147"/>
      <c r="RXS146" s="147"/>
      <c r="RXT146" s="147"/>
      <c r="RXU146" s="147"/>
      <c r="RXV146" s="147"/>
      <c r="RXW146" s="147"/>
      <c r="RXX146" s="147"/>
      <c r="RXY146" s="147"/>
      <c r="RXZ146" s="147"/>
      <c r="RYA146" s="147"/>
      <c r="RYB146" s="147"/>
      <c r="RYC146" s="147"/>
      <c r="RYD146" s="147"/>
      <c r="RYE146" s="147"/>
      <c r="RYF146" s="147"/>
      <c r="RYG146" s="147"/>
      <c r="RYH146" s="147"/>
      <c r="RYI146" s="147"/>
      <c r="RYJ146" s="147"/>
      <c r="RYK146" s="147"/>
      <c r="RYL146" s="147"/>
      <c r="RYM146" s="147"/>
      <c r="RYN146" s="147"/>
      <c r="RYO146" s="147"/>
      <c r="RYP146" s="147"/>
      <c r="RYQ146" s="147"/>
      <c r="RYR146" s="147"/>
      <c r="RYS146" s="147"/>
      <c r="RYT146" s="147"/>
      <c r="RYU146" s="147"/>
      <c r="RYV146" s="147"/>
      <c r="RYW146" s="147"/>
      <c r="RYX146" s="147"/>
      <c r="RYY146" s="147"/>
      <c r="RYZ146" s="147"/>
      <c r="RZA146" s="147"/>
      <c r="RZB146" s="147"/>
      <c r="RZC146" s="147"/>
      <c r="RZD146" s="147"/>
      <c r="RZE146" s="147"/>
      <c r="RZF146" s="147"/>
      <c r="RZG146" s="147"/>
      <c r="RZH146" s="147"/>
      <c r="RZI146" s="147"/>
      <c r="RZJ146" s="147"/>
      <c r="RZK146" s="147"/>
      <c r="RZL146" s="147"/>
      <c r="RZM146" s="147"/>
      <c r="RZN146" s="147"/>
      <c r="RZO146" s="147"/>
      <c r="RZP146" s="147"/>
      <c r="RZQ146" s="147"/>
      <c r="RZR146" s="147"/>
      <c r="RZS146" s="147"/>
      <c r="RZT146" s="147"/>
      <c r="RZU146" s="147"/>
      <c r="RZV146" s="147"/>
      <c r="RZW146" s="147"/>
      <c r="RZX146" s="147"/>
      <c r="RZY146" s="147"/>
      <c r="RZZ146" s="147"/>
      <c r="SAA146" s="147"/>
      <c r="SAB146" s="147"/>
      <c r="SAC146" s="147"/>
      <c r="SAD146" s="147"/>
      <c r="SAE146" s="147"/>
      <c r="SAF146" s="147"/>
      <c r="SAG146" s="147"/>
      <c r="SAH146" s="147"/>
      <c r="SAI146" s="147"/>
      <c r="SAJ146" s="147"/>
      <c r="SAK146" s="147"/>
      <c r="SAL146" s="147"/>
      <c r="SAM146" s="147"/>
      <c r="SAN146" s="147"/>
      <c r="SAO146" s="147"/>
      <c r="SAP146" s="147"/>
      <c r="SAQ146" s="147"/>
      <c r="SAR146" s="147"/>
      <c r="SAS146" s="147"/>
      <c r="SAT146" s="147"/>
      <c r="SAU146" s="147"/>
      <c r="SAV146" s="147"/>
      <c r="SAW146" s="147"/>
      <c r="SAX146" s="147"/>
      <c r="SAY146" s="147"/>
      <c r="SAZ146" s="147"/>
      <c r="SBA146" s="147"/>
      <c r="SBB146" s="147"/>
      <c r="SBC146" s="147"/>
      <c r="SBD146" s="147"/>
      <c r="SBE146" s="147"/>
      <c r="SBF146" s="147"/>
      <c r="SBG146" s="147"/>
      <c r="SBH146" s="147"/>
      <c r="SBI146" s="147"/>
      <c r="SBJ146" s="147"/>
      <c r="SBK146" s="147"/>
      <c r="SBL146" s="147"/>
      <c r="SBM146" s="147"/>
      <c r="SBN146" s="147"/>
      <c r="SBO146" s="147"/>
      <c r="SBP146" s="147"/>
      <c r="SBQ146" s="147"/>
      <c r="SBR146" s="147"/>
      <c r="SBS146" s="147"/>
      <c r="SBT146" s="147"/>
      <c r="SBU146" s="147"/>
      <c r="SBV146" s="147"/>
      <c r="SBW146" s="147"/>
      <c r="SBX146" s="147"/>
      <c r="SBY146" s="147"/>
      <c r="SBZ146" s="147"/>
      <c r="SCA146" s="147"/>
      <c r="SCB146" s="147"/>
      <c r="SCC146" s="147"/>
      <c r="SCD146" s="147"/>
      <c r="SCE146" s="147"/>
      <c r="SCF146" s="147"/>
      <c r="SCG146" s="147"/>
      <c r="SCH146" s="147"/>
      <c r="SCI146" s="147"/>
      <c r="SCJ146" s="147"/>
      <c r="SCK146" s="147"/>
      <c r="SCL146" s="147"/>
      <c r="SCM146" s="147"/>
      <c r="SCN146" s="147"/>
      <c r="SCO146" s="147"/>
      <c r="SCP146" s="147"/>
      <c r="SCQ146" s="147"/>
      <c r="SCR146" s="147"/>
      <c r="SCS146" s="147"/>
      <c r="SCT146" s="147"/>
      <c r="SCU146" s="147"/>
      <c r="SCV146" s="147"/>
      <c r="SCW146" s="147"/>
      <c r="SCX146" s="147"/>
      <c r="SCY146" s="147"/>
      <c r="SCZ146" s="147"/>
      <c r="SDA146" s="147"/>
      <c r="SDB146" s="147"/>
      <c r="SDC146" s="147"/>
      <c r="SDD146" s="147"/>
      <c r="SDE146" s="147"/>
      <c r="SDF146" s="147"/>
      <c r="SDG146" s="147"/>
      <c r="SDH146" s="147"/>
      <c r="SDI146" s="147"/>
      <c r="SDJ146" s="147"/>
      <c r="SDK146" s="147"/>
      <c r="SDL146" s="147"/>
      <c r="SDM146" s="147"/>
      <c r="SDN146" s="147"/>
      <c r="SDO146" s="147"/>
      <c r="SDP146" s="147"/>
      <c r="SDQ146" s="147"/>
      <c r="SDR146" s="147"/>
      <c r="SDS146" s="147"/>
      <c r="SDT146" s="147"/>
      <c r="SDU146" s="147"/>
      <c r="SDV146" s="147"/>
      <c r="SDW146" s="147"/>
      <c r="SDX146" s="147"/>
      <c r="SDY146" s="147"/>
      <c r="SDZ146" s="147"/>
      <c r="SEA146" s="147"/>
      <c r="SEB146" s="147"/>
      <c r="SEC146" s="147"/>
      <c r="SED146" s="147"/>
      <c r="SEE146" s="147"/>
      <c r="SEF146" s="147"/>
      <c r="SEG146" s="147"/>
      <c r="SEH146" s="147"/>
      <c r="SEI146" s="147"/>
      <c r="SEJ146" s="147"/>
      <c r="SEK146" s="147"/>
      <c r="SEL146" s="147"/>
      <c r="SEM146" s="147"/>
      <c r="SEN146" s="147"/>
      <c r="SEO146" s="147"/>
      <c r="SEP146" s="147"/>
      <c r="SEQ146" s="147"/>
      <c r="SER146" s="147"/>
      <c r="SES146" s="147"/>
      <c r="SET146" s="147"/>
      <c r="SEU146" s="147"/>
      <c r="SEV146" s="147"/>
      <c r="SEW146" s="147"/>
      <c r="SEX146" s="147"/>
      <c r="SEY146" s="147"/>
      <c r="SEZ146" s="147"/>
      <c r="SFA146" s="147"/>
      <c r="SFB146" s="147"/>
      <c r="SFC146" s="147"/>
      <c r="SFD146" s="147"/>
      <c r="SFE146" s="147"/>
      <c r="SFF146" s="147"/>
      <c r="SFG146" s="147"/>
      <c r="SFH146" s="147"/>
      <c r="SFI146" s="147"/>
      <c r="SFJ146" s="147"/>
      <c r="SFK146" s="147"/>
      <c r="SFL146" s="147"/>
      <c r="SFM146" s="147"/>
      <c r="SFN146" s="147"/>
      <c r="SFO146" s="147"/>
      <c r="SFP146" s="147"/>
      <c r="SFQ146" s="147"/>
      <c r="SFR146" s="147"/>
      <c r="SFS146" s="147"/>
      <c r="SFT146" s="147"/>
      <c r="SFU146" s="147"/>
      <c r="SFV146" s="147"/>
      <c r="SFW146" s="147"/>
      <c r="SFX146" s="147"/>
      <c r="SFY146" s="147"/>
      <c r="SFZ146" s="147"/>
      <c r="SGA146" s="147"/>
      <c r="SGB146" s="147"/>
      <c r="SGC146" s="147"/>
      <c r="SGD146" s="147"/>
      <c r="SGE146" s="147"/>
      <c r="SGF146" s="147"/>
      <c r="SGG146" s="147"/>
      <c r="SGH146" s="147"/>
      <c r="SGI146" s="147"/>
      <c r="SGJ146" s="147"/>
      <c r="SGK146" s="147"/>
      <c r="SGL146" s="147"/>
      <c r="SGM146" s="147"/>
      <c r="SGN146" s="147"/>
      <c r="SGO146" s="147"/>
      <c r="SGP146" s="147"/>
      <c r="SGQ146" s="147"/>
      <c r="SGR146" s="147"/>
      <c r="SGS146" s="147"/>
      <c r="SGT146" s="147"/>
      <c r="SGU146" s="147"/>
      <c r="SGV146" s="147"/>
      <c r="SGW146" s="147"/>
      <c r="SGX146" s="147"/>
      <c r="SGY146" s="147"/>
      <c r="SGZ146" s="147"/>
      <c r="SHA146" s="147"/>
      <c r="SHB146" s="147"/>
      <c r="SHC146" s="147"/>
      <c r="SHD146" s="147"/>
      <c r="SHE146" s="147"/>
      <c r="SHF146" s="147"/>
      <c r="SHG146" s="147"/>
      <c r="SHH146" s="147"/>
      <c r="SHI146" s="147"/>
      <c r="SHJ146" s="147"/>
      <c r="SHK146" s="147"/>
      <c r="SHL146" s="147"/>
      <c r="SHM146" s="147"/>
      <c r="SHN146" s="147"/>
      <c r="SHO146" s="147"/>
      <c r="SHP146" s="147"/>
      <c r="SHQ146" s="147"/>
      <c r="SHR146" s="147"/>
      <c r="SHS146" s="147"/>
      <c r="SHT146" s="147"/>
      <c r="SHU146" s="147"/>
      <c r="SHV146" s="147"/>
      <c r="SHW146" s="147"/>
      <c r="SHX146" s="147"/>
      <c r="SHY146" s="147"/>
      <c r="SHZ146" s="147"/>
      <c r="SIA146" s="147"/>
      <c r="SIB146" s="147"/>
      <c r="SIC146" s="147"/>
      <c r="SID146" s="147"/>
      <c r="SIE146" s="147"/>
      <c r="SIF146" s="147"/>
      <c r="SIG146" s="147"/>
      <c r="SIH146" s="147"/>
      <c r="SII146" s="147"/>
      <c r="SIJ146" s="147"/>
      <c r="SIK146" s="147"/>
      <c r="SIL146" s="147"/>
      <c r="SIM146" s="147"/>
      <c r="SIN146" s="147"/>
      <c r="SIO146" s="147"/>
      <c r="SIP146" s="147"/>
      <c r="SIQ146" s="147"/>
      <c r="SIR146" s="147"/>
      <c r="SIS146" s="147"/>
      <c r="SIT146" s="147"/>
      <c r="SIU146" s="147"/>
      <c r="SIV146" s="147"/>
      <c r="SIW146" s="147"/>
      <c r="SIX146" s="147"/>
      <c r="SIY146" s="147"/>
      <c r="SIZ146" s="147"/>
      <c r="SJA146" s="147"/>
      <c r="SJB146" s="147"/>
      <c r="SJC146" s="147"/>
      <c r="SJD146" s="147"/>
      <c r="SJE146" s="147"/>
      <c r="SJF146" s="147"/>
      <c r="SJG146" s="147"/>
      <c r="SJH146" s="147"/>
      <c r="SJI146" s="147"/>
      <c r="SJJ146" s="147"/>
      <c r="SJK146" s="147"/>
      <c r="SJL146" s="147"/>
      <c r="SJM146" s="147"/>
      <c r="SJN146" s="147"/>
      <c r="SJO146" s="147"/>
      <c r="SJP146" s="147"/>
      <c r="SJQ146" s="147"/>
      <c r="SJR146" s="147"/>
      <c r="SJS146" s="147"/>
      <c r="SJT146" s="147"/>
      <c r="SJU146" s="147"/>
      <c r="SJV146" s="147"/>
      <c r="SJW146" s="147"/>
      <c r="SJX146" s="147"/>
      <c r="SJY146" s="147"/>
      <c r="SJZ146" s="147"/>
      <c r="SKA146" s="147"/>
      <c r="SKB146" s="147"/>
      <c r="SKC146" s="147"/>
      <c r="SKD146" s="147"/>
      <c r="SKE146" s="147"/>
      <c r="SKF146" s="147"/>
      <c r="SKG146" s="147"/>
      <c r="SKH146" s="147"/>
      <c r="SKI146" s="147"/>
      <c r="SKJ146" s="147"/>
      <c r="SKK146" s="147"/>
      <c r="SKL146" s="147"/>
      <c r="SKM146" s="147"/>
      <c r="SKN146" s="147"/>
      <c r="SKO146" s="147"/>
      <c r="SKP146" s="147"/>
      <c r="SKQ146" s="147"/>
      <c r="SKR146" s="147"/>
      <c r="SKS146" s="147"/>
      <c r="SKT146" s="147"/>
      <c r="SKU146" s="147"/>
      <c r="SKV146" s="147"/>
      <c r="SKW146" s="147"/>
      <c r="SKX146" s="147"/>
      <c r="SKY146" s="147"/>
      <c r="SKZ146" s="147"/>
      <c r="SLA146" s="147"/>
      <c r="SLB146" s="147"/>
      <c r="SLC146" s="147"/>
      <c r="SLD146" s="147"/>
      <c r="SLE146" s="147"/>
      <c r="SLF146" s="147"/>
      <c r="SLG146" s="147"/>
      <c r="SLH146" s="147"/>
      <c r="SLI146" s="147"/>
      <c r="SLJ146" s="147"/>
      <c r="SLK146" s="147"/>
      <c r="SLL146" s="147"/>
      <c r="SLM146" s="147"/>
      <c r="SLN146" s="147"/>
      <c r="SLO146" s="147"/>
      <c r="SLP146" s="147"/>
      <c r="SLQ146" s="147"/>
      <c r="SLR146" s="147"/>
      <c r="SLS146" s="147"/>
      <c r="SLT146" s="147"/>
      <c r="SLU146" s="147"/>
      <c r="SLV146" s="147"/>
      <c r="SLW146" s="147"/>
      <c r="SLX146" s="147"/>
      <c r="SLY146" s="147"/>
      <c r="SLZ146" s="147"/>
      <c r="SMA146" s="147"/>
      <c r="SMB146" s="147"/>
      <c r="SMC146" s="147"/>
      <c r="SMD146" s="147"/>
      <c r="SME146" s="147"/>
      <c r="SMF146" s="147"/>
      <c r="SMG146" s="147"/>
      <c r="SMH146" s="147"/>
      <c r="SMI146" s="147"/>
      <c r="SMJ146" s="147"/>
      <c r="SMK146" s="147"/>
      <c r="SML146" s="147"/>
      <c r="SMM146" s="147"/>
      <c r="SMN146" s="147"/>
      <c r="SMO146" s="147"/>
      <c r="SMP146" s="147"/>
      <c r="SMQ146" s="147"/>
      <c r="SMR146" s="147"/>
      <c r="SMS146" s="147"/>
      <c r="SMT146" s="147"/>
      <c r="SMU146" s="147"/>
      <c r="SMV146" s="147"/>
      <c r="SMW146" s="147"/>
      <c r="SMX146" s="147"/>
      <c r="SMY146" s="147"/>
      <c r="SMZ146" s="147"/>
      <c r="SNA146" s="147"/>
      <c r="SNB146" s="147"/>
      <c r="SNC146" s="147"/>
      <c r="SND146" s="147"/>
      <c r="SNE146" s="147"/>
      <c r="SNF146" s="147"/>
      <c r="SNG146" s="147"/>
      <c r="SNH146" s="147"/>
      <c r="SNI146" s="147"/>
      <c r="SNJ146" s="147"/>
      <c r="SNK146" s="147"/>
      <c r="SNL146" s="147"/>
      <c r="SNM146" s="147"/>
      <c r="SNN146" s="147"/>
      <c r="SNO146" s="147"/>
      <c r="SNP146" s="147"/>
      <c r="SNQ146" s="147"/>
      <c r="SNR146" s="147"/>
      <c r="SNS146" s="147"/>
      <c r="SNT146" s="147"/>
      <c r="SNU146" s="147"/>
      <c r="SNV146" s="147"/>
      <c r="SNW146" s="147"/>
      <c r="SNX146" s="147"/>
      <c r="SNY146" s="147"/>
      <c r="SNZ146" s="147"/>
      <c r="SOA146" s="147"/>
      <c r="SOB146" s="147"/>
      <c r="SOC146" s="147"/>
      <c r="SOD146" s="147"/>
      <c r="SOE146" s="147"/>
      <c r="SOF146" s="147"/>
      <c r="SOG146" s="147"/>
      <c r="SOH146" s="147"/>
      <c r="SOI146" s="147"/>
      <c r="SOJ146" s="147"/>
      <c r="SOK146" s="147"/>
      <c r="SOL146" s="147"/>
      <c r="SOM146" s="147"/>
      <c r="SON146" s="147"/>
      <c r="SOO146" s="147"/>
      <c r="SOP146" s="147"/>
      <c r="SOQ146" s="147"/>
      <c r="SOR146" s="147"/>
      <c r="SOS146" s="147"/>
      <c r="SOT146" s="147"/>
      <c r="SOU146" s="147"/>
      <c r="SOV146" s="147"/>
      <c r="SOW146" s="147"/>
      <c r="SOX146" s="147"/>
      <c r="SOY146" s="147"/>
      <c r="SOZ146" s="147"/>
      <c r="SPA146" s="147"/>
      <c r="SPB146" s="147"/>
      <c r="SPC146" s="147"/>
      <c r="SPD146" s="147"/>
      <c r="SPE146" s="147"/>
      <c r="SPF146" s="147"/>
      <c r="SPG146" s="147"/>
      <c r="SPH146" s="147"/>
      <c r="SPI146" s="147"/>
      <c r="SPJ146" s="147"/>
      <c r="SPK146" s="147"/>
      <c r="SPL146" s="147"/>
      <c r="SPM146" s="147"/>
      <c r="SPN146" s="147"/>
      <c r="SPO146" s="147"/>
      <c r="SPP146" s="147"/>
      <c r="SPQ146" s="147"/>
      <c r="SPR146" s="147"/>
      <c r="SPS146" s="147"/>
      <c r="SPT146" s="147"/>
      <c r="SPU146" s="147"/>
      <c r="SPV146" s="147"/>
      <c r="SPW146" s="147"/>
      <c r="SPX146" s="147"/>
      <c r="SPY146" s="147"/>
      <c r="SPZ146" s="147"/>
      <c r="SQA146" s="147"/>
      <c r="SQB146" s="147"/>
      <c r="SQC146" s="147"/>
      <c r="SQD146" s="147"/>
      <c r="SQE146" s="147"/>
      <c r="SQF146" s="147"/>
      <c r="SQG146" s="147"/>
      <c r="SQH146" s="147"/>
      <c r="SQI146" s="147"/>
      <c r="SQJ146" s="147"/>
      <c r="SQK146" s="147"/>
      <c r="SQL146" s="147"/>
      <c r="SQM146" s="147"/>
      <c r="SQN146" s="147"/>
      <c r="SQO146" s="147"/>
      <c r="SQP146" s="147"/>
      <c r="SQQ146" s="147"/>
      <c r="SQR146" s="147"/>
      <c r="SQS146" s="147"/>
      <c r="SQT146" s="147"/>
      <c r="SQU146" s="147"/>
      <c r="SQV146" s="147"/>
      <c r="SQW146" s="147"/>
      <c r="SQX146" s="147"/>
      <c r="SQY146" s="147"/>
      <c r="SQZ146" s="147"/>
      <c r="SRA146" s="147"/>
      <c r="SRB146" s="147"/>
      <c r="SRC146" s="147"/>
      <c r="SRD146" s="147"/>
      <c r="SRE146" s="147"/>
      <c r="SRF146" s="147"/>
      <c r="SRG146" s="147"/>
      <c r="SRH146" s="147"/>
      <c r="SRI146" s="147"/>
      <c r="SRJ146" s="147"/>
      <c r="SRK146" s="147"/>
      <c r="SRL146" s="147"/>
      <c r="SRM146" s="147"/>
      <c r="SRN146" s="147"/>
      <c r="SRO146" s="147"/>
      <c r="SRP146" s="147"/>
      <c r="SRQ146" s="147"/>
      <c r="SRR146" s="147"/>
      <c r="SRS146" s="147"/>
      <c r="SRT146" s="147"/>
      <c r="SRU146" s="147"/>
      <c r="SRV146" s="147"/>
      <c r="SRW146" s="147"/>
      <c r="SRX146" s="147"/>
      <c r="SRY146" s="147"/>
      <c r="SRZ146" s="147"/>
      <c r="SSA146" s="147"/>
      <c r="SSB146" s="147"/>
      <c r="SSC146" s="147"/>
      <c r="SSD146" s="147"/>
      <c r="SSE146" s="147"/>
      <c r="SSF146" s="147"/>
      <c r="SSG146" s="147"/>
      <c r="SSH146" s="147"/>
      <c r="SSI146" s="147"/>
      <c r="SSJ146" s="147"/>
      <c r="SSK146" s="147"/>
      <c r="SSL146" s="147"/>
      <c r="SSM146" s="147"/>
      <c r="SSN146" s="147"/>
      <c r="SSO146" s="147"/>
      <c r="SSP146" s="147"/>
      <c r="SSQ146" s="147"/>
      <c r="SSR146" s="147"/>
      <c r="SSS146" s="147"/>
      <c r="SST146" s="147"/>
      <c r="SSU146" s="147"/>
      <c r="SSV146" s="147"/>
      <c r="SSW146" s="147"/>
      <c r="SSX146" s="147"/>
      <c r="SSY146" s="147"/>
      <c r="SSZ146" s="147"/>
      <c r="STA146" s="147"/>
      <c r="STB146" s="147"/>
      <c r="STC146" s="147"/>
      <c r="STD146" s="147"/>
      <c r="STE146" s="147"/>
      <c r="STF146" s="147"/>
      <c r="STG146" s="147"/>
      <c r="STH146" s="147"/>
      <c r="STI146" s="147"/>
      <c r="STJ146" s="147"/>
      <c r="STK146" s="147"/>
      <c r="STL146" s="147"/>
      <c r="STM146" s="147"/>
      <c r="STN146" s="147"/>
      <c r="STO146" s="147"/>
      <c r="STP146" s="147"/>
      <c r="STQ146" s="147"/>
      <c r="STR146" s="147"/>
      <c r="STS146" s="147"/>
      <c r="STT146" s="147"/>
      <c r="STU146" s="147"/>
      <c r="STV146" s="147"/>
      <c r="STW146" s="147"/>
      <c r="STX146" s="147"/>
      <c r="STY146" s="147"/>
      <c r="STZ146" s="147"/>
      <c r="SUA146" s="147"/>
      <c r="SUB146" s="147"/>
      <c r="SUC146" s="147"/>
      <c r="SUD146" s="147"/>
      <c r="SUE146" s="147"/>
      <c r="SUF146" s="147"/>
      <c r="SUG146" s="147"/>
      <c r="SUH146" s="147"/>
      <c r="SUI146" s="147"/>
      <c r="SUJ146" s="147"/>
      <c r="SUK146" s="147"/>
      <c r="SUL146" s="147"/>
      <c r="SUM146" s="147"/>
      <c r="SUN146" s="147"/>
      <c r="SUO146" s="147"/>
      <c r="SUP146" s="147"/>
      <c r="SUQ146" s="147"/>
      <c r="SUR146" s="147"/>
      <c r="SUS146" s="147"/>
      <c r="SUT146" s="147"/>
      <c r="SUU146" s="147"/>
      <c r="SUV146" s="147"/>
      <c r="SUW146" s="147"/>
      <c r="SUX146" s="147"/>
      <c r="SUY146" s="147"/>
      <c r="SUZ146" s="147"/>
      <c r="SVA146" s="147"/>
      <c r="SVB146" s="147"/>
      <c r="SVC146" s="147"/>
      <c r="SVD146" s="147"/>
      <c r="SVE146" s="147"/>
      <c r="SVF146" s="147"/>
      <c r="SVG146" s="147"/>
      <c r="SVH146" s="147"/>
      <c r="SVI146" s="147"/>
      <c r="SVJ146" s="147"/>
      <c r="SVK146" s="147"/>
      <c r="SVL146" s="147"/>
      <c r="SVM146" s="147"/>
      <c r="SVN146" s="147"/>
      <c r="SVO146" s="147"/>
      <c r="SVP146" s="147"/>
      <c r="SVQ146" s="147"/>
      <c r="SVR146" s="147"/>
      <c r="SVS146" s="147"/>
      <c r="SVT146" s="147"/>
      <c r="SVU146" s="147"/>
      <c r="SVV146" s="147"/>
      <c r="SVW146" s="147"/>
      <c r="SVX146" s="147"/>
      <c r="SVY146" s="147"/>
      <c r="SVZ146" s="147"/>
      <c r="SWA146" s="147"/>
      <c r="SWB146" s="147"/>
      <c r="SWC146" s="147"/>
      <c r="SWD146" s="147"/>
      <c r="SWE146" s="147"/>
      <c r="SWF146" s="147"/>
      <c r="SWG146" s="147"/>
      <c r="SWH146" s="147"/>
      <c r="SWI146" s="147"/>
      <c r="SWJ146" s="147"/>
      <c r="SWK146" s="147"/>
      <c r="SWL146" s="147"/>
      <c r="SWM146" s="147"/>
      <c r="SWN146" s="147"/>
      <c r="SWO146" s="147"/>
      <c r="SWP146" s="147"/>
      <c r="SWQ146" s="147"/>
      <c r="SWR146" s="147"/>
      <c r="SWS146" s="147"/>
      <c r="SWT146" s="147"/>
      <c r="SWU146" s="147"/>
      <c r="SWV146" s="147"/>
      <c r="SWW146" s="147"/>
      <c r="SWX146" s="147"/>
      <c r="SWY146" s="147"/>
      <c r="SWZ146" s="147"/>
      <c r="SXA146" s="147"/>
      <c r="SXB146" s="147"/>
      <c r="SXC146" s="147"/>
      <c r="SXD146" s="147"/>
      <c r="SXE146" s="147"/>
      <c r="SXF146" s="147"/>
      <c r="SXG146" s="147"/>
      <c r="SXH146" s="147"/>
      <c r="SXI146" s="147"/>
      <c r="SXJ146" s="147"/>
      <c r="SXK146" s="147"/>
      <c r="SXL146" s="147"/>
      <c r="SXM146" s="147"/>
      <c r="SXN146" s="147"/>
      <c r="SXO146" s="147"/>
      <c r="SXP146" s="147"/>
      <c r="SXQ146" s="147"/>
      <c r="SXR146" s="147"/>
      <c r="SXS146" s="147"/>
      <c r="SXT146" s="147"/>
      <c r="SXU146" s="147"/>
      <c r="SXV146" s="147"/>
      <c r="SXW146" s="147"/>
      <c r="SXX146" s="147"/>
      <c r="SXY146" s="147"/>
      <c r="SXZ146" s="147"/>
      <c r="SYA146" s="147"/>
      <c r="SYB146" s="147"/>
      <c r="SYC146" s="147"/>
      <c r="SYD146" s="147"/>
      <c r="SYE146" s="147"/>
      <c r="SYF146" s="147"/>
      <c r="SYG146" s="147"/>
      <c r="SYH146" s="147"/>
      <c r="SYI146" s="147"/>
      <c r="SYJ146" s="147"/>
      <c r="SYK146" s="147"/>
      <c r="SYL146" s="147"/>
      <c r="SYM146" s="147"/>
      <c r="SYN146" s="147"/>
      <c r="SYO146" s="147"/>
      <c r="SYP146" s="147"/>
      <c r="SYQ146" s="147"/>
      <c r="SYR146" s="147"/>
      <c r="SYS146" s="147"/>
      <c r="SYT146" s="147"/>
      <c r="SYU146" s="147"/>
      <c r="SYV146" s="147"/>
      <c r="SYW146" s="147"/>
      <c r="SYX146" s="147"/>
      <c r="SYY146" s="147"/>
      <c r="SYZ146" s="147"/>
      <c r="SZA146" s="147"/>
      <c r="SZB146" s="147"/>
      <c r="SZC146" s="147"/>
      <c r="SZD146" s="147"/>
      <c r="SZE146" s="147"/>
      <c r="SZF146" s="147"/>
      <c r="SZG146" s="147"/>
      <c r="SZH146" s="147"/>
      <c r="SZI146" s="147"/>
      <c r="SZJ146" s="147"/>
      <c r="SZK146" s="147"/>
      <c r="SZL146" s="147"/>
      <c r="SZM146" s="147"/>
      <c r="SZN146" s="147"/>
      <c r="SZO146" s="147"/>
      <c r="SZP146" s="147"/>
      <c r="SZQ146" s="147"/>
      <c r="SZR146" s="147"/>
      <c r="SZS146" s="147"/>
      <c r="SZT146" s="147"/>
      <c r="SZU146" s="147"/>
      <c r="SZV146" s="147"/>
      <c r="SZW146" s="147"/>
      <c r="SZX146" s="147"/>
      <c r="SZY146" s="147"/>
      <c r="SZZ146" s="147"/>
      <c r="TAA146" s="147"/>
      <c r="TAB146" s="147"/>
      <c r="TAC146" s="147"/>
      <c r="TAD146" s="147"/>
      <c r="TAE146" s="147"/>
      <c r="TAF146" s="147"/>
      <c r="TAG146" s="147"/>
      <c r="TAH146" s="147"/>
      <c r="TAI146" s="147"/>
      <c r="TAJ146" s="147"/>
      <c r="TAK146" s="147"/>
      <c r="TAL146" s="147"/>
      <c r="TAM146" s="147"/>
      <c r="TAN146" s="147"/>
      <c r="TAO146" s="147"/>
      <c r="TAP146" s="147"/>
      <c r="TAQ146" s="147"/>
      <c r="TAR146" s="147"/>
      <c r="TAS146" s="147"/>
      <c r="TAT146" s="147"/>
      <c r="TAU146" s="147"/>
      <c r="TAV146" s="147"/>
      <c r="TAW146" s="147"/>
      <c r="TAX146" s="147"/>
      <c r="TAY146" s="147"/>
      <c r="TAZ146" s="147"/>
      <c r="TBA146" s="147"/>
      <c r="TBB146" s="147"/>
      <c r="TBC146" s="147"/>
      <c r="TBD146" s="147"/>
      <c r="TBE146" s="147"/>
      <c r="TBF146" s="147"/>
      <c r="TBG146" s="147"/>
      <c r="TBH146" s="147"/>
      <c r="TBI146" s="147"/>
      <c r="TBJ146" s="147"/>
      <c r="TBK146" s="147"/>
      <c r="TBL146" s="147"/>
      <c r="TBM146" s="147"/>
      <c r="TBN146" s="147"/>
      <c r="TBO146" s="147"/>
      <c r="TBP146" s="147"/>
      <c r="TBQ146" s="147"/>
      <c r="TBR146" s="147"/>
      <c r="TBS146" s="147"/>
      <c r="TBT146" s="147"/>
      <c r="TBU146" s="147"/>
      <c r="TBV146" s="147"/>
      <c r="TBW146" s="147"/>
      <c r="TBX146" s="147"/>
      <c r="TBY146" s="147"/>
      <c r="TBZ146" s="147"/>
      <c r="TCA146" s="147"/>
      <c r="TCB146" s="147"/>
      <c r="TCC146" s="147"/>
      <c r="TCD146" s="147"/>
      <c r="TCE146" s="147"/>
      <c r="TCF146" s="147"/>
      <c r="TCG146" s="147"/>
      <c r="TCH146" s="147"/>
      <c r="TCI146" s="147"/>
      <c r="TCJ146" s="147"/>
      <c r="TCK146" s="147"/>
      <c r="TCL146" s="147"/>
      <c r="TCM146" s="147"/>
      <c r="TCN146" s="147"/>
      <c r="TCO146" s="147"/>
      <c r="TCP146" s="147"/>
      <c r="TCQ146" s="147"/>
      <c r="TCR146" s="147"/>
      <c r="TCS146" s="147"/>
      <c r="TCT146" s="147"/>
      <c r="TCU146" s="147"/>
      <c r="TCV146" s="147"/>
      <c r="TCW146" s="147"/>
      <c r="TCX146" s="147"/>
      <c r="TCY146" s="147"/>
      <c r="TCZ146" s="147"/>
      <c r="TDA146" s="147"/>
      <c r="TDB146" s="147"/>
      <c r="TDC146" s="147"/>
      <c r="TDD146" s="147"/>
      <c r="TDE146" s="147"/>
      <c r="TDF146" s="147"/>
      <c r="TDG146" s="147"/>
      <c r="TDH146" s="147"/>
      <c r="TDI146" s="147"/>
      <c r="TDJ146" s="147"/>
      <c r="TDK146" s="147"/>
      <c r="TDL146" s="147"/>
      <c r="TDM146" s="147"/>
      <c r="TDN146" s="147"/>
      <c r="TDO146" s="147"/>
      <c r="TDP146" s="147"/>
      <c r="TDQ146" s="147"/>
      <c r="TDR146" s="147"/>
      <c r="TDS146" s="147"/>
      <c r="TDT146" s="147"/>
      <c r="TDU146" s="147"/>
      <c r="TDV146" s="147"/>
      <c r="TDW146" s="147"/>
      <c r="TDX146" s="147"/>
      <c r="TDY146" s="147"/>
      <c r="TDZ146" s="147"/>
      <c r="TEA146" s="147"/>
      <c r="TEB146" s="147"/>
      <c r="TEC146" s="147"/>
      <c r="TED146" s="147"/>
      <c r="TEE146" s="147"/>
      <c r="TEF146" s="147"/>
      <c r="TEG146" s="147"/>
      <c r="TEH146" s="147"/>
      <c r="TEI146" s="147"/>
      <c r="TEJ146" s="147"/>
      <c r="TEK146" s="147"/>
      <c r="TEL146" s="147"/>
      <c r="TEM146" s="147"/>
      <c r="TEN146" s="147"/>
      <c r="TEO146" s="147"/>
      <c r="TEP146" s="147"/>
      <c r="TEQ146" s="147"/>
      <c r="TER146" s="147"/>
      <c r="TES146" s="147"/>
      <c r="TET146" s="147"/>
      <c r="TEU146" s="147"/>
      <c r="TEV146" s="147"/>
      <c r="TEW146" s="147"/>
      <c r="TEX146" s="147"/>
      <c r="TEY146" s="147"/>
      <c r="TEZ146" s="147"/>
      <c r="TFA146" s="147"/>
      <c r="TFB146" s="147"/>
      <c r="TFC146" s="147"/>
      <c r="TFD146" s="147"/>
      <c r="TFE146" s="147"/>
      <c r="TFF146" s="147"/>
      <c r="TFG146" s="147"/>
      <c r="TFH146" s="147"/>
      <c r="TFI146" s="147"/>
      <c r="TFJ146" s="147"/>
      <c r="TFK146" s="147"/>
      <c r="TFL146" s="147"/>
      <c r="TFM146" s="147"/>
      <c r="TFN146" s="147"/>
      <c r="TFO146" s="147"/>
      <c r="TFP146" s="147"/>
      <c r="TFQ146" s="147"/>
      <c r="TFR146" s="147"/>
      <c r="TFS146" s="147"/>
      <c r="TFT146" s="147"/>
      <c r="TFU146" s="147"/>
      <c r="TFV146" s="147"/>
      <c r="TFW146" s="147"/>
      <c r="TFX146" s="147"/>
      <c r="TFY146" s="147"/>
      <c r="TFZ146" s="147"/>
      <c r="TGA146" s="147"/>
      <c r="TGB146" s="147"/>
      <c r="TGC146" s="147"/>
      <c r="TGD146" s="147"/>
      <c r="TGE146" s="147"/>
      <c r="TGF146" s="147"/>
      <c r="TGG146" s="147"/>
      <c r="TGH146" s="147"/>
      <c r="TGI146" s="147"/>
      <c r="TGJ146" s="147"/>
      <c r="TGK146" s="147"/>
      <c r="TGL146" s="147"/>
      <c r="TGM146" s="147"/>
      <c r="TGN146" s="147"/>
      <c r="TGO146" s="147"/>
      <c r="TGP146" s="147"/>
      <c r="TGQ146" s="147"/>
      <c r="TGR146" s="147"/>
      <c r="TGS146" s="147"/>
      <c r="TGT146" s="147"/>
      <c r="TGU146" s="147"/>
      <c r="TGV146" s="147"/>
      <c r="TGW146" s="147"/>
      <c r="TGX146" s="147"/>
      <c r="TGY146" s="147"/>
      <c r="TGZ146" s="147"/>
      <c r="THA146" s="147"/>
      <c r="THB146" s="147"/>
      <c r="THC146" s="147"/>
      <c r="THD146" s="147"/>
      <c r="THE146" s="147"/>
      <c r="THF146" s="147"/>
      <c r="THG146" s="147"/>
      <c r="THH146" s="147"/>
      <c r="THI146" s="147"/>
      <c r="THJ146" s="147"/>
      <c r="THK146" s="147"/>
      <c r="THL146" s="147"/>
      <c r="THM146" s="147"/>
      <c r="THN146" s="147"/>
      <c r="THO146" s="147"/>
      <c r="THP146" s="147"/>
      <c r="THQ146" s="147"/>
      <c r="THR146" s="147"/>
      <c r="THS146" s="147"/>
      <c r="THT146" s="147"/>
      <c r="THU146" s="147"/>
      <c r="THV146" s="147"/>
      <c r="THW146" s="147"/>
      <c r="THX146" s="147"/>
      <c r="THY146" s="147"/>
      <c r="THZ146" s="147"/>
      <c r="TIA146" s="147"/>
      <c r="TIB146" s="147"/>
      <c r="TIC146" s="147"/>
      <c r="TID146" s="147"/>
      <c r="TIE146" s="147"/>
      <c r="TIF146" s="147"/>
      <c r="TIG146" s="147"/>
      <c r="TIH146" s="147"/>
      <c r="TII146" s="147"/>
      <c r="TIJ146" s="147"/>
      <c r="TIK146" s="147"/>
      <c r="TIL146" s="147"/>
      <c r="TIM146" s="147"/>
      <c r="TIN146" s="147"/>
      <c r="TIO146" s="147"/>
      <c r="TIP146" s="147"/>
      <c r="TIQ146" s="147"/>
      <c r="TIR146" s="147"/>
      <c r="TIS146" s="147"/>
      <c r="TIT146" s="147"/>
      <c r="TIU146" s="147"/>
      <c r="TIV146" s="147"/>
      <c r="TIW146" s="147"/>
      <c r="TIX146" s="147"/>
      <c r="TIY146" s="147"/>
      <c r="TIZ146" s="147"/>
      <c r="TJA146" s="147"/>
      <c r="TJB146" s="147"/>
      <c r="TJC146" s="147"/>
      <c r="TJD146" s="147"/>
      <c r="TJE146" s="147"/>
      <c r="TJF146" s="147"/>
      <c r="TJG146" s="147"/>
      <c r="TJH146" s="147"/>
      <c r="TJI146" s="147"/>
      <c r="TJJ146" s="147"/>
      <c r="TJK146" s="147"/>
      <c r="TJL146" s="147"/>
      <c r="TJM146" s="147"/>
      <c r="TJN146" s="147"/>
      <c r="TJO146" s="147"/>
      <c r="TJP146" s="147"/>
      <c r="TJQ146" s="147"/>
      <c r="TJR146" s="147"/>
      <c r="TJS146" s="147"/>
      <c r="TJT146" s="147"/>
      <c r="TJU146" s="147"/>
      <c r="TJV146" s="147"/>
      <c r="TJW146" s="147"/>
      <c r="TJX146" s="147"/>
      <c r="TJY146" s="147"/>
      <c r="TJZ146" s="147"/>
      <c r="TKA146" s="147"/>
      <c r="TKB146" s="147"/>
      <c r="TKC146" s="147"/>
      <c r="TKD146" s="147"/>
      <c r="TKE146" s="147"/>
      <c r="TKF146" s="147"/>
      <c r="TKG146" s="147"/>
      <c r="TKH146" s="147"/>
      <c r="TKI146" s="147"/>
      <c r="TKJ146" s="147"/>
      <c r="TKK146" s="147"/>
      <c r="TKL146" s="147"/>
      <c r="TKM146" s="147"/>
      <c r="TKN146" s="147"/>
      <c r="TKO146" s="147"/>
      <c r="TKP146" s="147"/>
      <c r="TKQ146" s="147"/>
      <c r="TKR146" s="147"/>
      <c r="TKS146" s="147"/>
      <c r="TKT146" s="147"/>
      <c r="TKU146" s="147"/>
      <c r="TKV146" s="147"/>
      <c r="TKW146" s="147"/>
      <c r="TKX146" s="147"/>
      <c r="TKY146" s="147"/>
      <c r="TKZ146" s="147"/>
      <c r="TLA146" s="147"/>
      <c r="TLB146" s="147"/>
      <c r="TLC146" s="147"/>
      <c r="TLD146" s="147"/>
      <c r="TLE146" s="147"/>
      <c r="TLF146" s="147"/>
      <c r="TLG146" s="147"/>
      <c r="TLH146" s="147"/>
      <c r="TLI146" s="147"/>
      <c r="TLJ146" s="147"/>
      <c r="TLK146" s="147"/>
      <c r="TLL146" s="147"/>
      <c r="TLM146" s="147"/>
      <c r="TLN146" s="147"/>
      <c r="TLO146" s="147"/>
      <c r="TLP146" s="147"/>
      <c r="TLQ146" s="147"/>
      <c r="TLR146" s="147"/>
      <c r="TLS146" s="147"/>
      <c r="TLT146" s="147"/>
      <c r="TLU146" s="147"/>
      <c r="TLV146" s="147"/>
      <c r="TLW146" s="147"/>
      <c r="TLX146" s="147"/>
      <c r="TLY146" s="147"/>
      <c r="TLZ146" s="147"/>
      <c r="TMA146" s="147"/>
      <c r="TMB146" s="147"/>
      <c r="TMC146" s="147"/>
      <c r="TMD146" s="147"/>
      <c r="TME146" s="147"/>
      <c r="TMF146" s="147"/>
      <c r="TMG146" s="147"/>
      <c r="TMH146" s="147"/>
      <c r="TMI146" s="147"/>
      <c r="TMJ146" s="147"/>
      <c r="TMK146" s="147"/>
      <c r="TML146" s="147"/>
      <c r="TMM146" s="147"/>
      <c r="TMN146" s="147"/>
      <c r="TMO146" s="147"/>
      <c r="TMP146" s="147"/>
      <c r="TMQ146" s="147"/>
      <c r="TMR146" s="147"/>
      <c r="TMS146" s="147"/>
      <c r="TMT146" s="147"/>
      <c r="TMU146" s="147"/>
      <c r="TMV146" s="147"/>
      <c r="TMW146" s="147"/>
      <c r="TMX146" s="147"/>
      <c r="TMY146" s="147"/>
      <c r="TMZ146" s="147"/>
      <c r="TNA146" s="147"/>
      <c r="TNB146" s="147"/>
      <c r="TNC146" s="147"/>
      <c r="TND146" s="147"/>
      <c r="TNE146" s="147"/>
      <c r="TNF146" s="147"/>
      <c r="TNG146" s="147"/>
      <c r="TNH146" s="147"/>
      <c r="TNI146" s="147"/>
      <c r="TNJ146" s="147"/>
      <c r="TNK146" s="147"/>
      <c r="TNL146" s="147"/>
      <c r="TNM146" s="147"/>
      <c r="TNN146" s="147"/>
      <c r="TNO146" s="147"/>
      <c r="TNP146" s="147"/>
      <c r="TNQ146" s="147"/>
      <c r="TNR146" s="147"/>
      <c r="TNS146" s="147"/>
      <c r="TNT146" s="147"/>
      <c r="TNU146" s="147"/>
      <c r="TNV146" s="147"/>
      <c r="TNW146" s="147"/>
      <c r="TNX146" s="147"/>
      <c r="TNY146" s="147"/>
      <c r="TNZ146" s="147"/>
      <c r="TOA146" s="147"/>
      <c r="TOB146" s="147"/>
      <c r="TOC146" s="147"/>
      <c r="TOD146" s="147"/>
      <c r="TOE146" s="147"/>
      <c r="TOF146" s="147"/>
      <c r="TOG146" s="147"/>
      <c r="TOH146" s="147"/>
      <c r="TOI146" s="147"/>
      <c r="TOJ146" s="147"/>
      <c r="TOK146" s="147"/>
      <c r="TOL146" s="147"/>
      <c r="TOM146" s="147"/>
      <c r="TON146" s="147"/>
      <c r="TOO146" s="147"/>
      <c r="TOP146" s="147"/>
      <c r="TOQ146" s="147"/>
      <c r="TOR146" s="147"/>
      <c r="TOS146" s="147"/>
      <c r="TOT146" s="147"/>
      <c r="TOU146" s="147"/>
      <c r="TOV146" s="147"/>
      <c r="TOW146" s="147"/>
      <c r="TOX146" s="147"/>
      <c r="TOY146" s="147"/>
      <c r="TOZ146" s="147"/>
      <c r="TPA146" s="147"/>
      <c r="TPB146" s="147"/>
      <c r="TPC146" s="147"/>
      <c r="TPD146" s="147"/>
      <c r="TPE146" s="147"/>
      <c r="TPF146" s="147"/>
      <c r="TPG146" s="147"/>
      <c r="TPH146" s="147"/>
      <c r="TPI146" s="147"/>
      <c r="TPJ146" s="147"/>
      <c r="TPK146" s="147"/>
      <c r="TPL146" s="147"/>
      <c r="TPM146" s="147"/>
      <c r="TPN146" s="147"/>
      <c r="TPO146" s="147"/>
      <c r="TPP146" s="147"/>
      <c r="TPQ146" s="147"/>
      <c r="TPR146" s="147"/>
      <c r="TPS146" s="147"/>
      <c r="TPT146" s="147"/>
      <c r="TPU146" s="147"/>
      <c r="TPV146" s="147"/>
      <c r="TPW146" s="147"/>
      <c r="TPX146" s="147"/>
      <c r="TPY146" s="147"/>
      <c r="TPZ146" s="147"/>
      <c r="TQA146" s="147"/>
      <c r="TQB146" s="147"/>
      <c r="TQC146" s="147"/>
      <c r="TQD146" s="147"/>
      <c r="TQE146" s="147"/>
      <c r="TQF146" s="147"/>
      <c r="TQG146" s="147"/>
      <c r="TQH146" s="147"/>
      <c r="TQI146" s="147"/>
      <c r="TQJ146" s="147"/>
      <c r="TQK146" s="147"/>
      <c r="TQL146" s="147"/>
      <c r="TQM146" s="147"/>
      <c r="TQN146" s="147"/>
      <c r="TQO146" s="147"/>
      <c r="TQP146" s="147"/>
      <c r="TQQ146" s="147"/>
      <c r="TQR146" s="147"/>
      <c r="TQS146" s="147"/>
      <c r="TQT146" s="147"/>
      <c r="TQU146" s="147"/>
      <c r="TQV146" s="147"/>
      <c r="TQW146" s="147"/>
      <c r="TQX146" s="147"/>
      <c r="TQY146" s="147"/>
      <c r="TQZ146" s="147"/>
      <c r="TRA146" s="147"/>
      <c r="TRB146" s="147"/>
      <c r="TRC146" s="147"/>
      <c r="TRD146" s="147"/>
      <c r="TRE146" s="147"/>
      <c r="TRF146" s="147"/>
      <c r="TRG146" s="147"/>
      <c r="TRH146" s="147"/>
      <c r="TRI146" s="147"/>
      <c r="TRJ146" s="147"/>
      <c r="TRK146" s="147"/>
      <c r="TRL146" s="147"/>
      <c r="TRM146" s="147"/>
      <c r="TRN146" s="147"/>
      <c r="TRO146" s="147"/>
      <c r="TRP146" s="147"/>
      <c r="TRQ146" s="147"/>
      <c r="TRR146" s="147"/>
      <c r="TRS146" s="147"/>
      <c r="TRT146" s="147"/>
      <c r="TRU146" s="147"/>
      <c r="TRV146" s="147"/>
      <c r="TRW146" s="147"/>
      <c r="TRX146" s="147"/>
      <c r="TRY146" s="147"/>
      <c r="TRZ146" s="147"/>
      <c r="TSA146" s="147"/>
      <c r="TSB146" s="147"/>
      <c r="TSC146" s="147"/>
      <c r="TSD146" s="147"/>
      <c r="TSE146" s="147"/>
      <c r="TSF146" s="147"/>
      <c r="TSG146" s="147"/>
      <c r="TSH146" s="147"/>
      <c r="TSI146" s="147"/>
      <c r="TSJ146" s="147"/>
      <c r="TSK146" s="147"/>
      <c r="TSL146" s="147"/>
      <c r="TSM146" s="147"/>
      <c r="TSN146" s="147"/>
      <c r="TSO146" s="147"/>
      <c r="TSP146" s="147"/>
      <c r="TSQ146" s="147"/>
      <c r="TSR146" s="147"/>
      <c r="TSS146" s="147"/>
      <c r="TST146" s="147"/>
      <c r="TSU146" s="147"/>
      <c r="TSV146" s="147"/>
      <c r="TSW146" s="147"/>
      <c r="TSX146" s="147"/>
      <c r="TSY146" s="147"/>
      <c r="TSZ146" s="147"/>
      <c r="TTA146" s="147"/>
      <c r="TTB146" s="147"/>
      <c r="TTC146" s="147"/>
      <c r="TTD146" s="147"/>
      <c r="TTE146" s="147"/>
      <c r="TTF146" s="147"/>
      <c r="TTG146" s="147"/>
      <c r="TTH146" s="147"/>
      <c r="TTI146" s="147"/>
      <c r="TTJ146" s="147"/>
      <c r="TTK146" s="147"/>
      <c r="TTL146" s="147"/>
      <c r="TTM146" s="147"/>
      <c r="TTN146" s="147"/>
      <c r="TTO146" s="147"/>
      <c r="TTP146" s="147"/>
      <c r="TTQ146" s="147"/>
      <c r="TTR146" s="147"/>
      <c r="TTS146" s="147"/>
      <c r="TTT146" s="147"/>
      <c r="TTU146" s="147"/>
      <c r="TTV146" s="147"/>
      <c r="TTW146" s="147"/>
      <c r="TTX146" s="147"/>
      <c r="TTY146" s="147"/>
      <c r="TTZ146" s="147"/>
      <c r="TUA146" s="147"/>
      <c r="TUB146" s="147"/>
      <c r="TUC146" s="147"/>
      <c r="TUD146" s="147"/>
      <c r="TUE146" s="147"/>
      <c r="TUF146" s="147"/>
      <c r="TUG146" s="147"/>
      <c r="TUH146" s="147"/>
      <c r="TUI146" s="147"/>
      <c r="TUJ146" s="147"/>
      <c r="TUK146" s="147"/>
      <c r="TUL146" s="147"/>
      <c r="TUM146" s="147"/>
      <c r="TUN146" s="147"/>
      <c r="TUO146" s="147"/>
      <c r="TUP146" s="147"/>
      <c r="TUQ146" s="147"/>
      <c r="TUR146" s="147"/>
      <c r="TUS146" s="147"/>
      <c r="TUT146" s="147"/>
      <c r="TUU146" s="147"/>
      <c r="TUV146" s="147"/>
      <c r="TUW146" s="147"/>
      <c r="TUX146" s="147"/>
      <c r="TUY146" s="147"/>
      <c r="TUZ146" s="147"/>
      <c r="TVA146" s="147"/>
      <c r="TVB146" s="147"/>
      <c r="TVC146" s="147"/>
      <c r="TVD146" s="147"/>
      <c r="TVE146" s="147"/>
      <c r="TVF146" s="147"/>
      <c r="TVG146" s="147"/>
      <c r="TVH146" s="147"/>
      <c r="TVI146" s="147"/>
      <c r="TVJ146" s="147"/>
      <c r="TVK146" s="147"/>
      <c r="TVL146" s="147"/>
      <c r="TVM146" s="147"/>
      <c r="TVN146" s="147"/>
      <c r="TVO146" s="147"/>
      <c r="TVP146" s="147"/>
      <c r="TVQ146" s="147"/>
      <c r="TVR146" s="147"/>
      <c r="TVS146" s="147"/>
      <c r="TVT146" s="147"/>
      <c r="TVU146" s="147"/>
      <c r="TVV146" s="147"/>
      <c r="TVW146" s="147"/>
      <c r="TVX146" s="147"/>
      <c r="TVY146" s="147"/>
      <c r="TVZ146" s="147"/>
      <c r="TWA146" s="147"/>
      <c r="TWB146" s="147"/>
      <c r="TWC146" s="147"/>
      <c r="TWD146" s="147"/>
      <c r="TWE146" s="147"/>
      <c r="TWF146" s="147"/>
      <c r="TWG146" s="147"/>
      <c r="TWH146" s="147"/>
      <c r="TWI146" s="147"/>
      <c r="TWJ146" s="147"/>
      <c r="TWK146" s="147"/>
      <c r="TWL146" s="147"/>
      <c r="TWM146" s="147"/>
      <c r="TWN146" s="147"/>
      <c r="TWO146" s="147"/>
      <c r="TWP146" s="147"/>
      <c r="TWQ146" s="147"/>
      <c r="TWR146" s="147"/>
      <c r="TWS146" s="147"/>
      <c r="TWT146" s="147"/>
      <c r="TWU146" s="147"/>
      <c r="TWV146" s="147"/>
      <c r="TWW146" s="147"/>
      <c r="TWX146" s="147"/>
      <c r="TWY146" s="147"/>
      <c r="TWZ146" s="147"/>
      <c r="TXA146" s="147"/>
      <c r="TXB146" s="147"/>
      <c r="TXC146" s="147"/>
      <c r="TXD146" s="147"/>
      <c r="TXE146" s="147"/>
      <c r="TXF146" s="147"/>
      <c r="TXG146" s="147"/>
      <c r="TXH146" s="147"/>
      <c r="TXI146" s="147"/>
      <c r="TXJ146" s="147"/>
      <c r="TXK146" s="147"/>
      <c r="TXL146" s="147"/>
      <c r="TXM146" s="147"/>
      <c r="TXN146" s="147"/>
      <c r="TXO146" s="147"/>
      <c r="TXP146" s="147"/>
      <c r="TXQ146" s="147"/>
      <c r="TXR146" s="147"/>
      <c r="TXS146" s="147"/>
      <c r="TXT146" s="147"/>
      <c r="TXU146" s="147"/>
      <c r="TXV146" s="147"/>
      <c r="TXW146" s="147"/>
      <c r="TXX146" s="147"/>
      <c r="TXY146" s="147"/>
      <c r="TXZ146" s="147"/>
      <c r="TYA146" s="147"/>
      <c r="TYB146" s="147"/>
      <c r="TYC146" s="147"/>
      <c r="TYD146" s="147"/>
      <c r="TYE146" s="147"/>
      <c r="TYF146" s="147"/>
      <c r="TYG146" s="147"/>
      <c r="TYH146" s="147"/>
      <c r="TYI146" s="147"/>
      <c r="TYJ146" s="147"/>
      <c r="TYK146" s="147"/>
      <c r="TYL146" s="147"/>
      <c r="TYM146" s="147"/>
      <c r="TYN146" s="147"/>
      <c r="TYO146" s="147"/>
      <c r="TYP146" s="147"/>
      <c r="TYQ146" s="147"/>
      <c r="TYR146" s="147"/>
      <c r="TYS146" s="147"/>
      <c r="TYT146" s="147"/>
      <c r="TYU146" s="147"/>
      <c r="TYV146" s="147"/>
      <c r="TYW146" s="147"/>
      <c r="TYX146" s="147"/>
      <c r="TYY146" s="147"/>
      <c r="TYZ146" s="147"/>
      <c r="TZA146" s="147"/>
      <c r="TZB146" s="147"/>
      <c r="TZC146" s="147"/>
      <c r="TZD146" s="147"/>
      <c r="TZE146" s="147"/>
      <c r="TZF146" s="147"/>
      <c r="TZG146" s="147"/>
      <c r="TZH146" s="147"/>
      <c r="TZI146" s="147"/>
      <c r="TZJ146" s="147"/>
      <c r="TZK146" s="147"/>
      <c r="TZL146" s="147"/>
      <c r="TZM146" s="147"/>
      <c r="TZN146" s="147"/>
      <c r="TZO146" s="147"/>
      <c r="TZP146" s="147"/>
      <c r="TZQ146" s="147"/>
      <c r="TZR146" s="147"/>
      <c r="TZS146" s="147"/>
      <c r="TZT146" s="147"/>
      <c r="TZU146" s="147"/>
      <c r="TZV146" s="147"/>
      <c r="TZW146" s="147"/>
      <c r="TZX146" s="147"/>
      <c r="TZY146" s="147"/>
      <c r="TZZ146" s="147"/>
      <c r="UAA146" s="147"/>
      <c r="UAB146" s="147"/>
      <c r="UAC146" s="147"/>
      <c r="UAD146" s="147"/>
      <c r="UAE146" s="147"/>
      <c r="UAF146" s="147"/>
      <c r="UAG146" s="147"/>
      <c r="UAH146" s="147"/>
      <c r="UAI146" s="147"/>
      <c r="UAJ146" s="147"/>
      <c r="UAK146" s="147"/>
      <c r="UAL146" s="147"/>
      <c r="UAM146" s="147"/>
      <c r="UAN146" s="147"/>
      <c r="UAO146" s="147"/>
      <c r="UAP146" s="147"/>
      <c r="UAQ146" s="147"/>
      <c r="UAR146" s="147"/>
      <c r="UAS146" s="147"/>
      <c r="UAT146" s="147"/>
      <c r="UAU146" s="147"/>
      <c r="UAV146" s="147"/>
      <c r="UAW146" s="147"/>
      <c r="UAX146" s="147"/>
      <c r="UAY146" s="147"/>
      <c r="UAZ146" s="147"/>
      <c r="UBA146" s="147"/>
      <c r="UBB146" s="147"/>
      <c r="UBC146" s="147"/>
      <c r="UBD146" s="147"/>
      <c r="UBE146" s="147"/>
      <c r="UBF146" s="147"/>
      <c r="UBG146" s="147"/>
      <c r="UBH146" s="147"/>
      <c r="UBI146" s="147"/>
      <c r="UBJ146" s="147"/>
      <c r="UBK146" s="147"/>
      <c r="UBL146" s="147"/>
      <c r="UBM146" s="147"/>
      <c r="UBN146" s="147"/>
      <c r="UBO146" s="147"/>
      <c r="UBP146" s="147"/>
      <c r="UBQ146" s="147"/>
      <c r="UBR146" s="147"/>
      <c r="UBS146" s="147"/>
      <c r="UBT146" s="147"/>
      <c r="UBU146" s="147"/>
      <c r="UBV146" s="147"/>
      <c r="UBW146" s="147"/>
      <c r="UBX146" s="147"/>
      <c r="UBY146" s="147"/>
      <c r="UBZ146" s="147"/>
      <c r="UCA146" s="147"/>
      <c r="UCB146" s="147"/>
      <c r="UCC146" s="147"/>
      <c r="UCD146" s="147"/>
      <c r="UCE146" s="147"/>
      <c r="UCF146" s="147"/>
      <c r="UCG146" s="147"/>
      <c r="UCH146" s="147"/>
      <c r="UCI146" s="147"/>
      <c r="UCJ146" s="147"/>
      <c r="UCK146" s="147"/>
      <c r="UCL146" s="147"/>
      <c r="UCM146" s="147"/>
      <c r="UCN146" s="147"/>
      <c r="UCO146" s="147"/>
      <c r="UCP146" s="147"/>
      <c r="UCQ146" s="147"/>
      <c r="UCR146" s="147"/>
      <c r="UCS146" s="147"/>
      <c r="UCT146" s="147"/>
      <c r="UCU146" s="147"/>
      <c r="UCV146" s="147"/>
      <c r="UCW146" s="147"/>
      <c r="UCX146" s="147"/>
      <c r="UCY146" s="147"/>
      <c r="UCZ146" s="147"/>
      <c r="UDA146" s="147"/>
      <c r="UDB146" s="147"/>
      <c r="UDC146" s="147"/>
      <c r="UDD146" s="147"/>
      <c r="UDE146" s="147"/>
      <c r="UDF146" s="147"/>
      <c r="UDG146" s="147"/>
      <c r="UDH146" s="147"/>
      <c r="UDI146" s="147"/>
      <c r="UDJ146" s="147"/>
      <c r="UDK146" s="147"/>
      <c r="UDL146" s="147"/>
      <c r="UDM146" s="147"/>
      <c r="UDN146" s="147"/>
      <c r="UDO146" s="147"/>
      <c r="UDP146" s="147"/>
      <c r="UDQ146" s="147"/>
      <c r="UDR146" s="147"/>
      <c r="UDS146" s="147"/>
      <c r="UDT146" s="147"/>
      <c r="UDU146" s="147"/>
      <c r="UDV146" s="147"/>
      <c r="UDW146" s="147"/>
      <c r="UDX146" s="147"/>
      <c r="UDY146" s="147"/>
      <c r="UDZ146" s="147"/>
      <c r="UEA146" s="147"/>
      <c r="UEB146" s="147"/>
      <c r="UEC146" s="147"/>
      <c r="UED146" s="147"/>
      <c r="UEE146" s="147"/>
      <c r="UEF146" s="147"/>
      <c r="UEG146" s="147"/>
      <c r="UEH146" s="147"/>
      <c r="UEI146" s="147"/>
      <c r="UEJ146" s="147"/>
      <c r="UEK146" s="147"/>
      <c r="UEL146" s="147"/>
      <c r="UEM146" s="147"/>
      <c r="UEN146" s="147"/>
      <c r="UEO146" s="147"/>
      <c r="UEP146" s="147"/>
      <c r="UEQ146" s="147"/>
      <c r="UER146" s="147"/>
      <c r="UES146" s="147"/>
      <c r="UET146" s="147"/>
      <c r="UEU146" s="147"/>
      <c r="UEV146" s="147"/>
      <c r="UEW146" s="147"/>
      <c r="UEX146" s="147"/>
      <c r="UEY146" s="147"/>
      <c r="UEZ146" s="147"/>
      <c r="UFA146" s="147"/>
      <c r="UFB146" s="147"/>
      <c r="UFC146" s="147"/>
      <c r="UFD146" s="147"/>
      <c r="UFE146" s="147"/>
      <c r="UFF146" s="147"/>
      <c r="UFG146" s="147"/>
      <c r="UFH146" s="147"/>
      <c r="UFI146" s="147"/>
      <c r="UFJ146" s="147"/>
      <c r="UFK146" s="147"/>
      <c r="UFL146" s="147"/>
      <c r="UFM146" s="147"/>
      <c r="UFN146" s="147"/>
      <c r="UFO146" s="147"/>
      <c r="UFP146" s="147"/>
      <c r="UFQ146" s="147"/>
      <c r="UFR146" s="147"/>
      <c r="UFS146" s="147"/>
      <c r="UFT146" s="147"/>
      <c r="UFU146" s="147"/>
      <c r="UFV146" s="147"/>
      <c r="UFW146" s="147"/>
      <c r="UFX146" s="147"/>
      <c r="UFY146" s="147"/>
      <c r="UFZ146" s="147"/>
      <c r="UGA146" s="147"/>
      <c r="UGB146" s="147"/>
      <c r="UGC146" s="147"/>
      <c r="UGD146" s="147"/>
      <c r="UGE146" s="147"/>
      <c r="UGF146" s="147"/>
      <c r="UGG146" s="147"/>
      <c r="UGH146" s="147"/>
      <c r="UGI146" s="147"/>
      <c r="UGJ146" s="147"/>
      <c r="UGK146" s="147"/>
      <c r="UGL146" s="147"/>
      <c r="UGM146" s="147"/>
      <c r="UGN146" s="147"/>
      <c r="UGO146" s="147"/>
      <c r="UGP146" s="147"/>
      <c r="UGQ146" s="147"/>
      <c r="UGR146" s="147"/>
      <c r="UGS146" s="147"/>
      <c r="UGT146" s="147"/>
      <c r="UGU146" s="147"/>
      <c r="UGV146" s="147"/>
      <c r="UGW146" s="147"/>
      <c r="UGX146" s="147"/>
      <c r="UGY146" s="147"/>
      <c r="UGZ146" s="147"/>
      <c r="UHA146" s="147"/>
      <c r="UHB146" s="147"/>
      <c r="UHC146" s="147"/>
      <c r="UHD146" s="147"/>
      <c r="UHE146" s="147"/>
      <c r="UHF146" s="147"/>
      <c r="UHG146" s="147"/>
      <c r="UHH146" s="147"/>
      <c r="UHI146" s="147"/>
      <c r="UHJ146" s="147"/>
      <c r="UHK146" s="147"/>
      <c r="UHL146" s="147"/>
      <c r="UHM146" s="147"/>
      <c r="UHN146" s="147"/>
      <c r="UHO146" s="147"/>
      <c r="UHP146" s="147"/>
      <c r="UHQ146" s="147"/>
      <c r="UHR146" s="147"/>
      <c r="UHS146" s="147"/>
      <c r="UHT146" s="147"/>
      <c r="UHU146" s="147"/>
      <c r="UHV146" s="147"/>
      <c r="UHW146" s="147"/>
      <c r="UHX146" s="147"/>
      <c r="UHY146" s="147"/>
      <c r="UHZ146" s="147"/>
      <c r="UIA146" s="147"/>
      <c r="UIB146" s="147"/>
      <c r="UIC146" s="147"/>
      <c r="UID146" s="147"/>
      <c r="UIE146" s="147"/>
      <c r="UIF146" s="147"/>
      <c r="UIG146" s="147"/>
      <c r="UIH146" s="147"/>
      <c r="UII146" s="147"/>
      <c r="UIJ146" s="147"/>
      <c r="UIK146" s="147"/>
      <c r="UIL146" s="147"/>
      <c r="UIM146" s="147"/>
      <c r="UIN146" s="147"/>
      <c r="UIO146" s="147"/>
      <c r="UIP146" s="147"/>
      <c r="UIQ146" s="147"/>
      <c r="UIR146" s="147"/>
      <c r="UIS146" s="147"/>
      <c r="UIT146" s="147"/>
      <c r="UIU146" s="147"/>
      <c r="UIV146" s="147"/>
      <c r="UIW146" s="147"/>
      <c r="UIX146" s="147"/>
      <c r="UIY146" s="147"/>
      <c r="UIZ146" s="147"/>
      <c r="UJA146" s="147"/>
      <c r="UJB146" s="147"/>
      <c r="UJC146" s="147"/>
      <c r="UJD146" s="147"/>
      <c r="UJE146" s="147"/>
      <c r="UJF146" s="147"/>
      <c r="UJG146" s="147"/>
      <c r="UJH146" s="147"/>
      <c r="UJI146" s="147"/>
      <c r="UJJ146" s="147"/>
      <c r="UJK146" s="147"/>
      <c r="UJL146" s="147"/>
      <c r="UJM146" s="147"/>
      <c r="UJN146" s="147"/>
      <c r="UJO146" s="147"/>
      <c r="UJP146" s="147"/>
      <c r="UJQ146" s="147"/>
      <c r="UJR146" s="147"/>
      <c r="UJS146" s="147"/>
      <c r="UJT146" s="147"/>
      <c r="UJU146" s="147"/>
      <c r="UJV146" s="147"/>
      <c r="UJW146" s="147"/>
      <c r="UJX146" s="147"/>
      <c r="UJY146" s="147"/>
      <c r="UJZ146" s="147"/>
      <c r="UKA146" s="147"/>
      <c r="UKB146" s="147"/>
      <c r="UKC146" s="147"/>
      <c r="UKD146" s="147"/>
      <c r="UKE146" s="147"/>
      <c r="UKF146" s="147"/>
      <c r="UKG146" s="147"/>
      <c r="UKH146" s="147"/>
      <c r="UKI146" s="147"/>
      <c r="UKJ146" s="147"/>
      <c r="UKK146" s="147"/>
      <c r="UKL146" s="147"/>
      <c r="UKM146" s="147"/>
      <c r="UKN146" s="147"/>
      <c r="UKO146" s="147"/>
      <c r="UKP146" s="147"/>
      <c r="UKQ146" s="147"/>
      <c r="UKR146" s="147"/>
      <c r="UKS146" s="147"/>
      <c r="UKT146" s="147"/>
      <c r="UKU146" s="147"/>
      <c r="UKV146" s="147"/>
      <c r="UKW146" s="147"/>
      <c r="UKX146" s="147"/>
      <c r="UKY146" s="147"/>
      <c r="UKZ146" s="147"/>
      <c r="ULA146" s="147"/>
      <c r="ULB146" s="147"/>
      <c r="ULC146" s="147"/>
      <c r="ULD146" s="147"/>
      <c r="ULE146" s="147"/>
      <c r="ULF146" s="147"/>
      <c r="ULG146" s="147"/>
      <c r="ULH146" s="147"/>
      <c r="ULI146" s="147"/>
      <c r="ULJ146" s="147"/>
      <c r="ULK146" s="147"/>
      <c r="ULL146" s="147"/>
      <c r="ULM146" s="147"/>
      <c r="ULN146" s="147"/>
      <c r="ULO146" s="147"/>
      <c r="ULP146" s="147"/>
      <c r="ULQ146" s="147"/>
      <c r="ULR146" s="147"/>
      <c r="ULS146" s="147"/>
      <c r="ULT146" s="147"/>
      <c r="ULU146" s="147"/>
      <c r="ULV146" s="147"/>
      <c r="ULW146" s="147"/>
      <c r="ULX146" s="147"/>
      <c r="ULY146" s="147"/>
      <c r="ULZ146" s="147"/>
      <c r="UMA146" s="147"/>
      <c r="UMB146" s="147"/>
      <c r="UMC146" s="147"/>
      <c r="UMD146" s="147"/>
      <c r="UME146" s="147"/>
      <c r="UMF146" s="147"/>
      <c r="UMG146" s="147"/>
      <c r="UMH146" s="147"/>
      <c r="UMI146" s="147"/>
      <c r="UMJ146" s="147"/>
      <c r="UMK146" s="147"/>
      <c r="UML146" s="147"/>
      <c r="UMM146" s="147"/>
      <c r="UMN146" s="147"/>
      <c r="UMO146" s="147"/>
      <c r="UMP146" s="147"/>
      <c r="UMQ146" s="147"/>
      <c r="UMR146" s="147"/>
      <c r="UMS146" s="147"/>
      <c r="UMT146" s="147"/>
      <c r="UMU146" s="147"/>
      <c r="UMV146" s="147"/>
      <c r="UMW146" s="147"/>
      <c r="UMX146" s="147"/>
      <c r="UMY146" s="147"/>
      <c r="UMZ146" s="147"/>
      <c r="UNA146" s="147"/>
      <c r="UNB146" s="147"/>
      <c r="UNC146" s="147"/>
      <c r="UND146" s="147"/>
      <c r="UNE146" s="147"/>
      <c r="UNF146" s="147"/>
      <c r="UNG146" s="147"/>
      <c r="UNH146" s="147"/>
      <c r="UNI146" s="147"/>
      <c r="UNJ146" s="147"/>
      <c r="UNK146" s="147"/>
      <c r="UNL146" s="147"/>
      <c r="UNM146" s="147"/>
      <c r="UNN146" s="147"/>
      <c r="UNO146" s="147"/>
      <c r="UNP146" s="147"/>
      <c r="UNQ146" s="147"/>
      <c r="UNR146" s="147"/>
      <c r="UNS146" s="147"/>
      <c r="UNT146" s="147"/>
      <c r="UNU146" s="147"/>
      <c r="UNV146" s="147"/>
      <c r="UNW146" s="147"/>
      <c r="UNX146" s="147"/>
      <c r="UNY146" s="147"/>
      <c r="UNZ146" s="147"/>
      <c r="UOA146" s="147"/>
      <c r="UOB146" s="147"/>
      <c r="UOC146" s="147"/>
      <c r="UOD146" s="147"/>
      <c r="UOE146" s="147"/>
      <c r="UOF146" s="147"/>
      <c r="UOG146" s="147"/>
      <c r="UOH146" s="147"/>
      <c r="UOI146" s="147"/>
      <c r="UOJ146" s="147"/>
      <c r="UOK146" s="147"/>
      <c r="UOL146" s="147"/>
      <c r="UOM146" s="147"/>
      <c r="UON146" s="147"/>
      <c r="UOO146" s="147"/>
      <c r="UOP146" s="147"/>
      <c r="UOQ146" s="147"/>
      <c r="UOR146" s="147"/>
      <c r="UOS146" s="147"/>
      <c r="UOT146" s="147"/>
      <c r="UOU146" s="147"/>
      <c r="UOV146" s="147"/>
      <c r="UOW146" s="147"/>
      <c r="UOX146" s="147"/>
      <c r="UOY146" s="147"/>
      <c r="UOZ146" s="147"/>
      <c r="UPA146" s="147"/>
      <c r="UPB146" s="147"/>
      <c r="UPC146" s="147"/>
      <c r="UPD146" s="147"/>
      <c r="UPE146" s="147"/>
      <c r="UPF146" s="147"/>
      <c r="UPG146" s="147"/>
      <c r="UPH146" s="147"/>
      <c r="UPI146" s="147"/>
      <c r="UPJ146" s="147"/>
      <c r="UPK146" s="147"/>
      <c r="UPL146" s="147"/>
      <c r="UPM146" s="147"/>
      <c r="UPN146" s="147"/>
      <c r="UPO146" s="147"/>
      <c r="UPP146" s="147"/>
      <c r="UPQ146" s="147"/>
      <c r="UPR146" s="147"/>
      <c r="UPS146" s="147"/>
      <c r="UPT146" s="147"/>
      <c r="UPU146" s="147"/>
      <c r="UPV146" s="147"/>
      <c r="UPW146" s="147"/>
      <c r="UPX146" s="147"/>
      <c r="UPY146" s="147"/>
      <c r="UPZ146" s="147"/>
      <c r="UQA146" s="147"/>
      <c r="UQB146" s="147"/>
      <c r="UQC146" s="147"/>
      <c r="UQD146" s="147"/>
      <c r="UQE146" s="147"/>
      <c r="UQF146" s="147"/>
      <c r="UQG146" s="147"/>
      <c r="UQH146" s="147"/>
      <c r="UQI146" s="147"/>
      <c r="UQJ146" s="147"/>
      <c r="UQK146" s="147"/>
      <c r="UQL146" s="147"/>
      <c r="UQM146" s="147"/>
      <c r="UQN146" s="147"/>
      <c r="UQO146" s="147"/>
      <c r="UQP146" s="147"/>
      <c r="UQQ146" s="147"/>
      <c r="UQR146" s="147"/>
      <c r="UQS146" s="147"/>
      <c r="UQT146" s="147"/>
      <c r="UQU146" s="147"/>
      <c r="UQV146" s="147"/>
      <c r="UQW146" s="147"/>
      <c r="UQX146" s="147"/>
      <c r="UQY146" s="147"/>
      <c r="UQZ146" s="147"/>
      <c r="URA146" s="147"/>
      <c r="URB146" s="147"/>
      <c r="URC146" s="147"/>
      <c r="URD146" s="147"/>
      <c r="URE146" s="147"/>
      <c r="URF146" s="147"/>
      <c r="URG146" s="147"/>
      <c r="URH146" s="147"/>
      <c r="URI146" s="147"/>
      <c r="URJ146" s="147"/>
      <c r="URK146" s="147"/>
      <c r="URL146" s="147"/>
      <c r="URM146" s="147"/>
      <c r="URN146" s="147"/>
      <c r="URO146" s="147"/>
      <c r="URP146" s="147"/>
      <c r="URQ146" s="147"/>
      <c r="URR146" s="147"/>
      <c r="URS146" s="147"/>
      <c r="URT146" s="147"/>
      <c r="URU146" s="147"/>
      <c r="URV146" s="147"/>
      <c r="URW146" s="147"/>
      <c r="URX146" s="147"/>
      <c r="URY146" s="147"/>
      <c r="URZ146" s="147"/>
      <c r="USA146" s="147"/>
      <c r="USB146" s="147"/>
      <c r="USC146" s="147"/>
      <c r="USD146" s="147"/>
      <c r="USE146" s="147"/>
      <c r="USF146" s="147"/>
      <c r="USG146" s="147"/>
      <c r="USH146" s="147"/>
      <c r="USI146" s="147"/>
      <c r="USJ146" s="147"/>
      <c r="USK146" s="147"/>
      <c r="USL146" s="147"/>
      <c r="USM146" s="147"/>
      <c r="USN146" s="147"/>
      <c r="USO146" s="147"/>
      <c r="USP146" s="147"/>
      <c r="USQ146" s="147"/>
      <c r="USR146" s="147"/>
      <c r="USS146" s="147"/>
      <c r="UST146" s="147"/>
      <c r="USU146" s="147"/>
      <c r="USV146" s="147"/>
      <c r="USW146" s="147"/>
      <c r="USX146" s="147"/>
      <c r="USY146" s="147"/>
      <c r="USZ146" s="147"/>
      <c r="UTA146" s="147"/>
      <c r="UTB146" s="147"/>
      <c r="UTC146" s="147"/>
      <c r="UTD146" s="147"/>
      <c r="UTE146" s="147"/>
      <c r="UTF146" s="147"/>
      <c r="UTG146" s="147"/>
      <c r="UTH146" s="147"/>
      <c r="UTI146" s="147"/>
      <c r="UTJ146" s="147"/>
      <c r="UTK146" s="147"/>
      <c r="UTL146" s="147"/>
      <c r="UTM146" s="147"/>
      <c r="UTN146" s="147"/>
      <c r="UTO146" s="147"/>
      <c r="UTP146" s="147"/>
      <c r="UTQ146" s="147"/>
      <c r="UTR146" s="147"/>
      <c r="UTS146" s="147"/>
      <c r="UTT146" s="147"/>
      <c r="UTU146" s="147"/>
      <c r="UTV146" s="147"/>
      <c r="UTW146" s="147"/>
      <c r="UTX146" s="147"/>
      <c r="UTY146" s="147"/>
      <c r="UTZ146" s="147"/>
      <c r="UUA146" s="147"/>
      <c r="UUB146" s="147"/>
      <c r="UUC146" s="147"/>
      <c r="UUD146" s="147"/>
      <c r="UUE146" s="147"/>
      <c r="UUF146" s="147"/>
      <c r="UUG146" s="147"/>
      <c r="UUH146" s="147"/>
      <c r="UUI146" s="147"/>
      <c r="UUJ146" s="147"/>
      <c r="UUK146" s="147"/>
      <c r="UUL146" s="147"/>
      <c r="UUM146" s="147"/>
      <c r="UUN146" s="147"/>
      <c r="UUO146" s="147"/>
      <c r="UUP146" s="147"/>
      <c r="UUQ146" s="147"/>
      <c r="UUR146" s="147"/>
      <c r="UUS146" s="147"/>
      <c r="UUT146" s="147"/>
      <c r="UUU146" s="147"/>
      <c r="UUV146" s="147"/>
      <c r="UUW146" s="147"/>
      <c r="UUX146" s="147"/>
      <c r="UUY146" s="147"/>
      <c r="UUZ146" s="147"/>
      <c r="UVA146" s="147"/>
      <c r="UVB146" s="147"/>
      <c r="UVC146" s="147"/>
      <c r="UVD146" s="147"/>
      <c r="UVE146" s="147"/>
      <c r="UVF146" s="147"/>
      <c r="UVG146" s="147"/>
      <c r="UVH146" s="147"/>
      <c r="UVI146" s="147"/>
      <c r="UVJ146" s="147"/>
      <c r="UVK146" s="147"/>
      <c r="UVL146" s="147"/>
      <c r="UVM146" s="147"/>
      <c r="UVN146" s="147"/>
      <c r="UVO146" s="147"/>
      <c r="UVP146" s="147"/>
      <c r="UVQ146" s="147"/>
      <c r="UVR146" s="147"/>
      <c r="UVS146" s="147"/>
      <c r="UVT146" s="147"/>
      <c r="UVU146" s="147"/>
      <c r="UVV146" s="147"/>
      <c r="UVW146" s="147"/>
      <c r="UVX146" s="147"/>
      <c r="UVY146" s="147"/>
      <c r="UVZ146" s="147"/>
      <c r="UWA146" s="147"/>
      <c r="UWB146" s="147"/>
      <c r="UWC146" s="147"/>
      <c r="UWD146" s="147"/>
      <c r="UWE146" s="147"/>
      <c r="UWF146" s="147"/>
      <c r="UWG146" s="147"/>
      <c r="UWH146" s="147"/>
      <c r="UWI146" s="147"/>
      <c r="UWJ146" s="147"/>
      <c r="UWK146" s="147"/>
      <c r="UWL146" s="147"/>
      <c r="UWM146" s="147"/>
      <c r="UWN146" s="147"/>
      <c r="UWO146" s="147"/>
      <c r="UWP146" s="147"/>
      <c r="UWQ146" s="147"/>
      <c r="UWR146" s="147"/>
      <c r="UWS146" s="147"/>
      <c r="UWT146" s="147"/>
      <c r="UWU146" s="147"/>
      <c r="UWV146" s="147"/>
      <c r="UWW146" s="147"/>
      <c r="UWX146" s="147"/>
      <c r="UWY146" s="147"/>
      <c r="UWZ146" s="147"/>
      <c r="UXA146" s="147"/>
      <c r="UXB146" s="147"/>
      <c r="UXC146" s="147"/>
      <c r="UXD146" s="147"/>
      <c r="UXE146" s="147"/>
      <c r="UXF146" s="147"/>
      <c r="UXG146" s="147"/>
      <c r="UXH146" s="147"/>
      <c r="UXI146" s="147"/>
      <c r="UXJ146" s="147"/>
      <c r="UXK146" s="147"/>
      <c r="UXL146" s="147"/>
      <c r="UXM146" s="147"/>
      <c r="UXN146" s="147"/>
      <c r="UXO146" s="147"/>
      <c r="UXP146" s="147"/>
      <c r="UXQ146" s="147"/>
      <c r="UXR146" s="147"/>
      <c r="UXS146" s="147"/>
      <c r="UXT146" s="147"/>
      <c r="UXU146" s="147"/>
      <c r="UXV146" s="147"/>
      <c r="UXW146" s="147"/>
      <c r="UXX146" s="147"/>
      <c r="UXY146" s="147"/>
      <c r="UXZ146" s="147"/>
      <c r="UYA146" s="147"/>
      <c r="UYB146" s="147"/>
      <c r="UYC146" s="147"/>
      <c r="UYD146" s="147"/>
      <c r="UYE146" s="147"/>
      <c r="UYF146" s="147"/>
      <c r="UYG146" s="147"/>
      <c r="UYH146" s="147"/>
      <c r="UYI146" s="147"/>
      <c r="UYJ146" s="147"/>
      <c r="UYK146" s="147"/>
      <c r="UYL146" s="147"/>
      <c r="UYM146" s="147"/>
      <c r="UYN146" s="147"/>
      <c r="UYO146" s="147"/>
      <c r="UYP146" s="147"/>
      <c r="UYQ146" s="147"/>
      <c r="UYR146" s="147"/>
      <c r="UYS146" s="147"/>
      <c r="UYT146" s="147"/>
      <c r="UYU146" s="147"/>
      <c r="UYV146" s="147"/>
      <c r="UYW146" s="147"/>
      <c r="UYX146" s="147"/>
      <c r="UYY146" s="147"/>
      <c r="UYZ146" s="147"/>
      <c r="UZA146" s="147"/>
      <c r="UZB146" s="147"/>
      <c r="UZC146" s="147"/>
      <c r="UZD146" s="147"/>
      <c r="UZE146" s="147"/>
      <c r="UZF146" s="147"/>
      <c r="UZG146" s="147"/>
      <c r="UZH146" s="147"/>
      <c r="UZI146" s="147"/>
      <c r="UZJ146" s="147"/>
      <c r="UZK146" s="147"/>
      <c r="UZL146" s="147"/>
      <c r="UZM146" s="147"/>
      <c r="UZN146" s="147"/>
      <c r="UZO146" s="147"/>
      <c r="UZP146" s="147"/>
      <c r="UZQ146" s="147"/>
      <c r="UZR146" s="147"/>
      <c r="UZS146" s="147"/>
      <c r="UZT146" s="147"/>
      <c r="UZU146" s="147"/>
      <c r="UZV146" s="147"/>
      <c r="UZW146" s="147"/>
      <c r="UZX146" s="147"/>
      <c r="UZY146" s="147"/>
      <c r="UZZ146" s="147"/>
      <c r="VAA146" s="147"/>
      <c r="VAB146" s="147"/>
      <c r="VAC146" s="147"/>
      <c r="VAD146" s="147"/>
      <c r="VAE146" s="147"/>
      <c r="VAF146" s="147"/>
      <c r="VAG146" s="147"/>
      <c r="VAH146" s="147"/>
      <c r="VAI146" s="147"/>
      <c r="VAJ146" s="147"/>
      <c r="VAK146" s="147"/>
      <c r="VAL146" s="147"/>
      <c r="VAM146" s="147"/>
      <c r="VAN146" s="147"/>
      <c r="VAO146" s="147"/>
      <c r="VAP146" s="147"/>
      <c r="VAQ146" s="147"/>
      <c r="VAR146" s="147"/>
      <c r="VAS146" s="147"/>
      <c r="VAT146" s="147"/>
      <c r="VAU146" s="147"/>
      <c r="VAV146" s="147"/>
      <c r="VAW146" s="147"/>
      <c r="VAX146" s="147"/>
      <c r="VAY146" s="147"/>
      <c r="VAZ146" s="147"/>
      <c r="VBA146" s="147"/>
      <c r="VBB146" s="147"/>
      <c r="VBC146" s="147"/>
      <c r="VBD146" s="147"/>
      <c r="VBE146" s="147"/>
      <c r="VBF146" s="147"/>
      <c r="VBG146" s="147"/>
      <c r="VBH146" s="147"/>
      <c r="VBI146" s="147"/>
      <c r="VBJ146" s="147"/>
      <c r="VBK146" s="147"/>
      <c r="VBL146" s="147"/>
      <c r="VBM146" s="147"/>
      <c r="VBN146" s="147"/>
      <c r="VBO146" s="147"/>
      <c r="VBP146" s="147"/>
      <c r="VBQ146" s="147"/>
      <c r="VBR146" s="147"/>
      <c r="VBS146" s="147"/>
      <c r="VBT146" s="147"/>
      <c r="VBU146" s="147"/>
      <c r="VBV146" s="147"/>
      <c r="VBW146" s="147"/>
      <c r="VBX146" s="147"/>
      <c r="VBY146" s="147"/>
      <c r="VBZ146" s="147"/>
      <c r="VCA146" s="147"/>
      <c r="VCB146" s="147"/>
      <c r="VCC146" s="147"/>
      <c r="VCD146" s="147"/>
      <c r="VCE146" s="147"/>
      <c r="VCF146" s="147"/>
      <c r="VCG146" s="147"/>
      <c r="VCH146" s="147"/>
      <c r="VCI146" s="147"/>
      <c r="VCJ146" s="147"/>
      <c r="VCK146" s="147"/>
      <c r="VCL146" s="147"/>
      <c r="VCM146" s="147"/>
      <c r="VCN146" s="147"/>
      <c r="VCO146" s="147"/>
      <c r="VCP146" s="147"/>
      <c r="VCQ146" s="147"/>
      <c r="VCR146" s="147"/>
      <c r="VCS146" s="147"/>
      <c r="VCT146" s="147"/>
      <c r="VCU146" s="147"/>
      <c r="VCV146" s="147"/>
      <c r="VCW146" s="147"/>
      <c r="VCX146" s="147"/>
      <c r="VCY146" s="147"/>
      <c r="VCZ146" s="147"/>
      <c r="VDA146" s="147"/>
      <c r="VDB146" s="147"/>
      <c r="VDC146" s="147"/>
      <c r="VDD146" s="147"/>
      <c r="VDE146" s="147"/>
      <c r="VDF146" s="147"/>
      <c r="VDG146" s="147"/>
      <c r="VDH146" s="147"/>
      <c r="VDI146" s="147"/>
      <c r="VDJ146" s="147"/>
      <c r="VDK146" s="147"/>
      <c r="VDL146" s="147"/>
      <c r="VDM146" s="147"/>
      <c r="VDN146" s="147"/>
      <c r="VDO146" s="147"/>
      <c r="VDP146" s="147"/>
      <c r="VDQ146" s="147"/>
      <c r="VDR146" s="147"/>
      <c r="VDS146" s="147"/>
      <c r="VDT146" s="147"/>
      <c r="VDU146" s="147"/>
      <c r="VDV146" s="147"/>
      <c r="VDW146" s="147"/>
      <c r="VDX146" s="147"/>
      <c r="VDY146" s="147"/>
      <c r="VDZ146" s="147"/>
      <c r="VEA146" s="147"/>
      <c r="VEB146" s="147"/>
      <c r="VEC146" s="147"/>
      <c r="VED146" s="147"/>
      <c r="VEE146" s="147"/>
      <c r="VEF146" s="147"/>
      <c r="VEG146" s="147"/>
      <c r="VEH146" s="147"/>
      <c r="VEI146" s="147"/>
      <c r="VEJ146" s="147"/>
      <c r="VEK146" s="147"/>
      <c r="VEL146" s="147"/>
      <c r="VEM146" s="147"/>
      <c r="VEN146" s="147"/>
      <c r="VEO146" s="147"/>
      <c r="VEP146" s="147"/>
      <c r="VEQ146" s="147"/>
      <c r="VER146" s="147"/>
      <c r="VES146" s="147"/>
      <c r="VET146" s="147"/>
      <c r="VEU146" s="147"/>
      <c r="VEV146" s="147"/>
      <c r="VEW146" s="147"/>
      <c r="VEX146" s="147"/>
      <c r="VEY146" s="147"/>
      <c r="VEZ146" s="147"/>
      <c r="VFA146" s="147"/>
      <c r="VFB146" s="147"/>
      <c r="VFC146" s="147"/>
      <c r="VFD146" s="147"/>
      <c r="VFE146" s="147"/>
      <c r="VFF146" s="147"/>
      <c r="VFG146" s="147"/>
      <c r="VFH146" s="147"/>
      <c r="VFI146" s="147"/>
      <c r="VFJ146" s="147"/>
      <c r="VFK146" s="147"/>
      <c r="VFL146" s="147"/>
      <c r="VFM146" s="147"/>
      <c r="VFN146" s="147"/>
      <c r="VFO146" s="147"/>
      <c r="VFP146" s="147"/>
      <c r="VFQ146" s="147"/>
      <c r="VFR146" s="147"/>
      <c r="VFS146" s="147"/>
      <c r="VFT146" s="147"/>
      <c r="VFU146" s="147"/>
      <c r="VFV146" s="147"/>
      <c r="VFW146" s="147"/>
      <c r="VFX146" s="147"/>
      <c r="VFY146" s="147"/>
      <c r="VFZ146" s="147"/>
      <c r="VGA146" s="147"/>
      <c r="VGB146" s="147"/>
      <c r="VGC146" s="147"/>
      <c r="VGD146" s="147"/>
      <c r="VGE146" s="147"/>
      <c r="VGF146" s="147"/>
      <c r="VGG146" s="147"/>
      <c r="VGH146" s="147"/>
      <c r="VGI146" s="147"/>
      <c r="VGJ146" s="147"/>
      <c r="VGK146" s="147"/>
      <c r="VGL146" s="147"/>
      <c r="VGM146" s="147"/>
      <c r="VGN146" s="147"/>
      <c r="VGO146" s="147"/>
      <c r="VGP146" s="147"/>
      <c r="VGQ146" s="147"/>
      <c r="VGR146" s="147"/>
      <c r="VGS146" s="147"/>
      <c r="VGT146" s="147"/>
      <c r="VGU146" s="147"/>
      <c r="VGV146" s="147"/>
      <c r="VGW146" s="147"/>
      <c r="VGX146" s="147"/>
      <c r="VGY146" s="147"/>
      <c r="VGZ146" s="147"/>
      <c r="VHA146" s="147"/>
      <c r="VHB146" s="147"/>
      <c r="VHC146" s="147"/>
      <c r="VHD146" s="147"/>
      <c r="VHE146" s="147"/>
      <c r="VHF146" s="147"/>
      <c r="VHG146" s="147"/>
      <c r="VHH146" s="147"/>
      <c r="VHI146" s="147"/>
      <c r="VHJ146" s="147"/>
      <c r="VHK146" s="147"/>
      <c r="VHL146" s="147"/>
      <c r="VHM146" s="147"/>
      <c r="VHN146" s="147"/>
      <c r="VHO146" s="147"/>
      <c r="VHP146" s="147"/>
      <c r="VHQ146" s="147"/>
      <c r="VHR146" s="147"/>
      <c r="VHS146" s="147"/>
      <c r="VHT146" s="147"/>
      <c r="VHU146" s="147"/>
      <c r="VHV146" s="147"/>
      <c r="VHW146" s="147"/>
      <c r="VHX146" s="147"/>
      <c r="VHY146" s="147"/>
      <c r="VHZ146" s="147"/>
      <c r="VIA146" s="147"/>
      <c r="VIB146" s="147"/>
      <c r="VIC146" s="147"/>
      <c r="VID146" s="147"/>
      <c r="VIE146" s="147"/>
      <c r="VIF146" s="147"/>
      <c r="VIG146" s="147"/>
      <c r="VIH146" s="147"/>
      <c r="VII146" s="147"/>
      <c r="VIJ146" s="147"/>
      <c r="VIK146" s="147"/>
      <c r="VIL146" s="147"/>
      <c r="VIM146" s="147"/>
      <c r="VIN146" s="147"/>
      <c r="VIO146" s="147"/>
      <c r="VIP146" s="147"/>
      <c r="VIQ146" s="147"/>
      <c r="VIR146" s="147"/>
      <c r="VIS146" s="147"/>
      <c r="VIT146" s="147"/>
      <c r="VIU146" s="147"/>
      <c r="VIV146" s="147"/>
      <c r="VIW146" s="147"/>
      <c r="VIX146" s="147"/>
      <c r="VIY146" s="147"/>
      <c r="VIZ146" s="147"/>
      <c r="VJA146" s="147"/>
      <c r="VJB146" s="147"/>
      <c r="VJC146" s="147"/>
      <c r="VJD146" s="147"/>
      <c r="VJE146" s="147"/>
      <c r="VJF146" s="147"/>
      <c r="VJG146" s="147"/>
      <c r="VJH146" s="147"/>
      <c r="VJI146" s="147"/>
      <c r="VJJ146" s="147"/>
      <c r="VJK146" s="147"/>
      <c r="VJL146" s="147"/>
      <c r="VJM146" s="147"/>
      <c r="VJN146" s="147"/>
      <c r="VJO146" s="147"/>
      <c r="VJP146" s="147"/>
      <c r="VJQ146" s="147"/>
      <c r="VJR146" s="147"/>
      <c r="VJS146" s="147"/>
      <c r="VJT146" s="147"/>
      <c r="VJU146" s="147"/>
      <c r="VJV146" s="147"/>
      <c r="VJW146" s="147"/>
      <c r="VJX146" s="147"/>
      <c r="VJY146" s="147"/>
      <c r="VJZ146" s="147"/>
      <c r="VKA146" s="147"/>
      <c r="VKB146" s="147"/>
      <c r="VKC146" s="147"/>
      <c r="VKD146" s="147"/>
      <c r="VKE146" s="147"/>
      <c r="VKF146" s="147"/>
      <c r="VKG146" s="147"/>
      <c r="VKH146" s="147"/>
      <c r="VKI146" s="147"/>
      <c r="VKJ146" s="147"/>
      <c r="VKK146" s="147"/>
      <c r="VKL146" s="147"/>
      <c r="VKM146" s="147"/>
      <c r="VKN146" s="147"/>
      <c r="VKO146" s="147"/>
      <c r="VKP146" s="147"/>
      <c r="VKQ146" s="147"/>
      <c r="VKR146" s="147"/>
      <c r="VKS146" s="147"/>
      <c r="VKT146" s="147"/>
      <c r="VKU146" s="147"/>
      <c r="VKV146" s="147"/>
      <c r="VKW146" s="147"/>
      <c r="VKX146" s="147"/>
      <c r="VKY146" s="147"/>
      <c r="VKZ146" s="147"/>
      <c r="VLA146" s="147"/>
      <c r="VLB146" s="147"/>
      <c r="VLC146" s="147"/>
      <c r="VLD146" s="147"/>
      <c r="VLE146" s="147"/>
      <c r="VLF146" s="147"/>
      <c r="VLG146" s="147"/>
      <c r="VLH146" s="147"/>
      <c r="VLI146" s="147"/>
      <c r="VLJ146" s="147"/>
      <c r="VLK146" s="147"/>
      <c r="VLL146" s="147"/>
      <c r="VLM146" s="147"/>
      <c r="VLN146" s="147"/>
      <c r="VLO146" s="147"/>
      <c r="VLP146" s="147"/>
      <c r="VLQ146" s="147"/>
      <c r="VLR146" s="147"/>
      <c r="VLS146" s="147"/>
      <c r="VLT146" s="147"/>
      <c r="VLU146" s="147"/>
      <c r="VLV146" s="147"/>
      <c r="VLW146" s="147"/>
      <c r="VLX146" s="147"/>
      <c r="VLY146" s="147"/>
      <c r="VLZ146" s="147"/>
      <c r="VMA146" s="147"/>
      <c r="VMB146" s="147"/>
      <c r="VMC146" s="147"/>
      <c r="VMD146" s="147"/>
      <c r="VME146" s="147"/>
      <c r="VMF146" s="147"/>
      <c r="VMG146" s="147"/>
      <c r="VMH146" s="147"/>
      <c r="VMI146" s="147"/>
      <c r="VMJ146" s="147"/>
      <c r="VMK146" s="147"/>
      <c r="VML146" s="147"/>
      <c r="VMM146" s="147"/>
      <c r="VMN146" s="147"/>
      <c r="VMO146" s="147"/>
      <c r="VMP146" s="147"/>
      <c r="VMQ146" s="147"/>
      <c r="VMR146" s="147"/>
      <c r="VMS146" s="147"/>
      <c r="VMT146" s="147"/>
      <c r="VMU146" s="147"/>
      <c r="VMV146" s="147"/>
      <c r="VMW146" s="147"/>
      <c r="VMX146" s="147"/>
      <c r="VMY146" s="147"/>
      <c r="VMZ146" s="147"/>
      <c r="VNA146" s="147"/>
      <c r="VNB146" s="147"/>
      <c r="VNC146" s="147"/>
      <c r="VND146" s="147"/>
      <c r="VNE146" s="147"/>
      <c r="VNF146" s="147"/>
      <c r="VNG146" s="147"/>
      <c r="VNH146" s="147"/>
      <c r="VNI146" s="147"/>
      <c r="VNJ146" s="147"/>
      <c r="VNK146" s="147"/>
      <c r="VNL146" s="147"/>
      <c r="VNM146" s="147"/>
      <c r="VNN146" s="147"/>
      <c r="VNO146" s="147"/>
      <c r="VNP146" s="147"/>
      <c r="VNQ146" s="147"/>
      <c r="VNR146" s="147"/>
      <c r="VNS146" s="147"/>
      <c r="VNT146" s="147"/>
      <c r="VNU146" s="147"/>
      <c r="VNV146" s="147"/>
      <c r="VNW146" s="147"/>
      <c r="VNX146" s="147"/>
      <c r="VNY146" s="147"/>
      <c r="VNZ146" s="147"/>
      <c r="VOA146" s="147"/>
      <c r="VOB146" s="147"/>
      <c r="VOC146" s="147"/>
      <c r="VOD146" s="147"/>
      <c r="VOE146" s="147"/>
      <c r="VOF146" s="147"/>
      <c r="VOG146" s="147"/>
      <c r="VOH146" s="147"/>
      <c r="VOI146" s="147"/>
      <c r="VOJ146" s="147"/>
      <c r="VOK146" s="147"/>
      <c r="VOL146" s="147"/>
      <c r="VOM146" s="147"/>
      <c r="VON146" s="147"/>
      <c r="VOO146" s="147"/>
      <c r="VOP146" s="147"/>
      <c r="VOQ146" s="147"/>
      <c r="VOR146" s="147"/>
      <c r="VOS146" s="147"/>
      <c r="VOT146" s="147"/>
      <c r="VOU146" s="147"/>
      <c r="VOV146" s="147"/>
      <c r="VOW146" s="147"/>
      <c r="VOX146" s="147"/>
      <c r="VOY146" s="147"/>
      <c r="VOZ146" s="147"/>
      <c r="VPA146" s="147"/>
      <c r="VPB146" s="147"/>
      <c r="VPC146" s="147"/>
      <c r="VPD146" s="147"/>
      <c r="VPE146" s="147"/>
      <c r="VPF146" s="147"/>
      <c r="VPG146" s="147"/>
      <c r="VPH146" s="147"/>
      <c r="VPI146" s="147"/>
      <c r="VPJ146" s="147"/>
      <c r="VPK146" s="147"/>
      <c r="VPL146" s="147"/>
      <c r="VPM146" s="147"/>
      <c r="VPN146" s="147"/>
      <c r="VPO146" s="147"/>
      <c r="VPP146" s="147"/>
      <c r="VPQ146" s="147"/>
      <c r="VPR146" s="147"/>
      <c r="VPS146" s="147"/>
      <c r="VPT146" s="147"/>
      <c r="VPU146" s="147"/>
      <c r="VPV146" s="147"/>
      <c r="VPW146" s="147"/>
      <c r="VPX146" s="147"/>
      <c r="VPY146" s="147"/>
      <c r="VPZ146" s="147"/>
      <c r="VQA146" s="147"/>
      <c r="VQB146" s="147"/>
      <c r="VQC146" s="147"/>
      <c r="VQD146" s="147"/>
      <c r="VQE146" s="147"/>
      <c r="VQF146" s="147"/>
      <c r="VQG146" s="147"/>
      <c r="VQH146" s="147"/>
      <c r="VQI146" s="147"/>
      <c r="VQJ146" s="147"/>
      <c r="VQK146" s="147"/>
      <c r="VQL146" s="147"/>
      <c r="VQM146" s="147"/>
      <c r="VQN146" s="147"/>
      <c r="VQO146" s="147"/>
      <c r="VQP146" s="147"/>
      <c r="VQQ146" s="147"/>
      <c r="VQR146" s="147"/>
      <c r="VQS146" s="147"/>
      <c r="VQT146" s="147"/>
      <c r="VQU146" s="147"/>
      <c r="VQV146" s="147"/>
      <c r="VQW146" s="147"/>
      <c r="VQX146" s="147"/>
      <c r="VQY146" s="147"/>
      <c r="VQZ146" s="147"/>
      <c r="VRA146" s="147"/>
      <c r="VRB146" s="147"/>
      <c r="VRC146" s="147"/>
      <c r="VRD146" s="147"/>
      <c r="VRE146" s="147"/>
      <c r="VRF146" s="147"/>
      <c r="VRG146" s="147"/>
      <c r="VRH146" s="147"/>
      <c r="VRI146" s="147"/>
      <c r="VRJ146" s="147"/>
      <c r="VRK146" s="147"/>
      <c r="VRL146" s="147"/>
      <c r="VRM146" s="147"/>
      <c r="VRN146" s="147"/>
      <c r="VRO146" s="147"/>
      <c r="VRP146" s="147"/>
      <c r="VRQ146" s="147"/>
      <c r="VRR146" s="147"/>
      <c r="VRS146" s="147"/>
      <c r="VRT146" s="147"/>
      <c r="VRU146" s="147"/>
      <c r="VRV146" s="147"/>
      <c r="VRW146" s="147"/>
      <c r="VRX146" s="147"/>
      <c r="VRY146" s="147"/>
      <c r="VRZ146" s="147"/>
      <c r="VSA146" s="147"/>
      <c r="VSB146" s="147"/>
      <c r="VSC146" s="147"/>
      <c r="VSD146" s="147"/>
      <c r="VSE146" s="147"/>
      <c r="VSF146" s="147"/>
      <c r="VSG146" s="147"/>
      <c r="VSH146" s="147"/>
      <c r="VSI146" s="147"/>
      <c r="VSJ146" s="147"/>
      <c r="VSK146" s="147"/>
      <c r="VSL146" s="147"/>
      <c r="VSM146" s="147"/>
      <c r="VSN146" s="147"/>
      <c r="VSO146" s="147"/>
      <c r="VSP146" s="147"/>
      <c r="VSQ146" s="147"/>
      <c r="VSR146" s="147"/>
      <c r="VSS146" s="147"/>
      <c r="VST146" s="147"/>
      <c r="VSU146" s="147"/>
      <c r="VSV146" s="147"/>
      <c r="VSW146" s="147"/>
      <c r="VSX146" s="147"/>
      <c r="VSY146" s="147"/>
      <c r="VSZ146" s="147"/>
      <c r="VTA146" s="147"/>
      <c r="VTB146" s="147"/>
      <c r="VTC146" s="147"/>
      <c r="VTD146" s="147"/>
      <c r="VTE146" s="147"/>
      <c r="VTF146" s="147"/>
      <c r="VTG146" s="147"/>
      <c r="VTH146" s="147"/>
      <c r="VTI146" s="147"/>
      <c r="VTJ146" s="147"/>
      <c r="VTK146" s="147"/>
      <c r="VTL146" s="147"/>
      <c r="VTM146" s="147"/>
      <c r="VTN146" s="147"/>
      <c r="VTO146" s="147"/>
      <c r="VTP146" s="147"/>
      <c r="VTQ146" s="147"/>
      <c r="VTR146" s="147"/>
      <c r="VTS146" s="147"/>
      <c r="VTT146" s="147"/>
      <c r="VTU146" s="147"/>
      <c r="VTV146" s="147"/>
      <c r="VTW146" s="147"/>
      <c r="VTX146" s="147"/>
      <c r="VTY146" s="147"/>
      <c r="VTZ146" s="147"/>
      <c r="VUA146" s="147"/>
      <c r="VUB146" s="147"/>
      <c r="VUC146" s="147"/>
      <c r="VUD146" s="147"/>
      <c r="VUE146" s="147"/>
      <c r="VUF146" s="147"/>
      <c r="VUG146" s="147"/>
      <c r="VUH146" s="147"/>
      <c r="VUI146" s="147"/>
      <c r="VUJ146" s="147"/>
      <c r="VUK146" s="147"/>
      <c r="VUL146" s="147"/>
      <c r="VUM146" s="147"/>
      <c r="VUN146" s="147"/>
      <c r="VUO146" s="147"/>
      <c r="VUP146" s="147"/>
      <c r="VUQ146" s="147"/>
      <c r="VUR146" s="147"/>
      <c r="VUS146" s="147"/>
      <c r="VUT146" s="147"/>
      <c r="VUU146" s="147"/>
      <c r="VUV146" s="147"/>
      <c r="VUW146" s="147"/>
      <c r="VUX146" s="147"/>
      <c r="VUY146" s="147"/>
      <c r="VUZ146" s="147"/>
      <c r="VVA146" s="147"/>
      <c r="VVB146" s="147"/>
      <c r="VVC146" s="147"/>
      <c r="VVD146" s="147"/>
      <c r="VVE146" s="147"/>
      <c r="VVF146" s="147"/>
      <c r="VVG146" s="147"/>
      <c r="VVH146" s="147"/>
      <c r="VVI146" s="147"/>
      <c r="VVJ146" s="147"/>
      <c r="VVK146" s="147"/>
      <c r="VVL146" s="147"/>
      <c r="VVM146" s="147"/>
      <c r="VVN146" s="147"/>
      <c r="VVO146" s="147"/>
      <c r="VVP146" s="147"/>
      <c r="VVQ146" s="147"/>
      <c r="VVR146" s="147"/>
      <c r="VVS146" s="147"/>
      <c r="VVT146" s="147"/>
      <c r="VVU146" s="147"/>
      <c r="VVV146" s="147"/>
      <c r="VVW146" s="147"/>
      <c r="VVX146" s="147"/>
      <c r="VVY146" s="147"/>
      <c r="VVZ146" s="147"/>
      <c r="VWA146" s="147"/>
      <c r="VWB146" s="147"/>
      <c r="VWC146" s="147"/>
      <c r="VWD146" s="147"/>
      <c r="VWE146" s="147"/>
      <c r="VWF146" s="147"/>
      <c r="VWG146" s="147"/>
      <c r="VWH146" s="147"/>
      <c r="VWI146" s="147"/>
      <c r="VWJ146" s="147"/>
      <c r="VWK146" s="147"/>
      <c r="VWL146" s="147"/>
      <c r="VWM146" s="147"/>
      <c r="VWN146" s="147"/>
      <c r="VWO146" s="147"/>
      <c r="VWP146" s="147"/>
      <c r="VWQ146" s="147"/>
      <c r="VWR146" s="147"/>
      <c r="VWS146" s="147"/>
      <c r="VWT146" s="147"/>
      <c r="VWU146" s="147"/>
      <c r="VWV146" s="147"/>
      <c r="VWW146" s="147"/>
      <c r="VWX146" s="147"/>
      <c r="VWY146" s="147"/>
      <c r="VWZ146" s="147"/>
      <c r="VXA146" s="147"/>
      <c r="VXB146" s="147"/>
      <c r="VXC146" s="147"/>
      <c r="VXD146" s="147"/>
      <c r="VXE146" s="147"/>
      <c r="VXF146" s="147"/>
      <c r="VXG146" s="147"/>
      <c r="VXH146" s="147"/>
      <c r="VXI146" s="147"/>
      <c r="VXJ146" s="147"/>
      <c r="VXK146" s="147"/>
      <c r="VXL146" s="147"/>
      <c r="VXM146" s="147"/>
      <c r="VXN146" s="147"/>
      <c r="VXO146" s="147"/>
      <c r="VXP146" s="147"/>
      <c r="VXQ146" s="147"/>
      <c r="VXR146" s="147"/>
      <c r="VXS146" s="147"/>
      <c r="VXT146" s="147"/>
      <c r="VXU146" s="147"/>
      <c r="VXV146" s="147"/>
      <c r="VXW146" s="147"/>
      <c r="VXX146" s="147"/>
      <c r="VXY146" s="147"/>
      <c r="VXZ146" s="147"/>
      <c r="VYA146" s="147"/>
      <c r="VYB146" s="147"/>
      <c r="VYC146" s="147"/>
      <c r="VYD146" s="147"/>
      <c r="VYE146" s="147"/>
      <c r="VYF146" s="147"/>
      <c r="VYG146" s="147"/>
      <c r="VYH146" s="147"/>
      <c r="VYI146" s="147"/>
      <c r="VYJ146" s="147"/>
      <c r="VYK146" s="147"/>
      <c r="VYL146" s="147"/>
      <c r="VYM146" s="147"/>
      <c r="VYN146" s="147"/>
      <c r="VYO146" s="147"/>
      <c r="VYP146" s="147"/>
      <c r="VYQ146" s="147"/>
      <c r="VYR146" s="147"/>
      <c r="VYS146" s="147"/>
      <c r="VYT146" s="147"/>
      <c r="VYU146" s="147"/>
      <c r="VYV146" s="147"/>
      <c r="VYW146" s="147"/>
      <c r="VYX146" s="147"/>
      <c r="VYY146" s="147"/>
      <c r="VYZ146" s="147"/>
      <c r="VZA146" s="147"/>
      <c r="VZB146" s="147"/>
      <c r="VZC146" s="147"/>
      <c r="VZD146" s="147"/>
      <c r="VZE146" s="147"/>
      <c r="VZF146" s="147"/>
      <c r="VZG146" s="147"/>
      <c r="VZH146" s="147"/>
      <c r="VZI146" s="147"/>
      <c r="VZJ146" s="147"/>
      <c r="VZK146" s="147"/>
      <c r="VZL146" s="147"/>
      <c r="VZM146" s="147"/>
      <c r="VZN146" s="147"/>
      <c r="VZO146" s="147"/>
      <c r="VZP146" s="147"/>
      <c r="VZQ146" s="147"/>
      <c r="VZR146" s="147"/>
      <c r="VZS146" s="147"/>
      <c r="VZT146" s="147"/>
      <c r="VZU146" s="147"/>
      <c r="VZV146" s="147"/>
      <c r="VZW146" s="147"/>
      <c r="VZX146" s="147"/>
      <c r="VZY146" s="147"/>
      <c r="VZZ146" s="147"/>
      <c r="WAA146" s="147"/>
      <c r="WAB146" s="147"/>
      <c r="WAC146" s="147"/>
      <c r="WAD146" s="147"/>
      <c r="WAE146" s="147"/>
      <c r="WAF146" s="147"/>
      <c r="WAG146" s="147"/>
      <c r="WAH146" s="147"/>
      <c r="WAI146" s="147"/>
      <c r="WAJ146" s="147"/>
      <c r="WAK146" s="147"/>
      <c r="WAL146" s="147"/>
      <c r="WAM146" s="147"/>
      <c r="WAN146" s="147"/>
      <c r="WAO146" s="147"/>
      <c r="WAP146" s="147"/>
      <c r="WAQ146" s="147"/>
      <c r="WAR146" s="147"/>
      <c r="WAS146" s="147"/>
      <c r="WAT146" s="147"/>
      <c r="WAU146" s="147"/>
      <c r="WAV146" s="147"/>
      <c r="WAW146" s="147"/>
      <c r="WAX146" s="147"/>
      <c r="WAY146" s="147"/>
      <c r="WAZ146" s="147"/>
      <c r="WBA146" s="147"/>
      <c r="WBB146" s="147"/>
      <c r="WBC146" s="147"/>
      <c r="WBD146" s="147"/>
      <c r="WBE146" s="147"/>
      <c r="WBF146" s="147"/>
      <c r="WBG146" s="147"/>
      <c r="WBH146" s="147"/>
      <c r="WBI146" s="147"/>
      <c r="WBJ146" s="147"/>
      <c r="WBK146" s="147"/>
      <c r="WBL146" s="147"/>
      <c r="WBM146" s="147"/>
      <c r="WBN146" s="147"/>
      <c r="WBO146" s="147"/>
      <c r="WBP146" s="147"/>
      <c r="WBQ146" s="147"/>
      <c r="WBR146" s="147"/>
      <c r="WBS146" s="147"/>
      <c r="WBT146" s="147"/>
      <c r="WBU146" s="147"/>
      <c r="WBV146" s="147"/>
      <c r="WBW146" s="147"/>
      <c r="WBX146" s="147"/>
      <c r="WBY146" s="147"/>
      <c r="WBZ146" s="147"/>
      <c r="WCA146" s="147"/>
      <c r="WCB146" s="147"/>
      <c r="WCC146" s="147"/>
      <c r="WCD146" s="147"/>
      <c r="WCE146" s="147"/>
      <c r="WCF146" s="147"/>
      <c r="WCG146" s="147"/>
      <c r="WCH146" s="147"/>
      <c r="WCI146" s="147"/>
      <c r="WCJ146" s="147"/>
      <c r="WCK146" s="147"/>
      <c r="WCL146" s="147"/>
      <c r="WCM146" s="147"/>
      <c r="WCN146" s="147"/>
      <c r="WCO146" s="147"/>
      <c r="WCP146" s="147"/>
      <c r="WCQ146" s="147"/>
      <c r="WCR146" s="147"/>
      <c r="WCS146" s="147"/>
      <c r="WCT146" s="147"/>
      <c r="WCU146" s="147"/>
      <c r="WCV146" s="147"/>
      <c r="WCW146" s="147"/>
      <c r="WCX146" s="147"/>
      <c r="WCY146" s="147"/>
      <c r="WCZ146" s="147"/>
      <c r="WDA146" s="147"/>
      <c r="WDB146" s="147"/>
      <c r="WDC146" s="147"/>
      <c r="WDD146" s="147"/>
      <c r="WDE146" s="147"/>
      <c r="WDF146" s="147"/>
      <c r="WDG146" s="147"/>
      <c r="WDH146" s="147"/>
      <c r="WDI146" s="147"/>
      <c r="WDJ146" s="147"/>
      <c r="WDK146" s="147"/>
      <c r="WDL146" s="147"/>
      <c r="WDM146" s="147"/>
      <c r="WDN146" s="147"/>
      <c r="WDO146" s="147"/>
      <c r="WDP146" s="147"/>
      <c r="WDQ146" s="147"/>
      <c r="WDR146" s="147"/>
      <c r="WDS146" s="147"/>
      <c r="WDT146" s="147"/>
      <c r="WDU146" s="147"/>
      <c r="WDV146" s="147"/>
      <c r="WDW146" s="147"/>
      <c r="WDX146" s="147"/>
      <c r="WDY146" s="147"/>
      <c r="WDZ146" s="147"/>
      <c r="WEA146" s="147"/>
      <c r="WEB146" s="147"/>
      <c r="WEC146" s="147"/>
      <c r="WED146" s="147"/>
      <c r="WEE146" s="147"/>
      <c r="WEF146" s="147"/>
      <c r="WEG146" s="147"/>
      <c r="WEH146" s="147"/>
      <c r="WEI146" s="147"/>
      <c r="WEJ146" s="147"/>
      <c r="WEK146" s="147"/>
      <c r="WEL146" s="147"/>
      <c r="WEM146" s="147"/>
      <c r="WEN146" s="147"/>
      <c r="WEO146" s="147"/>
      <c r="WEP146" s="147"/>
      <c r="WEQ146" s="147"/>
      <c r="WER146" s="147"/>
      <c r="WES146" s="147"/>
      <c r="WET146" s="147"/>
      <c r="WEU146" s="147"/>
      <c r="WEV146" s="147"/>
      <c r="WEW146" s="147"/>
      <c r="WEX146" s="147"/>
      <c r="WEY146" s="147"/>
      <c r="WEZ146" s="147"/>
      <c r="WFA146" s="147"/>
      <c r="WFB146" s="147"/>
      <c r="WFC146" s="147"/>
      <c r="WFD146" s="147"/>
      <c r="WFE146" s="147"/>
      <c r="WFF146" s="147"/>
      <c r="WFG146" s="147"/>
      <c r="WFH146" s="147"/>
      <c r="WFI146" s="147"/>
      <c r="WFJ146" s="147"/>
      <c r="WFK146" s="147"/>
      <c r="WFL146" s="147"/>
      <c r="WFM146" s="147"/>
      <c r="WFN146" s="147"/>
      <c r="WFO146" s="147"/>
      <c r="WFP146" s="147"/>
      <c r="WFQ146" s="147"/>
      <c r="WFR146" s="147"/>
      <c r="WFS146" s="147"/>
      <c r="WFT146" s="147"/>
      <c r="WFU146" s="147"/>
      <c r="WFV146" s="147"/>
      <c r="WFW146" s="147"/>
      <c r="WFX146" s="147"/>
      <c r="WFY146" s="147"/>
      <c r="WFZ146" s="147"/>
      <c r="WGA146" s="147"/>
      <c r="WGB146" s="147"/>
      <c r="WGC146" s="147"/>
      <c r="WGD146" s="147"/>
      <c r="WGE146" s="147"/>
      <c r="WGF146" s="147"/>
      <c r="WGG146" s="147"/>
      <c r="WGH146" s="147"/>
      <c r="WGI146" s="147"/>
      <c r="WGJ146" s="147"/>
      <c r="WGK146" s="147"/>
      <c r="WGL146" s="147"/>
      <c r="WGM146" s="147"/>
      <c r="WGN146" s="147"/>
      <c r="WGO146" s="147"/>
      <c r="WGP146" s="147"/>
      <c r="WGQ146" s="147"/>
      <c r="WGR146" s="147"/>
      <c r="WGS146" s="147"/>
      <c r="WGT146" s="147"/>
      <c r="WGU146" s="147"/>
      <c r="WGV146" s="147"/>
      <c r="WGW146" s="147"/>
      <c r="WGX146" s="147"/>
      <c r="WGY146" s="147"/>
      <c r="WGZ146" s="147"/>
      <c r="WHA146" s="147"/>
      <c r="WHB146" s="147"/>
      <c r="WHC146" s="147"/>
      <c r="WHD146" s="147"/>
      <c r="WHE146" s="147"/>
      <c r="WHF146" s="147"/>
      <c r="WHG146" s="147"/>
      <c r="WHH146" s="147"/>
      <c r="WHI146" s="147"/>
      <c r="WHJ146" s="147"/>
      <c r="WHK146" s="147"/>
      <c r="WHL146" s="147"/>
      <c r="WHM146" s="147"/>
      <c r="WHN146" s="147"/>
      <c r="WHO146" s="147"/>
      <c r="WHP146" s="147"/>
      <c r="WHQ146" s="147"/>
      <c r="WHR146" s="147"/>
      <c r="WHS146" s="147"/>
      <c r="WHT146" s="147"/>
      <c r="WHU146" s="147"/>
      <c r="WHV146" s="147"/>
      <c r="WHW146" s="147"/>
      <c r="WHX146" s="147"/>
      <c r="WHY146" s="147"/>
      <c r="WHZ146" s="147"/>
      <c r="WIA146" s="147"/>
      <c r="WIB146" s="147"/>
      <c r="WIC146" s="147"/>
      <c r="WID146" s="147"/>
      <c r="WIE146" s="147"/>
      <c r="WIF146" s="147"/>
      <c r="WIG146" s="147"/>
      <c r="WIH146" s="147"/>
      <c r="WII146" s="147"/>
      <c r="WIJ146" s="147"/>
      <c r="WIK146" s="147"/>
      <c r="WIL146" s="147"/>
      <c r="WIM146" s="147"/>
      <c r="WIN146" s="147"/>
      <c r="WIO146" s="147"/>
      <c r="WIP146" s="147"/>
      <c r="WIQ146" s="147"/>
      <c r="WIR146" s="147"/>
      <c r="WIS146" s="147"/>
      <c r="WIT146" s="147"/>
      <c r="WIU146" s="147"/>
      <c r="WIV146" s="147"/>
      <c r="WIW146" s="147"/>
      <c r="WIX146" s="147"/>
      <c r="WIY146" s="147"/>
      <c r="WIZ146" s="147"/>
      <c r="WJA146" s="147"/>
      <c r="WJB146" s="147"/>
      <c r="WJC146" s="147"/>
      <c r="WJD146" s="147"/>
      <c r="WJE146" s="147"/>
      <c r="WJF146" s="147"/>
      <c r="WJG146" s="147"/>
      <c r="WJH146" s="147"/>
      <c r="WJI146" s="147"/>
      <c r="WJJ146" s="147"/>
      <c r="WJK146" s="147"/>
      <c r="WJL146" s="147"/>
      <c r="WJM146" s="147"/>
      <c r="WJN146" s="147"/>
      <c r="WJO146" s="147"/>
      <c r="WJP146" s="147"/>
      <c r="WJQ146" s="147"/>
      <c r="WJR146" s="147"/>
      <c r="WJS146" s="147"/>
      <c r="WJT146" s="147"/>
      <c r="WJU146" s="147"/>
      <c r="WJV146" s="147"/>
      <c r="WJW146" s="147"/>
      <c r="WJX146" s="147"/>
      <c r="WJY146" s="147"/>
      <c r="WJZ146" s="147"/>
      <c r="WKA146" s="147"/>
      <c r="WKB146" s="147"/>
      <c r="WKC146" s="147"/>
      <c r="WKD146" s="147"/>
      <c r="WKE146" s="147"/>
      <c r="WKF146" s="147"/>
      <c r="WKG146" s="147"/>
      <c r="WKH146" s="147"/>
      <c r="WKI146" s="147"/>
      <c r="WKJ146" s="147"/>
      <c r="WKK146" s="147"/>
      <c r="WKL146" s="147"/>
      <c r="WKM146" s="147"/>
      <c r="WKN146" s="147"/>
      <c r="WKO146" s="147"/>
      <c r="WKP146" s="147"/>
      <c r="WKQ146" s="147"/>
      <c r="WKR146" s="147"/>
      <c r="WKS146" s="147"/>
      <c r="WKT146" s="147"/>
      <c r="WKU146" s="147"/>
      <c r="WKV146" s="147"/>
      <c r="WKW146" s="147"/>
      <c r="WKX146" s="147"/>
      <c r="WKY146" s="147"/>
      <c r="WKZ146" s="147"/>
      <c r="WLA146" s="147"/>
      <c r="WLB146" s="147"/>
      <c r="WLC146" s="147"/>
      <c r="WLD146" s="147"/>
      <c r="WLE146" s="147"/>
      <c r="WLF146" s="147"/>
      <c r="WLG146" s="147"/>
      <c r="WLH146" s="147"/>
      <c r="WLI146" s="147"/>
      <c r="WLJ146" s="147"/>
      <c r="WLK146" s="147"/>
      <c r="WLL146" s="147"/>
      <c r="WLM146" s="147"/>
      <c r="WLN146" s="147"/>
      <c r="WLO146" s="147"/>
      <c r="WLP146" s="147"/>
      <c r="WLQ146" s="147"/>
      <c r="WLR146" s="147"/>
      <c r="WLS146" s="147"/>
      <c r="WLT146" s="147"/>
      <c r="WLU146" s="147"/>
      <c r="WLV146" s="147"/>
      <c r="WLW146" s="147"/>
      <c r="WLX146" s="147"/>
      <c r="WLY146" s="147"/>
      <c r="WLZ146" s="147"/>
      <c r="WMA146" s="147"/>
      <c r="WMB146" s="147"/>
      <c r="WMC146" s="147"/>
      <c r="WMD146" s="147"/>
      <c r="WME146" s="147"/>
      <c r="WMF146" s="147"/>
      <c r="WMG146" s="147"/>
      <c r="WMH146" s="147"/>
      <c r="WMI146" s="147"/>
      <c r="WMJ146" s="147"/>
      <c r="WMK146" s="147"/>
      <c r="WML146" s="147"/>
      <c r="WMM146" s="147"/>
      <c r="WMN146" s="147"/>
      <c r="WMO146" s="147"/>
      <c r="WMP146" s="147"/>
      <c r="WMQ146" s="147"/>
      <c r="WMR146" s="147"/>
      <c r="WMS146" s="147"/>
      <c r="WMT146" s="147"/>
      <c r="WMU146" s="147"/>
      <c r="WMV146" s="147"/>
      <c r="WMW146" s="147"/>
      <c r="WMX146" s="147"/>
      <c r="WMY146" s="147"/>
      <c r="WMZ146" s="147"/>
      <c r="WNA146" s="147"/>
      <c r="WNB146" s="147"/>
      <c r="WNC146" s="147"/>
      <c r="WND146" s="147"/>
      <c r="WNE146" s="147"/>
      <c r="WNF146" s="147"/>
      <c r="WNG146" s="147"/>
      <c r="WNH146" s="147"/>
      <c r="WNI146" s="147"/>
      <c r="WNJ146" s="147"/>
      <c r="WNK146" s="147"/>
      <c r="WNL146" s="147"/>
      <c r="WNM146" s="147"/>
      <c r="WNN146" s="147"/>
      <c r="WNO146" s="147"/>
      <c r="WNP146" s="147"/>
      <c r="WNQ146" s="147"/>
      <c r="WNR146" s="147"/>
      <c r="WNS146" s="147"/>
      <c r="WNT146" s="147"/>
      <c r="WNU146" s="147"/>
      <c r="WNV146" s="147"/>
      <c r="WNW146" s="147"/>
      <c r="WNX146" s="147"/>
      <c r="WNY146" s="147"/>
      <c r="WNZ146" s="147"/>
      <c r="WOA146" s="147"/>
      <c r="WOB146" s="147"/>
      <c r="WOC146" s="147"/>
      <c r="WOD146" s="147"/>
      <c r="WOE146" s="147"/>
      <c r="WOF146" s="147"/>
      <c r="WOG146" s="147"/>
      <c r="WOH146" s="147"/>
      <c r="WOI146" s="147"/>
      <c r="WOJ146" s="147"/>
      <c r="WOK146" s="147"/>
      <c r="WOL146" s="147"/>
      <c r="WOM146" s="147"/>
      <c r="WON146" s="147"/>
      <c r="WOO146" s="147"/>
      <c r="WOP146" s="147"/>
      <c r="WOQ146" s="147"/>
      <c r="WOR146" s="147"/>
      <c r="WOS146" s="147"/>
      <c r="WOT146" s="147"/>
      <c r="WOU146" s="147"/>
      <c r="WOV146" s="147"/>
      <c r="WOW146" s="147"/>
      <c r="WOX146" s="147"/>
      <c r="WOY146" s="147"/>
      <c r="WOZ146" s="147"/>
      <c r="WPA146" s="147"/>
      <c r="WPB146" s="147"/>
      <c r="WPC146" s="147"/>
      <c r="WPD146" s="147"/>
      <c r="WPE146" s="147"/>
      <c r="WPF146" s="147"/>
      <c r="WPG146" s="147"/>
      <c r="WPH146" s="147"/>
      <c r="WPI146" s="147"/>
      <c r="WPJ146" s="147"/>
      <c r="WPK146" s="147"/>
      <c r="WPL146" s="147"/>
      <c r="WPM146" s="147"/>
      <c r="WPN146" s="147"/>
      <c r="WPO146" s="147"/>
      <c r="WPP146" s="147"/>
      <c r="WPQ146" s="147"/>
      <c r="WPR146" s="147"/>
      <c r="WPS146" s="147"/>
      <c r="WPT146" s="147"/>
      <c r="WPU146" s="147"/>
      <c r="WPV146" s="147"/>
      <c r="WPW146" s="147"/>
      <c r="WPX146" s="147"/>
      <c r="WPY146" s="147"/>
      <c r="WPZ146" s="147"/>
      <c r="WQA146" s="147"/>
      <c r="WQB146" s="147"/>
      <c r="WQC146" s="147"/>
      <c r="WQD146" s="147"/>
      <c r="WQE146" s="147"/>
      <c r="WQF146" s="147"/>
      <c r="WQG146" s="147"/>
      <c r="WQH146" s="147"/>
      <c r="WQI146" s="147"/>
      <c r="WQJ146" s="147"/>
      <c r="WQK146" s="147"/>
      <c r="WQL146" s="147"/>
      <c r="WQM146" s="147"/>
      <c r="WQN146" s="147"/>
      <c r="WQO146" s="147"/>
      <c r="WQP146" s="147"/>
      <c r="WQQ146" s="147"/>
      <c r="WQR146" s="147"/>
      <c r="WQS146" s="147"/>
      <c r="WQT146" s="147"/>
      <c r="WQU146" s="147"/>
      <c r="WQV146" s="147"/>
      <c r="WQW146" s="147"/>
      <c r="WQX146" s="147"/>
      <c r="WQY146" s="147"/>
      <c r="WQZ146" s="147"/>
      <c r="WRA146" s="147"/>
      <c r="WRB146" s="147"/>
      <c r="WRC146" s="147"/>
      <c r="WRD146" s="147"/>
      <c r="WRE146" s="147"/>
      <c r="WRF146" s="147"/>
      <c r="WRG146" s="147"/>
      <c r="WRH146" s="147"/>
      <c r="WRI146" s="147"/>
      <c r="WRJ146" s="147"/>
      <c r="WRK146" s="147"/>
      <c r="WRL146" s="147"/>
      <c r="WRM146" s="147"/>
      <c r="WRN146" s="147"/>
      <c r="WRO146" s="147"/>
      <c r="WRP146" s="147"/>
      <c r="WRQ146" s="147"/>
      <c r="WRR146" s="147"/>
      <c r="WRS146" s="147"/>
      <c r="WRT146" s="147"/>
      <c r="WRU146" s="147"/>
      <c r="WRV146" s="147"/>
      <c r="WRW146" s="147"/>
      <c r="WRX146" s="147"/>
      <c r="WRY146" s="147"/>
      <c r="WRZ146" s="147"/>
      <c r="WSA146" s="147"/>
      <c r="WSB146" s="147"/>
      <c r="WSC146" s="147"/>
      <c r="WSD146" s="147"/>
      <c r="WSE146" s="147"/>
      <c r="WSF146" s="147"/>
      <c r="WSG146" s="147"/>
      <c r="WSH146" s="147"/>
      <c r="WSI146" s="147"/>
      <c r="WSJ146" s="147"/>
      <c r="WSK146" s="147"/>
      <c r="WSL146" s="147"/>
      <c r="WSM146" s="147"/>
      <c r="WSN146" s="147"/>
      <c r="WSO146" s="147"/>
      <c r="WSP146" s="147"/>
      <c r="WSQ146" s="147"/>
      <c r="WSR146" s="147"/>
      <c r="WSS146" s="147"/>
      <c r="WST146" s="147"/>
      <c r="WSU146" s="147"/>
      <c r="WSV146" s="147"/>
      <c r="WSW146" s="147"/>
      <c r="WSX146" s="147"/>
      <c r="WSY146" s="147"/>
      <c r="WSZ146" s="147"/>
      <c r="WTA146" s="147"/>
      <c r="WTB146" s="147"/>
      <c r="WTC146" s="147"/>
      <c r="WTD146" s="147"/>
      <c r="WTE146" s="147"/>
      <c r="WTF146" s="147"/>
      <c r="WTG146" s="147"/>
      <c r="WTH146" s="147"/>
      <c r="WTI146" s="147"/>
      <c r="WTJ146" s="147"/>
      <c r="WTK146" s="147"/>
      <c r="WTL146" s="147"/>
      <c r="WTM146" s="147"/>
      <c r="WTN146" s="147"/>
      <c r="WTO146" s="147"/>
      <c r="WTP146" s="147"/>
      <c r="WTQ146" s="147"/>
      <c r="WTR146" s="147"/>
      <c r="WTS146" s="147"/>
      <c r="WTT146" s="147"/>
      <c r="WTU146" s="147"/>
      <c r="WTV146" s="147"/>
      <c r="WTW146" s="147"/>
      <c r="WTX146" s="147"/>
      <c r="WTY146" s="147"/>
      <c r="WTZ146" s="147"/>
      <c r="WUA146" s="147"/>
      <c r="WUB146" s="147"/>
      <c r="WUC146" s="147"/>
      <c r="WUD146" s="147"/>
      <c r="WUE146" s="147"/>
      <c r="WUF146" s="147"/>
      <c r="WUG146" s="147"/>
      <c r="WUH146" s="147"/>
      <c r="WUI146" s="147"/>
      <c r="WUJ146" s="147"/>
      <c r="WUK146" s="147"/>
      <c r="WUL146" s="147"/>
      <c r="WUM146" s="147"/>
      <c r="WUN146" s="147"/>
      <c r="WUO146" s="147"/>
      <c r="WUP146" s="147"/>
      <c r="WUQ146" s="147"/>
      <c r="WUR146" s="147"/>
      <c r="WUS146" s="147"/>
      <c r="WUT146" s="147"/>
      <c r="WUU146" s="147"/>
      <c r="WUV146" s="147"/>
      <c r="WUW146" s="147"/>
      <c r="WUX146" s="147"/>
      <c r="WUY146" s="147"/>
      <c r="WUZ146" s="147"/>
      <c r="WVA146" s="147"/>
      <c r="WVB146" s="147"/>
      <c r="WVC146" s="147"/>
      <c r="WVD146" s="147"/>
      <c r="WVE146" s="147"/>
      <c r="WVF146" s="147"/>
      <c r="WVG146" s="147"/>
      <c r="WVH146" s="147"/>
      <c r="WVI146" s="147"/>
      <c r="WVJ146" s="147"/>
      <c r="WVK146" s="147"/>
      <c r="WVL146" s="147"/>
      <c r="WVM146" s="147"/>
      <c r="WVN146" s="147"/>
      <c r="WVO146" s="147"/>
      <c r="WVP146" s="147"/>
      <c r="WVQ146" s="147"/>
      <c r="WVR146" s="147"/>
      <c r="WVS146" s="147"/>
      <c r="WVT146" s="147"/>
      <c r="WVU146" s="147"/>
      <c r="WVV146" s="147"/>
      <c r="WVW146" s="147"/>
      <c r="WVX146" s="147"/>
      <c r="WVY146" s="147"/>
      <c r="WVZ146" s="147"/>
      <c r="WWA146" s="147"/>
      <c r="WWB146" s="147"/>
      <c r="WWC146" s="147"/>
      <c r="WWD146" s="147"/>
      <c r="WWE146" s="147"/>
      <c r="WWF146" s="147"/>
      <c r="WWG146" s="147"/>
      <c r="WWH146" s="147"/>
      <c r="WWI146" s="147"/>
      <c r="WWJ146" s="147"/>
      <c r="WWK146" s="147"/>
      <c r="WWL146" s="147"/>
      <c r="WWM146" s="147"/>
      <c r="WWN146" s="147"/>
      <c r="WWO146" s="147"/>
      <c r="WWP146" s="147"/>
      <c r="WWQ146" s="147"/>
      <c r="WWR146" s="147"/>
      <c r="WWS146" s="147"/>
      <c r="WWT146" s="147"/>
      <c r="WWU146" s="147"/>
      <c r="WWV146" s="147"/>
      <c r="WWW146" s="147"/>
      <c r="WWX146" s="147"/>
      <c r="WWY146" s="147"/>
      <c r="WWZ146" s="147"/>
      <c r="WXA146" s="147"/>
      <c r="WXB146" s="147"/>
      <c r="WXC146" s="147"/>
      <c r="WXD146" s="147"/>
      <c r="WXE146" s="147"/>
      <c r="WXF146" s="147"/>
      <c r="WXG146" s="147"/>
      <c r="WXH146" s="147"/>
      <c r="WXI146" s="147"/>
      <c r="WXJ146" s="147"/>
      <c r="WXK146" s="147"/>
      <c r="WXL146" s="147"/>
      <c r="WXM146" s="147"/>
      <c r="WXN146" s="147"/>
      <c r="WXO146" s="147"/>
      <c r="WXP146" s="147"/>
      <c r="WXQ146" s="147"/>
      <c r="WXR146" s="147"/>
      <c r="WXS146" s="147"/>
      <c r="WXT146" s="147"/>
      <c r="WXU146" s="147"/>
      <c r="WXV146" s="147"/>
      <c r="WXW146" s="147"/>
      <c r="WXX146" s="147"/>
      <c r="WXY146" s="147"/>
      <c r="WXZ146" s="147"/>
      <c r="WYA146" s="147"/>
      <c r="WYB146" s="147"/>
      <c r="WYC146" s="147"/>
      <c r="WYD146" s="147"/>
      <c r="WYE146" s="147"/>
      <c r="WYF146" s="147"/>
      <c r="WYG146" s="147"/>
      <c r="WYH146" s="147"/>
      <c r="WYI146" s="147"/>
      <c r="WYJ146" s="147"/>
      <c r="WYK146" s="147"/>
      <c r="WYL146" s="147"/>
      <c r="WYM146" s="147"/>
      <c r="WYN146" s="147"/>
      <c r="WYO146" s="147"/>
      <c r="WYP146" s="147"/>
      <c r="WYQ146" s="147"/>
      <c r="WYR146" s="147"/>
      <c r="WYS146" s="147"/>
      <c r="WYT146" s="147"/>
      <c r="WYU146" s="147"/>
      <c r="WYV146" s="147"/>
      <c r="WYW146" s="147"/>
      <c r="WYX146" s="147"/>
      <c r="WYY146" s="147"/>
      <c r="WYZ146" s="147"/>
      <c r="WZA146" s="147"/>
      <c r="WZB146" s="147"/>
      <c r="WZC146" s="147"/>
      <c r="WZD146" s="147"/>
      <c r="WZE146" s="147"/>
      <c r="WZF146" s="147"/>
      <c r="WZG146" s="147"/>
      <c r="WZH146" s="147"/>
      <c r="WZI146" s="147"/>
      <c r="WZJ146" s="147"/>
      <c r="WZK146" s="147"/>
      <c r="WZL146" s="147"/>
      <c r="WZM146" s="147"/>
      <c r="WZN146" s="147"/>
      <c r="WZO146" s="147"/>
      <c r="WZP146" s="147"/>
      <c r="WZQ146" s="147"/>
      <c r="WZR146" s="147"/>
      <c r="WZS146" s="147"/>
      <c r="WZT146" s="147"/>
      <c r="WZU146" s="147"/>
      <c r="WZV146" s="147"/>
      <c r="WZW146" s="147"/>
      <c r="WZX146" s="147"/>
      <c r="WZY146" s="147"/>
      <c r="WZZ146" s="147"/>
      <c r="XAA146" s="147"/>
      <c r="XAB146" s="147"/>
      <c r="XAC146" s="147"/>
      <c r="XAD146" s="147"/>
      <c r="XAE146" s="147"/>
      <c r="XAF146" s="147"/>
      <c r="XAG146" s="147"/>
      <c r="XAH146" s="147"/>
      <c r="XAI146" s="147"/>
      <c r="XAJ146" s="147"/>
      <c r="XAK146" s="147"/>
      <c r="XAL146" s="147"/>
      <c r="XAM146" s="147"/>
      <c r="XAN146" s="147"/>
      <c r="XAO146" s="147"/>
      <c r="XAP146" s="147"/>
      <c r="XAQ146" s="147"/>
      <c r="XAR146" s="147"/>
      <c r="XAS146" s="147"/>
      <c r="XAT146" s="147"/>
      <c r="XAU146" s="147"/>
      <c r="XAV146" s="147"/>
      <c r="XAW146" s="147"/>
      <c r="XAX146" s="147"/>
      <c r="XAY146" s="147"/>
      <c r="XAZ146" s="147"/>
      <c r="XBA146" s="147"/>
      <c r="XBB146" s="147"/>
      <c r="XBC146" s="147"/>
      <c r="XBD146" s="147"/>
      <c r="XBE146" s="147"/>
      <c r="XBF146" s="147"/>
      <c r="XBG146" s="147"/>
      <c r="XBH146" s="147"/>
      <c r="XBI146" s="147"/>
      <c r="XBJ146" s="147"/>
      <c r="XBK146" s="147"/>
      <c r="XBL146" s="147"/>
      <c r="XBM146" s="147"/>
      <c r="XBN146" s="147"/>
      <c r="XBO146" s="147"/>
      <c r="XBP146" s="147"/>
      <c r="XBQ146" s="147"/>
      <c r="XBR146" s="147"/>
      <c r="XBS146" s="147"/>
      <c r="XBT146" s="147"/>
      <c r="XBU146" s="147"/>
      <c r="XBV146" s="147"/>
      <c r="XBW146" s="147"/>
      <c r="XBX146" s="147"/>
      <c r="XBY146" s="147"/>
      <c r="XBZ146" s="147"/>
      <c r="XCA146" s="147"/>
      <c r="XCB146" s="147"/>
      <c r="XCC146" s="147"/>
      <c r="XCD146" s="147"/>
      <c r="XCE146" s="147"/>
      <c r="XCF146" s="147"/>
      <c r="XCG146" s="147"/>
      <c r="XCH146" s="147"/>
      <c r="XCI146" s="147"/>
      <c r="XCJ146" s="147"/>
      <c r="XCK146" s="147"/>
      <c r="XCL146" s="147"/>
      <c r="XCM146" s="147"/>
      <c r="XCN146" s="147"/>
      <c r="XCO146" s="147"/>
      <c r="XCP146" s="147"/>
      <c r="XCQ146" s="147"/>
      <c r="XCR146" s="147"/>
      <c r="XCS146" s="147"/>
      <c r="XCT146" s="147"/>
      <c r="XCU146" s="147"/>
      <c r="XCV146" s="147"/>
      <c r="XCW146" s="147"/>
      <c r="XCX146" s="147"/>
      <c r="XCY146" s="147"/>
      <c r="XCZ146" s="147"/>
      <c r="XDA146" s="147"/>
      <c r="XDB146" s="147"/>
      <c r="XDC146" s="147"/>
      <c r="XDD146" s="147"/>
      <c r="XDE146" s="147"/>
      <c r="XDF146" s="147"/>
      <c r="XDG146" s="147"/>
      <c r="XDH146" s="147"/>
      <c r="XDI146" s="147"/>
      <c r="XDJ146" s="147"/>
      <c r="XDK146" s="147"/>
      <c r="XDL146" s="147"/>
      <c r="XDM146" s="147"/>
      <c r="XDN146" s="147"/>
      <c r="XDO146" s="147"/>
      <c r="XDP146" s="147"/>
      <c r="XDQ146" s="147"/>
      <c r="XDR146" s="147"/>
      <c r="XDS146" s="147"/>
      <c r="XDT146" s="147"/>
      <c r="XDU146" s="147"/>
      <c r="XDV146" s="147"/>
      <c r="XDW146" s="147"/>
      <c r="XDX146" s="147"/>
      <c r="XDY146" s="147"/>
      <c r="XDZ146" s="147"/>
      <c r="XEA146" s="147"/>
      <c r="XEB146" s="147"/>
      <c r="XEC146" s="147"/>
      <c r="XED146" s="147"/>
      <c r="XEE146" s="147"/>
      <c r="XEF146" s="147"/>
      <c r="XEG146" s="147"/>
      <c r="XEH146" s="147"/>
      <c r="XEI146" s="147"/>
      <c r="XEJ146" s="147"/>
      <c r="XEK146" s="147"/>
      <c r="XEL146" s="147"/>
      <c r="XEM146" s="147"/>
      <c r="XEN146" s="147"/>
      <c r="XEO146" s="147"/>
      <c r="XEP146" s="147"/>
      <c r="XEQ146" s="147"/>
      <c r="XER146" s="147"/>
      <c r="XES146" s="147"/>
      <c r="XET146" s="147"/>
      <c r="XEU146" s="147"/>
      <c r="XEV146" s="147"/>
      <c r="XEW146" s="147"/>
      <c r="XEX146" s="147"/>
      <c r="XEY146" s="147"/>
      <c r="XEZ146" s="147"/>
      <c r="XFA146" s="147"/>
      <c r="XFB146" s="147"/>
      <c r="XFC146" s="147"/>
      <c r="XFD146" s="147"/>
    </row>
    <row r="147" spans="1:16384" ht="17.25" customHeight="1" x14ac:dyDescent="0.35">
      <c r="A147" s="138">
        <v>1</v>
      </c>
      <c r="B147" s="160" t="s">
        <v>349</v>
      </c>
      <c r="C147" s="123">
        <f>1100+4000</f>
        <v>5100</v>
      </c>
      <c r="D147" s="127">
        <v>0</v>
      </c>
      <c r="E147" s="128">
        <f t="shared" si="42"/>
        <v>5100</v>
      </c>
      <c r="F147" s="24" t="s">
        <v>17</v>
      </c>
      <c r="G147" s="57"/>
      <c r="H147" s="103">
        <f t="shared" ref="H147:H155" si="47">G147*E147</f>
        <v>0</v>
      </c>
      <c r="I147" s="104">
        <f t="shared" ref="I147:I155" si="48">L$4</f>
        <v>0</v>
      </c>
      <c r="J147" s="113">
        <v>255</v>
      </c>
      <c r="K147" s="105">
        <f t="shared" ref="K147:K155" si="49">J147*I147</f>
        <v>0</v>
      </c>
      <c r="L147" s="106">
        <f t="shared" ref="L147:L155" si="50">K147+H147</f>
        <v>0</v>
      </c>
    </row>
    <row r="148" spans="1:16384" ht="17.25" customHeight="1" x14ac:dyDescent="0.35">
      <c r="A148" s="126">
        <v>2</v>
      </c>
      <c r="B148" s="26" t="s">
        <v>350</v>
      </c>
      <c r="C148" s="123">
        <f>12300+12300</f>
        <v>24600</v>
      </c>
      <c r="D148" s="127">
        <v>0</v>
      </c>
      <c r="E148" s="128">
        <f t="shared" si="42"/>
        <v>24600</v>
      </c>
      <c r="F148" s="24" t="s">
        <v>17</v>
      </c>
      <c r="G148" s="57"/>
      <c r="H148" s="103">
        <f t="shared" si="47"/>
        <v>0</v>
      </c>
      <c r="I148" s="104">
        <f t="shared" si="48"/>
        <v>0</v>
      </c>
      <c r="J148" s="113">
        <v>1107</v>
      </c>
      <c r="K148" s="105">
        <f t="shared" si="49"/>
        <v>0</v>
      </c>
      <c r="L148" s="106">
        <f t="shared" si="50"/>
        <v>0</v>
      </c>
    </row>
    <row r="149" spans="1:16384" ht="17.25" customHeight="1" x14ac:dyDescent="0.35">
      <c r="A149" s="126">
        <v>3</v>
      </c>
      <c r="B149" s="26" t="s">
        <v>351</v>
      </c>
      <c r="C149" s="123">
        <v>1200</v>
      </c>
      <c r="D149" s="127">
        <v>0</v>
      </c>
      <c r="E149" s="128">
        <f t="shared" si="42"/>
        <v>1200</v>
      </c>
      <c r="F149" s="24" t="s">
        <v>17</v>
      </c>
      <c r="G149" s="57"/>
      <c r="H149" s="103">
        <f t="shared" si="47"/>
        <v>0</v>
      </c>
      <c r="I149" s="104">
        <f t="shared" si="48"/>
        <v>0</v>
      </c>
      <c r="J149" s="113">
        <v>78</v>
      </c>
      <c r="K149" s="105">
        <f t="shared" si="49"/>
        <v>0</v>
      </c>
      <c r="L149" s="106">
        <f t="shared" si="50"/>
        <v>0</v>
      </c>
    </row>
    <row r="150" spans="1:16384" ht="17.25" customHeight="1" x14ac:dyDescent="0.35">
      <c r="A150" s="126">
        <v>4</v>
      </c>
      <c r="B150" s="26" t="s">
        <v>352</v>
      </c>
      <c r="C150" s="123">
        <v>1325</v>
      </c>
      <c r="D150" s="127">
        <v>0</v>
      </c>
      <c r="E150" s="128">
        <f t="shared" si="42"/>
        <v>1325</v>
      </c>
      <c r="F150" s="24" t="s">
        <v>17</v>
      </c>
      <c r="G150" s="57"/>
      <c r="H150" s="103">
        <f t="shared" si="47"/>
        <v>0</v>
      </c>
      <c r="I150" s="104">
        <f t="shared" si="48"/>
        <v>0</v>
      </c>
      <c r="J150" s="113">
        <v>82</v>
      </c>
      <c r="K150" s="105">
        <f t="shared" si="49"/>
        <v>0</v>
      </c>
      <c r="L150" s="106">
        <f t="shared" si="50"/>
        <v>0</v>
      </c>
    </row>
    <row r="151" spans="1:16384" ht="17.25" customHeight="1" x14ac:dyDescent="0.35">
      <c r="A151" s="126">
        <v>5</v>
      </c>
      <c r="B151" s="26" t="s">
        <v>353</v>
      </c>
      <c r="C151" s="123">
        <v>275</v>
      </c>
      <c r="D151" s="127">
        <v>0</v>
      </c>
      <c r="E151" s="128">
        <f t="shared" si="42"/>
        <v>275</v>
      </c>
      <c r="F151" s="24" t="s">
        <v>17</v>
      </c>
      <c r="G151" s="57"/>
      <c r="H151" s="103">
        <f t="shared" si="47"/>
        <v>0</v>
      </c>
      <c r="I151" s="104">
        <f t="shared" si="48"/>
        <v>0</v>
      </c>
      <c r="J151" s="113">
        <v>19</v>
      </c>
      <c r="K151" s="105">
        <f t="shared" si="49"/>
        <v>0</v>
      </c>
      <c r="L151" s="106">
        <f t="shared" si="50"/>
        <v>0</v>
      </c>
    </row>
    <row r="152" spans="1:16384" ht="17.25" customHeight="1" x14ac:dyDescent="0.35">
      <c r="A152" s="126">
        <v>6</v>
      </c>
      <c r="B152" s="26" t="s">
        <v>354</v>
      </c>
      <c r="C152" s="123">
        <v>200</v>
      </c>
      <c r="D152" s="127">
        <v>0</v>
      </c>
      <c r="E152" s="128">
        <f t="shared" si="42"/>
        <v>200</v>
      </c>
      <c r="F152" s="24" t="s">
        <v>17</v>
      </c>
      <c r="G152" s="57"/>
      <c r="H152" s="103">
        <f t="shared" si="47"/>
        <v>0</v>
      </c>
      <c r="I152" s="104">
        <f t="shared" si="48"/>
        <v>0</v>
      </c>
      <c r="J152" s="113">
        <v>16</v>
      </c>
      <c r="K152" s="105">
        <f t="shared" si="49"/>
        <v>0</v>
      </c>
      <c r="L152" s="106">
        <f t="shared" si="50"/>
        <v>0</v>
      </c>
    </row>
    <row r="153" spans="1:16384" ht="17.25" customHeight="1" x14ac:dyDescent="0.35">
      <c r="A153" s="126">
        <v>7</v>
      </c>
      <c r="B153" s="26" t="s">
        <v>355</v>
      </c>
      <c r="C153" s="123">
        <v>125</v>
      </c>
      <c r="D153" s="127">
        <v>0</v>
      </c>
      <c r="E153" s="128">
        <f t="shared" si="42"/>
        <v>125</v>
      </c>
      <c r="F153" s="24" t="s">
        <v>17</v>
      </c>
      <c r="G153" s="57"/>
      <c r="H153" s="103">
        <f t="shared" si="47"/>
        <v>0</v>
      </c>
      <c r="I153" s="104">
        <f t="shared" si="48"/>
        <v>0</v>
      </c>
      <c r="J153" s="113">
        <v>12</v>
      </c>
      <c r="K153" s="105">
        <f t="shared" si="49"/>
        <v>0</v>
      </c>
      <c r="L153" s="106">
        <f t="shared" si="50"/>
        <v>0</v>
      </c>
    </row>
    <row r="154" spans="1:16384" ht="17.25" customHeight="1" x14ac:dyDescent="0.35">
      <c r="A154" s="126">
        <v>8</v>
      </c>
      <c r="B154" s="26" t="s">
        <v>356</v>
      </c>
      <c r="C154" s="123">
        <v>2650</v>
      </c>
      <c r="D154" s="127">
        <v>0</v>
      </c>
      <c r="E154" s="128">
        <f t="shared" si="42"/>
        <v>2650</v>
      </c>
      <c r="F154" s="24" t="s">
        <v>17</v>
      </c>
      <c r="G154" s="57"/>
      <c r="H154" s="103">
        <f t="shared" si="47"/>
        <v>0</v>
      </c>
      <c r="I154" s="104">
        <f t="shared" si="48"/>
        <v>0</v>
      </c>
      <c r="J154" s="113">
        <v>292</v>
      </c>
      <c r="K154" s="105">
        <f t="shared" si="49"/>
        <v>0</v>
      </c>
      <c r="L154" s="106">
        <f t="shared" si="50"/>
        <v>0</v>
      </c>
    </row>
    <row r="155" spans="1:16384" ht="17.25" customHeight="1" x14ac:dyDescent="0.35">
      <c r="A155" s="126">
        <v>9</v>
      </c>
      <c r="B155" s="26" t="s">
        <v>357</v>
      </c>
      <c r="C155" s="123">
        <v>900</v>
      </c>
      <c r="D155" s="127">
        <v>0</v>
      </c>
      <c r="E155" s="128">
        <f t="shared" si="42"/>
        <v>900</v>
      </c>
      <c r="F155" s="24" t="s">
        <v>17</v>
      </c>
      <c r="G155" s="57"/>
      <c r="H155" s="103">
        <f t="shared" si="47"/>
        <v>0</v>
      </c>
      <c r="I155" s="104">
        <f t="shared" si="48"/>
        <v>0</v>
      </c>
      <c r="J155" s="113">
        <v>113</v>
      </c>
      <c r="K155" s="105">
        <f t="shared" si="49"/>
        <v>0</v>
      </c>
      <c r="L155" s="106">
        <f t="shared" si="50"/>
        <v>0</v>
      </c>
    </row>
    <row r="156" spans="1:16384" ht="17.25" customHeight="1" thickBot="1" x14ac:dyDescent="0.4">
      <c r="A156" s="129"/>
      <c r="B156" s="130"/>
      <c r="C156" s="123"/>
      <c r="D156" s="127"/>
      <c r="E156" s="128"/>
      <c r="F156" s="24"/>
      <c r="G156" s="131"/>
      <c r="H156" s="131"/>
      <c r="I156" s="132"/>
      <c r="J156" s="113"/>
      <c r="K156" s="132"/>
      <c r="L156" s="133"/>
    </row>
    <row r="157" spans="1:16384" ht="17.25" customHeight="1" thickBot="1" x14ac:dyDescent="0.4">
      <c r="A157" s="382" t="s">
        <v>358</v>
      </c>
      <c r="B157" s="383"/>
      <c r="C157" s="134"/>
      <c r="D157" s="127"/>
      <c r="E157" s="128"/>
      <c r="F157" s="24"/>
      <c r="G157" s="135"/>
      <c r="H157" s="135"/>
      <c r="I157" s="132"/>
      <c r="J157" s="113"/>
      <c r="K157" s="136"/>
      <c r="L157" s="137"/>
    </row>
    <row r="158" spans="1:16384" x14ac:dyDescent="0.35">
      <c r="A158" s="138">
        <v>1</v>
      </c>
      <c r="B158" s="139" t="s">
        <v>376</v>
      </c>
      <c r="C158" s="123">
        <v>1</v>
      </c>
      <c r="D158" s="127">
        <v>0</v>
      </c>
      <c r="E158" s="128">
        <f t="shared" si="42"/>
        <v>1</v>
      </c>
      <c r="F158" s="24" t="s">
        <v>18</v>
      </c>
      <c r="G158" s="57"/>
      <c r="H158" s="103">
        <f t="shared" ref="H158:H197" si="51">G158*E158</f>
        <v>0</v>
      </c>
      <c r="I158" s="104">
        <f t="shared" ref="I158:I197" si="52">L$4</f>
        <v>0</v>
      </c>
      <c r="J158" s="113">
        <v>28</v>
      </c>
      <c r="K158" s="105">
        <f t="shared" ref="K158:K197" si="53">J158*I158</f>
        <v>0</v>
      </c>
      <c r="L158" s="106">
        <f t="shared" ref="L158:L197" si="54">K158+H158</f>
        <v>0</v>
      </c>
    </row>
    <row r="159" spans="1:16384" x14ac:dyDescent="0.35">
      <c r="A159" s="126">
        <v>2</v>
      </c>
      <c r="B159" s="140" t="s">
        <v>377</v>
      </c>
      <c r="C159" s="123">
        <v>1</v>
      </c>
      <c r="D159" s="127">
        <v>0</v>
      </c>
      <c r="E159" s="128">
        <f t="shared" si="42"/>
        <v>1</v>
      </c>
      <c r="F159" s="24" t="s">
        <v>18</v>
      </c>
      <c r="G159" s="57"/>
      <c r="H159" s="103">
        <f t="shared" si="51"/>
        <v>0</v>
      </c>
      <c r="I159" s="104">
        <f t="shared" si="52"/>
        <v>0</v>
      </c>
      <c r="J159" s="113">
        <v>24</v>
      </c>
      <c r="K159" s="105">
        <f t="shared" si="53"/>
        <v>0</v>
      </c>
      <c r="L159" s="106">
        <f t="shared" si="54"/>
        <v>0</v>
      </c>
    </row>
    <row r="160" spans="1:16384" x14ac:dyDescent="0.35">
      <c r="A160" s="126">
        <v>3</v>
      </c>
      <c r="B160" s="140" t="s">
        <v>378</v>
      </c>
      <c r="C160" s="123">
        <v>1</v>
      </c>
      <c r="D160" s="127">
        <v>0</v>
      </c>
      <c r="E160" s="128">
        <f t="shared" si="42"/>
        <v>1</v>
      </c>
      <c r="F160" s="24" t="s">
        <v>18</v>
      </c>
      <c r="G160" s="57"/>
      <c r="H160" s="103">
        <f t="shared" si="51"/>
        <v>0</v>
      </c>
      <c r="I160" s="104">
        <f t="shared" si="52"/>
        <v>0</v>
      </c>
      <c r="J160" s="113">
        <v>28</v>
      </c>
      <c r="K160" s="105">
        <f t="shared" si="53"/>
        <v>0</v>
      </c>
      <c r="L160" s="106">
        <f t="shared" si="54"/>
        <v>0</v>
      </c>
    </row>
    <row r="161" spans="1:12" ht="29" x14ac:dyDescent="0.35">
      <c r="A161" s="126">
        <v>4</v>
      </c>
      <c r="B161" s="140" t="s">
        <v>379</v>
      </c>
      <c r="C161" s="123">
        <v>1</v>
      </c>
      <c r="D161" s="127">
        <v>0</v>
      </c>
      <c r="E161" s="128">
        <f t="shared" si="42"/>
        <v>1</v>
      </c>
      <c r="F161" s="24" t="s">
        <v>18</v>
      </c>
      <c r="G161" s="57"/>
      <c r="H161" s="103">
        <f t="shared" si="51"/>
        <v>0</v>
      </c>
      <c r="I161" s="104">
        <f t="shared" si="52"/>
        <v>0</v>
      </c>
      <c r="J161" s="113">
        <v>8</v>
      </c>
      <c r="K161" s="105">
        <f t="shared" si="53"/>
        <v>0</v>
      </c>
      <c r="L161" s="106">
        <f t="shared" si="54"/>
        <v>0</v>
      </c>
    </row>
    <row r="162" spans="1:12" ht="29" x14ac:dyDescent="0.35">
      <c r="A162" s="126">
        <v>5</v>
      </c>
      <c r="B162" s="140" t="s">
        <v>380</v>
      </c>
      <c r="C162" s="123">
        <v>1</v>
      </c>
      <c r="D162" s="127">
        <v>0</v>
      </c>
      <c r="E162" s="128">
        <f t="shared" si="42"/>
        <v>1</v>
      </c>
      <c r="F162" s="24" t="s">
        <v>18</v>
      </c>
      <c r="G162" s="57"/>
      <c r="H162" s="103">
        <f t="shared" si="51"/>
        <v>0</v>
      </c>
      <c r="I162" s="104">
        <f t="shared" si="52"/>
        <v>0</v>
      </c>
      <c r="J162" s="113">
        <v>6</v>
      </c>
      <c r="K162" s="105">
        <f t="shared" si="53"/>
        <v>0</v>
      </c>
      <c r="L162" s="106">
        <f t="shared" si="54"/>
        <v>0</v>
      </c>
    </row>
    <row r="163" spans="1:12" ht="29" x14ac:dyDescent="0.35">
      <c r="A163" s="126">
        <v>6</v>
      </c>
      <c r="B163" s="140" t="s">
        <v>381</v>
      </c>
      <c r="C163" s="123">
        <v>1</v>
      </c>
      <c r="D163" s="127">
        <v>0</v>
      </c>
      <c r="E163" s="128">
        <f t="shared" si="42"/>
        <v>1</v>
      </c>
      <c r="F163" s="24" t="s">
        <v>18</v>
      </c>
      <c r="G163" s="57"/>
      <c r="H163" s="103">
        <f t="shared" si="51"/>
        <v>0</v>
      </c>
      <c r="I163" s="104">
        <f t="shared" si="52"/>
        <v>0</v>
      </c>
      <c r="J163" s="113">
        <v>2</v>
      </c>
      <c r="K163" s="105">
        <f t="shared" si="53"/>
        <v>0</v>
      </c>
      <c r="L163" s="106">
        <f t="shared" si="54"/>
        <v>0</v>
      </c>
    </row>
    <row r="164" spans="1:12" ht="29" x14ac:dyDescent="0.35">
      <c r="A164" s="126">
        <v>7</v>
      </c>
      <c r="B164" s="140" t="s">
        <v>382</v>
      </c>
      <c r="C164" s="123">
        <v>1</v>
      </c>
      <c r="D164" s="127">
        <v>0</v>
      </c>
      <c r="E164" s="128">
        <f t="shared" si="42"/>
        <v>1</v>
      </c>
      <c r="F164" s="24" t="s">
        <v>18</v>
      </c>
      <c r="G164" s="57"/>
      <c r="H164" s="103">
        <f t="shared" si="51"/>
        <v>0</v>
      </c>
      <c r="I164" s="104">
        <f t="shared" si="52"/>
        <v>0</v>
      </c>
      <c r="J164" s="113">
        <v>4</v>
      </c>
      <c r="K164" s="105">
        <f t="shared" si="53"/>
        <v>0</v>
      </c>
      <c r="L164" s="106">
        <f t="shared" si="54"/>
        <v>0</v>
      </c>
    </row>
    <row r="165" spans="1:12" ht="29" x14ac:dyDescent="0.35">
      <c r="A165" s="126">
        <v>8</v>
      </c>
      <c r="B165" s="140" t="s">
        <v>383</v>
      </c>
      <c r="C165" s="123">
        <v>1</v>
      </c>
      <c r="D165" s="127">
        <v>0</v>
      </c>
      <c r="E165" s="128">
        <f t="shared" si="42"/>
        <v>1</v>
      </c>
      <c r="F165" s="24" t="s">
        <v>18</v>
      </c>
      <c r="G165" s="57"/>
      <c r="H165" s="103">
        <f t="shared" si="51"/>
        <v>0</v>
      </c>
      <c r="I165" s="104">
        <f t="shared" si="52"/>
        <v>0</v>
      </c>
      <c r="J165" s="113">
        <v>6</v>
      </c>
      <c r="K165" s="105">
        <f t="shared" si="53"/>
        <v>0</v>
      </c>
      <c r="L165" s="106">
        <f t="shared" si="54"/>
        <v>0</v>
      </c>
    </row>
    <row r="166" spans="1:12" ht="29" x14ac:dyDescent="0.35">
      <c r="A166" s="126">
        <v>9</v>
      </c>
      <c r="B166" s="140" t="s">
        <v>384</v>
      </c>
      <c r="C166" s="123">
        <v>1</v>
      </c>
      <c r="D166" s="127">
        <v>0</v>
      </c>
      <c r="E166" s="128">
        <f t="shared" si="42"/>
        <v>1</v>
      </c>
      <c r="F166" s="24" t="s">
        <v>18</v>
      </c>
      <c r="G166" s="57"/>
      <c r="H166" s="103">
        <f t="shared" si="51"/>
        <v>0</v>
      </c>
      <c r="I166" s="104">
        <f t="shared" si="52"/>
        <v>0</v>
      </c>
      <c r="J166" s="113">
        <v>6</v>
      </c>
      <c r="K166" s="105">
        <f t="shared" si="53"/>
        <v>0</v>
      </c>
      <c r="L166" s="106">
        <f t="shared" si="54"/>
        <v>0</v>
      </c>
    </row>
    <row r="167" spans="1:12" ht="29" x14ac:dyDescent="0.35">
      <c r="A167" s="126">
        <v>10</v>
      </c>
      <c r="B167" s="140" t="s">
        <v>385</v>
      </c>
      <c r="C167" s="123">
        <v>1</v>
      </c>
      <c r="D167" s="127">
        <v>0</v>
      </c>
      <c r="E167" s="128">
        <f t="shared" si="42"/>
        <v>1</v>
      </c>
      <c r="F167" s="24" t="s">
        <v>18</v>
      </c>
      <c r="G167" s="57"/>
      <c r="H167" s="103">
        <f t="shared" si="51"/>
        <v>0</v>
      </c>
      <c r="I167" s="104">
        <f t="shared" si="52"/>
        <v>0</v>
      </c>
      <c r="J167" s="113">
        <v>8</v>
      </c>
      <c r="K167" s="105">
        <f t="shared" si="53"/>
        <v>0</v>
      </c>
      <c r="L167" s="106">
        <f t="shared" si="54"/>
        <v>0</v>
      </c>
    </row>
    <row r="168" spans="1:12" ht="29" x14ac:dyDescent="0.35">
      <c r="A168" s="126">
        <v>11</v>
      </c>
      <c r="B168" s="140" t="s">
        <v>386</v>
      </c>
      <c r="C168" s="123">
        <v>1</v>
      </c>
      <c r="D168" s="127">
        <v>0</v>
      </c>
      <c r="E168" s="128">
        <f t="shared" si="42"/>
        <v>1</v>
      </c>
      <c r="F168" s="24" t="s">
        <v>18</v>
      </c>
      <c r="G168" s="57"/>
      <c r="H168" s="103">
        <f t="shared" si="51"/>
        <v>0</v>
      </c>
      <c r="I168" s="104">
        <f t="shared" si="52"/>
        <v>0</v>
      </c>
      <c r="J168" s="113">
        <v>5</v>
      </c>
      <c r="K168" s="105">
        <f t="shared" si="53"/>
        <v>0</v>
      </c>
      <c r="L168" s="106">
        <f t="shared" si="54"/>
        <v>0</v>
      </c>
    </row>
    <row r="169" spans="1:12" ht="29" x14ac:dyDescent="0.35">
      <c r="A169" s="126">
        <v>12</v>
      </c>
      <c r="B169" s="140" t="s">
        <v>387</v>
      </c>
      <c r="C169" s="123">
        <v>1</v>
      </c>
      <c r="D169" s="127">
        <v>0</v>
      </c>
      <c r="E169" s="128">
        <f t="shared" si="42"/>
        <v>1</v>
      </c>
      <c r="F169" s="24" t="s">
        <v>18</v>
      </c>
      <c r="G169" s="57"/>
      <c r="H169" s="103">
        <f t="shared" si="51"/>
        <v>0</v>
      </c>
      <c r="I169" s="104">
        <f t="shared" si="52"/>
        <v>0</v>
      </c>
      <c r="J169" s="113">
        <v>5</v>
      </c>
      <c r="K169" s="105">
        <f t="shared" si="53"/>
        <v>0</v>
      </c>
      <c r="L169" s="106">
        <f t="shared" si="54"/>
        <v>0</v>
      </c>
    </row>
    <row r="170" spans="1:12" ht="29" x14ac:dyDescent="0.35">
      <c r="A170" s="126">
        <v>13</v>
      </c>
      <c r="B170" s="140" t="s">
        <v>388</v>
      </c>
      <c r="C170" s="123">
        <v>1</v>
      </c>
      <c r="D170" s="127">
        <v>0</v>
      </c>
      <c r="E170" s="128">
        <f t="shared" si="42"/>
        <v>1</v>
      </c>
      <c r="F170" s="24" t="s">
        <v>18</v>
      </c>
      <c r="G170" s="57"/>
      <c r="H170" s="103">
        <f t="shared" si="51"/>
        <v>0</v>
      </c>
      <c r="I170" s="104">
        <f t="shared" si="52"/>
        <v>0</v>
      </c>
      <c r="J170" s="113">
        <v>5</v>
      </c>
      <c r="K170" s="105">
        <f t="shared" si="53"/>
        <v>0</v>
      </c>
      <c r="L170" s="106">
        <f t="shared" si="54"/>
        <v>0</v>
      </c>
    </row>
    <row r="171" spans="1:12" ht="29" x14ac:dyDescent="0.35">
      <c r="A171" s="126">
        <v>14</v>
      </c>
      <c r="B171" s="140" t="s">
        <v>389</v>
      </c>
      <c r="C171" s="123">
        <v>1</v>
      </c>
      <c r="D171" s="127">
        <v>0</v>
      </c>
      <c r="E171" s="128">
        <f t="shared" si="42"/>
        <v>1</v>
      </c>
      <c r="F171" s="24" t="s">
        <v>18</v>
      </c>
      <c r="G171" s="57"/>
      <c r="H171" s="103">
        <f t="shared" si="51"/>
        <v>0</v>
      </c>
      <c r="I171" s="104">
        <f t="shared" si="52"/>
        <v>0</v>
      </c>
      <c r="J171" s="113">
        <v>5</v>
      </c>
      <c r="K171" s="105">
        <f t="shared" si="53"/>
        <v>0</v>
      </c>
      <c r="L171" s="106">
        <f t="shared" si="54"/>
        <v>0</v>
      </c>
    </row>
    <row r="172" spans="1:12" ht="29" x14ac:dyDescent="0.35">
      <c r="A172" s="126">
        <v>15</v>
      </c>
      <c r="B172" s="140" t="s">
        <v>390</v>
      </c>
      <c r="C172" s="123">
        <v>1</v>
      </c>
      <c r="D172" s="127">
        <v>0</v>
      </c>
      <c r="E172" s="128">
        <f t="shared" si="42"/>
        <v>1</v>
      </c>
      <c r="F172" s="24" t="s">
        <v>18</v>
      </c>
      <c r="G172" s="57"/>
      <c r="H172" s="103">
        <f t="shared" si="51"/>
        <v>0</v>
      </c>
      <c r="I172" s="104">
        <f t="shared" si="52"/>
        <v>0</v>
      </c>
      <c r="J172" s="113">
        <v>5</v>
      </c>
      <c r="K172" s="105">
        <f t="shared" si="53"/>
        <v>0</v>
      </c>
      <c r="L172" s="106">
        <f t="shared" si="54"/>
        <v>0</v>
      </c>
    </row>
    <row r="173" spans="1:12" ht="29" x14ac:dyDescent="0.35">
      <c r="A173" s="126">
        <v>16</v>
      </c>
      <c r="B173" s="140" t="s">
        <v>391</v>
      </c>
      <c r="C173" s="123">
        <v>1</v>
      </c>
      <c r="D173" s="127">
        <v>0</v>
      </c>
      <c r="E173" s="128">
        <f t="shared" si="42"/>
        <v>1</v>
      </c>
      <c r="F173" s="24" t="s">
        <v>18</v>
      </c>
      <c r="G173" s="57"/>
      <c r="H173" s="103">
        <f t="shared" si="51"/>
        <v>0</v>
      </c>
      <c r="I173" s="104">
        <f t="shared" si="52"/>
        <v>0</v>
      </c>
      <c r="J173" s="113">
        <v>5</v>
      </c>
      <c r="K173" s="105">
        <f t="shared" si="53"/>
        <v>0</v>
      </c>
      <c r="L173" s="106">
        <f t="shared" si="54"/>
        <v>0</v>
      </c>
    </row>
    <row r="174" spans="1:12" ht="29" x14ac:dyDescent="0.35">
      <c r="A174" s="126">
        <v>17</v>
      </c>
      <c r="B174" s="140" t="s">
        <v>392</v>
      </c>
      <c r="C174" s="123">
        <v>1</v>
      </c>
      <c r="D174" s="127">
        <v>0</v>
      </c>
      <c r="E174" s="128">
        <f t="shared" si="42"/>
        <v>1</v>
      </c>
      <c r="F174" s="24" t="s">
        <v>18</v>
      </c>
      <c r="G174" s="57"/>
      <c r="H174" s="103">
        <f t="shared" si="51"/>
        <v>0</v>
      </c>
      <c r="I174" s="104">
        <f t="shared" si="52"/>
        <v>0</v>
      </c>
      <c r="J174" s="113">
        <v>5</v>
      </c>
      <c r="K174" s="105">
        <f t="shared" si="53"/>
        <v>0</v>
      </c>
      <c r="L174" s="106">
        <f t="shared" si="54"/>
        <v>0</v>
      </c>
    </row>
    <row r="175" spans="1:12" ht="29" x14ac:dyDescent="0.35">
      <c r="A175" s="126">
        <v>18</v>
      </c>
      <c r="B175" s="140" t="s">
        <v>393</v>
      </c>
      <c r="C175" s="123">
        <v>1</v>
      </c>
      <c r="D175" s="127">
        <v>0</v>
      </c>
      <c r="E175" s="128">
        <f t="shared" si="42"/>
        <v>1</v>
      </c>
      <c r="F175" s="24" t="s">
        <v>18</v>
      </c>
      <c r="G175" s="57"/>
      <c r="H175" s="103">
        <f t="shared" si="51"/>
        <v>0</v>
      </c>
      <c r="I175" s="104">
        <f t="shared" si="52"/>
        <v>0</v>
      </c>
      <c r="J175" s="113">
        <v>5</v>
      </c>
      <c r="K175" s="105">
        <f t="shared" si="53"/>
        <v>0</v>
      </c>
      <c r="L175" s="106">
        <f t="shared" si="54"/>
        <v>0</v>
      </c>
    </row>
    <row r="176" spans="1:12" ht="29" x14ac:dyDescent="0.35">
      <c r="A176" s="126">
        <v>19</v>
      </c>
      <c r="B176" s="140" t="s">
        <v>394</v>
      </c>
      <c r="C176" s="123">
        <v>1</v>
      </c>
      <c r="D176" s="127">
        <v>0</v>
      </c>
      <c r="E176" s="128">
        <f t="shared" si="42"/>
        <v>1</v>
      </c>
      <c r="F176" s="24" t="s">
        <v>18</v>
      </c>
      <c r="G176" s="57"/>
      <c r="H176" s="103">
        <f t="shared" si="51"/>
        <v>0</v>
      </c>
      <c r="I176" s="104">
        <f t="shared" si="52"/>
        <v>0</v>
      </c>
      <c r="J176" s="113">
        <v>5</v>
      </c>
      <c r="K176" s="105">
        <f t="shared" si="53"/>
        <v>0</v>
      </c>
      <c r="L176" s="106">
        <f t="shared" si="54"/>
        <v>0</v>
      </c>
    </row>
    <row r="177" spans="1:12" ht="29" x14ac:dyDescent="0.35">
      <c r="A177" s="126">
        <v>20</v>
      </c>
      <c r="B177" s="140" t="s">
        <v>395</v>
      </c>
      <c r="C177" s="123">
        <v>1</v>
      </c>
      <c r="D177" s="127">
        <v>0</v>
      </c>
      <c r="E177" s="128">
        <f t="shared" si="42"/>
        <v>1</v>
      </c>
      <c r="F177" s="24" t="s">
        <v>18</v>
      </c>
      <c r="G177" s="57"/>
      <c r="H177" s="103">
        <f t="shared" si="51"/>
        <v>0</v>
      </c>
      <c r="I177" s="104">
        <f t="shared" si="52"/>
        <v>0</v>
      </c>
      <c r="J177" s="113">
        <v>5</v>
      </c>
      <c r="K177" s="105">
        <f t="shared" si="53"/>
        <v>0</v>
      </c>
      <c r="L177" s="106">
        <f t="shared" si="54"/>
        <v>0</v>
      </c>
    </row>
    <row r="178" spans="1:12" ht="29" x14ac:dyDescent="0.35">
      <c r="A178" s="126">
        <v>21</v>
      </c>
      <c r="B178" s="140" t="s">
        <v>396</v>
      </c>
      <c r="C178" s="123">
        <v>1</v>
      </c>
      <c r="D178" s="127">
        <v>0</v>
      </c>
      <c r="E178" s="128">
        <f t="shared" si="42"/>
        <v>1</v>
      </c>
      <c r="F178" s="24" t="s">
        <v>18</v>
      </c>
      <c r="G178" s="57"/>
      <c r="H178" s="103">
        <f t="shared" si="51"/>
        <v>0</v>
      </c>
      <c r="I178" s="104">
        <f t="shared" si="52"/>
        <v>0</v>
      </c>
      <c r="J178" s="113">
        <v>5</v>
      </c>
      <c r="K178" s="105">
        <f t="shared" si="53"/>
        <v>0</v>
      </c>
      <c r="L178" s="106">
        <f t="shared" si="54"/>
        <v>0</v>
      </c>
    </row>
    <row r="179" spans="1:12" ht="29" x14ac:dyDescent="0.35">
      <c r="A179" s="126">
        <v>22</v>
      </c>
      <c r="B179" s="140" t="s">
        <v>397</v>
      </c>
      <c r="C179" s="123">
        <v>1</v>
      </c>
      <c r="D179" s="127">
        <v>0</v>
      </c>
      <c r="E179" s="128">
        <f t="shared" si="42"/>
        <v>1</v>
      </c>
      <c r="F179" s="24" t="s">
        <v>18</v>
      </c>
      <c r="G179" s="57"/>
      <c r="H179" s="103">
        <f t="shared" si="51"/>
        <v>0</v>
      </c>
      <c r="I179" s="104">
        <f t="shared" si="52"/>
        <v>0</v>
      </c>
      <c r="J179" s="113">
        <v>5</v>
      </c>
      <c r="K179" s="105">
        <f t="shared" si="53"/>
        <v>0</v>
      </c>
      <c r="L179" s="106">
        <f t="shared" si="54"/>
        <v>0</v>
      </c>
    </row>
    <row r="180" spans="1:12" ht="29" x14ac:dyDescent="0.35">
      <c r="A180" s="126">
        <v>23</v>
      </c>
      <c r="B180" s="140" t="s">
        <v>398</v>
      </c>
      <c r="C180" s="123">
        <v>1</v>
      </c>
      <c r="D180" s="127">
        <v>0</v>
      </c>
      <c r="E180" s="128">
        <f t="shared" si="42"/>
        <v>1</v>
      </c>
      <c r="F180" s="24" t="s">
        <v>18</v>
      </c>
      <c r="G180" s="57"/>
      <c r="H180" s="103">
        <f t="shared" si="51"/>
        <v>0</v>
      </c>
      <c r="I180" s="104">
        <f t="shared" si="52"/>
        <v>0</v>
      </c>
      <c r="J180" s="113">
        <v>3</v>
      </c>
      <c r="K180" s="105">
        <f t="shared" si="53"/>
        <v>0</v>
      </c>
      <c r="L180" s="106">
        <f t="shared" si="54"/>
        <v>0</v>
      </c>
    </row>
    <row r="181" spans="1:12" ht="29" x14ac:dyDescent="0.35">
      <c r="A181" s="126">
        <v>24</v>
      </c>
      <c r="B181" s="140" t="s">
        <v>399</v>
      </c>
      <c r="C181" s="123">
        <v>1</v>
      </c>
      <c r="D181" s="127">
        <v>0</v>
      </c>
      <c r="E181" s="128">
        <f t="shared" si="42"/>
        <v>1</v>
      </c>
      <c r="F181" s="24" t="s">
        <v>18</v>
      </c>
      <c r="G181" s="57"/>
      <c r="H181" s="103">
        <f t="shared" si="51"/>
        <v>0</v>
      </c>
      <c r="I181" s="104">
        <f t="shared" si="52"/>
        <v>0</v>
      </c>
      <c r="J181" s="113">
        <v>8</v>
      </c>
      <c r="K181" s="105">
        <f t="shared" si="53"/>
        <v>0</v>
      </c>
      <c r="L181" s="106">
        <f t="shared" si="54"/>
        <v>0</v>
      </c>
    </row>
    <row r="182" spans="1:12" ht="29" x14ac:dyDescent="0.35">
      <c r="A182" s="126">
        <v>25</v>
      </c>
      <c r="B182" s="140" t="s">
        <v>400</v>
      </c>
      <c r="C182" s="123">
        <v>1</v>
      </c>
      <c r="D182" s="127">
        <v>0</v>
      </c>
      <c r="E182" s="128">
        <f t="shared" si="42"/>
        <v>1</v>
      </c>
      <c r="F182" s="24" t="s">
        <v>18</v>
      </c>
      <c r="G182" s="57"/>
      <c r="H182" s="103">
        <f t="shared" si="51"/>
        <v>0</v>
      </c>
      <c r="I182" s="104">
        <f t="shared" si="52"/>
        <v>0</v>
      </c>
      <c r="J182" s="113">
        <v>5</v>
      </c>
      <c r="K182" s="105">
        <f t="shared" si="53"/>
        <v>0</v>
      </c>
      <c r="L182" s="106">
        <f t="shared" si="54"/>
        <v>0</v>
      </c>
    </row>
    <row r="183" spans="1:12" ht="29" x14ac:dyDescent="0.35">
      <c r="A183" s="126">
        <v>26</v>
      </c>
      <c r="B183" s="140" t="s">
        <v>401</v>
      </c>
      <c r="C183" s="123">
        <v>1</v>
      </c>
      <c r="D183" s="127">
        <v>0</v>
      </c>
      <c r="E183" s="128">
        <f t="shared" si="42"/>
        <v>1</v>
      </c>
      <c r="F183" s="24" t="s">
        <v>18</v>
      </c>
      <c r="G183" s="57"/>
      <c r="H183" s="103">
        <f t="shared" si="51"/>
        <v>0</v>
      </c>
      <c r="I183" s="104">
        <f t="shared" si="52"/>
        <v>0</v>
      </c>
      <c r="J183" s="113">
        <v>5</v>
      </c>
      <c r="K183" s="105">
        <f t="shared" si="53"/>
        <v>0</v>
      </c>
      <c r="L183" s="106">
        <f t="shared" si="54"/>
        <v>0</v>
      </c>
    </row>
    <row r="184" spans="1:12" ht="29" x14ac:dyDescent="0.35">
      <c r="A184" s="126">
        <v>27</v>
      </c>
      <c r="B184" s="140" t="s">
        <v>402</v>
      </c>
      <c r="C184" s="123">
        <v>1</v>
      </c>
      <c r="D184" s="127">
        <v>0</v>
      </c>
      <c r="E184" s="128">
        <f t="shared" si="42"/>
        <v>1</v>
      </c>
      <c r="F184" s="24" t="s">
        <v>18</v>
      </c>
      <c r="G184" s="57"/>
      <c r="H184" s="103">
        <f t="shared" si="51"/>
        <v>0</v>
      </c>
      <c r="I184" s="104">
        <f t="shared" si="52"/>
        <v>0</v>
      </c>
      <c r="J184" s="113">
        <v>5</v>
      </c>
      <c r="K184" s="105">
        <f t="shared" si="53"/>
        <v>0</v>
      </c>
      <c r="L184" s="106">
        <f t="shared" si="54"/>
        <v>0</v>
      </c>
    </row>
    <row r="185" spans="1:12" ht="29" x14ac:dyDescent="0.35">
      <c r="A185" s="126">
        <v>28</v>
      </c>
      <c r="B185" s="140" t="s">
        <v>403</v>
      </c>
      <c r="C185" s="123">
        <v>1</v>
      </c>
      <c r="D185" s="127">
        <v>0</v>
      </c>
      <c r="E185" s="128">
        <f t="shared" si="42"/>
        <v>1</v>
      </c>
      <c r="F185" s="24" t="s">
        <v>18</v>
      </c>
      <c r="G185" s="57"/>
      <c r="H185" s="103">
        <f t="shared" si="51"/>
        <v>0</v>
      </c>
      <c r="I185" s="104">
        <f t="shared" si="52"/>
        <v>0</v>
      </c>
      <c r="J185" s="113">
        <v>5</v>
      </c>
      <c r="K185" s="105">
        <f t="shared" si="53"/>
        <v>0</v>
      </c>
      <c r="L185" s="106">
        <f t="shared" si="54"/>
        <v>0</v>
      </c>
    </row>
    <row r="186" spans="1:12" ht="29" x14ac:dyDescent="0.35">
      <c r="A186" s="126">
        <v>29</v>
      </c>
      <c r="B186" s="140" t="s">
        <v>404</v>
      </c>
      <c r="C186" s="123">
        <v>1</v>
      </c>
      <c r="D186" s="127">
        <v>0</v>
      </c>
      <c r="E186" s="128">
        <f t="shared" si="42"/>
        <v>1</v>
      </c>
      <c r="F186" s="24" t="s">
        <v>18</v>
      </c>
      <c r="G186" s="57"/>
      <c r="H186" s="103">
        <f t="shared" si="51"/>
        <v>0</v>
      </c>
      <c r="I186" s="104">
        <f t="shared" si="52"/>
        <v>0</v>
      </c>
      <c r="J186" s="113">
        <v>5</v>
      </c>
      <c r="K186" s="105">
        <f t="shared" si="53"/>
        <v>0</v>
      </c>
      <c r="L186" s="106">
        <f t="shared" si="54"/>
        <v>0</v>
      </c>
    </row>
    <row r="187" spans="1:12" ht="29" x14ac:dyDescent="0.35">
      <c r="A187" s="126">
        <v>30</v>
      </c>
      <c r="B187" s="140" t="s">
        <v>405</v>
      </c>
      <c r="C187" s="123">
        <v>1</v>
      </c>
      <c r="D187" s="127">
        <v>0</v>
      </c>
      <c r="E187" s="128">
        <f t="shared" si="42"/>
        <v>1</v>
      </c>
      <c r="F187" s="24" t="s">
        <v>18</v>
      </c>
      <c r="G187" s="57"/>
      <c r="H187" s="103">
        <f t="shared" si="51"/>
        <v>0</v>
      </c>
      <c r="I187" s="104">
        <f t="shared" si="52"/>
        <v>0</v>
      </c>
      <c r="J187" s="113">
        <v>5</v>
      </c>
      <c r="K187" s="105">
        <f t="shared" si="53"/>
        <v>0</v>
      </c>
      <c r="L187" s="106">
        <f t="shared" si="54"/>
        <v>0</v>
      </c>
    </row>
    <row r="188" spans="1:12" ht="29" x14ac:dyDescent="0.35">
      <c r="A188" s="126">
        <v>31</v>
      </c>
      <c r="B188" s="140" t="s">
        <v>406</v>
      </c>
      <c r="C188" s="123">
        <v>1</v>
      </c>
      <c r="D188" s="127">
        <v>0</v>
      </c>
      <c r="E188" s="128">
        <f t="shared" si="42"/>
        <v>1</v>
      </c>
      <c r="F188" s="24" t="s">
        <v>18</v>
      </c>
      <c r="G188" s="57"/>
      <c r="H188" s="103">
        <f t="shared" si="51"/>
        <v>0</v>
      </c>
      <c r="I188" s="104">
        <f t="shared" si="52"/>
        <v>0</v>
      </c>
      <c r="J188" s="113">
        <v>5</v>
      </c>
      <c r="K188" s="105">
        <f t="shared" si="53"/>
        <v>0</v>
      </c>
      <c r="L188" s="106">
        <f t="shared" si="54"/>
        <v>0</v>
      </c>
    </row>
    <row r="189" spans="1:12" ht="29" x14ac:dyDescent="0.35">
      <c r="A189" s="126">
        <v>32</v>
      </c>
      <c r="B189" s="140" t="s">
        <v>407</v>
      </c>
      <c r="C189" s="123">
        <v>1</v>
      </c>
      <c r="D189" s="127">
        <v>0</v>
      </c>
      <c r="E189" s="128">
        <f t="shared" si="42"/>
        <v>1</v>
      </c>
      <c r="F189" s="24" t="s">
        <v>18</v>
      </c>
      <c r="G189" s="57"/>
      <c r="H189" s="103">
        <f t="shared" si="51"/>
        <v>0</v>
      </c>
      <c r="I189" s="104">
        <f t="shared" si="52"/>
        <v>0</v>
      </c>
      <c r="J189" s="113">
        <v>5</v>
      </c>
      <c r="K189" s="105">
        <f t="shared" si="53"/>
        <v>0</v>
      </c>
      <c r="L189" s="106">
        <f t="shared" si="54"/>
        <v>0</v>
      </c>
    </row>
    <row r="190" spans="1:12" ht="29" x14ac:dyDescent="0.35">
      <c r="A190" s="126">
        <v>33</v>
      </c>
      <c r="B190" s="140" t="s">
        <v>408</v>
      </c>
      <c r="C190" s="123">
        <v>1</v>
      </c>
      <c r="D190" s="127">
        <v>0</v>
      </c>
      <c r="E190" s="128">
        <f t="shared" si="42"/>
        <v>1</v>
      </c>
      <c r="F190" s="24" t="s">
        <v>18</v>
      </c>
      <c r="G190" s="57"/>
      <c r="H190" s="103">
        <f t="shared" si="51"/>
        <v>0</v>
      </c>
      <c r="I190" s="104">
        <f t="shared" si="52"/>
        <v>0</v>
      </c>
      <c r="J190" s="113">
        <v>4</v>
      </c>
      <c r="K190" s="105">
        <f t="shared" si="53"/>
        <v>0</v>
      </c>
      <c r="L190" s="106">
        <f t="shared" si="54"/>
        <v>0</v>
      </c>
    </row>
    <row r="191" spans="1:12" ht="29" x14ac:dyDescent="0.35">
      <c r="A191" s="126">
        <v>34</v>
      </c>
      <c r="B191" s="140" t="s">
        <v>409</v>
      </c>
      <c r="C191" s="123">
        <v>1</v>
      </c>
      <c r="D191" s="127">
        <v>0</v>
      </c>
      <c r="E191" s="128">
        <f t="shared" si="42"/>
        <v>1</v>
      </c>
      <c r="F191" s="24" t="s">
        <v>18</v>
      </c>
      <c r="G191" s="57"/>
      <c r="H191" s="103">
        <f t="shared" si="51"/>
        <v>0</v>
      </c>
      <c r="I191" s="104">
        <f t="shared" si="52"/>
        <v>0</v>
      </c>
      <c r="J191" s="113">
        <v>8</v>
      </c>
      <c r="K191" s="105">
        <f t="shared" si="53"/>
        <v>0</v>
      </c>
      <c r="L191" s="106">
        <f t="shared" si="54"/>
        <v>0</v>
      </c>
    </row>
    <row r="192" spans="1:12" ht="29" x14ac:dyDescent="0.35">
      <c r="A192" s="126">
        <v>35</v>
      </c>
      <c r="B192" s="140" t="s">
        <v>410</v>
      </c>
      <c r="C192" s="123">
        <v>1</v>
      </c>
      <c r="D192" s="127">
        <v>0</v>
      </c>
      <c r="E192" s="128">
        <f t="shared" si="42"/>
        <v>1</v>
      </c>
      <c r="F192" s="24" t="s">
        <v>18</v>
      </c>
      <c r="G192" s="57"/>
      <c r="H192" s="103">
        <f t="shared" si="51"/>
        <v>0</v>
      </c>
      <c r="I192" s="104">
        <f t="shared" si="52"/>
        <v>0</v>
      </c>
      <c r="J192" s="113">
        <v>5</v>
      </c>
      <c r="K192" s="105">
        <f t="shared" si="53"/>
        <v>0</v>
      </c>
      <c r="L192" s="106">
        <f t="shared" si="54"/>
        <v>0</v>
      </c>
    </row>
    <row r="193" spans="1:12" ht="29" x14ac:dyDescent="0.35">
      <c r="A193" s="126">
        <v>36</v>
      </c>
      <c r="B193" s="140" t="s">
        <v>411</v>
      </c>
      <c r="C193" s="123">
        <v>1</v>
      </c>
      <c r="D193" s="127">
        <v>0</v>
      </c>
      <c r="E193" s="128">
        <f t="shared" si="42"/>
        <v>1</v>
      </c>
      <c r="F193" s="24" t="s">
        <v>18</v>
      </c>
      <c r="G193" s="57"/>
      <c r="H193" s="103">
        <f t="shared" si="51"/>
        <v>0</v>
      </c>
      <c r="I193" s="104">
        <f t="shared" si="52"/>
        <v>0</v>
      </c>
      <c r="J193" s="113">
        <v>5</v>
      </c>
      <c r="K193" s="105">
        <f t="shared" si="53"/>
        <v>0</v>
      </c>
      <c r="L193" s="106">
        <f t="shared" si="54"/>
        <v>0</v>
      </c>
    </row>
    <row r="194" spans="1:12" ht="29" x14ac:dyDescent="0.35">
      <c r="A194" s="126">
        <v>37</v>
      </c>
      <c r="B194" s="140" t="s">
        <v>412</v>
      </c>
      <c r="C194" s="123">
        <v>1</v>
      </c>
      <c r="D194" s="127">
        <v>0</v>
      </c>
      <c r="E194" s="128">
        <f t="shared" si="42"/>
        <v>1</v>
      </c>
      <c r="F194" s="24" t="s">
        <v>18</v>
      </c>
      <c r="G194" s="57"/>
      <c r="H194" s="103">
        <f t="shared" si="51"/>
        <v>0</v>
      </c>
      <c r="I194" s="104">
        <f t="shared" si="52"/>
        <v>0</v>
      </c>
      <c r="J194" s="113">
        <v>6</v>
      </c>
      <c r="K194" s="105">
        <f t="shared" si="53"/>
        <v>0</v>
      </c>
      <c r="L194" s="106">
        <f t="shared" si="54"/>
        <v>0</v>
      </c>
    </row>
    <row r="195" spans="1:12" ht="29" x14ac:dyDescent="0.35">
      <c r="A195" s="126">
        <v>38</v>
      </c>
      <c r="B195" s="140" t="s">
        <v>413</v>
      </c>
      <c r="C195" s="123">
        <v>1</v>
      </c>
      <c r="D195" s="127">
        <v>0</v>
      </c>
      <c r="E195" s="128">
        <f t="shared" si="42"/>
        <v>1</v>
      </c>
      <c r="F195" s="24" t="s">
        <v>18</v>
      </c>
      <c r="G195" s="57"/>
      <c r="H195" s="103">
        <f t="shared" si="51"/>
        <v>0</v>
      </c>
      <c r="I195" s="104">
        <f t="shared" si="52"/>
        <v>0</v>
      </c>
      <c r="J195" s="113">
        <v>5</v>
      </c>
      <c r="K195" s="105">
        <f t="shared" si="53"/>
        <v>0</v>
      </c>
      <c r="L195" s="106">
        <f t="shared" si="54"/>
        <v>0</v>
      </c>
    </row>
    <row r="196" spans="1:12" ht="29" x14ac:dyDescent="0.35">
      <c r="A196" s="126">
        <v>39</v>
      </c>
      <c r="B196" s="140" t="s">
        <v>414</v>
      </c>
      <c r="C196" s="123">
        <v>1</v>
      </c>
      <c r="D196" s="127">
        <v>0</v>
      </c>
      <c r="E196" s="128">
        <f t="shared" si="42"/>
        <v>1</v>
      </c>
      <c r="F196" s="24" t="s">
        <v>18</v>
      </c>
      <c r="G196" s="57"/>
      <c r="H196" s="103">
        <f t="shared" si="51"/>
        <v>0</v>
      </c>
      <c r="I196" s="104">
        <f t="shared" si="52"/>
        <v>0</v>
      </c>
      <c r="J196" s="113">
        <v>8</v>
      </c>
      <c r="K196" s="105">
        <f t="shared" si="53"/>
        <v>0</v>
      </c>
      <c r="L196" s="106">
        <f t="shared" si="54"/>
        <v>0</v>
      </c>
    </row>
    <row r="197" spans="1:12" ht="29" x14ac:dyDescent="0.35">
      <c r="A197" s="126">
        <v>40</v>
      </c>
      <c r="B197" s="140" t="s">
        <v>415</v>
      </c>
      <c r="C197" s="123">
        <v>1</v>
      </c>
      <c r="D197" s="127">
        <v>0</v>
      </c>
      <c r="E197" s="128">
        <f t="shared" si="42"/>
        <v>1</v>
      </c>
      <c r="F197" s="24" t="s">
        <v>18</v>
      </c>
      <c r="G197" s="57"/>
      <c r="H197" s="103">
        <f t="shared" si="51"/>
        <v>0</v>
      </c>
      <c r="I197" s="104">
        <f t="shared" si="52"/>
        <v>0</v>
      </c>
      <c r="J197" s="113">
        <v>8</v>
      </c>
      <c r="K197" s="105">
        <f t="shared" si="53"/>
        <v>0</v>
      </c>
      <c r="L197" s="106">
        <f t="shared" si="54"/>
        <v>0</v>
      </c>
    </row>
    <row r="198" spans="1:12" ht="15" thickBot="1" x14ac:dyDescent="0.4">
      <c r="A198" s="171"/>
      <c r="B198" s="159"/>
      <c r="C198" s="123"/>
      <c r="D198" s="127"/>
      <c r="E198" s="128"/>
      <c r="F198" s="24"/>
      <c r="G198" s="135"/>
      <c r="H198" s="135"/>
      <c r="I198" s="132"/>
      <c r="J198" s="113"/>
      <c r="K198" s="136"/>
      <c r="L198" s="137"/>
    </row>
    <row r="199" spans="1:12" ht="17.25" customHeight="1" thickBot="1" x14ac:dyDescent="0.4">
      <c r="A199" s="379" t="s">
        <v>359</v>
      </c>
      <c r="B199" s="380"/>
      <c r="C199" s="134"/>
      <c r="D199" s="127"/>
      <c r="E199" s="128"/>
      <c r="F199" s="24"/>
      <c r="G199" s="135"/>
      <c r="H199" s="135"/>
      <c r="I199" s="132"/>
      <c r="J199" s="113"/>
      <c r="K199" s="136"/>
      <c r="L199" s="137"/>
    </row>
    <row r="200" spans="1:12" ht="17.25" customHeight="1" x14ac:dyDescent="0.35">
      <c r="A200" s="138">
        <v>1</v>
      </c>
      <c r="B200" s="140" t="s">
        <v>416</v>
      </c>
      <c r="C200" s="134">
        <v>18</v>
      </c>
      <c r="D200" s="127">
        <v>0</v>
      </c>
      <c r="E200" s="128">
        <f>C200*(1+D200)</f>
        <v>18</v>
      </c>
      <c r="F200" s="24" t="s">
        <v>18</v>
      </c>
      <c r="G200" s="57"/>
      <c r="H200" s="103">
        <f t="shared" ref="H200:H234" si="55">G200*E200</f>
        <v>0</v>
      </c>
      <c r="I200" s="104">
        <f t="shared" ref="I200:I234" si="56">L$4</f>
        <v>0</v>
      </c>
      <c r="J200" s="113">
        <v>9</v>
      </c>
      <c r="K200" s="105">
        <f t="shared" ref="K200:K234" si="57">J200*I200</f>
        <v>0</v>
      </c>
      <c r="L200" s="106">
        <f t="shared" ref="L200:L234" si="58">K200+H200</f>
        <v>0</v>
      </c>
    </row>
    <row r="201" spans="1:12" ht="17.25" customHeight="1" x14ac:dyDescent="0.35">
      <c r="A201" s="126">
        <v>2</v>
      </c>
      <c r="B201" s="140" t="s">
        <v>417</v>
      </c>
      <c r="C201" s="134">
        <v>1</v>
      </c>
      <c r="D201" s="127">
        <v>0</v>
      </c>
      <c r="E201" s="128">
        <f t="shared" si="42"/>
        <v>1</v>
      </c>
      <c r="F201" s="24" t="s">
        <v>18</v>
      </c>
      <c r="G201" s="57"/>
      <c r="H201" s="103">
        <f t="shared" si="55"/>
        <v>0</v>
      </c>
      <c r="I201" s="104">
        <f t="shared" si="56"/>
        <v>0</v>
      </c>
      <c r="J201" s="113">
        <v>0.5</v>
      </c>
      <c r="K201" s="105">
        <f t="shared" si="57"/>
        <v>0</v>
      </c>
      <c r="L201" s="106">
        <f t="shared" si="58"/>
        <v>0</v>
      </c>
    </row>
    <row r="202" spans="1:12" ht="17.25" customHeight="1" x14ac:dyDescent="0.35">
      <c r="A202" s="126">
        <v>3</v>
      </c>
      <c r="B202" s="140" t="s">
        <v>418</v>
      </c>
      <c r="C202" s="134">
        <v>54</v>
      </c>
      <c r="D202" s="127">
        <v>0</v>
      </c>
      <c r="E202" s="128">
        <f t="shared" si="42"/>
        <v>54</v>
      </c>
      <c r="F202" s="24" t="s">
        <v>18</v>
      </c>
      <c r="G202" s="57"/>
      <c r="H202" s="103">
        <f t="shared" si="55"/>
        <v>0</v>
      </c>
      <c r="I202" s="104">
        <f t="shared" si="56"/>
        <v>0</v>
      </c>
      <c r="J202" s="113">
        <v>27</v>
      </c>
      <c r="K202" s="105">
        <f t="shared" si="57"/>
        <v>0</v>
      </c>
      <c r="L202" s="106">
        <f t="shared" si="58"/>
        <v>0</v>
      </c>
    </row>
    <row r="203" spans="1:12" ht="17.25" customHeight="1" x14ac:dyDescent="0.35">
      <c r="A203" s="126">
        <v>4</v>
      </c>
      <c r="B203" s="140" t="s">
        <v>419</v>
      </c>
      <c r="C203" s="123">
        <v>221</v>
      </c>
      <c r="D203" s="127">
        <v>0</v>
      </c>
      <c r="E203" s="128">
        <f t="shared" si="42"/>
        <v>221</v>
      </c>
      <c r="F203" s="24" t="s">
        <v>18</v>
      </c>
      <c r="G203" s="57"/>
      <c r="H203" s="103">
        <f t="shared" si="55"/>
        <v>0</v>
      </c>
      <c r="I203" s="104">
        <f t="shared" si="56"/>
        <v>0</v>
      </c>
      <c r="J203" s="113">
        <v>110.5</v>
      </c>
      <c r="K203" s="105">
        <f t="shared" si="57"/>
        <v>0</v>
      </c>
      <c r="L203" s="106">
        <f t="shared" si="58"/>
        <v>0</v>
      </c>
    </row>
    <row r="204" spans="1:12" ht="17.25" customHeight="1" x14ac:dyDescent="0.35">
      <c r="A204" s="126">
        <v>5</v>
      </c>
      <c r="B204" s="140" t="s">
        <v>420</v>
      </c>
      <c r="C204" s="123">
        <v>1</v>
      </c>
      <c r="D204" s="127">
        <v>0</v>
      </c>
      <c r="E204" s="128">
        <f t="shared" si="42"/>
        <v>1</v>
      </c>
      <c r="F204" s="24" t="s">
        <v>18</v>
      </c>
      <c r="G204" s="57"/>
      <c r="H204" s="103">
        <f t="shared" si="55"/>
        <v>0</v>
      </c>
      <c r="I204" s="104">
        <f t="shared" si="56"/>
        <v>0</v>
      </c>
      <c r="J204" s="113">
        <v>0.5</v>
      </c>
      <c r="K204" s="105">
        <f t="shared" si="57"/>
        <v>0</v>
      </c>
      <c r="L204" s="106">
        <f t="shared" si="58"/>
        <v>0</v>
      </c>
    </row>
    <row r="205" spans="1:12" ht="17.25" customHeight="1" x14ac:dyDescent="0.35">
      <c r="A205" s="126">
        <v>6</v>
      </c>
      <c r="B205" s="140" t="s">
        <v>421</v>
      </c>
      <c r="C205" s="123">
        <v>62</v>
      </c>
      <c r="D205" s="127">
        <v>0</v>
      </c>
      <c r="E205" s="128">
        <f t="shared" si="42"/>
        <v>62</v>
      </c>
      <c r="F205" s="24" t="s">
        <v>18</v>
      </c>
      <c r="G205" s="57"/>
      <c r="H205" s="103">
        <f t="shared" si="55"/>
        <v>0</v>
      </c>
      <c r="I205" s="104">
        <f t="shared" si="56"/>
        <v>0</v>
      </c>
      <c r="J205" s="113">
        <v>31</v>
      </c>
      <c r="K205" s="105">
        <f t="shared" si="57"/>
        <v>0</v>
      </c>
      <c r="L205" s="106">
        <f t="shared" si="58"/>
        <v>0</v>
      </c>
    </row>
    <row r="206" spans="1:12" ht="17.25" customHeight="1" x14ac:dyDescent="0.35">
      <c r="A206" s="126">
        <v>7</v>
      </c>
      <c r="B206" s="140" t="s">
        <v>422</v>
      </c>
      <c r="C206" s="123">
        <v>5</v>
      </c>
      <c r="D206" s="127">
        <v>0</v>
      </c>
      <c r="E206" s="128">
        <f t="shared" si="42"/>
        <v>5</v>
      </c>
      <c r="F206" s="24" t="s">
        <v>18</v>
      </c>
      <c r="G206" s="57"/>
      <c r="H206" s="103">
        <f t="shared" si="55"/>
        <v>0</v>
      </c>
      <c r="I206" s="104">
        <f t="shared" si="56"/>
        <v>0</v>
      </c>
      <c r="J206" s="113">
        <v>2.5</v>
      </c>
      <c r="K206" s="105">
        <f t="shared" si="57"/>
        <v>0</v>
      </c>
      <c r="L206" s="106">
        <f t="shared" si="58"/>
        <v>0</v>
      </c>
    </row>
    <row r="207" spans="1:12" ht="17.25" customHeight="1" x14ac:dyDescent="0.35">
      <c r="A207" s="126">
        <v>8</v>
      </c>
      <c r="B207" s="140" t="s">
        <v>423</v>
      </c>
      <c r="C207" s="123">
        <v>134</v>
      </c>
      <c r="D207" s="127">
        <v>0</v>
      </c>
      <c r="E207" s="128">
        <f t="shared" si="42"/>
        <v>134</v>
      </c>
      <c r="F207" s="24" t="s">
        <v>18</v>
      </c>
      <c r="G207" s="57"/>
      <c r="H207" s="103">
        <f t="shared" si="55"/>
        <v>0</v>
      </c>
      <c r="I207" s="104">
        <f t="shared" si="56"/>
        <v>0</v>
      </c>
      <c r="J207" s="113">
        <v>67</v>
      </c>
      <c r="K207" s="105">
        <f t="shared" si="57"/>
        <v>0</v>
      </c>
      <c r="L207" s="106">
        <f t="shared" si="58"/>
        <v>0</v>
      </c>
    </row>
    <row r="208" spans="1:12" ht="17.25" customHeight="1" x14ac:dyDescent="0.35">
      <c r="A208" s="126">
        <v>9</v>
      </c>
      <c r="B208" s="140" t="s">
        <v>424</v>
      </c>
      <c r="C208" s="123">
        <v>3</v>
      </c>
      <c r="D208" s="127">
        <v>0</v>
      </c>
      <c r="E208" s="128">
        <f t="shared" si="42"/>
        <v>3</v>
      </c>
      <c r="F208" s="24" t="s">
        <v>18</v>
      </c>
      <c r="G208" s="57"/>
      <c r="H208" s="103">
        <f t="shared" si="55"/>
        <v>0</v>
      </c>
      <c r="I208" s="104">
        <f t="shared" si="56"/>
        <v>0</v>
      </c>
      <c r="J208" s="113">
        <v>1.5</v>
      </c>
      <c r="K208" s="105">
        <f t="shared" si="57"/>
        <v>0</v>
      </c>
      <c r="L208" s="106">
        <f t="shared" si="58"/>
        <v>0</v>
      </c>
    </row>
    <row r="209" spans="1:12" ht="17.25" customHeight="1" x14ac:dyDescent="0.35">
      <c r="A209" s="126">
        <v>10</v>
      </c>
      <c r="B209" s="140" t="s">
        <v>425</v>
      </c>
      <c r="C209" s="123">
        <v>2</v>
      </c>
      <c r="D209" s="127">
        <v>0</v>
      </c>
      <c r="E209" s="128">
        <f t="shared" si="42"/>
        <v>2</v>
      </c>
      <c r="F209" s="24" t="s">
        <v>18</v>
      </c>
      <c r="G209" s="57"/>
      <c r="H209" s="103">
        <f t="shared" si="55"/>
        <v>0</v>
      </c>
      <c r="I209" s="104">
        <f t="shared" si="56"/>
        <v>0</v>
      </c>
      <c r="J209" s="113">
        <v>1</v>
      </c>
      <c r="K209" s="105">
        <f t="shared" si="57"/>
        <v>0</v>
      </c>
      <c r="L209" s="106">
        <f t="shared" si="58"/>
        <v>0</v>
      </c>
    </row>
    <row r="210" spans="1:12" ht="17.25" customHeight="1" x14ac:dyDescent="0.35">
      <c r="A210" s="126">
        <v>11</v>
      </c>
      <c r="B210" s="140" t="s">
        <v>426</v>
      </c>
      <c r="C210" s="123">
        <v>51</v>
      </c>
      <c r="D210" s="127">
        <v>0</v>
      </c>
      <c r="E210" s="128">
        <f t="shared" si="42"/>
        <v>51</v>
      </c>
      <c r="F210" s="24" t="s">
        <v>18</v>
      </c>
      <c r="G210" s="57"/>
      <c r="H210" s="103">
        <f t="shared" si="55"/>
        <v>0</v>
      </c>
      <c r="I210" s="104">
        <f t="shared" si="56"/>
        <v>0</v>
      </c>
      <c r="J210" s="113">
        <v>25.5</v>
      </c>
      <c r="K210" s="105">
        <f t="shared" si="57"/>
        <v>0</v>
      </c>
      <c r="L210" s="106">
        <f t="shared" si="58"/>
        <v>0</v>
      </c>
    </row>
    <row r="211" spans="1:12" ht="17.25" customHeight="1" x14ac:dyDescent="0.35">
      <c r="A211" s="126">
        <v>12</v>
      </c>
      <c r="B211" s="140" t="s">
        <v>427</v>
      </c>
      <c r="C211" s="123">
        <v>33</v>
      </c>
      <c r="D211" s="127">
        <v>0</v>
      </c>
      <c r="E211" s="128">
        <f t="shared" ref="E211:E234" si="59">C211*(1+D211)</f>
        <v>33</v>
      </c>
      <c r="F211" s="24" t="s">
        <v>18</v>
      </c>
      <c r="G211" s="57"/>
      <c r="H211" s="103">
        <f t="shared" si="55"/>
        <v>0</v>
      </c>
      <c r="I211" s="104">
        <f t="shared" si="56"/>
        <v>0</v>
      </c>
      <c r="J211" s="113">
        <v>16.5</v>
      </c>
      <c r="K211" s="105">
        <f t="shared" si="57"/>
        <v>0</v>
      </c>
      <c r="L211" s="106">
        <f t="shared" si="58"/>
        <v>0</v>
      </c>
    </row>
    <row r="212" spans="1:12" ht="17.25" customHeight="1" x14ac:dyDescent="0.35">
      <c r="A212" s="126">
        <v>13</v>
      </c>
      <c r="B212" s="140" t="s">
        <v>428</v>
      </c>
      <c r="C212" s="123">
        <v>1</v>
      </c>
      <c r="D212" s="127">
        <v>0</v>
      </c>
      <c r="E212" s="128">
        <f t="shared" si="59"/>
        <v>1</v>
      </c>
      <c r="F212" s="24" t="s">
        <v>18</v>
      </c>
      <c r="G212" s="57"/>
      <c r="H212" s="103">
        <f t="shared" si="55"/>
        <v>0</v>
      </c>
      <c r="I212" s="104">
        <f t="shared" si="56"/>
        <v>0</v>
      </c>
      <c r="J212" s="113">
        <v>0.5</v>
      </c>
      <c r="K212" s="105">
        <f t="shared" si="57"/>
        <v>0</v>
      </c>
      <c r="L212" s="106">
        <f t="shared" si="58"/>
        <v>0</v>
      </c>
    </row>
    <row r="213" spans="1:12" ht="17.25" customHeight="1" x14ac:dyDescent="0.35">
      <c r="A213" s="126">
        <v>14</v>
      </c>
      <c r="B213" s="140" t="s">
        <v>429</v>
      </c>
      <c r="C213" s="123">
        <v>1</v>
      </c>
      <c r="D213" s="127">
        <v>0</v>
      </c>
      <c r="E213" s="128">
        <f t="shared" si="59"/>
        <v>1</v>
      </c>
      <c r="F213" s="24" t="s">
        <v>18</v>
      </c>
      <c r="G213" s="57"/>
      <c r="H213" s="103">
        <f t="shared" si="55"/>
        <v>0</v>
      </c>
      <c r="I213" s="104">
        <f t="shared" si="56"/>
        <v>0</v>
      </c>
      <c r="J213" s="113">
        <v>0.5</v>
      </c>
      <c r="K213" s="105">
        <f t="shared" si="57"/>
        <v>0</v>
      </c>
      <c r="L213" s="106">
        <f t="shared" si="58"/>
        <v>0</v>
      </c>
    </row>
    <row r="214" spans="1:12" ht="17.25" customHeight="1" x14ac:dyDescent="0.35">
      <c r="A214" s="126">
        <v>15</v>
      </c>
      <c r="B214" s="140" t="s">
        <v>430</v>
      </c>
      <c r="C214" s="123">
        <v>28</v>
      </c>
      <c r="D214" s="127">
        <v>0</v>
      </c>
      <c r="E214" s="128">
        <f t="shared" si="59"/>
        <v>28</v>
      </c>
      <c r="F214" s="24" t="s">
        <v>18</v>
      </c>
      <c r="G214" s="57"/>
      <c r="H214" s="103">
        <f t="shared" si="55"/>
        <v>0</v>
      </c>
      <c r="I214" s="104">
        <f t="shared" si="56"/>
        <v>0</v>
      </c>
      <c r="J214" s="113">
        <v>14</v>
      </c>
      <c r="K214" s="105">
        <f t="shared" si="57"/>
        <v>0</v>
      </c>
      <c r="L214" s="106">
        <f t="shared" si="58"/>
        <v>0</v>
      </c>
    </row>
    <row r="215" spans="1:12" ht="17.25" customHeight="1" x14ac:dyDescent="0.35">
      <c r="A215" s="126">
        <v>16</v>
      </c>
      <c r="B215" s="140" t="s">
        <v>431</v>
      </c>
      <c r="C215" s="123">
        <v>34</v>
      </c>
      <c r="D215" s="127">
        <v>0</v>
      </c>
      <c r="E215" s="128">
        <f t="shared" si="59"/>
        <v>34</v>
      </c>
      <c r="F215" s="24" t="s">
        <v>18</v>
      </c>
      <c r="G215" s="57"/>
      <c r="H215" s="103">
        <f t="shared" si="55"/>
        <v>0</v>
      </c>
      <c r="I215" s="104">
        <f t="shared" si="56"/>
        <v>0</v>
      </c>
      <c r="J215" s="113">
        <v>17</v>
      </c>
      <c r="K215" s="105">
        <f t="shared" si="57"/>
        <v>0</v>
      </c>
      <c r="L215" s="106">
        <f t="shared" si="58"/>
        <v>0</v>
      </c>
    </row>
    <row r="216" spans="1:12" ht="17.25" customHeight="1" x14ac:dyDescent="0.35">
      <c r="A216" s="126">
        <v>17</v>
      </c>
      <c r="B216" s="140" t="s">
        <v>432</v>
      </c>
      <c r="C216" s="123">
        <v>1</v>
      </c>
      <c r="D216" s="127">
        <v>0</v>
      </c>
      <c r="E216" s="128">
        <f t="shared" si="59"/>
        <v>1</v>
      </c>
      <c r="F216" s="24" t="s">
        <v>18</v>
      </c>
      <c r="G216" s="57"/>
      <c r="H216" s="103">
        <f t="shared" si="55"/>
        <v>0</v>
      </c>
      <c r="I216" s="104">
        <f t="shared" si="56"/>
        <v>0</v>
      </c>
      <c r="J216" s="113">
        <v>0.5</v>
      </c>
      <c r="K216" s="105">
        <f t="shared" si="57"/>
        <v>0</v>
      </c>
      <c r="L216" s="106">
        <f t="shared" si="58"/>
        <v>0</v>
      </c>
    </row>
    <row r="217" spans="1:12" ht="17.25" customHeight="1" x14ac:dyDescent="0.35">
      <c r="A217" s="126">
        <v>18</v>
      </c>
      <c r="B217" s="140" t="s">
        <v>433</v>
      </c>
      <c r="C217" s="123">
        <v>25</v>
      </c>
      <c r="D217" s="127">
        <v>0</v>
      </c>
      <c r="E217" s="128">
        <f t="shared" si="59"/>
        <v>25</v>
      </c>
      <c r="F217" s="24" t="s">
        <v>18</v>
      </c>
      <c r="G217" s="57"/>
      <c r="H217" s="103">
        <f t="shared" si="55"/>
        <v>0</v>
      </c>
      <c r="I217" s="104">
        <f t="shared" si="56"/>
        <v>0</v>
      </c>
      <c r="J217" s="113">
        <v>12.5</v>
      </c>
      <c r="K217" s="105">
        <f t="shared" si="57"/>
        <v>0</v>
      </c>
      <c r="L217" s="106">
        <f t="shared" si="58"/>
        <v>0</v>
      </c>
    </row>
    <row r="218" spans="1:12" ht="17.25" customHeight="1" x14ac:dyDescent="0.35">
      <c r="A218" s="126">
        <v>19</v>
      </c>
      <c r="B218" s="140" t="s">
        <v>434</v>
      </c>
      <c r="C218" s="123">
        <v>20</v>
      </c>
      <c r="D218" s="127">
        <v>0</v>
      </c>
      <c r="E218" s="128">
        <f t="shared" si="59"/>
        <v>20</v>
      </c>
      <c r="F218" s="24" t="s">
        <v>18</v>
      </c>
      <c r="G218" s="57"/>
      <c r="H218" s="103">
        <f t="shared" si="55"/>
        <v>0</v>
      </c>
      <c r="I218" s="104">
        <f t="shared" si="56"/>
        <v>0</v>
      </c>
      <c r="J218" s="113">
        <v>40</v>
      </c>
      <c r="K218" s="105">
        <f t="shared" si="57"/>
        <v>0</v>
      </c>
      <c r="L218" s="106">
        <f t="shared" si="58"/>
        <v>0</v>
      </c>
    </row>
    <row r="219" spans="1:12" ht="17.25" customHeight="1" x14ac:dyDescent="0.35">
      <c r="A219" s="126">
        <v>20</v>
      </c>
      <c r="B219" s="140" t="s">
        <v>435</v>
      </c>
      <c r="C219" s="123">
        <v>2</v>
      </c>
      <c r="D219" s="127">
        <v>0</v>
      </c>
      <c r="E219" s="128">
        <f t="shared" si="59"/>
        <v>2</v>
      </c>
      <c r="F219" s="24" t="s">
        <v>18</v>
      </c>
      <c r="G219" s="57"/>
      <c r="H219" s="103">
        <f t="shared" si="55"/>
        <v>0</v>
      </c>
      <c r="I219" s="104">
        <f t="shared" si="56"/>
        <v>0</v>
      </c>
      <c r="J219" s="113">
        <v>4</v>
      </c>
      <c r="K219" s="105">
        <f t="shared" si="57"/>
        <v>0</v>
      </c>
      <c r="L219" s="106">
        <f t="shared" si="58"/>
        <v>0</v>
      </c>
    </row>
    <row r="220" spans="1:12" ht="17.25" customHeight="1" x14ac:dyDescent="0.35">
      <c r="A220" s="126">
        <v>21</v>
      </c>
      <c r="B220" s="140" t="s">
        <v>436</v>
      </c>
      <c r="C220" s="123">
        <v>1</v>
      </c>
      <c r="D220" s="127">
        <v>0</v>
      </c>
      <c r="E220" s="128">
        <f t="shared" si="59"/>
        <v>1</v>
      </c>
      <c r="F220" s="24" t="s">
        <v>18</v>
      </c>
      <c r="G220" s="57"/>
      <c r="H220" s="103">
        <f t="shared" si="55"/>
        <v>0</v>
      </c>
      <c r="I220" s="104">
        <f t="shared" si="56"/>
        <v>0</v>
      </c>
      <c r="J220" s="113">
        <v>2</v>
      </c>
      <c r="K220" s="105">
        <f t="shared" si="57"/>
        <v>0</v>
      </c>
      <c r="L220" s="106">
        <f t="shared" si="58"/>
        <v>0</v>
      </c>
    </row>
    <row r="221" spans="1:12" ht="17.25" customHeight="1" x14ac:dyDescent="0.35">
      <c r="A221" s="126">
        <v>22</v>
      </c>
      <c r="B221" s="140" t="s">
        <v>437</v>
      </c>
      <c r="C221" s="123">
        <v>1</v>
      </c>
      <c r="D221" s="127">
        <v>0</v>
      </c>
      <c r="E221" s="128">
        <f t="shared" si="59"/>
        <v>1</v>
      </c>
      <c r="F221" s="24" t="s">
        <v>18</v>
      </c>
      <c r="G221" s="57"/>
      <c r="H221" s="103">
        <f t="shared" si="55"/>
        <v>0</v>
      </c>
      <c r="I221" s="104">
        <f t="shared" si="56"/>
        <v>0</v>
      </c>
      <c r="J221" s="113">
        <v>3</v>
      </c>
      <c r="K221" s="105">
        <f t="shared" si="57"/>
        <v>0</v>
      </c>
      <c r="L221" s="106">
        <f t="shared" si="58"/>
        <v>0</v>
      </c>
    </row>
    <row r="222" spans="1:12" ht="17.25" customHeight="1" x14ac:dyDescent="0.35">
      <c r="A222" s="126">
        <v>23</v>
      </c>
      <c r="B222" s="139" t="s">
        <v>438</v>
      </c>
      <c r="C222" s="123">
        <v>8</v>
      </c>
      <c r="D222" s="127">
        <v>0</v>
      </c>
      <c r="E222" s="128">
        <f t="shared" si="59"/>
        <v>8</v>
      </c>
      <c r="F222" s="24" t="s">
        <v>18</v>
      </c>
      <c r="G222" s="57"/>
      <c r="H222" s="103">
        <f t="shared" si="55"/>
        <v>0</v>
      </c>
      <c r="I222" s="104">
        <f t="shared" si="56"/>
        <v>0</v>
      </c>
      <c r="J222" s="113">
        <v>4</v>
      </c>
      <c r="K222" s="105">
        <f t="shared" si="57"/>
        <v>0</v>
      </c>
      <c r="L222" s="106">
        <f t="shared" si="58"/>
        <v>0</v>
      </c>
    </row>
    <row r="223" spans="1:12" ht="17.25" customHeight="1" x14ac:dyDescent="0.35">
      <c r="A223" s="126">
        <v>24</v>
      </c>
      <c r="B223" s="139" t="s">
        <v>439</v>
      </c>
      <c r="C223" s="123">
        <v>2</v>
      </c>
      <c r="D223" s="127">
        <v>0</v>
      </c>
      <c r="E223" s="128">
        <f t="shared" si="59"/>
        <v>2</v>
      </c>
      <c r="F223" s="24" t="s">
        <v>18</v>
      </c>
      <c r="G223" s="57"/>
      <c r="H223" s="103">
        <f t="shared" si="55"/>
        <v>0</v>
      </c>
      <c r="I223" s="104">
        <f t="shared" si="56"/>
        <v>0</v>
      </c>
      <c r="J223" s="113">
        <v>1</v>
      </c>
      <c r="K223" s="105">
        <f t="shared" si="57"/>
        <v>0</v>
      </c>
      <c r="L223" s="106">
        <f t="shared" si="58"/>
        <v>0</v>
      </c>
    </row>
    <row r="224" spans="1:12" ht="17.25" customHeight="1" x14ac:dyDescent="0.35">
      <c r="A224" s="126">
        <v>25</v>
      </c>
      <c r="B224" s="139" t="s">
        <v>440</v>
      </c>
      <c r="C224" s="123">
        <v>1</v>
      </c>
      <c r="D224" s="127">
        <v>0</v>
      </c>
      <c r="E224" s="128">
        <f t="shared" si="59"/>
        <v>1</v>
      </c>
      <c r="F224" s="24" t="s">
        <v>18</v>
      </c>
      <c r="G224" s="57"/>
      <c r="H224" s="103">
        <f t="shared" si="55"/>
        <v>0</v>
      </c>
      <c r="I224" s="104">
        <f t="shared" si="56"/>
        <v>0</v>
      </c>
      <c r="J224" s="113">
        <v>0.5</v>
      </c>
      <c r="K224" s="105">
        <f t="shared" si="57"/>
        <v>0</v>
      </c>
      <c r="L224" s="106">
        <f t="shared" si="58"/>
        <v>0</v>
      </c>
    </row>
    <row r="225" spans="1:12" ht="17.25" customHeight="1" x14ac:dyDescent="0.35">
      <c r="A225" s="126">
        <v>26</v>
      </c>
      <c r="B225" s="139" t="s">
        <v>441</v>
      </c>
      <c r="C225" s="123">
        <v>11</v>
      </c>
      <c r="D225" s="127">
        <v>0</v>
      </c>
      <c r="E225" s="128">
        <f t="shared" si="59"/>
        <v>11</v>
      </c>
      <c r="F225" s="24" t="s">
        <v>18</v>
      </c>
      <c r="G225" s="57"/>
      <c r="H225" s="103">
        <f t="shared" si="55"/>
        <v>0</v>
      </c>
      <c r="I225" s="104">
        <f t="shared" si="56"/>
        <v>0</v>
      </c>
      <c r="J225" s="113">
        <v>5.5</v>
      </c>
      <c r="K225" s="105">
        <f t="shared" si="57"/>
        <v>0</v>
      </c>
      <c r="L225" s="106">
        <f t="shared" si="58"/>
        <v>0</v>
      </c>
    </row>
    <row r="226" spans="1:12" ht="17.25" customHeight="1" x14ac:dyDescent="0.35">
      <c r="A226" s="126">
        <v>27</v>
      </c>
      <c r="B226" s="139" t="s">
        <v>442</v>
      </c>
      <c r="C226" s="123">
        <v>2</v>
      </c>
      <c r="D226" s="127">
        <v>0</v>
      </c>
      <c r="E226" s="128">
        <f t="shared" si="59"/>
        <v>2</v>
      </c>
      <c r="F226" s="24" t="s">
        <v>18</v>
      </c>
      <c r="G226" s="57"/>
      <c r="H226" s="103">
        <f t="shared" si="55"/>
        <v>0</v>
      </c>
      <c r="I226" s="104">
        <f t="shared" si="56"/>
        <v>0</v>
      </c>
      <c r="J226" s="113">
        <v>2</v>
      </c>
      <c r="K226" s="105">
        <f t="shared" si="57"/>
        <v>0</v>
      </c>
      <c r="L226" s="106">
        <f t="shared" si="58"/>
        <v>0</v>
      </c>
    </row>
    <row r="227" spans="1:12" ht="17.25" customHeight="1" x14ac:dyDescent="0.35">
      <c r="A227" s="126">
        <v>28</v>
      </c>
      <c r="B227" s="139" t="s">
        <v>443</v>
      </c>
      <c r="C227" s="123">
        <v>1</v>
      </c>
      <c r="D227" s="127">
        <v>0</v>
      </c>
      <c r="E227" s="128">
        <f t="shared" si="59"/>
        <v>1</v>
      </c>
      <c r="F227" s="24" t="s">
        <v>18</v>
      </c>
      <c r="G227" s="57"/>
      <c r="H227" s="103">
        <f t="shared" si="55"/>
        <v>0</v>
      </c>
      <c r="I227" s="104">
        <f t="shared" si="56"/>
        <v>0</v>
      </c>
      <c r="J227" s="113">
        <v>1</v>
      </c>
      <c r="K227" s="105">
        <f t="shared" si="57"/>
        <v>0</v>
      </c>
      <c r="L227" s="106">
        <f t="shared" si="58"/>
        <v>0</v>
      </c>
    </row>
    <row r="228" spans="1:12" ht="17.25" customHeight="1" x14ac:dyDescent="0.35">
      <c r="A228" s="126">
        <v>29</v>
      </c>
      <c r="B228" s="139" t="s">
        <v>444</v>
      </c>
      <c r="C228" s="123">
        <v>2</v>
      </c>
      <c r="D228" s="127">
        <v>0</v>
      </c>
      <c r="E228" s="128">
        <f t="shared" si="59"/>
        <v>2</v>
      </c>
      <c r="F228" s="24" t="s">
        <v>18</v>
      </c>
      <c r="G228" s="57"/>
      <c r="H228" s="103">
        <f t="shared" si="55"/>
        <v>0</v>
      </c>
      <c r="I228" s="104">
        <f t="shared" si="56"/>
        <v>0</v>
      </c>
      <c r="J228" s="113">
        <v>4</v>
      </c>
      <c r="K228" s="105">
        <f t="shared" si="57"/>
        <v>0</v>
      </c>
      <c r="L228" s="106">
        <f t="shared" si="58"/>
        <v>0</v>
      </c>
    </row>
    <row r="229" spans="1:12" ht="17.25" customHeight="1" x14ac:dyDescent="0.35">
      <c r="A229" s="126">
        <v>30</v>
      </c>
      <c r="B229" s="139" t="s">
        <v>445</v>
      </c>
      <c r="C229" s="123">
        <v>2</v>
      </c>
      <c r="D229" s="127">
        <v>0</v>
      </c>
      <c r="E229" s="128">
        <f t="shared" si="59"/>
        <v>2</v>
      </c>
      <c r="F229" s="24" t="s">
        <v>18</v>
      </c>
      <c r="G229" s="57"/>
      <c r="H229" s="103">
        <f t="shared" si="55"/>
        <v>0</v>
      </c>
      <c r="I229" s="104">
        <f t="shared" si="56"/>
        <v>0</v>
      </c>
      <c r="J229" s="113">
        <v>5</v>
      </c>
      <c r="K229" s="105">
        <f t="shared" si="57"/>
        <v>0</v>
      </c>
      <c r="L229" s="106">
        <f t="shared" si="58"/>
        <v>0</v>
      </c>
    </row>
    <row r="230" spans="1:12" ht="17.25" customHeight="1" x14ac:dyDescent="0.35">
      <c r="A230" s="126">
        <v>31</v>
      </c>
      <c r="B230" s="139" t="s">
        <v>446</v>
      </c>
      <c r="C230" s="123">
        <v>1</v>
      </c>
      <c r="D230" s="127">
        <v>0</v>
      </c>
      <c r="E230" s="128">
        <f t="shared" si="59"/>
        <v>1</v>
      </c>
      <c r="F230" s="24" t="s">
        <v>18</v>
      </c>
      <c r="G230" s="57"/>
      <c r="H230" s="103">
        <f t="shared" si="55"/>
        <v>0</v>
      </c>
      <c r="I230" s="104">
        <f t="shared" si="56"/>
        <v>0</v>
      </c>
      <c r="J230" s="113">
        <v>3</v>
      </c>
      <c r="K230" s="105">
        <f t="shared" si="57"/>
        <v>0</v>
      </c>
      <c r="L230" s="106">
        <f t="shared" si="58"/>
        <v>0</v>
      </c>
    </row>
    <row r="231" spans="1:12" ht="17.25" customHeight="1" x14ac:dyDescent="0.35">
      <c r="A231" s="126">
        <v>32</v>
      </c>
      <c r="B231" s="139" t="s">
        <v>447</v>
      </c>
      <c r="C231" s="123">
        <v>1</v>
      </c>
      <c r="D231" s="127">
        <v>0</v>
      </c>
      <c r="E231" s="128">
        <f t="shared" si="59"/>
        <v>1</v>
      </c>
      <c r="F231" s="24" t="s">
        <v>18</v>
      </c>
      <c r="G231" s="57"/>
      <c r="H231" s="103">
        <f t="shared" si="55"/>
        <v>0</v>
      </c>
      <c r="I231" s="104">
        <f t="shared" si="56"/>
        <v>0</v>
      </c>
      <c r="J231" s="113">
        <v>4</v>
      </c>
      <c r="K231" s="105">
        <f t="shared" si="57"/>
        <v>0</v>
      </c>
      <c r="L231" s="106">
        <f t="shared" si="58"/>
        <v>0</v>
      </c>
    </row>
    <row r="232" spans="1:12" ht="17.25" customHeight="1" x14ac:dyDescent="0.35">
      <c r="A232" s="126">
        <v>33</v>
      </c>
      <c r="B232" s="139" t="s">
        <v>448</v>
      </c>
      <c r="C232" s="123">
        <v>3</v>
      </c>
      <c r="D232" s="127">
        <v>0</v>
      </c>
      <c r="E232" s="128">
        <f t="shared" si="59"/>
        <v>3</v>
      </c>
      <c r="F232" s="24" t="s">
        <v>18</v>
      </c>
      <c r="G232" s="57"/>
      <c r="H232" s="103">
        <f t="shared" si="55"/>
        <v>0</v>
      </c>
      <c r="I232" s="104">
        <f t="shared" si="56"/>
        <v>0</v>
      </c>
      <c r="J232" s="113">
        <v>12</v>
      </c>
      <c r="K232" s="105">
        <f t="shared" si="57"/>
        <v>0</v>
      </c>
      <c r="L232" s="106">
        <f t="shared" si="58"/>
        <v>0</v>
      </c>
    </row>
    <row r="233" spans="1:12" ht="17.25" customHeight="1" x14ac:dyDescent="0.35">
      <c r="A233" s="126">
        <v>34</v>
      </c>
      <c r="B233" s="139" t="s">
        <v>449</v>
      </c>
      <c r="C233" s="123">
        <v>7</v>
      </c>
      <c r="D233" s="127">
        <v>0</v>
      </c>
      <c r="E233" s="128">
        <f t="shared" si="59"/>
        <v>7</v>
      </c>
      <c r="F233" s="24" t="s">
        <v>18</v>
      </c>
      <c r="G233" s="57"/>
      <c r="H233" s="103">
        <f t="shared" si="55"/>
        <v>0</v>
      </c>
      <c r="I233" s="104">
        <f t="shared" si="56"/>
        <v>0</v>
      </c>
      <c r="J233" s="113">
        <v>42</v>
      </c>
      <c r="K233" s="105">
        <f t="shared" si="57"/>
        <v>0</v>
      </c>
      <c r="L233" s="106">
        <f t="shared" si="58"/>
        <v>0</v>
      </c>
    </row>
    <row r="234" spans="1:12" ht="17.25" customHeight="1" x14ac:dyDescent="0.35">
      <c r="A234" s="126">
        <v>35</v>
      </c>
      <c r="B234" s="26" t="s">
        <v>450</v>
      </c>
      <c r="C234" s="44">
        <v>1</v>
      </c>
      <c r="D234" s="127">
        <v>0</v>
      </c>
      <c r="E234" s="128">
        <f t="shared" si="59"/>
        <v>1</v>
      </c>
      <c r="F234" s="24" t="s">
        <v>18</v>
      </c>
      <c r="G234" s="57"/>
      <c r="H234" s="103">
        <f t="shared" si="55"/>
        <v>0</v>
      </c>
      <c r="I234" s="104">
        <f t="shared" si="56"/>
        <v>0</v>
      </c>
      <c r="J234" s="113">
        <v>0.5</v>
      </c>
      <c r="K234" s="105">
        <f t="shared" si="57"/>
        <v>0</v>
      </c>
      <c r="L234" s="106">
        <f t="shared" si="58"/>
        <v>0</v>
      </c>
    </row>
    <row r="235" spans="1:12" ht="17.25" customHeight="1" thickBot="1" x14ac:dyDescent="0.4">
      <c r="A235" s="148"/>
      <c r="B235" s="149"/>
      <c r="C235" s="150"/>
      <c r="D235" s="151"/>
      <c r="E235" s="152"/>
      <c r="F235" s="153"/>
      <c r="G235" s="154"/>
      <c r="H235" s="154"/>
      <c r="I235" s="155"/>
      <c r="J235" s="156"/>
      <c r="K235" s="157"/>
      <c r="L235" s="158"/>
    </row>
    <row r="236" spans="1:12" ht="16" thickBot="1" x14ac:dyDescent="0.4">
      <c r="A236" s="386" t="s">
        <v>185</v>
      </c>
      <c r="B236" s="387"/>
      <c r="C236" s="387"/>
      <c r="D236" s="387"/>
      <c r="E236" s="387"/>
      <c r="F236" s="387"/>
      <c r="G236" s="387"/>
      <c r="H236" s="387"/>
      <c r="I236" s="387"/>
      <c r="J236" s="388"/>
      <c r="K236" s="389">
        <f>SUM(H7:H235)</f>
        <v>0</v>
      </c>
      <c r="L236" s="390"/>
    </row>
    <row r="237" spans="1:12" ht="16" thickBot="1" x14ac:dyDescent="0.4">
      <c r="A237" s="391" t="s">
        <v>186</v>
      </c>
      <c r="B237" s="392"/>
      <c r="C237" s="392"/>
      <c r="D237" s="392"/>
      <c r="E237" s="392"/>
      <c r="F237" s="392"/>
      <c r="G237" s="392"/>
      <c r="H237" s="392"/>
      <c r="I237" s="392"/>
      <c r="J237" s="393"/>
      <c r="K237" s="359">
        <f>SUM(K7:K210)</f>
        <v>0</v>
      </c>
      <c r="L237" s="360"/>
    </row>
    <row r="238" spans="1:12" ht="16" thickBot="1" x14ac:dyDescent="0.4">
      <c r="A238" s="391" t="s">
        <v>14</v>
      </c>
      <c r="B238" s="392"/>
      <c r="C238" s="392"/>
      <c r="D238" s="392"/>
      <c r="E238" s="392"/>
      <c r="F238" s="392"/>
      <c r="G238" s="392"/>
      <c r="H238" s="392"/>
      <c r="I238" s="392"/>
      <c r="J238" s="393"/>
      <c r="K238" s="359">
        <f>K236+K237</f>
        <v>0</v>
      </c>
      <c r="L238" s="360"/>
    </row>
    <row r="239" spans="1:12" ht="16" thickBot="1" x14ac:dyDescent="0.4">
      <c r="A239" s="391" t="s">
        <v>15</v>
      </c>
      <c r="B239" s="392"/>
      <c r="C239" s="392"/>
      <c r="D239" s="392"/>
      <c r="E239" s="392"/>
      <c r="F239" s="392"/>
      <c r="G239" s="392"/>
      <c r="H239" s="392"/>
      <c r="I239" s="392"/>
      <c r="J239" s="12">
        <v>0.25</v>
      </c>
      <c r="K239" s="359">
        <f>K238*J239</f>
        <v>0</v>
      </c>
      <c r="L239" s="360"/>
    </row>
    <row r="240" spans="1:12" ht="16" thickBot="1" x14ac:dyDescent="0.4">
      <c r="A240" s="391" t="s">
        <v>16</v>
      </c>
      <c r="B240" s="392"/>
      <c r="C240" s="392"/>
      <c r="D240" s="392"/>
      <c r="E240" s="392"/>
      <c r="F240" s="392"/>
      <c r="G240" s="392"/>
      <c r="H240" s="392"/>
      <c r="I240" s="392"/>
      <c r="J240" s="393"/>
      <c r="K240" s="359">
        <f>K239+K238</f>
        <v>0</v>
      </c>
      <c r="L240" s="360"/>
    </row>
  </sheetData>
  <mergeCells count="24">
    <mergeCell ref="A238:J238"/>
    <mergeCell ref="K238:L238"/>
    <mergeCell ref="A239:I239"/>
    <mergeCell ref="K239:L239"/>
    <mergeCell ref="A240:J240"/>
    <mergeCell ref="K240:L240"/>
    <mergeCell ref="A157:B157"/>
    <mergeCell ref="A199:B199"/>
    <mergeCell ref="A236:J236"/>
    <mergeCell ref="K236:L236"/>
    <mergeCell ref="A237:J237"/>
    <mergeCell ref="K237:L237"/>
    <mergeCell ref="A146:B146"/>
    <mergeCell ref="C2:C3"/>
    <mergeCell ref="J4:K4"/>
    <mergeCell ref="A6:B6"/>
    <mergeCell ref="A30:B30"/>
    <mergeCell ref="A52:B52"/>
    <mergeCell ref="A79:B79"/>
    <mergeCell ref="A91:B91"/>
    <mergeCell ref="A110:B110"/>
    <mergeCell ref="A122:B122"/>
    <mergeCell ref="A127:B127"/>
    <mergeCell ref="A145:B145"/>
  </mergeCells>
  <pageMargins left="0.7" right="0.7" top="0.75" bottom="0.75" header="0.3" footer="0.3"/>
  <pageSetup paperSize="9"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view="pageBreakPreview" zoomScale="85" zoomScaleSheetLayoutView="85" workbookViewId="0">
      <pane xSplit="2" ySplit="6" topLeftCell="C7" activePane="bottomRight" state="frozen"/>
      <selection pane="topRight" activeCell="C1" sqref="C1"/>
      <selection pane="bottomLeft" activeCell="A4" sqref="A4"/>
      <selection pane="bottomRight"/>
    </sheetView>
  </sheetViews>
  <sheetFormatPr defaultColWidth="8.81640625" defaultRowHeight="14.5" x14ac:dyDescent="0.35"/>
  <cols>
    <col min="1" max="1" width="5.81640625" style="15" customWidth="1"/>
    <col min="2" max="2" width="83.26953125" style="15" customWidth="1"/>
    <col min="3" max="3" width="10.7265625" style="19" bestFit="1" customWidth="1"/>
    <col min="4" max="4" width="12.7265625" style="19" customWidth="1"/>
    <col min="5" max="5" width="12.1796875" style="19" customWidth="1"/>
    <col min="6" max="6" width="6.81640625" style="19" customWidth="1"/>
    <col min="7" max="7" width="10" style="115" bestFit="1" customWidth="1"/>
    <col min="8" max="8" width="10.7265625" style="115" bestFit="1" customWidth="1"/>
    <col min="9" max="9" width="12" style="115" bestFit="1" customWidth="1"/>
    <col min="10" max="10" width="11.81640625" style="19" customWidth="1"/>
    <col min="11" max="11" width="12.453125" style="19" customWidth="1"/>
    <col min="12" max="12" width="14.26953125" style="19" bestFit="1" customWidth="1"/>
    <col min="13" max="16384" width="8.81640625" style="15"/>
  </cols>
  <sheetData>
    <row r="1" spans="1:12" ht="28.5" x14ac:dyDescent="0.65">
      <c r="A1" s="343"/>
      <c r="B1" s="344"/>
      <c r="C1" s="114" t="s">
        <v>162</v>
      </c>
      <c r="D1" s="13"/>
    </row>
    <row r="2" spans="1:12" ht="15.5" x14ac:dyDescent="0.35">
      <c r="A2" s="345"/>
      <c r="B2" s="346"/>
      <c r="C2" s="407" t="s">
        <v>163</v>
      </c>
      <c r="D2" s="16"/>
    </row>
    <row r="3" spans="1:12" ht="16" thickBot="1" x14ac:dyDescent="0.4">
      <c r="A3" s="345"/>
      <c r="B3" s="346"/>
      <c r="C3" s="407"/>
      <c r="D3" s="16"/>
    </row>
    <row r="4" spans="1:12" ht="19" thickBot="1" x14ac:dyDescent="0.5">
      <c r="A4" s="347"/>
      <c r="B4" s="346"/>
      <c r="C4" s="116" t="s">
        <v>4</v>
      </c>
      <c r="D4" s="17">
        <v>0</v>
      </c>
      <c r="E4" s="117"/>
      <c r="G4" s="118"/>
      <c r="H4" s="118"/>
      <c r="I4" s="118"/>
      <c r="J4" s="408" t="s">
        <v>5</v>
      </c>
      <c r="K4" s="409"/>
      <c r="L4" s="119"/>
    </row>
    <row r="5" spans="1:12" ht="49.5" customHeight="1" thickBot="1" x14ac:dyDescent="0.4">
      <c r="A5" s="331" t="s">
        <v>6</v>
      </c>
      <c r="B5" s="332" t="s">
        <v>0</v>
      </c>
      <c r="C5" s="332" t="s">
        <v>1</v>
      </c>
      <c r="D5" s="331" t="s">
        <v>7</v>
      </c>
      <c r="E5" s="331" t="s">
        <v>2</v>
      </c>
      <c r="F5" s="331" t="s">
        <v>8</v>
      </c>
      <c r="G5" s="331" t="s">
        <v>9</v>
      </c>
      <c r="H5" s="334" t="s">
        <v>10</v>
      </c>
      <c r="I5" s="334" t="s">
        <v>11</v>
      </c>
      <c r="J5" s="334" t="s">
        <v>12</v>
      </c>
      <c r="K5" s="334" t="s">
        <v>13</v>
      </c>
      <c r="L5" s="331" t="s">
        <v>3</v>
      </c>
    </row>
    <row r="6" spans="1:12" ht="17.25" customHeight="1" thickBot="1" x14ac:dyDescent="0.4">
      <c r="A6" s="382" t="s">
        <v>509</v>
      </c>
      <c r="B6" s="383"/>
      <c r="C6" s="168"/>
      <c r="D6" s="120"/>
      <c r="E6" s="120"/>
      <c r="F6" s="120"/>
      <c r="G6" s="120"/>
      <c r="H6" s="120"/>
      <c r="I6" s="120"/>
      <c r="J6" s="120"/>
      <c r="K6" s="120"/>
      <c r="L6" s="121"/>
    </row>
    <row r="7" spans="1:12" x14ac:dyDescent="0.35">
      <c r="A7" s="187">
        <v>1</v>
      </c>
      <c r="B7" s="188" t="s">
        <v>472</v>
      </c>
      <c r="C7" s="169">
        <v>23</v>
      </c>
      <c r="D7" s="124">
        <v>0</v>
      </c>
      <c r="E7" s="125">
        <f t="shared" ref="E7:E30" si="0">C7*(1+D7)</f>
        <v>23</v>
      </c>
      <c r="F7" s="58" t="s">
        <v>18</v>
      </c>
      <c r="G7" s="189"/>
      <c r="H7" s="101">
        <f t="shared" ref="H7" si="1">G7*E7</f>
        <v>0</v>
      </c>
      <c r="I7" s="102">
        <f>L$4</f>
        <v>0</v>
      </c>
      <c r="J7" s="170">
        <v>17.25</v>
      </c>
      <c r="K7" s="107">
        <f t="shared" ref="K7" si="2">J7*I7</f>
        <v>0</v>
      </c>
      <c r="L7" s="108">
        <f t="shared" ref="L7" si="3">K7+H7</f>
        <v>0</v>
      </c>
    </row>
    <row r="8" spans="1:12" x14ac:dyDescent="0.35">
      <c r="A8" s="126">
        <v>2</v>
      </c>
      <c r="B8" s="140" t="s">
        <v>473</v>
      </c>
      <c r="C8" s="123">
        <v>62</v>
      </c>
      <c r="D8" s="127">
        <v>0</v>
      </c>
      <c r="E8" s="128">
        <f t="shared" si="0"/>
        <v>62</v>
      </c>
      <c r="F8" s="24" t="s">
        <v>18</v>
      </c>
      <c r="G8" s="131"/>
      <c r="H8" s="103">
        <f t="shared" ref="H8" si="4">G8*E8</f>
        <v>0</v>
      </c>
      <c r="I8" s="104">
        <f>L$4</f>
        <v>0</v>
      </c>
      <c r="J8" s="113">
        <v>46.5</v>
      </c>
      <c r="K8" s="105">
        <f t="shared" ref="K8" si="5">J8*I8</f>
        <v>0</v>
      </c>
      <c r="L8" s="106">
        <f t="shared" ref="L8" si="6">K8+H8</f>
        <v>0</v>
      </c>
    </row>
    <row r="9" spans="1:12" x14ac:dyDescent="0.35">
      <c r="A9" s="126">
        <v>3</v>
      </c>
      <c r="B9" s="140" t="s">
        <v>474</v>
      </c>
      <c r="C9" s="190">
        <v>6</v>
      </c>
      <c r="D9" s="127">
        <v>0</v>
      </c>
      <c r="E9" s="128">
        <f t="shared" si="0"/>
        <v>6</v>
      </c>
      <c r="F9" s="24" t="s">
        <v>18</v>
      </c>
      <c r="G9" s="191"/>
      <c r="H9" s="103">
        <f t="shared" ref="H9:H30" si="7">G9*E9</f>
        <v>0</v>
      </c>
      <c r="I9" s="104">
        <f t="shared" ref="I9:I30" si="8">L$4</f>
        <v>0</v>
      </c>
      <c r="J9" s="113">
        <v>4.5</v>
      </c>
      <c r="K9" s="105">
        <f t="shared" ref="K9:K30" si="9">J9*I9</f>
        <v>0</v>
      </c>
      <c r="L9" s="106">
        <f t="shared" ref="L9:L30" si="10">K9+H9</f>
        <v>0</v>
      </c>
    </row>
    <row r="10" spans="1:12" x14ac:dyDescent="0.35">
      <c r="A10" s="126">
        <v>4</v>
      </c>
      <c r="B10" s="130" t="s">
        <v>475</v>
      </c>
      <c r="C10" s="190">
        <v>29</v>
      </c>
      <c r="D10" s="127">
        <v>0</v>
      </c>
      <c r="E10" s="128">
        <f t="shared" si="0"/>
        <v>29</v>
      </c>
      <c r="F10" s="24" t="s">
        <v>18</v>
      </c>
      <c r="G10" s="191"/>
      <c r="H10" s="103">
        <f t="shared" si="7"/>
        <v>0</v>
      </c>
      <c r="I10" s="104">
        <f t="shared" si="8"/>
        <v>0</v>
      </c>
      <c r="J10" s="113">
        <v>21.75</v>
      </c>
      <c r="K10" s="105">
        <f t="shared" si="9"/>
        <v>0</v>
      </c>
      <c r="L10" s="106">
        <f t="shared" si="10"/>
        <v>0</v>
      </c>
    </row>
    <row r="11" spans="1:12" x14ac:dyDescent="0.35">
      <c r="A11" s="126">
        <v>5</v>
      </c>
      <c r="B11" s="130" t="s">
        <v>476</v>
      </c>
      <c r="C11" s="190">
        <v>75</v>
      </c>
      <c r="D11" s="127">
        <v>0</v>
      </c>
      <c r="E11" s="128">
        <f t="shared" si="0"/>
        <v>75</v>
      </c>
      <c r="F11" s="24" t="s">
        <v>18</v>
      </c>
      <c r="G11" s="191"/>
      <c r="H11" s="103">
        <f t="shared" si="7"/>
        <v>0</v>
      </c>
      <c r="I11" s="104">
        <f t="shared" si="8"/>
        <v>0</v>
      </c>
      <c r="J11" s="113">
        <v>56.25</v>
      </c>
      <c r="K11" s="105">
        <f t="shared" si="9"/>
        <v>0</v>
      </c>
      <c r="L11" s="106">
        <f t="shared" si="10"/>
        <v>0</v>
      </c>
    </row>
    <row r="12" spans="1:12" x14ac:dyDescent="0.35">
      <c r="A12" s="126">
        <v>6</v>
      </c>
      <c r="B12" s="130" t="s">
        <v>477</v>
      </c>
      <c r="C12" s="190">
        <v>4</v>
      </c>
      <c r="D12" s="127">
        <v>0</v>
      </c>
      <c r="E12" s="128">
        <f t="shared" si="0"/>
        <v>4</v>
      </c>
      <c r="F12" s="24" t="s">
        <v>18</v>
      </c>
      <c r="G12" s="191"/>
      <c r="H12" s="103">
        <f t="shared" si="7"/>
        <v>0</v>
      </c>
      <c r="I12" s="104">
        <f t="shared" si="8"/>
        <v>0</v>
      </c>
      <c r="J12" s="113">
        <v>3</v>
      </c>
      <c r="K12" s="105">
        <f t="shared" si="9"/>
        <v>0</v>
      </c>
      <c r="L12" s="106">
        <f t="shared" si="10"/>
        <v>0</v>
      </c>
    </row>
    <row r="13" spans="1:12" x14ac:dyDescent="0.35">
      <c r="A13" s="126">
        <v>7</v>
      </c>
      <c r="B13" s="130" t="s">
        <v>478</v>
      </c>
      <c r="C13" s="190">
        <v>8</v>
      </c>
      <c r="D13" s="127">
        <v>0</v>
      </c>
      <c r="E13" s="128">
        <f t="shared" si="0"/>
        <v>8</v>
      </c>
      <c r="F13" s="24" t="s">
        <v>18</v>
      </c>
      <c r="G13" s="191"/>
      <c r="H13" s="103">
        <f t="shared" si="7"/>
        <v>0</v>
      </c>
      <c r="I13" s="104">
        <f t="shared" si="8"/>
        <v>0</v>
      </c>
      <c r="J13" s="113">
        <v>6</v>
      </c>
      <c r="K13" s="105">
        <f t="shared" si="9"/>
        <v>0</v>
      </c>
      <c r="L13" s="106">
        <f t="shared" si="10"/>
        <v>0</v>
      </c>
    </row>
    <row r="14" spans="1:12" x14ac:dyDescent="0.35">
      <c r="A14" s="126">
        <v>8</v>
      </c>
      <c r="B14" s="130" t="s">
        <v>479</v>
      </c>
      <c r="C14" s="190">
        <v>1</v>
      </c>
      <c r="D14" s="127">
        <v>0</v>
      </c>
      <c r="E14" s="128">
        <f t="shared" si="0"/>
        <v>1</v>
      </c>
      <c r="F14" s="24" t="s">
        <v>18</v>
      </c>
      <c r="G14" s="191"/>
      <c r="H14" s="103">
        <f t="shared" si="7"/>
        <v>0</v>
      </c>
      <c r="I14" s="104">
        <f t="shared" si="8"/>
        <v>0</v>
      </c>
      <c r="J14" s="113">
        <v>0.75</v>
      </c>
      <c r="K14" s="105">
        <f t="shared" si="9"/>
        <v>0</v>
      </c>
      <c r="L14" s="106">
        <f t="shared" si="10"/>
        <v>0</v>
      </c>
    </row>
    <row r="15" spans="1:12" x14ac:dyDescent="0.35">
      <c r="A15" s="126">
        <v>9</v>
      </c>
      <c r="B15" s="130" t="s">
        <v>480</v>
      </c>
      <c r="C15" s="190">
        <v>2</v>
      </c>
      <c r="D15" s="127">
        <v>0</v>
      </c>
      <c r="E15" s="128">
        <f t="shared" si="0"/>
        <v>2</v>
      </c>
      <c r="F15" s="24" t="s">
        <v>18</v>
      </c>
      <c r="G15" s="191"/>
      <c r="H15" s="103">
        <f t="shared" si="7"/>
        <v>0</v>
      </c>
      <c r="I15" s="104">
        <f t="shared" si="8"/>
        <v>0</v>
      </c>
      <c r="J15" s="113">
        <v>1.5</v>
      </c>
      <c r="K15" s="105">
        <f t="shared" si="9"/>
        <v>0</v>
      </c>
      <c r="L15" s="106">
        <f t="shared" si="10"/>
        <v>0</v>
      </c>
    </row>
    <row r="16" spans="1:12" x14ac:dyDescent="0.35">
      <c r="A16" s="126">
        <v>10</v>
      </c>
      <c r="B16" s="130" t="s">
        <v>481</v>
      </c>
      <c r="C16" s="190">
        <v>8</v>
      </c>
      <c r="D16" s="127">
        <v>0</v>
      </c>
      <c r="E16" s="128">
        <f t="shared" si="0"/>
        <v>8</v>
      </c>
      <c r="F16" s="24" t="s">
        <v>18</v>
      </c>
      <c r="G16" s="191"/>
      <c r="H16" s="103">
        <f t="shared" si="7"/>
        <v>0</v>
      </c>
      <c r="I16" s="104">
        <f t="shared" si="8"/>
        <v>0</v>
      </c>
      <c r="J16" s="113">
        <v>4</v>
      </c>
      <c r="K16" s="105">
        <f t="shared" si="9"/>
        <v>0</v>
      </c>
      <c r="L16" s="106">
        <f t="shared" si="10"/>
        <v>0</v>
      </c>
    </row>
    <row r="17" spans="1:12" x14ac:dyDescent="0.35">
      <c r="A17" s="126">
        <v>11</v>
      </c>
      <c r="B17" s="130" t="s">
        <v>482</v>
      </c>
      <c r="C17" s="190">
        <v>10</v>
      </c>
      <c r="D17" s="127">
        <v>0</v>
      </c>
      <c r="E17" s="128">
        <f t="shared" si="0"/>
        <v>10</v>
      </c>
      <c r="F17" s="24" t="s">
        <v>18</v>
      </c>
      <c r="G17" s="191"/>
      <c r="H17" s="103">
        <f t="shared" si="7"/>
        <v>0</v>
      </c>
      <c r="I17" s="104">
        <f t="shared" si="8"/>
        <v>0</v>
      </c>
      <c r="J17" s="113">
        <v>5</v>
      </c>
      <c r="K17" s="105">
        <f t="shared" si="9"/>
        <v>0</v>
      </c>
      <c r="L17" s="106">
        <f t="shared" si="10"/>
        <v>0</v>
      </c>
    </row>
    <row r="18" spans="1:12" x14ac:dyDescent="0.35">
      <c r="A18" s="126">
        <v>12</v>
      </c>
      <c r="B18" s="130" t="s">
        <v>483</v>
      </c>
      <c r="C18" s="190">
        <v>12</v>
      </c>
      <c r="D18" s="127">
        <v>0</v>
      </c>
      <c r="E18" s="128">
        <f t="shared" si="0"/>
        <v>12</v>
      </c>
      <c r="F18" s="24" t="s">
        <v>18</v>
      </c>
      <c r="G18" s="191"/>
      <c r="H18" s="103">
        <f t="shared" si="7"/>
        <v>0</v>
      </c>
      <c r="I18" s="104">
        <f t="shared" si="8"/>
        <v>0</v>
      </c>
      <c r="J18" s="113">
        <v>6</v>
      </c>
      <c r="K18" s="105">
        <f t="shared" si="9"/>
        <v>0</v>
      </c>
      <c r="L18" s="106">
        <f t="shared" si="10"/>
        <v>0</v>
      </c>
    </row>
    <row r="19" spans="1:12" x14ac:dyDescent="0.35">
      <c r="A19" s="126">
        <v>13</v>
      </c>
      <c r="B19" s="130" t="s">
        <v>484</v>
      </c>
      <c r="C19" s="190">
        <v>6</v>
      </c>
      <c r="D19" s="127">
        <v>0</v>
      </c>
      <c r="E19" s="128">
        <f t="shared" si="0"/>
        <v>6</v>
      </c>
      <c r="F19" s="24" t="s">
        <v>18</v>
      </c>
      <c r="G19" s="191"/>
      <c r="H19" s="103">
        <f t="shared" si="7"/>
        <v>0</v>
      </c>
      <c r="I19" s="104">
        <f t="shared" si="8"/>
        <v>0</v>
      </c>
      <c r="J19" s="113">
        <v>4</v>
      </c>
      <c r="K19" s="105">
        <f t="shared" si="9"/>
        <v>0</v>
      </c>
      <c r="L19" s="106">
        <f t="shared" si="10"/>
        <v>0</v>
      </c>
    </row>
    <row r="20" spans="1:12" x14ac:dyDescent="0.35">
      <c r="A20" s="126">
        <v>14</v>
      </c>
      <c r="B20" s="130" t="s">
        <v>485</v>
      </c>
      <c r="C20" s="190">
        <v>3</v>
      </c>
      <c r="D20" s="127">
        <v>0</v>
      </c>
      <c r="E20" s="128">
        <f t="shared" si="0"/>
        <v>3</v>
      </c>
      <c r="F20" s="24" t="s">
        <v>18</v>
      </c>
      <c r="G20" s="191"/>
      <c r="H20" s="103">
        <f t="shared" si="7"/>
        <v>0</v>
      </c>
      <c r="I20" s="104">
        <f t="shared" si="8"/>
        <v>0</v>
      </c>
      <c r="J20" s="113">
        <v>2</v>
      </c>
      <c r="K20" s="105">
        <f t="shared" si="9"/>
        <v>0</v>
      </c>
      <c r="L20" s="106">
        <f t="shared" si="10"/>
        <v>0</v>
      </c>
    </row>
    <row r="21" spans="1:12" x14ac:dyDescent="0.35">
      <c r="A21" s="126">
        <v>15</v>
      </c>
      <c r="B21" s="130" t="s">
        <v>486</v>
      </c>
      <c r="C21" s="190">
        <v>20</v>
      </c>
      <c r="D21" s="127">
        <v>0</v>
      </c>
      <c r="E21" s="128">
        <f t="shared" si="0"/>
        <v>20</v>
      </c>
      <c r="F21" s="24" t="s">
        <v>18</v>
      </c>
      <c r="G21" s="191"/>
      <c r="H21" s="103">
        <f t="shared" si="7"/>
        <v>0</v>
      </c>
      <c r="I21" s="104">
        <f t="shared" si="8"/>
        <v>0</v>
      </c>
      <c r="J21" s="113">
        <v>10</v>
      </c>
      <c r="K21" s="105">
        <f t="shared" si="9"/>
        <v>0</v>
      </c>
      <c r="L21" s="106">
        <f t="shared" si="10"/>
        <v>0</v>
      </c>
    </row>
    <row r="22" spans="1:12" x14ac:dyDescent="0.35">
      <c r="A22" s="126">
        <v>16</v>
      </c>
      <c r="B22" s="130" t="s">
        <v>487</v>
      </c>
      <c r="C22" s="190">
        <v>1</v>
      </c>
      <c r="D22" s="127">
        <v>0</v>
      </c>
      <c r="E22" s="128">
        <f t="shared" si="0"/>
        <v>1</v>
      </c>
      <c r="F22" s="24" t="s">
        <v>18</v>
      </c>
      <c r="G22" s="191"/>
      <c r="H22" s="103">
        <f t="shared" si="7"/>
        <v>0</v>
      </c>
      <c r="I22" s="104">
        <f t="shared" si="8"/>
        <v>0</v>
      </c>
      <c r="J22" s="113">
        <v>1</v>
      </c>
      <c r="K22" s="105">
        <f t="shared" si="9"/>
        <v>0</v>
      </c>
      <c r="L22" s="106">
        <f t="shared" si="10"/>
        <v>0</v>
      </c>
    </row>
    <row r="23" spans="1:12" x14ac:dyDescent="0.35">
      <c r="A23" s="126">
        <v>17</v>
      </c>
      <c r="B23" s="130" t="s">
        <v>488</v>
      </c>
      <c r="C23" s="190">
        <v>118</v>
      </c>
      <c r="D23" s="127">
        <v>0</v>
      </c>
      <c r="E23" s="128">
        <f t="shared" si="0"/>
        <v>118</v>
      </c>
      <c r="F23" s="24" t="s">
        <v>18</v>
      </c>
      <c r="G23" s="191"/>
      <c r="H23" s="103">
        <f t="shared" si="7"/>
        <v>0</v>
      </c>
      <c r="I23" s="104">
        <f t="shared" si="8"/>
        <v>0</v>
      </c>
      <c r="J23" s="113">
        <v>94.4</v>
      </c>
      <c r="K23" s="105">
        <f t="shared" si="9"/>
        <v>0</v>
      </c>
      <c r="L23" s="106">
        <f t="shared" si="10"/>
        <v>0</v>
      </c>
    </row>
    <row r="24" spans="1:12" x14ac:dyDescent="0.35">
      <c r="A24" s="126">
        <v>18</v>
      </c>
      <c r="B24" s="130" t="s">
        <v>489</v>
      </c>
      <c r="C24" s="190">
        <v>4</v>
      </c>
      <c r="D24" s="127">
        <v>0</v>
      </c>
      <c r="E24" s="128">
        <f t="shared" si="0"/>
        <v>4</v>
      </c>
      <c r="F24" s="24" t="s">
        <v>18</v>
      </c>
      <c r="G24" s="191"/>
      <c r="H24" s="103">
        <f t="shared" si="7"/>
        <v>0</v>
      </c>
      <c r="I24" s="104">
        <f t="shared" si="8"/>
        <v>0</v>
      </c>
      <c r="J24" s="113">
        <v>8</v>
      </c>
      <c r="K24" s="105">
        <f t="shared" si="9"/>
        <v>0</v>
      </c>
      <c r="L24" s="106">
        <f t="shared" si="10"/>
        <v>0</v>
      </c>
    </row>
    <row r="25" spans="1:12" x14ac:dyDescent="0.35">
      <c r="A25" s="126">
        <v>19</v>
      </c>
      <c r="B25" s="130" t="s">
        <v>490</v>
      </c>
      <c r="C25" s="190">
        <v>5</v>
      </c>
      <c r="D25" s="127">
        <v>0</v>
      </c>
      <c r="E25" s="128">
        <f t="shared" si="0"/>
        <v>5</v>
      </c>
      <c r="F25" s="24" t="s">
        <v>18</v>
      </c>
      <c r="G25" s="191"/>
      <c r="H25" s="103">
        <f t="shared" si="7"/>
        <v>0</v>
      </c>
      <c r="I25" s="104">
        <f t="shared" si="8"/>
        <v>0</v>
      </c>
      <c r="J25" s="113">
        <v>2.5</v>
      </c>
      <c r="K25" s="105">
        <f t="shared" si="9"/>
        <v>0</v>
      </c>
      <c r="L25" s="106">
        <f t="shared" si="10"/>
        <v>0</v>
      </c>
    </row>
    <row r="26" spans="1:12" x14ac:dyDescent="0.35">
      <c r="A26" s="126">
        <v>20</v>
      </c>
      <c r="B26" s="130" t="s">
        <v>491</v>
      </c>
      <c r="C26" s="190">
        <v>10</v>
      </c>
      <c r="D26" s="127">
        <v>0</v>
      </c>
      <c r="E26" s="128">
        <f t="shared" si="0"/>
        <v>10</v>
      </c>
      <c r="F26" s="24" t="s">
        <v>18</v>
      </c>
      <c r="G26" s="191"/>
      <c r="H26" s="103">
        <f t="shared" si="7"/>
        <v>0</v>
      </c>
      <c r="I26" s="104">
        <f t="shared" si="8"/>
        <v>0</v>
      </c>
      <c r="J26" s="113">
        <v>20</v>
      </c>
      <c r="K26" s="105">
        <f t="shared" si="9"/>
        <v>0</v>
      </c>
      <c r="L26" s="106">
        <f t="shared" si="10"/>
        <v>0</v>
      </c>
    </row>
    <row r="27" spans="1:12" x14ac:dyDescent="0.35">
      <c r="A27" s="126">
        <v>21</v>
      </c>
      <c r="B27" s="130" t="s">
        <v>492</v>
      </c>
      <c r="C27" s="190">
        <v>7</v>
      </c>
      <c r="D27" s="127">
        <v>0</v>
      </c>
      <c r="E27" s="128">
        <f t="shared" si="0"/>
        <v>7</v>
      </c>
      <c r="F27" s="24" t="s">
        <v>18</v>
      </c>
      <c r="G27" s="191"/>
      <c r="H27" s="103">
        <f t="shared" si="7"/>
        <v>0</v>
      </c>
      <c r="I27" s="104">
        <f t="shared" si="8"/>
        <v>0</v>
      </c>
      <c r="J27" s="113">
        <v>7</v>
      </c>
      <c r="K27" s="105">
        <f t="shared" si="9"/>
        <v>0</v>
      </c>
      <c r="L27" s="106">
        <f t="shared" si="10"/>
        <v>0</v>
      </c>
    </row>
    <row r="28" spans="1:12" x14ac:dyDescent="0.35">
      <c r="A28" s="126">
        <v>22</v>
      </c>
      <c r="B28" s="130" t="s">
        <v>493</v>
      </c>
      <c r="C28" s="190">
        <v>10</v>
      </c>
      <c r="D28" s="127">
        <v>0</v>
      </c>
      <c r="E28" s="128">
        <f t="shared" si="0"/>
        <v>10</v>
      </c>
      <c r="F28" s="24" t="s">
        <v>18</v>
      </c>
      <c r="G28" s="191"/>
      <c r="H28" s="103">
        <f t="shared" si="7"/>
        <v>0</v>
      </c>
      <c r="I28" s="104">
        <f t="shared" si="8"/>
        <v>0</v>
      </c>
      <c r="J28" s="113">
        <v>5</v>
      </c>
      <c r="K28" s="105">
        <f t="shared" si="9"/>
        <v>0</v>
      </c>
      <c r="L28" s="106">
        <f t="shared" si="10"/>
        <v>0</v>
      </c>
    </row>
    <row r="29" spans="1:12" x14ac:dyDescent="0.35">
      <c r="A29" s="126">
        <v>23</v>
      </c>
      <c r="B29" s="130" t="s">
        <v>494</v>
      </c>
      <c r="C29" s="190">
        <v>1</v>
      </c>
      <c r="D29" s="127">
        <v>0</v>
      </c>
      <c r="E29" s="128">
        <f t="shared" si="0"/>
        <v>1</v>
      </c>
      <c r="F29" s="24" t="s">
        <v>18</v>
      </c>
      <c r="G29" s="191"/>
      <c r="H29" s="103">
        <f t="shared" si="7"/>
        <v>0</v>
      </c>
      <c r="I29" s="104">
        <f t="shared" si="8"/>
        <v>0</v>
      </c>
      <c r="J29" s="113">
        <v>2</v>
      </c>
      <c r="K29" s="105">
        <f t="shared" si="9"/>
        <v>0</v>
      </c>
      <c r="L29" s="106">
        <f t="shared" si="10"/>
        <v>0</v>
      </c>
    </row>
    <row r="30" spans="1:12" x14ac:dyDescent="0.35">
      <c r="A30" s="126">
        <v>24</v>
      </c>
      <c r="B30" s="130" t="s">
        <v>495</v>
      </c>
      <c r="C30" s="190">
        <v>1</v>
      </c>
      <c r="D30" s="127">
        <v>0</v>
      </c>
      <c r="E30" s="128">
        <f t="shared" si="0"/>
        <v>1</v>
      </c>
      <c r="F30" s="24" t="s">
        <v>18</v>
      </c>
      <c r="G30" s="191"/>
      <c r="H30" s="103">
        <f t="shared" si="7"/>
        <v>0</v>
      </c>
      <c r="I30" s="104">
        <f t="shared" si="8"/>
        <v>0</v>
      </c>
      <c r="J30" s="113">
        <v>2</v>
      </c>
      <c r="K30" s="105">
        <f t="shared" si="9"/>
        <v>0</v>
      </c>
      <c r="L30" s="106">
        <f t="shared" si="10"/>
        <v>0</v>
      </c>
    </row>
    <row r="31" spans="1:12" ht="15" thickBot="1" x14ac:dyDescent="0.4">
      <c r="A31" s="129"/>
      <c r="B31" s="130"/>
      <c r="C31" s="190"/>
      <c r="D31" s="195"/>
      <c r="E31" s="196"/>
      <c r="F31" s="87"/>
      <c r="G31" s="191"/>
      <c r="H31" s="191"/>
      <c r="I31" s="192"/>
      <c r="J31" s="193"/>
      <c r="K31" s="192"/>
      <c r="L31" s="194"/>
    </row>
    <row r="32" spans="1:12" ht="15" thickBot="1" x14ac:dyDescent="0.4">
      <c r="A32" s="382" t="s">
        <v>496</v>
      </c>
      <c r="B32" s="383"/>
      <c r="C32" s="144"/>
      <c r="D32" s="195"/>
      <c r="E32" s="196"/>
      <c r="F32" s="87"/>
      <c r="G32" s="191"/>
      <c r="H32" s="191"/>
      <c r="I32" s="192"/>
      <c r="J32" s="193"/>
      <c r="K32" s="192"/>
      <c r="L32" s="194"/>
    </row>
    <row r="33" spans="1:12" x14ac:dyDescent="0.35">
      <c r="A33" s="197">
        <v>1</v>
      </c>
      <c r="B33" s="160" t="s">
        <v>340</v>
      </c>
      <c r="C33" s="198">
        <v>38000</v>
      </c>
      <c r="D33" s="195">
        <v>0.1</v>
      </c>
      <c r="E33" s="196">
        <f>C33*(1+D33)</f>
        <v>41800</v>
      </c>
      <c r="F33" s="87" t="s">
        <v>17</v>
      </c>
      <c r="G33" s="191"/>
      <c r="H33" s="103">
        <f t="shared" ref="H33:H35" si="11">G33*E33</f>
        <v>0</v>
      </c>
      <c r="I33" s="104">
        <f t="shared" ref="I33:I35" si="12">L$4</f>
        <v>0</v>
      </c>
      <c r="J33" s="113">
        <v>366</v>
      </c>
      <c r="K33" s="105">
        <f t="shared" ref="K33:K35" si="13">J33*I33</f>
        <v>0</v>
      </c>
      <c r="L33" s="106">
        <f t="shared" ref="L33:L35" si="14">K33+H33</f>
        <v>0</v>
      </c>
    </row>
    <row r="34" spans="1:12" x14ac:dyDescent="0.35">
      <c r="A34" s="129">
        <v>2</v>
      </c>
      <c r="B34" s="26" t="s">
        <v>339</v>
      </c>
      <c r="C34" s="190">
        <v>2800</v>
      </c>
      <c r="D34" s="195">
        <v>0.1</v>
      </c>
      <c r="E34" s="196">
        <f>C34*(1+D34)</f>
        <v>3080.0000000000005</v>
      </c>
      <c r="F34" s="87" t="s">
        <v>17</v>
      </c>
      <c r="G34" s="191"/>
      <c r="H34" s="103">
        <f t="shared" si="11"/>
        <v>0</v>
      </c>
      <c r="I34" s="104">
        <f t="shared" si="12"/>
        <v>0</v>
      </c>
      <c r="J34" s="113">
        <v>35</v>
      </c>
      <c r="K34" s="105">
        <f t="shared" si="13"/>
        <v>0</v>
      </c>
      <c r="L34" s="106">
        <f t="shared" si="14"/>
        <v>0</v>
      </c>
    </row>
    <row r="35" spans="1:12" x14ac:dyDescent="0.35">
      <c r="A35" s="129">
        <v>3</v>
      </c>
      <c r="B35" s="26" t="s">
        <v>497</v>
      </c>
      <c r="C35" s="190">
        <v>2400</v>
      </c>
      <c r="D35" s="195">
        <v>0.1</v>
      </c>
      <c r="E35" s="196">
        <f>C35*(1+D35)</f>
        <v>2640</v>
      </c>
      <c r="F35" s="87" t="s">
        <v>17</v>
      </c>
      <c r="G35" s="191"/>
      <c r="H35" s="103">
        <f t="shared" si="11"/>
        <v>0</v>
      </c>
      <c r="I35" s="104">
        <f t="shared" si="12"/>
        <v>0</v>
      </c>
      <c r="J35" s="113">
        <v>23</v>
      </c>
      <c r="K35" s="105">
        <f t="shared" si="13"/>
        <v>0</v>
      </c>
      <c r="L35" s="106">
        <f t="shared" si="14"/>
        <v>0</v>
      </c>
    </row>
    <row r="36" spans="1:12" ht="15" thickBot="1" x14ac:dyDescent="0.4">
      <c r="A36" s="129"/>
      <c r="B36" s="130"/>
      <c r="C36" s="190"/>
      <c r="D36" s="195"/>
      <c r="E36" s="196"/>
      <c r="F36" s="87"/>
      <c r="G36" s="191"/>
      <c r="H36" s="191"/>
      <c r="I36" s="192"/>
      <c r="J36" s="193"/>
      <c r="K36" s="192"/>
      <c r="L36" s="194"/>
    </row>
    <row r="37" spans="1:12" ht="15" thickBot="1" x14ac:dyDescent="0.4">
      <c r="A37" s="382" t="s">
        <v>348</v>
      </c>
      <c r="B37" s="383"/>
      <c r="C37" s="144"/>
      <c r="D37" s="195"/>
      <c r="E37" s="196"/>
      <c r="F37" s="87"/>
      <c r="G37" s="191"/>
      <c r="H37" s="191"/>
      <c r="I37" s="192"/>
      <c r="J37" s="193"/>
      <c r="K37" s="192"/>
      <c r="L37" s="194"/>
    </row>
    <row r="38" spans="1:12" x14ac:dyDescent="0.35">
      <c r="A38" s="197">
        <v>1</v>
      </c>
      <c r="B38" s="199" t="s">
        <v>349</v>
      </c>
      <c r="C38" s="190">
        <v>18500</v>
      </c>
      <c r="D38" s="195">
        <v>0</v>
      </c>
      <c r="E38" s="196">
        <f>C38*(1+D38)</f>
        <v>18500</v>
      </c>
      <c r="F38" s="87" t="s">
        <v>17</v>
      </c>
      <c r="G38" s="191"/>
      <c r="H38" s="103">
        <f t="shared" ref="H38" si="15">G38*E38</f>
        <v>0</v>
      </c>
      <c r="I38" s="104">
        <f t="shared" ref="I38" si="16">L$4</f>
        <v>0</v>
      </c>
      <c r="J38" s="113">
        <v>925</v>
      </c>
      <c r="K38" s="105">
        <f t="shared" ref="K38" si="17">J38*I38</f>
        <v>0</v>
      </c>
      <c r="L38" s="106">
        <f t="shared" ref="L38" si="18">K38+H38</f>
        <v>0</v>
      </c>
    </row>
    <row r="39" spans="1:12" ht="15" thickBot="1" x14ac:dyDescent="0.4">
      <c r="A39" s="129"/>
      <c r="B39" s="130"/>
      <c r="C39" s="190"/>
      <c r="D39" s="195"/>
      <c r="E39" s="196"/>
      <c r="F39" s="87"/>
      <c r="G39" s="191"/>
      <c r="H39" s="191"/>
      <c r="I39" s="192"/>
      <c r="J39" s="193"/>
      <c r="K39" s="192"/>
      <c r="L39" s="194"/>
    </row>
    <row r="40" spans="1:12" ht="15" thickBot="1" x14ac:dyDescent="0.4">
      <c r="A40" s="382" t="s">
        <v>498</v>
      </c>
      <c r="B40" s="383"/>
      <c r="C40" s="144"/>
      <c r="D40" s="195"/>
      <c r="E40" s="196"/>
      <c r="F40" s="87"/>
      <c r="G40" s="191"/>
      <c r="H40" s="191"/>
      <c r="I40" s="192"/>
      <c r="J40" s="193"/>
      <c r="K40" s="192"/>
      <c r="L40" s="194"/>
    </row>
    <row r="41" spans="1:12" x14ac:dyDescent="0.35">
      <c r="A41" s="197">
        <v>1</v>
      </c>
      <c r="B41" s="199" t="s">
        <v>499</v>
      </c>
      <c r="C41" s="190">
        <v>10</v>
      </c>
      <c r="D41" s="195">
        <v>0</v>
      </c>
      <c r="E41" s="196">
        <f>C41*(1+D41)</f>
        <v>10</v>
      </c>
      <c r="F41" s="87" t="s">
        <v>18</v>
      </c>
      <c r="G41" s="191"/>
      <c r="H41" s="103">
        <f t="shared" ref="H41:H49" si="19">G41*E41</f>
        <v>0</v>
      </c>
      <c r="I41" s="104">
        <f t="shared" ref="I41:I49" si="20">L$4</f>
        <v>0</v>
      </c>
      <c r="J41" s="113">
        <v>5</v>
      </c>
      <c r="K41" s="105">
        <f t="shared" ref="K41:K49" si="21">J41*I41</f>
        <v>0</v>
      </c>
      <c r="L41" s="106">
        <f t="shared" ref="L41:L49" si="22">K41+H41</f>
        <v>0</v>
      </c>
    </row>
    <row r="42" spans="1:12" x14ac:dyDescent="0.35">
      <c r="A42" s="129">
        <v>2</v>
      </c>
      <c r="B42" s="130" t="s">
        <v>500</v>
      </c>
      <c r="C42" s="190">
        <v>2</v>
      </c>
      <c r="D42" s="195">
        <v>0</v>
      </c>
      <c r="E42" s="196">
        <f t="shared" ref="E42:E49" si="23">C42*(1+D42)</f>
        <v>2</v>
      </c>
      <c r="F42" s="87" t="s">
        <v>18</v>
      </c>
      <c r="G42" s="191"/>
      <c r="H42" s="103">
        <f t="shared" si="19"/>
        <v>0</v>
      </c>
      <c r="I42" s="104">
        <f t="shared" si="20"/>
        <v>0</v>
      </c>
      <c r="J42" s="113">
        <v>1</v>
      </c>
      <c r="K42" s="105">
        <f t="shared" si="21"/>
        <v>0</v>
      </c>
      <c r="L42" s="106">
        <f t="shared" si="22"/>
        <v>0</v>
      </c>
    </row>
    <row r="43" spans="1:12" x14ac:dyDescent="0.35">
      <c r="A43" s="129">
        <v>3</v>
      </c>
      <c r="B43" s="130" t="s">
        <v>491</v>
      </c>
      <c r="C43" s="190">
        <v>1</v>
      </c>
      <c r="D43" s="195">
        <v>0</v>
      </c>
      <c r="E43" s="196">
        <f t="shared" si="23"/>
        <v>1</v>
      </c>
      <c r="F43" s="87" t="s">
        <v>18</v>
      </c>
      <c r="G43" s="191"/>
      <c r="H43" s="103">
        <f t="shared" si="19"/>
        <v>0</v>
      </c>
      <c r="I43" s="104">
        <f t="shared" si="20"/>
        <v>0</v>
      </c>
      <c r="J43" s="113">
        <v>1</v>
      </c>
      <c r="K43" s="105">
        <f t="shared" si="21"/>
        <v>0</v>
      </c>
      <c r="L43" s="106">
        <f t="shared" si="22"/>
        <v>0</v>
      </c>
    </row>
    <row r="44" spans="1:12" x14ac:dyDescent="0.35">
      <c r="A44" s="129">
        <v>4</v>
      </c>
      <c r="B44" s="130" t="s">
        <v>490</v>
      </c>
      <c r="C44" s="190">
        <v>1</v>
      </c>
      <c r="D44" s="195">
        <v>0</v>
      </c>
      <c r="E44" s="196">
        <f t="shared" si="23"/>
        <v>1</v>
      </c>
      <c r="F44" s="87" t="s">
        <v>18</v>
      </c>
      <c r="G44" s="191"/>
      <c r="H44" s="103">
        <f t="shared" si="19"/>
        <v>0</v>
      </c>
      <c r="I44" s="104">
        <f t="shared" si="20"/>
        <v>0</v>
      </c>
      <c r="J44" s="113">
        <v>0.5</v>
      </c>
      <c r="K44" s="105">
        <f t="shared" si="21"/>
        <v>0</v>
      </c>
      <c r="L44" s="106">
        <f t="shared" si="22"/>
        <v>0</v>
      </c>
    </row>
    <row r="45" spans="1:12" x14ac:dyDescent="0.35">
      <c r="A45" s="129">
        <v>5</v>
      </c>
      <c r="B45" s="130" t="s">
        <v>501</v>
      </c>
      <c r="C45" s="190">
        <v>1</v>
      </c>
      <c r="D45" s="195">
        <v>0</v>
      </c>
      <c r="E45" s="196">
        <f t="shared" si="23"/>
        <v>1</v>
      </c>
      <c r="F45" s="87" t="s">
        <v>18</v>
      </c>
      <c r="G45" s="191"/>
      <c r="H45" s="103">
        <f t="shared" si="19"/>
        <v>0</v>
      </c>
      <c r="I45" s="104">
        <f t="shared" si="20"/>
        <v>0</v>
      </c>
      <c r="J45" s="113">
        <v>1</v>
      </c>
      <c r="K45" s="105">
        <f t="shared" si="21"/>
        <v>0</v>
      </c>
      <c r="L45" s="106">
        <f t="shared" si="22"/>
        <v>0</v>
      </c>
    </row>
    <row r="46" spans="1:12" x14ac:dyDescent="0.35">
      <c r="A46" s="129">
        <v>6</v>
      </c>
      <c r="B46" s="130" t="s">
        <v>502</v>
      </c>
      <c r="C46" s="190">
        <v>1</v>
      </c>
      <c r="D46" s="195">
        <v>0</v>
      </c>
      <c r="E46" s="196">
        <f t="shared" si="23"/>
        <v>1</v>
      </c>
      <c r="F46" s="87" t="s">
        <v>18</v>
      </c>
      <c r="G46" s="191"/>
      <c r="H46" s="103">
        <f t="shared" si="19"/>
        <v>0</v>
      </c>
      <c r="I46" s="104">
        <f t="shared" si="20"/>
        <v>0</v>
      </c>
      <c r="J46" s="113">
        <v>1</v>
      </c>
      <c r="K46" s="105">
        <f t="shared" si="21"/>
        <v>0</v>
      </c>
      <c r="L46" s="106">
        <f t="shared" si="22"/>
        <v>0</v>
      </c>
    </row>
    <row r="47" spans="1:12" x14ac:dyDescent="0.35">
      <c r="A47" s="129">
        <v>7</v>
      </c>
      <c r="B47" s="130" t="s">
        <v>495</v>
      </c>
      <c r="C47" s="190">
        <v>1</v>
      </c>
      <c r="D47" s="195">
        <v>0</v>
      </c>
      <c r="E47" s="196">
        <f t="shared" si="23"/>
        <v>1</v>
      </c>
      <c r="F47" s="87" t="s">
        <v>18</v>
      </c>
      <c r="G47" s="191"/>
      <c r="H47" s="103">
        <f t="shared" si="19"/>
        <v>0</v>
      </c>
      <c r="I47" s="104">
        <f t="shared" si="20"/>
        <v>0</v>
      </c>
      <c r="J47" s="113">
        <v>2</v>
      </c>
      <c r="K47" s="105">
        <f t="shared" si="21"/>
        <v>0</v>
      </c>
      <c r="L47" s="106">
        <f t="shared" si="22"/>
        <v>0</v>
      </c>
    </row>
    <row r="48" spans="1:12" x14ac:dyDescent="0.35">
      <c r="A48" s="129">
        <v>8</v>
      </c>
      <c r="B48" s="130" t="s">
        <v>277</v>
      </c>
      <c r="C48" s="190">
        <v>1</v>
      </c>
      <c r="D48" s="195">
        <v>0</v>
      </c>
      <c r="E48" s="196">
        <f t="shared" si="23"/>
        <v>1</v>
      </c>
      <c r="F48" s="87" t="s">
        <v>18</v>
      </c>
      <c r="G48" s="191"/>
      <c r="H48" s="103">
        <f t="shared" si="19"/>
        <v>0</v>
      </c>
      <c r="I48" s="104">
        <f t="shared" si="20"/>
        <v>0</v>
      </c>
      <c r="J48" s="113">
        <v>0.5</v>
      </c>
      <c r="K48" s="105">
        <f t="shared" si="21"/>
        <v>0</v>
      </c>
      <c r="L48" s="106">
        <f t="shared" si="22"/>
        <v>0</v>
      </c>
    </row>
    <row r="49" spans="1:12" x14ac:dyDescent="0.35">
      <c r="A49" s="129">
        <v>9</v>
      </c>
      <c r="B49" s="130" t="s">
        <v>488</v>
      </c>
      <c r="C49" s="190">
        <v>1</v>
      </c>
      <c r="D49" s="195">
        <v>0</v>
      </c>
      <c r="E49" s="196">
        <f t="shared" si="23"/>
        <v>1</v>
      </c>
      <c r="F49" s="87" t="s">
        <v>18</v>
      </c>
      <c r="G49" s="191"/>
      <c r="H49" s="103">
        <f t="shared" si="19"/>
        <v>0</v>
      </c>
      <c r="I49" s="104">
        <f t="shared" si="20"/>
        <v>0</v>
      </c>
      <c r="J49" s="113">
        <v>1</v>
      </c>
      <c r="K49" s="105">
        <f t="shared" si="21"/>
        <v>0</v>
      </c>
      <c r="L49" s="106">
        <f t="shared" si="22"/>
        <v>0</v>
      </c>
    </row>
    <row r="50" spans="1:12" ht="17.25" customHeight="1" thickBot="1" x14ac:dyDescent="0.4">
      <c r="A50" s="148"/>
      <c r="B50" s="149"/>
      <c r="C50" s="150"/>
      <c r="D50" s="151"/>
      <c r="E50" s="152"/>
      <c r="F50" s="153"/>
      <c r="G50" s="154"/>
      <c r="H50" s="154"/>
      <c r="I50" s="155"/>
      <c r="J50" s="156"/>
      <c r="K50" s="157"/>
      <c r="L50" s="158"/>
    </row>
    <row r="51" spans="1:12" ht="16" thickBot="1" x14ac:dyDescent="0.4">
      <c r="A51" s="386" t="s">
        <v>185</v>
      </c>
      <c r="B51" s="387"/>
      <c r="C51" s="387"/>
      <c r="D51" s="387"/>
      <c r="E51" s="387"/>
      <c r="F51" s="387"/>
      <c r="G51" s="387"/>
      <c r="H51" s="387"/>
      <c r="I51" s="387"/>
      <c r="J51" s="388"/>
      <c r="K51" s="389">
        <f>SUM(H7:H50)</f>
        <v>0</v>
      </c>
      <c r="L51" s="390"/>
    </row>
    <row r="52" spans="1:12" ht="16" thickBot="1" x14ac:dyDescent="0.4">
      <c r="A52" s="391" t="s">
        <v>186</v>
      </c>
      <c r="B52" s="392"/>
      <c r="C52" s="392"/>
      <c r="D52" s="392"/>
      <c r="E52" s="392"/>
      <c r="F52" s="392"/>
      <c r="G52" s="392"/>
      <c r="H52" s="392"/>
      <c r="I52" s="392"/>
      <c r="J52" s="393"/>
      <c r="K52" s="359">
        <f>SUM(K7:K8)</f>
        <v>0</v>
      </c>
      <c r="L52" s="360"/>
    </row>
    <row r="53" spans="1:12" ht="16" thickBot="1" x14ac:dyDescent="0.4">
      <c r="A53" s="391" t="s">
        <v>14</v>
      </c>
      <c r="B53" s="392"/>
      <c r="C53" s="392"/>
      <c r="D53" s="392"/>
      <c r="E53" s="392"/>
      <c r="F53" s="392"/>
      <c r="G53" s="392"/>
      <c r="H53" s="392"/>
      <c r="I53" s="392"/>
      <c r="J53" s="393"/>
      <c r="K53" s="359">
        <f>K51+K52</f>
        <v>0</v>
      </c>
      <c r="L53" s="360"/>
    </row>
    <row r="54" spans="1:12" ht="16" thickBot="1" x14ac:dyDescent="0.4">
      <c r="A54" s="391" t="s">
        <v>15</v>
      </c>
      <c r="B54" s="392"/>
      <c r="C54" s="392"/>
      <c r="D54" s="392"/>
      <c r="E54" s="392"/>
      <c r="F54" s="392"/>
      <c r="G54" s="392"/>
      <c r="H54" s="392"/>
      <c r="I54" s="392"/>
      <c r="J54" s="12">
        <v>0.25</v>
      </c>
      <c r="K54" s="359">
        <f>K53*J54</f>
        <v>0</v>
      </c>
      <c r="L54" s="360"/>
    </row>
    <row r="55" spans="1:12" ht="16" thickBot="1" x14ac:dyDescent="0.4">
      <c r="A55" s="391" t="s">
        <v>16</v>
      </c>
      <c r="B55" s="392"/>
      <c r="C55" s="392"/>
      <c r="D55" s="392"/>
      <c r="E55" s="392"/>
      <c r="F55" s="392"/>
      <c r="G55" s="392"/>
      <c r="H55" s="392"/>
      <c r="I55" s="392"/>
      <c r="J55" s="393"/>
      <c r="K55" s="359">
        <f>K54+K53</f>
        <v>0</v>
      </c>
      <c r="L55" s="360"/>
    </row>
    <row r="56" spans="1:12" ht="15" thickBot="1" x14ac:dyDescent="0.4">
      <c r="A56" s="403"/>
      <c r="B56" s="404"/>
      <c r="C56" s="404"/>
      <c r="D56" s="404"/>
      <c r="E56" s="404"/>
      <c r="F56" s="404"/>
      <c r="G56" s="404"/>
      <c r="H56" s="404"/>
      <c r="I56" s="404"/>
      <c r="J56" s="404"/>
      <c r="K56" s="404"/>
      <c r="L56" s="405"/>
    </row>
    <row r="57" spans="1:12" ht="15" thickBot="1" x14ac:dyDescent="0.4">
      <c r="A57" s="406" t="s">
        <v>503</v>
      </c>
      <c r="B57" s="395"/>
      <c r="C57" s="395"/>
      <c r="D57" s="395"/>
      <c r="E57" s="395"/>
      <c r="F57" s="395"/>
      <c r="G57" s="395"/>
      <c r="H57" s="395"/>
      <c r="I57" s="395"/>
      <c r="J57" s="395"/>
      <c r="K57" s="395"/>
      <c r="L57" s="396"/>
    </row>
    <row r="58" spans="1:12" ht="15" thickBot="1" x14ac:dyDescent="0.4">
      <c r="A58" s="200" t="s">
        <v>504</v>
      </c>
      <c r="B58" s="394" t="s">
        <v>505</v>
      </c>
      <c r="C58" s="395"/>
      <c r="D58" s="395"/>
      <c r="E58" s="395"/>
      <c r="F58" s="395"/>
      <c r="G58" s="395"/>
      <c r="H58" s="395"/>
      <c r="I58" s="395"/>
      <c r="J58" s="395"/>
      <c r="K58" s="395"/>
      <c r="L58" s="396"/>
    </row>
    <row r="59" spans="1:12" x14ac:dyDescent="0.35">
      <c r="A59" s="201">
        <v>1</v>
      </c>
      <c r="B59" s="397" t="s">
        <v>506</v>
      </c>
      <c r="C59" s="398"/>
      <c r="D59" s="398"/>
      <c r="E59" s="398"/>
      <c r="F59" s="398"/>
      <c r="G59" s="398"/>
      <c r="H59" s="398"/>
      <c r="I59" s="398"/>
      <c r="J59" s="398"/>
      <c r="K59" s="398"/>
      <c r="L59" s="399"/>
    </row>
    <row r="60" spans="1:12" x14ac:dyDescent="0.35">
      <c r="A60" s="202">
        <v>2</v>
      </c>
      <c r="B60" s="400" t="s">
        <v>507</v>
      </c>
      <c r="C60" s="401"/>
      <c r="D60" s="401"/>
      <c r="E60" s="401"/>
      <c r="F60" s="401"/>
      <c r="G60" s="401"/>
      <c r="H60" s="401"/>
      <c r="I60" s="401"/>
      <c r="J60" s="401"/>
      <c r="K60" s="401"/>
      <c r="L60" s="402"/>
    </row>
    <row r="61" spans="1:12" x14ac:dyDescent="0.35">
      <c r="A61" s="201">
        <v>3</v>
      </c>
      <c r="B61" s="400" t="s">
        <v>508</v>
      </c>
      <c r="C61" s="401"/>
      <c r="D61" s="401"/>
      <c r="E61" s="401"/>
      <c r="F61" s="401"/>
      <c r="G61" s="401"/>
      <c r="H61" s="401"/>
      <c r="I61" s="401"/>
      <c r="J61" s="401"/>
      <c r="K61" s="401"/>
      <c r="L61" s="402"/>
    </row>
    <row r="62" spans="1:12" ht="15" thickBot="1" x14ac:dyDescent="0.4">
      <c r="A62" s="203"/>
      <c r="B62" s="204"/>
      <c r="C62" s="205"/>
      <c r="D62" s="205"/>
      <c r="E62" s="205"/>
      <c r="F62" s="205"/>
      <c r="G62" s="205"/>
      <c r="H62" s="205"/>
      <c r="I62" s="205"/>
      <c r="J62" s="205"/>
      <c r="K62" s="205"/>
      <c r="L62" s="206"/>
    </row>
  </sheetData>
  <mergeCells count="22">
    <mergeCell ref="A40:B40"/>
    <mergeCell ref="C2:C3"/>
    <mergeCell ref="J4:K4"/>
    <mergeCell ref="A6:B6"/>
    <mergeCell ref="A32:B32"/>
    <mergeCell ref="A37:B37"/>
    <mergeCell ref="A51:J51"/>
    <mergeCell ref="K51:L51"/>
    <mergeCell ref="A52:J52"/>
    <mergeCell ref="K52:L52"/>
    <mergeCell ref="A53:J53"/>
    <mergeCell ref="K53:L53"/>
    <mergeCell ref="B58:L58"/>
    <mergeCell ref="B59:L59"/>
    <mergeCell ref="B60:L60"/>
    <mergeCell ref="B61:L61"/>
    <mergeCell ref="A54:I54"/>
    <mergeCell ref="K54:L54"/>
    <mergeCell ref="A55:J55"/>
    <mergeCell ref="K55:L55"/>
    <mergeCell ref="A56:L56"/>
    <mergeCell ref="A57:L57"/>
  </mergeCells>
  <pageMargins left="0.7" right="0.7" top="0.75" bottom="0.75" header="0.3" footer="0.3"/>
  <pageSetup paperSize="9" orientation="portrait"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8"/>
  <sheetViews>
    <sheetView view="pageBreakPreview" zoomScale="85" zoomScaleSheetLayoutView="85" workbookViewId="0">
      <pane xSplit="2" ySplit="6" topLeftCell="C32" activePane="bottomRight" state="frozen"/>
      <selection pane="topRight" activeCell="C1" sqref="C1"/>
      <selection pane="bottomLeft" activeCell="A4" sqref="A4"/>
      <selection pane="bottomRight"/>
    </sheetView>
  </sheetViews>
  <sheetFormatPr defaultColWidth="9.1796875" defaultRowHeight="14" x14ac:dyDescent="0.3"/>
  <cols>
    <col min="1" max="1" width="5.81640625" style="209" customWidth="1"/>
    <col min="2" max="2" width="83.26953125" style="209" customWidth="1"/>
    <col min="3" max="3" width="10.7265625" style="207" bestFit="1" customWidth="1"/>
    <col min="4" max="4" width="12.7265625" style="207" customWidth="1"/>
    <col min="5" max="5" width="12.1796875" style="207" customWidth="1"/>
    <col min="6" max="6" width="6.81640625" style="207" customWidth="1"/>
    <col min="7" max="7" width="10" style="208" bestFit="1" customWidth="1"/>
    <col min="8" max="8" width="10.7265625" style="208" bestFit="1" customWidth="1"/>
    <col min="9" max="9" width="12" style="208" bestFit="1" customWidth="1"/>
    <col min="10" max="10" width="11.81640625" style="207" customWidth="1"/>
    <col min="11" max="11" width="12.453125" style="207" customWidth="1"/>
    <col min="12" max="12" width="14.26953125" style="207" bestFit="1" customWidth="1"/>
    <col min="13" max="16384" width="9.1796875" style="209"/>
  </cols>
  <sheetData>
    <row r="1" spans="1:12" ht="28.5" x14ac:dyDescent="0.65">
      <c r="A1" s="343"/>
      <c r="B1" s="344"/>
      <c r="C1" s="347" t="s">
        <v>162</v>
      </c>
      <c r="D1" s="340"/>
      <c r="E1" s="353"/>
    </row>
    <row r="2" spans="1:12" ht="15.5" x14ac:dyDescent="0.35">
      <c r="A2" s="345"/>
      <c r="B2" s="346"/>
      <c r="C2" s="381" t="s">
        <v>163</v>
      </c>
      <c r="D2" s="341"/>
      <c r="E2" s="353"/>
    </row>
    <row r="3" spans="1:12" ht="16" thickBot="1" x14ac:dyDescent="0.4">
      <c r="A3" s="345"/>
      <c r="B3" s="346"/>
      <c r="C3" s="381"/>
      <c r="D3" s="341"/>
      <c r="E3" s="353"/>
    </row>
    <row r="4" spans="1:12" ht="18.5" thickBot="1" x14ac:dyDescent="0.45">
      <c r="A4" s="347"/>
      <c r="B4" s="346"/>
      <c r="C4" s="350" t="s">
        <v>4</v>
      </c>
      <c r="D4" s="342"/>
      <c r="E4" s="354"/>
      <c r="G4" s="210"/>
      <c r="H4" s="210"/>
      <c r="I4" s="210"/>
      <c r="J4" s="412" t="s">
        <v>5</v>
      </c>
      <c r="K4" s="413"/>
      <c r="L4" s="211"/>
    </row>
    <row r="5" spans="1:12" ht="49.5" customHeight="1" thickBot="1" x14ac:dyDescent="0.35">
      <c r="A5" s="335" t="s">
        <v>6</v>
      </c>
      <c r="B5" s="336" t="s">
        <v>0</v>
      </c>
      <c r="C5" s="336" t="s">
        <v>1</v>
      </c>
      <c r="D5" s="335" t="s">
        <v>7</v>
      </c>
      <c r="E5" s="335" t="s">
        <v>2</v>
      </c>
      <c r="F5" s="335" t="s">
        <v>8</v>
      </c>
      <c r="G5" s="335" t="s">
        <v>9</v>
      </c>
      <c r="H5" s="337" t="s">
        <v>10</v>
      </c>
      <c r="I5" s="337" t="s">
        <v>11</v>
      </c>
      <c r="J5" s="337" t="s">
        <v>12</v>
      </c>
      <c r="K5" s="337" t="s">
        <v>13</v>
      </c>
      <c r="L5" s="335" t="s">
        <v>3</v>
      </c>
    </row>
    <row r="6" spans="1:12" ht="17.25" customHeight="1" thickBot="1" x14ac:dyDescent="0.35">
      <c r="A6" s="414" t="s">
        <v>510</v>
      </c>
      <c r="B6" s="415"/>
      <c r="C6" s="269"/>
      <c r="D6" s="212"/>
      <c r="E6" s="212"/>
      <c r="F6" s="212"/>
      <c r="G6" s="212"/>
      <c r="H6" s="212"/>
      <c r="I6" s="212"/>
      <c r="J6" s="212"/>
      <c r="K6" s="212"/>
      <c r="L6" s="213"/>
    </row>
    <row r="7" spans="1:12" ht="14.5" x14ac:dyDescent="0.3">
      <c r="A7" s="275">
        <v>1</v>
      </c>
      <c r="B7" s="276" t="s">
        <v>511</v>
      </c>
      <c r="C7" s="277">
        <v>1500</v>
      </c>
      <c r="D7" s="216">
        <v>0.1</v>
      </c>
      <c r="E7" s="217">
        <f t="shared" ref="E7:E70" si="0">C7*(1+D7)</f>
        <v>1650.0000000000002</v>
      </c>
      <c r="F7" s="218" t="s">
        <v>17</v>
      </c>
      <c r="G7" s="219"/>
      <c r="H7" s="101">
        <f t="shared" ref="H7" si="1">G7*E7</f>
        <v>0</v>
      </c>
      <c r="I7" s="102">
        <f t="shared" ref="I7" si="2">L$4</f>
        <v>0</v>
      </c>
      <c r="J7" s="170">
        <v>132.00000000000003</v>
      </c>
      <c r="K7" s="107">
        <f t="shared" ref="K7" si="3">J7*I7</f>
        <v>0</v>
      </c>
      <c r="L7" s="108">
        <f t="shared" ref="L7" si="4">K7+H7</f>
        <v>0</v>
      </c>
    </row>
    <row r="8" spans="1:12" ht="14.5" x14ac:dyDescent="0.3">
      <c r="A8" s="233">
        <v>2</v>
      </c>
      <c r="B8" s="220" t="s">
        <v>512</v>
      </c>
      <c r="C8" s="215">
        <v>550</v>
      </c>
      <c r="D8" s="221">
        <v>0.1</v>
      </c>
      <c r="E8" s="222">
        <f t="shared" si="0"/>
        <v>605</v>
      </c>
      <c r="F8" s="223" t="s">
        <v>17</v>
      </c>
      <c r="G8" s="224"/>
      <c r="H8" s="103">
        <f t="shared" ref="H8" si="5">G8*E8</f>
        <v>0</v>
      </c>
      <c r="I8" s="104">
        <f t="shared" ref="I8" si="6">L$4</f>
        <v>0</v>
      </c>
      <c r="J8" s="113">
        <v>48.4</v>
      </c>
      <c r="K8" s="105">
        <f t="shared" ref="K8" si="7">J8*I8</f>
        <v>0</v>
      </c>
      <c r="L8" s="106">
        <f t="shared" ref="L8" si="8">K8+H8</f>
        <v>0</v>
      </c>
    </row>
    <row r="9" spans="1:12" ht="14.5" x14ac:dyDescent="0.3">
      <c r="A9" s="233">
        <v>3</v>
      </c>
      <c r="B9" s="220" t="s">
        <v>513</v>
      </c>
      <c r="C9" s="215">
        <v>550</v>
      </c>
      <c r="D9" s="221">
        <v>0.1</v>
      </c>
      <c r="E9" s="222">
        <f t="shared" si="0"/>
        <v>605</v>
      </c>
      <c r="F9" s="223" t="s">
        <v>17</v>
      </c>
      <c r="G9" s="224"/>
      <c r="H9" s="103">
        <f t="shared" ref="H9:H71" si="9">G9*E9</f>
        <v>0</v>
      </c>
      <c r="I9" s="104">
        <f t="shared" ref="I9:I71" si="10">L$4</f>
        <v>0</v>
      </c>
      <c r="J9" s="113">
        <v>60.5</v>
      </c>
      <c r="K9" s="105">
        <f t="shared" ref="K9:K71" si="11">J9*I9</f>
        <v>0</v>
      </c>
      <c r="L9" s="106">
        <f t="shared" ref="L9:L71" si="12">K9+H9</f>
        <v>0</v>
      </c>
    </row>
    <row r="10" spans="1:12" ht="14.5" x14ac:dyDescent="0.3">
      <c r="A10" s="233">
        <v>4</v>
      </c>
      <c r="B10" s="220" t="s">
        <v>514</v>
      </c>
      <c r="C10" s="215">
        <v>225</v>
      </c>
      <c r="D10" s="221">
        <v>0.1</v>
      </c>
      <c r="E10" s="222">
        <f t="shared" si="0"/>
        <v>247.50000000000003</v>
      </c>
      <c r="F10" s="223" t="s">
        <v>17</v>
      </c>
      <c r="G10" s="224"/>
      <c r="H10" s="103">
        <f t="shared" si="9"/>
        <v>0</v>
      </c>
      <c r="I10" s="104">
        <f t="shared" si="10"/>
        <v>0</v>
      </c>
      <c r="J10" s="113">
        <v>24.750000000000004</v>
      </c>
      <c r="K10" s="105">
        <f t="shared" si="11"/>
        <v>0</v>
      </c>
      <c r="L10" s="106">
        <f t="shared" si="12"/>
        <v>0</v>
      </c>
    </row>
    <row r="11" spans="1:12" ht="14.5" x14ac:dyDescent="0.3">
      <c r="A11" s="233">
        <v>5</v>
      </c>
      <c r="B11" s="220" t="s">
        <v>515</v>
      </c>
      <c r="C11" s="215">
        <v>300</v>
      </c>
      <c r="D11" s="221">
        <v>0.1</v>
      </c>
      <c r="E11" s="222">
        <f t="shared" si="0"/>
        <v>330</v>
      </c>
      <c r="F11" s="223" t="s">
        <v>17</v>
      </c>
      <c r="G11" s="224"/>
      <c r="H11" s="103">
        <f t="shared" si="9"/>
        <v>0</v>
      </c>
      <c r="I11" s="104">
        <f t="shared" si="10"/>
        <v>0</v>
      </c>
      <c r="J11" s="113">
        <v>41.25</v>
      </c>
      <c r="K11" s="105">
        <f t="shared" si="11"/>
        <v>0</v>
      </c>
      <c r="L11" s="106">
        <f t="shared" si="12"/>
        <v>0</v>
      </c>
    </row>
    <row r="12" spans="1:12" ht="14.5" x14ac:dyDescent="0.3">
      <c r="A12" s="233">
        <v>6</v>
      </c>
      <c r="B12" s="220" t="s">
        <v>516</v>
      </c>
      <c r="C12" s="215">
        <v>200</v>
      </c>
      <c r="D12" s="221">
        <v>0.1</v>
      </c>
      <c r="E12" s="222">
        <f t="shared" si="0"/>
        <v>220.00000000000003</v>
      </c>
      <c r="F12" s="223" t="s">
        <v>17</v>
      </c>
      <c r="G12" s="224"/>
      <c r="H12" s="103">
        <f t="shared" si="9"/>
        <v>0</v>
      </c>
      <c r="I12" s="104">
        <f t="shared" si="10"/>
        <v>0</v>
      </c>
      <c r="J12" s="113">
        <v>22.000000000000004</v>
      </c>
      <c r="K12" s="105">
        <f t="shared" si="11"/>
        <v>0</v>
      </c>
      <c r="L12" s="106">
        <f t="shared" si="12"/>
        <v>0</v>
      </c>
    </row>
    <row r="13" spans="1:12" ht="14.5" x14ac:dyDescent="0.3">
      <c r="A13" s="233">
        <v>7</v>
      </c>
      <c r="B13" s="220" t="s">
        <v>517</v>
      </c>
      <c r="C13" s="215">
        <v>225</v>
      </c>
      <c r="D13" s="221">
        <v>0.1</v>
      </c>
      <c r="E13" s="222">
        <f t="shared" si="0"/>
        <v>247.50000000000003</v>
      </c>
      <c r="F13" s="223" t="s">
        <v>17</v>
      </c>
      <c r="G13" s="224"/>
      <c r="H13" s="103">
        <f t="shared" si="9"/>
        <v>0</v>
      </c>
      <c r="I13" s="104">
        <f t="shared" si="10"/>
        <v>0</v>
      </c>
      <c r="J13" s="113">
        <v>24.750000000000004</v>
      </c>
      <c r="K13" s="105">
        <f t="shared" si="11"/>
        <v>0</v>
      </c>
      <c r="L13" s="106">
        <f t="shared" si="12"/>
        <v>0</v>
      </c>
    </row>
    <row r="14" spans="1:12" ht="14.5" x14ac:dyDescent="0.3">
      <c r="A14" s="233">
        <v>8</v>
      </c>
      <c r="B14" s="220" t="s">
        <v>518</v>
      </c>
      <c r="C14" s="215">
        <v>50</v>
      </c>
      <c r="D14" s="221">
        <v>0.1</v>
      </c>
      <c r="E14" s="222">
        <f t="shared" si="0"/>
        <v>55.000000000000007</v>
      </c>
      <c r="F14" s="223" t="s">
        <v>17</v>
      </c>
      <c r="G14" s="224"/>
      <c r="H14" s="103">
        <f t="shared" si="9"/>
        <v>0</v>
      </c>
      <c r="I14" s="104">
        <f t="shared" si="10"/>
        <v>0</v>
      </c>
      <c r="J14" s="113">
        <v>5.5000000000000009</v>
      </c>
      <c r="K14" s="105">
        <f t="shared" si="11"/>
        <v>0</v>
      </c>
      <c r="L14" s="106">
        <f t="shared" si="12"/>
        <v>0</v>
      </c>
    </row>
    <row r="15" spans="1:12" ht="14.5" x14ac:dyDescent="0.3">
      <c r="A15" s="233">
        <v>9</v>
      </c>
      <c r="B15" s="228" t="s">
        <v>519</v>
      </c>
      <c r="C15" s="229">
        <v>11</v>
      </c>
      <c r="D15" s="221">
        <v>0</v>
      </c>
      <c r="E15" s="222">
        <f t="shared" si="0"/>
        <v>11</v>
      </c>
      <c r="F15" s="223" t="s">
        <v>18</v>
      </c>
      <c r="G15" s="224"/>
      <c r="H15" s="103">
        <f t="shared" si="9"/>
        <v>0</v>
      </c>
      <c r="I15" s="104">
        <f t="shared" si="10"/>
        <v>0</v>
      </c>
      <c r="J15" s="113">
        <v>6.6</v>
      </c>
      <c r="K15" s="105">
        <f t="shared" si="11"/>
        <v>0</v>
      </c>
      <c r="L15" s="106">
        <f t="shared" si="12"/>
        <v>0</v>
      </c>
    </row>
    <row r="16" spans="1:12" ht="14.5" x14ac:dyDescent="0.3">
      <c r="A16" s="233">
        <v>10</v>
      </c>
      <c r="B16" s="230" t="s">
        <v>520</v>
      </c>
      <c r="C16" s="229">
        <v>2</v>
      </c>
      <c r="D16" s="221">
        <v>0</v>
      </c>
      <c r="E16" s="222">
        <f t="shared" si="0"/>
        <v>2</v>
      </c>
      <c r="F16" s="223" t="s">
        <v>18</v>
      </c>
      <c r="G16" s="224"/>
      <c r="H16" s="103">
        <f t="shared" si="9"/>
        <v>0</v>
      </c>
      <c r="I16" s="104">
        <f t="shared" si="10"/>
        <v>0</v>
      </c>
      <c r="J16" s="113">
        <v>1.2</v>
      </c>
      <c r="K16" s="105">
        <f t="shared" si="11"/>
        <v>0</v>
      </c>
      <c r="L16" s="106">
        <f t="shared" si="12"/>
        <v>0</v>
      </c>
    </row>
    <row r="17" spans="1:12" ht="14.5" x14ac:dyDescent="0.3">
      <c r="A17" s="233">
        <v>11</v>
      </c>
      <c r="B17" s="231" t="s">
        <v>521</v>
      </c>
      <c r="C17" s="229">
        <v>1</v>
      </c>
      <c r="D17" s="221">
        <v>0</v>
      </c>
      <c r="E17" s="222">
        <f t="shared" si="0"/>
        <v>1</v>
      </c>
      <c r="F17" s="223" t="s">
        <v>18</v>
      </c>
      <c r="G17" s="224"/>
      <c r="H17" s="103">
        <f t="shared" si="9"/>
        <v>0</v>
      </c>
      <c r="I17" s="104">
        <f t="shared" si="10"/>
        <v>0</v>
      </c>
      <c r="J17" s="113">
        <v>0.6</v>
      </c>
      <c r="K17" s="105">
        <f t="shared" si="11"/>
        <v>0</v>
      </c>
      <c r="L17" s="106">
        <f t="shared" si="12"/>
        <v>0</v>
      </c>
    </row>
    <row r="18" spans="1:12" ht="14.5" x14ac:dyDescent="0.3">
      <c r="A18" s="233">
        <v>12</v>
      </c>
      <c r="B18" s="231" t="s">
        <v>522</v>
      </c>
      <c r="C18" s="229">
        <v>1</v>
      </c>
      <c r="D18" s="221">
        <v>0</v>
      </c>
      <c r="E18" s="222">
        <f t="shared" si="0"/>
        <v>1</v>
      </c>
      <c r="F18" s="223" t="s">
        <v>18</v>
      </c>
      <c r="G18" s="224"/>
      <c r="H18" s="103">
        <f t="shared" si="9"/>
        <v>0</v>
      </c>
      <c r="I18" s="104">
        <f t="shared" si="10"/>
        <v>0</v>
      </c>
      <c r="J18" s="113">
        <v>0.6</v>
      </c>
      <c r="K18" s="105">
        <f t="shared" si="11"/>
        <v>0</v>
      </c>
      <c r="L18" s="106">
        <f t="shared" si="12"/>
        <v>0</v>
      </c>
    </row>
    <row r="19" spans="1:12" ht="14.5" x14ac:dyDescent="0.3">
      <c r="A19" s="233">
        <v>13</v>
      </c>
      <c r="B19" s="231" t="s">
        <v>523</v>
      </c>
      <c r="C19" s="229">
        <v>37</v>
      </c>
      <c r="D19" s="221">
        <v>0</v>
      </c>
      <c r="E19" s="222">
        <f t="shared" si="0"/>
        <v>37</v>
      </c>
      <c r="F19" s="223" t="s">
        <v>18</v>
      </c>
      <c r="G19" s="224"/>
      <c r="H19" s="103">
        <f t="shared" si="9"/>
        <v>0</v>
      </c>
      <c r="I19" s="104">
        <f t="shared" si="10"/>
        <v>0</v>
      </c>
      <c r="J19" s="113">
        <v>22.2</v>
      </c>
      <c r="K19" s="105">
        <f t="shared" si="11"/>
        <v>0</v>
      </c>
      <c r="L19" s="106">
        <f t="shared" si="12"/>
        <v>0</v>
      </c>
    </row>
    <row r="20" spans="1:12" ht="14.5" x14ac:dyDescent="0.3">
      <c r="A20" s="233">
        <v>14</v>
      </c>
      <c r="B20" s="231" t="s">
        <v>524</v>
      </c>
      <c r="C20" s="229">
        <v>31</v>
      </c>
      <c r="D20" s="221">
        <v>0</v>
      </c>
      <c r="E20" s="222">
        <f t="shared" si="0"/>
        <v>31</v>
      </c>
      <c r="F20" s="223" t="s">
        <v>18</v>
      </c>
      <c r="G20" s="224"/>
      <c r="H20" s="103">
        <f t="shared" si="9"/>
        <v>0</v>
      </c>
      <c r="I20" s="104">
        <f t="shared" si="10"/>
        <v>0</v>
      </c>
      <c r="J20" s="113">
        <v>18.599999999999998</v>
      </c>
      <c r="K20" s="105">
        <f t="shared" si="11"/>
        <v>0</v>
      </c>
      <c r="L20" s="106">
        <f t="shared" si="12"/>
        <v>0</v>
      </c>
    </row>
    <row r="21" spans="1:12" ht="14.5" x14ac:dyDescent="0.3">
      <c r="A21" s="233">
        <v>15</v>
      </c>
      <c r="B21" s="231" t="s">
        <v>61</v>
      </c>
      <c r="C21" s="229">
        <v>72</v>
      </c>
      <c r="D21" s="221">
        <v>0</v>
      </c>
      <c r="E21" s="222">
        <f t="shared" si="0"/>
        <v>72</v>
      </c>
      <c r="F21" s="223" t="s">
        <v>18</v>
      </c>
      <c r="G21" s="224"/>
      <c r="H21" s="103">
        <f t="shared" si="9"/>
        <v>0</v>
      </c>
      <c r="I21" s="104">
        <f t="shared" si="10"/>
        <v>0</v>
      </c>
      <c r="J21" s="113">
        <v>43.199999999999996</v>
      </c>
      <c r="K21" s="105">
        <f t="shared" si="11"/>
        <v>0</v>
      </c>
      <c r="L21" s="106">
        <f t="shared" si="12"/>
        <v>0</v>
      </c>
    </row>
    <row r="22" spans="1:12" ht="14.5" x14ac:dyDescent="0.3">
      <c r="A22" s="233">
        <v>16</v>
      </c>
      <c r="B22" s="231" t="s">
        <v>525</v>
      </c>
      <c r="C22" s="229">
        <v>91</v>
      </c>
      <c r="D22" s="221">
        <v>0</v>
      </c>
      <c r="E22" s="222">
        <f t="shared" si="0"/>
        <v>91</v>
      </c>
      <c r="F22" s="223" t="s">
        <v>18</v>
      </c>
      <c r="G22" s="224"/>
      <c r="H22" s="103">
        <f t="shared" si="9"/>
        <v>0</v>
      </c>
      <c r="I22" s="104">
        <f t="shared" si="10"/>
        <v>0</v>
      </c>
      <c r="J22" s="113">
        <v>54.6</v>
      </c>
      <c r="K22" s="105">
        <f t="shared" si="11"/>
        <v>0</v>
      </c>
      <c r="L22" s="106">
        <f t="shared" si="12"/>
        <v>0</v>
      </c>
    </row>
    <row r="23" spans="1:12" ht="14.5" x14ac:dyDescent="0.3">
      <c r="A23" s="233">
        <v>17</v>
      </c>
      <c r="B23" s="231" t="s">
        <v>526</v>
      </c>
      <c r="C23" s="229">
        <v>3</v>
      </c>
      <c r="D23" s="221">
        <v>0</v>
      </c>
      <c r="E23" s="222">
        <f t="shared" si="0"/>
        <v>3</v>
      </c>
      <c r="F23" s="223" t="s">
        <v>18</v>
      </c>
      <c r="G23" s="224"/>
      <c r="H23" s="103">
        <f t="shared" si="9"/>
        <v>0</v>
      </c>
      <c r="I23" s="104">
        <f t="shared" si="10"/>
        <v>0</v>
      </c>
      <c r="J23" s="113">
        <v>1.7999999999999998</v>
      </c>
      <c r="K23" s="105">
        <f t="shared" si="11"/>
        <v>0</v>
      </c>
      <c r="L23" s="106">
        <f t="shared" si="12"/>
        <v>0</v>
      </c>
    </row>
    <row r="24" spans="1:12" ht="14.5" x14ac:dyDescent="0.3">
      <c r="A24" s="233">
        <v>18</v>
      </c>
      <c r="B24" s="228" t="s">
        <v>527</v>
      </c>
      <c r="C24" s="229">
        <v>4</v>
      </c>
      <c r="D24" s="221">
        <v>0</v>
      </c>
      <c r="E24" s="222">
        <f t="shared" si="0"/>
        <v>4</v>
      </c>
      <c r="F24" s="223" t="s">
        <v>18</v>
      </c>
      <c r="G24" s="224"/>
      <c r="H24" s="103">
        <f t="shared" si="9"/>
        <v>0</v>
      </c>
      <c r="I24" s="104">
        <f t="shared" si="10"/>
        <v>0</v>
      </c>
      <c r="J24" s="113">
        <v>3</v>
      </c>
      <c r="K24" s="105">
        <f t="shared" si="11"/>
        <v>0</v>
      </c>
      <c r="L24" s="106">
        <f t="shared" si="12"/>
        <v>0</v>
      </c>
    </row>
    <row r="25" spans="1:12" ht="14.5" x14ac:dyDescent="0.3">
      <c r="A25" s="233">
        <v>19</v>
      </c>
      <c r="B25" s="228" t="s">
        <v>528</v>
      </c>
      <c r="C25" s="229">
        <v>21</v>
      </c>
      <c r="D25" s="221">
        <v>0</v>
      </c>
      <c r="E25" s="222">
        <f t="shared" si="0"/>
        <v>21</v>
      </c>
      <c r="F25" s="223" t="s">
        <v>18</v>
      </c>
      <c r="G25" s="224"/>
      <c r="H25" s="103">
        <f t="shared" si="9"/>
        <v>0</v>
      </c>
      <c r="I25" s="104">
        <f t="shared" si="10"/>
        <v>0</v>
      </c>
      <c r="J25" s="113">
        <v>12.6</v>
      </c>
      <c r="K25" s="105">
        <f t="shared" si="11"/>
        <v>0</v>
      </c>
      <c r="L25" s="106">
        <f t="shared" si="12"/>
        <v>0</v>
      </c>
    </row>
    <row r="26" spans="1:12" ht="14.5" x14ac:dyDescent="0.3">
      <c r="A26" s="233">
        <v>20</v>
      </c>
      <c r="B26" s="228" t="s">
        <v>529</v>
      </c>
      <c r="C26" s="229">
        <v>5</v>
      </c>
      <c r="D26" s="221">
        <v>0</v>
      </c>
      <c r="E26" s="222">
        <f t="shared" si="0"/>
        <v>5</v>
      </c>
      <c r="F26" s="223" t="s">
        <v>18</v>
      </c>
      <c r="G26" s="224"/>
      <c r="H26" s="103">
        <f t="shared" si="9"/>
        <v>0</v>
      </c>
      <c r="I26" s="104">
        <f t="shared" si="10"/>
        <v>0</v>
      </c>
      <c r="J26" s="113">
        <v>3</v>
      </c>
      <c r="K26" s="105">
        <f t="shared" si="11"/>
        <v>0</v>
      </c>
      <c r="L26" s="106">
        <f t="shared" si="12"/>
        <v>0</v>
      </c>
    </row>
    <row r="27" spans="1:12" ht="14.5" x14ac:dyDescent="0.3">
      <c r="A27" s="233">
        <v>21</v>
      </c>
      <c r="B27" s="228" t="s">
        <v>530</v>
      </c>
      <c r="C27" s="229">
        <v>28</v>
      </c>
      <c r="D27" s="221">
        <v>0</v>
      </c>
      <c r="E27" s="222">
        <f t="shared" si="0"/>
        <v>28</v>
      </c>
      <c r="F27" s="223" t="s">
        <v>18</v>
      </c>
      <c r="G27" s="224"/>
      <c r="H27" s="103">
        <f t="shared" si="9"/>
        <v>0</v>
      </c>
      <c r="I27" s="104">
        <f t="shared" si="10"/>
        <v>0</v>
      </c>
      <c r="J27" s="113">
        <v>16.8</v>
      </c>
      <c r="K27" s="105">
        <f t="shared" si="11"/>
        <v>0</v>
      </c>
      <c r="L27" s="106">
        <f t="shared" si="12"/>
        <v>0</v>
      </c>
    </row>
    <row r="28" spans="1:12" ht="14.5" x14ac:dyDescent="0.3">
      <c r="A28" s="233">
        <v>22</v>
      </c>
      <c r="B28" s="228" t="s">
        <v>531</v>
      </c>
      <c r="C28" s="229">
        <v>20</v>
      </c>
      <c r="D28" s="221">
        <v>0</v>
      </c>
      <c r="E28" s="222">
        <f t="shared" si="0"/>
        <v>20</v>
      </c>
      <c r="F28" s="223" t="s">
        <v>18</v>
      </c>
      <c r="G28" s="224"/>
      <c r="H28" s="103">
        <f t="shared" si="9"/>
        <v>0</v>
      </c>
      <c r="I28" s="104">
        <f t="shared" si="10"/>
        <v>0</v>
      </c>
      <c r="J28" s="113">
        <v>12</v>
      </c>
      <c r="K28" s="105">
        <f t="shared" si="11"/>
        <v>0</v>
      </c>
      <c r="L28" s="106">
        <f t="shared" si="12"/>
        <v>0</v>
      </c>
    </row>
    <row r="29" spans="1:12" ht="14.5" x14ac:dyDescent="0.3">
      <c r="A29" s="233">
        <v>23</v>
      </c>
      <c r="B29" s="228" t="s">
        <v>532</v>
      </c>
      <c r="C29" s="229">
        <v>26</v>
      </c>
      <c r="D29" s="221">
        <v>0</v>
      </c>
      <c r="E29" s="222">
        <f t="shared" si="0"/>
        <v>26</v>
      </c>
      <c r="F29" s="223" t="s">
        <v>18</v>
      </c>
      <c r="G29" s="224"/>
      <c r="H29" s="103">
        <f t="shared" si="9"/>
        <v>0</v>
      </c>
      <c r="I29" s="104">
        <f t="shared" si="10"/>
        <v>0</v>
      </c>
      <c r="J29" s="113">
        <v>15.6</v>
      </c>
      <c r="K29" s="105">
        <f t="shared" si="11"/>
        <v>0</v>
      </c>
      <c r="L29" s="106">
        <f t="shared" si="12"/>
        <v>0</v>
      </c>
    </row>
    <row r="30" spans="1:12" ht="14.5" x14ac:dyDescent="0.3">
      <c r="A30" s="233">
        <v>24</v>
      </c>
      <c r="B30" s="232" t="s">
        <v>533</v>
      </c>
      <c r="C30" s="229">
        <v>6</v>
      </c>
      <c r="D30" s="221">
        <v>0</v>
      </c>
      <c r="E30" s="222">
        <f t="shared" si="0"/>
        <v>6</v>
      </c>
      <c r="F30" s="223" t="s">
        <v>18</v>
      </c>
      <c r="G30" s="224"/>
      <c r="H30" s="103">
        <f t="shared" si="9"/>
        <v>0</v>
      </c>
      <c r="I30" s="104">
        <f t="shared" si="10"/>
        <v>0</v>
      </c>
      <c r="J30" s="113">
        <v>3.5999999999999996</v>
      </c>
      <c r="K30" s="105">
        <f t="shared" si="11"/>
        <v>0</v>
      </c>
      <c r="L30" s="106">
        <f t="shared" si="12"/>
        <v>0</v>
      </c>
    </row>
    <row r="31" spans="1:12" ht="14.5" x14ac:dyDescent="0.3">
      <c r="A31" s="233">
        <v>25</v>
      </c>
      <c r="B31" s="228" t="s">
        <v>534</v>
      </c>
      <c r="C31" s="229">
        <v>13</v>
      </c>
      <c r="D31" s="221">
        <v>0</v>
      </c>
      <c r="E31" s="222">
        <f t="shared" si="0"/>
        <v>13</v>
      </c>
      <c r="F31" s="223" t="s">
        <v>18</v>
      </c>
      <c r="G31" s="224"/>
      <c r="H31" s="103">
        <f t="shared" si="9"/>
        <v>0</v>
      </c>
      <c r="I31" s="104">
        <f t="shared" si="10"/>
        <v>0</v>
      </c>
      <c r="J31" s="113">
        <v>7.8</v>
      </c>
      <c r="K31" s="105">
        <f t="shared" si="11"/>
        <v>0</v>
      </c>
      <c r="L31" s="106">
        <f t="shared" si="12"/>
        <v>0</v>
      </c>
    </row>
    <row r="32" spans="1:12" ht="14.5" x14ac:dyDescent="0.3">
      <c r="A32" s="233">
        <v>26</v>
      </c>
      <c r="B32" s="228" t="s">
        <v>535</v>
      </c>
      <c r="C32" s="229">
        <v>3</v>
      </c>
      <c r="D32" s="221">
        <v>0</v>
      </c>
      <c r="E32" s="222">
        <f t="shared" si="0"/>
        <v>3</v>
      </c>
      <c r="F32" s="223" t="s">
        <v>18</v>
      </c>
      <c r="G32" s="224"/>
      <c r="H32" s="103">
        <f t="shared" si="9"/>
        <v>0</v>
      </c>
      <c r="I32" s="104">
        <f t="shared" si="10"/>
        <v>0</v>
      </c>
      <c r="J32" s="113">
        <v>2.25</v>
      </c>
      <c r="K32" s="105">
        <f t="shared" si="11"/>
        <v>0</v>
      </c>
      <c r="L32" s="106">
        <f t="shared" si="12"/>
        <v>0</v>
      </c>
    </row>
    <row r="33" spans="1:12" ht="14.5" x14ac:dyDescent="0.3">
      <c r="A33" s="233">
        <v>27</v>
      </c>
      <c r="B33" s="228" t="s">
        <v>536</v>
      </c>
      <c r="C33" s="229">
        <v>6</v>
      </c>
      <c r="D33" s="221">
        <v>0</v>
      </c>
      <c r="E33" s="222">
        <f t="shared" si="0"/>
        <v>6</v>
      </c>
      <c r="F33" s="223" t="s">
        <v>18</v>
      </c>
      <c r="G33" s="224"/>
      <c r="H33" s="103">
        <f t="shared" si="9"/>
        <v>0</v>
      </c>
      <c r="I33" s="104">
        <f t="shared" si="10"/>
        <v>0</v>
      </c>
      <c r="J33" s="113">
        <v>3.5999999999999996</v>
      </c>
      <c r="K33" s="105">
        <f t="shared" si="11"/>
        <v>0</v>
      </c>
      <c r="L33" s="106">
        <f t="shared" si="12"/>
        <v>0</v>
      </c>
    </row>
    <row r="34" spans="1:12" ht="14.5" x14ac:dyDescent="0.3">
      <c r="A34" s="233">
        <v>28</v>
      </c>
      <c r="B34" s="228" t="s">
        <v>537</v>
      </c>
      <c r="C34" s="229">
        <v>2</v>
      </c>
      <c r="D34" s="221">
        <v>0</v>
      </c>
      <c r="E34" s="222">
        <f t="shared" si="0"/>
        <v>2</v>
      </c>
      <c r="F34" s="223" t="s">
        <v>18</v>
      </c>
      <c r="G34" s="224"/>
      <c r="H34" s="103">
        <f t="shared" si="9"/>
        <v>0</v>
      </c>
      <c r="I34" s="104">
        <f t="shared" si="10"/>
        <v>0</v>
      </c>
      <c r="J34" s="113">
        <v>1.2</v>
      </c>
      <c r="K34" s="105">
        <f t="shared" si="11"/>
        <v>0</v>
      </c>
      <c r="L34" s="106">
        <f t="shared" si="12"/>
        <v>0</v>
      </c>
    </row>
    <row r="35" spans="1:12" ht="14.5" x14ac:dyDescent="0.3">
      <c r="A35" s="233">
        <v>29</v>
      </c>
      <c r="B35" s="228" t="s">
        <v>538</v>
      </c>
      <c r="C35" s="229">
        <v>17</v>
      </c>
      <c r="D35" s="221">
        <v>0</v>
      </c>
      <c r="E35" s="222">
        <f t="shared" si="0"/>
        <v>17</v>
      </c>
      <c r="F35" s="223" t="s">
        <v>18</v>
      </c>
      <c r="G35" s="224"/>
      <c r="H35" s="103">
        <f t="shared" si="9"/>
        <v>0</v>
      </c>
      <c r="I35" s="104">
        <f t="shared" si="10"/>
        <v>0</v>
      </c>
      <c r="J35" s="113">
        <v>10.199999999999999</v>
      </c>
      <c r="K35" s="105">
        <f t="shared" si="11"/>
        <v>0</v>
      </c>
      <c r="L35" s="106">
        <f t="shared" si="12"/>
        <v>0</v>
      </c>
    </row>
    <row r="36" spans="1:12" ht="14.5" x14ac:dyDescent="0.3">
      <c r="A36" s="233">
        <v>30</v>
      </c>
      <c r="B36" s="228" t="s">
        <v>539</v>
      </c>
      <c r="C36" s="229">
        <v>6</v>
      </c>
      <c r="D36" s="221">
        <v>0</v>
      </c>
      <c r="E36" s="222">
        <f t="shared" si="0"/>
        <v>6</v>
      </c>
      <c r="F36" s="223" t="s">
        <v>18</v>
      </c>
      <c r="G36" s="224"/>
      <c r="H36" s="103">
        <f t="shared" si="9"/>
        <v>0</v>
      </c>
      <c r="I36" s="104">
        <f t="shared" si="10"/>
        <v>0</v>
      </c>
      <c r="J36" s="113">
        <v>3.5999999999999996</v>
      </c>
      <c r="K36" s="105">
        <f t="shared" si="11"/>
        <v>0</v>
      </c>
      <c r="L36" s="106">
        <f t="shared" si="12"/>
        <v>0</v>
      </c>
    </row>
    <row r="37" spans="1:12" ht="14.5" x14ac:dyDescent="0.3">
      <c r="A37" s="233">
        <v>31</v>
      </c>
      <c r="B37" s="228" t="s">
        <v>540</v>
      </c>
      <c r="C37" s="229">
        <v>2</v>
      </c>
      <c r="D37" s="221">
        <v>0</v>
      </c>
      <c r="E37" s="222">
        <f t="shared" si="0"/>
        <v>2</v>
      </c>
      <c r="F37" s="223" t="s">
        <v>18</v>
      </c>
      <c r="G37" s="224"/>
      <c r="H37" s="103">
        <f t="shared" si="9"/>
        <v>0</v>
      </c>
      <c r="I37" s="104">
        <f t="shared" si="10"/>
        <v>0</v>
      </c>
      <c r="J37" s="113">
        <v>1.2</v>
      </c>
      <c r="K37" s="105">
        <f t="shared" si="11"/>
        <v>0</v>
      </c>
      <c r="L37" s="106">
        <f t="shared" si="12"/>
        <v>0</v>
      </c>
    </row>
    <row r="38" spans="1:12" ht="14.5" x14ac:dyDescent="0.3">
      <c r="A38" s="233">
        <v>32</v>
      </c>
      <c r="B38" s="228" t="s">
        <v>541</v>
      </c>
      <c r="C38" s="229">
        <v>13</v>
      </c>
      <c r="D38" s="221">
        <v>0</v>
      </c>
      <c r="E38" s="222">
        <f t="shared" si="0"/>
        <v>13</v>
      </c>
      <c r="F38" s="223" t="s">
        <v>18</v>
      </c>
      <c r="G38" s="224"/>
      <c r="H38" s="103">
        <f t="shared" si="9"/>
        <v>0</v>
      </c>
      <c r="I38" s="104">
        <f t="shared" si="10"/>
        <v>0</v>
      </c>
      <c r="J38" s="113">
        <v>7.8</v>
      </c>
      <c r="K38" s="105">
        <f t="shared" si="11"/>
        <v>0</v>
      </c>
      <c r="L38" s="106">
        <f t="shared" si="12"/>
        <v>0</v>
      </c>
    </row>
    <row r="39" spans="1:12" ht="14.5" x14ac:dyDescent="0.3">
      <c r="A39" s="233">
        <v>33</v>
      </c>
      <c r="B39" s="228" t="s">
        <v>542</v>
      </c>
      <c r="C39" s="229">
        <v>1</v>
      </c>
      <c r="D39" s="221">
        <v>0</v>
      </c>
      <c r="E39" s="222">
        <f t="shared" si="0"/>
        <v>1</v>
      </c>
      <c r="F39" s="223" t="s">
        <v>18</v>
      </c>
      <c r="G39" s="224"/>
      <c r="H39" s="103">
        <f t="shared" si="9"/>
        <v>0</v>
      </c>
      <c r="I39" s="104">
        <f t="shared" si="10"/>
        <v>0</v>
      </c>
      <c r="J39" s="113">
        <v>0.6</v>
      </c>
      <c r="K39" s="105">
        <f t="shared" si="11"/>
        <v>0</v>
      </c>
      <c r="L39" s="106">
        <f t="shared" si="12"/>
        <v>0</v>
      </c>
    </row>
    <row r="40" spans="1:12" ht="14.5" x14ac:dyDescent="0.3">
      <c r="A40" s="233">
        <v>34</v>
      </c>
      <c r="B40" s="228" t="s">
        <v>543</v>
      </c>
      <c r="C40" s="229">
        <v>1</v>
      </c>
      <c r="D40" s="221">
        <v>0</v>
      </c>
      <c r="E40" s="222">
        <f t="shared" si="0"/>
        <v>1</v>
      </c>
      <c r="F40" s="223" t="s">
        <v>18</v>
      </c>
      <c r="G40" s="224"/>
      <c r="H40" s="103">
        <f t="shared" si="9"/>
        <v>0</v>
      </c>
      <c r="I40" s="104">
        <f t="shared" si="10"/>
        <v>0</v>
      </c>
      <c r="J40" s="113">
        <v>0.6</v>
      </c>
      <c r="K40" s="105">
        <f t="shared" si="11"/>
        <v>0</v>
      </c>
      <c r="L40" s="106">
        <f t="shared" si="12"/>
        <v>0</v>
      </c>
    </row>
    <row r="41" spans="1:12" ht="14.5" x14ac:dyDescent="0.3">
      <c r="A41" s="233">
        <v>35</v>
      </c>
      <c r="B41" s="231" t="s">
        <v>544</v>
      </c>
      <c r="C41" s="229">
        <v>13</v>
      </c>
      <c r="D41" s="221">
        <v>0</v>
      </c>
      <c r="E41" s="222">
        <f t="shared" si="0"/>
        <v>13</v>
      </c>
      <c r="F41" s="223" t="s">
        <v>18</v>
      </c>
      <c r="G41" s="224"/>
      <c r="H41" s="103">
        <f t="shared" si="9"/>
        <v>0</v>
      </c>
      <c r="I41" s="104">
        <f t="shared" si="10"/>
        <v>0</v>
      </c>
      <c r="J41" s="113">
        <v>7.8</v>
      </c>
      <c r="K41" s="105">
        <f t="shared" si="11"/>
        <v>0</v>
      </c>
      <c r="L41" s="106">
        <f t="shared" si="12"/>
        <v>0</v>
      </c>
    </row>
    <row r="42" spans="1:12" ht="14.5" x14ac:dyDescent="0.3">
      <c r="A42" s="233">
        <v>36</v>
      </c>
      <c r="B42" s="228" t="s">
        <v>545</v>
      </c>
      <c r="C42" s="229">
        <v>2</v>
      </c>
      <c r="D42" s="221">
        <v>0</v>
      </c>
      <c r="E42" s="222">
        <f t="shared" si="0"/>
        <v>2</v>
      </c>
      <c r="F42" s="223" t="s">
        <v>18</v>
      </c>
      <c r="G42" s="224"/>
      <c r="H42" s="103">
        <f t="shared" si="9"/>
        <v>0</v>
      </c>
      <c r="I42" s="104">
        <f t="shared" si="10"/>
        <v>0</v>
      </c>
      <c r="J42" s="113">
        <v>1.2</v>
      </c>
      <c r="K42" s="105">
        <f t="shared" si="11"/>
        <v>0</v>
      </c>
      <c r="L42" s="106">
        <f t="shared" si="12"/>
        <v>0</v>
      </c>
    </row>
    <row r="43" spans="1:12" ht="14.5" x14ac:dyDescent="0.3">
      <c r="A43" s="233">
        <v>37</v>
      </c>
      <c r="B43" s="228" t="s">
        <v>546</v>
      </c>
      <c r="C43" s="229">
        <v>2</v>
      </c>
      <c r="D43" s="221">
        <v>0</v>
      </c>
      <c r="E43" s="222">
        <f t="shared" si="0"/>
        <v>2</v>
      </c>
      <c r="F43" s="223" t="s">
        <v>18</v>
      </c>
      <c r="G43" s="224"/>
      <c r="H43" s="103">
        <f t="shared" si="9"/>
        <v>0</v>
      </c>
      <c r="I43" s="104">
        <f t="shared" si="10"/>
        <v>0</v>
      </c>
      <c r="J43" s="113">
        <v>1.2</v>
      </c>
      <c r="K43" s="105">
        <f t="shared" si="11"/>
        <v>0</v>
      </c>
      <c r="L43" s="106">
        <f t="shared" si="12"/>
        <v>0</v>
      </c>
    </row>
    <row r="44" spans="1:12" ht="14.5" x14ac:dyDescent="0.3">
      <c r="A44" s="233">
        <v>38</v>
      </c>
      <c r="B44" s="228" t="s">
        <v>547</v>
      </c>
      <c r="C44" s="229">
        <v>2</v>
      </c>
      <c r="D44" s="221">
        <v>0</v>
      </c>
      <c r="E44" s="222">
        <f t="shared" si="0"/>
        <v>2</v>
      </c>
      <c r="F44" s="223" t="s">
        <v>18</v>
      </c>
      <c r="G44" s="224"/>
      <c r="H44" s="103">
        <f t="shared" si="9"/>
        <v>0</v>
      </c>
      <c r="I44" s="104">
        <f t="shared" si="10"/>
        <v>0</v>
      </c>
      <c r="J44" s="113">
        <v>1.2</v>
      </c>
      <c r="K44" s="105">
        <f t="shared" si="11"/>
        <v>0</v>
      </c>
      <c r="L44" s="106">
        <f t="shared" si="12"/>
        <v>0</v>
      </c>
    </row>
    <row r="45" spans="1:12" ht="14.5" x14ac:dyDescent="0.3">
      <c r="A45" s="233">
        <v>39</v>
      </c>
      <c r="B45" s="232" t="s">
        <v>548</v>
      </c>
      <c r="C45" s="229">
        <v>2</v>
      </c>
      <c r="D45" s="221">
        <v>0</v>
      </c>
      <c r="E45" s="222">
        <f t="shared" si="0"/>
        <v>2</v>
      </c>
      <c r="F45" s="223" t="s">
        <v>18</v>
      </c>
      <c r="G45" s="224"/>
      <c r="H45" s="103">
        <f t="shared" si="9"/>
        <v>0</v>
      </c>
      <c r="I45" s="104">
        <f t="shared" si="10"/>
        <v>0</v>
      </c>
      <c r="J45" s="113">
        <v>1.2</v>
      </c>
      <c r="K45" s="105">
        <f t="shared" si="11"/>
        <v>0</v>
      </c>
      <c r="L45" s="106">
        <f t="shared" si="12"/>
        <v>0</v>
      </c>
    </row>
    <row r="46" spans="1:12" ht="14.5" x14ac:dyDescent="0.3">
      <c r="A46" s="233">
        <v>40</v>
      </c>
      <c r="B46" s="228" t="s">
        <v>549</v>
      </c>
      <c r="C46" s="229">
        <v>7</v>
      </c>
      <c r="D46" s="221">
        <v>0</v>
      </c>
      <c r="E46" s="222">
        <f t="shared" si="0"/>
        <v>7</v>
      </c>
      <c r="F46" s="223" t="s">
        <v>18</v>
      </c>
      <c r="G46" s="224"/>
      <c r="H46" s="103">
        <f t="shared" si="9"/>
        <v>0</v>
      </c>
      <c r="I46" s="104">
        <f t="shared" si="10"/>
        <v>0</v>
      </c>
      <c r="J46" s="113">
        <v>4.2</v>
      </c>
      <c r="K46" s="105">
        <f t="shared" si="11"/>
        <v>0</v>
      </c>
      <c r="L46" s="106">
        <f t="shared" si="12"/>
        <v>0</v>
      </c>
    </row>
    <row r="47" spans="1:12" ht="14.5" x14ac:dyDescent="0.3">
      <c r="A47" s="233">
        <v>41</v>
      </c>
      <c r="B47" s="228" t="s">
        <v>550</v>
      </c>
      <c r="C47" s="229">
        <v>6</v>
      </c>
      <c r="D47" s="221">
        <v>0</v>
      </c>
      <c r="E47" s="222">
        <f t="shared" si="0"/>
        <v>6</v>
      </c>
      <c r="F47" s="223" t="s">
        <v>18</v>
      </c>
      <c r="G47" s="224"/>
      <c r="H47" s="103">
        <f t="shared" si="9"/>
        <v>0</v>
      </c>
      <c r="I47" s="104">
        <f t="shared" si="10"/>
        <v>0</v>
      </c>
      <c r="J47" s="113">
        <v>4.5</v>
      </c>
      <c r="K47" s="105">
        <f t="shared" si="11"/>
        <v>0</v>
      </c>
      <c r="L47" s="106">
        <f t="shared" si="12"/>
        <v>0</v>
      </c>
    </row>
    <row r="48" spans="1:12" ht="14.5" x14ac:dyDescent="0.3">
      <c r="A48" s="233">
        <v>42</v>
      </c>
      <c r="B48" s="228" t="s">
        <v>551</v>
      </c>
      <c r="C48" s="229">
        <v>1</v>
      </c>
      <c r="D48" s="221">
        <v>0</v>
      </c>
      <c r="E48" s="222">
        <f t="shared" si="0"/>
        <v>1</v>
      </c>
      <c r="F48" s="223" t="s">
        <v>18</v>
      </c>
      <c r="G48" s="224"/>
      <c r="H48" s="103">
        <f t="shared" si="9"/>
        <v>0</v>
      </c>
      <c r="I48" s="104">
        <f t="shared" si="10"/>
        <v>0</v>
      </c>
      <c r="J48" s="113">
        <v>0.75</v>
      </c>
      <c r="K48" s="105">
        <f t="shared" si="11"/>
        <v>0</v>
      </c>
      <c r="L48" s="106">
        <f t="shared" si="12"/>
        <v>0</v>
      </c>
    </row>
    <row r="49" spans="1:12" ht="14.5" x14ac:dyDescent="0.3">
      <c r="A49" s="233">
        <v>43</v>
      </c>
      <c r="B49" s="228" t="s">
        <v>552</v>
      </c>
      <c r="C49" s="229">
        <v>1</v>
      </c>
      <c r="D49" s="221">
        <v>0</v>
      </c>
      <c r="E49" s="222">
        <f t="shared" si="0"/>
        <v>1</v>
      </c>
      <c r="F49" s="223" t="s">
        <v>18</v>
      </c>
      <c r="G49" s="224"/>
      <c r="H49" s="103">
        <f t="shared" si="9"/>
        <v>0</v>
      </c>
      <c r="I49" s="104">
        <f t="shared" si="10"/>
        <v>0</v>
      </c>
      <c r="J49" s="113">
        <v>0.6</v>
      </c>
      <c r="K49" s="105">
        <f t="shared" si="11"/>
        <v>0</v>
      </c>
      <c r="L49" s="106">
        <f t="shared" si="12"/>
        <v>0</v>
      </c>
    </row>
    <row r="50" spans="1:12" ht="14.5" x14ac:dyDescent="0.3">
      <c r="A50" s="233">
        <v>44</v>
      </c>
      <c r="B50" s="228" t="s">
        <v>553</v>
      </c>
      <c r="C50" s="229">
        <v>1</v>
      </c>
      <c r="D50" s="221">
        <v>0</v>
      </c>
      <c r="E50" s="222">
        <f t="shared" si="0"/>
        <v>1</v>
      </c>
      <c r="F50" s="223" t="s">
        <v>18</v>
      </c>
      <c r="G50" s="224"/>
      <c r="H50" s="103">
        <f t="shared" si="9"/>
        <v>0</v>
      </c>
      <c r="I50" s="104">
        <f t="shared" si="10"/>
        <v>0</v>
      </c>
      <c r="J50" s="113">
        <v>0.75</v>
      </c>
      <c r="K50" s="105">
        <f t="shared" si="11"/>
        <v>0</v>
      </c>
      <c r="L50" s="106">
        <f t="shared" si="12"/>
        <v>0</v>
      </c>
    </row>
    <row r="51" spans="1:12" ht="14.5" x14ac:dyDescent="0.3">
      <c r="A51" s="233">
        <v>45</v>
      </c>
      <c r="B51" s="228" t="s">
        <v>554</v>
      </c>
      <c r="C51" s="229">
        <v>3</v>
      </c>
      <c r="D51" s="221">
        <v>0</v>
      </c>
      <c r="E51" s="222">
        <f t="shared" si="0"/>
        <v>3</v>
      </c>
      <c r="F51" s="223" t="s">
        <v>18</v>
      </c>
      <c r="G51" s="224"/>
      <c r="H51" s="103">
        <f t="shared" si="9"/>
        <v>0</v>
      </c>
      <c r="I51" s="104">
        <f t="shared" si="10"/>
        <v>0</v>
      </c>
      <c r="J51" s="113">
        <v>2.25</v>
      </c>
      <c r="K51" s="105">
        <f t="shared" si="11"/>
        <v>0</v>
      </c>
      <c r="L51" s="106">
        <f t="shared" si="12"/>
        <v>0</v>
      </c>
    </row>
    <row r="52" spans="1:12" ht="14.5" x14ac:dyDescent="0.3">
      <c r="A52" s="233">
        <v>46</v>
      </c>
      <c r="B52" s="228" t="s">
        <v>555</v>
      </c>
      <c r="C52" s="229">
        <v>4</v>
      </c>
      <c r="D52" s="221">
        <v>0</v>
      </c>
      <c r="E52" s="222">
        <f t="shared" si="0"/>
        <v>4</v>
      </c>
      <c r="F52" s="223" t="s">
        <v>18</v>
      </c>
      <c r="G52" s="224"/>
      <c r="H52" s="103">
        <f t="shared" si="9"/>
        <v>0</v>
      </c>
      <c r="I52" s="104">
        <f t="shared" si="10"/>
        <v>0</v>
      </c>
      <c r="J52" s="113">
        <v>2.4</v>
      </c>
      <c r="K52" s="105">
        <f t="shared" si="11"/>
        <v>0</v>
      </c>
      <c r="L52" s="106">
        <f t="shared" si="12"/>
        <v>0</v>
      </c>
    </row>
    <row r="53" spans="1:12" ht="14.5" x14ac:dyDescent="0.3">
      <c r="A53" s="233">
        <v>47</v>
      </c>
      <c r="B53" s="228" t="s">
        <v>556</v>
      </c>
      <c r="C53" s="229">
        <v>8</v>
      </c>
      <c r="D53" s="221">
        <v>0</v>
      </c>
      <c r="E53" s="222">
        <f t="shared" si="0"/>
        <v>8</v>
      </c>
      <c r="F53" s="223" t="s">
        <v>18</v>
      </c>
      <c r="G53" s="224"/>
      <c r="H53" s="103">
        <f t="shared" si="9"/>
        <v>0</v>
      </c>
      <c r="I53" s="104">
        <f t="shared" si="10"/>
        <v>0</v>
      </c>
      <c r="J53" s="113">
        <v>4.8</v>
      </c>
      <c r="K53" s="105">
        <f t="shared" si="11"/>
        <v>0</v>
      </c>
      <c r="L53" s="106">
        <f t="shared" si="12"/>
        <v>0</v>
      </c>
    </row>
    <row r="54" spans="1:12" ht="14.5" x14ac:dyDescent="0.3">
      <c r="A54" s="233">
        <v>48</v>
      </c>
      <c r="B54" s="228" t="s">
        <v>557</v>
      </c>
      <c r="C54" s="229">
        <v>5</v>
      </c>
      <c r="D54" s="221">
        <v>0</v>
      </c>
      <c r="E54" s="222">
        <f t="shared" si="0"/>
        <v>5</v>
      </c>
      <c r="F54" s="223" t="s">
        <v>18</v>
      </c>
      <c r="G54" s="224"/>
      <c r="H54" s="103">
        <f t="shared" si="9"/>
        <v>0</v>
      </c>
      <c r="I54" s="104">
        <f t="shared" si="10"/>
        <v>0</v>
      </c>
      <c r="J54" s="113">
        <v>3</v>
      </c>
      <c r="K54" s="105">
        <f t="shared" si="11"/>
        <v>0</v>
      </c>
      <c r="L54" s="106">
        <f t="shared" si="12"/>
        <v>0</v>
      </c>
    </row>
    <row r="55" spans="1:12" ht="14.5" x14ac:dyDescent="0.3">
      <c r="A55" s="233">
        <v>49</v>
      </c>
      <c r="B55" s="228" t="s">
        <v>558</v>
      </c>
      <c r="C55" s="229">
        <v>17</v>
      </c>
      <c r="D55" s="221">
        <v>0</v>
      </c>
      <c r="E55" s="222">
        <f t="shared" si="0"/>
        <v>17</v>
      </c>
      <c r="F55" s="223" t="s">
        <v>18</v>
      </c>
      <c r="G55" s="224"/>
      <c r="H55" s="103">
        <f t="shared" si="9"/>
        <v>0</v>
      </c>
      <c r="I55" s="104">
        <f t="shared" si="10"/>
        <v>0</v>
      </c>
      <c r="J55" s="113">
        <v>10.199999999999999</v>
      </c>
      <c r="K55" s="105">
        <f t="shared" si="11"/>
        <v>0</v>
      </c>
      <c r="L55" s="106">
        <f t="shared" si="12"/>
        <v>0</v>
      </c>
    </row>
    <row r="56" spans="1:12" ht="14.5" x14ac:dyDescent="0.3">
      <c r="A56" s="233">
        <v>50</v>
      </c>
      <c r="B56" s="228" t="s">
        <v>559</v>
      </c>
      <c r="C56" s="229">
        <v>11</v>
      </c>
      <c r="D56" s="221">
        <v>0</v>
      </c>
      <c r="E56" s="222">
        <f t="shared" si="0"/>
        <v>11</v>
      </c>
      <c r="F56" s="223" t="s">
        <v>18</v>
      </c>
      <c r="G56" s="224"/>
      <c r="H56" s="103">
        <f t="shared" si="9"/>
        <v>0</v>
      </c>
      <c r="I56" s="104">
        <f t="shared" si="10"/>
        <v>0</v>
      </c>
      <c r="J56" s="113">
        <v>6.6</v>
      </c>
      <c r="K56" s="105">
        <f t="shared" si="11"/>
        <v>0</v>
      </c>
      <c r="L56" s="106">
        <f t="shared" si="12"/>
        <v>0</v>
      </c>
    </row>
    <row r="57" spans="1:12" ht="14.5" x14ac:dyDescent="0.3">
      <c r="A57" s="233">
        <v>51</v>
      </c>
      <c r="B57" s="232" t="s">
        <v>560</v>
      </c>
      <c r="C57" s="229">
        <v>3</v>
      </c>
      <c r="D57" s="221">
        <v>0</v>
      </c>
      <c r="E57" s="222">
        <f t="shared" si="0"/>
        <v>3</v>
      </c>
      <c r="F57" s="223" t="s">
        <v>18</v>
      </c>
      <c r="G57" s="224"/>
      <c r="H57" s="103">
        <f t="shared" si="9"/>
        <v>0</v>
      </c>
      <c r="I57" s="104">
        <f t="shared" si="10"/>
        <v>0</v>
      </c>
      <c r="J57" s="113">
        <v>1.7999999999999998</v>
      </c>
      <c r="K57" s="105">
        <f t="shared" si="11"/>
        <v>0</v>
      </c>
      <c r="L57" s="106">
        <f t="shared" si="12"/>
        <v>0</v>
      </c>
    </row>
    <row r="58" spans="1:12" ht="14.5" x14ac:dyDescent="0.3">
      <c r="A58" s="233">
        <v>52</v>
      </c>
      <c r="B58" s="228" t="s">
        <v>548</v>
      </c>
      <c r="C58" s="229">
        <v>3</v>
      </c>
      <c r="D58" s="221">
        <v>0</v>
      </c>
      <c r="E58" s="222">
        <f t="shared" si="0"/>
        <v>3</v>
      </c>
      <c r="F58" s="223" t="s">
        <v>18</v>
      </c>
      <c r="G58" s="224"/>
      <c r="H58" s="103">
        <f t="shared" si="9"/>
        <v>0</v>
      </c>
      <c r="I58" s="104">
        <f t="shared" si="10"/>
        <v>0</v>
      </c>
      <c r="J58" s="113">
        <v>1.7999999999999998</v>
      </c>
      <c r="K58" s="105">
        <f t="shared" si="11"/>
        <v>0</v>
      </c>
      <c r="L58" s="106">
        <f t="shared" si="12"/>
        <v>0</v>
      </c>
    </row>
    <row r="59" spans="1:12" ht="14.5" x14ac:dyDescent="0.3">
      <c r="A59" s="233">
        <v>53</v>
      </c>
      <c r="B59" s="228" t="s">
        <v>561</v>
      </c>
      <c r="C59" s="229">
        <v>3</v>
      </c>
      <c r="D59" s="221">
        <v>0</v>
      </c>
      <c r="E59" s="222">
        <f t="shared" si="0"/>
        <v>3</v>
      </c>
      <c r="F59" s="223" t="s">
        <v>18</v>
      </c>
      <c r="G59" s="224"/>
      <c r="H59" s="103">
        <f t="shared" si="9"/>
        <v>0</v>
      </c>
      <c r="I59" s="104">
        <f t="shared" si="10"/>
        <v>0</v>
      </c>
      <c r="J59" s="113">
        <v>1.7999999999999998</v>
      </c>
      <c r="K59" s="105">
        <f t="shared" si="11"/>
        <v>0</v>
      </c>
      <c r="L59" s="106">
        <f t="shared" si="12"/>
        <v>0</v>
      </c>
    </row>
    <row r="60" spans="1:12" ht="17.25" customHeight="1" x14ac:dyDescent="0.3">
      <c r="A60" s="233">
        <v>54</v>
      </c>
      <c r="B60" s="228" t="s">
        <v>562</v>
      </c>
      <c r="C60" s="229">
        <v>2</v>
      </c>
      <c r="D60" s="221">
        <v>0</v>
      </c>
      <c r="E60" s="222">
        <f t="shared" si="0"/>
        <v>2</v>
      </c>
      <c r="F60" s="223" t="s">
        <v>18</v>
      </c>
      <c r="G60" s="224"/>
      <c r="H60" s="103">
        <f t="shared" si="9"/>
        <v>0</v>
      </c>
      <c r="I60" s="104">
        <f t="shared" si="10"/>
        <v>0</v>
      </c>
      <c r="J60" s="113">
        <v>1.2</v>
      </c>
      <c r="K60" s="105">
        <f t="shared" si="11"/>
        <v>0</v>
      </c>
      <c r="L60" s="106">
        <f t="shared" si="12"/>
        <v>0</v>
      </c>
    </row>
    <row r="61" spans="1:12" ht="17.25" customHeight="1" x14ac:dyDescent="0.3">
      <c r="A61" s="233">
        <v>55</v>
      </c>
      <c r="B61" s="231" t="s">
        <v>563</v>
      </c>
      <c r="C61" s="229">
        <v>2</v>
      </c>
      <c r="D61" s="221">
        <v>0</v>
      </c>
      <c r="E61" s="222">
        <f t="shared" si="0"/>
        <v>2</v>
      </c>
      <c r="F61" s="223" t="s">
        <v>18</v>
      </c>
      <c r="G61" s="224"/>
      <c r="H61" s="103">
        <f t="shared" si="9"/>
        <v>0</v>
      </c>
      <c r="I61" s="104">
        <f t="shared" si="10"/>
        <v>0</v>
      </c>
      <c r="J61" s="113">
        <v>1.2</v>
      </c>
      <c r="K61" s="105">
        <f t="shared" si="11"/>
        <v>0</v>
      </c>
      <c r="L61" s="106">
        <f t="shared" si="12"/>
        <v>0</v>
      </c>
    </row>
    <row r="62" spans="1:12" ht="17.25" customHeight="1" x14ac:dyDescent="0.3">
      <c r="A62" s="233">
        <v>56</v>
      </c>
      <c r="B62" s="228" t="s">
        <v>564</v>
      </c>
      <c r="C62" s="229">
        <v>4</v>
      </c>
      <c r="D62" s="221">
        <v>0</v>
      </c>
      <c r="E62" s="222">
        <f t="shared" si="0"/>
        <v>4</v>
      </c>
      <c r="F62" s="223" t="s">
        <v>18</v>
      </c>
      <c r="G62" s="224"/>
      <c r="H62" s="103">
        <f t="shared" si="9"/>
        <v>0</v>
      </c>
      <c r="I62" s="104">
        <f t="shared" si="10"/>
        <v>0</v>
      </c>
      <c r="J62" s="113">
        <v>2.4</v>
      </c>
      <c r="K62" s="105">
        <f t="shared" si="11"/>
        <v>0</v>
      </c>
      <c r="L62" s="106">
        <f t="shared" si="12"/>
        <v>0</v>
      </c>
    </row>
    <row r="63" spans="1:12" ht="17.25" customHeight="1" x14ac:dyDescent="0.3">
      <c r="A63" s="233">
        <v>57</v>
      </c>
      <c r="B63" s="231" t="s">
        <v>565</v>
      </c>
      <c r="C63" s="229">
        <v>2</v>
      </c>
      <c r="D63" s="221">
        <v>0</v>
      </c>
      <c r="E63" s="222">
        <f t="shared" si="0"/>
        <v>2</v>
      </c>
      <c r="F63" s="223" t="s">
        <v>18</v>
      </c>
      <c r="G63" s="224"/>
      <c r="H63" s="103">
        <f t="shared" si="9"/>
        <v>0</v>
      </c>
      <c r="I63" s="104">
        <f t="shared" si="10"/>
        <v>0</v>
      </c>
      <c r="J63" s="113">
        <v>1.2</v>
      </c>
      <c r="K63" s="105">
        <f t="shared" si="11"/>
        <v>0</v>
      </c>
      <c r="L63" s="106">
        <f t="shared" si="12"/>
        <v>0</v>
      </c>
    </row>
    <row r="64" spans="1:12" ht="17.25" customHeight="1" x14ac:dyDescent="0.3">
      <c r="A64" s="233">
        <v>58</v>
      </c>
      <c r="B64" s="228" t="s">
        <v>566</v>
      </c>
      <c r="C64" s="229">
        <v>3</v>
      </c>
      <c r="D64" s="221">
        <v>0</v>
      </c>
      <c r="E64" s="222">
        <f t="shared" si="0"/>
        <v>3</v>
      </c>
      <c r="F64" s="223" t="s">
        <v>18</v>
      </c>
      <c r="G64" s="224"/>
      <c r="H64" s="103">
        <f t="shared" si="9"/>
        <v>0</v>
      </c>
      <c r="I64" s="104">
        <f t="shared" si="10"/>
        <v>0</v>
      </c>
      <c r="J64" s="113">
        <v>1.7999999999999998</v>
      </c>
      <c r="K64" s="105">
        <f t="shared" si="11"/>
        <v>0</v>
      </c>
      <c r="L64" s="106">
        <f t="shared" si="12"/>
        <v>0</v>
      </c>
    </row>
    <row r="65" spans="1:12" ht="14.5" x14ac:dyDescent="0.3">
      <c r="A65" s="233">
        <v>59</v>
      </c>
      <c r="B65" s="228" t="s">
        <v>567</v>
      </c>
      <c r="C65" s="229">
        <v>1</v>
      </c>
      <c r="D65" s="221">
        <v>0</v>
      </c>
      <c r="E65" s="222">
        <f t="shared" si="0"/>
        <v>1</v>
      </c>
      <c r="F65" s="223" t="s">
        <v>18</v>
      </c>
      <c r="G65" s="224"/>
      <c r="H65" s="103">
        <f t="shared" si="9"/>
        <v>0</v>
      </c>
      <c r="I65" s="104">
        <f t="shared" si="10"/>
        <v>0</v>
      </c>
      <c r="J65" s="113">
        <v>0.6</v>
      </c>
      <c r="K65" s="105">
        <f t="shared" si="11"/>
        <v>0</v>
      </c>
      <c r="L65" s="106">
        <f t="shared" si="12"/>
        <v>0</v>
      </c>
    </row>
    <row r="66" spans="1:12" ht="17.25" customHeight="1" x14ac:dyDescent="0.3">
      <c r="A66" s="233">
        <v>60</v>
      </c>
      <c r="B66" s="228" t="s">
        <v>568</v>
      </c>
      <c r="C66" s="229">
        <v>1</v>
      </c>
      <c r="D66" s="221">
        <v>0</v>
      </c>
      <c r="E66" s="222">
        <f t="shared" si="0"/>
        <v>1</v>
      </c>
      <c r="F66" s="223" t="s">
        <v>18</v>
      </c>
      <c r="G66" s="224"/>
      <c r="H66" s="103">
        <f t="shared" si="9"/>
        <v>0</v>
      </c>
      <c r="I66" s="104">
        <f t="shared" si="10"/>
        <v>0</v>
      </c>
      <c r="J66" s="113">
        <v>0.6</v>
      </c>
      <c r="K66" s="105">
        <f t="shared" si="11"/>
        <v>0</v>
      </c>
      <c r="L66" s="106">
        <f t="shared" si="12"/>
        <v>0</v>
      </c>
    </row>
    <row r="67" spans="1:12" ht="17.25" customHeight="1" x14ac:dyDescent="0.3">
      <c r="A67" s="233">
        <v>61</v>
      </c>
      <c r="B67" s="228" t="s">
        <v>569</v>
      </c>
      <c r="C67" s="229">
        <v>2</v>
      </c>
      <c r="D67" s="221">
        <v>0</v>
      </c>
      <c r="E67" s="222">
        <f t="shared" si="0"/>
        <v>2</v>
      </c>
      <c r="F67" s="223" t="s">
        <v>18</v>
      </c>
      <c r="G67" s="224"/>
      <c r="H67" s="103">
        <f t="shared" si="9"/>
        <v>0</v>
      </c>
      <c r="I67" s="104">
        <f t="shared" si="10"/>
        <v>0</v>
      </c>
      <c r="J67" s="113">
        <v>1.2</v>
      </c>
      <c r="K67" s="105">
        <f t="shared" si="11"/>
        <v>0</v>
      </c>
      <c r="L67" s="106">
        <f t="shared" si="12"/>
        <v>0</v>
      </c>
    </row>
    <row r="68" spans="1:12" ht="17.25" customHeight="1" x14ac:dyDescent="0.3">
      <c r="A68" s="233">
        <v>62</v>
      </c>
      <c r="B68" s="232" t="s">
        <v>570</v>
      </c>
      <c r="C68" s="229">
        <v>1</v>
      </c>
      <c r="D68" s="221">
        <v>0</v>
      </c>
      <c r="E68" s="222">
        <f t="shared" si="0"/>
        <v>1</v>
      </c>
      <c r="F68" s="223" t="s">
        <v>18</v>
      </c>
      <c r="G68" s="224"/>
      <c r="H68" s="103">
        <f t="shared" si="9"/>
        <v>0</v>
      </c>
      <c r="I68" s="104">
        <f t="shared" si="10"/>
        <v>0</v>
      </c>
      <c r="J68" s="113">
        <v>0.6</v>
      </c>
      <c r="K68" s="105">
        <f t="shared" si="11"/>
        <v>0</v>
      </c>
      <c r="L68" s="106">
        <f t="shared" si="12"/>
        <v>0</v>
      </c>
    </row>
    <row r="69" spans="1:12" ht="17.25" customHeight="1" x14ac:dyDescent="0.3">
      <c r="A69" s="233">
        <v>63</v>
      </c>
      <c r="B69" s="231" t="s">
        <v>571</v>
      </c>
      <c r="C69" s="229">
        <v>1</v>
      </c>
      <c r="D69" s="221">
        <v>0</v>
      </c>
      <c r="E69" s="222">
        <f t="shared" si="0"/>
        <v>1</v>
      </c>
      <c r="F69" s="223" t="s">
        <v>18</v>
      </c>
      <c r="G69" s="224"/>
      <c r="H69" s="103">
        <f t="shared" si="9"/>
        <v>0</v>
      </c>
      <c r="I69" s="104">
        <f t="shared" si="10"/>
        <v>0</v>
      </c>
      <c r="J69" s="113">
        <v>0.6</v>
      </c>
      <c r="K69" s="105">
        <f t="shared" si="11"/>
        <v>0</v>
      </c>
      <c r="L69" s="106">
        <f t="shared" si="12"/>
        <v>0</v>
      </c>
    </row>
    <row r="70" spans="1:12" ht="17.25" customHeight="1" x14ac:dyDescent="0.3">
      <c r="A70" s="233">
        <v>64</v>
      </c>
      <c r="B70" s="228" t="s">
        <v>572</v>
      </c>
      <c r="C70" s="229">
        <v>1</v>
      </c>
      <c r="D70" s="221">
        <v>0</v>
      </c>
      <c r="E70" s="222">
        <f t="shared" si="0"/>
        <v>1</v>
      </c>
      <c r="F70" s="223" t="s">
        <v>18</v>
      </c>
      <c r="G70" s="224"/>
      <c r="H70" s="103">
        <f t="shared" si="9"/>
        <v>0</v>
      </c>
      <c r="I70" s="104">
        <f t="shared" si="10"/>
        <v>0</v>
      </c>
      <c r="J70" s="113">
        <v>0.6</v>
      </c>
      <c r="K70" s="105">
        <f t="shared" si="11"/>
        <v>0</v>
      </c>
      <c r="L70" s="106">
        <f t="shared" si="12"/>
        <v>0</v>
      </c>
    </row>
    <row r="71" spans="1:12" ht="17.25" customHeight="1" x14ac:dyDescent="0.3">
      <c r="A71" s="233">
        <v>65</v>
      </c>
      <c r="B71" s="228" t="s">
        <v>573</v>
      </c>
      <c r="C71" s="229">
        <v>1</v>
      </c>
      <c r="D71" s="221">
        <v>0</v>
      </c>
      <c r="E71" s="222">
        <f t="shared" ref="E71:E76" si="13">C71*(1+D71)</f>
        <v>1</v>
      </c>
      <c r="F71" s="223" t="s">
        <v>18</v>
      </c>
      <c r="G71" s="224"/>
      <c r="H71" s="103">
        <f t="shared" si="9"/>
        <v>0</v>
      </c>
      <c r="I71" s="104">
        <f t="shared" si="10"/>
        <v>0</v>
      </c>
      <c r="J71" s="113">
        <v>0.6</v>
      </c>
      <c r="K71" s="105">
        <f t="shared" si="11"/>
        <v>0</v>
      </c>
      <c r="L71" s="106">
        <f t="shared" si="12"/>
        <v>0</v>
      </c>
    </row>
    <row r="72" spans="1:12" ht="17.25" customHeight="1" thickBot="1" x14ac:dyDescent="0.35">
      <c r="A72" s="237"/>
      <c r="B72" s="238"/>
      <c r="C72" s="229"/>
      <c r="D72" s="221"/>
      <c r="E72" s="222"/>
      <c r="F72" s="223"/>
      <c r="G72" s="224"/>
      <c r="H72" s="224"/>
      <c r="I72" s="225"/>
      <c r="J72" s="226"/>
      <c r="K72" s="225"/>
      <c r="L72" s="227"/>
    </row>
    <row r="73" spans="1:12" ht="17.25" customHeight="1" thickBot="1" x14ac:dyDescent="0.35">
      <c r="A73" s="410" t="s">
        <v>574</v>
      </c>
      <c r="B73" s="411"/>
      <c r="C73" s="239"/>
      <c r="D73" s="221"/>
      <c r="E73" s="222"/>
      <c r="F73" s="223"/>
      <c r="G73" s="224"/>
      <c r="H73" s="224"/>
      <c r="I73" s="225"/>
      <c r="J73" s="226"/>
      <c r="K73" s="225"/>
      <c r="L73" s="227"/>
    </row>
    <row r="74" spans="1:12" ht="28" x14ac:dyDescent="0.3">
      <c r="A74" s="279">
        <v>1</v>
      </c>
      <c r="B74" s="232" t="s">
        <v>575</v>
      </c>
      <c r="C74" s="229">
        <v>295</v>
      </c>
      <c r="D74" s="221">
        <v>0</v>
      </c>
      <c r="E74" s="222">
        <f t="shared" si="13"/>
        <v>295</v>
      </c>
      <c r="F74" s="223" t="s">
        <v>18</v>
      </c>
      <c r="G74" s="224"/>
      <c r="H74" s="103">
        <f t="shared" ref="H74:H76" si="14">G74*E74</f>
        <v>0</v>
      </c>
      <c r="I74" s="104">
        <f t="shared" ref="I74:I76" si="15">L$4</f>
        <v>0</v>
      </c>
      <c r="J74" s="113">
        <v>221</v>
      </c>
      <c r="K74" s="105">
        <f t="shared" ref="K74:K76" si="16">J74*I74</f>
        <v>0</v>
      </c>
      <c r="L74" s="106">
        <f t="shared" ref="L74:L76" si="17">K74+H74</f>
        <v>0</v>
      </c>
    </row>
    <row r="75" spans="1:12" ht="28" x14ac:dyDescent="0.3">
      <c r="A75" s="233">
        <v>2</v>
      </c>
      <c r="B75" s="228" t="s">
        <v>576</v>
      </c>
      <c r="C75" s="229">
        <v>55</v>
      </c>
      <c r="D75" s="221">
        <v>0</v>
      </c>
      <c r="E75" s="222">
        <f t="shared" si="13"/>
        <v>55</v>
      </c>
      <c r="F75" s="223" t="s">
        <v>18</v>
      </c>
      <c r="G75" s="224"/>
      <c r="H75" s="103">
        <f t="shared" si="14"/>
        <v>0</v>
      </c>
      <c r="I75" s="104">
        <f t="shared" si="15"/>
        <v>0</v>
      </c>
      <c r="J75" s="113">
        <v>41</v>
      </c>
      <c r="K75" s="105">
        <f t="shared" si="16"/>
        <v>0</v>
      </c>
      <c r="L75" s="106">
        <f t="shared" si="17"/>
        <v>0</v>
      </c>
    </row>
    <row r="76" spans="1:12" ht="28" x14ac:dyDescent="0.3">
      <c r="A76" s="233">
        <v>3</v>
      </c>
      <c r="B76" s="228" t="s">
        <v>577</v>
      </c>
      <c r="C76" s="229">
        <v>4</v>
      </c>
      <c r="D76" s="221">
        <v>0</v>
      </c>
      <c r="E76" s="222">
        <f t="shared" si="13"/>
        <v>4</v>
      </c>
      <c r="F76" s="223" t="s">
        <v>18</v>
      </c>
      <c r="G76" s="224"/>
      <c r="H76" s="103">
        <f t="shared" si="14"/>
        <v>0</v>
      </c>
      <c r="I76" s="104">
        <f t="shared" si="15"/>
        <v>0</v>
      </c>
      <c r="J76" s="113">
        <v>3</v>
      </c>
      <c r="K76" s="105">
        <f t="shared" si="16"/>
        <v>0</v>
      </c>
      <c r="L76" s="106">
        <f t="shared" si="17"/>
        <v>0</v>
      </c>
    </row>
    <row r="77" spans="1:12" ht="17.25" customHeight="1" thickBot="1" x14ac:dyDescent="0.35">
      <c r="A77" s="237"/>
      <c r="B77" s="238"/>
      <c r="C77" s="229"/>
      <c r="D77" s="221"/>
      <c r="E77" s="222"/>
      <c r="F77" s="223"/>
      <c r="G77" s="224"/>
      <c r="H77" s="224"/>
      <c r="I77" s="225"/>
      <c r="J77" s="226"/>
      <c r="K77" s="225"/>
      <c r="L77" s="227"/>
    </row>
    <row r="78" spans="1:12" ht="17.25" customHeight="1" thickBot="1" x14ac:dyDescent="0.35">
      <c r="A78" s="410" t="s">
        <v>578</v>
      </c>
      <c r="B78" s="411"/>
      <c r="C78" s="239"/>
      <c r="D78" s="221"/>
      <c r="E78" s="222"/>
      <c r="F78" s="223"/>
      <c r="G78" s="224"/>
      <c r="H78" s="224"/>
      <c r="I78" s="225"/>
      <c r="J78" s="226"/>
      <c r="K78" s="225"/>
      <c r="L78" s="227"/>
    </row>
    <row r="79" spans="1:12" ht="28" x14ac:dyDescent="0.3">
      <c r="A79" s="279">
        <v>1</v>
      </c>
      <c r="B79" s="280" t="s">
        <v>579</v>
      </c>
      <c r="C79" s="267">
        <v>1</v>
      </c>
      <c r="D79" s="235">
        <v>0</v>
      </c>
      <c r="E79" s="236">
        <f>C79*(1+D79)</f>
        <v>1</v>
      </c>
      <c r="F79" s="215" t="s">
        <v>18</v>
      </c>
      <c r="G79" s="224"/>
      <c r="H79" s="103">
        <f t="shared" ref="H79:H80" si="18">G79*E79</f>
        <v>0</v>
      </c>
      <c r="I79" s="104">
        <f t="shared" ref="I79:I80" si="19">L$4</f>
        <v>0</v>
      </c>
      <c r="J79" s="113">
        <v>36</v>
      </c>
      <c r="K79" s="105">
        <f t="shared" ref="K79:K80" si="20">J79*I79</f>
        <v>0</v>
      </c>
      <c r="L79" s="106">
        <f t="shared" ref="L79:L80" si="21">K79+H79</f>
        <v>0</v>
      </c>
    </row>
    <row r="80" spans="1:12" ht="28" x14ac:dyDescent="0.3">
      <c r="A80" s="233">
        <v>2</v>
      </c>
      <c r="B80" s="234" t="s">
        <v>580</v>
      </c>
      <c r="C80" s="267">
        <v>1</v>
      </c>
      <c r="D80" s="235">
        <v>0</v>
      </c>
      <c r="E80" s="236">
        <f>C80*(1+D80)</f>
        <v>1</v>
      </c>
      <c r="F80" s="215" t="s">
        <v>18</v>
      </c>
      <c r="G80" s="224"/>
      <c r="H80" s="103">
        <f t="shared" si="18"/>
        <v>0</v>
      </c>
      <c r="I80" s="104">
        <f t="shared" si="19"/>
        <v>0</v>
      </c>
      <c r="J80" s="113">
        <v>16</v>
      </c>
      <c r="K80" s="105">
        <f t="shared" si="20"/>
        <v>0</v>
      </c>
      <c r="L80" s="106">
        <f t="shared" si="21"/>
        <v>0</v>
      </c>
    </row>
    <row r="81" spans="1:12" ht="17.25" customHeight="1" thickBot="1" x14ac:dyDescent="0.35">
      <c r="A81" s="237"/>
      <c r="B81" s="238"/>
      <c r="C81" s="229"/>
      <c r="D81" s="221"/>
      <c r="E81" s="222"/>
      <c r="F81" s="223"/>
      <c r="G81" s="224"/>
      <c r="H81" s="224"/>
      <c r="I81" s="225"/>
      <c r="J81" s="226"/>
      <c r="K81" s="225"/>
      <c r="L81" s="227"/>
    </row>
    <row r="82" spans="1:12" ht="17.25" customHeight="1" thickBot="1" x14ac:dyDescent="0.35">
      <c r="A82" s="410" t="s">
        <v>581</v>
      </c>
      <c r="B82" s="411"/>
      <c r="C82" s="239"/>
      <c r="D82" s="221"/>
      <c r="E82" s="222"/>
      <c r="F82" s="223"/>
      <c r="G82" s="224"/>
      <c r="H82" s="224"/>
      <c r="I82" s="225"/>
      <c r="J82" s="226"/>
      <c r="K82" s="225"/>
      <c r="L82" s="227"/>
    </row>
    <row r="83" spans="1:12" ht="17.25" customHeight="1" x14ac:dyDescent="0.3">
      <c r="A83" s="233">
        <v>1</v>
      </c>
      <c r="B83" s="240" t="s">
        <v>582</v>
      </c>
      <c r="C83" s="241">
        <v>2</v>
      </c>
      <c r="D83" s="221">
        <v>0</v>
      </c>
      <c r="E83" s="222">
        <f t="shared" ref="E83:E114" si="22">C83*(1+D83)</f>
        <v>2</v>
      </c>
      <c r="F83" s="223" t="s">
        <v>18</v>
      </c>
      <c r="G83" s="224"/>
      <c r="H83" s="103">
        <f t="shared" ref="H83:H111" si="23">G83*E83</f>
        <v>0</v>
      </c>
      <c r="I83" s="104">
        <f t="shared" ref="I83:I111" si="24">L$4</f>
        <v>0</v>
      </c>
      <c r="J83" s="113">
        <v>1</v>
      </c>
      <c r="K83" s="105">
        <f t="shared" ref="K83:K111" si="25">J83*I83</f>
        <v>0</v>
      </c>
      <c r="L83" s="106">
        <f t="shared" ref="L83:L111" si="26">K83+H83</f>
        <v>0</v>
      </c>
    </row>
    <row r="84" spans="1:12" ht="17.25" customHeight="1" x14ac:dyDescent="0.3">
      <c r="A84" s="233">
        <v>2</v>
      </c>
      <c r="B84" s="240" t="s">
        <v>583</v>
      </c>
      <c r="C84" s="241">
        <v>2</v>
      </c>
      <c r="D84" s="221">
        <v>0</v>
      </c>
      <c r="E84" s="222">
        <f t="shared" si="22"/>
        <v>2</v>
      </c>
      <c r="F84" s="223" t="s">
        <v>18</v>
      </c>
      <c r="G84" s="224"/>
      <c r="H84" s="103">
        <f t="shared" si="23"/>
        <v>0</v>
      </c>
      <c r="I84" s="104">
        <f t="shared" si="24"/>
        <v>0</v>
      </c>
      <c r="J84" s="113">
        <v>2</v>
      </c>
      <c r="K84" s="105">
        <f t="shared" si="25"/>
        <v>0</v>
      </c>
      <c r="L84" s="106">
        <f t="shared" si="26"/>
        <v>0</v>
      </c>
    </row>
    <row r="85" spans="1:12" ht="17.25" customHeight="1" x14ac:dyDescent="0.3">
      <c r="A85" s="233">
        <v>3</v>
      </c>
      <c r="B85" s="240" t="s">
        <v>584</v>
      </c>
      <c r="C85" s="241">
        <v>2</v>
      </c>
      <c r="D85" s="221">
        <v>0</v>
      </c>
      <c r="E85" s="222">
        <f t="shared" si="22"/>
        <v>2</v>
      </c>
      <c r="F85" s="223" t="s">
        <v>18</v>
      </c>
      <c r="G85" s="224"/>
      <c r="H85" s="103">
        <f t="shared" si="23"/>
        <v>0</v>
      </c>
      <c r="I85" s="104">
        <f t="shared" si="24"/>
        <v>0</v>
      </c>
      <c r="J85" s="113">
        <v>2</v>
      </c>
      <c r="K85" s="105">
        <f t="shared" si="25"/>
        <v>0</v>
      </c>
      <c r="L85" s="106">
        <f t="shared" si="26"/>
        <v>0</v>
      </c>
    </row>
    <row r="86" spans="1:12" ht="17.25" customHeight="1" x14ac:dyDescent="0.3">
      <c r="A86" s="233">
        <v>4</v>
      </c>
      <c r="B86" s="240" t="s">
        <v>585</v>
      </c>
      <c r="C86" s="241">
        <v>2</v>
      </c>
      <c r="D86" s="221">
        <v>0</v>
      </c>
      <c r="E86" s="222">
        <f t="shared" si="22"/>
        <v>2</v>
      </c>
      <c r="F86" s="223" t="s">
        <v>18</v>
      </c>
      <c r="G86" s="224"/>
      <c r="H86" s="103">
        <f t="shared" si="23"/>
        <v>0</v>
      </c>
      <c r="I86" s="104">
        <f t="shared" si="24"/>
        <v>0</v>
      </c>
      <c r="J86" s="113">
        <v>2</v>
      </c>
      <c r="K86" s="105">
        <f t="shared" si="25"/>
        <v>0</v>
      </c>
      <c r="L86" s="106">
        <f t="shared" si="26"/>
        <v>0</v>
      </c>
    </row>
    <row r="87" spans="1:12" ht="17.25" customHeight="1" x14ac:dyDescent="0.3">
      <c r="A87" s="233">
        <v>5</v>
      </c>
      <c r="B87" s="240" t="s">
        <v>586</v>
      </c>
      <c r="C87" s="241">
        <v>2</v>
      </c>
      <c r="D87" s="221">
        <v>0</v>
      </c>
      <c r="E87" s="222">
        <f t="shared" si="22"/>
        <v>2</v>
      </c>
      <c r="F87" s="223" t="s">
        <v>18</v>
      </c>
      <c r="G87" s="224"/>
      <c r="H87" s="103">
        <f t="shared" si="23"/>
        <v>0</v>
      </c>
      <c r="I87" s="104">
        <f t="shared" si="24"/>
        <v>0</v>
      </c>
      <c r="J87" s="113">
        <v>2</v>
      </c>
      <c r="K87" s="105">
        <f t="shared" si="25"/>
        <v>0</v>
      </c>
      <c r="L87" s="106">
        <f t="shared" si="26"/>
        <v>0</v>
      </c>
    </row>
    <row r="88" spans="1:12" ht="17.25" customHeight="1" x14ac:dyDescent="0.3">
      <c r="A88" s="233">
        <v>6</v>
      </c>
      <c r="B88" s="240" t="s">
        <v>587</v>
      </c>
      <c r="C88" s="241">
        <v>2</v>
      </c>
      <c r="D88" s="221">
        <v>0</v>
      </c>
      <c r="E88" s="222">
        <f t="shared" si="22"/>
        <v>2</v>
      </c>
      <c r="F88" s="223" t="s">
        <v>18</v>
      </c>
      <c r="G88" s="224"/>
      <c r="H88" s="103">
        <f t="shared" si="23"/>
        <v>0</v>
      </c>
      <c r="I88" s="104">
        <f t="shared" si="24"/>
        <v>0</v>
      </c>
      <c r="J88" s="113">
        <v>2</v>
      </c>
      <c r="K88" s="105">
        <f t="shared" si="25"/>
        <v>0</v>
      </c>
      <c r="L88" s="106">
        <f t="shared" si="26"/>
        <v>0</v>
      </c>
    </row>
    <row r="89" spans="1:12" ht="17.25" customHeight="1" x14ac:dyDescent="0.3">
      <c r="A89" s="233">
        <v>7</v>
      </c>
      <c r="B89" s="240" t="s">
        <v>588</v>
      </c>
      <c r="C89" s="241">
        <v>4</v>
      </c>
      <c r="D89" s="221">
        <v>0</v>
      </c>
      <c r="E89" s="222">
        <f t="shared" si="22"/>
        <v>4</v>
      </c>
      <c r="F89" s="223" t="s">
        <v>18</v>
      </c>
      <c r="G89" s="224"/>
      <c r="H89" s="103">
        <f t="shared" si="23"/>
        <v>0</v>
      </c>
      <c r="I89" s="104">
        <f t="shared" si="24"/>
        <v>0</v>
      </c>
      <c r="J89" s="113">
        <v>2</v>
      </c>
      <c r="K89" s="105">
        <f t="shared" si="25"/>
        <v>0</v>
      </c>
      <c r="L89" s="106">
        <f t="shared" si="26"/>
        <v>0</v>
      </c>
    </row>
    <row r="90" spans="1:12" ht="17.25" customHeight="1" x14ac:dyDescent="0.3">
      <c r="A90" s="233">
        <v>8</v>
      </c>
      <c r="B90" s="240" t="s">
        <v>589</v>
      </c>
      <c r="C90" s="241">
        <v>2</v>
      </c>
      <c r="D90" s="221">
        <v>0</v>
      </c>
      <c r="E90" s="222">
        <f t="shared" si="22"/>
        <v>2</v>
      </c>
      <c r="F90" s="223" t="s">
        <v>18</v>
      </c>
      <c r="G90" s="224"/>
      <c r="H90" s="103">
        <f t="shared" si="23"/>
        <v>0</v>
      </c>
      <c r="I90" s="104">
        <f t="shared" si="24"/>
        <v>0</v>
      </c>
      <c r="J90" s="113">
        <v>1</v>
      </c>
      <c r="K90" s="105">
        <f t="shared" si="25"/>
        <v>0</v>
      </c>
      <c r="L90" s="106">
        <f t="shared" si="26"/>
        <v>0</v>
      </c>
    </row>
    <row r="91" spans="1:12" ht="17.25" customHeight="1" x14ac:dyDescent="0.3">
      <c r="A91" s="233">
        <v>9</v>
      </c>
      <c r="B91" s="240" t="s">
        <v>590</v>
      </c>
      <c r="C91" s="241">
        <v>4</v>
      </c>
      <c r="D91" s="221">
        <v>0</v>
      </c>
      <c r="E91" s="222">
        <f t="shared" si="22"/>
        <v>4</v>
      </c>
      <c r="F91" s="223" t="s">
        <v>18</v>
      </c>
      <c r="G91" s="224"/>
      <c r="H91" s="103">
        <f t="shared" si="23"/>
        <v>0</v>
      </c>
      <c r="I91" s="104">
        <f t="shared" si="24"/>
        <v>0</v>
      </c>
      <c r="J91" s="113">
        <v>4</v>
      </c>
      <c r="K91" s="105">
        <f t="shared" si="25"/>
        <v>0</v>
      </c>
      <c r="L91" s="106">
        <f t="shared" si="26"/>
        <v>0</v>
      </c>
    </row>
    <row r="92" spans="1:12" ht="17.25" customHeight="1" x14ac:dyDescent="0.3">
      <c r="A92" s="233">
        <v>10</v>
      </c>
      <c r="B92" s="240" t="s">
        <v>591</v>
      </c>
      <c r="C92" s="241">
        <v>10</v>
      </c>
      <c r="D92" s="221">
        <v>0</v>
      </c>
      <c r="E92" s="222">
        <f t="shared" si="22"/>
        <v>10</v>
      </c>
      <c r="F92" s="223" t="s">
        <v>18</v>
      </c>
      <c r="G92" s="224"/>
      <c r="H92" s="103">
        <f t="shared" si="23"/>
        <v>0</v>
      </c>
      <c r="I92" s="104">
        <f t="shared" si="24"/>
        <v>0</v>
      </c>
      <c r="J92" s="113">
        <v>5</v>
      </c>
      <c r="K92" s="105">
        <f t="shared" si="25"/>
        <v>0</v>
      </c>
      <c r="L92" s="106">
        <f t="shared" si="26"/>
        <v>0</v>
      </c>
    </row>
    <row r="93" spans="1:12" ht="17.25" customHeight="1" x14ac:dyDescent="0.3">
      <c r="A93" s="233">
        <v>11</v>
      </c>
      <c r="B93" s="240" t="s">
        <v>592</v>
      </c>
      <c r="C93" s="241">
        <v>10</v>
      </c>
      <c r="D93" s="221">
        <v>0</v>
      </c>
      <c r="E93" s="222">
        <f t="shared" si="22"/>
        <v>10</v>
      </c>
      <c r="F93" s="223" t="s">
        <v>18</v>
      </c>
      <c r="G93" s="224"/>
      <c r="H93" s="103">
        <f t="shared" si="23"/>
        <v>0</v>
      </c>
      <c r="I93" s="104">
        <f t="shared" si="24"/>
        <v>0</v>
      </c>
      <c r="J93" s="113">
        <v>5</v>
      </c>
      <c r="K93" s="105">
        <f t="shared" si="25"/>
        <v>0</v>
      </c>
      <c r="L93" s="106">
        <f t="shared" si="26"/>
        <v>0</v>
      </c>
    </row>
    <row r="94" spans="1:12" ht="17.25" customHeight="1" x14ac:dyDescent="0.3">
      <c r="A94" s="233">
        <v>12</v>
      </c>
      <c r="B94" s="240" t="s">
        <v>593</v>
      </c>
      <c r="C94" s="241">
        <v>10</v>
      </c>
      <c r="D94" s="221">
        <v>0</v>
      </c>
      <c r="E94" s="222">
        <f t="shared" si="22"/>
        <v>10</v>
      </c>
      <c r="F94" s="223" t="s">
        <v>18</v>
      </c>
      <c r="G94" s="224"/>
      <c r="H94" s="103">
        <f t="shared" si="23"/>
        <v>0</v>
      </c>
      <c r="I94" s="104">
        <f t="shared" si="24"/>
        <v>0</v>
      </c>
      <c r="J94" s="113">
        <v>5</v>
      </c>
      <c r="K94" s="105">
        <f t="shared" si="25"/>
        <v>0</v>
      </c>
      <c r="L94" s="106">
        <f t="shared" si="26"/>
        <v>0</v>
      </c>
    </row>
    <row r="95" spans="1:12" ht="17.25" customHeight="1" x14ac:dyDescent="0.3">
      <c r="A95" s="233">
        <v>13</v>
      </c>
      <c r="B95" s="240" t="s">
        <v>594</v>
      </c>
      <c r="C95" s="241">
        <v>10</v>
      </c>
      <c r="D95" s="221">
        <v>0</v>
      </c>
      <c r="E95" s="222">
        <f t="shared" si="22"/>
        <v>10</v>
      </c>
      <c r="F95" s="223" t="s">
        <v>18</v>
      </c>
      <c r="G95" s="224"/>
      <c r="H95" s="103">
        <f t="shared" si="23"/>
        <v>0</v>
      </c>
      <c r="I95" s="104">
        <f t="shared" si="24"/>
        <v>0</v>
      </c>
      <c r="J95" s="113">
        <v>5</v>
      </c>
      <c r="K95" s="105">
        <f t="shared" si="25"/>
        <v>0</v>
      </c>
      <c r="L95" s="106">
        <f t="shared" si="26"/>
        <v>0</v>
      </c>
    </row>
    <row r="96" spans="1:12" ht="17.25" customHeight="1" x14ac:dyDescent="0.3">
      <c r="A96" s="233">
        <v>14</v>
      </c>
      <c r="B96" s="240" t="s">
        <v>595</v>
      </c>
      <c r="C96" s="241">
        <v>10</v>
      </c>
      <c r="D96" s="221">
        <v>0</v>
      </c>
      <c r="E96" s="222">
        <f t="shared" si="22"/>
        <v>10</v>
      </c>
      <c r="F96" s="223" t="s">
        <v>18</v>
      </c>
      <c r="G96" s="224"/>
      <c r="H96" s="103">
        <f t="shared" si="23"/>
        <v>0</v>
      </c>
      <c r="I96" s="104">
        <f t="shared" si="24"/>
        <v>0</v>
      </c>
      <c r="J96" s="113">
        <v>5</v>
      </c>
      <c r="K96" s="105">
        <f t="shared" si="25"/>
        <v>0</v>
      </c>
      <c r="L96" s="106">
        <f t="shared" si="26"/>
        <v>0</v>
      </c>
    </row>
    <row r="97" spans="1:12" ht="17.25" customHeight="1" x14ac:dyDescent="0.3">
      <c r="A97" s="233">
        <v>15</v>
      </c>
      <c r="B97" s="240" t="s">
        <v>596</v>
      </c>
      <c r="C97" s="241">
        <v>10</v>
      </c>
      <c r="D97" s="221">
        <v>0</v>
      </c>
      <c r="E97" s="222">
        <f t="shared" si="22"/>
        <v>10</v>
      </c>
      <c r="F97" s="223" t="s">
        <v>18</v>
      </c>
      <c r="G97" s="224"/>
      <c r="H97" s="103">
        <f t="shared" si="23"/>
        <v>0</v>
      </c>
      <c r="I97" s="104">
        <f t="shared" si="24"/>
        <v>0</v>
      </c>
      <c r="J97" s="113">
        <v>5</v>
      </c>
      <c r="K97" s="105">
        <f t="shared" si="25"/>
        <v>0</v>
      </c>
      <c r="L97" s="106">
        <f t="shared" si="26"/>
        <v>0</v>
      </c>
    </row>
    <row r="98" spans="1:12" ht="17.25" customHeight="1" x14ac:dyDescent="0.3">
      <c r="A98" s="233">
        <v>16</v>
      </c>
      <c r="B98" s="240" t="s">
        <v>597</v>
      </c>
      <c r="C98" s="241">
        <v>10</v>
      </c>
      <c r="D98" s="221">
        <v>0</v>
      </c>
      <c r="E98" s="222">
        <f t="shared" si="22"/>
        <v>10</v>
      </c>
      <c r="F98" s="223" t="s">
        <v>18</v>
      </c>
      <c r="G98" s="224"/>
      <c r="H98" s="103">
        <f t="shared" si="23"/>
        <v>0</v>
      </c>
      <c r="I98" s="104">
        <f t="shared" si="24"/>
        <v>0</v>
      </c>
      <c r="J98" s="113">
        <v>5</v>
      </c>
      <c r="K98" s="105">
        <f t="shared" si="25"/>
        <v>0</v>
      </c>
      <c r="L98" s="106">
        <f t="shared" si="26"/>
        <v>0</v>
      </c>
    </row>
    <row r="99" spans="1:12" ht="17.25" customHeight="1" x14ac:dyDescent="0.3">
      <c r="A99" s="233">
        <v>17</v>
      </c>
      <c r="B99" s="242" t="s">
        <v>598</v>
      </c>
      <c r="C99" s="243">
        <v>1</v>
      </c>
      <c r="D99" s="221">
        <v>0</v>
      </c>
      <c r="E99" s="222">
        <f t="shared" si="22"/>
        <v>1</v>
      </c>
      <c r="F99" s="223" t="s">
        <v>18</v>
      </c>
      <c r="G99" s="244"/>
      <c r="H99" s="103">
        <f t="shared" si="23"/>
        <v>0</v>
      </c>
      <c r="I99" s="104">
        <f t="shared" si="24"/>
        <v>0</v>
      </c>
      <c r="J99" s="113">
        <v>1</v>
      </c>
      <c r="K99" s="105">
        <f t="shared" si="25"/>
        <v>0</v>
      </c>
      <c r="L99" s="106">
        <f t="shared" si="26"/>
        <v>0</v>
      </c>
    </row>
    <row r="100" spans="1:12" ht="17.25" customHeight="1" x14ac:dyDescent="0.3">
      <c r="A100" s="233">
        <v>18</v>
      </c>
      <c r="B100" s="234" t="s">
        <v>599</v>
      </c>
      <c r="C100" s="215">
        <v>354</v>
      </c>
      <c r="D100" s="221">
        <v>0</v>
      </c>
      <c r="E100" s="222">
        <f t="shared" si="22"/>
        <v>354</v>
      </c>
      <c r="F100" s="223" t="s">
        <v>18</v>
      </c>
      <c r="G100" s="244"/>
      <c r="H100" s="103">
        <f t="shared" si="23"/>
        <v>0</v>
      </c>
      <c r="I100" s="104">
        <f t="shared" si="24"/>
        <v>0</v>
      </c>
      <c r="J100" s="113">
        <v>88.5</v>
      </c>
      <c r="K100" s="105">
        <f t="shared" si="25"/>
        <v>0</v>
      </c>
      <c r="L100" s="106">
        <f t="shared" si="26"/>
        <v>0</v>
      </c>
    </row>
    <row r="101" spans="1:12" ht="17.25" customHeight="1" x14ac:dyDescent="0.3">
      <c r="A101" s="233">
        <v>19</v>
      </c>
      <c r="B101" s="234" t="s">
        <v>600</v>
      </c>
      <c r="C101" s="215">
        <v>1500</v>
      </c>
      <c r="D101" s="221">
        <v>0</v>
      </c>
      <c r="E101" s="222">
        <f t="shared" si="22"/>
        <v>1500</v>
      </c>
      <c r="F101" s="223" t="s">
        <v>18</v>
      </c>
      <c r="G101" s="244"/>
      <c r="H101" s="103">
        <f t="shared" si="23"/>
        <v>0</v>
      </c>
      <c r="I101" s="104">
        <f t="shared" si="24"/>
        <v>0</v>
      </c>
      <c r="J101" s="113">
        <v>375</v>
      </c>
      <c r="K101" s="105">
        <f t="shared" si="25"/>
        <v>0</v>
      </c>
      <c r="L101" s="106">
        <f t="shared" si="26"/>
        <v>0</v>
      </c>
    </row>
    <row r="102" spans="1:12" ht="17.25" customHeight="1" x14ac:dyDescent="0.3">
      <c r="A102" s="233">
        <v>20</v>
      </c>
      <c r="B102" s="234" t="s">
        <v>601</v>
      </c>
      <c r="C102" s="215">
        <v>10</v>
      </c>
      <c r="D102" s="221">
        <v>0</v>
      </c>
      <c r="E102" s="222">
        <f t="shared" si="22"/>
        <v>10</v>
      </c>
      <c r="F102" s="223" t="s">
        <v>18</v>
      </c>
      <c r="G102" s="244"/>
      <c r="H102" s="103">
        <f t="shared" si="23"/>
        <v>0</v>
      </c>
      <c r="I102" s="104">
        <f t="shared" si="24"/>
        <v>0</v>
      </c>
      <c r="J102" s="113">
        <v>7.5</v>
      </c>
      <c r="K102" s="105">
        <f t="shared" si="25"/>
        <v>0</v>
      </c>
      <c r="L102" s="106">
        <f t="shared" si="26"/>
        <v>0</v>
      </c>
    </row>
    <row r="103" spans="1:12" ht="17.25" customHeight="1" x14ac:dyDescent="0.3">
      <c r="A103" s="233">
        <v>21</v>
      </c>
      <c r="B103" s="234" t="s">
        <v>602</v>
      </c>
      <c r="C103" s="215">
        <v>10</v>
      </c>
      <c r="D103" s="221">
        <v>0</v>
      </c>
      <c r="E103" s="222">
        <f t="shared" si="22"/>
        <v>10</v>
      </c>
      <c r="F103" s="223" t="s">
        <v>18</v>
      </c>
      <c r="G103" s="244"/>
      <c r="H103" s="103">
        <f t="shared" si="23"/>
        <v>0</v>
      </c>
      <c r="I103" s="104">
        <f t="shared" si="24"/>
        <v>0</v>
      </c>
      <c r="J103" s="113">
        <v>7.5</v>
      </c>
      <c r="K103" s="105">
        <f t="shared" si="25"/>
        <v>0</v>
      </c>
      <c r="L103" s="106">
        <f t="shared" si="26"/>
        <v>0</v>
      </c>
    </row>
    <row r="104" spans="1:12" ht="17.25" customHeight="1" x14ac:dyDescent="0.3">
      <c r="A104" s="233">
        <v>22</v>
      </c>
      <c r="B104" s="278" t="s">
        <v>603</v>
      </c>
      <c r="C104" s="243">
        <v>1</v>
      </c>
      <c r="D104" s="221">
        <v>0</v>
      </c>
      <c r="E104" s="222">
        <f t="shared" si="22"/>
        <v>1</v>
      </c>
      <c r="F104" s="223" t="s">
        <v>18</v>
      </c>
      <c r="G104" s="244"/>
      <c r="H104" s="103">
        <f t="shared" si="23"/>
        <v>0</v>
      </c>
      <c r="I104" s="104">
        <f t="shared" si="24"/>
        <v>0</v>
      </c>
      <c r="J104" s="113">
        <v>0.5</v>
      </c>
      <c r="K104" s="105">
        <f t="shared" si="25"/>
        <v>0</v>
      </c>
      <c r="L104" s="106">
        <f t="shared" si="26"/>
        <v>0</v>
      </c>
    </row>
    <row r="105" spans="1:12" ht="17.25" customHeight="1" x14ac:dyDescent="0.3">
      <c r="A105" s="233">
        <v>23</v>
      </c>
      <c r="B105" s="242" t="s">
        <v>604</v>
      </c>
      <c r="C105" s="243">
        <v>1</v>
      </c>
      <c r="D105" s="221">
        <v>0</v>
      </c>
      <c r="E105" s="222">
        <f t="shared" si="22"/>
        <v>1</v>
      </c>
      <c r="F105" s="223" t="s">
        <v>18</v>
      </c>
      <c r="G105" s="244"/>
      <c r="H105" s="103">
        <f t="shared" si="23"/>
        <v>0</v>
      </c>
      <c r="I105" s="104">
        <f t="shared" si="24"/>
        <v>0</v>
      </c>
      <c r="J105" s="113">
        <v>0.5</v>
      </c>
      <c r="K105" s="105">
        <f t="shared" si="25"/>
        <v>0</v>
      </c>
      <c r="L105" s="106">
        <f t="shared" si="26"/>
        <v>0</v>
      </c>
    </row>
    <row r="106" spans="1:12" ht="17.25" customHeight="1" x14ac:dyDescent="0.3">
      <c r="A106" s="233">
        <v>24</v>
      </c>
      <c r="B106" s="242" t="s">
        <v>605</v>
      </c>
      <c r="C106" s="243">
        <v>1</v>
      </c>
      <c r="D106" s="221">
        <v>0</v>
      </c>
      <c r="E106" s="222">
        <f t="shared" si="22"/>
        <v>1</v>
      </c>
      <c r="F106" s="223" t="s">
        <v>18</v>
      </c>
      <c r="G106" s="244"/>
      <c r="H106" s="103">
        <f t="shared" si="23"/>
        <v>0</v>
      </c>
      <c r="I106" s="104">
        <f t="shared" si="24"/>
        <v>0</v>
      </c>
      <c r="J106" s="113">
        <v>0.5</v>
      </c>
      <c r="K106" s="105">
        <f t="shared" si="25"/>
        <v>0</v>
      </c>
      <c r="L106" s="106">
        <f t="shared" si="26"/>
        <v>0</v>
      </c>
    </row>
    <row r="107" spans="1:12" ht="17.25" customHeight="1" x14ac:dyDescent="0.3">
      <c r="A107" s="233">
        <v>25</v>
      </c>
      <c r="B107" s="240" t="s">
        <v>606</v>
      </c>
      <c r="C107" s="248">
        <v>2</v>
      </c>
      <c r="D107" s="221">
        <v>0</v>
      </c>
      <c r="E107" s="222">
        <f t="shared" si="22"/>
        <v>2</v>
      </c>
      <c r="F107" s="223" t="s">
        <v>18</v>
      </c>
      <c r="G107" s="244"/>
      <c r="H107" s="103">
        <f t="shared" si="23"/>
        <v>0</v>
      </c>
      <c r="I107" s="104">
        <f t="shared" si="24"/>
        <v>0</v>
      </c>
      <c r="J107" s="113">
        <v>1</v>
      </c>
      <c r="K107" s="105">
        <f t="shared" si="25"/>
        <v>0</v>
      </c>
      <c r="L107" s="106">
        <f t="shared" si="26"/>
        <v>0</v>
      </c>
    </row>
    <row r="108" spans="1:12" ht="17.25" customHeight="1" x14ac:dyDescent="0.3">
      <c r="A108" s="233">
        <v>26</v>
      </c>
      <c r="B108" s="240" t="s">
        <v>607</v>
      </c>
      <c r="C108" s="248">
        <v>1</v>
      </c>
      <c r="D108" s="221">
        <v>0</v>
      </c>
      <c r="E108" s="222">
        <f t="shared" si="22"/>
        <v>1</v>
      </c>
      <c r="F108" s="223" t="s">
        <v>18</v>
      </c>
      <c r="G108" s="244"/>
      <c r="H108" s="103">
        <f t="shared" si="23"/>
        <v>0</v>
      </c>
      <c r="I108" s="104">
        <f t="shared" si="24"/>
        <v>0</v>
      </c>
      <c r="J108" s="113">
        <v>0.5</v>
      </c>
      <c r="K108" s="105">
        <f t="shared" si="25"/>
        <v>0</v>
      </c>
      <c r="L108" s="106">
        <f t="shared" si="26"/>
        <v>0</v>
      </c>
    </row>
    <row r="109" spans="1:12" ht="17.25" customHeight="1" x14ac:dyDescent="0.3">
      <c r="A109" s="233">
        <v>27</v>
      </c>
      <c r="B109" s="240" t="s">
        <v>608</v>
      </c>
      <c r="C109" s="241">
        <v>1</v>
      </c>
      <c r="D109" s="221">
        <v>0</v>
      </c>
      <c r="E109" s="222">
        <f t="shared" si="22"/>
        <v>1</v>
      </c>
      <c r="F109" s="223" t="s">
        <v>18</v>
      </c>
      <c r="G109" s="244"/>
      <c r="H109" s="103">
        <f t="shared" si="23"/>
        <v>0</v>
      </c>
      <c r="I109" s="104">
        <f t="shared" si="24"/>
        <v>0</v>
      </c>
      <c r="J109" s="113">
        <v>0.5</v>
      </c>
      <c r="K109" s="105">
        <f t="shared" si="25"/>
        <v>0</v>
      </c>
      <c r="L109" s="106">
        <f t="shared" si="26"/>
        <v>0</v>
      </c>
    </row>
    <row r="110" spans="1:12" ht="14.5" x14ac:dyDescent="0.3">
      <c r="A110" s="233">
        <v>28</v>
      </c>
      <c r="B110" s="268" t="s">
        <v>615</v>
      </c>
      <c r="C110" s="215">
        <v>20</v>
      </c>
      <c r="D110" s="221">
        <v>0</v>
      </c>
      <c r="E110" s="222">
        <f t="shared" si="22"/>
        <v>20</v>
      </c>
      <c r="F110" s="223" t="s">
        <v>18</v>
      </c>
      <c r="G110" s="244"/>
      <c r="H110" s="103">
        <f t="shared" si="23"/>
        <v>0</v>
      </c>
      <c r="I110" s="104">
        <f t="shared" si="24"/>
        <v>0</v>
      </c>
      <c r="J110" s="113">
        <v>10</v>
      </c>
      <c r="K110" s="105">
        <f t="shared" si="25"/>
        <v>0</v>
      </c>
      <c r="L110" s="106">
        <f t="shared" si="26"/>
        <v>0</v>
      </c>
    </row>
    <row r="111" spans="1:12" ht="17.25" customHeight="1" x14ac:dyDescent="0.3">
      <c r="A111" s="233">
        <v>29</v>
      </c>
      <c r="B111" s="220" t="s">
        <v>609</v>
      </c>
      <c r="C111" s="215">
        <v>10</v>
      </c>
      <c r="D111" s="221">
        <v>0</v>
      </c>
      <c r="E111" s="222">
        <f t="shared" si="22"/>
        <v>10</v>
      </c>
      <c r="F111" s="223" t="s">
        <v>18</v>
      </c>
      <c r="G111" s="244"/>
      <c r="H111" s="103">
        <f t="shared" si="23"/>
        <v>0</v>
      </c>
      <c r="I111" s="104">
        <f t="shared" si="24"/>
        <v>0</v>
      </c>
      <c r="J111" s="113">
        <v>5</v>
      </c>
      <c r="K111" s="105">
        <f t="shared" si="25"/>
        <v>0</v>
      </c>
      <c r="L111" s="106">
        <f t="shared" si="26"/>
        <v>0</v>
      </c>
    </row>
    <row r="112" spans="1:12" ht="17.25" customHeight="1" thickBot="1" x14ac:dyDescent="0.35">
      <c r="A112" s="237"/>
      <c r="B112" s="238"/>
      <c r="C112" s="249"/>
      <c r="D112" s="221"/>
      <c r="E112" s="222"/>
      <c r="F112" s="223"/>
      <c r="G112" s="244"/>
      <c r="H112" s="244"/>
      <c r="I112" s="245"/>
      <c r="J112" s="246"/>
      <c r="K112" s="245"/>
      <c r="L112" s="247"/>
    </row>
    <row r="113" spans="1:12" ht="17.25" customHeight="1" thickBot="1" x14ac:dyDescent="0.35">
      <c r="A113" s="410" t="s">
        <v>156</v>
      </c>
      <c r="B113" s="411"/>
      <c r="C113" s="249"/>
      <c r="D113" s="221"/>
      <c r="E113" s="222"/>
      <c r="F113" s="223"/>
      <c r="G113" s="244"/>
      <c r="H113" s="244"/>
      <c r="I113" s="245"/>
      <c r="J113" s="246"/>
      <c r="K113" s="245"/>
      <c r="L113" s="247"/>
    </row>
    <row r="114" spans="1:12" ht="17.25" customHeight="1" x14ac:dyDescent="0.3">
      <c r="A114" s="214">
        <v>1</v>
      </c>
      <c r="B114" s="266" t="s">
        <v>610</v>
      </c>
      <c r="C114" s="250">
        <v>107</v>
      </c>
      <c r="D114" s="221">
        <v>0</v>
      </c>
      <c r="E114" s="222">
        <f t="shared" si="22"/>
        <v>107</v>
      </c>
      <c r="F114" s="223" t="s">
        <v>18</v>
      </c>
      <c r="G114" s="244"/>
      <c r="H114" s="103">
        <f t="shared" ref="H114" si="27">G114*E114</f>
        <v>0</v>
      </c>
      <c r="I114" s="104">
        <f t="shared" ref="I114" si="28">L$4</f>
        <v>0</v>
      </c>
      <c r="J114" s="113">
        <v>54</v>
      </c>
      <c r="K114" s="105">
        <f t="shared" ref="K114" si="29">J114*I114</f>
        <v>0</v>
      </c>
      <c r="L114" s="106">
        <f t="shared" ref="L114" si="30">K114+H114</f>
        <v>0</v>
      </c>
    </row>
    <row r="115" spans="1:12" ht="17.25" customHeight="1" thickBot="1" x14ac:dyDescent="0.35">
      <c r="A115" s="251"/>
      <c r="B115" s="252"/>
      <c r="C115" s="253"/>
      <c r="D115" s="254"/>
      <c r="E115" s="255"/>
      <c r="F115" s="256"/>
      <c r="G115" s="257"/>
      <c r="H115" s="257"/>
      <c r="I115" s="258"/>
      <c r="J115" s="259"/>
      <c r="K115" s="260"/>
      <c r="L115" s="261"/>
    </row>
    <row r="116" spans="1:12" ht="16" thickBot="1" x14ac:dyDescent="0.35">
      <c r="A116" s="419" t="s">
        <v>185</v>
      </c>
      <c r="B116" s="420"/>
      <c r="C116" s="420"/>
      <c r="D116" s="420"/>
      <c r="E116" s="420"/>
      <c r="F116" s="420"/>
      <c r="G116" s="420"/>
      <c r="H116" s="420"/>
      <c r="I116" s="420"/>
      <c r="J116" s="421"/>
      <c r="K116" s="422">
        <f>SUM(H7:H115)</f>
        <v>0</v>
      </c>
      <c r="L116" s="423"/>
    </row>
    <row r="117" spans="1:12" ht="16" thickBot="1" x14ac:dyDescent="0.35">
      <c r="A117" s="424" t="s">
        <v>186</v>
      </c>
      <c r="B117" s="425"/>
      <c r="C117" s="425"/>
      <c r="D117" s="425"/>
      <c r="E117" s="425"/>
      <c r="F117" s="425"/>
      <c r="G117" s="425"/>
      <c r="H117" s="425"/>
      <c r="I117" s="425"/>
      <c r="J117" s="426"/>
      <c r="K117" s="427">
        <f>SUM(K7:K98)</f>
        <v>0</v>
      </c>
      <c r="L117" s="428"/>
    </row>
    <row r="118" spans="1:12" ht="16" thickBot="1" x14ac:dyDescent="0.35">
      <c r="A118" s="424" t="s">
        <v>14</v>
      </c>
      <c r="B118" s="425"/>
      <c r="C118" s="425"/>
      <c r="D118" s="425"/>
      <c r="E118" s="425"/>
      <c r="F118" s="425"/>
      <c r="G118" s="425"/>
      <c r="H118" s="425"/>
      <c r="I118" s="425"/>
      <c r="J118" s="426"/>
      <c r="K118" s="427">
        <f>K116+K117</f>
        <v>0</v>
      </c>
      <c r="L118" s="428"/>
    </row>
    <row r="119" spans="1:12" ht="16" thickBot="1" x14ac:dyDescent="0.35">
      <c r="A119" s="424" t="s">
        <v>15</v>
      </c>
      <c r="B119" s="425"/>
      <c r="C119" s="425"/>
      <c r="D119" s="425"/>
      <c r="E119" s="425"/>
      <c r="F119" s="425"/>
      <c r="G119" s="425"/>
      <c r="H119" s="425"/>
      <c r="I119" s="425"/>
      <c r="J119" s="262">
        <v>0.25</v>
      </c>
      <c r="K119" s="427">
        <f>K118*J119</f>
        <v>0</v>
      </c>
      <c r="L119" s="428"/>
    </row>
    <row r="120" spans="1:12" ht="16" thickBot="1" x14ac:dyDescent="0.35">
      <c r="A120" s="424" t="s">
        <v>16</v>
      </c>
      <c r="B120" s="425"/>
      <c r="C120" s="425"/>
      <c r="D120" s="425"/>
      <c r="E120" s="425"/>
      <c r="F120" s="425"/>
      <c r="G120" s="425"/>
      <c r="H120" s="425"/>
      <c r="I120" s="425"/>
      <c r="J120" s="426"/>
      <c r="K120" s="427">
        <f>K119+K118</f>
        <v>0</v>
      </c>
      <c r="L120" s="428"/>
    </row>
    <row r="121" spans="1:12" ht="14.5" thickBot="1" x14ac:dyDescent="0.35">
      <c r="A121" s="429"/>
      <c r="B121" s="430"/>
      <c r="C121" s="430"/>
      <c r="D121" s="430"/>
      <c r="E121" s="430"/>
      <c r="F121" s="430"/>
      <c r="G121" s="430"/>
      <c r="H121" s="430"/>
      <c r="I121" s="430"/>
      <c r="J121" s="430"/>
      <c r="K121" s="430"/>
      <c r="L121" s="431"/>
    </row>
    <row r="122" spans="1:12" ht="14.5" thickBot="1" x14ac:dyDescent="0.35">
      <c r="A122" s="416" t="s">
        <v>503</v>
      </c>
      <c r="B122" s="417"/>
      <c r="C122" s="417"/>
      <c r="D122" s="417"/>
      <c r="E122" s="417"/>
      <c r="F122" s="417"/>
      <c r="G122" s="417"/>
      <c r="H122" s="417"/>
      <c r="I122" s="417"/>
      <c r="J122" s="417"/>
      <c r="K122" s="417"/>
      <c r="L122" s="418"/>
    </row>
    <row r="123" spans="1:12" ht="14.5" thickBot="1" x14ac:dyDescent="0.35">
      <c r="A123" s="263" t="s">
        <v>504</v>
      </c>
      <c r="B123" s="432" t="s">
        <v>505</v>
      </c>
      <c r="C123" s="417"/>
      <c r="D123" s="417"/>
      <c r="E123" s="417"/>
      <c r="F123" s="417"/>
      <c r="G123" s="417"/>
      <c r="H123" s="417"/>
      <c r="I123" s="417"/>
      <c r="J123" s="417"/>
      <c r="K123" s="417"/>
      <c r="L123" s="418"/>
    </row>
    <row r="124" spans="1:12" x14ac:dyDescent="0.3">
      <c r="A124" s="270">
        <v>1</v>
      </c>
      <c r="B124" s="433" t="s">
        <v>611</v>
      </c>
      <c r="C124" s="434"/>
      <c r="D124" s="434"/>
      <c r="E124" s="434"/>
      <c r="F124" s="434"/>
      <c r="G124" s="434"/>
      <c r="H124" s="434"/>
      <c r="I124" s="434"/>
      <c r="J124" s="434"/>
      <c r="K124" s="434"/>
      <c r="L124" s="435"/>
    </row>
    <row r="125" spans="1:12" x14ac:dyDescent="0.3">
      <c r="A125" s="265">
        <v>2</v>
      </c>
      <c r="B125" s="436" t="s">
        <v>612</v>
      </c>
      <c r="C125" s="437"/>
      <c r="D125" s="437"/>
      <c r="E125" s="437"/>
      <c r="F125" s="437"/>
      <c r="G125" s="437"/>
      <c r="H125" s="437"/>
      <c r="I125" s="437"/>
      <c r="J125" s="437"/>
      <c r="K125" s="437"/>
      <c r="L125" s="438"/>
    </row>
    <row r="126" spans="1:12" x14ac:dyDescent="0.3">
      <c r="A126" s="264">
        <v>3</v>
      </c>
      <c r="B126" s="436" t="s">
        <v>613</v>
      </c>
      <c r="C126" s="437"/>
      <c r="D126" s="437"/>
      <c r="E126" s="437"/>
      <c r="F126" s="437"/>
      <c r="G126" s="437"/>
      <c r="H126" s="437"/>
      <c r="I126" s="437"/>
      <c r="J126" s="437"/>
      <c r="K126" s="437"/>
      <c r="L126" s="438"/>
    </row>
    <row r="127" spans="1:12" x14ac:dyDescent="0.3">
      <c r="A127" s="264">
        <v>4</v>
      </c>
      <c r="B127" s="436" t="s">
        <v>614</v>
      </c>
      <c r="C127" s="437"/>
      <c r="D127" s="437"/>
      <c r="E127" s="437"/>
      <c r="F127" s="437"/>
      <c r="G127" s="437"/>
      <c r="H127" s="437"/>
      <c r="I127" s="437"/>
      <c r="J127" s="437"/>
      <c r="K127" s="437"/>
      <c r="L127" s="438"/>
    </row>
    <row r="128" spans="1:12" ht="14.5" thickBot="1" x14ac:dyDescent="0.35">
      <c r="A128" s="271"/>
      <c r="B128" s="272"/>
      <c r="C128" s="273"/>
      <c r="D128" s="273"/>
      <c r="E128" s="273"/>
      <c r="F128" s="273"/>
      <c r="G128" s="273"/>
      <c r="H128" s="273"/>
      <c r="I128" s="273"/>
      <c r="J128" s="273"/>
      <c r="K128" s="273"/>
      <c r="L128" s="274"/>
    </row>
  </sheetData>
  <mergeCells count="24">
    <mergeCell ref="B123:L123"/>
    <mergeCell ref="B124:L124"/>
    <mergeCell ref="B125:L125"/>
    <mergeCell ref="B126:L126"/>
    <mergeCell ref="B127:L127"/>
    <mergeCell ref="A122:L122"/>
    <mergeCell ref="A113:B113"/>
    <mergeCell ref="A116:J116"/>
    <mergeCell ref="K116:L116"/>
    <mergeCell ref="A117:J117"/>
    <mergeCell ref="K117:L117"/>
    <mergeCell ref="A118:J118"/>
    <mergeCell ref="K118:L118"/>
    <mergeCell ref="A119:I119"/>
    <mergeCell ref="K119:L119"/>
    <mergeCell ref="A120:J120"/>
    <mergeCell ref="K120:L120"/>
    <mergeCell ref="A121:L121"/>
    <mergeCell ref="A82:B82"/>
    <mergeCell ref="C2:C3"/>
    <mergeCell ref="J4:K4"/>
    <mergeCell ref="A6:B6"/>
    <mergeCell ref="A73:B73"/>
    <mergeCell ref="A78:B78"/>
  </mergeCells>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51"/>
  <sheetViews>
    <sheetView tabSelected="1" view="pageBreakPreview" zoomScaleSheetLayoutView="100" workbookViewId="0">
      <pane xSplit="2" ySplit="6" topLeftCell="C351" activePane="bottomRight" state="frozen"/>
      <selection pane="topRight" activeCell="C1" sqref="C1"/>
      <selection pane="bottomLeft" activeCell="A4" sqref="A4"/>
      <selection pane="bottomRight"/>
    </sheetView>
  </sheetViews>
  <sheetFormatPr defaultColWidth="8.81640625" defaultRowHeight="14.5" x14ac:dyDescent="0.35"/>
  <cols>
    <col min="1" max="1" width="5.81640625" style="15" customWidth="1"/>
    <col min="2" max="2" width="83.26953125" style="15" customWidth="1"/>
    <col min="3" max="3" width="9.7265625" style="19" bestFit="1" customWidth="1"/>
    <col min="4" max="4" width="12.7265625" style="19" customWidth="1"/>
    <col min="5" max="5" width="8.81640625" style="19" bestFit="1" customWidth="1"/>
    <col min="6" max="6" width="6.81640625" style="19" customWidth="1"/>
    <col min="7" max="7" width="5" style="115" bestFit="1" customWidth="1"/>
    <col min="8" max="8" width="9.1796875" style="115" bestFit="1" customWidth="1"/>
    <col min="9" max="9" width="11" style="115" bestFit="1" customWidth="1"/>
    <col min="10" max="11" width="10.453125" style="19" bestFit="1" customWidth="1"/>
    <col min="12" max="12" width="11.26953125" style="19" bestFit="1" customWidth="1"/>
    <col min="13" max="16384" width="8.81640625" style="15"/>
  </cols>
  <sheetData>
    <row r="1" spans="1:12" ht="28.5" x14ac:dyDescent="0.65">
      <c r="A1" s="343"/>
      <c r="B1" s="344"/>
      <c r="C1" s="347" t="s">
        <v>162</v>
      </c>
      <c r="D1" s="340"/>
      <c r="E1" s="348"/>
      <c r="F1" s="348"/>
      <c r="G1" s="349"/>
      <c r="H1" s="349"/>
      <c r="I1" s="349"/>
    </row>
    <row r="2" spans="1:12" ht="15.5" x14ac:dyDescent="0.35">
      <c r="A2" s="355"/>
      <c r="B2" s="346"/>
      <c r="C2" s="381" t="s">
        <v>163</v>
      </c>
      <c r="D2" s="341"/>
      <c r="E2" s="348"/>
      <c r="F2" s="348"/>
      <c r="G2" s="349"/>
      <c r="H2" s="349"/>
      <c r="I2" s="349"/>
    </row>
    <row r="3" spans="1:12" ht="16" thickBot="1" x14ac:dyDescent="0.4">
      <c r="A3" s="355"/>
      <c r="B3" s="346"/>
      <c r="C3" s="381"/>
      <c r="D3" s="341"/>
      <c r="E3" s="348"/>
      <c r="F3" s="348"/>
      <c r="G3" s="349"/>
      <c r="H3" s="349"/>
      <c r="I3" s="349"/>
    </row>
    <row r="4" spans="1:12" ht="19" thickBot="1" x14ac:dyDescent="0.5">
      <c r="A4" s="356"/>
      <c r="B4" s="346"/>
      <c r="C4" s="347" t="s">
        <v>4</v>
      </c>
      <c r="D4" s="342"/>
      <c r="E4" s="351"/>
      <c r="F4" s="348"/>
      <c r="G4" s="352"/>
      <c r="H4" s="352"/>
      <c r="I4" s="352"/>
      <c r="J4" s="408" t="s">
        <v>5</v>
      </c>
      <c r="K4" s="409"/>
      <c r="L4" s="119"/>
    </row>
    <row r="5" spans="1:12" ht="49.5" customHeight="1" thickBot="1" x14ac:dyDescent="0.4">
      <c r="A5" s="331" t="s">
        <v>6</v>
      </c>
      <c r="B5" s="332" t="s">
        <v>0</v>
      </c>
      <c r="C5" s="332" t="s">
        <v>1</v>
      </c>
      <c r="D5" s="331" t="s">
        <v>7</v>
      </c>
      <c r="E5" s="331" t="s">
        <v>2</v>
      </c>
      <c r="F5" s="331" t="s">
        <v>8</v>
      </c>
      <c r="G5" s="331" t="s">
        <v>9</v>
      </c>
      <c r="H5" s="334" t="s">
        <v>10</v>
      </c>
      <c r="I5" s="334" t="s">
        <v>11</v>
      </c>
      <c r="J5" s="334" t="s">
        <v>12</v>
      </c>
      <c r="K5" s="334" t="s">
        <v>13</v>
      </c>
      <c r="L5" s="331" t="s">
        <v>3</v>
      </c>
    </row>
    <row r="6" spans="1:12" ht="17.25" customHeight="1" thickBot="1" x14ac:dyDescent="0.4">
      <c r="A6" s="382" t="s">
        <v>864</v>
      </c>
      <c r="B6" s="383"/>
      <c r="C6" s="281"/>
      <c r="D6" s="120"/>
      <c r="E6" s="120"/>
      <c r="F6" s="120"/>
      <c r="G6" s="120"/>
      <c r="H6" s="120"/>
      <c r="I6" s="120"/>
      <c r="J6" s="120"/>
      <c r="K6" s="120"/>
      <c r="L6" s="121"/>
    </row>
    <row r="7" spans="1:12" x14ac:dyDescent="0.35">
      <c r="A7" s="197">
        <v>1</v>
      </c>
      <c r="B7" s="160" t="s">
        <v>616</v>
      </c>
      <c r="C7" s="169">
        <v>10</v>
      </c>
      <c r="D7" s="282">
        <v>0.1</v>
      </c>
      <c r="E7" s="125">
        <f t="shared" ref="E7:E86" si="0">C7*(1+D7)</f>
        <v>11</v>
      </c>
      <c r="F7" s="58" t="s">
        <v>17</v>
      </c>
      <c r="G7" s="131"/>
      <c r="H7" s="131"/>
      <c r="I7" s="132">
        <f>L$4</f>
        <v>0</v>
      </c>
      <c r="J7" s="113">
        <v>1.1000000000000001</v>
      </c>
      <c r="K7" s="132">
        <f>J7*I7</f>
        <v>0</v>
      </c>
      <c r="L7" s="133">
        <f>K7+H7</f>
        <v>0</v>
      </c>
    </row>
    <row r="8" spans="1:12" x14ac:dyDescent="0.35">
      <c r="A8" s="143">
        <v>2</v>
      </c>
      <c r="B8" s="26" t="s">
        <v>617</v>
      </c>
      <c r="C8" s="123">
        <v>115</v>
      </c>
      <c r="D8" s="127">
        <v>0.1</v>
      </c>
      <c r="E8" s="128">
        <f t="shared" si="0"/>
        <v>126.50000000000001</v>
      </c>
      <c r="F8" s="24" t="s">
        <v>17</v>
      </c>
      <c r="G8" s="131"/>
      <c r="H8" s="131"/>
      <c r="I8" s="132">
        <f>L$4</f>
        <v>0</v>
      </c>
      <c r="J8" s="113">
        <v>12.650000000000002</v>
      </c>
      <c r="K8" s="132">
        <f>J8*I8</f>
        <v>0</v>
      </c>
      <c r="L8" s="133">
        <f>K8+H8</f>
        <v>0</v>
      </c>
    </row>
    <row r="9" spans="1:12" x14ac:dyDescent="0.35">
      <c r="A9" s="143">
        <v>3</v>
      </c>
      <c r="B9" s="26" t="s">
        <v>618</v>
      </c>
      <c r="C9" s="123">
        <v>720</v>
      </c>
      <c r="D9" s="127">
        <v>0.1</v>
      </c>
      <c r="E9" s="128">
        <f t="shared" si="0"/>
        <v>792.00000000000011</v>
      </c>
      <c r="F9" s="24" t="s">
        <v>17</v>
      </c>
      <c r="G9" s="131"/>
      <c r="H9" s="131"/>
      <c r="I9" s="132">
        <f t="shared" ref="I9:I69" si="1">L$4</f>
        <v>0</v>
      </c>
      <c r="J9" s="113">
        <v>79.200000000000017</v>
      </c>
      <c r="K9" s="132">
        <f t="shared" ref="K9:K69" si="2">J9*I9</f>
        <v>0</v>
      </c>
      <c r="L9" s="133">
        <f t="shared" ref="L9:L69" si="3">K9+H9</f>
        <v>0</v>
      </c>
    </row>
    <row r="10" spans="1:12" x14ac:dyDescent="0.35">
      <c r="A10" s="143">
        <v>4</v>
      </c>
      <c r="B10" s="26" t="s">
        <v>619</v>
      </c>
      <c r="C10" s="123">
        <f>150+210</f>
        <v>360</v>
      </c>
      <c r="D10" s="127">
        <v>0.1</v>
      </c>
      <c r="E10" s="128">
        <f t="shared" si="0"/>
        <v>396.00000000000006</v>
      </c>
      <c r="F10" s="24" t="s">
        <v>17</v>
      </c>
      <c r="G10" s="131"/>
      <c r="H10" s="131"/>
      <c r="I10" s="132">
        <f t="shared" si="1"/>
        <v>0</v>
      </c>
      <c r="J10" s="113">
        <v>39.600000000000009</v>
      </c>
      <c r="K10" s="132">
        <f t="shared" si="2"/>
        <v>0</v>
      </c>
      <c r="L10" s="133">
        <f t="shared" si="3"/>
        <v>0</v>
      </c>
    </row>
    <row r="11" spans="1:12" x14ac:dyDescent="0.35">
      <c r="A11" s="143">
        <v>5</v>
      </c>
      <c r="B11" s="26" t="s">
        <v>620</v>
      </c>
      <c r="C11" s="123">
        <v>5</v>
      </c>
      <c r="D11" s="127">
        <v>0.1</v>
      </c>
      <c r="E11" s="128">
        <f t="shared" si="0"/>
        <v>5.5</v>
      </c>
      <c r="F11" s="24" t="s">
        <v>17</v>
      </c>
      <c r="G11" s="131"/>
      <c r="H11" s="131"/>
      <c r="I11" s="132">
        <f t="shared" si="1"/>
        <v>0</v>
      </c>
      <c r="J11" s="113">
        <v>0.55000000000000004</v>
      </c>
      <c r="K11" s="132">
        <f t="shared" si="2"/>
        <v>0</v>
      </c>
      <c r="L11" s="133">
        <f t="shared" si="3"/>
        <v>0</v>
      </c>
    </row>
    <row r="12" spans="1:12" x14ac:dyDescent="0.35">
      <c r="A12" s="143">
        <v>6</v>
      </c>
      <c r="B12" s="26" t="s">
        <v>621</v>
      </c>
      <c r="C12" s="123">
        <v>415</v>
      </c>
      <c r="D12" s="127">
        <v>0.1</v>
      </c>
      <c r="E12" s="128">
        <f t="shared" si="0"/>
        <v>456.50000000000006</v>
      </c>
      <c r="F12" s="24" t="s">
        <v>17</v>
      </c>
      <c r="G12" s="131"/>
      <c r="H12" s="131"/>
      <c r="I12" s="132">
        <f t="shared" si="1"/>
        <v>0</v>
      </c>
      <c r="J12" s="113">
        <v>45.650000000000006</v>
      </c>
      <c r="K12" s="132">
        <f t="shared" si="2"/>
        <v>0</v>
      </c>
      <c r="L12" s="133">
        <f t="shared" si="3"/>
        <v>0</v>
      </c>
    </row>
    <row r="13" spans="1:12" x14ac:dyDescent="0.35">
      <c r="A13" s="143">
        <v>7</v>
      </c>
      <c r="B13" s="26" t="s">
        <v>622</v>
      </c>
      <c r="C13" s="123">
        <v>5</v>
      </c>
      <c r="D13" s="127">
        <v>0.1</v>
      </c>
      <c r="E13" s="128">
        <f t="shared" si="0"/>
        <v>5.5</v>
      </c>
      <c r="F13" s="24" t="s">
        <v>17</v>
      </c>
      <c r="G13" s="131"/>
      <c r="H13" s="131"/>
      <c r="I13" s="132">
        <f t="shared" si="1"/>
        <v>0</v>
      </c>
      <c r="J13" s="113">
        <v>0.55000000000000004</v>
      </c>
      <c r="K13" s="132">
        <f t="shared" si="2"/>
        <v>0</v>
      </c>
      <c r="L13" s="133">
        <f t="shared" si="3"/>
        <v>0</v>
      </c>
    </row>
    <row r="14" spans="1:12" x14ac:dyDescent="0.35">
      <c r="A14" s="143">
        <v>8</v>
      </c>
      <c r="B14" s="26" t="s">
        <v>623</v>
      </c>
      <c r="C14" s="123">
        <f>230+150+315</f>
        <v>695</v>
      </c>
      <c r="D14" s="127">
        <v>0.1</v>
      </c>
      <c r="E14" s="128">
        <f t="shared" si="0"/>
        <v>764.50000000000011</v>
      </c>
      <c r="F14" s="24" t="s">
        <v>17</v>
      </c>
      <c r="G14" s="131"/>
      <c r="H14" s="131"/>
      <c r="I14" s="132">
        <f t="shared" si="1"/>
        <v>0</v>
      </c>
      <c r="J14" s="113">
        <v>76.450000000000017</v>
      </c>
      <c r="K14" s="132">
        <f t="shared" si="2"/>
        <v>0</v>
      </c>
      <c r="L14" s="133">
        <f t="shared" si="3"/>
        <v>0</v>
      </c>
    </row>
    <row r="15" spans="1:12" x14ac:dyDescent="0.35">
      <c r="A15" s="143">
        <v>9</v>
      </c>
      <c r="B15" s="26" t="s">
        <v>624</v>
      </c>
      <c r="C15" s="123">
        <v>80</v>
      </c>
      <c r="D15" s="127">
        <v>0.1</v>
      </c>
      <c r="E15" s="128">
        <f t="shared" si="0"/>
        <v>88</v>
      </c>
      <c r="F15" s="24" t="s">
        <v>17</v>
      </c>
      <c r="G15" s="131"/>
      <c r="H15" s="131"/>
      <c r="I15" s="132">
        <f t="shared" si="1"/>
        <v>0</v>
      </c>
      <c r="J15" s="113">
        <v>8.8000000000000007</v>
      </c>
      <c r="K15" s="132">
        <f t="shared" si="2"/>
        <v>0</v>
      </c>
      <c r="L15" s="133">
        <f t="shared" si="3"/>
        <v>0</v>
      </c>
    </row>
    <row r="16" spans="1:12" x14ac:dyDescent="0.35">
      <c r="A16" s="143">
        <v>10</v>
      </c>
      <c r="B16" s="26" t="s">
        <v>625</v>
      </c>
      <c r="C16" s="123">
        <v>45</v>
      </c>
      <c r="D16" s="127">
        <v>0.1</v>
      </c>
      <c r="E16" s="128">
        <f t="shared" si="0"/>
        <v>49.500000000000007</v>
      </c>
      <c r="F16" s="24" t="s">
        <v>17</v>
      </c>
      <c r="G16" s="131"/>
      <c r="H16" s="131"/>
      <c r="I16" s="132">
        <f t="shared" si="1"/>
        <v>0</v>
      </c>
      <c r="J16" s="113">
        <v>4.9500000000000011</v>
      </c>
      <c r="K16" s="132">
        <f t="shared" si="2"/>
        <v>0</v>
      </c>
      <c r="L16" s="133">
        <f t="shared" si="3"/>
        <v>0</v>
      </c>
    </row>
    <row r="17" spans="1:12" x14ac:dyDescent="0.35">
      <c r="A17" s="143">
        <v>11</v>
      </c>
      <c r="B17" s="26" t="s">
        <v>626</v>
      </c>
      <c r="C17" s="123">
        <v>10</v>
      </c>
      <c r="D17" s="127">
        <v>0.1</v>
      </c>
      <c r="E17" s="128">
        <f t="shared" si="0"/>
        <v>11</v>
      </c>
      <c r="F17" s="24" t="s">
        <v>17</v>
      </c>
      <c r="G17" s="131"/>
      <c r="H17" s="131"/>
      <c r="I17" s="132">
        <f t="shared" si="1"/>
        <v>0</v>
      </c>
      <c r="J17" s="113">
        <v>1.1000000000000001</v>
      </c>
      <c r="K17" s="132">
        <f t="shared" si="2"/>
        <v>0</v>
      </c>
      <c r="L17" s="133">
        <f t="shared" si="3"/>
        <v>0</v>
      </c>
    </row>
    <row r="18" spans="1:12" x14ac:dyDescent="0.35">
      <c r="A18" s="143">
        <v>12</v>
      </c>
      <c r="B18" s="26" t="s">
        <v>627</v>
      </c>
      <c r="C18" s="123">
        <v>75</v>
      </c>
      <c r="D18" s="127">
        <v>0.1</v>
      </c>
      <c r="E18" s="128">
        <f t="shared" si="0"/>
        <v>82.5</v>
      </c>
      <c r="F18" s="24" t="s">
        <v>17</v>
      </c>
      <c r="G18" s="131"/>
      <c r="H18" s="131"/>
      <c r="I18" s="132">
        <f t="shared" si="1"/>
        <v>0</v>
      </c>
      <c r="J18" s="113">
        <v>8.25</v>
      </c>
      <c r="K18" s="132">
        <f t="shared" si="2"/>
        <v>0</v>
      </c>
      <c r="L18" s="133">
        <f t="shared" si="3"/>
        <v>0</v>
      </c>
    </row>
    <row r="19" spans="1:12" x14ac:dyDescent="0.35">
      <c r="A19" s="143">
        <v>13</v>
      </c>
      <c r="B19" s="26" t="s">
        <v>616</v>
      </c>
      <c r="C19" s="123">
        <v>25</v>
      </c>
      <c r="D19" s="127">
        <v>0.1</v>
      </c>
      <c r="E19" s="128">
        <f t="shared" si="0"/>
        <v>27.500000000000004</v>
      </c>
      <c r="F19" s="24" t="s">
        <v>17</v>
      </c>
      <c r="G19" s="131"/>
      <c r="H19" s="131"/>
      <c r="I19" s="132">
        <f t="shared" si="1"/>
        <v>0</v>
      </c>
      <c r="J19" s="113">
        <v>2.7500000000000004</v>
      </c>
      <c r="K19" s="132">
        <f t="shared" si="2"/>
        <v>0</v>
      </c>
      <c r="L19" s="133">
        <f t="shared" si="3"/>
        <v>0</v>
      </c>
    </row>
    <row r="20" spans="1:12" x14ac:dyDescent="0.35">
      <c r="A20" s="143">
        <v>14</v>
      </c>
      <c r="B20" s="26" t="s">
        <v>628</v>
      </c>
      <c r="C20" s="123">
        <v>10</v>
      </c>
      <c r="D20" s="127">
        <v>0.1</v>
      </c>
      <c r="E20" s="128">
        <f t="shared" si="0"/>
        <v>11</v>
      </c>
      <c r="F20" s="24" t="s">
        <v>17</v>
      </c>
      <c r="G20" s="131"/>
      <c r="H20" s="131"/>
      <c r="I20" s="132">
        <f t="shared" si="1"/>
        <v>0</v>
      </c>
      <c r="J20" s="113">
        <v>1.1000000000000001</v>
      </c>
      <c r="K20" s="132">
        <f t="shared" si="2"/>
        <v>0</v>
      </c>
      <c r="L20" s="133">
        <f t="shared" si="3"/>
        <v>0</v>
      </c>
    </row>
    <row r="21" spans="1:12" x14ac:dyDescent="0.35">
      <c r="A21" s="143">
        <v>15</v>
      </c>
      <c r="B21" s="26" t="s">
        <v>629</v>
      </c>
      <c r="C21" s="123">
        <v>60</v>
      </c>
      <c r="D21" s="127">
        <v>0.1</v>
      </c>
      <c r="E21" s="128">
        <f t="shared" si="0"/>
        <v>66</v>
      </c>
      <c r="F21" s="24" t="s">
        <v>17</v>
      </c>
      <c r="G21" s="131"/>
      <c r="H21" s="131"/>
      <c r="I21" s="132">
        <f t="shared" si="1"/>
        <v>0</v>
      </c>
      <c r="J21" s="113">
        <v>6.6000000000000005</v>
      </c>
      <c r="K21" s="132">
        <f t="shared" si="2"/>
        <v>0</v>
      </c>
      <c r="L21" s="133">
        <f t="shared" si="3"/>
        <v>0</v>
      </c>
    </row>
    <row r="22" spans="1:12" x14ac:dyDescent="0.35">
      <c r="A22" s="143">
        <v>16</v>
      </c>
      <c r="B22" s="26" t="s">
        <v>630</v>
      </c>
      <c r="C22" s="123">
        <v>50</v>
      </c>
      <c r="D22" s="127">
        <v>0.1</v>
      </c>
      <c r="E22" s="128">
        <f t="shared" si="0"/>
        <v>55.000000000000007</v>
      </c>
      <c r="F22" s="24" t="s">
        <v>17</v>
      </c>
      <c r="G22" s="131"/>
      <c r="H22" s="131"/>
      <c r="I22" s="132">
        <f t="shared" si="1"/>
        <v>0</v>
      </c>
      <c r="J22" s="113">
        <v>5.5000000000000009</v>
      </c>
      <c r="K22" s="132">
        <f t="shared" si="2"/>
        <v>0</v>
      </c>
      <c r="L22" s="133">
        <f t="shared" si="3"/>
        <v>0</v>
      </c>
    </row>
    <row r="23" spans="1:12" x14ac:dyDescent="0.35">
      <c r="A23" s="143">
        <v>17</v>
      </c>
      <c r="B23" s="26" t="s">
        <v>631</v>
      </c>
      <c r="C23" s="123">
        <v>15</v>
      </c>
      <c r="D23" s="127">
        <v>0.1</v>
      </c>
      <c r="E23" s="128">
        <f t="shared" si="0"/>
        <v>16.5</v>
      </c>
      <c r="F23" s="24" t="s">
        <v>17</v>
      </c>
      <c r="G23" s="131"/>
      <c r="H23" s="131"/>
      <c r="I23" s="132">
        <f t="shared" si="1"/>
        <v>0</v>
      </c>
      <c r="J23" s="113">
        <v>1.6500000000000001</v>
      </c>
      <c r="K23" s="132">
        <f t="shared" si="2"/>
        <v>0</v>
      </c>
      <c r="L23" s="133">
        <f t="shared" si="3"/>
        <v>0</v>
      </c>
    </row>
    <row r="24" spans="1:12" x14ac:dyDescent="0.35">
      <c r="A24" s="143">
        <v>18</v>
      </c>
      <c r="B24" s="26" t="s">
        <v>632</v>
      </c>
      <c r="C24" s="123">
        <v>90</v>
      </c>
      <c r="D24" s="127">
        <v>0.1</v>
      </c>
      <c r="E24" s="128">
        <f t="shared" si="0"/>
        <v>99.000000000000014</v>
      </c>
      <c r="F24" s="24" t="s">
        <v>17</v>
      </c>
      <c r="G24" s="131"/>
      <c r="H24" s="131"/>
      <c r="I24" s="132">
        <f t="shared" si="1"/>
        <v>0</v>
      </c>
      <c r="J24" s="113">
        <v>9.9000000000000021</v>
      </c>
      <c r="K24" s="132">
        <f t="shared" si="2"/>
        <v>0</v>
      </c>
      <c r="L24" s="133">
        <f t="shared" si="3"/>
        <v>0</v>
      </c>
    </row>
    <row r="25" spans="1:12" x14ac:dyDescent="0.35">
      <c r="A25" s="143">
        <v>19</v>
      </c>
      <c r="B25" s="26" t="s">
        <v>633</v>
      </c>
      <c r="C25" s="123">
        <v>20</v>
      </c>
      <c r="D25" s="127">
        <v>0.1</v>
      </c>
      <c r="E25" s="128">
        <f t="shared" si="0"/>
        <v>22</v>
      </c>
      <c r="F25" s="24" t="s">
        <v>17</v>
      </c>
      <c r="G25" s="131"/>
      <c r="H25" s="131"/>
      <c r="I25" s="132">
        <f t="shared" si="1"/>
        <v>0</v>
      </c>
      <c r="J25" s="113">
        <v>2.2000000000000002</v>
      </c>
      <c r="K25" s="132">
        <f t="shared" si="2"/>
        <v>0</v>
      </c>
      <c r="L25" s="133">
        <f t="shared" si="3"/>
        <v>0</v>
      </c>
    </row>
    <row r="26" spans="1:12" x14ac:dyDescent="0.35">
      <c r="A26" s="143">
        <v>20</v>
      </c>
      <c r="B26" s="26" t="s">
        <v>628</v>
      </c>
      <c r="C26" s="123">
        <v>60</v>
      </c>
      <c r="D26" s="127">
        <v>0.1</v>
      </c>
      <c r="E26" s="128">
        <f t="shared" si="0"/>
        <v>66</v>
      </c>
      <c r="F26" s="24" t="s">
        <v>17</v>
      </c>
      <c r="G26" s="131"/>
      <c r="H26" s="131"/>
      <c r="I26" s="132">
        <f t="shared" si="1"/>
        <v>0</v>
      </c>
      <c r="J26" s="113">
        <v>6.6000000000000005</v>
      </c>
      <c r="K26" s="132">
        <f t="shared" si="2"/>
        <v>0</v>
      </c>
      <c r="L26" s="133">
        <f t="shared" si="3"/>
        <v>0</v>
      </c>
    </row>
    <row r="27" spans="1:12" x14ac:dyDescent="0.35">
      <c r="A27" s="143">
        <v>21</v>
      </c>
      <c r="B27" s="26" t="s">
        <v>634</v>
      </c>
      <c r="C27" s="123">
        <v>125</v>
      </c>
      <c r="D27" s="127">
        <v>0.1</v>
      </c>
      <c r="E27" s="128">
        <f t="shared" si="0"/>
        <v>137.5</v>
      </c>
      <c r="F27" s="24" t="s">
        <v>17</v>
      </c>
      <c r="G27" s="131"/>
      <c r="H27" s="131"/>
      <c r="I27" s="132">
        <f t="shared" si="1"/>
        <v>0</v>
      </c>
      <c r="J27" s="113">
        <v>13.75</v>
      </c>
      <c r="K27" s="132">
        <f t="shared" si="2"/>
        <v>0</v>
      </c>
      <c r="L27" s="133">
        <f t="shared" si="3"/>
        <v>0</v>
      </c>
    </row>
    <row r="28" spans="1:12" x14ac:dyDescent="0.35">
      <c r="A28" s="143">
        <v>22</v>
      </c>
      <c r="B28" s="26" t="s">
        <v>635</v>
      </c>
      <c r="C28" s="123">
        <v>50</v>
      </c>
      <c r="D28" s="127">
        <v>0.1</v>
      </c>
      <c r="E28" s="128">
        <f t="shared" si="0"/>
        <v>55.000000000000007</v>
      </c>
      <c r="F28" s="24" t="s">
        <v>17</v>
      </c>
      <c r="G28" s="131"/>
      <c r="H28" s="131"/>
      <c r="I28" s="132">
        <f t="shared" si="1"/>
        <v>0</v>
      </c>
      <c r="J28" s="113">
        <v>5.5000000000000009</v>
      </c>
      <c r="K28" s="132">
        <f t="shared" si="2"/>
        <v>0</v>
      </c>
      <c r="L28" s="133">
        <f t="shared" si="3"/>
        <v>0</v>
      </c>
    </row>
    <row r="29" spans="1:12" x14ac:dyDescent="0.35">
      <c r="A29" s="143">
        <v>23</v>
      </c>
      <c r="B29" s="26" t="s">
        <v>636</v>
      </c>
      <c r="C29" s="123">
        <v>5</v>
      </c>
      <c r="D29" s="127">
        <v>0.1</v>
      </c>
      <c r="E29" s="128">
        <f t="shared" si="0"/>
        <v>5.5</v>
      </c>
      <c r="F29" s="24" t="s">
        <v>17</v>
      </c>
      <c r="G29" s="131"/>
      <c r="H29" s="131"/>
      <c r="I29" s="132">
        <f t="shared" si="1"/>
        <v>0</v>
      </c>
      <c r="J29" s="113">
        <v>0.55000000000000004</v>
      </c>
      <c r="K29" s="132">
        <f t="shared" si="2"/>
        <v>0</v>
      </c>
      <c r="L29" s="133">
        <f t="shared" si="3"/>
        <v>0</v>
      </c>
    </row>
    <row r="30" spans="1:12" x14ac:dyDescent="0.35">
      <c r="A30" s="143">
        <v>24</v>
      </c>
      <c r="B30" s="26" t="s">
        <v>637</v>
      </c>
      <c r="C30" s="123">
        <v>5</v>
      </c>
      <c r="D30" s="127">
        <v>0.1</v>
      </c>
      <c r="E30" s="128">
        <f t="shared" si="0"/>
        <v>5.5</v>
      </c>
      <c r="F30" s="24" t="s">
        <v>17</v>
      </c>
      <c r="G30" s="131"/>
      <c r="H30" s="131"/>
      <c r="I30" s="132">
        <f t="shared" si="1"/>
        <v>0</v>
      </c>
      <c r="J30" s="113">
        <v>0.55000000000000004</v>
      </c>
      <c r="K30" s="132">
        <f t="shared" si="2"/>
        <v>0</v>
      </c>
      <c r="L30" s="133">
        <f t="shared" si="3"/>
        <v>0</v>
      </c>
    </row>
    <row r="31" spans="1:12" x14ac:dyDescent="0.35">
      <c r="A31" s="143">
        <v>25</v>
      </c>
      <c r="B31" s="26" t="s">
        <v>638</v>
      </c>
      <c r="C31" s="123">
        <f>275+135</f>
        <v>410</v>
      </c>
      <c r="D31" s="127">
        <v>0.1</v>
      </c>
      <c r="E31" s="128">
        <f t="shared" si="0"/>
        <v>451.00000000000006</v>
      </c>
      <c r="F31" s="24" t="s">
        <v>17</v>
      </c>
      <c r="G31" s="131"/>
      <c r="H31" s="131"/>
      <c r="I31" s="132">
        <f t="shared" si="1"/>
        <v>0</v>
      </c>
      <c r="J31" s="113">
        <v>45.100000000000009</v>
      </c>
      <c r="K31" s="132">
        <f t="shared" si="2"/>
        <v>0</v>
      </c>
      <c r="L31" s="133">
        <f t="shared" si="3"/>
        <v>0</v>
      </c>
    </row>
    <row r="32" spans="1:12" x14ac:dyDescent="0.35">
      <c r="A32" s="143">
        <v>26</v>
      </c>
      <c r="B32" s="26" t="s">
        <v>639</v>
      </c>
      <c r="C32" s="123">
        <f>170+210</f>
        <v>380</v>
      </c>
      <c r="D32" s="127">
        <v>0.1</v>
      </c>
      <c r="E32" s="128">
        <f t="shared" si="0"/>
        <v>418.00000000000006</v>
      </c>
      <c r="F32" s="24" t="s">
        <v>17</v>
      </c>
      <c r="G32" s="131"/>
      <c r="H32" s="131"/>
      <c r="I32" s="132">
        <f t="shared" si="1"/>
        <v>0</v>
      </c>
      <c r="J32" s="113">
        <v>41.800000000000011</v>
      </c>
      <c r="K32" s="132">
        <f t="shared" si="2"/>
        <v>0</v>
      </c>
      <c r="L32" s="133">
        <f t="shared" si="3"/>
        <v>0</v>
      </c>
    </row>
    <row r="33" spans="1:12" x14ac:dyDescent="0.35">
      <c r="A33" s="143">
        <v>27</v>
      </c>
      <c r="B33" s="26" t="s">
        <v>640</v>
      </c>
      <c r="C33" s="123">
        <v>35</v>
      </c>
      <c r="D33" s="127">
        <v>0.1</v>
      </c>
      <c r="E33" s="128">
        <f t="shared" si="0"/>
        <v>38.5</v>
      </c>
      <c r="F33" s="24" t="s">
        <v>17</v>
      </c>
      <c r="G33" s="131"/>
      <c r="H33" s="131"/>
      <c r="I33" s="132">
        <f t="shared" si="1"/>
        <v>0</v>
      </c>
      <c r="J33" s="113">
        <v>3.85</v>
      </c>
      <c r="K33" s="132">
        <f t="shared" si="2"/>
        <v>0</v>
      </c>
      <c r="L33" s="133">
        <f t="shared" si="3"/>
        <v>0</v>
      </c>
    </row>
    <row r="34" spans="1:12" x14ac:dyDescent="0.35">
      <c r="A34" s="143">
        <v>28</v>
      </c>
      <c r="B34" s="26" t="s">
        <v>641</v>
      </c>
      <c r="C34" s="123">
        <v>210</v>
      </c>
      <c r="D34" s="127">
        <v>0.1</v>
      </c>
      <c r="E34" s="128">
        <f t="shared" si="0"/>
        <v>231.00000000000003</v>
      </c>
      <c r="F34" s="24" t="s">
        <v>17</v>
      </c>
      <c r="G34" s="131"/>
      <c r="H34" s="131"/>
      <c r="I34" s="132">
        <f t="shared" si="1"/>
        <v>0</v>
      </c>
      <c r="J34" s="113">
        <v>23.100000000000005</v>
      </c>
      <c r="K34" s="132">
        <f t="shared" si="2"/>
        <v>0</v>
      </c>
      <c r="L34" s="133">
        <f t="shared" si="3"/>
        <v>0</v>
      </c>
    </row>
    <row r="35" spans="1:12" x14ac:dyDescent="0.35">
      <c r="A35" s="143">
        <v>29</v>
      </c>
      <c r="B35" s="26" t="s">
        <v>642</v>
      </c>
      <c r="C35" s="123">
        <v>20</v>
      </c>
      <c r="D35" s="127">
        <v>0.1</v>
      </c>
      <c r="E35" s="128">
        <f t="shared" si="0"/>
        <v>22</v>
      </c>
      <c r="F35" s="24" t="s">
        <v>17</v>
      </c>
      <c r="G35" s="131"/>
      <c r="H35" s="131"/>
      <c r="I35" s="132">
        <f t="shared" si="1"/>
        <v>0</v>
      </c>
      <c r="J35" s="113">
        <v>2.2000000000000002</v>
      </c>
      <c r="K35" s="132">
        <f t="shared" si="2"/>
        <v>0</v>
      </c>
      <c r="L35" s="133">
        <f t="shared" si="3"/>
        <v>0</v>
      </c>
    </row>
    <row r="36" spans="1:12" x14ac:dyDescent="0.35">
      <c r="A36" s="143">
        <v>30</v>
      </c>
      <c r="B36" s="26" t="s">
        <v>643</v>
      </c>
      <c r="C36" s="123">
        <v>55</v>
      </c>
      <c r="D36" s="127">
        <v>0.1</v>
      </c>
      <c r="E36" s="128">
        <f t="shared" si="0"/>
        <v>60.500000000000007</v>
      </c>
      <c r="F36" s="24" t="s">
        <v>17</v>
      </c>
      <c r="G36" s="131"/>
      <c r="H36" s="131"/>
      <c r="I36" s="132">
        <f t="shared" si="1"/>
        <v>0</v>
      </c>
      <c r="J36" s="113">
        <v>6.0500000000000007</v>
      </c>
      <c r="K36" s="132">
        <f t="shared" si="2"/>
        <v>0</v>
      </c>
      <c r="L36" s="133">
        <f t="shared" si="3"/>
        <v>0</v>
      </c>
    </row>
    <row r="37" spans="1:12" x14ac:dyDescent="0.35">
      <c r="A37" s="143">
        <v>31</v>
      </c>
      <c r="B37" s="26" t="s">
        <v>622</v>
      </c>
      <c r="C37" s="123">
        <v>10</v>
      </c>
      <c r="D37" s="127">
        <v>0.1</v>
      </c>
      <c r="E37" s="128">
        <f t="shared" si="0"/>
        <v>11</v>
      </c>
      <c r="F37" s="24" t="s">
        <v>17</v>
      </c>
      <c r="G37" s="131"/>
      <c r="H37" s="131"/>
      <c r="I37" s="132">
        <f t="shared" si="1"/>
        <v>0</v>
      </c>
      <c r="J37" s="113">
        <v>1.1000000000000001</v>
      </c>
      <c r="K37" s="132">
        <f t="shared" si="2"/>
        <v>0</v>
      </c>
      <c r="L37" s="133">
        <f t="shared" si="3"/>
        <v>0</v>
      </c>
    </row>
    <row r="38" spans="1:12" x14ac:dyDescent="0.35">
      <c r="A38" s="143">
        <v>32</v>
      </c>
      <c r="B38" s="26" t="s">
        <v>643</v>
      </c>
      <c r="C38" s="123">
        <v>15</v>
      </c>
      <c r="D38" s="127">
        <v>0.1</v>
      </c>
      <c r="E38" s="128">
        <f t="shared" si="0"/>
        <v>16.5</v>
      </c>
      <c r="F38" s="24" t="s">
        <v>17</v>
      </c>
      <c r="G38" s="131"/>
      <c r="H38" s="131"/>
      <c r="I38" s="132">
        <f t="shared" si="1"/>
        <v>0</v>
      </c>
      <c r="J38" s="113">
        <v>1.6500000000000001</v>
      </c>
      <c r="K38" s="132">
        <f t="shared" si="2"/>
        <v>0</v>
      </c>
      <c r="L38" s="133">
        <f t="shared" si="3"/>
        <v>0</v>
      </c>
    </row>
    <row r="39" spans="1:12" x14ac:dyDescent="0.35">
      <c r="A39" s="143">
        <v>33</v>
      </c>
      <c r="B39" s="26" t="s">
        <v>644</v>
      </c>
      <c r="C39" s="123">
        <v>10</v>
      </c>
      <c r="D39" s="127">
        <v>0.1</v>
      </c>
      <c r="E39" s="128">
        <f t="shared" si="0"/>
        <v>11</v>
      </c>
      <c r="F39" s="24" t="s">
        <v>17</v>
      </c>
      <c r="G39" s="131"/>
      <c r="H39" s="131"/>
      <c r="I39" s="132">
        <f t="shared" si="1"/>
        <v>0</v>
      </c>
      <c r="J39" s="113">
        <v>1.1000000000000001</v>
      </c>
      <c r="K39" s="132">
        <f t="shared" si="2"/>
        <v>0</v>
      </c>
      <c r="L39" s="133">
        <f t="shared" si="3"/>
        <v>0</v>
      </c>
    </row>
    <row r="40" spans="1:12" x14ac:dyDescent="0.35">
      <c r="A40" s="143">
        <v>34</v>
      </c>
      <c r="B40" s="26" t="s">
        <v>645</v>
      </c>
      <c r="C40" s="123">
        <v>30</v>
      </c>
      <c r="D40" s="127">
        <v>0.1</v>
      </c>
      <c r="E40" s="128">
        <f t="shared" si="0"/>
        <v>33</v>
      </c>
      <c r="F40" s="24" t="s">
        <v>17</v>
      </c>
      <c r="G40" s="131"/>
      <c r="H40" s="131"/>
      <c r="I40" s="132">
        <f t="shared" si="1"/>
        <v>0</v>
      </c>
      <c r="J40" s="113">
        <v>3.3000000000000003</v>
      </c>
      <c r="K40" s="132">
        <f t="shared" si="2"/>
        <v>0</v>
      </c>
      <c r="L40" s="133">
        <f t="shared" si="3"/>
        <v>0</v>
      </c>
    </row>
    <row r="41" spans="1:12" x14ac:dyDescent="0.35">
      <c r="A41" s="143">
        <v>35</v>
      </c>
      <c r="B41" s="26" t="s">
        <v>646</v>
      </c>
      <c r="C41" s="123">
        <v>80</v>
      </c>
      <c r="D41" s="127">
        <v>0.1</v>
      </c>
      <c r="E41" s="128">
        <f t="shared" si="0"/>
        <v>88</v>
      </c>
      <c r="F41" s="24" t="s">
        <v>17</v>
      </c>
      <c r="G41" s="131"/>
      <c r="H41" s="131"/>
      <c r="I41" s="132">
        <f t="shared" si="1"/>
        <v>0</v>
      </c>
      <c r="J41" s="113">
        <v>8.8000000000000007</v>
      </c>
      <c r="K41" s="132">
        <f t="shared" si="2"/>
        <v>0</v>
      </c>
      <c r="L41" s="133">
        <f t="shared" si="3"/>
        <v>0</v>
      </c>
    </row>
    <row r="42" spans="1:12" x14ac:dyDescent="0.35">
      <c r="A42" s="143">
        <v>36</v>
      </c>
      <c r="B42" s="26" t="s">
        <v>647</v>
      </c>
      <c r="C42" s="123">
        <v>50</v>
      </c>
      <c r="D42" s="127">
        <v>0.1</v>
      </c>
      <c r="E42" s="128">
        <f t="shared" si="0"/>
        <v>55.000000000000007</v>
      </c>
      <c r="F42" s="24" t="s">
        <v>17</v>
      </c>
      <c r="G42" s="131"/>
      <c r="H42" s="131"/>
      <c r="I42" s="132">
        <f t="shared" si="1"/>
        <v>0</v>
      </c>
      <c r="J42" s="113">
        <v>5.5000000000000009</v>
      </c>
      <c r="K42" s="132">
        <f t="shared" si="2"/>
        <v>0</v>
      </c>
      <c r="L42" s="133">
        <f t="shared" si="3"/>
        <v>0</v>
      </c>
    </row>
    <row r="43" spans="1:12" x14ac:dyDescent="0.35">
      <c r="A43" s="143">
        <v>37</v>
      </c>
      <c r="B43" s="26" t="s">
        <v>643</v>
      </c>
      <c r="C43" s="123">
        <v>30</v>
      </c>
      <c r="D43" s="127">
        <v>0.1</v>
      </c>
      <c r="E43" s="128">
        <f t="shared" si="0"/>
        <v>33</v>
      </c>
      <c r="F43" s="24" t="s">
        <v>17</v>
      </c>
      <c r="G43" s="131"/>
      <c r="H43" s="131"/>
      <c r="I43" s="132">
        <f t="shared" si="1"/>
        <v>0</v>
      </c>
      <c r="J43" s="113">
        <v>3.3000000000000003</v>
      </c>
      <c r="K43" s="132">
        <f t="shared" si="2"/>
        <v>0</v>
      </c>
      <c r="L43" s="133">
        <f t="shared" si="3"/>
        <v>0</v>
      </c>
    </row>
    <row r="44" spans="1:12" x14ac:dyDescent="0.35">
      <c r="A44" s="143">
        <v>38</v>
      </c>
      <c r="B44" s="26" t="s">
        <v>648</v>
      </c>
      <c r="C44" s="123">
        <v>50</v>
      </c>
      <c r="D44" s="127">
        <v>0.1</v>
      </c>
      <c r="E44" s="128">
        <f t="shared" si="0"/>
        <v>55.000000000000007</v>
      </c>
      <c r="F44" s="24" t="s">
        <v>17</v>
      </c>
      <c r="G44" s="131"/>
      <c r="H44" s="131"/>
      <c r="I44" s="132">
        <f t="shared" si="1"/>
        <v>0</v>
      </c>
      <c r="J44" s="113">
        <v>5.5000000000000009</v>
      </c>
      <c r="K44" s="132">
        <f t="shared" si="2"/>
        <v>0</v>
      </c>
      <c r="L44" s="133">
        <f t="shared" si="3"/>
        <v>0</v>
      </c>
    </row>
    <row r="45" spans="1:12" x14ac:dyDescent="0.35">
      <c r="A45" s="143">
        <v>39</v>
      </c>
      <c r="B45" s="26" t="s">
        <v>649</v>
      </c>
      <c r="C45" s="123">
        <v>20</v>
      </c>
      <c r="D45" s="127">
        <v>0.1</v>
      </c>
      <c r="E45" s="128">
        <f t="shared" si="0"/>
        <v>22</v>
      </c>
      <c r="F45" s="24" t="s">
        <v>17</v>
      </c>
      <c r="G45" s="131"/>
      <c r="H45" s="131"/>
      <c r="I45" s="132">
        <f t="shared" si="1"/>
        <v>0</v>
      </c>
      <c r="J45" s="113">
        <v>2.2000000000000002</v>
      </c>
      <c r="K45" s="132">
        <f t="shared" si="2"/>
        <v>0</v>
      </c>
      <c r="L45" s="133">
        <f t="shared" si="3"/>
        <v>0</v>
      </c>
    </row>
    <row r="46" spans="1:12" x14ac:dyDescent="0.35">
      <c r="A46" s="143">
        <v>40</v>
      </c>
      <c r="B46" s="26" t="s">
        <v>650</v>
      </c>
      <c r="C46" s="123">
        <v>15</v>
      </c>
      <c r="D46" s="127">
        <v>0.1</v>
      </c>
      <c r="E46" s="128">
        <f t="shared" si="0"/>
        <v>16.5</v>
      </c>
      <c r="F46" s="24" t="s">
        <v>17</v>
      </c>
      <c r="G46" s="131"/>
      <c r="H46" s="131"/>
      <c r="I46" s="132">
        <f t="shared" si="1"/>
        <v>0</v>
      </c>
      <c r="J46" s="113">
        <v>1.6500000000000001</v>
      </c>
      <c r="K46" s="132">
        <f t="shared" si="2"/>
        <v>0</v>
      </c>
      <c r="L46" s="133">
        <f t="shared" si="3"/>
        <v>0</v>
      </c>
    </row>
    <row r="47" spans="1:12" x14ac:dyDescent="0.35">
      <c r="A47" s="143">
        <v>41</v>
      </c>
      <c r="B47" s="26" t="s">
        <v>651</v>
      </c>
      <c r="C47" s="123">
        <v>50</v>
      </c>
      <c r="D47" s="127">
        <v>0.1</v>
      </c>
      <c r="E47" s="128">
        <f t="shared" si="0"/>
        <v>55.000000000000007</v>
      </c>
      <c r="F47" s="24" t="s">
        <v>17</v>
      </c>
      <c r="G47" s="131"/>
      <c r="H47" s="131"/>
      <c r="I47" s="132">
        <f t="shared" si="1"/>
        <v>0</v>
      </c>
      <c r="J47" s="113">
        <v>5.5000000000000009</v>
      </c>
      <c r="K47" s="132">
        <f t="shared" si="2"/>
        <v>0</v>
      </c>
      <c r="L47" s="133">
        <f t="shared" si="3"/>
        <v>0</v>
      </c>
    </row>
    <row r="48" spans="1:12" x14ac:dyDescent="0.35">
      <c r="A48" s="143">
        <v>42</v>
      </c>
      <c r="B48" s="26" t="s">
        <v>652</v>
      </c>
      <c r="C48" s="123">
        <v>50</v>
      </c>
      <c r="D48" s="127">
        <v>0.1</v>
      </c>
      <c r="E48" s="128">
        <f t="shared" si="0"/>
        <v>55.000000000000007</v>
      </c>
      <c r="F48" s="24" t="s">
        <v>17</v>
      </c>
      <c r="G48" s="131"/>
      <c r="H48" s="131"/>
      <c r="I48" s="132">
        <f t="shared" si="1"/>
        <v>0</v>
      </c>
      <c r="J48" s="113">
        <v>5.5000000000000009</v>
      </c>
      <c r="K48" s="132">
        <f t="shared" si="2"/>
        <v>0</v>
      </c>
      <c r="L48" s="133">
        <f t="shared" si="3"/>
        <v>0</v>
      </c>
    </row>
    <row r="49" spans="1:12" x14ac:dyDescent="0.35">
      <c r="A49" s="143">
        <v>43</v>
      </c>
      <c r="B49" s="26" t="s">
        <v>653</v>
      </c>
      <c r="C49" s="123">
        <v>15</v>
      </c>
      <c r="D49" s="127">
        <v>0.1</v>
      </c>
      <c r="E49" s="128">
        <f t="shared" si="0"/>
        <v>16.5</v>
      </c>
      <c r="F49" s="24" t="s">
        <v>17</v>
      </c>
      <c r="G49" s="131"/>
      <c r="H49" s="131"/>
      <c r="I49" s="132">
        <f t="shared" si="1"/>
        <v>0</v>
      </c>
      <c r="J49" s="113">
        <v>1.6500000000000001</v>
      </c>
      <c r="K49" s="132">
        <f t="shared" si="2"/>
        <v>0</v>
      </c>
      <c r="L49" s="133">
        <f t="shared" si="3"/>
        <v>0</v>
      </c>
    </row>
    <row r="50" spans="1:12" x14ac:dyDescent="0.35">
      <c r="A50" s="143">
        <v>44</v>
      </c>
      <c r="B50" s="26" t="s">
        <v>654</v>
      </c>
      <c r="C50" s="123">
        <v>20</v>
      </c>
      <c r="D50" s="127">
        <v>0.1</v>
      </c>
      <c r="E50" s="128">
        <f t="shared" si="0"/>
        <v>22</v>
      </c>
      <c r="F50" s="24" t="s">
        <v>17</v>
      </c>
      <c r="G50" s="131"/>
      <c r="H50" s="131"/>
      <c r="I50" s="132">
        <f t="shared" si="1"/>
        <v>0</v>
      </c>
      <c r="J50" s="113">
        <v>2.2000000000000002</v>
      </c>
      <c r="K50" s="132">
        <f t="shared" si="2"/>
        <v>0</v>
      </c>
      <c r="L50" s="133">
        <f t="shared" si="3"/>
        <v>0</v>
      </c>
    </row>
    <row r="51" spans="1:12" x14ac:dyDescent="0.35">
      <c r="A51" s="143">
        <v>45</v>
      </c>
      <c r="B51" s="26" t="s">
        <v>655</v>
      </c>
      <c r="C51" s="123">
        <v>20</v>
      </c>
      <c r="D51" s="127">
        <v>0.1</v>
      </c>
      <c r="E51" s="128">
        <f t="shared" si="0"/>
        <v>22</v>
      </c>
      <c r="F51" s="24" t="s">
        <v>17</v>
      </c>
      <c r="G51" s="131"/>
      <c r="H51" s="131"/>
      <c r="I51" s="132">
        <f t="shared" si="1"/>
        <v>0</v>
      </c>
      <c r="J51" s="113">
        <v>2.2000000000000002</v>
      </c>
      <c r="K51" s="132">
        <f t="shared" si="2"/>
        <v>0</v>
      </c>
      <c r="L51" s="133">
        <f t="shared" si="3"/>
        <v>0</v>
      </c>
    </row>
    <row r="52" spans="1:12" x14ac:dyDescent="0.35">
      <c r="A52" s="143">
        <v>46</v>
      </c>
      <c r="B52" s="26" t="s">
        <v>656</v>
      </c>
      <c r="C52" s="123">
        <v>20</v>
      </c>
      <c r="D52" s="127">
        <v>0.1</v>
      </c>
      <c r="E52" s="128">
        <f t="shared" si="0"/>
        <v>22</v>
      </c>
      <c r="F52" s="24" t="s">
        <v>17</v>
      </c>
      <c r="G52" s="131"/>
      <c r="H52" s="131"/>
      <c r="I52" s="132">
        <f t="shared" si="1"/>
        <v>0</v>
      </c>
      <c r="J52" s="113">
        <v>2.2000000000000002</v>
      </c>
      <c r="K52" s="132">
        <f t="shared" si="2"/>
        <v>0</v>
      </c>
      <c r="L52" s="133">
        <f t="shared" si="3"/>
        <v>0</v>
      </c>
    </row>
    <row r="53" spans="1:12" x14ac:dyDescent="0.35">
      <c r="A53" s="143">
        <v>47</v>
      </c>
      <c r="B53" s="26" t="s">
        <v>657</v>
      </c>
      <c r="C53" s="123">
        <v>20</v>
      </c>
      <c r="D53" s="127">
        <v>0.1</v>
      </c>
      <c r="E53" s="128">
        <f t="shared" si="0"/>
        <v>22</v>
      </c>
      <c r="F53" s="24" t="s">
        <v>17</v>
      </c>
      <c r="G53" s="131"/>
      <c r="H53" s="131"/>
      <c r="I53" s="132">
        <f t="shared" si="1"/>
        <v>0</v>
      </c>
      <c r="J53" s="113">
        <v>2.2000000000000002</v>
      </c>
      <c r="K53" s="132">
        <f t="shared" si="2"/>
        <v>0</v>
      </c>
      <c r="L53" s="133">
        <f t="shared" si="3"/>
        <v>0</v>
      </c>
    </row>
    <row r="54" spans="1:12" x14ac:dyDescent="0.35">
      <c r="A54" s="143">
        <v>48</v>
      </c>
      <c r="B54" s="26" t="s">
        <v>658</v>
      </c>
      <c r="C54" s="123">
        <v>100</v>
      </c>
      <c r="D54" s="127">
        <v>0.1</v>
      </c>
      <c r="E54" s="128">
        <f t="shared" si="0"/>
        <v>110.00000000000001</v>
      </c>
      <c r="F54" s="24" t="s">
        <v>17</v>
      </c>
      <c r="G54" s="131"/>
      <c r="H54" s="131"/>
      <c r="I54" s="132">
        <f t="shared" si="1"/>
        <v>0</v>
      </c>
      <c r="J54" s="113">
        <v>11.000000000000002</v>
      </c>
      <c r="K54" s="132">
        <f t="shared" si="2"/>
        <v>0</v>
      </c>
      <c r="L54" s="133">
        <f t="shared" si="3"/>
        <v>0</v>
      </c>
    </row>
    <row r="55" spans="1:12" x14ac:dyDescent="0.35">
      <c r="A55" s="143">
        <v>49</v>
      </c>
      <c r="B55" s="26" t="s">
        <v>659</v>
      </c>
      <c r="C55" s="123">
        <v>80</v>
      </c>
      <c r="D55" s="127">
        <v>0.1</v>
      </c>
      <c r="E55" s="128">
        <f t="shared" si="0"/>
        <v>88</v>
      </c>
      <c r="F55" s="24" t="s">
        <v>17</v>
      </c>
      <c r="G55" s="131"/>
      <c r="H55" s="131"/>
      <c r="I55" s="132">
        <f t="shared" si="1"/>
        <v>0</v>
      </c>
      <c r="J55" s="113">
        <v>8.8000000000000007</v>
      </c>
      <c r="K55" s="132">
        <f t="shared" si="2"/>
        <v>0</v>
      </c>
      <c r="L55" s="133">
        <f t="shared" si="3"/>
        <v>0</v>
      </c>
    </row>
    <row r="56" spans="1:12" x14ac:dyDescent="0.35">
      <c r="A56" s="143">
        <v>50</v>
      </c>
      <c r="B56" s="26" t="s">
        <v>660</v>
      </c>
      <c r="C56" s="123">
        <v>50</v>
      </c>
      <c r="D56" s="127">
        <v>0.1</v>
      </c>
      <c r="E56" s="128">
        <f t="shared" si="0"/>
        <v>55.000000000000007</v>
      </c>
      <c r="F56" s="24" t="s">
        <v>17</v>
      </c>
      <c r="G56" s="131"/>
      <c r="H56" s="131"/>
      <c r="I56" s="132">
        <f t="shared" si="1"/>
        <v>0</v>
      </c>
      <c r="J56" s="113">
        <v>5.5000000000000009</v>
      </c>
      <c r="K56" s="132">
        <f t="shared" si="2"/>
        <v>0</v>
      </c>
      <c r="L56" s="133">
        <f t="shared" si="3"/>
        <v>0</v>
      </c>
    </row>
    <row r="57" spans="1:12" x14ac:dyDescent="0.35">
      <c r="A57" s="143">
        <v>51</v>
      </c>
      <c r="B57" s="26" t="s">
        <v>661</v>
      </c>
      <c r="C57" s="123">
        <v>25</v>
      </c>
      <c r="D57" s="127">
        <v>0.1</v>
      </c>
      <c r="E57" s="128">
        <f t="shared" si="0"/>
        <v>27.500000000000004</v>
      </c>
      <c r="F57" s="24" t="s">
        <v>17</v>
      </c>
      <c r="G57" s="131"/>
      <c r="H57" s="131"/>
      <c r="I57" s="132">
        <f t="shared" si="1"/>
        <v>0</v>
      </c>
      <c r="J57" s="113">
        <v>2.7500000000000004</v>
      </c>
      <c r="K57" s="132">
        <f t="shared" si="2"/>
        <v>0</v>
      </c>
      <c r="L57" s="133">
        <f t="shared" si="3"/>
        <v>0</v>
      </c>
    </row>
    <row r="58" spans="1:12" x14ac:dyDescent="0.35">
      <c r="A58" s="143">
        <v>52</v>
      </c>
      <c r="B58" s="26" t="s">
        <v>662</v>
      </c>
      <c r="C58" s="123">
        <v>25</v>
      </c>
      <c r="D58" s="127">
        <v>0.1</v>
      </c>
      <c r="E58" s="128">
        <f t="shared" si="0"/>
        <v>27.500000000000004</v>
      </c>
      <c r="F58" s="24" t="s">
        <v>17</v>
      </c>
      <c r="G58" s="131"/>
      <c r="H58" s="131"/>
      <c r="I58" s="132">
        <f t="shared" si="1"/>
        <v>0</v>
      </c>
      <c r="J58" s="113">
        <v>2.7500000000000004</v>
      </c>
      <c r="K58" s="132">
        <f t="shared" si="2"/>
        <v>0</v>
      </c>
      <c r="L58" s="133">
        <f t="shared" si="3"/>
        <v>0</v>
      </c>
    </row>
    <row r="59" spans="1:12" x14ac:dyDescent="0.35">
      <c r="A59" s="143">
        <v>53</v>
      </c>
      <c r="B59" s="26" t="s">
        <v>663</v>
      </c>
      <c r="C59" s="123">
        <v>25</v>
      </c>
      <c r="D59" s="127">
        <v>0.1</v>
      </c>
      <c r="E59" s="128">
        <f t="shared" si="0"/>
        <v>27.500000000000004</v>
      </c>
      <c r="F59" s="24" t="s">
        <v>17</v>
      </c>
      <c r="G59" s="131"/>
      <c r="H59" s="131"/>
      <c r="I59" s="132">
        <f t="shared" si="1"/>
        <v>0</v>
      </c>
      <c r="J59" s="113">
        <v>2.7500000000000004</v>
      </c>
      <c r="K59" s="132">
        <f t="shared" si="2"/>
        <v>0</v>
      </c>
      <c r="L59" s="133">
        <f t="shared" si="3"/>
        <v>0</v>
      </c>
    </row>
    <row r="60" spans="1:12" x14ac:dyDescent="0.35">
      <c r="A60" s="143">
        <v>54</v>
      </c>
      <c r="B60" s="26" t="s">
        <v>664</v>
      </c>
      <c r="C60" s="123">
        <v>25</v>
      </c>
      <c r="D60" s="127">
        <v>0.1</v>
      </c>
      <c r="E60" s="128">
        <f t="shared" si="0"/>
        <v>27.500000000000004</v>
      </c>
      <c r="F60" s="24" t="s">
        <v>17</v>
      </c>
      <c r="G60" s="131"/>
      <c r="H60" s="131"/>
      <c r="I60" s="132">
        <f t="shared" si="1"/>
        <v>0</v>
      </c>
      <c r="J60" s="113">
        <v>2.7500000000000004</v>
      </c>
      <c r="K60" s="132">
        <f t="shared" si="2"/>
        <v>0</v>
      </c>
      <c r="L60" s="133">
        <f t="shared" si="3"/>
        <v>0</v>
      </c>
    </row>
    <row r="61" spans="1:12" x14ac:dyDescent="0.35">
      <c r="A61" s="143">
        <v>55</v>
      </c>
      <c r="B61" s="130" t="s">
        <v>665</v>
      </c>
      <c r="C61" s="123">
        <v>20</v>
      </c>
      <c r="D61" s="127">
        <v>0.1</v>
      </c>
      <c r="E61" s="128">
        <f t="shared" si="0"/>
        <v>22</v>
      </c>
      <c r="F61" s="24" t="s">
        <v>17</v>
      </c>
      <c r="G61" s="131"/>
      <c r="H61" s="131"/>
      <c r="I61" s="132">
        <f t="shared" si="1"/>
        <v>0</v>
      </c>
      <c r="J61" s="113">
        <v>2.2000000000000002</v>
      </c>
      <c r="K61" s="132">
        <f t="shared" si="2"/>
        <v>0</v>
      </c>
      <c r="L61" s="133">
        <f t="shared" si="3"/>
        <v>0</v>
      </c>
    </row>
    <row r="62" spans="1:12" x14ac:dyDescent="0.35">
      <c r="A62" s="143">
        <v>56</v>
      </c>
      <c r="B62" s="130" t="s">
        <v>666</v>
      </c>
      <c r="C62" s="123">
        <v>90</v>
      </c>
      <c r="D62" s="127">
        <v>0.1</v>
      </c>
      <c r="E62" s="128">
        <f t="shared" si="0"/>
        <v>99.000000000000014</v>
      </c>
      <c r="F62" s="24" t="s">
        <v>17</v>
      </c>
      <c r="G62" s="131"/>
      <c r="H62" s="131"/>
      <c r="I62" s="132">
        <f t="shared" si="1"/>
        <v>0</v>
      </c>
      <c r="J62" s="113">
        <v>9.9000000000000021</v>
      </c>
      <c r="K62" s="132">
        <f t="shared" si="2"/>
        <v>0</v>
      </c>
      <c r="L62" s="133">
        <f t="shared" si="3"/>
        <v>0</v>
      </c>
    </row>
    <row r="63" spans="1:12" x14ac:dyDescent="0.35">
      <c r="A63" s="143">
        <v>57</v>
      </c>
      <c r="B63" s="130" t="s">
        <v>667</v>
      </c>
      <c r="C63" s="123">
        <v>20</v>
      </c>
      <c r="D63" s="127">
        <v>0.1</v>
      </c>
      <c r="E63" s="128">
        <f t="shared" si="0"/>
        <v>22</v>
      </c>
      <c r="F63" s="24" t="s">
        <v>17</v>
      </c>
      <c r="G63" s="131"/>
      <c r="H63" s="131"/>
      <c r="I63" s="132">
        <f t="shared" si="1"/>
        <v>0</v>
      </c>
      <c r="J63" s="113">
        <v>2.2000000000000002</v>
      </c>
      <c r="K63" s="132">
        <f t="shared" si="2"/>
        <v>0</v>
      </c>
      <c r="L63" s="133">
        <f t="shared" si="3"/>
        <v>0</v>
      </c>
    </row>
    <row r="64" spans="1:12" x14ac:dyDescent="0.35">
      <c r="A64" s="143">
        <v>58</v>
      </c>
      <c r="B64" s="130" t="s">
        <v>668</v>
      </c>
      <c r="C64" s="123">
        <v>20</v>
      </c>
      <c r="D64" s="127">
        <v>0.1</v>
      </c>
      <c r="E64" s="128">
        <f t="shared" si="0"/>
        <v>22</v>
      </c>
      <c r="F64" s="24" t="s">
        <v>17</v>
      </c>
      <c r="G64" s="131"/>
      <c r="H64" s="131"/>
      <c r="I64" s="132">
        <f t="shared" si="1"/>
        <v>0</v>
      </c>
      <c r="J64" s="113">
        <v>2.2000000000000002</v>
      </c>
      <c r="K64" s="132">
        <f t="shared" si="2"/>
        <v>0</v>
      </c>
      <c r="L64" s="133">
        <f t="shared" si="3"/>
        <v>0</v>
      </c>
    </row>
    <row r="65" spans="1:12" x14ac:dyDescent="0.35">
      <c r="A65" s="143">
        <v>59</v>
      </c>
      <c r="B65" s="130" t="s">
        <v>669</v>
      </c>
      <c r="C65" s="123">
        <v>20</v>
      </c>
      <c r="D65" s="127">
        <v>0.1</v>
      </c>
      <c r="E65" s="128">
        <f t="shared" si="0"/>
        <v>22</v>
      </c>
      <c r="F65" s="24" t="s">
        <v>17</v>
      </c>
      <c r="G65" s="131"/>
      <c r="H65" s="131"/>
      <c r="I65" s="132">
        <f t="shared" si="1"/>
        <v>0</v>
      </c>
      <c r="J65" s="113">
        <v>2.2000000000000002</v>
      </c>
      <c r="K65" s="132">
        <f t="shared" si="2"/>
        <v>0</v>
      </c>
      <c r="L65" s="133">
        <f t="shared" si="3"/>
        <v>0</v>
      </c>
    </row>
    <row r="66" spans="1:12" x14ac:dyDescent="0.35">
      <c r="A66" s="143">
        <v>60</v>
      </c>
      <c r="B66" s="130" t="s">
        <v>670</v>
      </c>
      <c r="C66" s="123">
        <v>20</v>
      </c>
      <c r="D66" s="127">
        <v>0.1</v>
      </c>
      <c r="E66" s="128">
        <f t="shared" si="0"/>
        <v>22</v>
      </c>
      <c r="F66" s="24" t="s">
        <v>17</v>
      </c>
      <c r="G66" s="131"/>
      <c r="H66" s="131"/>
      <c r="I66" s="132">
        <f t="shared" si="1"/>
        <v>0</v>
      </c>
      <c r="J66" s="113">
        <v>2.2000000000000002</v>
      </c>
      <c r="K66" s="132">
        <f t="shared" si="2"/>
        <v>0</v>
      </c>
      <c r="L66" s="133">
        <f t="shared" si="3"/>
        <v>0</v>
      </c>
    </row>
    <row r="67" spans="1:12" x14ac:dyDescent="0.35">
      <c r="A67" s="143">
        <v>61</v>
      </c>
      <c r="B67" s="130" t="s">
        <v>671</v>
      </c>
      <c r="C67" s="123">
        <v>60</v>
      </c>
      <c r="D67" s="127">
        <v>0.1</v>
      </c>
      <c r="E67" s="128">
        <f t="shared" si="0"/>
        <v>66</v>
      </c>
      <c r="F67" s="24" t="s">
        <v>17</v>
      </c>
      <c r="G67" s="131"/>
      <c r="H67" s="131"/>
      <c r="I67" s="132">
        <f t="shared" si="1"/>
        <v>0</v>
      </c>
      <c r="J67" s="113">
        <v>6.6000000000000005</v>
      </c>
      <c r="K67" s="132">
        <f t="shared" si="2"/>
        <v>0</v>
      </c>
      <c r="L67" s="133">
        <f t="shared" si="3"/>
        <v>0</v>
      </c>
    </row>
    <row r="68" spans="1:12" x14ac:dyDescent="0.35">
      <c r="A68" s="143">
        <v>62</v>
      </c>
      <c r="B68" s="130" t="s">
        <v>672</v>
      </c>
      <c r="C68" s="123">
        <v>30</v>
      </c>
      <c r="D68" s="127">
        <v>0.1</v>
      </c>
      <c r="E68" s="128">
        <f t="shared" si="0"/>
        <v>33</v>
      </c>
      <c r="F68" s="24" t="s">
        <v>17</v>
      </c>
      <c r="G68" s="131"/>
      <c r="H68" s="131"/>
      <c r="I68" s="132">
        <f t="shared" si="1"/>
        <v>0</v>
      </c>
      <c r="J68" s="113">
        <v>3.3000000000000003</v>
      </c>
      <c r="K68" s="132">
        <f t="shared" si="2"/>
        <v>0</v>
      </c>
      <c r="L68" s="133">
        <f t="shared" si="3"/>
        <v>0</v>
      </c>
    </row>
    <row r="69" spans="1:12" x14ac:dyDescent="0.35">
      <c r="A69" s="143">
        <v>63</v>
      </c>
      <c r="B69" s="130" t="s">
        <v>673</v>
      </c>
      <c r="C69" s="123">
        <v>30</v>
      </c>
      <c r="D69" s="127">
        <v>0.1</v>
      </c>
      <c r="E69" s="128">
        <f t="shared" si="0"/>
        <v>33</v>
      </c>
      <c r="F69" s="24" t="s">
        <v>17</v>
      </c>
      <c r="G69" s="131"/>
      <c r="H69" s="131"/>
      <c r="I69" s="132">
        <f t="shared" si="1"/>
        <v>0</v>
      </c>
      <c r="J69" s="113">
        <v>3.3000000000000003</v>
      </c>
      <c r="K69" s="132">
        <f t="shared" si="2"/>
        <v>0</v>
      </c>
      <c r="L69" s="133">
        <f t="shared" si="3"/>
        <v>0</v>
      </c>
    </row>
    <row r="70" spans="1:12" ht="48" customHeight="1" thickBot="1" x14ac:dyDescent="0.4">
      <c r="A70" s="129"/>
      <c r="B70" s="283" t="s">
        <v>674</v>
      </c>
      <c r="C70" s="123"/>
      <c r="D70" s="127"/>
      <c r="E70" s="128"/>
      <c r="F70" s="24"/>
      <c r="G70" s="131"/>
      <c r="H70" s="131"/>
      <c r="I70" s="132"/>
      <c r="J70" s="113"/>
      <c r="K70" s="132"/>
      <c r="L70" s="133"/>
    </row>
    <row r="71" spans="1:12" ht="15" thickBot="1" x14ac:dyDescent="0.4">
      <c r="A71" s="379" t="s">
        <v>1104</v>
      </c>
      <c r="B71" s="380"/>
      <c r="C71" s="134"/>
      <c r="D71" s="127"/>
      <c r="E71" s="128"/>
      <c r="F71" s="24"/>
      <c r="G71" s="135"/>
      <c r="H71" s="135"/>
      <c r="I71" s="132"/>
      <c r="J71" s="113"/>
      <c r="K71" s="136"/>
      <c r="L71" s="137"/>
    </row>
    <row r="72" spans="1:12" x14ac:dyDescent="0.35">
      <c r="A72" s="138">
        <v>1</v>
      </c>
      <c r="B72" s="139" t="s">
        <v>675</v>
      </c>
      <c r="C72" s="123">
        <v>1</v>
      </c>
      <c r="D72" s="127">
        <v>0</v>
      </c>
      <c r="E72" s="128">
        <f t="shared" si="0"/>
        <v>1</v>
      </c>
      <c r="F72" s="24" t="s">
        <v>18</v>
      </c>
      <c r="G72" s="131"/>
      <c r="H72" s="131"/>
      <c r="I72" s="132">
        <f t="shared" ref="I72:I107" si="4">L$4</f>
        <v>0</v>
      </c>
      <c r="J72" s="113">
        <v>0.5</v>
      </c>
      <c r="K72" s="132">
        <f t="shared" ref="K72:K107" si="5">J72*I72</f>
        <v>0</v>
      </c>
      <c r="L72" s="133">
        <f t="shared" ref="L72:L107" si="6">K72+H72</f>
        <v>0</v>
      </c>
    </row>
    <row r="73" spans="1:12" x14ac:dyDescent="0.35">
      <c r="A73" s="138">
        <v>2</v>
      </c>
      <c r="B73" s="140" t="s">
        <v>676</v>
      </c>
      <c r="C73" s="123">
        <v>1</v>
      </c>
      <c r="D73" s="127">
        <v>0</v>
      </c>
      <c r="E73" s="128">
        <f t="shared" si="0"/>
        <v>1</v>
      </c>
      <c r="F73" s="24" t="s">
        <v>18</v>
      </c>
      <c r="G73" s="131"/>
      <c r="H73" s="131"/>
      <c r="I73" s="132">
        <f t="shared" si="4"/>
        <v>0</v>
      </c>
      <c r="J73" s="113">
        <v>0.5</v>
      </c>
      <c r="K73" s="132">
        <f t="shared" si="5"/>
        <v>0</v>
      </c>
      <c r="L73" s="133">
        <f t="shared" si="6"/>
        <v>0</v>
      </c>
    </row>
    <row r="74" spans="1:12" x14ac:dyDescent="0.35">
      <c r="A74" s="138">
        <v>3</v>
      </c>
      <c r="B74" s="140" t="s">
        <v>677</v>
      </c>
      <c r="C74" s="123">
        <v>4</v>
      </c>
      <c r="D74" s="127">
        <v>0</v>
      </c>
      <c r="E74" s="128">
        <f t="shared" si="0"/>
        <v>4</v>
      </c>
      <c r="F74" s="24" t="s">
        <v>18</v>
      </c>
      <c r="G74" s="131"/>
      <c r="H74" s="131"/>
      <c r="I74" s="132">
        <f t="shared" si="4"/>
        <v>0</v>
      </c>
      <c r="J74" s="113">
        <v>2</v>
      </c>
      <c r="K74" s="132">
        <f t="shared" si="5"/>
        <v>0</v>
      </c>
      <c r="L74" s="133">
        <f t="shared" si="6"/>
        <v>0</v>
      </c>
    </row>
    <row r="75" spans="1:12" x14ac:dyDescent="0.35">
      <c r="A75" s="138">
        <v>4</v>
      </c>
      <c r="B75" s="140" t="s">
        <v>678</v>
      </c>
      <c r="C75" s="123">
        <v>1</v>
      </c>
      <c r="D75" s="127">
        <v>0</v>
      </c>
      <c r="E75" s="128">
        <f t="shared" si="0"/>
        <v>1</v>
      </c>
      <c r="F75" s="24" t="s">
        <v>18</v>
      </c>
      <c r="G75" s="131"/>
      <c r="H75" s="131"/>
      <c r="I75" s="132">
        <f t="shared" si="4"/>
        <v>0</v>
      </c>
      <c r="J75" s="113">
        <v>0.5</v>
      </c>
      <c r="K75" s="132">
        <f t="shared" si="5"/>
        <v>0</v>
      </c>
      <c r="L75" s="133">
        <f t="shared" si="6"/>
        <v>0</v>
      </c>
    </row>
    <row r="76" spans="1:12" x14ac:dyDescent="0.35">
      <c r="A76" s="138">
        <v>5</v>
      </c>
      <c r="B76" s="140" t="s">
        <v>679</v>
      </c>
      <c r="C76" s="123">
        <v>4</v>
      </c>
      <c r="D76" s="127">
        <v>0</v>
      </c>
      <c r="E76" s="128">
        <f t="shared" si="0"/>
        <v>4</v>
      </c>
      <c r="F76" s="24" t="s">
        <v>18</v>
      </c>
      <c r="G76" s="131"/>
      <c r="H76" s="131"/>
      <c r="I76" s="132">
        <f t="shared" si="4"/>
        <v>0</v>
      </c>
      <c r="J76" s="113">
        <v>2</v>
      </c>
      <c r="K76" s="132">
        <f t="shared" si="5"/>
        <v>0</v>
      </c>
      <c r="L76" s="133">
        <f t="shared" si="6"/>
        <v>0</v>
      </c>
    </row>
    <row r="77" spans="1:12" x14ac:dyDescent="0.35">
      <c r="A77" s="138">
        <v>6</v>
      </c>
      <c r="B77" s="140" t="s">
        <v>680</v>
      </c>
      <c r="C77" s="123">
        <v>1</v>
      </c>
      <c r="D77" s="127">
        <v>0</v>
      </c>
      <c r="E77" s="128">
        <f t="shared" si="0"/>
        <v>1</v>
      </c>
      <c r="F77" s="24" t="s">
        <v>18</v>
      </c>
      <c r="G77" s="131"/>
      <c r="H77" s="131"/>
      <c r="I77" s="132">
        <f t="shared" si="4"/>
        <v>0</v>
      </c>
      <c r="J77" s="113">
        <v>0.5</v>
      </c>
      <c r="K77" s="132">
        <f t="shared" si="5"/>
        <v>0</v>
      </c>
      <c r="L77" s="133">
        <f t="shared" si="6"/>
        <v>0</v>
      </c>
    </row>
    <row r="78" spans="1:12" x14ac:dyDescent="0.35">
      <c r="A78" s="138">
        <v>7</v>
      </c>
      <c r="B78" s="140" t="s">
        <v>681</v>
      </c>
      <c r="C78" s="123">
        <v>1</v>
      </c>
      <c r="D78" s="127">
        <v>0</v>
      </c>
      <c r="E78" s="128">
        <f t="shared" si="0"/>
        <v>1</v>
      </c>
      <c r="F78" s="24" t="s">
        <v>18</v>
      </c>
      <c r="G78" s="131"/>
      <c r="H78" s="131"/>
      <c r="I78" s="132">
        <f t="shared" si="4"/>
        <v>0</v>
      </c>
      <c r="J78" s="113">
        <v>0.5</v>
      </c>
      <c r="K78" s="132">
        <f t="shared" si="5"/>
        <v>0</v>
      </c>
      <c r="L78" s="133">
        <f t="shared" si="6"/>
        <v>0</v>
      </c>
    </row>
    <row r="79" spans="1:12" x14ac:dyDescent="0.35">
      <c r="A79" s="138">
        <v>8</v>
      </c>
      <c r="B79" s="140" t="s">
        <v>682</v>
      </c>
      <c r="C79" s="123">
        <v>6</v>
      </c>
      <c r="D79" s="127">
        <v>0</v>
      </c>
      <c r="E79" s="128">
        <f t="shared" si="0"/>
        <v>6</v>
      </c>
      <c r="F79" s="24" t="s">
        <v>18</v>
      </c>
      <c r="G79" s="131"/>
      <c r="H79" s="131"/>
      <c r="I79" s="132">
        <f t="shared" si="4"/>
        <v>0</v>
      </c>
      <c r="J79" s="113">
        <v>3</v>
      </c>
      <c r="K79" s="132">
        <f t="shared" si="5"/>
        <v>0</v>
      </c>
      <c r="L79" s="133">
        <f t="shared" si="6"/>
        <v>0</v>
      </c>
    </row>
    <row r="80" spans="1:12" x14ac:dyDescent="0.35">
      <c r="A80" s="138">
        <v>9</v>
      </c>
      <c r="B80" s="140" t="s">
        <v>683</v>
      </c>
      <c r="C80" s="123">
        <v>4</v>
      </c>
      <c r="D80" s="127">
        <v>0</v>
      </c>
      <c r="E80" s="128">
        <f t="shared" si="0"/>
        <v>4</v>
      </c>
      <c r="F80" s="24" t="s">
        <v>18</v>
      </c>
      <c r="G80" s="131"/>
      <c r="H80" s="131"/>
      <c r="I80" s="132">
        <f t="shared" si="4"/>
        <v>0</v>
      </c>
      <c r="J80" s="113">
        <v>2</v>
      </c>
      <c r="K80" s="132">
        <f t="shared" si="5"/>
        <v>0</v>
      </c>
      <c r="L80" s="133">
        <f t="shared" si="6"/>
        <v>0</v>
      </c>
    </row>
    <row r="81" spans="1:12" x14ac:dyDescent="0.35">
      <c r="A81" s="138">
        <v>10</v>
      </c>
      <c r="B81" s="140" t="s">
        <v>684</v>
      </c>
      <c r="C81" s="123">
        <v>2</v>
      </c>
      <c r="D81" s="127">
        <v>0</v>
      </c>
      <c r="E81" s="128">
        <f t="shared" si="0"/>
        <v>2</v>
      </c>
      <c r="F81" s="24" t="s">
        <v>18</v>
      </c>
      <c r="G81" s="131"/>
      <c r="H81" s="131"/>
      <c r="I81" s="132">
        <f t="shared" si="4"/>
        <v>0</v>
      </c>
      <c r="J81" s="113">
        <v>1</v>
      </c>
      <c r="K81" s="132">
        <f t="shared" si="5"/>
        <v>0</v>
      </c>
      <c r="L81" s="133">
        <f t="shared" si="6"/>
        <v>0</v>
      </c>
    </row>
    <row r="82" spans="1:12" x14ac:dyDescent="0.35">
      <c r="A82" s="138">
        <v>11</v>
      </c>
      <c r="B82" s="141" t="s">
        <v>685</v>
      </c>
      <c r="C82" s="123">
        <v>3</v>
      </c>
      <c r="D82" s="127">
        <v>0</v>
      </c>
      <c r="E82" s="128">
        <f t="shared" si="0"/>
        <v>3</v>
      </c>
      <c r="F82" s="24" t="s">
        <v>18</v>
      </c>
      <c r="G82" s="131"/>
      <c r="H82" s="131"/>
      <c r="I82" s="132">
        <f t="shared" si="4"/>
        <v>0</v>
      </c>
      <c r="J82" s="113">
        <v>1.5</v>
      </c>
      <c r="K82" s="132">
        <f t="shared" si="5"/>
        <v>0</v>
      </c>
      <c r="L82" s="133">
        <f t="shared" si="6"/>
        <v>0</v>
      </c>
    </row>
    <row r="83" spans="1:12" x14ac:dyDescent="0.35">
      <c r="A83" s="138">
        <v>12</v>
      </c>
      <c r="B83" s="140" t="s">
        <v>686</v>
      </c>
      <c r="C83" s="123">
        <v>7</v>
      </c>
      <c r="D83" s="127">
        <v>0</v>
      </c>
      <c r="E83" s="128">
        <f t="shared" si="0"/>
        <v>7</v>
      </c>
      <c r="F83" s="24" t="s">
        <v>18</v>
      </c>
      <c r="G83" s="131"/>
      <c r="H83" s="131"/>
      <c r="I83" s="132">
        <f t="shared" si="4"/>
        <v>0</v>
      </c>
      <c r="J83" s="113">
        <v>3.5</v>
      </c>
      <c r="K83" s="132">
        <f t="shared" si="5"/>
        <v>0</v>
      </c>
      <c r="L83" s="133">
        <f t="shared" si="6"/>
        <v>0</v>
      </c>
    </row>
    <row r="84" spans="1:12" x14ac:dyDescent="0.35">
      <c r="A84" s="138">
        <v>13</v>
      </c>
      <c r="B84" s="140" t="s">
        <v>687</v>
      </c>
      <c r="C84" s="123">
        <v>3</v>
      </c>
      <c r="D84" s="127">
        <v>0</v>
      </c>
      <c r="E84" s="128">
        <f t="shared" si="0"/>
        <v>3</v>
      </c>
      <c r="F84" s="24" t="s">
        <v>18</v>
      </c>
      <c r="G84" s="131"/>
      <c r="H84" s="131"/>
      <c r="I84" s="132">
        <f t="shared" si="4"/>
        <v>0</v>
      </c>
      <c r="J84" s="113">
        <v>1.5</v>
      </c>
      <c r="K84" s="132">
        <f t="shared" si="5"/>
        <v>0</v>
      </c>
      <c r="L84" s="133">
        <f t="shared" si="6"/>
        <v>0</v>
      </c>
    </row>
    <row r="85" spans="1:12" x14ac:dyDescent="0.35">
      <c r="A85" s="138">
        <v>14</v>
      </c>
      <c r="B85" s="140" t="s">
        <v>688</v>
      </c>
      <c r="C85" s="123">
        <v>3</v>
      </c>
      <c r="D85" s="127">
        <v>0</v>
      </c>
      <c r="E85" s="128">
        <f t="shared" si="0"/>
        <v>3</v>
      </c>
      <c r="F85" s="24" t="s">
        <v>18</v>
      </c>
      <c r="G85" s="131"/>
      <c r="H85" s="131"/>
      <c r="I85" s="132">
        <f t="shared" si="4"/>
        <v>0</v>
      </c>
      <c r="J85" s="113">
        <v>1.5</v>
      </c>
      <c r="K85" s="132">
        <f t="shared" si="5"/>
        <v>0</v>
      </c>
      <c r="L85" s="133">
        <f t="shared" si="6"/>
        <v>0</v>
      </c>
    </row>
    <row r="86" spans="1:12" x14ac:dyDescent="0.35">
      <c r="A86" s="138">
        <v>15</v>
      </c>
      <c r="B86" s="130" t="s">
        <v>689</v>
      </c>
      <c r="C86" s="123">
        <v>12</v>
      </c>
      <c r="D86" s="127">
        <v>0</v>
      </c>
      <c r="E86" s="128">
        <f t="shared" si="0"/>
        <v>12</v>
      </c>
      <c r="F86" s="24" t="s">
        <v>18</v>
      </c>
      <c r="G86" s="131"/>
      <c r="H86" s="131"/>
      <c r="I86" s="132">
        <f t="shared" si="4"/>
        <v>0</v>
      </c>
      <c r="J86" s="113">
        <v>6</v>
      </c>
      <c r="K86" s="132">
        <f t="shared" si="5"/>
        <v>0</v>
      </c>
      <c r="L86" s="133">
        <f t="shared" si="6"/>
        <v>0</v>
      </c>
    </row>
    <row r="87" spans="1:12" x14ac:dyDescent="0.35">
      <c r="A87" s="138">
        <v>16</v>
      </c>
      <c r="B87" s="130" t="s">
        <v>690</v>
      </c>
      <c r="C87" s="123">
        <v>3</v>
      </c>
      <c r="D87" s="127">
        <v>0</v>
      </c>
      <c r="E87" s="128">
        <f t="shared" ref="E87:E107" si="7">C87*(1+D87)</f>
        <v>3</v>
      </c>
      <c r="F87" s="24" t="s">
        <v>18</v>
      </c>
      <c r="G87" s="131"/>
      <c r="H87" s="131"/>
      <c r="I87" s="132">
        <f t="shared" si="4"/>
        <v>0</v>
      </c>
      <c r="J87" s="113">
        <v>1.5</v>
      </c>
      <c r="K87" s="132">
        <f t="shared" si="5"/>
        <v>0</v>
      </c>
      <c r="L87" s="133">
        <f t="shared" si="6"/>
        <v>0</v>
      </c>
    </row>
    <row r="88" spans="1:12" x14ac:dyDescent="0.35">
      <c r="A88" s="138">
        <v>17</v>
      </c>
      <c r="B88" s="130" t="s">
        <v>691</v>
      </c>
      <c r="C88" s="123">
        <v>3</v>
      </c>
      <c r="D88" s="127">
        <v>0</v>
      </c>
      <c r="E88" s="128">
        <f t="shared" si="7"/>
        <v>3</v>
      </c>
      <c r="F88" s="24" t="s">
        <v>18</v>
      </c>
      <c r="G88" s="131"/>
      <c r="H88" s="131"/>
      <c r="I88" s="132">
        <f t="shared" si="4"/>
        <v>0</v>
      </c>
      <c r="J88" s="113">
        <v>1.5</v>
      </c>
      <c r="K88" s="132">
        <f t="shared" si="5"/>
        <v>0</v>
      </c>
      <c r="L88" s="133">
        <f t="shared" si="6"/>
        <v>0</v>
      </c>
    </row>
    <row r="89" spans="1:12" x14ac:dyDescent="0.35">
      <c r="A89" s="138">
        <v>18</v>
      </c>
      <c r="B89" s="130" t="s">
        <v>692</v>
      </c>
      <c r="C89" s="123">
        <v>3</v>
      </c>
      <c r="D89" s="127">
        <v>0</v>
      </c>
      <c r="E89" s="128">
        <f t="shared" si="7"/>
        <v>3</v>
      </c>
      <c r="F89" s="24" t="s">
        <v>18</v>
      </c>
      <c r="G89" s="131"/>
      <c r="H89" s="131"/>
      <c r="I89" s="132">
        <f t="shared" si="4"/>
        <v>0</v>
      </c>
      <c r="J89" s="113">
        <v>1.5</v>
      </c>
      <c r="K89" s="132">
        <f t="shared" si="5"/>
        <v>0</v>
      </c>
      <c r="L89" s="133">
        <f t="shared" si="6"/>
        <v>0</v>
      </c>
    </row>
    <row r="90" spans="1:12" x14ac:dyDescent="0.35">
      <c r="A90" s="138">
        <v>19</v>
      </c>
      <c r="B90" s="130" t="s">
        <v>693</v>
      </c>
      <c r="C90" s="123">
        <v>4</v>
      </c>
      <c r="D90" s="127">
        <v>0</v>
      </c>
      <c r="E90" s="128">
        <f t="shared" si="7"/>
        <v>4</v>
      </c>
      <c r="F90" s="24" t="s">
        <v>18</v>
      </c>
      <c r="G90" s="131"/>
      <c r="H90" s="131"/>
      <c r="I90" s="132">
        <f t="shared" si="4"/>
        <v>0</v>
      </c>
      <c r="J90" s="113">
        <v>2</v>
      </c>
      <c r="K90" s="132">
        <f t="shared" si="5"/>
        <v>0</v>
      </c>
      <c r="L90" s="133">
        <f t="shared" si="6"/>
        <v>0</v>
      </c>
    </row>
    <row r="91" spans="1:12" x14ac:dyDescent="0.35">
      <c r="A91" s="138">
        <v>20</v>
      </c>
      <c r="B91" s="130" t="s">
        <v>694</v>
      </c>
      <c r="C91" s="123">
        <v>3</v>
      </c>
      <c r="D91" s="127">
        <v>0</v>
      </c>
      <c r="E91" s="128">
        <f t="shared" si="7"/>
        <v>3</v>
      </c>
      <c r="F91" s="24" t="s">
        <v>18</v>
      </c>
      <c r="G91" s="131"/>
      <c r="H91" s="131"/>
      <c r="I91" s="132">
        <f t="shared" si="4"/>
        <v>0</v>
      </c>
      <c r="J91" s="113">
        <v>1.5</v>
      </c>
      <c r="K91" s="132">
        <f t="shared" si="5"/>
        <v>0</v>
      </c>
      <c r="L91" s="133">
        <f t="shared" si="6"/>
        <v>0</v>
      </c>
    </row>
    <row r="92" spans="1:12" x14ac:dyDescent="0.35">
      <c r="A92" s="138">
        <v>21</v>
      </c>
      <c r="B92" s="130" t="s">
        <v>695</v>
      </c>
      <c r="C92" s="123">
        <v>2</v>
      </c>
      <c r="D92" s="127">
        <v>0</v>
      </c>
      <c r="E92" s="128">
        <f t="shared" si="7"/>
        <v>2</v>
      </c>
      <c r="F92" s="24" t="s">
        <v>18</v>
      </c>
      <c r="G92" s="131"/>
      <c r="H92" s="131"/>
      <c r="I92" s="132">
        <f t="shared" si="4"/>
        <v>0</v>
      </c>
      <c r="J92" s="113">
        <v>1</v>
      </c>
      <c r="K92" s="132">
        <f t="shared" si="5"/>
        <v>0</v>
      </c>
      <c r="L92" s="133">
        <f t="shared" si="6"/>
        <v>0</v>
      </c>
    </row>
    <row r="93" spans="1:12" x14ac:dyDescent="0.35">
      <c r="A93" s="138">
        <v>22</v>
      </c>
      <c r="B93" s="130" t="s">
        <v>696</v>
      </c>
      <c r="C93" s="123">
        <v>2</v>
      </c>
      <c r="D93" s="127">
        <v>0</v>
      </c>
      <c r="E93" s="128">
        <f t="shared" si="7"/>
        <v>2</v>
      </c>
      <c r="F93" s="24" t="s">
        <v>18</v>
      </c>
      <c r="G93" s="131"/>
      <c r="H93" s="131"/>
      <c r="I93" s="132">
        <f t="shared" si="4"/>
        <v>0</v>
      </c>
      <c r="J93" s="113">
        <v>1</v>
      </c>
      <c r="K93" s="132">
        <f t="shared" si="5"/>
        <v>0</v>
      </c>
      <c r="L93" s="133">
        <f t="shared" si="6"/>
        <v>0</v>
      </c>
    </row>
    <row r="94" spans="1:12" x14ac:dyDescent="0.35">
      <c r="A94" s="138">
        <v>23</v>
      </c>
      <c r="B94" s="130" t="s">
        <v>697</v>
      </c>
      <c r="C94" s="123">
        <v>3</v>
      </c>
      <c r="D94" s="127">
        <v>0</v>
      </c>
      <c r="E94" s="128">
        <f t="shared" si="7"/>
        <v>3</v>
      </c>
      <c r="F94" s="24" t="s">
        <v>18</v>
      </c>
      <c r="G94" s="131"/>
      <c r="H94" s="131"/>
      <c r="I94" s="132">
        <f t="shared" si="4"/>
        <v>0</v>
      </c>
      <c r="J94" s="113">
        <v>1.5</v>
      </c>
      <c r="K94" s="132">
        <f t="shared" si="5"/>
        <v>0</v>
      </c>
      <c r="L94" s="133">
        <f t="shared" si="6"/>
        <v>0</v>
      </c>
    </row>
    <row r="95" spans="1:12" x14ac:dyDescent="0.35">
      <c r="A95" s="138">
        <v>24</v>
      </c>
      <c r="B95" s="130" t="s">
        <v>698</v>
      </c>
      <c r="C95" s="123">
        <v>1</v>
      </c>
      <c r="D95" s="127">
        <v>0</v>
      </c>
      <c r="E95" s="128">
        <f t="shared" si="7"/>
        <v>1</v>
      </c>
      <c r="F95" s="24" t="s">
        <v>18</v>
      </c>
      <c r="G95" s="131"/>
      <c r="H95" s="131"/>
      <c r="I95" s="132">
        <f t="shared" si="4"/>
        <v>0</v>
      </c>
      <c r="J95" s="113">
        <v>0.5</v>
      </c>
      <c r="K95" s="132">
        <f t="shared" si="5"/>
        <v>0</v>
      </c>
      <c r="L95" s="133">
        <f t="shared" si="6"/>
        <v>0</v>
      </c>
    </row>
    <row r="96" spans="1:12" x14ac:dyDescent="0.35">
      <c r="A96" s="138">
        <v>25</v>
      </c>
      <c r="B96" s="130" t="s">
        <v>699</v>
      </c>
      <c r="C96" s="123">
        <v>2</v>
      </c>
      <c r="D96" s="127">
        <v>0</v>
      </c>
      <c r="E96" s="128">
        <f t="shared" si="7"/>
        <v>2</v>
      </c>
      <c r="F96" s="24" t="s">
        <v>18</v>
      </c>
      <c r="G96" s="131"/>
      <c r="H96" s="131"/>
      <c r="I96" s="132">
        <f t="shared" si="4"/>
        <v>0</v>
      </c>
      <c r="J96" s="113">
        <v>1</v>
      </c>
      <c r="K96" s="132">
        <f t="shared" si="5"/>
        <v>0</v>
      </c>
      <c r="L96" s="133">
        <f t="shared" si="6"/>
        <v>0</v>
      </c>
    </row>
    <row r="97" spans="1:12" x14ac:dyDescent="0.35">
      <c r="A97" s="138">
        <v>26</v>
      </c>
      <c r="B97" s="130" t="s">
        <v>689</v>
      </c>
      <c r="C97" s="123">
        <v>4</v>
      </c>
      <c r="D97" s="127">
        <v>0</v>
      </c>
      <c r="E97" s="128">
        <f t="shared" si="7"/>
        <v>4</v>
      </c>
      <c r="F97" s="24" t="s">
        <v>18</v>
      </c>
      <c r="G97" s="131"/>
      <c r="H97" s="131"/>
      <c r="I97" s="132">
        <f t="shared" si="4"/>
        <v>0</v>
      </c>
      <c r="J97" s="113">
        <v>2</v>
      </c>
      <c r="K97" s="132">
        <f t="shared" si="5"/>
        <v>0</v>
      </c>
      <c r="L97" s="133">
        <f t="shared" si="6"/>
        <v>0</v>
      </c>
    </row>
    <row r="98" spans="1:12" x14ac:dyDescent="0.35">
      <c r="A98" s="138">
        <v>27</v>
      </c>
      <c r="B98" s="130" t="s">
        <v>693</v>
      </c>
      <c r="C98" s="123">
        <v>2</v>
      </c>
      <c r="D98" s="127">
        <v>0</v>
      </c>
      <c r="E98" s="128">
        <f t="shared" si="7"/>
        <v>2</v>
      </c>
      <c r="F98" s="24" t="s">
        <v>18</v>
      </c>
      <c r="G98" s="131"/>
      <c r="H98" s="131"/>
      <c r="I98" s="132">
        <f t="shared" si="4"/>
        <v>0</v>
      </c>
      <c r="J98" s="113">
        <v>1</v>
      </c>
      <c r="K98" s="132">
        <f t="shared" si="5"/>
        <v>0</v>
      </c>
      <c r="L98" s="133">
        <f t="shared" si="6"/>
        <v>0</v>
      </c>
    </row>
    <row r="99" spans="1:12" x14ac:dyDescent="0.35">
      <c r="A99" s="138">
        <v>28</v>
      </c>
      <c r="B99" s="130" t="s">
        <v>700</v>
      </c>
      <c r="C99" s="123">
        <v>1</v>
      </c>
      <c r="D99" s="127">
        <v>0</v>
      </c>
      <c r="E99" s="128">
        <f t="shared" si="7"/>
        <v>1</v>
      </c>
      <c r="F99" s="24" t="s">
        <v>18</v>
      </c>
      <c r="G99" s="131"/>
      <c r="H99" s="131"/>
      <c r="I99" s="132">
        <f t="shared" si="4"/>
        <v>0</v>
      </c>
      <c r="J99" s="113">
        <v>0.5</v>
      </c>
      <c r="K99" s="132">
        <f t="shared" si="5"/>
        <v>0</v>
      </c>
      <c r="L99" s="133">
        <f t="shared" si="6"/>
        <v>0</v>
      </c>
    </row>
    <row r="100" spans="1:12" x14ac:dyDescent="0.35">
      <c r="A100" s="138">
        <v>29</v>
      </c>
      <c r="B100" s="130" t="s">
        <v>701</v>
      </c>
      <c r="C100" s="123">
        <v>1</v>
      </c>
      <c r="D100" s="127">
        <v>0</v>
      </c>
      <c r="E100" s="128">
        <f t="shared" si="7"/>
        <v>1</v>
      </c>
      <c r="F100" s="24" t="s">
        <v>18</v>
      </c>
      <c r="G100" s="131"/>
      <c r="H100" s="131"/>
      <c r="I100" s="132">
        <f t="shared" si="4"/>
        <v>0</v>
      </c>
      <c r="J100" s="113">
        <v>0.5</v>
      </c>
      <c r="K100" s="132">
        <f t="shared" si="5"/>
        <v>0</v>
      </c>
      <c r="L100" s="133">
        <f t="shared" si="6"/>
        <v>0</v>
      </c>
    </row>
    <row r="101" spans="1:12" x14ac:dyDescent="0.35">
      <c r="A101" s="138">
        <v>30</v>
      </c>
      <c r="B101" s="130" t="s">
        <v>702</v>
      </c>
      <c r="C101" s="123">
        <v>1</v>
      </c>
      <c r="D101" s="127">
        <v>0</v>
      </c>
      <c r="E101" s="128">
        <f t="shared" si="7"/>
        <v>1</v>
      </c>
      <c r="F101" s="24" t="s">
        <v>18</v>
      </c>
      <c r="G101" s="131"/>
      <c r="H101" s="131"/>
      <c r="I101" s="132">
        <f t="shared" si="4"/>
        <v>0</v>
      </c>
      <c r="J101" s="113">
        <v>0.5</v>
      </c>
      <c r="K101" s="132">
        <f t="shared" si="5"/>
        <v>0</v>
      </c>
      <c r="L101" s="133">
        <f t="shared" si="6"/>
        <v>0</v>
      </c>
    </row>
    <row r="102" spans="1:12" x14ac:dyDescent="0.35">
      <c r="A102" s="138">
        <v>31</v>
      </c>
      <c r="B102" s="130" t="s">
        <v>703</v>
      </c>
      <c r="C102" s="123">
        <v>1</v>
      </c>
      <c r="D102" s="127">
        <v>0</v>
      </c>
      <c r="E102" s="128">
        <f t="shared" si="7"/>
        <v>1</v>
      </c>
      <c r="F102" s="24" t="s">
        <v>18</v>
      </c>
      <c r="G102" s="131"/>
      <c r="H102" s="131"/>
      <c r="I102" s="132">
        <f t="shared" si="4"/>
        <v>0</v>
      </c>
      <c r="J102" s="113">
        <v>0.5</v>
      </c>
      <c r="K102" s="132">
        <f t="shared" si="5"/>
        <v>0</v>
      </c>
      <c r="L102" s="133">
        <f t="shared" si="6"/>
        <v>0</v>
      </c>
    </row>
    <row r="103" spans="1:12" x14ac:dyDescent="0.35">
      <c r="A103" s="138">
        <v>32</v>
      </c>
      <c r="B103" s="130" t="s">
        <v>704</v>
      </c>
      <c r="C103" s="123">
        <v>1</v>
      </c>
      <c r="D103" s="127">
        <v>0</v>
      </c>
      <c r="E103" s="128">
        <f t="shared" si="7"/>
        <v>1</v>
      </c>
      <c r="F103" s="24" t="s">
        <v>18</v>
      </c>
      <c r="G103" s="131"/>
      <c r="H103" s="131"/>
      <c r="I103" s="132">
        <f t="shared" si="4"/>
        <v>0</v>
      </c>
      <c r="J103" s="113">
        <v>0.5</v>
      </c>
      <c r="K103" s="132">
        <f t="shared" si="5"/>
        <v>0</v>
      </c>
      <c r="L103" s="133">
        <f t="shared" si="6"/>
        <v>0</v>
      </c>
    </row>
    <row r="104" spans="1:12" x14ac:dyDescent="0.35">
      <c r="A104" s="138">
        <v>33</v>
      </c>
      <c r="B104" s="130" t="s">
        <v>705</v>
      </c>
      <c r="C104" s="123">
        <v>1</v>
      </c>
      <c r="D104" s="127">
        <v>0</v>
      </c>
      <c r="E104" s="128">
        <f t="shared" si="7"/>
        <v>1</v>
      </c>
      <c r="F104" s="24" t="s">
        <v>18</v>
      </c>
      <c r="G104" s="131"/>
      <c r="H104" s="131"/>
      <c r="I104" s="132">
        <f t="shared" si="4"/>
        <v>0</v>
      </c>
      <c r="J104" s="113">
        <v>0.5</v>
      </c>
      <c r="K104" s="132">
        <f t="shared" si="5"/>
        <v>0</v>
      </c>
      <c r="L104" s="133">
        <f t="shared" si="6"/>
        <v>0</v>
      </c>
    </row>
    <row r="105" spans="1:12" x14ac:dyDescent="0.35">
      <c r="A105" s="138">
        <v>34</v>
      </c>
      <c r="B105" s="130" t="s">
        <v>706</v>
      </c>
      <c r="C105" s="123">
        <v>1</v>
      </c>
      <c r="D105" s="127">
        <v>0</v>
      </c>
      <c r="E105" s="128">
        <f t="shared" si="7"/>
        <v>1</v>
      </c>
      <c r="F105" s="24" t="s">
        <v>18</v>
      </c>
      <c r="G105" s="131"/>
      <c r="H105" s="131"/>
      <c r="I105" s="132">
        <f t="shared" si="4"/>
        <v>0</v>
      </c>
      <c r="J105" s="113">
        <v>0.5</v>
      </c>
      <c r="K105" s="132">
        <f t="shared" si="5"/>
        <v>0</v>
      </c>
      <c r="L105" s="133">
        <f t="shared" si="6"/>
        <v>0</v>
      </c>
    </row>
    <row r="106" spans="1:12" x14ac:dyDescent="0.35">
      <c r="A106" s="138">
        <v>35</v>
      </c>
      <c r="B106" s="130" t="s">
        <v>707</v>
      </c>
      <c r="C106" s="123">
        <v>1</v>
      </c>
      <c r="D106" s="127">
        <v>0</v>
      </c>
      <c r="E106" s="128">
        <f t="shared" si="7"/>
        <v>1</v>
      </c>
      <c r="F106" s="24" t="s">
        <v>18</v>
      </c>
      <c r="G106" s="131"/>
      <c r="H106" s="131"/>
      <c r="I106" s="132">
        <f t="shared" si="4"/>
        <v>0</v>
      </c>
      <c r="J106" s="113">
        <v>0.5</v>
      </c>
      <c r="K106" s="132">
        <f t="shared" si="5"/>
        <v>0</v>
      </c>
      <c r="L106" s="133">
        <f t="shared" si="6"/>
        <v>0</v>
      </c>
    </row>
    <row r="107" spans="1:12" x14ac:dyDescent="0.35">
      <c r="A107" s="138">
        <v>36</v>
      </c>
      <c r="B107" s="130" t="s">
        <v>708</v>
      </c>
      <c r="C107" s="123">
        <v>1</v>
      </c>
      <c r="D107" s="127">
        <v>0</v>
      </c>
      <c r="E107" s="128">
        <f t="shared" si="7"/>
        <v>1</v>
      </c>
      <c r="F107" s="24" t="s">
        <v>18</v>
      </c>
      <c r="G107" s="131"/>
      <c r="H107" s="131"/>
      <c r="I107" s="132">
        <f t="shared" si="4"/>
        <v>0</v>
      </c>
      <c r="J107" s="113">
        <v>0.5</v>
      </c>
      <c r="K107" s="132">
        <f t="shared" si="5"/>
        <v>0</v>
      </c>
      <c r="L107" s="133">
        <f t="shared" si="6"/>
        <v>0</v>
      </c>
    </row>
    <row r="108" spans="1:12" ht="17.25" customHeight="1" thickBot="1" x14ac:dyDescent="0.4">
      <c r="A108" s="129"/>
      <c r="B108" s="130"/>
      <c r="C108" s="123"/>
      <c r="D108" s="127"/>
      <c r="E108" s="128"/>
      <c r="F108" s="24"/>
      <c r="G108" s="135"/>
      <c r="H108" s="135"/>
      <c r="I108" s="132"/>
      <c r="J108" s="113"/>
      <c r="K108" s="136"/>
      <c r="L108" s="137"/>
    </row>
    <row r="109" spans="1:12" ht="17.25" customHeight="1" thickBot="1" x14ac:dyDescent="0.4">
      <c r="A109" s="379" t="s">
        <v>1105</v>
      </c>
      <c r="B109" s="380"/>
      <c r="C109" s="134"/>
      <c r="D109" s="127"/>
      <c r="E109" s="128"/>
      <c r="F109" s="24"/>
      <c r="G109" s="135"/>
      <c r="H109" s="135"/>
      <c r="I109" s="132"/>
      <c r="J109" s="113"/>
      <c r="K109" s="136"/>
      <c r="L109" s="137"/>
    </row>
    <row r="110" spans="1:12" ht="17.25" customHeight="1" x14ac:dyDescent="0.35">
      <c r="A110" s="138">
        <v>1</v>
      </c>
      <c r="B110" s="139" t="s">
        <v>709</v>
      </c>
      <c r="C110" s="123">
        <v>1</v>
      </c>
      <c r="D110" s="127">
        <v>0</v>
      </c>
      <c r="E110" s="128">
        <f t="shared" ref="E110:E173" si="8">C110*(1+D110)</f>
        <v>1</v>
      </c>
      <c r="F110" s="24" t="s">
        <v>18</v>
      </c>
      <c r="G110" s="131"/>
      <c r="H110" s="131"/>
      <c r="I110" s="132">
        <f t="shared" ref="I110:I123" si="9">L$4</f>
        <v>0</v>
      </c>
      <c r="J110" s="113">
        <v>0.5</v>
      </c>
      <c r="K110" s="132">
        <f t="shared" ref="K110:K123" si="10">J110*I110</f>
        <v>0</v>
      </c>
      <c r="L110" s="133">
        <f t="shared" ref="L110:L123" si="11">K110+H110</f>
        <v>0</v>
      </c>
    </row>
    <row r="111" spans="1:12" ht="17.25" customHeight="1" x14ac:dyDescent="0.35">
      <c r="A111" s="138">
        <v>2</v>
      </c>
      <c r="B111" s="140" t="s">
        <v>680</v>
      </c>
      <c r="C111" s="123">
        <v>17</v>
      </c>
      <c r="D111" s="127">
        <v>0</v>
      </c>
      <c r="E111" s="128">
        <f t="shared" si="8"/>
        <v>17</v>
      </c>
      <c r="F111" s="24" t="s">
        <v>18</v>
      </c>
      <c r="G111" s="131"/>
      <c r="H111" s="131"/>
      <c r="I111" s="132">
        <f t="shared" si="9"/>
        <v>0</v>
      </c>
      <c r="J111" s="113">
        <v>8.5</v>
      </c>
      <c r="K111" s="132">
        <f t="shared" si="10"/>
        <v>0</v>
      </c>
      <c r="L111" s="133">
        <f t="shared" si="11"/>
        <v>0</v>
      </c>
    </row>
    <row r="112" spans="1:12" ht="17.25" customHeight="1" x14ac:dyDescent="0.35">
      <c r="A112" s="138">
        <v>3</v>
      </c>
      <c r="B112" s="140" t="s">
        <v>710</v>
      </c>
      <c r="C112" s="123">
        <v>2</v>
      </c>
      <c r="D112" s="127">
        <v>0</v>
      </c>
      <c r="E112" s="128">
        <f t="shared" si="8"/>
        <v>2</v>
      </c>
      <c r="F112" s="24" t="s">
        <v>18</v>
      </c>
      <c r="G112" s="131"/>
      <c r="H112" s="131"/>
      <c r="I112" s="132">
        <f t="shared" si="9"/>
        <v>0</v>
      </c>
      <c r="J112" s="113">
        <v>1</v>
      </c>
      <c r="K112" s="132">
        <f t="shared" si="10"/>
        <v>0</v>
      </c>
      <c r="L112" s="133">
        <f t="shared" si="11"/>
        <v>0</v>
      </c>
    </row>
    <row r="113" spans="1:12" ht="17.25" customHeight="1" x14ac:dyDescent="0.35">
      <c r="A113" s="138">
        <v>4</v>
      </c>
      <c r="B113" s="140" t="s">
        <v>711</v>
      </c>
      <c r="C113" s="123">
        <v>47</v>
      </c>
      <c r="D113" s="127">
        <v>0</v>
      </c>
      <c r="E113" s="128">
        <f t="shared" si="8"/>
        <v>47</v>
      </c>
      <c r="F113" s="24" t="s">
        <v>18</v>
      </c>
      <c r="G113" s="131"/>
      <c r="H113" s="131"/>
      <c r="I113" s="132">
        <f t="shared" si="9"/>
        <v>0</v>
      </c>
      <c r="J113" s="113">
        <v>23.5</v>
      </c>
      <c r="K113" s="132">
        <f t="shared" si="10"/>
        <v>0</v>
      </c>
      <c r="L113" s="133">
        <f t="shared" si="11"/>
        <v>0</v>
      </c>
    </row>
    <row r="114" spans="1:12" ht="17.25" customHeight="1" x14ac:dyDescent="0.35">
      <c r="A114" s="138">
        <v>5</v>
      </c>
      <c r="B114" s="140" t="s">
        <v>712</v>
      </c>
      <c r="C114" s="123">
        <v>3</v>
      </c>
      <c r="D114" s="127">
        <v>0</v>
      </c>
      <c r="E114" s="128">
        <f t="shared" si="8"/>
        <v>3</v>
      </c>
      <c r="F114" s="24" t="s">
        <v>18</v>
      </c>
      <c r="G114" s="131"/>
      <c r="H114" s="131"/>
      <c r="I114" s="132">
        <f t="shared" si="9"/>
        <v>0</v>
      </c>
      <c r="J114" s="113">
        <v>1.5</v>
      </c>
      <c r="K114" s="132">
        <f t="shared" si="10"/>
        <v>0</v>
      </c>
      <c r="L114" s="133">
        <f t="shared" si="11"/>
        <v>0</v>
      </c>
    </row>
    <row r="115" spans="1:12" ht="17.25" customHeight="1" x14ac:dyDescent="0.35">
      <c r="A115" s="138">
        <v>6</v>
      </c>
      <c r="B115" s="140" t="s">
        <v>713</v>
      </c>
      <c r="C115" s="123">
        <v>9</v>
      </c>
      <c r="D115" s="127">
        <v>0</v>
      </c>
      <c r="E115" s="128">
        <f t="shared" si="8"/>
        <v>9</v>
      </c>
      <c r="F115" s="24" t="s">
        <v>18</v>
      </c>
      <c r="G115" s="131"/>
      <c r="H115" s="131"/>
      <c r="I115" s="132">
        <f t="shared" si="9"/>
        <v>0</v>
      </c>
      <c r="J115" s="113">
        <v>4.5</v>
      </c>
      <c r="K115" s="132">
        <f t="shared" si="10"/>
        <v>0</v>
      </c>
      <c r="L115" s="133">
        <f t="shared" si="11"/>
        <v>0</v>
      </c>
    </row>
    <row r="116" spans="1:12" ht="17.25" customHeight="1" x14ac:dyDescent="0.35">
      <c r="A116" s="138">
        <v>7</v>
      </c>
      <c r="B116" s="140" t="s">
        <v>714</v>
      </c>
      <c r="C116" s="123">
        <v>3</v>
      </c>
      <c r="D116" s="127">
        <v>0</v>
      </c>
      <c r="E116" s="128">
        <f t="shared" si="8"/>
        <v>3</v>
      </c>
      <c r="F116" s="24" t="s">
        <v>18</v>
      </c>
      <c r="G116" s="131"/>
      <c r="H116" s="131"/>
      <c r="I116" s="132">
        <f t="shared" si="9"/>
        <v>0</v>
      </c>
      <c r="J116" s="113">
        <v>1.5</v>
      </c>
      <c r="K116" s="132">
        <f t="shared" si="10"/>
        <v>0</v>
      </c>
      <c r="L116" s="133">
        <f t="shared" si="11"/>
        <v>0</v>
      </c>
    </row>
    <row r="117" spans="1:12" ht="17.25" customHeight="1" x14ac:dyDescent="0.35">
      <c r="A117" s="138">
        <v>8</v>
      </c>
      <c r="B117" s="140" t="s">
        <v>715</v>
      </c>
      <c r="C117" s="123">
        <v>1</v>
      </c>
      <c r="D117" s="127">
        <v>0</v>
      </c>
      <c r="E117" s="128">
        <f t="shared" si="8"/>
        <v>1</v>
      </c>
      <c r="F117" s="24" t="s">
        <v>18</v>
      </c>
      <c r="G117" s="131"/>
      <c r="H117" s="131"/>
      <c r="I117" s="132">
        <f t="shared" si="9"/>
        <v>0</v>
      </c>
      <c r="J117" s="113">
        <v>0.5</v>
      </c>
      <c r="K117" s="132">
        <f t="shared" si="10"/>
        <v>0</v>
      </c>
      <c r="L117" s="133">
        <f t="shared" si="11"/>
        <v>0</v>
      </c>
    </row>
    <row r="118" spans="1:12" ht="17.25" customHeight="1" x14ac:dyDescent="0.35">
      <c r="A118" s="138">
        <v>9</v>
      </c>
      <c r="B118" s="140" t="s">
        <v>716</v>
      </c>
      <c r="C118" s="123">
        <v>1</v>
      </c>
      <c r="D118" s="127">
        <v>0</v>
      </c>
      <c r="E118" s="128">
        <f t="shared" si="8"/>
        <v>1</v>
      </c>
      <c r="F118" s="24" t="s">
        <v>18</v>
      </c>
      <c r="G118" s="131"/>
      <c r="H118" s="131"/>
      <c r="I118" s="132">
        <f t="shared" si="9"/>
        <v>0</v>
      </c>
      <c r="J118" s="113">
        <v>0.5</v>
      </c>
      <c r="K118" s="132">
        <f t="shared" si="10"/>
        <v>0</v>
      </c>
      <c r="L118" s="133">
        <f t="shared" si="11"/>
        <v>0</v>
      </c>
    </row>
    <row r="119" spans="1:12" ht="17.25" customHeight="1" x14ac:dyDescent="0.35">
      <c r="A119" s="138">
        <v>10</v>
      </c>
      <c r="B119" s="130" t="s">
        <v>708</v>
      </c>
      <c r="C119" s="123">
        <v>1</v>
      </c>
      <c r="D119" s="127">
        <v>0</v>
      </c>
      <c r="E119" s="128">
        <f t="shared" si="8"/>
        <v>1</v>
      </c>
      <c r="F119" s="24" t="s">
        <v>18</v>
      </c>
      <c r="G119" s="131"/>
      <c r="H119" s="131"/>
      <c r="I119" s="132">
        <f t="shared" si="9"/>
        <v>0</v>
      </c>
      <c r="J119" s="113">
        <v>0.5</v>
      </c>
      <c r="K119" s="132">
        <f t="shared" si="10"/>
        <v>0</v>
      </c>
      <c r="L119" s="133">
        <f t="shared" si="11"/>
        <v>0</v>
      </c>
    </row>
    <row r="120" spans="1:12" x14ac:dyDescent="0.35">
      <c r="A120" s="138">
        <v>11</v>
      </c>
      <c r="B120" s="140" t="s">
        <v>717</v>
      </c>
      <c r="C120" s="123">
        <v>1</v>
      </c>
      <c r="D120" s="127">
        <v>0</v>
      </c>
      <c r="E120" s="128">
        <f t="shared" si="8"/>
        <v>1</v>
      </c>
      <c r="F120" s="24" t="s">
        <v>18</v>
      </c>
      <c r="G120" s="131"/>
      <c r="H120" s="131"/>
      <c r="I120" s="132">
        <f t="shared" si="9"/>
        <v>0</v>
      </c>
      <c r="J120" s="113">
        <v>0.5</v>
      </c>
      <c r="K120" s="132">
        <f t="shared" si="10"/>
        <v>0</v>
      </c>
      <c r="L120" s="133">
        <f t="shared" si="11"/>
        <v>0</v>
      </c>
    </row>
    <row r="121" spans="1:12" ht="19.5" customHeight="1" x14ac:dyDescent="0.35">
      <c r="A121" s="138">
        <v>12</v>
      </c>
      <c r="B121" s="140" t="s">
        <v>718</v>
      </c>
      <c r="C121" s="123">
        <v>2</v>
      </c>
      <c r="D121" s="127">
        <v>0</v>
      </c>
      <c r="E121" s="128">
        <f t="shared" si="8"/>
        <v>2</v>
      </c>
      <c r="F121" s="24" t="s">
        <v>18</v>
      </c>
      <c r="G121" s="131"/>
      <c r="H121" s="131"/>
      <c r="I121" s="132">
        <f t="shared" si="9"/>
        <v>0</v>
      </c>
      <c r="J121" s="113">
        <v>1</v>
      </c>
      <c r="K121" s="132">
        <f t="shared" si="10"/>
        <v>0</v>
      </c>
      <c r="L121" s="133">
        <f t="shared" si="11"/>
        <v>0</v>
      </c>
    </row>
    <row r="122" spans="1:12" ht="20.25" customHeight="1" x14ac:dyDescent="0.35">
      <c r="A122" s="138">
        <v>13</v>
      </c>
      <c r="B122" s="140" t="s">
        <v>719</v>
      </c>
      <c r="C122" s="123">
        <v>3</v>
      </c>
      <c r="D122" s="127">
        <v>0</v>
      </c>
      <c r="E122" s="128">
        <f t="shared" si="8"/>
        <v>3</v>
      </c>
      <c r="F122" s="24" t="s">
        <v>18</v>
      </c>
      <c r="G122" s="131"/>
      <c r="H122" s="131"/>
      <c r="I122" s="132">
        <f t="shared" si="9"/>
        <v>0</v>
      </c>
      <c r="J122" s="113">
        <v>1.5</v>
      </c>
      <c r="K122" s="132">
        <f t="shared" si="10"/>
        <v>0</v>
      </c>
      <c r="L122" s="133">
        <f t="shared" si="11"/>
        <v>0</v>
      </c>
    </row>
    <row r="123" spans="1:12" ht="19.5" customHeight="1" x14ac:dyDescent="0.35">
      <c r="A123" s="138">
        <v>14</v>
      </c>
      <c r="B123" s="140" t="s">
        <v>720</v>
      </c>
      <c r="C123" s="123">
        <v>1</v>
      </c>
      <c r="D123" s="127">
        <v>0</v>
      </c>
      <c r="E123" s="128">
        <f t="shared" si="8"/>
        <v>1</v>
      </c>
      <c r="F123" s="24" t="s">
        <v>18</v>
      </c>
      <c r="G123" s="131"/>
      <c r="H123" s="131"/>
      <c r="I123" s="132">
        <f t="shared" si="9"/>
        <v>0</v>
      </c>
      <c r="J123" s="113">
        <v>0.5</v>
      </c>
      <c r="K123" s="132">
        <f t="shared" si="10"/>
        <v>0</v>
      </c>
      <c r="L123" s="133">
        <f t="shared" si="11"/>
        <v>0</v>
      </c>
    </row>
    <row r="124" spans="1:12" ht="58.5" thickBot="1" x14ac:dyDescent="0.4">
      <c r="A124" s="310"/>
      <c r="B124" s="130" t="s">
        <v>721</v>
      </c>
      <c r="C124" s="123"/>
      <c r="D124" s="127"/>
      <c r="E124" s="128"/>
      <c r="F124" s="24"/>
      <c r="G124" s="131"/>
      <c r="H124" s="131"/>
      <c r="I124" s="132"/>
      <c r="J124" s="113"/>
      <c r="K124" s="132"/>
      <c r="L124" s="133"/>
    </row>
    <row r="125" spans="1:12" ht="17.25" customHeight="1" thickBot="1" x14ac:dyDescent="0.4">
      <c r="A125" s="382" t="s">
        <v>1106</v>
      </c>
      <c r="B125" s="383"/>
      <c r="C125" s="134"/>
      <c r="D125" s="127"/>
      <c r="E125" s="128"/>
      <c r="F125" s="24"/>
      <c r="G125" s="131"/>
      <c r="H125" s="131"/>
      <c r="I125" s="132"/>
      <c r="J125" s="113"/>
      <c r="K125" s="132"/>
      <c r="L125" s="133"/>
    </row>
    <row r="126" spans="1:12" ht="17.25" customHeight="1" x14ac:dyDescent="0.35">
      <c r="A126" s="138">
        <v>1</v>
      </c>
      <c r="B126" s="139" t="s">
        <v>722</v>
      </c>
      <c r="C126" s="123">
        <v>1</v>
      </c>
      <c r="D126" s="127">
        <v>0</v>
      </c>
      <c r="E126" s="128">
        <f t="shared" si="8"/>
        <v>1</v>
      </c>
      <c r="F126" s="24" t="s">
        <v>18</v>
      </c>
      <c r="G126" s="131"/>
      <c r="H126" s="131"/>
      <c r="I126" s="132">
        <f t="shared" ref="I126:I186" si="12">L$4</f>
        <v>0</v>
      </c>
      <c r="J126" s="113">
        <v>0.5</v>
      </c>
      <c r="K126" s="132">
        <f t="shared" ref="K126:K186" si="13">J126*I126</f>
        <v>0</v>
      </c>
      <c r="L126" s="133">
        <f t="shared" ref="L126:L186" si="14">K126+H126</f>
        <v>0</v>
      </c>
    </row>
    <row r="127" spans="1:12" ht="17.25" customHeight="1" x14ac:dyDescent="0.35">
      <c r="A127" s="138">
        <v>2</v>
      </c>
      <c r="B127" s="140" t="s">
        <v>723</v>
      </c>
      <c r="C127" s="123">
        <v>3</v>
      </c>
      <c r="D127" s="127">
        <v>0</v>
      </c>
      <c r="E127" s="128">
        <f t="shared" si="8"/>
        <v>3</v>
      </c>
      <c r="F127" s="24" t="s">
        <v>18</v>
      </c>
      <c r="G127" s="131"/>
      <c r="H127" s="131"/>
      <c r="I127" s="132">
        <f t="shared" si="12"/>
        <v>0</v>
      </c>
      <c r="J127" s="113">
        <v>1.5</v>
      </c>
      <c r="K127" s="132">
        <f t="shared" si="13"/>
        <v>0</v>
      </c>
      <c r="L127" s="133">
        <f t="shared" si="14"/>
        <v>0</v>
      </c>
    </row>
    <row r="128" spans="1:12" x14ac:dyDescent="0.35">
      <c r="A128" s="138">
        <v>3</v>
      </c>
      <c r="B128" s="140" t="s">
        <v>724</v>
      </c>
      <c r="C128" s="123">
        <v>1</v>
      </c>
      <c r="D128" s="127">
        <v>0</v>
      </c>
      <c r="E128" s="128">
        <f t="shared" si="8"/>
        <v>1</v>
      </c>
      <c r="F128" s="24" t="s">
        <v>18</v>
      </c>
      <c r="G128" s="131"/>
      <c r="H128" s="131"/>
      <c r="I128" s="132">
        <f t="shared" si="12"/>
        <v>0</v>
      </c>
      <c r="J128" s="113">
        <v>0.5</v>
      </c>
      <c r="K128" s="132">
        <f t="shared" si="13"/>
        <v>0</v>
      </c>
      <c r="L128" s="133">
        <f t="shared" si="14"/>
        <v>0</v>
      </c>
    </row>
    <row r="129" spans="1:12" ht="17.25" customHeight="1" x14ac:dyDescent="0.35">
      <c r="A129" s="138">
        <v>4</v>
      </c>
      <c r="B129" s="140" t="s">
        <v>725</v>
      </c>
      <c r="C129" s="123">
        <v>1</v>
      </c>
      <c r="D129" s="127">
        <v>0</v>
      </c>
      <c r="E129" s="128">
        <f t="shared" si="8"/>
        <v>1</v>
      </c>
      <c r="F129" s="24" t="s">
        <v>18</v>
      </c>
      <c r="G129" s="131"/>
      <c r="H129" s="131"/>
      <c r="I129" s="132">
        <f t="shared" si="12"/>
        <v>0</v>
      </c>
      <c r="J129" s="113">
        <v>0.5</v>
      </c>
      <c r="K129" s="132">
        <f t="shared" si="13"/>
        <v>0</v>
      </c>
      <c r="L129" s="133">
        <f t="shared" si="14"/>
        <v>0</v>
      </c>
    </row>
    <row r="130" spans="1:12" ht="17.25" customHeight="1" x14ac:dyDescent="0.35">
      <c r="A130" s="138">
        <v>5</v>
      </c>
      <c r="B130" s="141" t="s">
        <v>726</v>
      </c>
      <c r="C130" s="123">
        <v>1</v>
      </c>
      <c r="D130" s="127">
        <v>0</v>
      </c>
      <c r="E130" s="128">
        <f t="shared" si="8"/>
        <v>1</v>
      </c>
      <c r="F130" s="24" t="s">
        <v>18</v>
      </c>
      <c r="G130" s="131"/>
      <c r="H130" s="131"/>
      <c r="I130" s="132">
        <f t="shared" si="12"/>
        <v>0</v>
      </c>
      <c r="J130" s="113">
        <v>0.5</v>
      </c>
      <c r="K130" s="132">
        <f t="shared" si="13"/>
        <v>0</v>
      </c>
      <c r="L130" s="133">
        <f t="shared" si="14"/>
        <v>0</v>
      </c>
    </row>
    <row r="131" spans="1:12" ht="17.25" customHeight="1" x14ac:dyDescent="0.35">
      <c r="A131" s="138">
        <v>6</v>
      </c>
      <c r="B131" s="140" t="s">
        <v>727</v>
      </c>
      <c r="C131" s="123">
        <v>1</v>
      </c>
      <c r="D131" s="127">
        <v>0</v>
      </c>
      <c r="E131" s="128">
        <f t="shared" si="8"/>
        <v>1</v>
      </c>
      <c r="F131" s="24" t="s">
        <v>18</v>
      </c>
      <c r="G131" s="131"/>
      <c r="H131" s="131"/>
      <c r="I131" s="132">
        <f t="shared" si="12"/>
        <v>0</v>
      </c>
      <c r="J131" s="113">
        <v>0.5</v>
      </c>
      <c r="K131" s="132">
        <f t="shared" si="13"/>
        <v>0</v>
      </c>
      <c r="L131" s="133">
        <f t="shared" si="14"/>
        <v>0</v>
      </c>
    </row>
    <row r="132" spans="1:12" ht="17.25" customHeight="1" x14ac:dyDescent="0.35">
      <c r="A132" s="138">
        <v>7</v>
      </c>
      <c r="B132" s="141" t="s">
        <v>713</v>
      </c>
      <c r="C132" s="123">
        <v>1</v>
      </c>
      <c r="D132" s="127">
        <v>0</v>
      </c>
      <c r="E132" s="128">
        <f t="shared" si="8"/>
        <v>1</v>
      </c>
      <c r="F132" s="24" t="s">
        <v>18</v>
      </c>
      <c r="G132" s="131"/>
      <c r="H132" s="131"/>
      <c r="I132" s="132">
        <f t="shared" si="12"/>
        <v>0</v>
      </c>
      <c r="J132" s="113">
        <v>0.5</v>
      </c>
      <c r="K132" s="132">
        <f t="shared" si="13"/>
        <v>0</v>
      </c>
      <c r="L132" s="133">
        <f t="shared" si="14"/>
        <v>0</v>
      </c>
    </row>
    <row r="133" spans="1:12" ht="17.25" customHeight="1" x14ac:dyDescent="0.35">
      <c r="A133" s="138">
        <v>8</v>
      </c>
      <c r="B133" s="140" t="s">
        <v>728</v>
      </c>
      <c r="C133" s="123">
        <v>1</v>
      </c>
      <c r="D133" s="127">
        <v>0</v>
      </c>
      <c r="E133" s="128">
        <f t="shared" si="8"/>
        <v>1</v>
      </c>
      <c r="F133" s="24" t="s">
        <v>18</v>
      </c>
      <c r="G133" s="131"/>
      <c r="H133" s="131"/>
      <c r="I133" s="132">
        <f t="shared" si="12"/>
        <v>0</v>
      </c>
      <c r="J133" s="113">
        <v>0.5</v>
      </c>
      <c r="K133" s="132">
        <f t="shared" si="13"/>
        <v>0</v>
      </c>
      <c r="L133" s="133">
        <f t="shared" si="14"/>
        <v>0</v>
      </c>
    </row>
    <row r="134" spans="1:12" x14ac:dyDescent="0.35">
      <c r="A134" s="138">
        <v>9</v>
      </c>
      <c r="B134" s="140" t="s">
        <v>729</v>
      </c>
      <c r="C134" s="123">
        <v>1</v>
      </c>
      <c r="D134" s="127">
        <v>0</v>
      </c>
      <c r="E134" s="128">
        <f t="shared" si="8"/>
        <v>1</v>
      </c>
      <c r="F134" s="24" t="s">
        <v>18</v>
      </c>
      <c r="G134" s="131"/>
      <c r="H134" s="131"/>
      <c r="I134" s="132">
        <f t="shared" si="12"/>
        <v>0</v>
      </c>
      <c r="J134" s="113">
        <v>0.5</v>
      </c>
      <c r="K134" s="132">
        <f t="shared" si="13"/>
        <v>0</v>
      </c>
      <c r="L134" s="133">
        <f t="shared" si="14"/>
        <v>0</v>
      </c>
    </row>
    <row r="135" spans="1:12" ht="17.25" customHeight="1" x14ac:dyDescent="0.35">
      <c r="A135" s="138">
        <v>10</v>
      </c>
      <c r="B135" s="140" t="s">
        <v>730</v>
      </c>
      <c r="C135" s="123">
        <v>1</v>
      </c>
      <c r="D135" s="127">
        <v>0</v>
      </c>
      <c r="E135" s="128">
        <f t="shared" si="8"/>
        <v>1</v>
      </c>
      <c r="F135" s="24" t="s">
        <v>18</v>
      </c>
      <c r="G135" s="131"/>
      <c r="H135" s="131"/>
      <c r="I135" s="132">
        <f t="shared" si="12"/>
        <v>0</v>
      </c>
      <c r="J135" s="113">
        <v>0.5</v>
      </c>
      <c r="K135" s="132">
        <f t="shared" si="13"/>
        <v>0</v>
      </c>
      <c r="L135" s="133">
        <f t="shared" si="14"/>
        <v>0</v>
      </c>
    </row>
    <row r="136" spans="1:12" ht="17.25" customHeight="1" x14ac:dyDescent="0.35">
      <c r="A136" s="138">
        <v>11</v>
      </c>
      <c r="B136" s="140" t="s">
        <v>731</v>
      </c>
      <c r="C136" s="123">
        <v>1</v>
      </c>
      <c r="D136" s="127">
        <v>0</v>
      </c>
      <c r="E136" s="128">
        <f t="shared" si="8"/>
        <v>1</v>
      </c>
      <c r="F136" s="24" t="s">
        <v>18</v>
      </c>
      <c r="G136" s="131"/>
      <c r="H136" s="131"/>
      <c r="I136" s="132">
        <f t="shared" si="12"/>
        <v>0</v>
      </c>
      <c r="J136" s="113">
        <v>0.5</v>
      </c>
      <c r="K136" s="132">
        <f t="shared" si="13"/>
        <v>0</v>
      </c>
      <c r="L136" s="133">
        <f t="shared" si="14"/>
        <v>0</v>
      </c>
    </row>
    <row r="137" spans="1:12" ht="17.25" customHeight="1" x14ac:dyDescent="0.35">
      <c r="A137" s="138">
        <v>12</v>
      </c>
      <c r="B137" s="130" t="s">
        <v>732</v>
      </c>
      <c r="C137" s="123">
        <v>3</v>
      </c>
      <c r="D137" s="127">
        <v>0</v>
      </c>
      <c r="E137" s="128">
        <f t="shared" si="8"/>
        <v>3</v>
      </c>
      <c r="F137" s="24" t="s">
        <v>18</v>
      </c>
      <c r="G137" s="131"/>
      <c r="H137" s="131"/>
      <c r="I137" s="132">
        <f t="shared" si="12"/>
        <v>0</v>
      </c>
      <c r="J137" s="113">
        <v>1.5</v>
      </c>
      <c r="K137" s="132">
        <f t="shared" si="13"/>
        <v>0</v>
      </c>
      <c r="L137" s="133">
        <f t="shared" si="14"/>
        <v>0</v>
      </c>
    </row>
    <row r="138" spans="1:12" ht="17.25" customHeight="1" x14ac:dyDescent="0.35">
      <c r="A138" s="138">
        <v>13</v>
      </c>
      <c r="B138" s="130" t="s">
        <v>733</v>
      </c>
      <c r="C138" s="123">
        <v>3</v>
      </c>
      <c r="D138" s="127">
        <v>0</v>
      </c>
      <c r="E138" s="128">
        <f t="shared" si="8"/>
        <v>3</v>
      </c>
      <c r="F138" s="24" t="s">
        <v>18</v>
      </c>
      <c r="G138" s="131"/>
      <c r="H138" s="131"/>
      <c r="I138" s="132">
        <f t="shared" si="12"/>
        <v>0</v>
      </c>
      <c r="J138" s="113">
        <v>1.5</v>
      </c>
      <c r="K138" s="132">
        <f t="shared" si="13"/>
        <v>0</v>
      </c>
      <c r="L138" s="133">
        <f t="shared" si="14"/>
        <v>0</v>
      </c>
    </row>
    <row r="139" spans="1:12" ht="17.25" customHeight="1" x14ac:dyDescent="0.35">
      <c r="A139" s="138">
        <v>14</v>
      </c>
      <c r="B139" s="130" t="s">
        <v>734</v>
      </c>
      <c r="C139" s="123">
        <v>3</v>
      </c>
      <c r="D139" s="127">
        <v>0</v>
      </c>
      <c r="E139" s="128">
        <f t="shared" si="8"/>
        <v>3</v>
      </c>
      <c r="F139" s="24" t="s">
        <v>18</v>
      </c>
      <c r="G139" s="131"/>
      <c r="H139" s="131"/>
      <c r="I139" s="132">
        <f t="shared" si="12"/>
        <v>0</v>
      </c>
      <c r="J139" s="113">
        <v>1.5</v>
      </c>
      <c r="K139" s="132">
        <f t="shared" si="13"/>
        <v>0</v>
      </c>
      <c r="L139" s="133">
        <f t="shared" si="14"/>
        <v>0</v>
      </c>
    </row>
    <row r="140" spans="1:12" ht="17.25" customHeight="1" x14ac:dyDescent="0.35">
      <c r="A140" s="138">
        <v>15</v>
      </c>
      <c r="B140" s="130" t="s">
        <v>735</v>
      </c>
      <c r="C140" s="123">
        <v>4</v>
      </c>
      <c r="D140" s="127">
        <v>0</v>
      </c>
      <c r="E140" s="128">
        <f t="shared" si="8"/>
        <v>4</v>
      </c>
      <c r="F140" s="24" t="s">
        <v>18</v>
      </c>
      <c r="G140" s="131"/>
      <c r="H140" s="131"/>
      <c r="I140" s="132">
        <f t="shared" si="12"/>
        <v>0</v>
      </c>
      <c r="J140" s="113">
        <v>2</v>
      </c>
      <c r="K140" s="132">
        <f t="shared" si="13"/>
        <v>0</v>
      </c>
      <c r="L140" s="133">
        <f t="shared" si="14"/>
        <v>0</v>
      </c>
    </row>
    <row r="141" spans="1:12" ht="17.25" customHeight="1" x14ac:dyDescent="0.35">
      <c r="A141" s="138">
        <v>16</v>
      </c>
      <c r="B141" s="130" t="s">
        <v>736</v>
      </c>
      <c r="C141" s="123">
        <v>3</v>
      </c>
      <c r="D141" s="127">
        <v>0</v>
      </c>
      <c r="E141" s="128">
        <f t="shared" si="8"/>
        <v>3</v>
      </c>
      <c r="F141" s="24" t="s">
        <v>18</v>
      </c>
      <c r="G141" s="131"/>
      <c r="H141" s="131"/>
      <c r="I141" s="132">
        <f t="shared" si="12"/>
        <v>0</v>
      </c>
      <c r="J141" s="113">
        <v>1.5</v>
      </c>
      <c r="K141" s="132">
        <f t="shared" si="13"/>
        <v>0</v>
      </c>
      <c r="L141" s="133">
        <f t="shared" si="14"/>
        <v>0</v>
      </c>
    </row>
    <row r="142" spans="1:12" ht="17.25" customHeight="1" x14ac:dyDescent="0.35">
      <c r="A142" s="138">
        <v>17</v>
      </c>
      <c r="B142" s="130" t="s">
        <v>737</v>
      </c>
      <c r="C142" s="123">
        <v>3</v>
      </c>
      <c r="D142" s="127">
        <v>0</v>
      </c>
      <c r="E142" s="128">
        <f t="shared" si="8"/>
        <v>3</v>
      </c>
      <c r="F142" s="24" t="s">
        <v>18</v>
      </c>
      <c r="G142" s="131"/>
      <c r="H142" s="131"/>
      <c r="I142" s="132">
        <f t="shared" si="12"/>
        <v>0</v>
      </c>
      <c r="J142" s="113">
        <v>1.5</v>
      </c>
      <c r="K142" s="132">
        <f t="shared" si="13"/>
        <v>0</v>
      </c>
      <c r="L142" s="133">
        <f t="shared" si="14"/>
        <v>0</v>
      </c>
    </row>
    <row r="143" spans="1:12" ht="17.25" customHeight="1" x14ac:dyDescent="0.35">
      <c r="A143" s="138">
        <v>18</v>
      </c>
      <c r="B143" s="130" t="s">
        <v>738</v>
      </c>
      <c r="C143" s="123">
        <v>3</v>
      </c>
      <c r="D143" s="127">
        <v>0</v>
      </c>
      <c r="E143" s="128">
        <f t="shared" si="8"/>
        <v>3</v>
      </c>
      <c r="F143" s="24" t="s">
        <v>18</v>
      </c>
      <c r="G143" s="131"/>
      <c r="H143" s="131"/>
      <c r="I143" s="132">
        <f t="shared" si="12"/>
        <v>0</v>
      </c>
      <c r="J143" s="113">
        <v>1.5</v>
      </c>
      <c r="K143" s="132">
        <f t="shared" si="13"/>
        <v>0</v>
      </c>
      <c r="L143" s="133">
        <f t="shared" si="14"/>
        <v>0</v>
      </c>
    </row>
    <row r="144" spans="1:12" ht="17.25" customHeight="1" x14ac:dyDescent="0.35">
      <c r="A144" s="138">
        <v>19</v>
      </c>
      <c r="B144" s="130" t="s">
        <v>739</v>
      </c>
      <c r="C144" s="123">
        <v>3</v>
      </c>
      <c r="D144" s="127">
        <v>0</v>
      </c>
      <c r="E144" s="128">
        <f t="shared" si="8"/>
        <v>3</v>
      </c>
      <c r="F144" s="24" t="s">
        <v>18</v>
      </c>
      <c r="G144" s="131"/>
      <c r="H144" s="131"/>
      <c r="I144" s="132">
        <f t="shared" si="12"/>
        <v>0</v>
      </c>
      <c r="J144" s="113">
        <v>1.5</v>
      </c>
      <c r="K144" s="132">
        <f t="shared" si="13"/>
        <v>0</v>
      </c>
      <c r="L144" s="133">
        <f t="shared" si="14"/>
        <v>0</v>
      </c>
    </row>
    <row r="145" spans="1:12" ht="17.25" customHeight="1" x14ac:dyDescent="0.35">
      <c r="A145" s="138">
        <v>20</v>
      </c>
      <c r="B145" s="130" t="s">
        <v>740</v>
      </c>
      <c r="C145" s="123">
        <v>3</v>
      </c>
      <c r="D145" s="127">
        <v>0</v>
      </c>
      <c r="E145" s="128">
        <f t="shared" si="8"/>
        <v>3</v>
      </c>
      <c r="F145" s="24" t="s">
        <v>18</v>
      </c>
      <c r="G145" s="131"/>
      <c r="H145" s="131"/>
      <c r="I145" s="132">
        <f t="shared" si="12"/>
        <v>0</v>
      </c>
      <c r="J145" s="113">
        <v>1.5</v>
      </c>
      <c r="K145" s="132">
        <f t="shared" si="13"/>
        <v>0</v>
      </c>
      <c r="L145" s="133">
        <f t="shared" si="14"/>
        <v>0</v>
      </c>
    </row>
    <row r="146" spans="1:12" ht="17.25" customHeight="1" x14ac:dyDescent="0.35">
      <c r="A146" s="138">
        <v>21</v>
      </c>
      <c r="B146" s="130" t="s">
        <v>741</v>
      </c>
      <c r="C146" s="123">
        <v>2</v>
      </c>
      <c r="D146" s="127">
        <v>0</v>
      </c>
      <c r="E146" s="128">
        <f t="shared" si="8"/>
        <v>2</v>
      </c>
      <c r="F146" s="24" t="s">
        <v>18</v>
      </c>
      <c r="G146" s="131"/>
      <c r="H146" s="131"/>
      <c r="I146" s="132">
        <f t="shared" si="12"/>
        <v>0</v>
      </c>
      <c r="J146" s="113">
        <v>1</v>
      </c>
      <c r="K146" s="132">
        <f t="shared" si="13"/>
        <v>0</v>
      </c>
      <c r="L146" s="133">
        <f t="shared" si="14"/>
        <v>0</v>
      </c>
    </row>
    <row r="147" spans="1:12" ht="17.25" customHeight="1" x14ac:dyDescent="0.35">
      <c r="A147" s="138">
        <v>22</v>
      </c>
      <c r="B147" s="130" t="s">
        <v>742</v>
      </c>
      <c r="C147" s="123">
        <v>2</v>
      </c>
      <c r="D147" s="127">
        <v>0</v>
      </c>
      <c r="E147" s="128">
        <f t="shared" si="8"/>
        <v>2</v>
      </c>
      <c r="F147" s="24" t="s">
        <v>18</v>
      </c>
      <c r="G147" s="131"/>
      <c r="H147" s="131"/>
      <c r="I147" s="132">
        <f t="shared" si="12"/>
        <v>0</v>
      </c>
      <c r="J147" s="113">
        <v>1</v>
      </c>
      <c r="K147" s="132">
        <f t="shared" si="13"/>
        <v>0</v>
      </c>
      <c r="L147" s="133">
        <f t="shared" si="14"/>
        <v>0</v>
      </c>
    </row>
    <row r="148" spans="1:12" ht="17.25" customHeight="1" x14ac:dyDescent="0.35">
      <c r="A148" s="138">
        <v>23</v>
      </c>
      <c r="B148" s="130" t="s">
        <v>743</v>
      </c>
      <c r="C148" s="123">
        <v>2</v>
      </c>
      <c r="D148" s="127">
        <v>0</v>
      </c>
      <c r="E148" s="128">
        <f t="shared" si="8"/>
        <v>2</v>
      </c>
      <c r="F148" s="24" t="s">
        <v>18</v>
      </c>
      <c r="G148" s="131"/>
      <c r="H148" s="131"/>
      <c r="I148" s="132">
        <f t="shared" si="12"/>
        <v>0</v>
      </c>
      <c r="J148" s="113">
        <v>1</v>
      </c>
      <c r="K148" s="132">
        <f t="shared" si="13"/>
        <v>0</v>
      </c>
      <c r="L148" s="133">
        <f t="shared" si="14"/>
        <v>0</v>
      </c>
    </row>
    <row r="149" spans="1:12" ht="17.25" customHeight="1" x14ac:dyDescent="0.35">
      <c r="A149" s="138">
        <v>24</v>
      </c>
      <c r="B149" s="130" t="s">
        <v>744</v>
      </c>
      <c r="C149" s="123">
        <v>2</v>
      </c>
      <c r="D149" s="127">
        <v>0</v>
      </c>
      <c r="E149" s="128">
        <f t="shared" si="8"/>
        <v>2</v>
      </c>
      <c r="F149" s="24" t="s">
        <v>18</v>
      </c>
      <c r="G149" s="131"/>
      <c r="H149" s="131"/>
      <c r="I149" s="132">
        <f t="shared" si="12"/>
        <v>0</v>
      </c>
      <c r="J149" s="113">
        <v>1</v>
      </c>
      <c r="K149" s="132">
        <f t="shared" si="13"/>
        <v>0</v>
      </c>
      <c r="L149" s="133">
        <f t="shared" si="14"/>
        <v>0</v>
      </c>
    </row>
    <row r="150" spans="1:12" ht="17.25" customHeight="1" x14ac:dyDescent="0.35">
      <c r="A150" s="138">
        <v>25</v>
      </c>
      <c r="B150" s="130" t="s">
        <v>745</v>
      </c>
      <c r="C150" s="123">
        <v>2</v>
      </c>
      <c r="D150" s="127">
        <v>0</v>
      </c>
      <c r="E150" s="128">
        <f t="shared" si="8"/>
        <v>2</v>
      </c>
      <c r="F150" s="24" t="s">
        <v>18</v>
      </c>
      <c r="G150" s="131"/>
      <c r="H150" s="131"/>
      <c r="I150" s="132">
        <f t="shared" si="12"/>
        <v>0</v>
      </c>
      <c r="J150" s="113">
        <v>1</v>
      </c>
      <c r="K150" s="132">
        <f t="shared" si="13"/>
        <v>0</v>
      </c>
      <c r="L150" s="133">
        <f t="shared" si="14"/>
        <v>0</v>
      </c>
    </row>
    <row r="151" spans="1:12" ht="17.25" customHeight="1" x14ac:dyDescent="0.35">
      <c r="A151" s="138">
        <v>26</v>
      </c>
      <c r="B151" s="130" t="s">
        <v>746</v>
      </c>
      <c r="C151" s="123">
        <v>2</v>
      </c>
      <c r="D151" s="127">
        <v>0</v>
      </c>
      <c r="E151" s="128">
        <f t="shared" si="8"/>
        <v>2</v>
      </c>
      <c r="F151" s="24" t="s">
        <v>18</v>
      </c>
      <c r="G151" s="131"/>
      <c r="H151" s="131"/>
      <c r="I151" s="132">
        <f t="shared" si="12"/>
        <v>0</v>
      </c>
      <c r="J151" s="113">
        <v>1</v>
      </c>
      <c r="K151" s="132">
        <f t="shared" si="13"/>
        <v>0</v>
      </c>
      <c r="L151" s="133">
        <f t="shared" si="14"/>
        <v>0</v>
      </c>
    </row>
    <row r="152" spans="1:12" ht="17.25" customHeight="1" x14ac:dyDescent="0.35">
      <c r="A152" s="138">
        <v>27</v>
      </c>
      <c r="B152" s="130" t="s">
        <v>689</v>
      </c>
      <c r="C152" s="123">
        <v>3</v>
      </c>
      <c r="D152" s="127">
        <v>0</v>
      </c>
      <c r="E152" s="128">
        <f t="shared" si="8"/>
        <v>3</v>
      </c>
      <c r="F152" s="24" t="s">
        <v>18</v>
      </c>
      <c r="G152" s="131"/>
      <c r="H152" s="131"/>
      <c r="I152" s="132">
        <f t="shared" si="12"/>
        <v>0</v>
      </c>
      <c r="J152" s="113">
        <v>1.5</v>
      </c>
      <c r="K152" s="132">
        <f t="shared" si="13"/>
        <v>0</v>
      </c>
      <c r="L152" s="133">
        <f t="shared" si="14"/>
        <v>0</v>
      </c>
    </row>
    <row r="153" spans="1:12" ht="17.25" customHeight="1" x14ac:dyDescent="0.35">
      <c r="A153" s="138">
        <v>28</v>
      </c>
      <c r="B153" s="130" t="s">
        <v>747</v>
      </c>
      <c r="C153" s="123">
        <v>2</v>
      </c>
      <c r="D153" s="127">
        <v>0</v>
      </c>
      <c r="E153" s="128">
        <f t="shared" si="8"/>
        <v>2</v>
      </c>
      <c r="F153" s="24" t="s">
        <v>18</v>
      </c>
      <c r="G153" s="131"/>
      <c r="H153" s="131"/>
      <c r="I153" s="132">
        <f t="shared" si="12"/>
        <v>0</v>
      </c>
      <c r="J153" s="113">
        <v>1</v>
      </c>
      <c r="K153" s="132">
        <f t="shared" si="13"/>
        <v>0</v>
      </c>
      <c r="L153" s="133">
        <f t="shared" si="14"/>
        <v>0</v>
      </c>
    </row>
    <row r="154" spans="1:12" ht="17.25" customHeight="1" x14ac:dyDescent="0.35">
      <c r="A154" s="138">
        <v>29</v>
      </c>
      <c r="B154" s="130" t="s">
        <v>748</v>
      </c>
      <c r="C154" s="123">
        <v>2</v>
      </c>
      <c r="D154" s="127">
        <v>0</v>
      </c>
      <c r="E154" s="128">
        <f t="shared" si="8"/>
        <v>2</v>
      </c>
      <c r="F154" s="24" t="s">
        <v>18</v>
      </c>
      <c r="G154" s="131"/>
      <c r="H154" s="131"/>
      <c r="I154" s="132">
        <f t="shared" si="12"/>
        <v>0</v>
      </c>
      <c r="J154" s="113">
        <v>1</v>
      </c>
      <c r="K154" s="132">
        <f t="shared" si="13"/>
        <v>0</v>
      </c>
      <c r="L154" s="133">
        <f t="shared" si="14"/>
        <v>0</v>
      </c>
    </row>
    <row r="155" spans="1:12" ht="17.25" customHeight="1" x14ac:dyDescent="0.35">
      <c r="A155" s="138">
        <v>30</v>
      </c>
      <c r="B155" s="130" t="s">
        <v>749</v>
      </c>
      <c r="C155" s="123">
        <v>2</v>
      </c>
      <c r="D155" s="127">
        <v>0</v>
      </c>
      <c r="E155" s="128">
        <f t="shared" si="8"/>
        <v>2</v>
      </c>
      <c r="F155" s="24" t="s">
        <v>18</v>
      </c>
      <c r="G155" s="131"/>
      <c r="H155" s="131"/>
      <c r="I155" s="132">
        <f t="shared" si="12"/>
        <v>0</v>
      </c>
      <c r="J155" s="113">
        <v>1</v>
      </c>
      <c r="K155" s="132">
        <f t="shared" si="13"/>
        <v>0</v>
      </c>
      <c r="L155" s="133">
        <f t="shared" si="14"/>
        <v>0</v>
      </c>
    </row>
    <row r="156" spans="1:12" ht="17.25" customHeight="1" x14ac:dyDescent="0.35">
      <c r="A156" s="138">
        <v>31</v>
      </c>
      <c r="B156" s="130" t="s">
        <v>750</v>
      </c>
      <c r="C156" s="123">
        <v>2</v>
      </c>
      <c r="D156" s="127">
        <v>0</v>
      </c>
      <c r="E156" s="128">
        <f t="shared" si="8"/>
        <v>2</v>
      </c>
      <c r="F156" s="24" t="s">
        <v>18</v>
      </c>
      <c r="G156" s="131"/>
      <c r="H156" s="131"/>
      <c r="I156" s="132">
        <f t="shared" si="12"/>
        <v>0</v>
      </c>
      <c r="J156" s="113">
        <v>1</v>
      </c>
      <c r="K156" s="132">
        <f t="shared" si="13"/>
        <v>0</v>
      </c>
      <c r="L156" s="133">
        <f t="shared" si="14"/>
        <v>0</v>
      </c>
    </row>
    <row r="157" spans="1:12" ht="17.25" customHeight="1" x14ac:dyDescent="0.35">
      <c r="A157" s="138">
        <v>32</v>
      </c>
      <c r="B157" s="130" t="s">
        <v>711</v>
      </c>
      <c r="C157" s="123">
        <v>2</v>
      </c>
      <c r="D157" s="127">
        <v>0</v>
      </c>
      <c r="E157" s="128">
        <f t="shared" si="8"/>
        <v>2</v>
      </c>
      <c r="F157" s="24" t="s">
        <v>18</v>
      </c>
      <c r="G157" s="131"/>
      <c r="H157" s="131"/>
      <c r="I157" s="132">
        <f t="shared" si="12"/>
        <v>0</v>
      </c>
      <c r="J157" s="113">
        <v>1</v>
      </c>
      <c r="K157" s="132">
        <f t="shared" si="13"/>
        <v>0</v>
      </c>
      <c r="L157" s="133">
        <f t="shared" si="14"/>
        <v>0</v>
      </c>
    </row>
    <row r="158" spans="1:12" ht="17.25" customHeight="1" x14ac:dyDescent="0.35">
      <c r="A158" s="138">
        <v>33</v>
      </c>
      <c r="B158" s="130" t="s">
        <v>751</v>
      </c>
      <c r="C158" s="123">
        <v>2</v>
      </c>
      <c r="D158" s="127">
        <v>0</v>
      </c>
      <c r="E158" s="128">
        <f t="shared" si="8"/>
        <v>2</v>
      </c>
      <c r="F158" s="24" t="s">
        <v>18</v>
      </c>
      <c r="G158" s="131"/>
      <c r="H158" s="131"/>
      <c r="I158" s="132">
        <f t="shared" si="12"/>
        <v>0</v>
      </c>
      <c r="J158" s="113">
        <v>1</v>
      </c>
      <c r="K158" s="132">
        <f t="shared" si="13"/>
        <v>0</v>
      </c>
      <c r="L158" s="133">
        <f t="shared" si="14"/>
        <v>0</v>
      </c>
    </row>
    <row r="159" spans="1:12" ht="17.25" customHeight="1" x14ac:dyDescent="0.35">
      <c r="A159" s="138">
        <v>34</v>
      </c>
      <c r="B159" s="130" t="s">
        <v>752</v>
      </c>
      <c r="C159" s="123">
        <v>2</v>
      </c>
      <c r="D159" s="127">
        <v>0</v>
      </c>
      <c r="E159" s="128">
        <f t="shared" si="8"/>
        <v>2</v>
      </c>
      <c r="F159" s="24" t="s">
        <v>18</v>
      </c>
      <c r="G159" s="131"/>
      <c r="H159" s="131"/>
      <c r="I159" s="132">
        <f t="shared" si="12"/>
        <v>0</v>
      </c>
      <c r="J159" s="113">
        <v>1</v>
      </c>
      <c r="K159" s="132">
        <f t="shared" si="13"/>
        <v>0</v>
      </c>
      <c r="L159" s="133">
        <f t="shared" si="14"/>
        <v>0</v>
      </c>
    </row>
    <row r="160" spans="1:12" ht="17.25" customHeight="1" x14ac:dyDescent="0.35">
      <c r="A160" s="138">
        <v>35</v>
      </c>
      <c r="B160" s="130" t="s">
        <v>753</v>
      </c>
      <c r="C160" s="123">
        <v>2</v>
      </c>
      <c r="D160" s="127">
        <v>0</v>
      </c>
      <c r="E160" s="128">
        <f t="shared" si="8"/>
        <v>2</v>
      </c>
      <c r="F160" s="24" t="s">
        <v>18</v>
      </c>
      <c r="G160" s="131"/>
      <c r="H160" s="131"/>
      <c r="I160" s="132">
        <f t="shared" si="12"/>
        <v>0</v>
      </c>
      <c r="J160" s="113">
        <v>1</v>
      </c>
      <c r="K160" s="132">
        <f t="shared" si="13"/>
        <v>0</v>
      </c>
      <c r="L160" s="133">
        <f t="shared" si="14"/>
        <v>0</v>
      </c>
    </row>
    <row r="161" spans="1:12" ht="17.25" customHeight="1" x14ac:dyDescent="0.35">
      <c r="A161" s="138">
        <v>36</v>
      </c>
      <c r="B161" s="130" t="s">
        <v>754</v>
      </c>
      <c r="C161" s="123">
        <v>2</v>
      </c>
      <c r="D161" s="127">
        <v>0</v>
      </c>
      <c r="E161" s="128">
        <f t="shared" si="8"/>
        <v>2</v>
      </c>
      <c r="F161" s="24" t="s">
        <v>18</v>
      </c>
      <c r="G161" s="131"/>
      <c r="H161" s="131"/>
      <c r="I161" s="132">
        <f t="shared" si="12"/>
        <v>0</v>
      </c>
      <c r="J161" s="113">
        <v>1</v>
      </c>
      <c r="K161" s="132">
        <f t="shared" si="13"/>
        <v>0</v>
      </c>
      <c r="L161" s="133">
        <f t="shared" si="14"/>
        <v>0</v>
      </c>
    </row>
    <row r="162" spans="1:12" ht="17.25" customHeight="1" x14ac:dyDescent="0.35">
      <c r="A162" s="138">
        <v>37</v>
      </c>
      <c r="B162" s="130" t="s">
        <v>755</v>
      </c>
      <c r="C162" s="123">
        <v>1</v>
      </c>
      <c r="D162" s="127">
        <v>0</v>
      </c>
      <c r="E162" s="128">
        <f t="shared" si="8"/>
        <v>1</v>
      </c>
      <c r="F162" s="24" t="s">
        <v>18</v>
      </c>
      <c r="G162" s="131"/>
      <c r="H162" s="131"/>
      <c r="I162" s="132">
        <f t="shared" si="12"/>
        <v>0</v>
      </c>
      <c r="J162" s="113">
        <v>0.5</v>
      </c>
      <c r="K162" s="132">
        <f t="shared" si="13"/>
        <v>0</v>
      </c>
      <c r="L162" s="133">
        <f t="shared" si="14"/>
        <v>0</v>
      </c>
    </row>
    <row r="163" spans="1:12" ht="17.25" customHeight="1" x14ac:dyDescent="0.35">
      <c r="A163" s="138">
        <v>38</v>
      </c>
      <c r="B163" s="130" t="s">
        <v>756</v>
      </c>
      <c r="C163" s="123">
        <v>1</v>
      </c>
      <c r="D163" s="127">
        <v>0</v>
      </c>
      <c r="E163" s="128">
        <f t="shared" si="8"/>
        <v>1</v>
      </c>
      <c r="F163" s="24" t="s">
        <v>18</v>
      </c>
      <c r="G163" s="131"/>
      <c r="H163" s="131"/>
      <c r="I163" s="132">
        <f t="shared" si="12"/>
        <v>0</v>
      </c>
      <c r="J163" s="113">
        <v>0.5</v>
      </c>
      <c r="K163" s="132">
        <f t="shared" si="13"/>
        <v>0</v>
      </c>
      <c r="L163" s="133">
        <f t="shared" si="14"/>
        <v>0</v>
      </c>
    </row>
    <row r="164" spans="1:12" ht="17.25" customHeight="1" x14ac:dyDescent="0.35">
      <c r="A164" s="138">
        <v>39</v>
      </c>
      <c r="B164" s="130" t="s">
        <v>757</v>
      </c>
      <c r="C164" s="123">
        <v>1</v>
      </c>
      <c r="D164" s="127">
        <v>0</v>
      </c>
      <c r="E164" s="128">
        <f t="shared" si="8"/>
        <v>1</v>
      </c>
      <c r="F164" s="24" t="s">
        <v>18</v>
      </c>
      <c r="G164" s="131"/>
      <c r="H164" s="131"/>
      <c r="I164" s="132">
        <f t="shared" si="12"/>
        <v>0</v>
      </c>
      <c r="J164" s="113">
        <v>0.5</v>
      </c>
      <c r="K164" s="132">
        <f t="shared" si="13"/>
        <v>0</v>
      </c>
      <c r="L164" s="133">
        <f t="shared" si="14"/>
        <v>0</v>
      </c>
    </row>
    <row r="165" spans="1:12" ht="17.25" customHeight="1" x14ac:dyDescent="0.35">
      <c r="A165" s="138">
        <v>40</v>
      </c>
      <c r="B165" s="130" t="s">
        <v>758</v>
      </c>
      <c r="C165" s="123">
        <v>1</v>
      </c>
      <c r="D165" s="127">
        <v>0</v>
      </c>
      <c r="E165" s="128">
        <f t="shared" si="8"/>
        <v>1</v>
      </c>
      <c r="F165" s="24" t="s">
        <v>18</v>
      </c>
      <c r="G165" s="131"/>
      <c r="H165" s="131"/>
      <c r="I165" s="132">
        <f t="shared" si="12"/>
        <v>0</v>
      </c>
      <c r="J165" s="113">
        <v>0.5</v>
      </c>
      <c r="K165" s="132">
        <f t="shared" si="13"/>
        <v>0</v>
      </c>
      <c r="L165" s="133">
        <f t="shared" si="14"/>
        <v>0</v>
      </c>
    </row>
    <row r="166" spans="1:12" ht="17.25" customHeight="1" x14ac:dyDescent="0.35">
      <c r="A166" s="138">
        <v>41</v>
      </c>
      <c r="B166" s="130" t="s">
        <v>697</v>
      </c>
      <c r="C166" s="123">
        <v>1</v>
      </c>
      <c r="D166" s="127">
        <v>0</v>
      </c>
      <c r="E166" s="128">
        <f t="shared" si="8"/>
        <v>1</v>
      </c>
      <c r="F166" s="24" t="s">
        <v>18</v>
      </c>
      <c r="G166" s="131"/>
      <c r="H166" s="131"/>
      <c r="I166" s="132">
        <f t="shared" si="12"/>
        <v>0</v>
      </c>
      <c r="J166" s="113">
        <v>0.5</v>
      </c>
      <c r="K166" s="132">
        <f t="shared" si="13"/>
        <v>0</v>
      </c>
      <c r="L166" s="133">
        <f t="shared" si="14"/>
        <v>0</v>
      </c>
    </row>
    <row r="167" spans="1:12" ht="17.25" customHeight="1" x14ac:dyDescent="0.35">
      <c r="A167" s="138">
        <v>42</v>
      </c>
      <c r="B167" s="130" t="s">
        <v>759</v>
      </c>
      <c r="C167" s="123">
        <v>1</v>
      </c>
      <c r="D167" s="127">
        <v>0</v>
      </c>
      <c r="E167" s="128">
        <f t="shared" si="8"/>
        <v>1</v>
      </c>
      <c r="F167" s="24" t="s">
        <v>18</v>
      </c>
      <c r="G167" s="131"/>
      <c r="H167" s="131"/>
      <c r="I167" s="132">
        <f t="shared" si="12"/>
        <v>0</v>
      </c>
      <c r="J167" s="113">
        <v>0.5</v>
      </c>
      <c r="K167" s="132">
        <f t="shared" si="13"/>
        <v>0</v>
      </c>
      <c r="L167" s="133">
        <f t="shared" si="14"/>
        <v>0</v>
      </c>
    </row>
    <row r="168" spans="1:12" ht="17.25" customHeight="1" x14ac:dyDescent="0.35">
      <c r="A168" s="138">
        <v>43</v>
      </c>
      <c r="B168" s="130" t="s">
        <v>760</v>
      </c>
      <c r="C168" s="123">
        <v>1</v>
      </c>
      <c r="D168" s="127">
        <v>0</v>
      </c>
      <c r="E168" s="128">
        <f t="shared" si="8"/>
        <v>1</v>
      </c>
      <c r="F168" s="24" t="s">
        <v>18</v>
      </c>
      <c r="G168" s="131"/>
      <c r="H168" s="131"/>
      <c r="I168" s="132">
        <f t="shared" si="12"/>
        <v>0</v>
      </c>
      <c r="J168" s="113">
        <v>0.5</v>
      </c>
      <c r="K168" s="132">
        <f t="shared" si="13"/>
        <v>0</v>
      </c>
      <c r="L168" s="133">
        <f t="shared" si="14"/>
        <v>0</v>
      </c>
    </row>
    <row r="169" spans="1:12" ht="17.25" customHeight="1" x14ac:dyDescent="0.35">
      <c r="A169" s="138">
        <v>44</v>
      </c>
      <c r="B169" s="130" t="s">
        <v>761</v>
      </c>
      <c r="C169" s="123">
        <v>1</v>
      </c>
      <c r="D169" s="127">
        <v>0</v>
      </c>
      <c r="E169" s="128">
        <f t="shared" si="8"/>
        <v>1</v>
      </c>
      <c r="F169" s="24" t="s">
        <v>18</v>
      </c>
      <c r="G169" s="131"/>
      <c r="H169" s="131"/>
      <c r="I169" s="132">
        <f t="shared" si="12"/>
        <v>0</v>
      </c>
      <c r="J169" s="113">
        <v>0.5</v>
      </c>
      <c r="K169" s="132">
        <f t="shared" si="13"/>
        <v>0</v>
      </c>
      <c r="L169" s="133">
        <f t="shared" si="14"/>
        <v>0</v>
      </c>
    </row>
    <row r="170" spans="1:12" ht="17.25" customHeight="1" x14ac:dyDescent="0.35">
      <c r="A170" s="138">
        <v>45</v>
      </c>
      <c r="B170" s="130" t="s">
        <v>762</v>
      </c>
      <c r="C170" s="123">
        <v>1</v>
      </c>
      <c r="D170" s="127">
        <v>0</v>
      </c>
      <c r="E170" s="128">
        <f t="shared" si="8"/>
        <v>1</v>
      </c>
      <c r="F170" s="24" t="s">
        <v>18</v>
      </c>
      <c r="G170" s="131"/>
      <c r="H170" s="131"/>
      <c r="I170" s="132">
        <f t="shared" si="12"/>
        <v>0</v>
      </c>
      <c r="J170" s="113">
        <v>0.5</v>
      </c>
      <c r="K170" s="132">
        <f t="shared" si="13"/>
        <v>0</v>
      </c>
      <c r="L170" s="133">
        <f t="shared" si="14"/>
        <v>0</v>
      </c>
    </row>
    <row r="171" spans="1:12" ht="17.25" customHeight="1" x14ac:dyDescent="0.35">
      <c r="A171" s="138">
        <v>46</v>
      </c>
      <c r="B171" s="130" t="s">
        <v>763</v>
      </c>
      <c r="C171" s="123">
        <v>1</v>
      </c>
      <c r="D171" s="127">
        <v>0</v>
      </c>
      <c r="E171" s="128">
        <f t="shared" si="8"/>
        <v>1</v>
      </c>
      <c r="F171" s="24" t="s">
        <v>18</v>
      </c>
      <c r="G171" s="131"/>
      <c r="H171" s="131"/>
      <c r="I171" s="132">
        <f t="shared" si="12"/>
        <v>0</v>
      </c>
      <c r="J171" s="113">
        <v>0.5</v>
      </c>
      <c r="K171" s="132">
        <f t="shared" si="13"/>
        <v>0</v>
      </c>
      <c r="L171" s="133">
        <f t="shared" si="14"/>
        <v>0</v>
      </c>
    </row>
    <row r="172" spans="1:12" ht="17.25" customHeight="1" x14ac:dyDescent="0.35">
      <c r="A172" s="138">
        <v>47</v>
      </c>
      <c r="B172" s="130" t="s">
        <v>764</v>
      </c>
      <c r="C172" s="123">
        <v>1</v>
      </c>
      <c r="D172" s="127">
        <v>0</v>
      </c>
      <c r="E172" s="128">
        <f t="shared" si="8"/>
        <v>1</v>
      </c>
      <c r="F172" s="24" t="s">
        <v>18</v>
      </c>
      <c r="G172" s="131"/>
      <c r="H172" s="131"/>
      <c r="I172" s="132">
        <f t="shared" si="12"/>
        <v>0</v>
      </c>
      <c r="J172" s="113">
        <v>0.5</v>
      </c>
      <c r="K172" s="132">
        <f t="shared" si="13"/>
        <v>0</v>
      </c>
      <c r="L172" s="133">
        <f t="shared" si="14"/>
        <v>0</v>
      </c>
    </row>
    <row r="173" spans="1:12" ht="17.25" customHeight="1" x14ac:dyDescent="0.35">
      <c r="A173" s="138">
        <v>48</v>
      </c>
      <c r="B173" s="130" t="s">
        <v>710</v>
      </c>
      <c r="C173" s="123">
        <v>1</v>
      </c>
      <c r="D173" s="127">
        <v>0</v>
      </c>
      <c r="E173" s="128">
        <f t="shared" si="8"/>
        <v>1</v>
      </c>
      <c r="F173" s="24" t="s">
        <v>18</v>
      </c>
      <c r="G173" s="131"/>
      <c r="H173" s="131"/>
      <c r="I173" s="132">
        <f t="shared" si="12"/>
        <v>0</v>
      </c>
      <c r="J173" s="113">
        <v>0.5</v>
      </c>
      <c r="K173" s="132">
        <f t="shared" si="13"/>
        <v>0</v>
      </c>
      <c r="L173" s="133">
        <f t="shared" si="14"/>
        <v>0</v>
      </c>
    </row>
    <row r="174" spans="1:12" ht="17.25" customHeight="1" x14ac:dyDescent="0.35">
      <c r="A174" s="138">
        <v>49</v>
      </c>
      <c r="B174" s="130" t="s">
        <v>765</v>
      </c>
      <c r="C174" s="123">
        <v>2</v>
      </c>
      <c r="D174" s="127">
        <v>0</v>
      </c>
      <c r="E174" s="128">
        <f t="shared" ref="E174:E186" si="15">C174*(1+D174)</f>
        <v>2</v>
      </c>
      <c r="F174" s="24" t="s">
        <v>18</v>
      </c>
      <c r="G174" s="131"/>
      <c r="H174" s="131"/>
      <c r="I174" s="132">
        <f t="shared" si="12"/>
        <v>0</v>
      </c>
      <c r="J174" s="113">
        <v>1</v>
      </c>
      <c r="K174" s="132">
        <f t="shared" si="13"/>
        <v>0</v>
      </c>
      <c r="L174" s="133">
        <f t="shared" si="14"/>
        <v>0</v>
      </c>
    </row>
    <row r="175" spans="1:12" ht="17.25" customHeight="1" x14ac:dyDescent="0.35">
      <c r="A175" s="138">
        <v>50</v>
      </c>
      <c r="B175" s="130" t="s">
        <v>766</v>
      </c>
      <c r="C175" s="123">
        <v>2</v>
      </c>
      <c r="D175" s="127">
        <v>0</v>
      </c>
      <c r="E175" s="128">
        <f t="shared" si="15"/>
        <v>2</v>
      </c>
      <c r="F175" s="24" t="s">
        <v>18</v>
      </c>
      <c r="G175" s="131"/>
      <c r="H175" s="131"/>
      <c r="I175" s="132">
        <f t="shared" si="12"/>
        <v>0</v>
      </c>
      <c r="J175" s="113">
        <v>1</v>
      </c>
      <c r="K175" s="132">
        <f t="shared" si="13"/>
        <v>0</v>
      </c>
      <c r="L175" s="133">
        <f t="shared" si="14"/>
        <v>0</v>
      </c>
    </row>
    <row r="176" spans="1:12" ht="17.25" customHeight="1" x14ac:dyDescent="0.35">
      <c r="A176" s="138">
        <v>51</v>
      </c>
      <c r="B176" s="130" t="s">
        <v>767</v>
      </c>
      <c r="C176" s="123">
        <v>1</v>
      </c>
      <c r="D176" s="127">
        <v>0</v>
      </c>
      <c r="E176" s="128">
        <f t="shared" si="15"/>
        <v>1</v>
      </c>
      <c r="F176" s="24" t="s">
        <v>18</v>
      </c>
      <c r="G176" s="131"/>
      <c r="H176" s="131"/>
      <c r="I176" s="132">
        <f t="shared" si="12"/>
        <v>0</v>
      </c>
      <c r="J176" s="113">
        <v>0.5</v>
      </c>
      <c r="K176" s="132">
        <f t="shared" si="13"/>
        <v>0</v>
      </c>
      <c r="L176" s="133">
        <f t="shared" si="14"/>
        <v>0</v>
      </c>
    </row>
    <row r="177" spans="1:12" ht="17.25" customHeight="1" x14ac:dyDescent="0.35">
      <c r="A177" s="138">
        <v>52</v>
      </c>
      <c r="B177" s="130" t="s">
        <v>768</v>
      </c>
      <c r="C177" s="123">
        <v>1</v>
      </c>
      <c r="D177" s="127">
        <v>0</v>
      </c>
      <c r="E177" s="128">
        <f t="shared" si="15"/>
        <v>1</v>
      </c>
      <c r="F177" s="24" t="s">
        <v>18</v>
      </c>
      <c r="G177" s="131"/>
      <c r="H177" s="131"/>
      <c r="I177" s="132">
        <f t="shared" si="12"/>
        <v>0</v>
      </c>
      <c r="J177" s="113">
        <v>0.5</v>
      </c>
      <c r="K177" s="132">
        <f t="shared" si="13"/>
        <v>0</v>
      </c>
      <c r="L177" s="133">
        <f t="shared" si="14"/>
        <v>0</v>
      </c>
    </row>
    <row r="178" spans="1:12" ht="17.25" customHeight="1" x14ac:dyDescent="0.35">
      <c r="A178" s="138">
        <v>53</v>
      </c>
      <c r="B178" s="130" t="s">
        <v>760</v>
      </c>
      <c r="C178" s="123">
        <v>1</v>
      </c>
      <c r="D178" s="127">
        <v>0</v>
      </c>
      <c r="E178" s="128">
        <f t="shared" si="15"/>
        <v>1</v>
      </c>
      <c r="F178" s="24" t="s">
        <v>18</v>
      </c>
      <c r="G178" s="131"/>
      <c r="H178" s="131"/>
      <c r="I178" s="132">
        <f t="shared" si="12"/>
        <v>0</v>
      </c>
      <c r="J178" s="113">
        <v>0.5</v>
      </c>
      <c r="K178" s="132">
        <f t="shared" si="13"/>
        <v>0</v>
      </c>
      <c r="L178" s="133">
        <f t="shared" si="14"/>
        <v>0</v>
      </c>
    </row>
    <row r="179" spans="1:12" ht="17.25" customHeight="1" x14ac:dyDescent="0.35">
      <c r="A179" s="138">
        <v>54</v>
      </c>
      <c r="B179" s="130" t="s">
        <v>769</v>
      </c>
      <c r="C179" s="123">
        <v>1</v>
      </c>
      <c r="D179" s="127">
        <v>0</v>
      </c>
      <c r="E179" s="128">
        <f t="shared" si="15"/>
        <v>1</v>
      </c>
      <c r="F179" s="24" t="s">
        <v>18</v>
      </c>
      <c r="G179" s="131"/>
      <c r="H179" s="131"/>
      <c r="I179" s="132">
        <f t="shared" si="12"/>
        <v>0</v>
      </c>
      <c r="J179" s="113">
        <v>0.5</v>
      </c>
      <c r="K179" s="132">
        <f t="shared" si="13"/>
        <v>0</v>
      </c>
      <c r="L179" s="133">
        <f t="shared" si="14"/>
        <v>0</v>
      </c>
    </row>
    <row r="180" spans="1:12" ht="17.25" customHeight="1" x14ac:dyDescent="0.35">
      <c r="A180" s="138">
        <v>55</v>
      </c>
      <c r="B180" s="130" t="s">
        <v>751</v>
      </c>
      <c r="C180" s="123">
        <v>1</v>
      </c>
      <c r="D180" s="127">
        <v>0</v>
      </c>
      <c r="E180" s="128">
        <f t="shared" si="15"/>
        <v>1</v>
      </c>
      <c r="F180" s="24" t="s">
        <v>18</v>
      </c>
      <c r="G180" s="131"/>
      <c r="H180" s="131"/>
      <c r="I180" s="132">
        <f t="shared" si="12"/>
        <v>0</v>
      </c>
      <c r="J180" s="113">
        <v>0.5</v>
      </c>
      <c r="K180" s="132">
        <f t="shared" si="13"/>
        <v>0</v>
      </c>
      <c r="L180" s="133">
        <f t="shared" si="14"/>
        <v>0</v>
      </c>
    </row>
    <row r="181" spans="1:12" ht="17.25" customHeight="1" x14ac:dyDescent="0.35">
      <c r="A181" s="138">
        <v>56</v>
      </c>
      <c r="B181" s="130" t="s">
        <v>747</v>
      </c>
      <c r="C181" s="123">
        <v>1</v>
      </c>
      <c r="D181" s="127">
        <v>0</v>
      </c>
      <c r="E181" s="128">
        <f t="shared" si="15"/>
        <v>1</v>
      </c>
      <c r="F181" s="24" t="s">
        <v>18</v>
      </c>
      <c r="G181" s="131"/>
      <c r="H181" s="131"/>
      <c r="I181" s="132">
        <f t="shared" si="12"/>
        <v>0</v>
      </c>
      <c r="J181" s="113">
        <v>0.5</v>
      </c>
      <c r="K181" s="132">
        <f t="shared" si="13"/>
        <v>0</v>
      </c>
      <c r="L181" s="133">
        <f t="shared" si="14"/>
        <v>0</v>
      </c>
    </row>
    <row r="182" spans="1:12" ht="17.25" customHeight="1" x14ac:dyDescent="0.35">
      <c r="A182" s="138">
        <v>57</v>
      </c>
      <c r="B182" s="130" t="s">
        <v>770</v>
      </c>
      <c r="C182" s="123">
        <v>1</v>
      </c>
      <c r="D182" s="127">
        <v>0</v>
      </c>
      <c r="E182" s="128">
        <f t="shared" si="15"/>
        <v>1</v>
      </c>
      <c r="F182" s="24" t="s">
        <v>18</v>
      </c>
      <c r="G182" s="131"/>
      <c r="H182" s="131"/>
      <c r="I182" s="132">
        <f t="shared" si="12"/>
        <v>0</v>
      </c>
      <c r="J182" s="113">
        <v>0.5</v>
      </c>
      <c r="K182" s="132">
        <f t="shared" si="13"/>
        <v>0</v>
      </c>
      <c r="L182" s="133">
        <f t="shared" si="14"/>
        <v>0</v>
      </c>
    </row>
    <row r="183" spans="1:12" ht="17.25" customHeight="1" x14ac:dyDescent="0.35">
      <c r="A183" s="138">
        <v>58</v>
      </c>
      <c r="B183" s="130" t="s">
        <v>771</v>
      </c>
      <c r="C183" s="123">
        <v>1</v>
      </c>
      <c r="D183" s="127">
        <v>0</v>
      </c>
      <c r="E183" s="128">
        <f t="shared" si="15"/>
        <v>1</v>
      </c>
      <c r="F183" s="24" t="s">
        <v>18</v>
      </c>
      <c r="G183" s="131"/>
      <c r="H183" s="131"/>
      <c r="I183" s="132">
        <f t="shared" si="12"/>
        <v>0</v>
      </c>
      <c r="J183" s="113">
        <v>0.5</v>
      </c>
      <c r="K183" s="132">
        <f t="shared" si="13"/>
        <v>0</v>
      </c>
      <c r="L183" s="133">
        <f t="shared" si="14"/>
        <v>0</v>
      </c>
    </row>
    <row r="184" spans="1:12" ht="17.25" customHeight="1" x14ac:dyDescent="0.35">
      <c r="A184" s="138">
        <v>59</v>
      </c>
      <c r="B184" s="130" t="s">
        <v>772</v>
      </c>
      <c r="C184" s="123">
        <v>1</v>
      </c>
      <c r="D184" s="127">
        <v>0</v>
      </c>
      <c r="E184" s="128">
        <f t="shared" si="15"/>
        <v>1</v>
      </c>
      <c r="F184" s="24" t="s">
        <v>18</v>
      </c>
      <c r="G184" s="131"/>
      <c r="H184" s="131"/>
      <c r="I184" s="132">
        <f t="shared" si="12"/>
        <v>0</v>
      </c>
      <c r="J184" s="113">
        <v>0.5</v>
      </c>
      <c r="K184" s="132">
        <f t="shared" si="13"/>
        <v>0</v>
      </c>
      <c r="L184" s="133">
        <f t="shared" si="14"/>
        <v>0</v>
      </c>
    </row>
    <row r="185" spans="1:12" ht="17.25" customHeight="1" x14ac:dyDescent="0.35">
      <c r="A185" s="138">
        <v>60</v>
      </c>
      <c r="B185" s="130" t="s">
        <v>773</v>
      </c>
      <c r="C185" s="123">
        <v>1</v>
      </c>
      <c r="D185" s="127">
        <v>0</v>
      </c>
      <c r="E185" s="128">
        <f t="shared" si="15"/>
        <v>1</v>
      </c>
      <c r="F185" s="24" t="s">
        <v>18</v>
      </c>
      <c r="G185" s="131"/>
      <c r="H185" s="131"/>
      <c r="I185" s="132">
        <f t="shared" si="12"/>
        <v>0</v>
      </c>
      <c r="J185" s="113">
        <v>0.5</v>
      </c>
      <c r="K185" s="132">
        <f t="shared" si="13"/>
        <v>0</v>
      </c>
      <c r="L185" s="133">
        <f t="shared" si="14"/>
        <v>0</v>
      </c>
    </row>
    <row r="186" spans="1:12" ht="17.25" customHeight="1" x14ac:dyDescent="0.35">
      <c r="A186" s="138">
        <v>61</v>
      </c>
      <c r="B186" s="130" t="s">
        <v>774</v>
      </c>
      <c r="C186" s="123">
        <v>1</v>
      </c>
      <c r="D186" s="127">
        <v>0</v>
      </c>
      <c r="E186" s="128">
        <f t="shared" si="15"/>
        <v>1</v>
      </c>
      <c r="F186" s="24" t="s">
        <v>18</v>
      </c>
      <c r="G186" s="131"/>
      <c r="H186" s="131"/>
      <c r="I186" s="132">
        <f t="shared" si="12"/>
        <v>0</v>
      </c>
      <c r="J186" s="113">
        <v>0.5</v>
      </c>
      <c r="K186" s="132">
        <f t="shared" si="13"/>
        <v>0</v>
      </c>
      <c r="L186" s="133">
        <f t="shared" si="14"/>
        <v>0</v>
      </c>
    </row>
    <row r="187" spans="1:12" ht="17.25" customHeight="1" thickBot="1" x14ac:dyDescent="0.4">
      <c r="A187" s="129"/>
      <c r="B187" s="130"/>
      <c r="C187" s="123"/>
      <c r="D187" s="127"/>
      <c r="E187" s="128"/>
      <c r="F187" s="24"/>
      <c r="G187" s="131"/>
      <c r="H187" s="131"/>
      <c r="I187" s="132"/>
      <c r="J187" s="113"/>
      <c r="K187" s="132"/>
      <c r="L187" s="133"/>
    </row>
    <row r="188" spans="1:12" ht="17.25" customHeight="1" thickBot="1" x14ac:dyDescent="0.4">
      <c r="A188" s="382" t="s">
        <v>1107</v>
      </c>
      <c r="B188" s="383"/>
      <c r="C188" s="134"/>
      <c r="D188" s="127"/>
      <c r="E188" s="128"/>
      <c r="F188" s="24"/>
      <c r="G188" s="131"/>
      <c r="H188" s="131"/>
      <c r="I188" s="132"/>
      <c r="J188" s="113"/>
      <c r="K188" s="132"/>
      <c r="L188" s="133"/>
    </row>
    <row r="189" spans="1:12" ht="17.25" customHeight="1" x14ac:dyDescent="0.35">
      <c r="A189" s="138">
        <v>1</v>
      </c>
      <c r="B189" s="139" t="s">
        <v>624</v>
      </c>
      <c r="C189" s="123">
        <v>8</v>
      </c>
      <c r="D189" s="127">
        <v>0</v>
      </c>
      <c r="E189" s="128">
        <f t="shared" ref="E189:E252" si="16">C189*(1+D189)</f>
        <v>8</v>
      </c>
      <c r="F189" s="24" t="s">
        <v>18</v>
      </c>
      <c r="G189" s="131"/>
      <c r="H189" s="131"/>
      <c r="I189" s="132">
        <f t="shared" ref="I189:I252" si="17">L$4</f>
        <v>0</v>
      </c>
      <c r="J189" s="113">
        <v>4</v>
      </c>
      <c r="K189" s="132">
        <f t="shared" ref="K189:K252" si="18">J189*I189</f>
        <v>0</v>
      </c>
      <c r="L189" s="133">
        <f t="shared" ref="L189:L252" si="19">K189+H189</f>
        <v>0</v>
      </c>
    </row>
    <row r="190" spans="1:12" ht="17.25" customHeight="1" x14ac:dyDescent="0.35">
      <c r="A190" s="138">
        <v>2</v>
      </c>
      <c r="B190" s="141" t="s">
        <v>616</v>
      </c>
      <c r="C190" s="123">
        <v>2</v>
      </c>
      <c r="D190" s="127">
        <v>0</v>
      </c>
      <c r="E190" s="128">
        <f t="shared" si="16"/>
        <v>2</v>
      </c>
      <c r="F190" s="24" t="s">
        <v>18</v>
      </c>
      <c r="G190" s="131"/>
      <c r="H190" s="131"/>
      <c r="I190" s="132">
        <f t="shared" si="17"/>
        <v>0</v>
      </c>
      <c r="J190" s="113">
        <v>1</v>
      </c>
      <c r="K190" s="132">
        <f t="shared" si="18"/>
        <v>0</v>
      </c>
      <c r="L190" s="133">
        <f t="shared" si="19"/>
        <v>0</v>
      </c>
    </row>
    <row r="191" spans="1:12" ht="17.25" customHeight="1" x14ac:dyDescent="0.35">
      <c r="A191" s="138">
        <v>3</v>
      </c>
      <c r="B191" s="140" t="s">
        <v>775</v>
      </c>
      <c r="C191" s="123">
        <v>11</v>
      </c>
      <c r="D191" s="127">
        <v>0</v>
      </c>
      <c r="E191" s="128">
        <f t="shared" si="16"/>
        <v>11</v>
      </c>
      <c r="F191" s="24" t="s">
        <v>18</v>
      </c>
      <c r="G191" s="131"/>
      <c r="H191" s="131"/>
      <c r="I191" s="132">
        <f t="shared" si="17"/>
        <v>0</v>
      </c>
      <c r="J191" s="113">
        <v>5.5</v>
      </c>
      <c r="K191" s="132">
        <f t="shared" si="18"/>
        <v>0</v>
      </c>
      <c r="L191" s="133">
        <f t="shared" si="19"/>
        <v>0</v>
      </c>
    </row>
    <row r="192" spans="1:12" ht="17.25" customHeight="1" x14ac:dyDescent="0.35">
      <c r="A192" s="138">
        <v>4</v>
      </c>
      <c r="B192" s="140" t="s">
        <v>619</v>
      </c>
      <c r="C192" s="123">
        <v>6</v>
      </c>
      <c r="D192" s="127">
        <v>0</v>
      </c>
      <c r="E192" s="128">
        <f t="shared" si="16"/>
        <v>6</v>
      </c>
      <c r="F192" s="24" t="s">
        <v>18</v>
      </c>
      <c r="G192" s="131"/>
      <c r="H192" s="131"/>
      <c r="I192" s="132">
        <f t="shared" si="17"/>
        <v>0</v>
      </c>
      <c r="J192" s="113">
        <v>3</v>
      </c>
      <c r="K192" s="132">
        <f t="shared" si="18"/>
        <v>0</v>
      </c>
      <c r="L192" s="133">
        <f t="shared" si="19"/>
        <v>0</v>
      </c>
    </row>
    <row r="193" spans="1:12" ht="17.25" customHeight="1" x14ac:dyDescent="0.35">
      <c r="A193" s="138">
        <v>5</v>
      </c>
      <c r="B193" s="140" t="s">
        <v>623</v>
      </c>
      <c r="C193" s="123">
        <v>57</v>
      </c>
      <c r="D193" s="127">
        <v>0</v>
      </c>
      <c r="E193" s="128">
        <f t="shared" si="16"/>
        <v>57</v>
      </c>
      <c r="F193" s="24" t="s">
        <v>18</v>
      </c>
      <c r="G193" s="131"/>
      <c r="H193" s="131"/>
      <c r="I193" s="132">
        <f t="shared" si="17"/>
        <v>0</v>
      </c>
      <c r="J193" s="113">
        <v>28.5</v>
      </c>
      <c r="K193" s="132">
        <f t="shared" si="18"/>
        <v>0</v>
      </c>
      <c r="L193" s="133">
        <f t="shared" si="19"/>
        <v>0</v>
      </c>
    </row>
    <row r="194" spans="1:12" ht="17.25" customHeight="1" x14ac:dyDescent="0.35">
      <c r="A194" s="138">
        <v>6</v>
      </c>
      <c r="B194" s="140" t="s">
        <v>621</v>
      </c>
      <c r="C194" s="123">
        <v>23</v>
      </c>
      <c r="D194" s="127">
        <v>0</v>
      </c>
      <c r="E194" s="128">
        <f t="shared" si="16"/>
        <v>23</v>
      </c>
      <c r="F194" s="24" t="s">
        <v>18</v>
      </c>
      <c r="G194" s="131"/>
      <c r="H194" s="131"/>
      <c r="I194" s="132">
        <f t="shared" si="17"/>
        <v>0</v>
      </c>
      <c r="J194" s="113">
        <v>11.5</v>
      </c>
      <c r="K194" s="132">
        <f t="shared" si="18"/>
        <v>0</v>
      </c>
      <c r="L194" s="133">
        <f t="shared" si="19"/>
        <v>0</v>
      </c>
    </row>
    <row r="195" spans="1:12" ht="17.25" customHeight="1" x14ac:dyDescent="0.35">
      <c r="A195" s="138">
        <v>7</v>
      </c>
      <c r="B195" s="140" t="s">
        <v>625</v>
      </c>
      <c r="C195" s="123">
        <v>8</v>
      </c>
      <c r="D195" s="127">
        <v>0</v>
      </c>
      <c r="E195" s="128">
        <f t="shared" si="16"/>
        <v>8</v>
      </c>
      <c r="F195" s="24" t="s">
        <v>18</v>
      </c>
      <c r="G195" s="131"/>
      <c r="H195" s="131"/>
      <c r="I195" s="132">
        <f t="shared" si="17"/>
        <v>0</v>
      </c>
      <c r="J195" s="113">
        <v>4</v>
      </c>
      <c r="K195" s="132">
        <f t="shared" si="18"/>
        <v>0</v>
      </c>
      <c r="L195" s="133">
        <f t="shared" si="19"/>
        <v>0</v>
      </c>
    </row>
    <row r="196" spans="1:12" ht="17.25" customHeight="1" x14ac:dyDescent="0.35">
      <c r="A196" s="138">
        <v>8</v>
      </c>
      <c r="B196" s="140" t="s">
        <v>617</v>
      </c>
      <c r="C196" s="123">
        <v>11</v>
      </c>
      <c r="D196" s="127">
        <v>0</v>
      </c>
      <c r="E196" s="128">
        <f t="shared" si="16"/>
        <v>11</v>
      </c>
      <c r="F196" s="24" t="s">
        <v>18</v>
      </c>
      <c r="G196" s="131"/>
      <c r="H196" s="131"/>
      <c r="I196" s="132">
        <f t="shared" si="17"/>
        <v>0</v>
      </c>
      <c r="J196" s="113">
        <v>5.5</v>
      </c>
      <c r="K196" s="132">
        <f t="shared" si="18"/>
        <v>0</v>
      </c>
      <c r="L196" s="133">
        <f t="shared" si="19"/>
        <v>0</v>
      </c>
    </row>
    <row r="197" spans="1:12" ht="17.25" customHeight="1" x14ac:dyDescent="0.35">
      <c r="A197" s="138">
        <v>9</v>
      </c>
      <c r="B197" s="140" t="s">
        <v>646</v>
      </c>
      <c r="C197" s="123">
        <v>9</v>
      </c>
      <c r="D197" s="127">
        <v>0</v>
      </c>
      <c r="E197" s="128">
        <f t="shared" si="16"/>
        <v>9</v>
      </c>
      <c r="F197" s="24" t="s">
        <v>18</v>
      </c>
      <c r="G197" s="131"/>
      <c r="H197" s="131"/>
      <c r="I197" s="132">
        <f t="shared" si="17"/>
        <v>0</v>
      </c>
      <c r="J197" s="113">
        <v>4.5</v>
      </c>
      <c r="K197" s="132">
        <f t="shared" si="18"/>
        <v>0</v>
      </c>
      <c r="L197" s="133">
        <f t="shared" si="19"/>
        <v>0</v>
      </c>
    </row>
    <row r="198" spans="1:12" ht="17.25" customHeight="1" x14ac:dyDescent="0.35">
      <c r="A198" s="138">
        <v>10</v>
      </c>
      <c r="B198" s="140" t="s">
        <v>632</v>
      </c>
      <c r="C198" s="123">
        <v>7</v>
      </c>
      <c r="D198" s="127">
        <v>0</v>
      </c>
      <c r="E198" s="128">
        <f t="shared" si="16"/>
        <v>7</v>
      </c>
      <c r="F198" s="24" t="s">
        <v>18</v>
      </c>
      <c r="G198" s="131"/>
      <c r="H198" s="131"/>
      <c r="I198" s="132">
        <f t="shared" si="17"/>
        <v>0</v>
      </c>
      <c r="J198" s="113">
        <v>3.5</v>
      </c>
      <c r="K198" s="132">
        <f t="shared" si="18"/>
        <v>0</v>
      </c>
      <c r="L198" s="133">
        <f t="shared" si="19"/>
        <v>0</v>
      </c>
    </row>
    <row r="199" spans="1:12" ht="17.25" customHeight="1" x14ac:dyDescent="0.35">
      <c r="A199" s="138">
        <v>11</v>
      </c>
      <c r="B199" s="140" t="s">
        <v>635</v>
      </c>
      <c r="C199" s="123">
        <v>4</v>
      </c>
      <c r="D199" s="127">
        <v>0</v>
      </c>
      <c r="E199" s="128">
        <f t="shared" si="16"/>
        <v>4</v>
      </c>
      <c r="F199" s="24" t="s">
        <v>18</v>
      </c>
      <c r="G199" s="131"/>
      <c r="H199" s="131"/>
      <c r="I199" s="132">
        <f t="shared" si="17"/>
        <v>0</v>
      </c>
      <c r="J199" s="113">
        <v>2</v>
      </c>
      <c r="K199" s="132">
        <f t="shared" si="18"/>
        <v>0</v>
      </c>
      <c r="L199" s="133">
        <f t="shared" si="19"/>
        <v>0</v>
      </c>
    </row>
    <row r="200" spans="1:12" ht="17.25" customHeight="1" x14ac:dyDescent="0.35">
      <c r="A200" s="138">
        <v>12</v>
      </c>
      <c r="B200" s="140" t="s">
        <v>625</v>
      </c>
      <c r="C200" s="123">
        <v>3</v>
      </c>
      <c r="D200" s="127">
        <v>0</v>
      </c>
      <c r="E200" s="128">
        <f t="shared" si="16"/>
        <v>3</v>
      </c>
      <c r="F200" s="24" t="s">
        <v>18</v>
      </c>
      <c r="G200" s="131"/>
      <c r="H200" s="131"/>
      <c r="I200" s="132">
        <f t="shared" si="17"/>
        <v>0</v>
      </c>
      <c r="J200" s="113">
        <v>1.5</v>
      </c>
      <c r="K200" s="132">
        <f t="shared" si="18"/>
        <v>0</v>
      </c>
      <c r="L200" s="133">
        <f t="shared" si="19"/>
        <v>0</v>
      </c>
    </row>
    <row r="201" spans="1:12" ht="17.25" customHeight="1" x14ac:dyDescent="0.35">
      <c r="A201" s="138">
        <v>13</v>
      </c>
      <c r="B201" s="140" t="s">
        <v>630</v>
      </c>
      <c r="C201" s="123">
        <v>2</v>
      </c>
      <c r="D201" s="127">
        <v>0</v>
      </c>
      <c r="E201" s="128">
        <f t="shared" si="16"/>
        <v>2</v>
      </c>
      <c r="F201" s="24" t="s">
        <v>18</v>
      </c>
      <c r="G201" s="131"/>
      <c r="H201" s="131"/>
      <c r="I201" s="132">
        <f t="shared" si="17"/>
        <v>0</v>
      </c>
      <c r="J201" s="113">
        <v>1</v>
      </c>
      <c r="K201" s="132">
        <f t="shared" si="18"/>
        <v>0</v>
      </c>
      <c r="L201" s="133">
        <f t="shared" si="19"/>
        <v>0</v>
      </c>
    </row>
    <row r="202" spans="1:12" ht="17.25" customHeight="1" x14ac:dyDescent="0.35">
      <c r="A202" s="138">
        <v>14</v>
      </c>
      <c r="B202" s="130" t="s">
        <v>629</v>
      </c>
      <c r="C202" s="123">
        <v>3</v>
      </c>
      <c r="D202" s="127">
        <v>0</v>
      </c>
      <c r="E202" s="128">
        <f t="shared" si="16"/>
        <v>3</v>
      </c>
      <c r="F202" s="24" t="s">
        <v>18</v>
      </c>
      <c r="G202" s="131"/>
      <c r="H202" s="131"/>
      <c r="I202" s="132">
        <f t="shared" si="17"/>
        <v>0</v>
      </c>
      <c r="J202" s="113">
        <v>1.5</v>
      </c>
      <c r="K202" s="132">
        <f t="shared" si="18"/>
        <v>0</v>
      </c>
      <c r="L202" s="133">
        <f t="shared" si="19"/>
        <v>0</v>
      </c>
    </row>
    <row r="203" spans="1:12" ht="17.25" customHeight="1" x14ac:dyDescent="0.35">
      <c r="A203" s="138">
        <v>15</v>
      </c>
      <c r="B203" s="130" t="s">
        <v>641</v>
      </c>
      <c r="C203" s="123">
        <v>1</v>
      </c>
      <c r="D203" s="127">
        <v>0</v>
      </c>
      <c r="E203" s="128">
        <f t="shared" si="16"/>
        <v>1</v>
      </c>
      <c r="F203" s="24" t="s">
        <v>18</v>
      </c>
      <c r="G203" s="131"/>
      <c r="H203" s="131"/>
      <c r="I203" s="132">
        <f t="shared" si="17"/>
        <v>0</v>
      </c>
      <c r="J203" s="113">
        <v>0.5</v>
      </c>
      <c r="K203" s="132">
        <f t="shared" si="18"/>
        <v>0</v>
      </c>
      <c r="L203" s="133">
        <f t="shared" si="19"/>
        <v>0</v>
      </c>
    </row>
    <row r="204" spans="1:12" ht="17.25" customHeight="1" x14ac:dyDescent="0.35">
      <c r="A204" s="138">
        <v>16</v>
      </c>
      <c r="B204" s="130" t="s">
        <v>776</v>
      </c>
      <c r="C204" s="123">
        <v>9</v>
      </c>
      <c r="D204" s="127">
        <v>0</v>
      </c>
      <c r="E204" s="128">
        <f t="shared" si="16"/>
        <v>9</v>
      </c>
      <c r="F204" s="24" t="s">
        <v>18</v>
      </c>
      <c r="G204" s="131"/>
      <c r="H204" s="131"/>
      <c r="I204" s="132">
        <f t="shared" si="17"/>
        <v>0</v>
      </c>
      <c r="J204" s="113">
        <v>4.5</v>
      </c>
      <c r="K204" s="132">
        <f t="shared" si="18"/>
        <v>0</v>
      </c>
      <c r="L204" s="133">
        <f t="shared" si="19"/>
        <v>0</v>
      </c>
    </row>
    <row r="205" spans="1:12" ht="17.25" customHeight="1" x14ac:dyDescent="0.35">
      <c r="A205" s="138">
        <v>17</v>
      </c>
      <c r="B205" s="130" t="s">
        <v>638</v>
      </c>
      <c r="C205" s="123">
        <v>6</v>
      </c>
      <c r="D205" s="127">
        <v>0</v>
      </c>
      <c r="E205" s="128">
        <f t="shared" si="16"/>
        <v>6</v>
      </c>
      <c r="F205" s="24" t="s">
        <v>18</v>
      </c>
      <c r="G205" s="131"/>
      <c r="H205" s="131"/>
      <c r="I205" s="132">
        <f t="shared" si="17"/>
        <v>0</v>
      </c>
      <c r="J205" s="113">
        <v>3</v>
      </c>
      <c r="K205" s="132">
        <f t="shared" si="18"/>
        <v>0</v>
      </c>
      <c r="L205" s="133">
        <f t="shared" si="19"/>
        <v>0</v>
      </c>
    </row>
    <row r="206" spans="1:12" ht="17.25" customHeight="1" x14ac:dyDescent="0.35">
      <c r="A206" s="138">
        <v>18</v>
      </c>
      <c r="B206" s="130" t="s">
        <v>777</v>
      </c>
      <c r="C206" s="123">
        <v>6</v>
      </c>
      <c r="D206" s="127">
        <v>0</v>
      </c>
      <c r="E206" s="128">
        <f t="shared" si="16"/>
        <v>6</v>
      </c>
      <c r="F206" s="24" t="s">
        <v>18</v>
      </c>
      <c r="G206" s="131"/>
      <c r="H206" s="131"/>
      <c r="I206" s="132">
        <f t="shared" si="17"/>
        <v>0</v>
      </c>
      <c r="J206" s="113">
        <v>3</v>
      </c>
      <c r="K206" s="132">
        <f t="shared" si="18"/>
        <v>0</v>
      </c>
      <c r="L206" s="133">
        <f t="shared" si="19"/>
        <v>0</v>
      </c>
    </row>
    <row r="207" spans="1:12" ht="17.25" customHeight="1" x14ac:dyDescent="0.35">
      <c r="A207" s="138">
        <v>19</v>
      </c>
      <c r="B207" s="130" t="s">
        <v>618</v>
      </c>
      <c r="C207" s="123">
        <v>23</v>
      </c>
      <c r="D207" s="127">
        <v>0</v>
      </c>
      <c r="E207" s="128">
        <f t="shared" si="16"/>
        <v>23</v>
      </c>
      <c r="F207" s="24" t="s">
        <v>18</v>
      </c>
      <c r="G207" s="131"/>
      <c r="H207" s="131"/>
      <c r="I207" s="132">
        <f t="shared" si="17"/>
        <v>0</v>
      </c>
      <c r="J207" s="113">
        <v>11.5</v>
      </c>
      <c r="K207" s="132">
        <f t="shared" si="18"/>
        <v>0</v>
      </c>
      <c r="L207" s="133">
        <f t="shared" si="19"/>
        <v>0</v>
      </c>
    </row>
    <row r="208" spans="1:12" ht="17.25" customHeight="1" x14ac:dyDescent="0.35">
      <c r="A208" s="138">
        <v>20</v>
      </c>
      <c r="B208" s="130" t="s">
        <v>634</v>
      </c>
      <c r="C208" s="123">
        <v>15</v>
      </c>
      <c r="D208" s="127">
        <v>0</v>
      </c>
      <c r="E208" s="128">
        <f t="shared" si="16"/>
        <v>15</v>
      </c>
      <c r="F208" s="24" t="s">
        <v>18</v>
      </c>
      <c r="G208" s="131"/>
      <c r="H208" s="131"/>
      <c r="I208" s="132">
        <f t="shared" si="17"/>
        <v>0</v>
      </c>
      <c r="J208" s="113">
        <v>7.5</v>
      </c>
      <c r="K208" s="132">
        <f t="shared" si="18"/>
        <v>0</v>
      </c>
      <c r="L208" s="133">
        <f t="shared" si="19"/>
        <v>0</v>
      </c>
    </row>
    <row r="209" spans="1:12" ht="17.25" customHeight="1" x14ac:dyDescent="0.35">
      <c r="A209" s="138">
        <v>21</v>
      </c>
      <c r="B209" s="130" t="s">
        <v>617</v>
      </c>
      <c r="C209" s="123">
        <v>3</v>
      </c>
      <c r="D209" s="127">
        <v>0</v>
      </c>
      <c r="E209" s="128">
        <f t="shared" si="16"/>
        <v>3</v>
      </c>
      <c r="F209" s="24" t="s">
        <v>18</v>
      </c>
      <c r="G209" s="131"/>
      <c r="H209" s="131"/>
      <c r="I209" s="132">
        <f t="shared" si="17"/>
        <v>0</v>
      </c>
      <c r="J209" s="113">
        <v>1.5</v>
      </c>
      <c r="K209" s="132">
        <f t="shared" si="18"/>
        <v>0</v>
      </c>
      <c r="L209" s="133">
        <f t="shared" si="19"/>
        <v>0</v>
      </c>
    </row>
    <row r="210" spans="1:12" ht="17.25" customHeight="1" x14ac:dyDescent="0.35">
      <c r="A210" s="138">
        <v>22</v>
      </c>
      <c r="B210" s="130" t="s">
        <v>633</v>
      </c>
      <c r="C210" s="123">
        <v>3</v>
      </c>
      <c r="D210" s="127">
        <v>0</v>
      </c>
      <c r="E210" s="128">
        <f t="shared" si="16"/>
        <v>3</v>
      </c>
      <c r="F210" s="24" t="s">
        <v>18</v>
      </c>
      <c r="G210" s="131"/>
      <c r="H210" s="131"/>
      <c r="I210" s="132">
        <f t="shared" si="17"/>
        <v>0</v>
      </c>
      <c r="J210" s="113">
        <v>1.5</v>
      </c>
      <c r="K210" s="132">
        <f t="shared" si="18"/>
        <v>0</v>
      </c>
      <c r="L210" s="133">
        <f t="shared" si="19"/>
        <v>0</v>
      </c>
    </row>
    <row r="211" spans="1:12" ht="17.25" customHeight="1" x14ac:dyDescent="0.35">
      <c r="A211" s="138">
        <v>23</v>
      </c>
      <c r="B211" s="130" t="s">
        <v>619</v>
      </c>
      <c r="C211" s="123">
        <v>12</v>
      </c>
      <c r="D211" s="127">
        <v>0</v>
      </c>
      <c r="E211" s="128">
        <f t="shared" si="16"/>
        <v>12</v>
      </c>
      <c r="F211" s="24" t="s">
        <v>18</v>
      </c>
      <c r="G211" s="131"/>
      <c r="H211" s="131"/>
      <c r="I211" s="132">
        <f t="shared" si="17"/>
        <v>0</v>
      </c>
      <c r="J211" s="113">
        <v>6</v>
      </c>
      <c r="K211" s="132">
        <f t="shared" si="18"/>
        <v>0</v>
      </c>
      <c r="L211" s="133">
        <f t="shared" si="19"/>
        <v>0</v>
      </c>
    </row>
    <row r="212" spans="1:12" ht="17.25" customHeight="1" x14ac:dyDescent="0.35">
      <c r="A212" s="138">
        <v>24</v>
      </c>
      <c r="B212" s="130" t="s">
        <v>647</v>
      </c>
      <c r="C212" s="123">
        <v>5</v>
      </c>
      <c r="D212" s="127">
        <v>0</v>
      </c>
      <c r="E212" s="128">
        <f t="shared" si="16"/>
        <v>5</v>
      </c>
      <c r="F212" s="24" t="s">
        <v>18</v>
      </c>
      <c r="G212" s="131"/>
      <c r="H212" s="131"/>
      <c r="I212" s="132">
        <f t="shared" si="17"/>
        <v>0</v>
      </c>
      <c r="J212" s="113">
        <v>2.5</v>
      </c>
      <c r="K212" s="132">
        <f t="shared" si="18"/>
        <v>0</v>
      </c>
      <c r="L212" s="133">
        <f t="shared" si="19"/>
        <v>0</v>
      </c>
    </row>
    <row r="213" spans="1:12" ht="17.25" customHeight="1" x14ac:dyDescent="0.35">
      <c r="A213" s="138">
        <v>25</v>
      </c>
      <c r="B213" s="130" t="s">
        <v>670</v>
      </c>
      <c r="C213" s="123">
        <v>3</v>
      </c>
      <c r="D213" s="127">
        <v>0</v>
      </c>
      <c r="E213" s="128">
        <f t="shared" si="16"/>
        <v>3</v>
      </c>
      <c r="F213" s="24" t="s">
        <v>18</v>
      </c>
      <c r="G213" s="131"/>
      <c r="H213" s="131"/>
      <c r="I213" s="132">
        <f t="shared" si="17"/>
        <v>0</v>
      </c>
      <c r="J213" s="113">
        <v>1.5</v>
      </c>
      <c r="K213" s="132">
        <f t="shared" si="18"/>
        <v>0</v>
      </c>
      <c r="L213" s="133">
        <f t="shared" si="19"/>
        <v>0</v>
      </c>
    </row>
    <row r="214" spans="1:12" ht="17.25" customHeight="1" x14ac:dyDescent="0.35">
      <c r="A214" s="138">
        <v>26</v>
      </c>
      <c r="B214" s="130" t="s">
        <v>778</v>
      </c>
      <c r="C214" s="123">
        <v>2</v>
      </c>
      <c r="D214" s="127">
        <v>0</v>
      </c>
      <c r="E214" s="128">
        <f t="shared" si="16"/>
        <v>2</v>
      </c>
      <c r="F214" s="24" t="s">
        <v>18</v>
      </c>
      <c r="G214" s="131"/>
      <c r="H214" s="131"/>
      <c r="I214" s="132">
        <f t="shared" si="17"/>
        <v>0</v>
      </c>
      <c r="J214" s="113">
        <v>1</v>
      </c>
      <c r="K214" s="132">
        <f t="shared" si="18"/>
        <v>0</v>
      </c>
      <c r="L214" s="133">
        <f t="shared" si="19"/>
        <v>0</v>
      </c>
    </row>
    <row r="215" spans="1:12" ht="17.25" customHeight="1" x14ac:dyDescent="0.35">
      <c r="A215" s="138">
        <v>27</v>
      </c>
      <c r="B215" s="130" t="s">
        <v>779</v>
      </c>
      <c r="C215" s="123">
        <v>4</v>
      </c>
      <c r="D215" s="127">
        <v>0</v>
      </c>
      <c r="E215" s="128">
        <f t="shared" si="16"/>
        <v>4</v>
      </c>
      <c r="F215" s="24" t="s">
        <v>18</v>
      </c>
      <c r="G215" s="131"/>
      <c r="H215" s="131"/>
      <c r="I215" s="132">
        <f t="shared" si="17"/>
        <v>0</v>
      </c>
      <c r="J215" s="113">
        <v>2</v>
      </c>
      <c r="K215" s="132">
        <f t="shared" si="18"/>
        <v>0</v>
      </c>
      <c r="L215" s="133">
        <f t="shared" si="19"/>
        <v>0</v>
      </c>
    </row>
    <row r="216" spans="1:12" ht="17.25" customHeight="1" x14ac:dyDescent="0.35">
      <c r="A216" s="138">
        <v>28</v>
      </c>
      <c r="B216" s="130" t="s">
        <v>667</v>
      </c>
      <c r="C216" s="123">
        <v>2</v>
      </c>
      <c r="D216" s="127">
        <v>0</v>
      </c>
      <c r="E216" s="128">
        <f t="shared" si="16"/>
        <v>2</v>
      </c>
      <c r="F216" s="24" t="s">
        <v>18</v>
      </c>
      <c r="G216" s="131"/>
      <c r="H216" s="131"/>
      <c r="I216" s="132">
        <f t="shared" si="17"/>
        <v>0</v>
      </c>
      <c r="J216" s="113">
        <v>1</v>
      </c>
      <c r="K216" s="132">
        <f t="shared" si="18"/>
        <v>0</v>
      </c>
      <c r="L216" s="133">
        <f t="shared" si="19"/>
        <v>0</v>
      </c>
    </row>
    <row r="217" spans="1:12" ht="17.25" customHeight="1" x14ac:dyDescent="0.35">
      <c r="A217" s="138">
        <v>29</v>
      </c>
      <c r="B217" s="130" t="s">
        <v>669</v>
      </c>
      <c r="C217" s="123">
        <v>5</v>
      </c>
      <c r="D217" s="127">
        <v>0</v>
      </c>
      <c r="E217" s="128">
        <f t="shared" si="16"/>
        <v>5</v>
      </c>
      <c r="F217" s="24" t="s">
        <v>18</v>
      </c>
      <c r="G217" s="131"/>
      <c r="H217" s="131"/>
      <c r="I217" s="132">
        <f t="shared" si="17"/>
        <v>0</v>
      </c>
      <c r="J217" s="113">
        <v>2.5</v>
      </c>
      <c r="K217" s="132">
        <f t="shared" si="18"/>
        <v>0</v>
      </c>
      <c r="L217" s="133">
        <f t="shared" si="19"/>
        <v>0</v>
      </c>
    </row>
    <row r="218" spans="1:12" ht="17.25" customHeight="1" x14ac:dyDescent="0.35">
      <c r="A218" s="138">
        <v>30</v>
      </c>
      <c r="B218" s="130" t="s">
        <v>780</v>
      </c>
      <c r="C218" s="123">
        <v>3</v>
      </c>
      <c r="D218" s="127">
        <v>0</v>
      </c>
      <c r="E218" s="128">
        <f t="shared" si="16"/>
        <v>3</v>
      </c>
      <c r="F218" s="24" t="s">
        <v>18</v>
      </c>
      <c r="G218" s="131"/>
      <c r="H218" s="131"/>
      <c r="I218" s="132">
        <f t="shared" si="17"/>
        <v>0</v>
      </c>
      <c r="J218" s="113">
        <v>1.5</v>
      </c>
      <c r="K218" s="132">
        <f t="shared" si="18"/>
        <v>0</v>
      </c>
      <c r="L218" s="133">
        <f t="shared" si="19"/>
        <v>0</v>
      </c>
    </row>
    <row r="219" spans="1:12" ht="17.25" customHeight="1" x14ac:dyDescent="0.35">
      <c r="A219" s="138">
        <v>31</v>
      </c>
      <c r="B219" s="130" t="s">
        <v>643</v>
      </c>
      <c r="C219" s="123">
        <v>6</v>
      </c>
      <c r="D219" s="127">
        <v>0</v>
      </c>
      <c r="E219" s="128">
        <f t="shared" si="16"/>
        <v>6</v>
      </c>
      <c r="F219" s="24" t="s">
        <v>18</v>
      </c>
      <c r="G219" s="131"/>
      <c r="H219" s="131"/>
      <c r="I219" s="132">
        <f t="shared" si="17"/>
        <v>0</v>
      </c>
      <c r="J219" s="113">
        <v>3</v>
      </c>
      <c r="K219" s="132">
        <f t="shared" si="18"/>
        <v>0</v>
      </c>
      <c r="L219" s="133">
        <f t="shared" si="19"/>
        <v>0</v>
      </c>
    </row>
    <row r="220" spans="1:12" ht="17.25" customHeight="1" x14ac:dyDescent="0.35">
      <c r="A220" s="138">
        <v>32</v>
      </c>
      <c r="B220" s="130" t="s">
        <v>781</v>
      </c>
      <c r="C220" s="123">
        <v>6</v>
      </c>
      <c r="D220" s="127">
        <v>0</v>
      </c>
      <c r="E220" s="128">
        <f t="shared" si="16"/>
        <v>6</v>
      </c>
      <c r="F220" s="24" t="s">
        <v>18</v>
      </c>
      <c r="G220" s="131"/>
      <c r="H220" s="131"/>
      <c r="I220" s="132">
        <f t="shared" si="17"/>
        <v>0</v>
      </c>
      <c r="J220" s="113">
        <v>3</v>
      </c>
      <c r="K220" s="132">
        <f t="shared" si="18"/>
        <v>0</v>
      </c>
      <c r="L220" s="133">
        <f t="shared" si="19"/>
        <v>0</v>
      </c>
    </row>
    <row r="221" spans="1:12" ht="17.25" customHeight="1" x14ac:dyDescent="0.35">
      <c r="A221" s="138">
        <v>33</v>
      </c>
      <c r="B221" s="130" t="s">
        <v>639</v>
      </c>
      <c r="C221" s="123">
        <v>14</v>
      </c>
      <c r="D221" s="127">
        <v>0</v>
      </c>
      <c r="E221" s="128">
        <f t="shared" si="16"/>
        <v>14</v>
      </c>
      <c r="F221" s="24" t="s">
        <v>18</v>
      </c>
      <c r="G221" s="131"/>
      <c r="H221" s="131"/>
      <c r="I221" s="132">
        <f t="shared" si="17"/>
        <v>0</v>
      </c>
      <c r="J221" s="113">
        <v>7</v>
      </c>
      <c r="K221" s="132">
        <f t="shared" si="18"/>
        <v>0</v>
      </c>
      <c r="L221" s="133">
        <f t="shared" si="19"/>
        <v>0</v>
      </c>
    </row>
    <row r="222" spans="1:12" ht="17.25" customHeight="1" x14ac:dyDescent="0.35">
      <c r="A222" s="138">
        <v>34</v>
      </c>
      <c r="B222" s="130" t="s">
        <v>640</v>
      </c>
      <c r="C222" s="123">
        <v>2</v>
      </c>
      <c r="D222" s="127">
        <v>0</v>
      </c>
      <c r="E222" s="128">
        <f t="shared" si="16"/>
        <v>2</v>
      </c>
      <c r="F222" s="24" t="s">
        <v>18</v>
      </c>
      <c r="G222" s="131"/>
      <c r="H222" s="131"/>
      <c r="I222" s="132">
        <f t="shared" si="17"/>
        <v>0</v>
      </c>
      <c r="J222" s="113">
        <v>1</v>
      </c>
      <c r="K222" s="132">
        <f t="shared" si="18"/>
        <v>0</v>
      </c>
      <c r="L222" s="133">
        <f t="shared" si="19"/>
        <v>0</v>
      </c>
    </row>
    <row r="223" spans="1:12" ht="17.25" customHeight="1" x14ac:dyDescent="0.35">
      <c r="A223" s="138">
        <v>35</v>
      </c>
      <c r="B223" s="130" t="s">
        <v>655</v>
      </c>
      <c r="C223" s="123">
        <v>2</v>
      </c>
      <c r="D223" s="127">
        <v>0</v>
      </c>
      <c r="E223" s="128">
        <f t="shared" si="16"/>
        <v>2</v>
      </c>
      <c r="F223" s="24" t="s">
        <v>18</v>
      </c>
      <c r="G223" s="131"/>
      <c r="H223" s="131"/>
      <c r="I223" s="132">
        <f t="shared" si="17"/>
        <v>0</v>
      </c>
      <c r="J223" s="113">
        <v>1</v>
      </c>
      <c r="K223" s="132">
        <f t="shared" si="18"/>
        <v>0</v>
      </c>
      <c r="L223" s="133">
        <f t="shared" si="19"/>
        <v>0</v>
      </c>
    </row>
    <row r="224" spans="1:12" ht="17.25" customHeight="1" x14ac:dyDescent="0.35">
      <c r="A224" s="138">
        <v>36</v>
      </c>
      <c r="B224" s="130" t="s">
        <v>656</v>
      </c>
      <c r="C224" s="123">
        <v>2</v>
      </c>
      <c r="D224" s="127">
        <v>0</v>
      </c>
      <c r="E224" s="128">
        <f t="shared" si="16"/>
        <v>2</v>
      </c>
      <c r="F224" s="24" t="s">
        <v>18</v>
      </c>
      <c r="G224" s="131"/>
      <c r="H224" s="131"/>
      <c r="I224" s="132">
        <f t="shared" si="17"/>
        <v>0</v>
      </c>
      <c r="J224" s="113">
        <v>1</v>
      </c>
      <c r="K224" s="132">
        <f t="shared" si="18"/>
        <v>0</v>
      </c>
      <c r="L224" s="133">
        <f t="shared" si="19"/>
        <v>0</v>
      </c>
    </row>
    <row r="225" spans="1:12" ht="17.25" customHeight="1" x14ac:dyDescent="0.35">
      <c r="A225" s="138">
        <v>37</v>
      </c>
      <c r="B225" s="130" t="s">
        <v>782</v>
      </c>
      <c r="C225" s="123">
        <v>4</v>
      </c>
      <c r="D225" s="127">
        <v>0</v>
      </c>
      <c r="E225" s="128">
        <f t="shared" si="16"/>
        <v>4</v>
      </c>
      <c r="F225" s="24" t="s">
        <v>18</v>
      </c>
      <c r="G225" s="131"/>
      <c r="H225" s="131"/>
      <c r="I225" s="132">
        <f t="shared" si="17"/>
        <v>0</v>
      </c>
      <c r="J225" s="113">
        <v>2</v>
      </c>
      <c r="K225" s="132">
        <f t="shared" si="18"/>
        <v>0</v>
      </c>
      <c r="L225" s="133">
        <f t="shared" si="19"/>
        <v>0</v>
      </c>
    </row>
    <row r="226" spans="1:12" ht="17.25" customHeight="1" x14ac:dyDescent="0.35">
      <c r="A226" s="138">
        <v>38</v>
      </c>
      <c r="B226" s="130" t="s">
        <v>669</v>
      </c>
      <c r="C226" s="123">
        <v>1</v>
      </c>
      <c r="D226" s="127">
        <v>0</v>
      </c>
      <c r="E226" s="128">
        <f t="shared" si="16"/>
        <v>1</v>
      </c>
      <c r="F226" s="24" t="s">
        <v>18</v>
      </c>
      <c r="G226" s="131"/>
      <c r="H226" s="131"/>
      <c r="I226" s="132">
        <f t="shared" si="17"/>
        <v>0</v>
      </c>
      <c r="J226" s="113">
        <v>0.5</v>
      </c>
      <c r="K226" s="132">
        <f t="shared" si="18"/>
        <v>0</v>
      </c>
      <c r="L226" s="133">
        <f t="shared" si="19"/>
        <v>0</v>
      </c>
    </row>
    <row r="227" spans="1:12" ht="17.25" customHeight="1" x14ac:dyDescent="0.35">
      <c r="A227" s="138">
        <v>39</v>
      </c>
      <c r="B227" s="130" t="s">
        <v>645</v>
      </c>
      <c r="C227" s="123">
        <v>2</v>
      </c>
      <c r="D227" s="127">
        <v>0</v>
      </c>
      <c r="E227" s="128">
        <f t="shared" si="16"/>
        <v>2</v>
      </c>
      <c r="F227" s="24" t="s">
        <v>18</v>
      </c>
      <c r="G227" s="131"/>
      <c r="H227" s="131"/>
      <c r="I227" s="132">
        <f t="shared" si="17"/>
        <v>0</v>
      </c>
      <c r="J227" s="113">
        <v>1</v>
      </c>
      <c r="K227" s="132">
        <f t="shared" si="18"/>
        <v>0</v>
      </c>
      <c r="L227" s="133">
        <f t="shared" si="19"/>
        <v>0</v>
      </c>
    </row>
    <row r="228" spans="1:12" ht="17.25" customHeight="1" x14ac:dyDescent="0.35">
      <c r="A228" s="138">
        <v>40</v>
      </c>
      <c r="B228" s="130" t="s">
        <v>777</v>
      </c>
      <c r="C228" s="123">
        <v>2</v>
      </c>
      <c r="D228" s="127">
        <v>0</v>
      </c>
      <c r="E228" s="128">
        <f t="shared" si="16"/>
        <v>2</v>
      </c>
      <c r="F228" s="24" t="s">
        <v>18</v>
      </c>
      <c r="G228" s="131"/>
      <c r="H228" s="131"/>
      <c r="I228" s="132">
        <f t="shared" si="17"/>
        <v>0</v>
      </c>
      <c r="J228" s="113">
        <v>1</v>
      </c>
      <c r="K228" s="132">
        <f t="shared" si="18"/>
        <v>0</v>
      </c>
      <c r="L228" s="133">
        <f t="shared" si="19"/>
        <v>0</v>
      </c>
    </row>
    <row r="229" spans="1:12" ht="17.25" customHeight="1" x14ac:dyDescent="0.35">
      <c r="A229" s="138">
        <v>41</v>
      </c>
      <c r="B229" s="130" t="s">
        <v>643</v>
      </c>
      <c r="C229" s="123">
        <v>7</v>
      </c>
      <c r="D229" s="127">
        <v>0</v>
      </c>
      <c r="E229" s="128">
        <f t="shared" si="16"/>
        <v>7</v>
      </c>
      <c r="F229" s="24" t="s">
        <v>18</v>
      </c>
      <c r="G229" s="131"/>
      <c r="H229" s="131"/>
      <c r="I229" s="132">
        <f t="shared" si="17"/>
        <v>0</v>
      </c>
      <c r="J229" s="113">
        <v>3.5</v>
      </c>
      <c r="K229" s="132">
        <f t="shared" si="18"/>
        <v>0</v>
      </c>
      <c r="L229" s="133">
        <f t="shared" si="19"/>
        <v>0</v>
      </c>
    </row>
    <row r="230" spans="1:12" ht="17.25" customHeight="1" x14ac:dyDescent="0.35">
      <c r="A230" s="138">
        <v>42</v>
      </c>
      <c r="B230" s="130" t="s">
        <v>644</v>
      </c>
      <c r="C230" s="123">
        <v>2</v>
      </c>
      <c r="D230" s="127">
        <v>0</v>
      </c>
      <c r="E230" s="128">
        <f t="shared" si="16"/>
        <v>2</v>
      </c>
      <c r="F230" s="24" t="s">
        <v>18</v>
      </c>
      <c r="G230" s="131"/>
      <c r="H230" s="131"/>
      <c r="I230" s="132">
        <f t="shared" si="17"/>
        <v>0</v>
      </c>
      <c r="J230" s="113">
        <v>1</v>
      </c>
      <c r="K230" s="132">
        <f t="shared" si="18"/>
        <v>0</v>
      </c>
      <c r="L230" s="133">
        <f t="shared" si="19"/>
        <v>0</v>
      </c>
    </row>
    <row r="231" spans="1:12" ht="17.25" customHeight="1" x14ac:dyDescent="0.35">
      <c r="A231" s="138">
        <v>43</v>
      </c>
      <c r="B231" s="130" t="s">
        <v>653</v>
      </c>
      <c r="C231" s="123">
        <v>4</v>
      </c>
      <c r="D231" s="127">
        <v>0</v>
      </c>
      <c r="E231" s="128">
        <f t="shared" si="16"/>
        <v>4</v>
      </c>
      <c r="F231" s="24" t="s">
        <v>18</v>
      </c>
      <c r="G231" s="131"/>
      <c r="H231" s="131"/>
      <c r="I231" s="132">
        <f t="shared" si="17"/>
        <v>0</v>
      </c>
      <c r="J231" s="113">
        <v>2</v>
      </c>
      <c r="K231" s="132">
        <f t="shared" si="18"/>
        <v>0</v>
      </c>
      <c r="L231" s="133">
        <f t="shared" si="19"/>
        <v>0</v>
      </c>
    </row>
    <row r="232" spans="1:12" ht="17.25" customHeight="1" x14ac:dyDescent="0.35">
      <c r="A232" s="138">
        <v>44</v>
      </c>
      <c r="B232" s="130" t="s">
        <v>654</v>
      </c>
      <c r="C232" s="123">
        <v>1</v>
      </c>
      <c r="D232" s="127">
        <v>0</v>
      </c>
      <c r="E232" s="128">
        <f t="shared" si="16"/>
        <v>1</v>
      </c>
      <c r="F232" s="24" t="s">
        <v>18</v>
      </c>
      <c r="G232" s="131"/>
      <c r="H232" s="131"/>
      <c r="I232" s="132">
        <f t="shared" si="17"/>
        <v>0</v>
      </c>
      <c r="J232" s="113">
        <v>0.5</v>
      </c>
      <c r="K232" s="132">
        <f t="shared" si="18"/>
        <v>0</v>
      </c>
      <c r="L232" s="133">
        <f t="shared" si="19"/>
        <v>0</v>
      </c>
    </row>
    <row r="233" spans="1:12" ht="17.25" customHeight="1" x14ac:dyDescent="0.35">
      <c r="A233" s="138">
        <v>45</v>
      </c>
      <c r="B233" s="130" t="s">
        <v>632</v>
      </c>
      <c r="C233" s="123">
        <v>2</v>
      </c>
      <c r="D233" s="127">
        <v>0</v>
      </c>
      <c r="E233" s="128">
        <f t="shared" si="16"/>
        <v>2</v>
      </c>
      <c r="F233" s="24" t="s">
        <v>18</v>
      </c>
      <c r="G233" s="131"/>
      <c r="H233" s="131"/>
      <c r="I233" s="132">
        <f t="shared" si="17"/>
        <v>0</v>
      </c>
      <c r="J233" s="113">
        <v>1</v>
      </c>
      <c r="K233" s="132">
        <f t="shared" si="18"/>
        <v>0</v>
      </c>
      <c r="L233" s="133">
        <f t="shared" si="19"/>
        <v>0</v>
      </c>
    </row>
    <row r="234" spans="1:12" ht="17.25" customHeight="1" x14ac:dyDescent="0.35">
      <c r="A234" s="138">
        <v>46</v>
      </c>
      <c r="B234" s="130" t="s">
        <v>783</v>
      </c>
      <c r="C234" s="123">
        <v>1</v>
      </c>
      <c r="D234" s="127">
        <v>0</v>
      </c>
      <c r="E234" s="128">
        <f t="shared" si="16"/>
        <v>1</v>
      </c>
      <c r="F234" s="24" t="s">
        <v>18</v>
      </c>
      <c r="G234" s="131"/>
      <c r="H234" s="131"/>
      <c r="I234" s="132">
        <f t="shared" si="17"/>
        <v>0</v>
      </c>
      <c r="J234" s="113">
        <v>0.5</v>
      </c>
      <c r="K234" s="132">
        <f t="shared" si="18"/>
        <v>0</v>
      </c>
      <c r="L234" s="133">
        <f t="shared" si="19"/>
        <v>0</v>
      </c>
    </row>
    <row r="235" spans="1:12" ht="17.25" customHeight="1" x14ac:dyDescent="0.35">
      <c r="A235" s="138">
        <v>47</v>
      </c>
      <c r="B235" s="130" t="s">
        <v>641</v>
      </c>
      <c r="C235" s="123">
        <v>1</v>
      </c>
      <c r="D235" s="127">
        <v>0</v>
      </c>
      <c r="E235" s="128">
        <f t="shared" si="16"/>
        <v>1</v>
      </c>
      <c r="F235" s="24" t="s">
        <v>18</v>
      </c>
      <c r="G235" s="131"/>
      <c r="H235" s="131"/>
      <c r="I235" s="132">
        <f t="shared" si="17"/>
        <v>0</v>
      </c>
      <c r="J235" s="113">
        <v>0.5</v>
      </c>
      <c r="K235" s="132">
        <f t="shared" si="18"/>
        <v>0</v>
      </c>
      <c r="L235" s="133">
        <f t="shared" si="19"/>
        <v>0</v>
      </c>
    </row>
    <row r="236" spans="1:12" ht="17.25" customHeight="1" x14ac:dyDescent="0.35">
      <c r="A236" s="138">
        <v>48</v>
      </c>
      <c r="B236" s="130" t="s">
        <v>784</v>
      </c>
      <c r="C236" s="123">
        <v>1</v>
      </c>
      <c r="D236" s="127">
        <v>0</v>
      </c>
      <c r="E236" s="128">
        <f t="shared" si="16"/>
        <v>1</v>
      </c>
      <c r="F236" s="24" t="s">
        <v>18</v>
      </c>
      <c r="G236" s="131"/>
      <c r="H236" s="131"/>
      <c r="I236" s="132">
        <f t="shared" si="17"/>
        <v>0</v>
      </c>
      <c r="J236" s="113">
        <v>0.5</v>
      </c>
      <c r="K236" s="132">
        <f t="shared" si="18"/>
        <v>0</v>
      </c>
      <c r="L236" s="133">
        <f t="shared" si="19"/>
        <v>0</v>
      </c>
    </row>
    <row r="237" spans="1:12" ht="17.25" customHeight="1" x14ac:dyDescent="0.35">
      <c r="A237" s="138">
        <v>49</v>
      </c>
      <c r="B237" s="130" t="s">
        <v>670</v>
      </c>
      <c r="C237" s="123">
        <v>1</v>
      </c>
      <c r="D237" s="127">
        <v>0</v>
      </c>
      <c r="E237" s="128">
        <f t="shared" si="16"/>
        <v>1</v>
      </c>
      <c r="F237" s="24" t="s">
        <v>18</v>
      </c>
      <c r="G237" s="131"/>
      <c r="H237" s="131"/>
      <c r="I237" s="132">
        <f t="shared" si="17"/>
        <v>0</v>
      </c>
      <c r="J237" s="113">
        <v>0.5</v>
      </c>
      <c r="K237" s="132">
        <f t="shared" si="18"/>
        <v>0</v>
      </c>
      <c r="L237" s="133">
        <f t="shared" si="19"/>
        <v>0</v>
      </c>
    </row>
    <row r="238" spans="1:12" ht="17.25" customHeight="1" x14ac:dyDescent="0.35">
      <c r="A238" s="138">
        <v>50</v>
      </c>
      <c r="B238" s="130" t="s">
        <v>654</v>
      </c>
      <c r="C238" s="123">
        <v>1</v>
      </c>
      <c r="D238" s="127">
        <v>0</v>
      </c>
      <c r="E238" s="128">
        <f t="shared" si="16"/>
        <v>1</v>
      </c>
      <c r="F238" s="24" t="s">
        <v>18</v>
      </c>
      <c r="G238" s="131"/>
      <c r="H238" s="131"/>
      <c r="I238" s="132">
        <f t="shared" si="17"/>
        <v>0</v>
      </c>
      <c r="J238" s="113">
        <v>0.5</v>
      </c>
      <c r="K238" s="132">
        <f t="shared" si="18"/>
        <v>0</v>
      </c>
      <c r="L238" s="133">
        <f t="shared" si="19"/>
        <v>0</v>
      </c>
    </row>
    <row r="239" spans="1:12" ht="17.25" customHeight="1" x14ac:dyDescent="0.35">
      <c r="A239" s="138">
        <v>51</v>
      </c>
      <c r="B239" s="130" t="s">
        <v>651</v>
      </c>
      <c r="C239" s="123">
        <v>1</v>
      </c>
      <c r="D239" s="127">
        <v>0</v>
      </c>
      <c r="E239" s="128">
        <f t="shared" si="16"/>
        <v>1</v>
      </c>
      <c r="F239" s="24" t="s">
        <v>18</v>
      </c>
      <c r="G239" s="131"/>
      <c r="H239" s="131"/>
      <c r="I239" s="132">
        <f t="shared" si="17"/>
        <v>0</v>
      </c>
      <c r="J239" s="113">
        <v>0.5</v>
      </c>
      <c r="K239" s="132">
        <f t="shared" si="18"/>
        <v>0</v>
      </c>
      <c r="L239" s="133">
        <f t="shared" si="19"/>
        <v>0</v>
      </c>
    </row>
    <row r="240" spans="1:12" ht="17.25" customHeight="1" x14ac:dyDescent="0.35">
      <c r="A240" s="138">
        <v>52</v>
      </c>
      <c r="B240" s="130" t="s">
        <v>785</v>
      </c>
      <c r="C240" s="123">
        <v>2</v>
      </c>
      <c r="D240" s="127">
        <v>0</v>
      </c>
      <c r="E240" s="128">
        <f t="shared" si="16"/>
        <v>2</v>
      </c>
      <c r="F240" s="24" t="s">
        <v>18</v>
      </c>
      <c r="G240" s="131"/>
      <c r="H240" s="131"/>
      <c r="I240" s="132">
        <f t="shared" si="17"/>
        <v>0</v>
      </c>
      <c r="J240" s="113">
        <v>1</v>
      </c>
      <c r="K240" s="132">
        <f t="shared" si="18"/>
        <v>0</v>
      </c>
      <c r="L240" s="133">
        <f t="shared" si="19"/>
        <v>0</v>
      </c>
    </row>
    <row r="241" spans="1:12" ht="17.25" customHeight="1" x14ac:dyDescent="0.35">
      <c r="A241" s="138">
        <v>53</v>
      </c>
      <c r="B241" s="130" t="s">
        <v>649</v>
      </c>
      <c r="C241" s="123">
        <v>1</v>
      </c>
      <c r="D241" s="127">
        <v>0</v>
      </c>
      <c r="E241" s="128">
        <f t="shared" si="16"/>
        <v>1</v>
      </c>
      <c r="F241" s="24" t="s">
        <v>18</v>
      </c>
      <c r="G241" s="131"/>
      <c r="H241" s="131"/>
      <c r="I241" s="132">
        <f t="shared" si="17"/>
        <v>0</v>
      </c>
      <c r="J241" s="113">
        <v>0.5</v>
      </c>
      <c r="K241" s="132">
        <f t="shared" si="18"/>
        <v>0</v>
      </c>
      <c r="L241" s="133">
        <f t="shared" si="19"/>
        <v>0</v>
      </c>
    </row>
    <row r="242" spans="1:12" ht="17.25" customHeight="1" x14ac:dyDescent="0.35">
      <c r="A242" s="138">
        <v>54</v>
      </c>
      <c r="B242" s="130" t="s">
        <v>652</v>
      </c>
      <c r="C242" s="123">
        <v>1</v>
      </c>
      <c r="D242" s="127">
        <v>0</v>
      </c>
      <c r="E242" s="128">
        <f t="shared" si="16"/>
        <v>1</v>
      </c>
      <c r="F242" s="24" t="s">
        <v>18</v>
      </c>
      <c r="G242" s="131"/>
      <c r="H242" s="131"/>
      <c r="I242" s="132">
        <f t="shared" si="17"/>
        <v>0</v>
      </c>
      <c r="J242" s="113">
        <v>0.5</v>
      </c>
      <c r="K242" s="132">
        <f t="shared" si="18"/>
        <v>0</v>
      </c>
      <c r="L242" s="133">
        <f t="shared" si="19"/>
        <v>0</v>
      </c>
    </row>
    <row r="243" spans="1:12" ht="17.25" customHeight="1" x14ac:dyDescent="0.35">
      <c r="A243" s="138">
        <v>55</v>
      </c>
      <c r="B243" s="130" t="s">
        <v>657</v>
      </c>
      <c r="C243" s="123">
        <v>1</v>
      </c>
      <c r="D243" s="127">
        <v>0</v>
      </c>
      <c r="E243" s="128">
        <f t="shared" si="16"/>
        <v>1</v>
      </c>
      <c r="F243" s="24" t="s">
        <v>18</v>
      </c>
      <c r="G243" s="131"/>
      <c r="H243" s="131"/>
      <c r="I243" s="132">
        <f t="shared" si="17"/>
        <v>0</v>
      </c>
      <c r="J243" s="113">
        <v>0.5</v>
      </c>
      <c r="K243" s="132">
        <f t="shared" si="18"/>
        <v>0</v>
      </c>
      <c r="L243" s="133">
        <f t="shared" si="19"/>
        <v>0</v>
      </c>
    </row>
    <row r="244" spans="1:12" ht="17.25" customHeight="1" x14ac:dyDescent="0.35">
      <c r="A244" s="138">
        <v>56</v>
      </c>
      <c r="B244" s="130" t="s">
        <v>779</v>
      </c>
      <c r="C244" s="123">
        <v>1</v>
      </c>
      <c r="D244" s="127">
        <v>0</v>
      </c>
      <c r="E244" s="128">
        <f t="shared" si="16"/>
        <v>1</v>
      </c>
      <c r="F244" s="24" t="s">
        <v>18</v>
      </c>
      <c r="G244" s="131"/>
      <c r="H244" s="131"/>
      <c r="I244" s="132">
        <f t="shared" si="17"/>
        <v>0</v>
      </c>
      <c r="J244" s="113">
        <v>0.5</v>
      </c>
      <c r="K244" s="132">
        <f t="shared" si="18"/>
        <v>0</v>
      </c>
      <c r="L244" s="133">
        <f t="shared" si="19"/>
        <v>0</v>
      </c>
    </row>
    <row r="245" spans="1:12" ht="17.25" customHeight="1" x14ac:dyDescent="0.35">
      <c r="A245" s="138">
        <v>57</v>
      </c>
      <c r="B245" s="130" t="s">
        <v>786</v>
      </c>
      <c r="C245" s="123">
        <v>1</v>
      </c>
      <c r="D245" s="127">
        <v>0</v>
      </c>
      <c r="E245" s="128">
        <f t="shared" si="16"/>
        <v>1</v>
      </c>
      <c r="F245" s="24" t="s">
        <v>18</v>
      </c>
      <c r="G245" s="131"/>
      <c r="H245" s="131"/>
      <c r="I245" s="132">
        <f t="shared" si="17"/>
        <v>0</v>
      </c>
      <c r="J245" s="113">
        <v>0.5</v>
      </c>
      <c r="K245" s="132">
        <f t="shared" si="18"/>
        <v>0</v>
      </c>
      <c r="L245" s="133">
        <f t="shared" si="19"/>
        <v>0</v>
      </c>
    </row>
    <row r="246" spans="1:12" ht="17.25" customHeight="1" x14ac:dyDescent="0.35">
      <c r="A246" s="138">
        <v>58</v>
      </c>
      <c r="B246" s="130" t="s">
        <v>782</v>
      </c>
      <c r="C246" s="123">
        <v>1</v>
      </c>
      <c r="D246" s="127">
        <v>0</v>
      </c>
      <c r="E246" s="128">
        <f t="shared" si="16"/>
        <v>1</v>
      </c>
      <c r="F246" s="24" t="s">
        <v>18</v>
      </c>
      <c r="G246" s="131"/>
      <c r="H246" s="131"/>
      <c r="I246" s="132">
        <f t="shared" si="17"/>
        <v>0</v>
      </c>
      <c r="J246" s="113">
        <v>0.5</v>
      </c>
      <c r="K246" s="132">
        <f t="shared" si="18"/>
        <v>0</v>
      </c>
      <c r="L246" s="133">
        <f t="shared" si="19"/>
        <v>0</v>
      </c>
    </row>
    <row r="247" spans="1:12" ht="17.25" customHeight="1" x14ac:dyDescent="0.35">
      <c r="A247" s="138">
        <v>59</v>
      </c>
      <c r="B247" s="130" t="s">
        <v>787</v>
      </c>
      <c r="C247" s="123">
        <v>1</v>
      </c>
      <c r="D247" s="127">
        <v>0</v>
      </c>
      <c r="E247" s="128">
        <f t="shared" si="16"/>
        <v>1</v>
      </c>
      <c r="F247" s="24" t="s">
        <v>18</v>
      </c>
      <c r="G247" s="131"/>
      <c r="H247" s="131"/>
      <c r="I247" s="132">
        <f t="shared" si="17"/>
        <v>0</v>
      </c>
      <c r="J247" s="113">
        <v>0.5</v>
      </c>
      <c r="K247" s="132">
        <f t="shared" si="18"/>
        <v>0</v>
      </c>
      <c r="L247" s="133">
        <f t="shared" si="19"/>
        <v>0</v>
      </c>
    </row>
    <row r="248" spans="1:12" ht="17.25" customHeight="1" x14ac:dyDescent="0.35">
      <c r="A248" s="138">
        <v>60</v>
      </c>
      <c r="B248" s="130" t="s">
        <v>645</v>
      </c>
      <c r="C248" s="123">
        <v>1</v>
      </c>
      <c r="D248" s="127">
        <v>0</v>
      </c>
      <c r="E248" s="128">
        <f t="shared" si="16"/>
        <v>1</v>
      </c>
      <c r="F248" s="24" t="s">
        <v>18</v>
      </c>
      <c r="G248" s="131"/>
      <c r="H248" s="131"/>
      <c r="I248" s="132">
        <f t="shared" si="17"/>
        <v>0</v>
      </c>
      <c r="J248" s="113">
        <v>0.5</v>
      </c>
      <c r="K248" s="132">
        <f t="shared" si="18"/>
        <v>0</v>
      </c>
      <c r="L248" s="133">
        <f t="shared" si="19"/>
        <v>0</v>
      </c>
    </row>
    <row r="249" spans="1:12" ht="17.25" customHeight="1" x14ac:dyDescent="0.35">
      <c r="A249" s="138">
        <v>61</v>
      </c>
      <c r="B249" s="130" t="s">
        <v>646</v>
      </c>
      <c r="C249" s="123">
        <v>1</v>
      </c>
      <c r="D249" s="127">
        <v>0</v>
      </c>
      <c r="E249" s="128">
        <f t="shared" si="16"/>
        <v>1</v>
      </c>
      <c r="F249" s="24" t="s">
        <v>18</v>
      </c>
      <c r="G249" s="131"/>
      <c r="H249" s="131"/>
      <c r="I249" s="132">
        <f t="shared" si="17"/>
        <v>0</v>
      </c>
      <c r="J249" s="113">
        <v>0.5</v>
      </c>
      <c r="K249" s="132">
        <f t="shared" si="18"/>
        <v>0</v>
      </c>
      <c r="L249" s="133">
        <f t="shared" si="19"/>
        <v>0</v>
      </c>
    </row>
    <row r="250" spans="1:12" ht="17.25" customHeight="1" x14ac:dyDescent="0.35">
      <c r="A250" s="138">
        <v>62</v>
      </c>
      <c r="B250" s="130" t="s">
        <v>635</v>
      </c>
      <c r="C250" s="123">
        <v>1</v>
      </c>
      <c r="D250" s="127">
        <v>0</v>
      </c>
      <c r="E250" s="128">
        <f t="shared" si="16"/>
        <v>1</v>
      </c>
      <c r="F250" s="24" t="s">
        <v>18</v>
      </c>
      <c r="G250" s="131"/>
      <c r="H250" s="131"/>
      <c r="I250" s="132">
        <f t="shared" si="17"/>
        <v>0</v>
      </c>
      <c r="J250" s="113">
        <v>0.5</v>
      </c>
      <c r="K250" s="132">
        <f t="shared" si="18"/>
        <v>0</v>
      </c>
      <c r="L250" s="133">
        <f t="shared" si="19"/>
        <v>0</v>
      </c>
    </row>
    <row r="251" spans="1:12" ht="17.25" customHeight="1" x14ac:dyDescent="0.35">
      <c r="A251" s="138">
        <v>63</v>
      </c>
      <c r="B251" s="130" t="s">
        <v>655</v>
      </c>
      <c r="C251" s="123">
        <v>1</v>
      </c>
      <c r="D251" s="127">
        <v>0</v>
      </c>
      <c r="E251" s="128">
        <f t="shared" si="16"/>
        <v>1</v>
      </c>
      <c r="F251" s="24" t="s">
        <v>18</v>
      </c>
      <c r="G251" s="131"/>
      <c r="H251" s="131"/>
      <c r="I251" s="132">
        <f t="shared" si="17"/>
        <v>0</v>
      </c>
      <c r="J251" s="113">
        <v>0.5</v>
      </c>
      <c r="K251" s="132">
        <f t="shared" si="18"/>
        <v>0</v>
      </c>
      <c r="L251" s="133">
        <f t="shared" si="19"/>
        <v>0</v>
      </c>
    </row>
    <row r="252" spans="1:12" ht="17.25" customHeight="1" x14ac:dyDescent="0.35">
      <c r="A252" s="138">
        <v>64</v>
      </c>
      <c r="B252" s="130" t="s">
        <v>654</v>
      </c>
      <c r="C252" s="123">
        <v>1</v>
      </c>
      <c r="D252" s="127">
        <v>0</v>
      </c>
      <c r="E252" s="128">
        <f t="shared" si="16"/>
        <v>1</v>
      </c>
      <c r="F252" s="24" t="s">
        <v>18</v>
      </c>
      <c r="G252" s="131"/>
      <c r="H252" s="131"/>
      <c r="I252" s="132">
        <f t="shared" si="17"/>
        <v>0</v>
      </c>
      <c r="J252" s="113">
        <v>0.5</v>
      </c>
      <c r="K252" s="132">
        <f t="shared" si="18"/>
        <v>0</v>
      </c>
      <c r="L252" s="133">
        <f t="shared" si="19"/>
        <v>0</v>
      </c>
    </row>
    <row r="253" spans="1:12" ht="17.25" customHeight="1" x14ac:dyDescent="0.35">
      <c r="A253" s="138">
        <v>65</v>
      </c>
      <c r="B253" s="130" t="s">
        <v>656</v>
      </c>
      <c r="C253" s="123">
        <v>1</v>
      </c>
      <c r="D253" s="127">
        <v>0</v>
      </c>
      <c r="E253" s="128">
        <f t="shared" ref="E253:E255" si="20">C253*(1+D253)</f>
        <v>1</v>
      </c>
      <c r="F253" s="24" t="s">
        <v>18</v>
      </c>
      <c r="G253" s="131"/>
      <c r="H253" s="131"/>
      <c r="I253" s="132">
        <f t="shared" ref="I253:I255" si="21">L$4</f>
        <v>0</v>
      </c>
      <c r="J253" s="113">
        <v>0.5</v>
      </c>
      <c r="K253" s="132">
        <f t="shared" ref="K253:K255" si="22">J253*I253</f>
        <v>0</v>
      </c>
      <c r="L253" s="133">
        <f t="shared" ref="L253:L255" si="23">K253+H253</f>
        <v>0</v>
      </c>
    </row>
    <row r="254" spans="1:12" ht="17.25" customHeight="1" x14ac:dyDescent="0.35">
      <c r="A254" s="138">
        <v>66</v>
      </c>
      <c r="B254" s="130" t="s">
        <v>643</v>
      </c>
      <c r="C254" s="123">
        <v>1</v>
      </c>
      <c r="D254" s="127">
        <v>0</v>
      </c>
      <c r="E254" s="128">
        <f t="shared" si="20"/>
        <v>1</v>
      </c>
      <c r="F254" s="24" t="s">
        <v>18</v>
      </c>
      <c r="G254" s="131"/>
      <c r="H254" s="131"/>
      <c r="I254" s="132">
        <f t="shared" si="21"/>
        <v>0</v>
      </c>
      <c r="J254" s="113">
        <v>0.5</v>
      </c>
      <c r="K254" s="132">
        <f t="shared" si="22"/>
        <v>0</v>
      </c>
      <c r="L254" s="133">
        <f t="shared" si="23"/>
        <v>0</v>
      </c>
    </row>
    <row r="255" spans="1:12" ht="17.25" customHeight="1" x14ac:dyDescent="0.35">
      <c r="A255" s="138">
        <v>67</v>
      </c>
      <c r="B255" s="130" t="s">
        <v>780</v>
      </c>
      <c r="C255" s="123">
        <v>1</v>
      </c>
      <c r="D255" s="127">
        <v>0</v>
      </c>
      <c r="E255" s="128">
        <f t="shared" si="20"/>
        <v>1</v>
      </c>
      <c r="F255" s="24" t="s">
        <v>18</v>
      </c>
      <c r="G255" s="131"/>
      <c r="H255" s="131"/>
      <c r="I255" s="132">
        <f t="shared" si="21"/>
        <v>0</v>
      </c>
      <c r="J255" s="113">
        <v>0.5</v>
      </c>
      <c r="K255" s="132">
        <f t="shared" si="22"/>
        <v>0</v>
      </c>
      <c r="L255" s="133">
        <f t="shared" si="23"/>
        <v>0</v>
      </c>
    </row>
    <row r="256" spans="1:12" ht="17.25" customHeight="1" thickBot="1" x14ac:dyDescent="0.4">
      <c r="A256" s="129"/>
      <c r="B256" s="130"/>
      <c r="C256" s="123"/>
      <c r="D256" s="127"/>
      <c r="E256" s="128"/>
      <c r="F256" s="24"/>
      <c r="G256" s="131"/>
      <c r="H256" s="131"/>
      <c r="I256" s="132"/>
      <c r="J256" s="113"/>
      <c r="K256" s="132"/>
      <c r="L256" s="133"/>
    </row>
    <row r="257" spans="1:12" ht="17.25" customHeight="1" thickBot="1" x14ac:dyDescent="0.4">
      <c r="A257" s="382" t="s">
        <v>1108</v>
      </c>
      <c r="B257" s="383"/>
      <c r="C257" s="134"/>
      <c r="D257" s="127"/>
      <c r="E257" s="128"/>
      <c r="F257" s="24"/>
      <c r="G257" s="131"/>
      <c r="H257" s="131"/>
      <c r="I257" s="132"/>
      <c r="J257" s="113"/>
      <c r="K257" s="132"/>
      <c r="L257" s="133"/>
    </row>
    <row r="258" spans="1:12" ht="17.25" customHeight="1" x14ac:dyDescent="0.35">
      <c r="A258" s="138">
        <v>1</v>
      </c>
      <c r="B258" s="139" t="s">
        <v>624</v>
      </c>
      <c r="C258" s="123">
        <v>1</v>
      </c>
      <c r="D258" s="127">
        <v>0</v>
      </c>
      <c r="E258" s="128">
        <f t="shared" ref="E258:E279" si="24">C258*(1+D258)</f>
        <v>1</v>
      </c>
      <c r="F258" s="24" t="s">
        <v>18</v>
      </c>
      <c r="G258" s="131"/>
      <c r="H258" s="131"/>
      <c r="I258" s="132">
        <f t="shared" ref="I258:I279" si="25">L$4</f>
        <v>0</v>
      </c>
      <c r="J258" s="113">
        <v>0.5</v>
      </c>
      <c r="K258" s="132">
        <f t="shared" ref="K258:K279" si="26">J258*I258</f>
        <v>0</v>
      </c>
      <c r="L258" s="133">
        <f t="shared" ref="L258:L279" si="27">K258+H258</f>
        <v>0</v>
      </c>
    </row>
    <row r="259" spans="1:12" ht="17.25" customHeight="1" x14ac:dyDescent="0.35">
      <c r="A259" s="138">
        <v>2</v>
      </c>
      <c r="B259" s="140" t="s">
        <v>788</v>
      </c>
      <c r="C259" s="123">
        <v>2</v>
      </c>
      <c r="D259" s="127">
        <v>0</v>
      </c>
      <c r="E259" s="128">
        <f t="shared" si="24"/>
        <v>2</v>
      </c>
      <c r="F259" s="24" t="s">
        <v>18</v>
      </c>
      <c r="G259" s="131"/>
      <c r="H259" s="131"/>
      <c r="I259" s="132">
        <f t="shared" si="25"/>
        <v>0</v>
      </c>
      <c r="J259" s="113">
        <v>1</v>
      </c>
      <c r="K259" s="132">
        <f t="shared" si="26"/>
        <v>0</v>
      </c>
      <c r="L259" s="133">
        <f t="shared" si="27"/>
        <v>0</v>
      </c>
    </row>
    <row r="260" spans="1:12" ht="17.25" customHeight="1" x14ac:dyDescent="0.35">
      <c r="A260" s="138">
        <v>3</v>
      </c>
      <c r="B260" s="140" t="s">
        <v>621</v>
      </c>
      <c r="C260" s="123">
        <v>11</v>
      </c>
      <c r="D260" s="127">
        <v>0</v>
      </c>
      <c r="E260" s="128">
        <f t="shared" si="24"/>
        <v>11</v>
      </c>
      <c r="F260" s="24" t="s">
        <v>18</v>
      </c>
      <c r="G260" s="131"/>
      <c r="H260" s="131"/>
      <c r="I260" s="132">
        <f t="shared" si="25"/>
        <v>0</v>
      </c>
      <c r="J260" s="113">
        <v>5.5</v>
      </c>
      <c r="K260" s="132">
        <f t="shared" si="26"/>
        <v>0</v>
      </c>
      <c r="L260" s="133">
        <f t="shared" si="27"/>
        <v>0</v>
      </c>
    </row>
    <row r="261" spans="1:12" ht="17.25" customHeight="1" x14ac:dyDescent="0.35">
      <c r="A261" s="138">
        <v>4</v>
      </c>
      <c r="B261" s="140" t="s">
        <v>789</v>
      </c>
      <c r="C261" s="123">
        <v>4</v>
      </c>
      <c r="D261" s="127">
        <v>0</v>
      </c>
      <c r="E261" s="128">
        <f t="shared" si="24"/>
        <v>4</v>
      </c>
      <c r="F261" s="24" t="s">
        <v>18</v>
      </c>
      <c r="G261" s="131"/>
      <c r="H261" s="131"/>
      <c r="I261" s="132">
        <f t="shared" si="25"/>
        <v>0</v>
      </c>
      <c r="J261" s="113">
        <v>2</v>
      </c>
      <c r="K261" s="132">
        <f t="shared" si="26"/>
        <v>0</v>
      </c>
      <c r="L261" s="133">
        <f t="shared" si="27"/>
        <v>0</v>
      </c>
    </row>
    <row r="262" spans="1:12" ht="17.25" customHeight="1" x14ac:dyDescent="0.35">
      <c r="A262" s="138">
        <v>5</v>
      </c>
      <c r="B262" s="140" t="s">
        <v>616</v>
      </c>
      <c r="C262" s="123">
        <v>2</v>
      </c>
      <c r="D262" s="127">
        <v>0</v>
      </c>
      <c r="E262" s="128">
        <f t="shared" si="24"/>
        <v>2</v>
      </c>
      <c r="F262" s="24" t="s">
        <v>18</v>
      </c>
      <c r="G262" s="131"/>
      <c r="H262" s="131"/>
      <c r="I262" s="132">
        <f t="shared" si="25"/>
        <v>0</v>
      </c>
      <c r="J262" s="113">
        <v>1</v>
      </c>
      <c r="K262" s="132">
        <f t="shared" si="26"/>
        <v>0</v>
      </c>
      <c r="L262" s="133">
        <f t="shared" si="27"/>
        <v>0</v>
      </c>
    </row>
    <row r="263" spans="1:12" ht="17.25" customHeight="1" x14ac:dyDescent="0.35">
      <c r="A263" s="138">
        <v>6</v>
      </c>
      <c r="B263" s="140" t="s">
        <v>666</v>
      </c>
      <c r="C263" s="123">
        <v>3</v>
      </c>
      <c r="D263" s="127">
        <v>0</v>
      </c>
      <c r="E263" s="128">
        <f t="shared" si="24"/>
        <v>3</v>
      </c>
      <c r="F263" s="24" t="s">
        <v>18</v>
      </c>
      <c r="G263" s="131"/>
      <c r="H263" s="131"/>
      <c r="I263" s="132">
        <f t="shared" si="25"/>
        <v>0</v>
      </c>
      <c r="J263" s="113">
        <v>1.5</v>
      </c>
      <c r="K263" s="132">
        <f t="shared" si="26"/>
        <v>0</v>
      </c>
      <c r="L263" s="133">
        <f t="shared" si="27"/>
        <v>0</v>
      </c>
    </row>
    <row r="264" spans="1:12" ht="17.25" customHeight="1" x14ac:dyDescent="0.35">
      <c r="A264" s="138">
        <v>7</v>
      </c>
      <c r="B264" s="140" t="s">
        <v>639</v>
      </c>
      <c r="C264" s="123">
        <v>11</v>
      </c>
      <c r="D264" s="127">
        <v>0</v>
      </c>
      <c r="E264" s="128">
        <f t="shared" si="24"/>
        <v>11</v>
      </c>
      <c r="F264" s="24" t="s">
        <v>18</v>
      </c>
      <c r="G264" s="131"/>
      <c r="H264" s="131"/>
      <c r="I264" s="132">
        <f t="shared" si="25"/>
        <v>0</v>
      </c>
      <c r="J264" s="113">
        <v>5.5</v>
      </c>
      <c r="K264" s="132">
        <f t="shared" si="26"/>
        <v>0</v>
      </c>
      <c r="L264" s="133">
        <f t="shared" si="27"/>
        <v>0</v>
      </c>
    </row>
    <row r="265" spans="1:12" ht="17.25" customHeight="1" x14ac:dyDescent="0.35">
      <c r="A265" s="138">
        <v>8</v>
      </c>
      <c r="B265" s="140" t="s">
        <v>790</v>
      </c>
      <c r="C265" s="123">
        <v>6</v>
      </c>
      <c r="D265" s="127">
        <v>0</v>
      </c>
      <c r="E265" s="128">
        <f t="shared" si="24"/>
        <v>6</v>
      </c>
      <c r="F265" s="24" t="s">
        <v>18</v>
      </c>
      <c r="G265" s="131"/>
      <c r="H265" s="131"/>
      <c r="I265" s="132">
        <f t="shared" si="25"/>
        <v>0</v>
      </c>
      <c r="J265" s="113">
        <v>3</v>
      </c>
      <c r="K265" s="132">
        <f t="shared" si="26"/>
        <v>0</v>
      </c>
      <c r="L265" s="133">
        <f t="shared" si="27"/>
        <v>0</v>
      </c>
    </row>
    <row r="266" spans="1:12" ht="17.25" customHeight="1" x14ac:dyDescent="0.35">
      <c r="A266" s="138">
        <v>9</v>
      </c>
      <c r="B266" s="140" t="s">
        <v>638</v>
      </c>
      <c r="C266" s="123">
        <v>12</v>
      </c>
      <c r="D266" s="127">
        <v>0</v>
      </c>
      <c r="E266" s="128">
        <f t="shared" si="24"/>
        <v>12</v>
      </c>
      <c r="F266" s="24" t="s">
        <v>18</v>
      </c>
      <c r="G266" s="131"/>
      <c r="H266" s="131"/>
      <c r="I266" s="132">
        <f t="shared" si="25"/>
        <v>0</v>
      </c>
      <c r="J266" s="113">
        <v>6</v>
      </c>
      <c r="K266" s="132">
        <f t="shared" si="26"/>
        <v>0</v>
      </c>
      <c r="L266" s="133">
        <f t="shared" si="27"/>
        <v>0</v>
      </c>
    </row>
    <row r="267" spans="1:12" ht="17.25" customHeight="1" x14ac:dyDescent="0.35">
      <c r="A267" s="138">
        <v>10</v>
      </c>
      <c r="B267" s="140" t="s">
        <v>634</v>
      </c>
      <c r="C267" s="123">
        <v>3</v>
      </c>
      <c r="D267" s="127">
        <v>0</v>
      </c>
      <c r="E267" s="128">
        <f t="shared" si="24"/>
        <v>3</v>
      </c>
      <c r="F267" s="24" t="s">
        <v>18</v>
      </c>
      <c r="G267" s="131"/>
      <c r="H267" s="131"/>
      <c r="I267" s="132">
        <f t="shared" si="25"/>
        <v>0</v>
      </c>
      <c r="J267" s="113">
        <v>1.5</v>
      </c>
      <c r="K267" s="132">
        <f t="shared" si="26"/>
        <v>0</v>
      </c>
      <c r="L267" s="133">
        <f t="shared" si="27"/>
        <v>0</v>
      </c>
    </row>
    <row r="268" spans="1:12" ht="17.25" customHeight="1" x14ac:dyDescent="0.35">
      <c r="A268" s="138">
        <v>11</v>
      </c>
      <c r="B268" s="140" t="s">
        <v>623</v>
      </c>
      <c r="C268" s="123">
        <v>6</v>
      </c>
      <c r="D268" s="127">
        <v>0</v>
      </c>
      <c r="E268" s="128">
        <f t="shared" si="24"/>
        <v>6</v>
      </c>
      <c r="F268" s="24" t="s">
        <v>18</v>
      </c>
      <c r="G268" s="131"/>
      <c r="H268" s="131"/>
      <c r="I268" s="132">
        <f t="shared" si="25"/>
        <v>0</v>
      </c>
      <c r="J268" s="113">
        <v>3</v>
      </c>
      <c r="K268" s="132">
        <f t="shared" si="26"/>
        <v>0</v>
      </c>
      <c r="L268" s="133">
        <f t="shared" si="27"/>
        <v>0</v>
      </c>
    </row>
    <row r="269" spans="1:12" ht="17.25" customHeight="1" x14ac:dyDescent="0.35">
      <c r="A269" s="138">
        <v>12</v>
      </c>
      <c r="B269" s="140" t="s">
        <v>632</v>
      </c>
      <c r="C269" s="123">
        <v>2</v>
      </c>
      <c r="D269" s="127">
        <v>0</v>
      </c>
      <c r="E269" s="128">
        <f t="shared" si="24"/>
        <v>2</v>
      </c>
      <c r="F269" s="24" t="s">
        <v>18</v>
      </c>
      <c r="G269" s="131"/>
      <c r="H269" s="131"/>
      <c r="I269" s="132">
        <f t="shared" si="25"/>
        <v>0</v>
      </c>
      <c r="J269" s="113">
        <v>1</v>
      </c>
      <c r="K269" s="132">
        <f t="shared" si="26"/>
        <v>0</v>
      </c>
      <c r="L269" s="133">
        <f t="shared" si="27"/>
        <v>0</v>
      </c>
    </row>
    <row r="270" spans="1:12" ht="17.25" customHeight="1" x14ac:dyDescent="0.35">
      <c r="A270" s="138">
        <v>13</v>
      </c>
      <c r="B270" s="140" t="s">
        <v>641</v>
      </c>
      <c r="C270" s="123">
        <v>2</v>
      </c>
      <c r="D270" s="127">
        <v>0</v>
      </c>
      <c r="E270" s="128">
        <f t="shared" si="24"/>
        <v>2</v>
      </c>
      <c r="F270" s="24" t="s">
        <v>18</v>
      </c>
      <c r="G270" s="131"/>
      <c r="H270" s="131"/>
      <c r="I270" s="132">
        <f t="shared" si="25"/>
        <v>0</v>
      </c>
      <c r="J270" s="113">
        <v>1</v>
      </c>
      <c r="K270" s="132">
        <f t="shared" si="26"/>
        <v>0</v>
      </c>
      <c r="L270" s="133">
        <f t="shared" si="27"/>
        <v>0</v>
      </c>
    </row>
    <row r="271" spans="1:12" ht="17.25" customHeight="1" x14ac:dyDescent="0.35">
      <c r="A271" s="138">
        <v>14</v>
      </c>
      <c r="B271" s="140" t="s">
        <v>668</v>
      </c>
      <c r="C271" s="123">
        <v>2</v>
      </c>
      <c r="D271" s="127">
        <v>0</v>
      </c>
      <c r="E271" s="128">
        <f t="shared" si="24"/>
        <v>2</v>
      </c>
      <c r="F271" s="24" t="s">
        <v>18</v>
      </c>
      <c r="G271" s="131"/>
      <c r="H271" s="131"/>
      <c r="I271" s="132">
        <f t="shared" si="25"/>
        <v>0</v>
      </c>
      <c r="J271" s="113">
        <v>1</v>
      </c>
      <c r="K271" s="132">
        <f t="shared" si="26"/>
        <v>0</v>
      </c>
      <c r="L271" s="133">
        <f t="shared" si="27"/>
        <v>0</v>
      </c>
    </row>
    <row r="272" spans="1:12" ht="17.25" customHeight="1" x14ac:dyDescent="0.35">
      <c r="A272" s="138">
        <v>15</v>
      </c>
      <c r="B272" s="130" t="s">
        <v>639</v>
      </c>
      <c r="C272" s="123">
        <v>2</v>
      </c>
      <c r="D272" s="127">
        <v>0</v>
      </c>
      <c r="E272" s="128">
        <f t="shared" si="24"/>
        <v>2</v>
      </c>
      <c r="F272" s="24" t="s">
        <v>18</v>
      </c>
      <c r="G272" s="131"/>
      <c r="H272" s="131"/>
      <c r="I272" s="132">
        <f t="shared" si="25"/>
        <v>0</v>
      </c>
      <c r="J272" s="113">
        <v>1</v>
      </c>
      <c r="K272" s="132">
        <f t="shared" si="26"/>
        <v>0</v>
      </c>
      <c r="L272" s="133">
        <f t="shared" si="27"/>
        <v>0</v>
      </c>
    </row>
    <row r="273" spans="1:12" ht="17.25" customHeight="1" x14ac:dyDescent="0.35">
      <c r="A273" s="138">
        <v>16</v>
      </c>
      <c r="B273" s="130" t="s">
        <v>618</v>
      </c>
      <c r="C273" s="123">
        <v>1</v>
      </c>
      <c r="D273" s="127">
        <v>0</v>
      </c>
      <c r="E273" s="128">
        <f t="shared" si="24"/>
        <v>1</v>
      </c>
      <c r="F273" s="24" t="s">
        <v>18</v>
      </c>
      <c r="G273" s="131"/>
      <c r="H273" s="131"/>
      <c r="I273" s="132">
        <f t="shared" si="25"/>
        <v>0</v>
      </c>
      <c r="J273" s="113">
        <v>0.5</v>
      </c>
      <c r="K273" s="132">
        <f t="shared" si="26"/>
        <v>0</v>
      </c>
      <c r="L273" s="133">
        <f t="shared" si="27"/>
        <v>0</v>
      </c>
    </row>
    <row r="274" spans="1:12" ht="17.25" customHeight="1" x14ac:dyDescent="0.35">
      <c r="A274" s="138">
        <v>17</v>
      </c>
      <c r="B274" s="130" t="s">
        <v>640</v>
      </c>
      <c r="C274" s="123">
        <v>1</v>
      </c>
      <c r="D274" s="127">
        <v>0</v>
      </c>
      <c r="E274" s="128">
        <f t="shared" si="24"/>
        <v>1</v>
      </c>
      <c r="F274" s="24" t="s">
        <v>18</v>
      </c>
      <c r="G274" s="131"/>
      <c r="H274" s="131"/>
      <c r="I274" s="132">
        <f t="shared" si="25"/>
        <v>0</v>
      </c>
      <c r="J274" s="113">
        <v>0.5</v>
      </c>
      <c r="K274" s="132">
        <f t="shared" si="26"/>
        <v>0</v>
      </c>
      <c r="L274" s="133">
        <f t="shared" si="27"/>
        <v>0</v>
      </c>
    </row>
    <row r="275" spans="1:12" ht="17.25" customHeight="1" x14ac:dyDescent="0.35">
      <c r="A275" s="138">
        <v>18</v>
      </c>
      <c r="B275" s="130" t="s">
        <v>642</v>
      </c>
      <c r="C275" s="123">
        <v>1</v>
      </c>
      <c r="D275" s="127">
        <v>0</v>
      </c>
      <c r="E275" s="128">
        <f t="shared" si="24"/>
        <v>1</v>
      </c>
      <c r="F275" s="24" t="s">
        <v>18</v>
      </c>
      <c r="G275" s="131"/>
      <c r="H275" s="131"/>
      <c r="I275" s="132">
        <f t="shared" si="25"/>
        <v>0</v>
      </c>
      <c r="J275" s="113">
        <v>0.5</v>
      </c>
      <c r="K275" s="132">
        <f t="shared" si="26"/>
        <v>0</v>
      </c>
      <c r="L275" s="133">
        <f t="shared" si="27"/>
        <v>0</v>
      </c>
    </row>
    <row r="276" spans="1:12" ht="17.25" customHeight="1" x14ac:dyDescent="0.35">
      <c r="A276" s="138">
        <v>19</v>
      </c>
      <c r="B276" s="130" t="s">
        <v>653</v>
      </c>
      <c r="C276" s="123">
        <v>1</v>
      </c>
      <c r="D276" s="127">
        <v>0</v>
      </c>
      <c r="E276" s="128">
        <f t="shared" si="24"/>
        <v>1</v>
      </c>
      <c r="F276" s="24" t="s">
        <v>18</v>
      </c>
      <c r="G276" s="131"/>
      <c r="H276" s="131"/>
      <c r="I276" s="132">
        <f t="shared" si="25"/>
        <v>0</v>
      </c>
      <c r="J276" s="113">
        <v>0.5</v>
      </c>
      <c r="K276" s="132">
        <f t="shared" si="26"/>
        <v>0</v>
      </c>
      <c r="L276" s="133">
        <f t="shared" si="27"/>
        <v>0</v>
      </c>
    </row>
    <row r="277" spans="1:12" ht="17.25" customHeight="1" x14ac:dyDescent="0.35">
      <c r="A277" s="138">
        <v>20</v>
      </c>
      <c r="B277" s="130" t="s">
        <v>650</v>
      </c>
      <c r="C277" s="123">
        <v>1</v>
      </c>
      <c r="D277" s="127">
        <v>0</v>
      </c>
      <c r="E277" s="128">
        <f t="shared" si="24"/>
        <v>1</v>
      </c>
      <c r="F277" s="24" t="s">
        <v>18</v>
      </c>
      <c r="G277" s="131"/>
      <c r="H277" s="131"/>
      <c r="I277" s="132">
        <f t="shared" si="25"/>
        <v>0</v>
      </c>
      <c r="J277" s="113">
        <v>0.5</v>
      </c>
      <c r="K277" s="132">
        <f t="shared" si="26"/>
        <v>0</v>
      </c>
      <c r="L277" s="133">
        <f t="shared" si="27"/>
        <v>0</v>
      </c>
    </row>
    <row r="278" spans="1:12" ht="17.25" customHeight="1" x14ac:dyDescent="0.35">
      <c r="A278" s="138">
        <v>21</v>
      </c>
      <c r="B278" s="130" t="s">
        <v>791</v>
      </c>
      <c r="C278" s="123">
        <v>2</v>
      </c>
      <c r="D278" s="127">
        <v>0</v>
      </c>
      <c r="E278" s="128">
        <f t="shared" si="24"/>
        <v>2</v>
      </c>
      <c r="F278" s="24" t="s">
        <v>18</v>
      </c>
      <c r="G278" s="131"/>
      <c r="H278" s="131"/>
      <c r="I278" s="132">
        <f t="shared" si="25"/>
        <v>0</v>
      </c>
      <c r="J278" s="113">
        <v>1</v>
      </c>
      <c r="K278" s="132">
        <f t="shared" si="26"/>
        <v>0</v>
      </c>
      <c r="L278" s="133">
        <f t="shared" si="27"/>
        <v>0</v>
      </c>
    </row>
    <row r="279" spans="1:12" ht="17.25" customHeight="1" x14ac:dyDescent="0.35">
      <c r="A279" s="138">
        <v>22</v>
      </c>
      <c r="B279" s="130" t="s">
        <v>657</v>
      </c>
      <c r="C279" s="123">
        <v>1</v>
      </c>
      <c r="D279" s="127">
        <v>0</v>
      </c>
      <c r="E279" s="128">
        <f t="shared" si="24"/>
        <v>1</v>
      </c>
      <c r="F279" s="24" t="s">
        <v>18</v>
      </c>
      <c r="G279" s="131"/>
      <c r="H279" s="131"/>
      <c r="I279" s="132">
        <f t="shared" si="25"/>
        <v>0</v>
      </c>
      <c r="J279" s="113">
        <v>0.5</v>
      </c>
      <c r="K279" s="132">
        <f t="shared" si="26"/>
        <v>0</v>
      </c>
      <c r="L279" s="133">
        <f t="shared" si="27"/>
        <v>0</v>
      </c>
    </row>
    <row r="280" spans="1:12" ht="17.25" customHeight="1" thickBot="1" x14ac:dyDescent="0.4">
      <c r="A280" s="129"/>
      <c r="B280" s="130"/>
      <c r="C280" s="123"/>
      <c r="D280" s="127"/>
      <c r="E280" s="128"/>
      <c r="F280" s="24"/>
      <c r="G280" s="131"/>
      <c r="H280" s="131"/>
      <c r="I280" s="132"/>
      <c r="J280" s="113"/>
      <c r="K280" s="132"/>
      <c r="L280" s="133"/>
    </row>
    <row r="281" spans="1:12" ht="17.25" customHeight="1" thickBot="1" x14ac:dyDescent="0.4">
      <c r="A281" s="382" t="s">
        <v>1109</v>
      </c>
      <c r="B281" s="383"/>
      <c r="C281" s="134"/>
      <c r="D281" s="127"/>
      <c r="E281" s="128"/>
      <c r="F281" s="24"/>
      <c r="G281" s="131"/>
      <c r="H281" s="131"/>
      <c r="I281" s="132"/>
      <c r="J281" s="113"/>
      <c r="K281" s="132"/>
      <c r="L281" s="133"/>
    </row>
    <row r="282" spans="1:12" ht="17.25" customHeight="1" x14ac:dyDescent="0.35">
      <c r="A282" s="138">
        <v>1</v>
      </c>
      <c r="B282" s="139" t="s">
        <v>619</v>
      </c>
      <c r="C282" s="123">
        <v>10</v>
      </c>
      <c r="D282" s="127">
        <v>0</v>
      </c>
      <c r="E282" s="128">
        <f>C282*(1+D282)</f>
        <v>10</v>
      </c>
      <c r="F282" s="24" t="s">
        <v>18</v>
      </c>
      <c r="G282" s="131"/>
      <c r="H282" s="131"/>
      <c r="I282" s="132">
        <f t="shared" ref="I282:I289" si="28">L$4</f>
        <v>0</v>
      </c>
      <c r="J282" s="113">
        <v>5</v>
      </c>
      <c r="K282" s="132">
        <f t="shared" ref="K282:K289" si="29">J282*I282</f>
        <v>0</v>
      </c>
      <c r="L282" s="133">
        <f t="shared" ref="L282:L289" si="30">K282+H282</f>
        <v>0</v>
      </c>
    </row>
    <row r="283" spans="1:12" ht="17.25" customHeight="1" x14ac:dyDescent="0.35">
      <c r="A283" s="138">
        <v>2</v>
      </c>
      <c r="B283" s="140" t="s">
        <v>617</v>
      </c>
      <c r="C283" s="123">
        <v>4</v>
      </c>
      <c r="D283" s="127">
        <v>0</v>
      </c>
      <c r="E283" s="128">
        <f t="shared" ref="E283:E289" si="31">C283*(1+D283)</f>
        <v>4</v>
      </c>
      <c r="F283" s="24" t="s">
        <v>18</v>
      </c>
      <c r="G283" s="131"/>
      <c r="H283" s="131"/>
      <c r="I283" s="132">
        <f t="shared" si="28"/>
        <v>0</v>
      </c>
      <c r="J283" s="113">
        <v>2</v>
      </c>
      <c r="K283" s="132">
        <f t="shared" si="29"/>
        <v>0</v>
      </c>
      <c r="L283" s="133">
        <f t="shared" si="30"/>
        <v>0</v>
      </c>
    </row>
    <row r="284" spans="1:12" ht="17.25" customHeight="1" x14ac:dyDescent="0.35">
      <c r="A284" s="138">
        <v>3</v>
      </c>
      <c r="B284" s="140" t="s">
        <v>628</v>
      </c>
      <c r="C284" s="123">
        <v>2</v>
      </c>
      <c r="D284" s="127">
        <v>0</v>
      </c>
      <c r="E284" s="128">
        <f t="shared" si="31"/>
        <v>2</v>
      </c>
      <c r="F284" s="24" t="s">
        <v>18</v>
      </c>
      <c r="G284" s="131"/>
      <c r="H284" s="131"/>
      <c r="I284" s="132">
        <f t="shared" si="28"/>
        <v>0</v>
      </c>
      <c r="J284" s="113">
        <v>1</v>
      </c>
      <c r="K284" s="132">
        <f t="shared" si="29"/>
        <v>0</v>
      </c>
      <c r="L284" s="133">
        <f t="shared" si="30"/>
        <v>0</v>
      </c>
    </row>
    <row r="285" spans="1:12" ht="17.25" customHeight="1" x14ac:dyDescent="0.35">
      <c r="A285" s="138">
        <v>4</v>
      </c>
      <c r="B285" s="140" t="s">
        <v>618</v>
      </c>
      <c r="C285" s="123">
        <v>12</v>
      </c>
      <c r="D285" s="127">
        <v>0</v>
      </c>
      <c r="E285" s="128">
        <f t="shared" si="31"/>
        <v>12</v>
      </c>
      <c r="F285" s="24" t="s">
        <v>18</v>
      </c>
      <c r="G285" s="131"/>
      <c r="H285" s="131"/>
      <c r="I285" s="132">
        <f t="shared" si="28"/>
        <v>0</v>
      </c>
      <c r="J285" s="113">
        <v>6</v>
      </c>
      <c r="K285" s="132">
        <f t="shared" si="29"/>
        <v>0</v>
      </c>
      <c r="L285" s="133">
        <f t="shared" si="30"/>
        <v>0</v>
      </c>
    </row>
    <row r="286" spans="1:12" ht="17.25" customHeight="1" x14ac:dyDescent="0.35">
      <c r="A286" s="138">
        <v>5</v>
      </c>
      <c r="B286" s="140" t="s">
        <v>642</v>
      </c>
      <c r="C286" s="123">
        <v>2</v>
      </c>
      <c r="D286" s="127">
        <v>0</v>
      </c>
      <c r="E286" s="128">
        <f t="shared" si="31"/>
        <v>2</v>
      </c>
      <c r="F286" s="24" t="s">
        <v>18</v>
      </c>
      <c r="G286" s="131"/>
      <c r="H286" s="131"/>
      <c r="I286" s="132">
        <f t="shared" si="28"/>
        <v>0</v>
      </c>
      <c r="J286" s="113">
        <v>1</v>
      </c>
      <c r="K286" s="132">
        <f t="shared" si="29"/>
        <v>0</v>
      </c>
      <c r="L286" s="133">
        <f t="shared" si="30"/>
        <v>0</v>
      </c>
    </row>
    <row r="287" spans="1:12" ht="17.25" customHeight="1" x14ac:dyDescent="0.35">
      <c r="A287" s="138">
        <v>6</v>
      </c>
      <c r="B287" s="140" t="s">
        <v>639</v>
      </c>
      <c r="C287" s="123">
        <v>2</v>
      </c>
      <c r="D287" s="127">
        <v>0</v>
      </c>
      <c r="E287" s="128">
        <f t="shared" si="31"/>
        <v>2</v>
      </c>
      <c r="F287" s="24" t="s">
        <v>18</v>
      </c>
      <c r="G287" s="131"/>
      <c r="H287" s="131"/>
      <c r="I287" s="132">
        <f t="shared" si="28"/>
        <v>0</v>
      </c>
      <c r="J287" s="113">
        <v>1</v>
      </c>
      <c r="K287" s="132">
        <f t="shared" si="29"/>
        <v>0</v>
      </c>
      <c r="L287" s="133">
        <f t="shared" si="30"/>
        <v>0</v>
      </c>
    </row>
    <row r="288" spans="1:12" ht="17.25" customHeight="1" x14ac:dyDescent="0.35">
      <c r="A288" s="138">
        <v>7</v>
      </c>
      <c r="B288" s="140" t="s">
        <v>643</v>
      </c>
      <c r="C288" s="123">
        <v>2</v>
      </c>
      <c r="D288" s="127">
        <v>0</v>
      </c>
      <c r="E288" s="128">
        <f t="shared" si="31"/>
        <v>2</v>
      </c>
      <c r="F288" s="24" t="s">
        <v>18</v>
      </c>
      <c r="G288" s="131"/>
      <c r="H288" s="131"/>
      <c r="I288" s="132">
        <f t="shared" si="28"/>
        <v>0</v>
      </c>
      <c r="J288" s="113">
        <v>1</v>
      </c>
      <c r="K288" s="132">
        <f t="shared" si="29"/>
        <v>0</v>
      </c>
      <c r="L288" s="133">
        <f t="shared" si="30"/>
        <v>0</v>
      </c>
    </row>
    <row r="289" spans="1:12" ht="17.25" customHeight="1" x14ac:dyDescent="0.35">
      <c r="A289" s="138">
        <v>8</v>
      </c>
      <c r="B289" s="140" t="s">
        <v>783</v>
      </c>
      <c r="C289" s="123">
        <v>2</v>
      </c>
      <c r="D289" s="127">
        <v>0</v>
      </c>
      <c r="E289" s="128">
        <f t="shared" si="31"/>
        <v>2</v>
      </c>
      <c r="F289" s="24" t="s">
        <v>18</v>
      </c>
      <c r="G289" s="131"/>
      <c r="H289" s="131"/>
      <c r="I289" s="132">
        <f t="shared" si="28"/>
        <v>0</v>
      </c>
      <c r="J289" s="113">
        <v>1</v>
      </c>
      <c r="K289" s="132">
        <f t="shared" si="29"/>
        <v>0</v>
      </c>
      <c r="L289" s="133">
        <f t="shared" si="30"/>
        <v>0</v>
      </c>
    </row>
    <row r="290" spans="1:12" ht="17.25" customHeight="1" thickBot="1" x14ac:dyDescent="0.4">
      <c r="A290" s="310"/>
      <c r="B290" s="130"/>
      <c r="C290" s="123"/>
      <c r="D290" s="127"/>
      <c r="E290" s="128"/>
      <c r="F290" s="24"/>
      <c r="G290" s="131"/>
      <c r="H290" s="131"/>
      <c r="I290" s="132"/>
      <c r="J290" s="113"/>
      <c r="K290" s="132"/>
      <c r="L290" s="133"/>
    </row>
    <row r="291" spans="1:12" ht="17.25" customHeight="1" thickBot="1" x14ac:dyDescent="0.4">
      <c r="A291" s="379" t="s">
        <v>1110</v>
      </c>
      <c r="B291" s="380"/>
      <c r="C291" s="134"/>
      <c r="D291" s="127"/>
      <c r="E291" s="128"/>
      <c r="F291" s="24"/>
      <c r="G291" s="135"/>
      <c r="H291" s="135"/>
      <c r="I291" s="132"/>
      <c r="J291" s="113"/>
      <c r="K291" s="136"/>
      <c r="L291" s="137"/>
    </row>
    <row r="292" spans="1:12" ht="17.25" customHeight="1" x14ac:dyDescent="0.35">
      <c r="A292" s="138">
        <v>1</v>
      </c>
      <c r="B292" s="139" t="s">
        <v>792</v>
      </c>
      <c r="C292" s="123">
        <v>5</v>
      </c>
      <c r="D292" s="127">
        <v>0</v>
      </c>
      <c r="E292" s="128">
        <f t="shared" ref="E292:E475" si="32">C292*(1+D292)</f>
        <v>5</v>
      </c>
      <c r="F292" s="24" t="s">
        <v>18</v>
      </c>
      <c r="G292" s="131"/>
      <c r="H292" s="131"/>
      <c r="I292" s="132">
        <f t="shared" ref="I292:I310" si="33">L$4</f>
        <v>0</v>
      </c>
      <c r="J292" s="113">
        <v>2.5</v>
      </c>
      <c r="K292" s="132">
        <f t="shared" ref="K292:K310" si="34">J292*I292</f>
        <v>0</v>
      </c>
      <c r="L292" s="133">
        <f t="shared" ref="L292:L310" si="35">K292+H292</f>
        <v>0</v>
      </c>
    </row>
    <row r="293" spans="1:12" ht="17.25" customHeight="1" x14ac:dyDescent="0.35">
      <c r="A293" s="138">
        <v>2</v>
      </c>
      <c r="B293" s="139" t="s">
        <v>793</v>
      </c>
      <c r="C293" s="123">
        <v>1</v>
      </c>
      <c r="D293" s="127">
        <v>0</v>
      </c>
      <c r="E293" s="128">
        <f t="shared" si="32"/>
        <v>1</v>
      </c>
      <c r="F293" s="24" t="s">
        <v>18</v>
      </c>
      <c r="G293" s="131"/>
      <c r="H293" s="131"/>
      <c r="I293" s="132">
        <f t="shared" si="33"/>
        <v>0</v>
      </c>
      <c r="J293" s="113">
        <v>0.5</v>
      </c>
      <c r="K293" s="132">
        <f t="shared" si="34"/>
        <v>0</v>
      </c>
      <c r="L293" s="133">
        <f t="shared" si="35"/>
        <v>0</v>
      </c>
    </row>
    <row r="294" spans="1:12" ht="17.25" customHeight="1" x14ac:dyDescent="0.35">
      <c r="A294" s="138">
        <v>3</v>
      </c>
      <c r="B294" s="139" t="s">
        <v>794</v>
      </c>
      <c r="C294" s="123">
        <v>1</v>
      </c>
      <c r="D294" s="127">
        <v>0</v>
      </c>
      <c r="E294" s="128">
        <f t="shared" si="32"/>
        <v>1</v>
      </c>
      <c r="F294" s="24" t="s">
        <v>18</v>
      </c>
      <c r="G294" s="131"/>
      <c r="H294" s="131"/>
      <c r="I294" s="132">
        <f t="shared" si="33"/>
        <v>0</v>
      </c>
      <c r="J294" s="113">
        <v>0.5</v>
      </c>
      <c r="K294" s="132">
        <f t="shared" si="34"/>
        <v>0</v>
      </c>
      <c r="L294" s="133">
        <f t="shared" si="35"/>
        <v>0</v>
      </c>
    </row>
    <row r="295" spans="1:12" ht="17.25" customHeight="1" x14ac:dyDescent="0.35">
      <c r="A295" s="138">
        <v>4</v>
      </c>
      <c r="B295" s="139" t="s">
        <v>795</v>
      </c>
      <c r="C295" s="123">
        <v>3</v>
      </c>
      <c r="D295" s="127">
        <v>0</v>
      </c>
      <c r="E295" s="128">
        <f t="shared" si="32"/>
        <v>3</v>
      </c>
      <c r="F295" s="24" t="s">
        <v>18</v>
      </c>
      <c r="G295" s="131"/>
      <c r="H295" s="131"/>
      <c r="I295" s="132">
        <f t="shared" si="33"/>
        <v>0</v>
      </c>
      <c r="J295" s="113">
        <v>1.5</v>
      </c>
      <c r="K295" s="132">
        <f t="shared" si="34"/>
        <v>0</v>
      </c>
      <c r="L295" s="133">
        <f t="shared" si="35"/>
        <v>0</v>
      </c>
    </row>
    <row r="296" spans="1:12" ht="17.25" customHeight="1" x14ac:dyDescent="0.35">
      <c r="A296" s="138">
        <v>5</v>
      </c>
      <c r="B296" s="139" t="s">
        <v>796</v>
      </c>
      <c r="C296" s="123">
        <v>2</v>
      </c>
      <c r="D296" s="127">
        <v>0</v>
      </c>
      <c r="E296" s="128">
        <f t="shared" si="32"/>
        <v>2</v>
      </c>
      <c r="F296" s="24" t="s">
        <v>18</v>
      </c>
      <c r="G296" s="131"/>
      <c r="H296" s="131"/>
      <c r="I296" s="132">
        <f t="shared" si="33"/>
        <v>0</v>
      </c>
      <c r="J296" s="113">
        <v>1</v>
      </c>
      <c r="K296" s="132">
        <f t="shared" si="34"/>
        <v>0</v>
      </c>
      <c r="L296" s="133">
        <f t="shared" si="35"/>
        <v>0</v>
      </c>
    </row>
    <row r="297" spans="1:12" ht="17.25" customHeight="1" x14ac:dyDescent="0.35">
      <c r="A297" s="138">
        <v>6</v>
      </c>
      <c r="B297" s="139" t="s">
        <v>797</v>
      </c>
      <c r="C297" s="123">
        <v>3</v>
      </c>
      <c r="D297" s="127">
        <v>0</v>
      </c>
      <c r="E297" s="128">
        <f t="shared" si="32"/>
        <v>3</v>
      </c>
      <c r="F297" s="24" t="s">
        <v>18</v>
      </c>
      <c r="G297" s="131"/>
      <c r="H297" s="131"/>
      <c r="I297" s="132">
        <f t="shared" si="33"/>
        <v>0</v>
      </c>
      <c r="J297" s="113">
        <v>1.5</v>
      </c>
      <c r="K297" s="132">
        <f t="shared" si="34"/>
        <v>0</v>
      </c>
      <c r="L297" s="133">
        <f t="shared" si="35"/>
        <v>0</v>
      </c>
    </row>
    <row r="298" spans="1:12" ht="17.25" customHeight="1" x14ac:dyDescent="0.35">
      <c r="A298" s="138">
        <v>7</v>
      </c>
      <c r="B298" s="139" t="s">
        <v>798</v>
      </c>
      <c r="C298" s="123">
        <v>6</v>
      </c>
      <c r="D298" s="127">
        <v>0</v>
      </c>
      <c r="E298" s="128">
        <f t="shared" si="32"/>
        <v>6</v>
      </c>
      <c r="F298" s="24" t="s">
        <v>18</v>
      </c>
      <c r="G298" s="131"/>
      <c r="H298" s="131"/>
      <c r="I298" s="132">
        <f t="shared" si="33"/>
        <v>0</v>
      </c>
      <c r="J298" s="113">
        <v>3</v>
      </c>
      <c r="K298" s="132">
        <f t="shared" si="34"/>
        <v>0</v>
      </c>
      <c r="L298" s="133">
        <f t="shared" si="35"/>
        <v>0</v>
      </c>
    </row>
    <row r="299" spans="1:12" ht="17.25" customHeight="1" x14ac:dyDescent="0.35">
      <c r="A299" s="138">
        <v>8</v>
      </c>
      <c r="B299" s="139" t="s">
        <v>799</v>
      </c>
      <c r="C299" s="123">
        <v>3</v>
      </c>
      <c r="D299" s="127">
        <v>0</v>
      </c>
      <c r="E299" s="128">
        <f t="shared" si="32"/>
        <v>3</v>
      </c>
      <c r="F299" s="24" t="s">
        <v>18</v>
      </c>
      <c r="G299" s="131"/>
      <c r="H299" s="131"/>
      <c r="I299" s="132">
        <f t="shared" si="33"/>
        <v>0</v>
      </c>
      <c r="J299" s="113">
        <v>1.5</v>
      </c>
      <c r="K299" s="132">
        <f t="shared" si="34"/>
        <v>0</v>
      </c>
      <c r="L299" s="133">
        <f t="shared" si="35"/>
        <v>0</v>
      </c>
    </row>
    <row r="300" spans="1:12" ht="17.25" customHeight="1" x14ac:dyDescent="0.35">
      <c r="A300" s="138">
        <v>9</v>
      </c>
      <c r="B300" s="139" t="s">
        <v>800</v>
      </c>
      <c r="C300" s="123">
        <v>2</v>
      </c>
      <c r="D300" s="127">
        <v>0</v>
      </c>
      <c r="E300" s="128">
        <f t="shared" si="32"/>
        <v>2</v>
      </c>
      <c r="F300" s="24" t="s">
        <v>18</v>
      </c>
      <c r="G300" s="131"/>
      <c r="H300" s="131"/>
      <c r="I300" s="132">
        <f t="shared" si="33"/>
        <v>0</v>
      </c>
      <c r="J300" s="113">
        <v>1</v>
      </c>
      <c r="K300" s="132">
        <f t="shared" si="34"/>
        <v>0</v>
      </c>
      <c r="L300" s="133">
        <f t="shared" si="35"/>
        <v>0</v>
      </c>
    </row>
    <row r="301" spans="1:12" ht="17.25" customHeight="1" x14ac:dyDescent="0.35">
      <c r="A301" s="138">
        <v>10</v>
      </c>
      <c r="B301" s="139" t="s">
        <v>801</v>
      </c>
      <c r="C301" s="123">
        <v>3</v>
      </c>
      <c r="D301" s="127">
        <v>0</v>
      </c>
      <c r="E301" s="128">
        <f t="shared" si="32"/>
        <v>3</v>
      </c>
      <c r="F301" s="24" t="s">
        <v>18</v>
      </c>
      <c r="G301" s="131"/>
      <c r="H301" s="131"/>
      <c r="I301" s="132">
        <f t="shared" si="33"/>
        <v>0</v>
      </c>
      <c r="J301" s="113">
        <v>1.5</v>
      </c>
      <c r="K301" s="132">
        <f t="shared" si="34"/>
        <v>0</v>
      </c>
      <c r="L301" s="133">
        <f t="shared" si="35"/>
        <v>0</v>
      </c>
    </row>
    <row r="302" spans="1:12" ht="17.25" customHeight="1" x14ac:dyDescent="0.35">
      <c r="A302" s="138">
        <v>11</v>
      </c>
      <c r="B302" s="140" t="s">
        <v>802</v>
      </c>
      <c r="C302" s="123">
        <v>2</v>
      </c>
      <c r="D302" s="127">
        <v>0</v>
      </c>
      <c r="E302" s="128">
        <f t="shared" si="32"/>
        <v>2</v>
      </c>
      <c r="F302" s="24" t="s">
        <v>18</v>
      </c>
      <c r="G302" s="131"/>
      <c r="H302" s="131"/>
      <c r="I302" s="132">
        <f t="shared" si="33"/>
        <v>0</v>
      </c>
      <c r="J302" s="113">
        <v>1</v>
      </c>
      <c r="K302" s="132">
        <f t="shared" si="34"/>
        <v>0</v>
      </c>
      <c r="L302" s="133">
        <f t="shared" si="35"/>
        <v>0</v>
      </c>
    </row>
    <row r="303" spans="1:12" ht="17.25" customHeight="1" x14ac:dyDescent="0.35">
      <c r="A303" s="138">
        <v>12</v>
      </c>
      <c r="B303" s="140" t="s">
        <v>803</v>
      </c>
      <c r="C303" s="123">
        <v>2</v>
      </c>
      <c r="D303" s="127">
        <v>0</v>
      </c>
      <c r="E303" s="128">
        <f t="shared" si="32"/>
        <v>2</v>
      </c>
      <c r="F303" s="24" t="s">
        <v>18</v>
      </c>
      <c r="G303" s="131"/>
      <c r="H303" s="131"/>
      <c r="I303" s="132">
        <f t="shared" si="33"/>
        <v>0</v>
      </c>
      <c r="J303" s="113">
        <v>1</v>
      </c>
      <c r="K303" s="132">
        <f t="shared" si="34"/>
        <v>0</v>
      </c>
      <c r="L303" s="133">
        <f t="shared" si="35"/>
        <v>0</v>
      </c>
    </row>
    <row r="304" spans="1:12" ht="17.25" customHeight="1" x14ac:dyDescent="0.35">
      <c r="A304" s="138">
        <v>13</v>
      </c>
      <c r="B304" s="140" t="s">
        <v>804</v>
      </c>
      <c r="C304" s="123">
        <v>1</v>
      </c>
      <c r="D304" s="127">
        <v>0</v>
      </c>
      <c r="E304" s="128">
        <f t="shared" si="32"/>
        <v>1</v>
      </c>
      <c r="F304" s="24" t="s">
        <v>18</v>
      </c>
      <c r="G304" s="131"/>
      <c r="H304" s="131"/>
      <c r="I304" s="132">
        <f t="shared" si="33"/>
        <v>0</v>
      </c>
      <c r="J304" s="113">
        <v>0.5</v>
      </c>
      <c r="K304" s="132">
        <f t="shared" si="34"/>
        <v>0</v>
      </c>
      <c r="L304" s="133">
        <f t="shared" si="35"/>
        <v>0</v>
      </c>
    </row>
    <row r="305" spans="1:16384" ht="17.25" customHeight="1" x14ac:dyDescent="0.35">
      <c r="A305" s="138">
        <v>14</v>
      </c>
      <c r="B305" s="140" t="s">
        <v>805</v>
      </c>
      <c r="C305" s="123">
        <v>1</v>
      </c>
      <c r="D305" s="127">
        <v>0</v>
      </c>
      <c r="E305" s="128">
        <f t="shared" si="32"/>
        <v>1</v>
      </c>
      <c r="F305" s="24" t="s">
        <v>18</v>
      </c>
      <c r="G305" s="131"/>
      <c r="H305" s="131"/>
      <c r="I305" s="132">
        <f t="shared" si="33"/>
        <v>0</v>
      </c>
      <c r="J305" s="113">
        <v>0.5</v>
      </c>
      <c r="K305" s="132">
        <f t="shared" si="34"/>
        <v>0</v>
      </c>
      <c r="L305" s="133">
        <f t="shared" si="35"/>
        <v>0</v>
      </c>
    </row>
    <row r="306" spans="1:16384" ht="17.25" customHeight="1" x14ac:dyDescent="0.35">
      <c r="A306" s="138">
        <v>15</v>
      </c>
      <c r="B306" s="140" t="s">
        <v>806</v>
      </c>
      <c r="C306" s="123">
        <v>2</v>
      </c>
      <c r="D306" s="127">
        <v>0</v>
      </c>
      <c r="E306" s="128">
        <f t="shared" si="32"/>
        <v>2</v>
      </c>
      <c r="F306" s="24" t="s">
        <v>18</v>
      </c>
      <c r="G306" s="131"/>
      <c r="H306" s="131"/>
      <c r="I306" s="132">
        <f t="shared" si="33"/>
        <v>0</v>
      </c>
      <c r="J306" s="113">
        <v>1</v>
      </c>
      <c r="K306" s="132">
        <f t="shared" si="34"/>
        <v>0</v>
      </c>
      <c r="L306" s="133">
        <f t="shared" si="35"/>
        <v>0</v>
      </c>
    </row>
    <row r="307" spans="1:16384" ht="17.25" customHeight="1" x14ac:dyDescent="0.35">
      <c r="A307" s="138">
        <v>16</v>
      </c>
      <c r="B307" s="140" t="s">
        <v>807</v>
      </c>
      <c r="C307" s="123">
        <v>2</v>
      </c>
      <c r="D307" s="127">
        <v>0</v>
      </c>
      <c r="E307" s="128">
        <f t="shared" si="32"/>
        <v>2</v>
      </c>
      <c r="F307" s="24" t="s">
        <v>18</v>
      </c>
      <c r="G307" s="131"/>
      <c r="H307" s="131"/>
      <c r="I307" s="132">
        <f t="shared" si="33"/>
        <v>0</v>
      </c>
      <c r="J307" s="113">
        <v>1</v>
      </c>
      <c r="K307" s="132">
        <f t="shared" si="34"/>
        <v>0</v>
      </c>
      <c r="L307" s="133">
        <f t="shared" si="35"/>
        <v>0</v>
      </c>
    </row>
    <row r="308" spans="1:16384" ht="17.25" customHeight="1" x14ac:dyDescent="0.35">
      <c r="A308" s="138">
        <v>17</v>
      </c>
      <c r="B308" s="140" t="s">
        <v>808</v>
      </c>
      <c r="C308" s="123">
        <v>2</v>
      </c>
      <c r="D308" s="127">
        <v>0</v>
      </c>
      <c r="E308" s="128">
        <f t="shared" si="32"/>
        <v>2</v>
      </c>
      <c r="F308" s="24" t="s">
        <v>18</v>
      </c>
      <c r="G308" s="131"/>
      <c r="H308" s="131"/>
      <c r="I308" s="132">
        <f t="shared" si="33"/>
        <v>0</v>
      </c>
      <c r="J308" s="113">
        <v>1</v>
      </c>
      <c r="K308" s="132">
        <f t="shared" si="34"/>
        <v>0</v>
      </c>
      <c r="L308" s="133">
        <f t="shared" si="35"/>
        <v>0</v>
      </c>
    </row>
    <row r="309" spans="1:16384" ht="17.25" customHeight="1" x14ac:dyDescent="0.35">
      <c r="A309" s="138">
        <v>18</v>
      </c>
      <c r="B309" s="140" t="s">
        <v>809</v>
      </c>
      <c r="C309" s="123">
        <v>1</v>
      </c>
      <c r="D309" s="127">
        <v>0</v>
      </c>
      <c r="E309" s="128">
        <f t="shared" si="32"/>
        <v>1</v>
      </c>
      <c r="F309" s="24" t="s">
        <v>18</v>
      </c>
      <c r="G309" s="131"/>
      <c r="H309" s="131"/>
      <c r="I309" s="132">
        <f t="shared" si="33"/>
        <v>0</v>
      </c>
      <c r="J309" s="113">
        <v>0.5</v>
      </c>
      <c r="K309" s="132">
        <f t="shared" si="34"/>
        <v>0</v>
      </c>
      <c r="L309" s="133">
        <f t="shared" si="35"/>
        <v>0</v>
      </c>
    </row>
    <row r="310" spans="1:16384" ht="17.25" customHeight="1" x14ac:dyDescent="0.35">
      <c r="A310" s="143">
        <v>19</v>
      </c>
      <c r="B310" s="140" t="s">
        <v>810</v>
      </c>
      <c r="C310" s="123">
        <v>1</v>
      </c>
      <c r="D310" s="127">
        <v>0</v>
      </c>
      <c r="E310" s="128">
        <f t="shared" si="32"/>
        <v>1</v>
      </c>
      <c r="F310" s="24" t="s">
        <v>18</v>
      </c>
      <c r="G310" s="131"/>
      <c r="H310" s="131"/>
      <c r="I310" s="132">
        <f t="shared" si="33"/>
        <v>0</v>
      </c>
      <c r="J310" s="113">
        <v>0.5</v>
      </c>
      <c r="K310" s="132">
        <f t="shared" si="34"/>
        <v>0</v>
      </c>
      <c r="L310" s="133">
        <f t="shared" si="35"/>
        <v>0</v>
      </c>
    </row>
    <row r="311" spans="1:16384" ht="17.25" customHeight="1" thickBot="1" x14ac:dyDescent="0.4">
      <c r="A311" s="143"/>
      <c r="B311" s="140"/>
      <c r="C311" s="123"/>
      <c r="D311" s="127"/>
      <c r="E311" s="128"/>
      <c r="F311" s="24"/>
      <c r="G311" s="131"/>
      <c r="H311" s="131"/>
      <c r="I311" s="132"/>
      <c r="J311" s="113"/>
      <c r="K311" s="132"/>
      <c r="L311" s="133"/>
    </row>
    <row r="312" spans="1:16384" s="54" customFormat="1" ht="17.25" customHeight="1" thickBot="1" x14ac:dyDescent="0.4">
      <c r="A312" s="379" t="s">
        <v>1111</v>
      </c>
      <c r="B312" s="380"/>
      <c r="C312" s="284"/>
      <c r="D312" s="127"/>
      <c r="E312" s="128"/>
      <c r="F312" s="24"/>
      <c r="G312" s="143"/>
      <c r="H312" s="143"/>
      <c r="I312" s="143"/>
      <c r="J312" s="143"/>
      <c r="K312" s="143"/>
      <c r="L312" s="146"/>
      <c r="M312" s="147"/>
      <c r="N312" s="147"/>
      <c r="O312" s="147"/>
      <c r="P312" s="147"/>
      <c r="Q312" s="147"/>
      <c r="R312" s="147"/>
      <c r="S312" s="147"/>
      <c r="T312" s="147"/>
      <c r="U312" s="147"/>
      <c r="V312" s="147"/>
      <c r="W312" s="147"/>
      <c r="X312" s="147"/>
      <c r="Y312" s="147"/>
      <c r="Z312" s="147"/>
      <c r="AA312" s="147"/>
      <c r="AB312" s="147"/>
      <c r="AC312" s="147"/>
      <c r="AD312" s="147"/>
      <c r="AE312" s="147"/>
      <c r="AF312" s="147"/>
      <c r="AG312" s="147"/>
      <c r="AH312" s="147"/>
      <c r="AI312" s="147"/>
      <c r="AJ312" s="147"/>
      <c r="AK312" s="147"/>
      <c r="AL312" s="147"/>
      <c r="AM312" s="147"/>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c r="BI312" s="147"/>
      <c r="BJ312" s="147"/>
      <c r="BK312" s="147"/>
      <c r="BL312" s="147"/>
      <c r="BM312" s="147"/>
      <c r="BN312" s="147"/>
      <c r="BO312" s="147"/>
      <c r="BP312" s="147"/>
      <c r="BQ312" s="147"/>
      <c r="BR312" s="147"/>
      <c r="BS312" s="147"/>
      <c r="BT312" s="147"/>
      <c r="BU312" s="147"/>
      <c r="BV312" s="147"/>
      <c r="BW312" s="147"/>
      <c r="BX312" s="147"/>
      <c r="BY312" s="147"/>
      <c r="BZ312" s="147"/>
      <c r="CA312" s="147"/>
      <c r="CB312" s="147"/>
      <c r="CC312" s="147"/>
      <c r="CD312" s="147"/>
      <c r="CE312" s="147"/>
      <c r="CF312" s="147"/>
      <c r="CG312" s="147"/>
      <c r="CH312" s="147"/>
      <c r="CI312" s="147"/>
      <c r="CJ312" s="147"/>
      <c r="CK312" s="147"/>
      <c r="CL312" s="147"/>
      <c r="CM312" s="147"/>
      <c r="CN312" s="147"/>
      <c r="CO312" s="147"/>
      <c r="CP312" s="147"/>
      <c r="CQ312" s="147"/>
      <c r="CR312" s="147"/>
      <c r="CS312" s="147"/>
      <c r="CT312" s="147"/>
      <c r="CU312" s="147"/>
      <c r="CV312" s="147"/>
      <c r="CW312" s="147"/>
      <c r="CX312" s="147"/>
      <c r="CY312" s="147"/>
      <c r="CZ312" s="147"/>
      <c r="DA312" s="147"/>
      <c r="DB312" s="147"/>
      <c r="DC312" s="147"/>
      <c r="DD312" s="147"/>
      <c r="DE312" s="147"/>
      <c r="DF312" s="147"/>
      <c r="DG312" s="147"/>
      <c r="DH312" s="147"/>
      <c r="DI312" s="147"/>
      <c r="DJ312" s="147"/>
      <c r="DK312" s="147"/>
      <c r="DL312" s="147"/>
      <c r="DM312" s="147"/>
      <c r="DN312" s="147"/>
      <c r="DO312" s="147"/>
      <c r="DP312" s="147"/>
      <c r="DQ312" s="147"/>
      <c r="DR312" s="147"/>
      <c r="DS312" s="147"/>
      <c r="DT312" s="147"/>
      <c r="DU312" s="147"/>
      <c r="DV312" s="147"/>
      <c r="DW312" s="147"/>
      <c r="DX312" s="147"/>
      <c r="DY312" s="147"/>
      <c r="DZ312" s="147"/>
      <c r="EA312" s="147"/>
      <c r="EB312" s="147"/>
      <c r="EC312" s="147"/>
      <c r="ED312" s="147"/>
      <c r="EE312" s="147"/>
      <c r="EF312" s="147"/>
      <c r="EG312" s="147"/>
      <c r="EH312" s="147"/>
      <c r="EI312" s="147"/>
      <c r="EJ312" s="147"/>
      <c r="EK312" s="147"/>
      <c r="EL312" s="147"/>
      <c r="EM312" s="147"/>
      <c r="EN312" s="147"/>
      <c r="EO312" s="147"/>
      <c r="EP312" s="147"/>
      <c r="EQ312" s="147"/>
      <c r="ER312" s="147"/>
      <c r="ES312" s="147"/>
      <c r="ET312" s="147"/>
      <c r="EU312" s="147"/>
      <c r="EV312" s="147"/>
      <c r="EW312" s="147"/>
      <c r="EX312" s="147"/>
      <c r="EY312" s="147"/>
      <c r="EZ312" s="147"/>
      <c r="FA312" s="147"/>
      <c r="FB312" s="147"/>
      <c r="FC312" s="147"/>
      <c r="FD312" s="147"/>
      <c r="FE312" s="147"/>
      <c r="FF312" s="147"/>
      <c r="FG312" s="147"/>
      <c r="FH312" s="147"/>
      <c r="FI312" s="147"/>
      <c r="FJ312" s="147"/>
      <c r="FK312" s="147"/>
      <c r="FL312" s="147"/>
      <c r="FM312" s="147"/>
      <c r="FN312" s="147"/>
      <c r="FO312" s="147"/>
      <c r="FP312" s="147"/>
      <c r="FQ312" s="147"/>
      <c r="FR312" s="147"/>
      <c r="FS312" s="147"/>
      <c r="FT312" s="147"/>
      <c r="FU312" s="147"/>
      <c r="FV312" s="147"/>
      <c r="FW312" s="147"/>
      <c r="FX312" s="147"/>
      <c r="FY312" s="147"/>
      <c r="FZ312" s="147"/>
      <c r="GA312" s="147"/>
      <c r="GB312" s="147"/>
      <c r="GC312" s="147"/>
      <c r="GD312" s="147"/>
      <c r="GE312" s="147"/>
      <c r="GF312" s="147"/>
      <c r="GG312" s="147"/>
      <c r="GH312" s="147"/>
      <c r="GI312" s="147"/>
      <c r="GJ312" s="147"/>
      <c r="GK312" s="147"/>
      <c r="GL312" s="147"/>
      <c r="GM312" s="147"/>
      <c r="GN312" s="147"/>
      <c r="GO312" s="147"/>
      <c r="GP312" s="147"/>
      <c r="GQ312" s="147"/>
      <c r="GR312" s="147"/>
      <c r="GS312" s="147"/>
      <c r="GT312" s="147"/>
      <c r="GU312" s="147"/>
      <c r="GV312" s="147"/>
      <c r="GW312" s="147"/>
      <c r="GX312" s="147"/>
      <c r="GY312" s="147"/>
      <c r="GZ312" s="147"/>
      <c r="HA312" s="147"/>
      <c r="HB312" s="147"/>
      <c r="HC312" s="147"/>
      <c r="HD312" s="147"/>
      <c r="HE312" s="147"/>
      <c r="HF312" s="147"/>
      <c r="HG312" s="147"/>
      <c r="HH312" s="147"/>
      <c r="HI312" s="147"/>
      <c r="HJ312" s="147"/>
      <c r="HK312" s="147"/>
      <c r="HL312" s="147"/>
      <c r="HM312" s="147"/>
      <c r="HN312" s="147"/>
      <c r="HO312" s="147"/>
      <c r="HP312" s="147"/>
      <c r="HQ312" s="147"/>
      <c r="HR312" s="147"/>
      <c r="HS312" s="147"/>
      <c r="HT312" s="147"/>
      <c r="HU312" s="147"/>
      <c r="HV312" s="147"/>
      <c r="HW312" s="147"/>
      <c r="HX312" s="147"/>
      <c r="HY312" s="147"/>
      <c r="HZ312" s="147"/>
      <c r="IA312" s="147"/>
      <c r="IB312" s="147"/>
      <c r="IC312" s="147"/>
      <c r="ID312" s="147"/>
      <c r="IE312" s="147"/>
      <c r="IF312" s="147"/>
      <c r="IG312" s="147"/>
      <c r="IH312" s="147"/>
      <c r="II312" s="147"/>
      <c r="IJ312" s="147"/>
      <c r="IK312" s="147"/>
      <c r="IL312" s="147"/>
      <c r="IM312" s="147"/>
      <c r="IN312" s="147"/>
      <c r="IO312" s="147"/>
      <c r="IP312" s="147"/>
      <c r="IQ312" s="147"/>
      <c r="IR312" s="147"/>
      <c r="IS312" s="147"/>
      <c r="IT312" s="147"/>
      <c r="IU312" s="147"/>
      <c r="IV312" s="147"/>
      <c r="IW312" s="147"/>
      <c r="IX312" s="147"/>
      <c r="IY312" s="147"/>
      <c r="IZ312" s="147"/>
      <c r="JA312" s="147"/>
      <c r="JB312" s="147"/>
      <c r="JC312" s="147"/>
      <c r="JD312" s="147"/>
      <c r="JE312" s="147"/>
      <c r="JF312" s="147"/>
      <c r="JG312" s="147"/>
      <c r="JH312" s="147"/>
      <c r="JI312" s="147"/>
      <c r="JJ312" s="147"/>
      <c r="JK312" s="147"/>
      <c r="JL312" s="147"/>
      <c r="JM312" s="147"/>
      <c r="JN312" s="147"/>
      <c r="JO312" s="147"/>
      <c r="JP312" s="147"/>
      <c r="JQ312" s="147"/>
      <c r="JR312" s="147"/>
      <c r="JS312" s="147"/>
      <c r="JT312" s="147"/>
      <c r="JU312" s="147"/>
      <c r="JV312" s="147"/>
      <c r="JW312" s="147"/>
      <c r="JX312" s="147"/>
      <c r="JY312" s="147"/>
      <c r="JZ312" s="147"/>
      <c r="KA312" s="147"/>
      <c r="KB312" s="147"/>
      <c r="KC312" s="147"/>
      <c r="KD312" s="147"/>
      <c r="KE312" s="147"/>
      <c r="KF312" s="147"/>
      <c r="KG312" s="147"/>
      <c r="KH312" s="147"/>
      <c r="KI312" s="147"/>
      <c r="KJ312" s="147"/>
      <c r="KK312" s="147"/>
      <c r="KL312" s="147"/>
      <c r="KM312" s="147"/>
      <c r="KN312" s="147"/>
      <c r="KO312" s="147"/>
      <c r="KP312" s="147"/>
      <c r="KQ312" s="147"/>
      <c r="KR312" s="147"/>
      <c r="KS312" s="147"/>
      <c r="KT312" s="147"/>
      <c r="KU312" s="147"/>
      <c r="KV312" s="147"/>
      <c r="KW312" s="147"/>
      <c r="KX312" s="147"/>
      <c r="KY312" s="147"/>
      <c r="KZ312" s="147"/>
      <c r="LA312" s="147"/>
      <c r="LB312" s="147"/>
      <c r="LC312" s="147"/>
      <c r="LD312" s="147"/>
      <c r="LE312" s="147"/>
      <c r="LF312" s="147"/>
      <c r="LG312" s="147"/>
      <c r="LH312" s="147"/>
      <c r="LI312" s="147"/>
      <c r="LJ312" s="147"/>
      <c r="LK312" s="147"/>
      <c r="LL312" s="147"/>
      <c r="LM312" s="147"/>
      <c r="LN312" s="147"/>
      <c r="LO312" s="147"/>
      <c r="LP312" s="147"/>
      <c r="LQ312" s="147"/>
      <c r="LR312" s="147"/>
      <c r="LS312" s="147"/>
      <c r="LT312" s="147"/>
      <c r="LU312" s="147"/>
      <c r="LV312" s="147"/>
      <c r="LW312" s="147"/>
      <c r="LX312" s="147"/>
      <c r="LY312" s="147"/>
      <c r="LZ312" s="147"/>
      <c r="MA312" s="147"/>
      <c r="MB312" s="147"/>
      <c r="MC312" s="147"/>
      <c r="MD312" s="147"/>
      <c r="ME312" s="147"/>
      <c r="MF312" s="147"/>
      <c r="MG312" s="147"/>
      <c r="MH312" s="147"/>
      <c r="MI312" s="147"/>
      <c r="MJ312" s="147"/>
      <c r="MK312" s="147"/>
      <c r="ML312" s="147"/>
      <c r="MM312" s="147"/>
      <c r="MN312" s="147"/>
      <c r="MO312" s="147"/>
      <c r="MP312" s="147"/>
      <c r="MQ312" s="147"/>
      <c r="MR312" s="147"/>
      <c r="MS312" s="147"/>
      <c r="MT312" s="147"/>
      <c r="MU312" s="147"/>
      <c r="MV312" s="147"/>
      <c r="MW312" s="147"/>
      <c r="MX312" s="147"/>
      <c r="MY312" s="147"/>
      <c r="MZ312" s="147"/>
      <c r="NA312" s="147"/>
      <c r="NB312" s="147"/>
      <c r="NC312" s="147"/>
      <c r="ND312" s="147"/>
      <c r="NE312" s="147"/>
      <c r="NF312" s="147"/>
      <c r="NG312" s="147"/>
      <c r="NH312" s="147"/>
      <c r="NI312" s="147"/>
      <c r="NJ312" s="147"/>
      <c r="NK312" s="147"/>
      <c r="NL312" s="147"/>
      <c r="NM312" s="147"/>
      <c r="NN312" s="147"/>
      <c r="NO312" s="147"/>
      <c r="NP312" s="147"/>
      <c r="NQ312" s="147"/>
      <c r="NR312" s="147"/>
      <c r="NS312" s="147"/>
      <c r="NT312" s="147"/>
      <c r="NU312" s="147"/>
      <c r="NV312" s="147"/>
      <c r="NW312" s="147"/>
      <c r="NX312" s="147"/>
      <c r="NY312" s="147"/>
      <c r="NZ312" s="147"/>
      <c r="OA312" s="147"/>
      <c r="OB312" s="147"/>
      <c r="OC312" s="147"/>
      <c r="OD312" s="147"/>
      <c r="OE312" s="147"/>
      <c r="OF312" s="147"/>
      <c r="OG312" s="147"/>
      <c r="OH312" s="147"/>
      <c r="OI312" s="147"/>
      <c r="OJ312" s="147"/>
      <c r="OK312" s="147"/>
      <c r="OL312" s="147"/>
      <c r="OM312" s="147"/>
      <c r="ON312" s="147"/>
      <c r="OO312" s="147"/>
      <c r="OP312" s="147"/>
      <c r="OQ312" s="147"/>
      <c r="OR312" s="147"/>
      <c r="OS312" s="147"/>
      <c r="OT312" s="147"/>
      <c r="OU312" s="147"/>
      <c r="OV312" s="147"/>
      <c r="OW312" s="147"/>
      <c r="OX312" s="147"/>
      <c r="OY312" s="147"/>
      <c r="OZ312" s="147"/>
      <c r="PA312" s="147"/>
      <c r="PB312" s="147"/>
      <c r="PC312" s="147"/>
      <c r="PD312" s="147"/>
      <c r="PE312" s="147"/>
      <c r="PF312" s="147"/>
      <c r="PG312" s="147"/>
      <c r="PH312" s="147"/>
      <c r="PI312" s="147"/>
      <c r="PJ312" s="147"/>
      <c r="PK312" s="147"/>
      <c r="PL312" s="147"/>
      <c r="PM312" s="147"/>
      <c r="PN312" s="147"/>
      <c r="PO312" s="147"/>
      <c r="PP312" s="147"/>
      <c r="PQ312" s="147"/>
      <c r="PR312" s="147"/>
      <c r="PS312" s="147"/>
      <c r="PT312" s="147"/>
      <c r="PU312" s="147"/>
      <c r="PV312" s="147"/>
      <c r="PW312" s="147"/>
      <c r="PX312" s="147"/>
      <c r="PY312" s="147"/>
      <c r="PZ312" s="147"/>
      <c r="QA312" s="147"/>
      <c r="QB312" s="147"/>
      <c r="QC312" s="147"/>
      <c r="QD312" s="147"/>
      <c r="QE312" s="147"/>
      <c r="QF312" s="147"/>
      <c r="QG312" s="147"/>
      <c r="QH312" s="147"/>
      <c r="QI312" s="147"/>
      <c r="QJ312" s="147"/>
      <c r="QK312" s="147"/>
      <c r="QL312" s="147"/>
      <c r="QM312" s="147"/>
      <c r="QN312" s="147"/>
      <c r="QO312" s="147"/>
      <c r="QP312" s="147"/>
      <c r="QQ312" s="147"/>
      <c r="QR312" s="147"/>
      <c r="QS312" s="147"/>
      <c r="QT312" s="147"/>
      <c r="QU312" s="147"/>
      <c r="QV312" s="147"/>
      <c r="QW312" s="147"/>
      <c r="QX312" s="147"/>
      <c r="QY312" s="147"/>
      <c r="QZ312" s="147"/>
      <c r="RA312" s="147"/>
      <c r="RB312" s="147"/>
      <c r="RC312" s="147"/>
      <c r="RD312" s="147"/>
      <c r="RE312" s="147"/>
      <c r="RF312" s="147"/>
      <c r="RG312" s="147"/>
      <c r="RH312" s="147"/>
      <c r="RI312" s="147"/>
      <c r="RJ312" s="147"/>
      <c r="RK312" s="147"/>
      <c r="RL312" s="147"/>
      <c r="RM312" s="147"/>
      <c r="RN312" s="147"/>
      <c r="RO312" s="147"/>
      <c r="RP312" s="147"/>
      <c r="RQ312" s="147"/>
      <c r="RR312" s="147"/>
      <c r="RS312" s="147"/>
      <c r="RT312" s="147"/>
      <c r="RU312" s="147"/>
      <c r="RV312" s="147"/>
      <c r="RW312" s="147"/>
      <c r="RX312" s="147"/>
      <c r="RY312" s="147"/>
      <c r="RZ312" s="147"/>
      <c r="SA312" s="147"/>
      <c r="SB312" s="147"/>
      <c r="SC312" s="147"/>
      <c r="SD312" s="147"/>
      <c r="SE312" s="147"/>
      <c r="SF312" s="147"/>
      <c r="SG312" s="147"/>
      <c r="SH312" s="147"/>
      <c r="SI312" s="147"/>
      <c r="SJ312" s="147"/>
      <c r="SK312" s="147"/>
      <c r="SL312" s="147"/>
      <c r="SM312" s="147"/>
      <c r="SN312" s="147"/>
      <c r="SO312" s="147"/>
      <c r="SP312" s="147"/>
      <c r="SQ312" s="147"/>
      <c r="SR312" s="147"/>
      <c r="SS312" s="147"/>
      <c r="ST312" s="147"/>
      <c r="SU312" s="147"/>
      <c r="SV312" s="147"/>
      <c r="SW312" s="147"/>
      <c r="SX312" s="147"/>
      <c r="SY312" s="147"/>
      <c r="SZ312" s="147"/>
      <c r="TA312" s="147"/>
      <c r="TB312" s="147"/>
      <c r="TC312" s="147"/>
      <c r="TD312" s="147"/>
      <c r="TE312" s="147"/>
      <c r="TF312" s="147"/>
      <c r="TG312" s="147"/>
      <c r="TH312" s="147"/>
      <c r="TI312" s="147"/>
      <c r="TJ312" s="147"/>
      <c r="TK312" s="147"/>
      <c r="TL312" s="147"/>
      <c r="TM312" s="147"/>
      <c r="TN312" s="147"/>
      <c r="TO312" s="147"/>
      <c r="TP312" s="147"/>
      <c r="TQ312" s="147"/>
      <c r="TR312" s="147"/>
      <c r="TS312" s="147"/>
      <c r="TT312" s="147"/>
      <c r="TU312" s="147"/>
      <c r="TV312" s="147"/>
      <c r="TW312" s="147"/>
      <c r="TX312" s="147"/>
      <c r="TY312" s="147"/>
      <c r="TZ312" s="147"/>
      <c r="UA312" s="147"/>
      <c r="UB312" s="147"/>
      <c r="UC312" s="147"/>
      <c r="UD312" s="147"/>
      <c r="UE312" s="147"/>
      <c r="UF312" s="147"/>
      <c r="UG312" s="147"/>
      <c r="UH312" s="147"/>
      <c r="UI312" s="147"/>
      <c r="UJ312" s="147"/>
      <c r="UK312" s="147"/>
      <c r="UL312" s="147"/>
      <c r="UM312" s="147"/>
      <c r="UN312" s="147"/>
      <c r="UO312" s="147"/>
      <c r="UP312" s="147"/>
      <c r="UQ312" s="147"/>
      <c r="UR312" s="147"/>
      <c r="US312" s="147"/>
      <c r="UT312" s="147"/>
      <c r="UU312" s="147"/>
      <c r="UV312" s="147"/>
      <c r="UW312" s="147"/>
      <c r="UX312" s="147"/>
      <c r="UY312" s="147"/>
      <c r="UZ312" s="147"/>
      <c r="VA312" s="147"/>
      <c r="VB312" s="147"/>
      <c r="VC312" s="147"/>
      <c r="VD312" s="147"/>
      <c r="VE312" s="147"/>
      <c r="VF312" s="147"/>
      <c r="VG312" s="147"/>
      <c r="VH312" s="147"/>
      <c r="VI312" s="147"/>
      <c r="VJ312" s="147"/>
      <c r="VK312" s="147"/>
      <c r="VL312" s="147"/>
      <c r="VM312" s="147"/>
      <c r="VN312" s="147"/>
      <c r="VO312" s="147"/>
      <c r="VP312" s="147"/>
      <c r="VQ312" s="147"/>
      <c r="VR312" s="147"/>
      <c r="VS312" s="147"/>
      <c r="VT312" s="147"/>
      <c r="VU312" s="147"/>
      <c r="VV312" s="147"/>
      <c r="VW312" s="147"/>
      <c r="VX312" s="147"/>
      <c r="VY312" s="147"/>
      <c r="VZ312" s="147"/>
      <c r="WA312" s="147"/>
      <c r="WB312" s="147"/>
      <c r="WC312" s="147"/>
      <c r="WD312" s="147"/>
      <c r="WE312" s="147"/>
      <c r="WF312" s="147"/>
      <c r="WG312" s="147"/>
      <c r="WH312" s="147"/>
      <c r="WI312" s="147"/>
      <c r="WJ312" s="147"/>
      <c r="WK312" s="147"/>
      <c r="WL312" s="147"/>
      <c r="WM312" s="147"/>
      <c r="WN312" s="147"/>
      <c r="WO312" s="147"/>
      <c r="WP312" s="147"/>
      <c r="WQ312" s="147"/>
      <c r="WR312" s="147"/>
      <c r="WS312" s="147"/>
      <c r="WT312" s="147"/>
      <c r="WU312" s="147"/>
      <c r="WV312" s="147"/>
      <c r="WW312" s="147"/>
      <c r="WX312" s="147"/>
      <c r="WY312" s="147"/>
      <c r="WZ312" s="147"/>
      <c r="XA312" s="147"/>
      <c r="XB312" s="147"/>
      <c r="XC312" s="147"/>
      <c r="XD312" s="147"/>
      <c r="XE312" s="147"/>
      <c r="XF312" s="147"/>
      <c r="XG312" s="147"/>
      <c r="XH312" s="147"/>
      <c r="XI312" s="147"/>
      <c r="XJ312" s="147"/>
      <c r="XK312" s="147"/>
      <c r="XL312" s="147"/>
      <c r="XM312" s="147"/>
      <c r="XN312" s="147"/>
      <c r="XO312" s="147"/>
      <c r="XP312" s="147"/>
      <c r="XQ312" s="147"/>
      <c r="XR312" s="147"/>
      <c r="XS312" s="147"/>
      <c r="XT312" s="147"/>
      <c r="XU312" s="147"/>
      <c r="XV312" s="147"/>
      <c r="XW312" s="147"/>
      <c r="XX312" s="147"/>
      <c r="XY312" s="147"/>
      <c r="XZ312" s="147"/>
      <c r="YA312" s="147"/>
      <c r="YB312" s="147"/>
      <c r="YC312" s="147"/>
      <c r="YD312" s="147"/>
      <c r="YE312" s="147"/>
      <c r="YF312" s="147"/>
      <c r="YG312" s="147"/>
      <c r="YH312" s="147"/>
      <c r="YI312" s="147"/>
      <c r="YJ312" s="147"/>
      <c r="YK312" s="147"/>
      <c r="YL312" s="147"/>
      <c r="YM312" s="147"/>
      <c r="YN312" s="147"/>
      <c r="YO312" s="147"/>
      <c r="YP312" s="147"/>
      <c r="YQ312" s="147"/>
      <c r="YR312" s="147"/>
      <c r="YS312" s="147"/>
      <c r="YT312" s="147"/>
      <c r="YU312" s="147"/>
      <c r="YV312" s="147"/>
      <c r="YW312" s="147"/>
      <c r="YX312" s="147"/>
      <c r="YY312" s="147"/>
      <c r="YZ312" s="147"/>
      <c r="ZA312" s="147"/>
      <c r="ZB312" s="147"/>
      <c r="ZC312" s="147"/>
      <c r="ZD312" s="147"/>
      <c r="ZE312" s="147"/>
      <c r="ZF312" s="147"/>
      <c r="ZG312" s="147"/>
      <c r="ZH312" s="147"/>
      <c r="ZI312" s="147"/>
      <c r="ZJ312" s="147"/>
      <c r="ZK312" s="147"/>
      <c r="ZL312" s="147"/>
      <c r="ZM312" s="147"/>
      <c r="ZN312" s="147"/>
      <c r="ZO312" s="147"/>
      <c r="ZP312" s="147"/>
      <c r="ZQ312" s="147"/>
      <c r="ZR312" s="147"/>
      <c r="ZS312" s="147"/>
      <c r="ZT312" s="147"/>
      <c r="ZU312" s="147"/>
      <c r="ZV312" s="147"/>
      <c r="ZW312" s="147"/>
      <c r="ZX312" s="147"/>
      <c r="ZY312" s="147"/>
      <c r="ZZ312" s="147"/>
      <c r="AAA312" s="147"/>
      <c r="AAB312" s="147"/>
      <c r="AAC312" s="147"/>
      <c r="AAD312" s="147"/>
      <c r="AAE312" s="147"/>
      <c r="AAF312" s="147"/>
      <c r="AAG312" s="147"/>
      <c r="AAH312" s="147"/>
      <c r="AAI312" s="147"/>
      <c r="AAJ312" s="147"/>
      <c r="AAK312" s="147"/>
      <c r="AAL312" s="147"/>
      <c r="AAM312" s="147"/>
      <c r="AAN312" s="147"/>
      <c r="AAO312" s="147"/>
      <c r="AAP312" s="147"/>
      <c r="AAQ312" s="147"/>
      <c r="AAR312" s="147"/>
      <c r="AAS312" s="147"/>
      <c r="AAT312" s="147"/>
      <c r="AAU312" s="147"/>
      <c r="AAV312" s="147"/>
      <c r="AAW312" s="147"/>
      <c r="AAX312" s="147"/>
      <c r="AAY312" s="147"/>
      <c r="AAZ312" s="147"/>
      <c r="ABA312" s="147"/>
      <c r="ABB312" s="147"/>
      <c r="ABC312" s="147"/>
      <c r="ABD312" s="147"/>
      <c r="ABE312" s="147"/>
      <c r="ABF312" s="147"/>
      <c r="ABG312" s="147"/>
      <c r="ABH312" s="147"/>
      <c r="ABI312" s="147"/>
      <c r="ABJ312" s="147"/>
      <c r="ABK312" s="147"/>
      <c r="ABL312" s="147"/>
      <c r="ABM312" s="147"/>
      <c r="ABN312" s="147"/>
      <c r="ABO312" s="147"/>
      <c r="ABP312" s="147"/>
      <c r="ABQ312" s="147"/>
      <c r="ABR312" s="147"/>
      <c r="ABS312" s="147"/>
      <c r="ABT312" s="147"/>
      <c r="ABU312" s="147"/>
      <c r="ABV312" s="147"/>
      <c r="ABW312" s="147"/>
      <c r="ABX312" s="147"/>
      <c r="ABY312" s="147"/>
      <c r="ABZ312" s="147"/>
      <c r="ACA312" s="147"/>
      <c r="ACB312" s="147"/>
      <c r="ACC312" s="147"/>
      <c r="ACD312" s="147"/>
      <c r="ACE312" s="147"/>
      <c r="ACF312" s="147"/>
      <c r="ACG312" s="147"/>
      <c r="ACH312" s="147"/>
      <c r="ACI312" s="147"/>
      <c r="ACJ312" s="147"/>
      <c r="ACK312" s="147"/>
      <c r="ACL312" s="147"/>
      <c r="ACM312" s="147"/>
      <c r="ACN312" s="147"/>
      <c r="ACO312" s="147"/>
      <c r="ACP312" s="147"/>
      <c r="ACQ312" s="147"/>
      <c r="ACR312" s="147"/>
      <c r="ACS312" s="147"/>
      <c r="ACT312" s="147"/>
      <c r="ACU312" s="147"/>
      <c r="ACV312" s="147"/>
      <c r="ACW312" s="147"/>
      <c r="ACX312" s="147"/>
      <c r="ACY312" s="147"/>
      <c r="ACZ312" s="147"/>
      <c r="ADA312" s="147"/>
      <c r="ADB312" s="147"/>
      <c r="ADC312" s="147"/>
      <c r="ADD312" s="147"/>
      <c r="ADE312" s="147"/>
      <c r="ADF312" s="147"/>
      <c r="ADG312" s="147"/>
      <c r="ADH312" s="147"/>
      <c r="ADI312" s="147"/>
      <c r="ADJ312" s="147"/>
      <c r="ADK312" s="147"/>
      <c r="ADL312" s="147"/>
      <c r="ADM312" s="147"/>
      <c r="ADN312" s="147"/>
      <c r="ADO312" s="147"/>
      <c r="ADP312" s="147"/>
      <c r="ADQ312" s="147"/>
      <c r="ADR312" s="147"/>
      <c r="ADS312" s="147"/>
      <c r="ADT312" s="147"/>
      <c r="ADU312" s="147"/>
      <c r="ADV312" s="147"/>
      <c r="ADW312" s="147"/>
      <c r="ADX312" s="147"/>
      <c r="ADY312" s="147"/>
      <c r="ADZ312" s="147"/>
      <c r="AEA312" s="147"/>
      <c r="AEB312" s="147"/>
      <c r="AEC312" s="147"/>
      <c r="AED312" s="147"/>
      <c r="AEE312" s="147"/>
      <c r="AEF312" s="147"/>
      <c r="AEG312" s="147"/>
      <c r="AEH312" s="147"/>
      <c r="AEI312" s="147"/>
      <c r="AEJ312" s="147"/>
      <c r="AEK312" s="147"/>
      <c r="AEL312" s="147"/>
      <c r="AEM312" s="147"/>
      <c r="AEN312" s="147"/>
      <c r="AEO312" s="147"/>
      <c r="AEP312" s="147"/>
      <c r="AEQ312" s="147"/>
      <c r="AER312" s="147"/>
      <c r="AES312" s="147"/>
      <c r="AET312" s="147"/>
      <c r="AEU312" s="147"/>
      <c r="AEV312" s="147"/>
      <c r="AEW312" s="147"/>
      <c r="AEX312" s="147"/>
      <c r="AEY312" s="147"/>
      <c r="AEZ312" s="147"/>
      <c r="AFA312" s="147"/>
      <c r="AFB312" s="147"/>
      <c r="AFC312" s="147"/>
      <c r="AFD312" s="147"/>
      <c r="AFE312" s="147"/>
      <c r="AFF312" s="147"/>
      <c r="AFG312" s="147"/>
      <c r="AFH312" s="147"/>
      <c r="AFI312" s="147"/>
      <c r="AFJ312" s="147"/>
      <c r="AFK312" s="147"/>
      <c r="AFL312" s="147"/>
      <c r="AFM312" s="147"/>
      <c r="AFN312" s="147"/>
      <c r="AFO312" s="147"/>
      <c r="AFP312" s="147"/>
      <c r="AFQ312" s="147"/>
      <c r="AFR312" s="147"/>
      <c r="AFS312" s="147"/>
      <c r="AFT312" s="147"/>
      <c r="AFU312" s="147"/>
      <c r="AFV312" s="147"/>
      <c r="AFW312" s="147"/>
      <c r="AFX312" s="147"/>
      <c r="AFY312" s="147"/>
      <c r="AFZ312" s="147"/>
      <c r="AGA312" s="147"/>
      <c r="AGB312" s="147"/>
      <c r="AGC312" s="147"/>
      <c r="AGD312" s="147"/>
      <c r="AGE312" s="147"/>
      <c r="AGF312" s="147"/>
      <c r="AGG312" s="147"/>
      <c r="AGH312" s="147"/>
      <c r="AGI312" s="147"/>
      <c r="AGJ312" s="147"/>
      <c r="AGK312" s="147"/>
      <c r="AGL312" s="147"/>
      <c r="AGM312" s="147"/>
      <c r="AGN312" s="147"/>
      <c r="AGO312" s="147"/>
      <c r="AGP312" s="147"/>
      <c r="AGQ312" s="147"/>
      <c r="AGR312" s="147"/>
      <c r="AGS312" s="147"/>
      <c r="AGT312" s="147"/>
      <c r="AGU312" s="147"/>
      <c r="AGV312" s="147"/>
      <c r="AGW312" s="147"/>
      <c r="AGX312" s="147"/>
      <c r="AGY312" s="147"/>
      <c r="AGZ312" s="147"/>
      <c r="AHA312" s="147"/>
      <c r="AHB312" s="147"/>
      <c r="AHC312" s="147"/>
      <c r="AHD312" s="147"/>
      <c r="AHE312" s="147"/>
      <c r="AHF312" s="147"/>
      <c r="AHG312" s="147"/>
      <c r="AHH312" s="147"/>
      <c r="AHI312" s="147"/>
      <c r="AHJ312" s="147"/>
      <c r="AHK312" s="147"/>
      <c r="AHL312" s="147"/>
      <c r="AHM312" s="147"/>
      <c r="AHN312" s="147"/>
      <c r="AHO312" s="147"/>
      <c r="AHP312" s="147"/>
      <c r="AHQ312" s="147"/>
      <c r="AHR312" s="147"/>
      <c r="AHS312" s="147"/>
      <c r="AHT312" s="147"/>
      <c r="AHU312" s="147"/>
      <c r="AHV312" s="147"/>
      <c r="AHW312" s="147"/>
      <c r="AHX312" s="147"/>
      <c r="AHY312" s="147"/>
      <c r="AHZ312" s="147"/>
      <c r="AIA312" s="147"/>
      <c r="AIB312" s="147"/>
      <c r="AIC312" s="147"/>
      <c r="AID312" s="147"/>
      <c r="AIE312" s="147"/>
      <c r="AIF312" s="147"/>
      <c r="AIG312" s="147"/>
      <c r="AIH312" s="147"/>
      <c r="AII312" s="147"/>
      <c r="AIJ312" s="147"/>
      <c r="AIK312" s="147"/>
      <c r="AIL312" s="147"/>
      <c r="AIM312" s="147"/>
      <c r="AIN312" s="147"/>
      <c r="AIO312" s="147"/>
      <c r="AIP312" s="147"/>
      <c r="AIQ312" s="147"/>
      <c r="AIR312" s="147"/>
      <c r="AIS312" s="147"/>
      <c r="AIT312" s="147"/>
      <c r="AIU312" s="147"/>
      <c r="AIV312" s="147"/>
      <c r="AIW312" s="147"/>
      <c r="AIX312" s="147"/>
      <c r="AIY312" s="147"/>
      <c r="AIZ312" s="147"/>
      <c r="AJA312" s="147"/>
      <c r="AJB312" s="147"/>
      <c r="AJC312" s="147"/>
      <c r="AJD312" s="147"/>
      <c r="AJE312" s="147"/>
      <c r="AJF312" s="147"/>
      <c r="AJG312" s="147"/>
      <c r="AJH312" s="147"/>
      <c r="AJI312" s="147"/>
      <c r="AJJ312" s="147"/>
      <c r="AJK312" s="147"/>
      <c r="AJL312" s="147"/>
      <c r="AJM312" s="147"/>
      <c r="AJN312" s="147"/>
      <c r="AJO312" s="147"/>
      <c r="AJP312" s="147"/>
      <c r="AJQ312" s="147"/>
      <c r="AJR312" s="147"/>
      <c r="AJS312" s="147"/>
      <c r="AJT312" s="147"/>
      <c r="AJU312" s="147"/>
      <c r="AJV312" s="147"/>
      <c r="AJW312" s="147"/>
      <c r="AJX312" s="147"/>
      <c r="AJY312" s="147"/>
      <c r="AJZ312" s="147"/>
      <c r="AKA312" s="147"/>
      <c r="AKB312" s="147"/>
      <c r="AKC312" s="147"/>
      <c r="AKD312" s="147"/>
      <c r="AKE312" s="147"/>
      <c r="AKF312" s="147"/>
      <c r="AKG312" s="147"/>
      <c r="AKH312" s="147"/>
      <c r="AKI312" s="147"/>
      <c r="AKJ312" s="147"/>
      <c r="AKK312" s="147"/>
      <c r="AKL312" s="147"/>
      <c r="AKM312" s="147"/>
      <c r="AKN312" s="147"/>
      <c r="AKO312" s="147"/>
      <c r="AKP312" s="147"/>
      <c r="AKQ312" s="147"/>
      <c r="AKR312" s="147"/>
      <c r="AKS312" s="147"/>
      <c r="AKT312" s="147"/>
      <c r="AKU312" s="147"/>
      <c r="AKV312" s="147"/>
      <c r="AKW312" s="147"/>
      <c r="AKX312" s="147"/>
      <c r="AKY312" s="147"/>
      <c r="AKZ312" s="147"/>
      <c r="ALA312" s="147"/>
      <c r="ALB312" s="147"/>
      <c r="ALC312" s="147"/>
      <c r="ALD312" s="147"/>
      <c r="ALE312" s="147"/>
      <c r="ALF312" s="147"/>
      <c r="ALG312" s="147"/>
      <c r="ALH312" s="147"/>
      <c r="ALI312" s="147"/>
      <c r="ALJ312" s="147"/>
      <c r="ALK312" s="147"/>
      <c r="ALL312" s="147"/>
      <c r="ALM312" s="147"/>
      <c r="ALN312" s="147"/>
      <c r="ALO312" s="147"/>
      <c r="ALP312" s="147"/>
      <c r="ALQ312" s="147"/>
      <c r="ALR312" s="147"/>
      <c r="ALS312" s="147"/>
      <c r="ALT312" s="147"/>
      <c r="ALU312" s="147"/>
      <c r="ALV312" s="147"/>
      <c r="ALW312" s="147"/>
      <c r="ALX312" s="147"/>
      <c r="ALY312" s="147"/>
      <c r="ALZ312" s="147"/>
      <c r="AMA312" s="147"/>
      <c r="AMB312" s="147"/>
      <c r="AMC312" s="147"/>
      <c r="AMD312" s="147"/>
      <c r="AME312" s="147"/>
      <c r="AMF312" s="147"/>
      <c r="AMG312" s="147"/>
      <c r="AMH312" s="147"/>
      <c r="AMI312" s="147"/>
      <c r="AMJ312" s="147"/>
      <c r="AMK312" s="147"/>
      <c r="AML312" s="147"/>
      <c r="AMM312" s="147"/>
      <c r="AMN312" s="147"/>
      <c r="AMO312" s="147"/>
      <c r="AMP312" s="147"/>
      <c r="AMQ312" s="147"/>
      <c r="AMR312" s="147"/>
      <c r="AMS312" s="147"/>
      <c r="AMT312" s="147"/>
      <c r="AMU312" s="147"/>
      <c r="AMV312" s="147"/>
      <c r="AMW312" s="147"/>
      <c r="AMX312" s="147"/>
      <c r="AMY312" s="147"/>
      <c r="AMZ312" s="147"/>
      <c r="ANA312" s="147"/>
      <c r="ANB312" s="147"/>
      <c r="ANC312" s="147"/>
      <c r="AND312" s="147"/>
      <c r="ANE312" s="147"/>
      <c r="ANF312" s="147"/>
      <c r="ANG312" s="147"/>
      <c r="ANH312" s="147"/>
      <c r="ANI312" s="147"/>
      <c r="ANJ312" s="147"/>
      <c r="ANK312" s="147"/>
      <c r="ANL312" s="147"/>
      <c r="ANM312" s="147"/>
      <c r="ANN312" s="147"/>
      <c r="ANO312" s="147"/>
      <c r="ANP312" s="147"/>
      <c r="ANQ312" s="147"/>
      <c r="ANR312" s="147"/>
      <c r="ANS312" s="147"/>
      <c r="ANT312" s="147"/>
      <c r="ANU312" s="147"/>
      <c r="ANV312" s="147"/>
      <c r="ANW312" s="147"/>
      <c r="ANX312" s="147"/>
      <c r="ANY312" s="147"/>
      <c r="ANZ312" s="147"/>
      <c r="AOA312" s="147"/>
      <c r="AOB312" s="147"/>
      <c r="AOC312" s="147"/>
      <c r="AOD312" s="147"/>
      <c r="AOE312" s="147"/>
      <c r="AOF312" s="147"/>
      <c r="AOG312" s="147"/>
      <c r="AOH312" s="147"/>
      <c r="AOI312" s="147"/>
      <c r="AOJ312" s="147"/>
      <c r="AOK312" s="147"/>
      <c r="AOL312" s="147"/>
      <c r="AOM312" s="147"/>
      <c r="AON312" s="147"/>
      <c r="AOO312" s="147"/>
      <c r="AOP312" s="147"/>
      <c r="AOQ312" s="147"/>
      <c r="AOR312" s="147"/>
      <c r="AOS312" s="147"/>
      <c r="AOT312" s="147"/>
      <c r="AOU312" s="147"/>
      <c r="AOV312" s="147"/>
      <c r="AOW312" s="147"/>
      <c r="AOX312" s="147"/>
      <c r="AOY312" s="147"/>
      <c r="AOZ312" s="147"/>
      <c r="APA312" s="147"/>
      <c r="APB312" s="147"/>
      <c r="APC312" s="147"/>
      <c r="APD312" s="147"/>
      <c r="APE312" s="147"/>
      <c r="APF312" s="147"/>
      <c r="APG312" s="147"/>
      <c r="APH312" s="147"/>
      <c r="API312" s="147"/>
      <c r="APJ312" s="147"/>
      <c r="APK312" s="147"/>
      <c r="APL312" s="147"/>
      <c r="APM312" s="147"/>
      <c r="APN312" s="147"/>
      <c r="APO312" s="147"/>
      <c r="APP312" s="147"/>
      <c r="APQ312" s="147"/>
      <c r="APR312" s="147"/>
      <c r="APS312" s="147"/>
      <c r="APT312" s="147"/>
      <c r="APU312" s="147"/>
      <c r="APV312" s="147"/>
      <c r="APW312" s="147"/>
      <c r="APX312" s="147"/>
      <c r="APY312" s="147"/>
      <c r="APZ312" s="147"/>
      <c r="AQA312" s="147"/>
      <c r="AQB312" s="147"/>
      <c r="AQC312" s="147"/>
      <c r="AQD312" s="147"/>
      <c r="AQE312" s="147"/>
      <c r="AQF312" s="147"/>
      <c r="AQG312" s="147"/>
      <c r="AQH312" s="147"/>
      <c r="AQI312" s="147"/>
      <c r="AQJ312" s="147"/>
      <c r="AQK312" s="147"/>
      <c r="AQL312" s="147"/>
      <c r="AQM312" s="147"/>
      <c r="AQN312" s="147"/>
      <c r="AQO312" s="147"/>
      <c r="AQP312" s="147"/>
      <c r="AQQ312" s="147"/>
      <c r="AQR312" s="147"/>
      <c r="AQS312" s="147"/>
      <c r="AQT312" s="147"/>
      <c r="AQU312" s="147"/>
      <c r="AQV312" s="147"/>
      <c r="AQW312" s="147"/>
      <c r="AQX312" s="147"/>
      <c r="AQY312" s="147"/>
      <c r="AQZ312" s="147"/>
      <c r="ARA312" s="147"/>
      <c r="ARB312" s="147"/>
      <c r="ARC312" s="147"/>
      <c r="ARD312" s="147"/>
      <c r="ARE312" s="147"/>
      <c r="ARF312" s="147"/>
      <c r="ARG312" s="147"/>
      <c r="ARH312" s="147"/>
      <c r="ARI312" s="147"/>
      <c r="ARJ312" s="147"/>
      <c r="ARK312" s="147"/>
      <c r="ARL312" s="147"/>
      <c r="ARM312" s="147"/>
      <c r="ARN312" s="147"/>
      <c r="ARO312" s="147"/>
      <c r="ARP312" s="147"/>
      <c r="ARQ312" s="147"/>
      <c r="ARR312" s="147"/>
      <c r="ARS312" s="147"/>
      <c r="ART312" s="147"/>
      <c r="ARU312" s="147"/>
      <c r="ARV312" s="147"/>
      <c r="ARW312" s="147"/>
      <c r="ARX312" s="147"/>
      <c r="ARY312" s="147"/>
      <c r="ARZ312" s="147"/>
      <c r="ASA312" s="147"/>
      <c r="ASB312" s="147"/>
      <c r="ASC312" s="147"/>
      <c r="ASD312" s="147"/>
      <c r="ASE312" s="147"/>
      <c r="ASF312" s="147"/>
      <c r="ASG312" s="147"/>
      <c r="ASH312" s="147"/>
      <c r="ASI312" s="147"/>
      <c r="ASJ312" s="147"/>
      <c r="ASK312" s="147"/>
      <c r="ASL312" s="147"/>
      <c r="ASM312" s="147"/>
      <c r="ASN312" s="147"/>
      <c r="ASO312" s="147"/>
      <c r="ASP312" s="147"/>
      <c r="ASQ312" s="147"/>
      <c r="ASR312" s="147"/>
      <c r="ASS312" s="147"/>
      <c r="AST312" s="147"/>
      <c r="ASU312" s="147"/>
      <c r="ASV312" s="147"/>
      <c r="ASW312" s="147"/>
      <c r="ASX312" s="147"/>
      <c r="ASY312" s="147"/>
      <c r="ASZ312" s="147"/>
      <c r="ATA312" s="147"/>
      <c r="ATB312" s="147"/>
      <c r="ATC312" s="147"/>
      <c r="ATD312" s="147"/>
      <c r="ATE312" s="147"/>
      <c r="ATF312" s="147"/>
      <c r="ATG312" s="147"/>
      <c r="ATH312" s="147"/>
      <c r="ATI312" s="147"/>
      <c r="ATJ312" s="147"/>
      <c r="ATK312" s="147"/>
      <c r="ATL312" s="147"/>
      <c r="ATM312" s="147"/>
      <c r="ATN312" s="147"/>
      <c r="ATO312" s="147"/>
      <c r="ATP312" s="147"/>
      <c r="ATQ312" s="147"/>
      <c r="ATR312" s="147"/>
      <c r="ATS312" s="147"/>
      <c r="ATT312" s="147"/>
      <c r="ATU312" s="147"/>
      <c r="ATV312" s="147"/>
      <c r="ATW312" s="147"/>
      <c r="ATX312" s="147"/>
      <c r="ATY312" s="147"/>
      <c r="ATZ312" s="147"/>
      <c r="AUA312" s="147"/>
      <c r="AUB312" s="147"/>
      <c r="AUC312" s="147"/>
      <c r="AUD312" s="147"/>
      <c r="AUE312" s="147"/>
      <c r="AUF312" s="147"/>
      <c r="AUG312" s="147"/>
      <c r="AUH312" s="147"/>
      <c r="AUI312" s="147"/>
      <c r="AUJ312" s="147"/>
      <c r="AUK312" s="147"/>
      <c r="AUL312" s="147"/>
      <c r="AUM312" s="147"/>
      <c r="AUN312" s="147"/>
      <c r="AUO312" s="147"/>
      <c r="AUP312" s="147"/>
      <c r="AUQ312" s="147"/>
      <c r="AUR312" s="147"/>
      <c r="AUS312" s="147"/>
      <c r="AUT312" s="147"/>
      <c r="AUU312" s="147"/>
      <c r="AUV312" s="147"/>
      <c r="AUW312" s="147"/>
      <c r="AUX312" s="147"/>
      <c r="AUY312" s="147"/>
      <c r="AUZ312" s="147"/>
      <c r="AVA312" s="147"/>
      <c r="AVB312" s="147"/>
      <c r="AVC312" s="147"/>
      <c r="AVD312" s="147"/>
      <c r="AVE312" s="147"/>
      <c r="AVF312" s="147"/>
      <c r="AVG312" s="147"/>
      <c r="AVH312" s="147"/>
      <c r="AVI312" s="147"/>
      <c r="AVJ312" s="147"/>
      <c r="AVK312" s="147"/>
      <c r="AVL312" s="147"/>
      <c r="AVM312" s="147"/>
      <c r="AVN312" s="147"/>
      <c r="AVO312" s="147"/>
      <c r="AVP312" s="147"/>
      <c r="AVQ312" s="147"/>
      <c r="AVR312" s="147"/>
      <c r="AVS312" s="147"/>
      <c r="AVT312" s="147"/>
      <c r="AVU312" s="147"/>
      <c r="AVV312" s="147"/>
      <c r="AVW312" s="147"/>
      <c r="AVX312" s="147"/>
      <c r="AVY312" s="147"/>
      <c r="AVZ312" s="147"/>
      <c r="AWA312" s="147"/>
      <c r="AWB312" s="147"/>
      <c r="AWC312" s="147"/>
      <c r="AWD312" s="147"/>
      <c r="AWE312" s="147"/>
      <c r="AWF312" s="147"/>
      <c r="AWG312" s="147"/>
      <c r="AWH312" s="147"/>
      <c r="AWI312" s="147"/>
      <c r="AWJ312" s="147"/>
      <c r="AWK312" s="147"/>
      <c r="AWL312" s="147"/>
      <c r="AWM312" s="147"/>
      <c r="AWN312" s="147"/>
      <c r="AWO312" s="147"/>
      <c r="AWP312" s="147"/>
      <c r="AWQ312" s="147"/>
      <c r="AWR312" s="147"/>
      <c r="AWS312" s="147"/>
      <c r="AWT312" s="147"/>
      <c r="AWU312" s="147"/>
      <c r="AWV312" s="147"/>
      <c r="AWW312" s="147"/>
      <c r="AWX312" s="147"/>
      <c r="AWY312" s="147"/>
      <c r="AWZ312" s="147"/>
      <c r="AXA312" s="147"/>
      <c r="AXB312" s="147"/>
      <c r="AXC312" s="147"/>
      <c r="AXD312" s="147"/>
      <c r="AXE312" s="147"/>
      <c r="AXF312" s="147"/>
      <c r="AXG312" s="147"/>
      <c r="AXH312" s="147"/>
      <c r="AXI312" s="147"/>
      <c r="AXJ312" s="147"/>
      <c r="AXK312" s="147"/>
      <c r="AXL312" s="147"/>
      <c r="AXM312" s="147"/>
      <c r="AXN312" s="147"/>
      <c r="AXO312" s="147"/>
      <c r="AXP312" s="147"/>
      <c r="AXQ312" s="147"/>
      <c r="AXR312" s="147"/>
      <c r="AXS312" s="147"/>
      <c r="AXT312" s="147"/>
      <c r="AXU312" s="147"/>
      <c r="AXV312" s="147"/>
      <c r="AXW312" s="147"/>
      <c r="AXX312" s="147"/>
      <c r="AXY312" s="147"/>
      <c r="AXZ312" s="147"/>
      <c r="AYA312" s="147"/>
      <c r="AYB312" s="147"/>
      <c r="AYC312" s="147"/>
      <c r="AYD312" s="147"/>
      <c r="AYE312" s="147"/>
      <c r="AYF312" s="147"/>
      <c r="AYG312" s="147"/>
      <c r="AYH312" s="147"/>
      <c r="AYI312" s="147"/>
      <c r="AYJ312" s="147"/>
      <c r="AYK312" s="147"/>
      <c r="AYL312" s="147"/>
      <c r="AYM312" s="147"/>
      <c r="AYN312" s="147"/>
      <c r="AYO312" s="147"/>
      <c r="AYP312" s="147"/>
      <c r="AYQ312" s="147"/>
      <c r="AYR312" s="147"/>
      <c r="AYS312" s="147"/>
      <c r="AYT312" s="147"/>
      <c r="AYU312" s="147"/>
      <c r="AYV312" s="147"/>
      <c r="AYW312" s="147"/>
      <c r="AYX312" s="147"/>
      <c r="AYY312" s="147"/>
      <c r="AYZ312" s="147"/>
      <c r="AZA312" s="147"/>
      <c r="AZB312" s="147"/>
      <c r="AZC312" s="147"/>
      <c r="AZD312" s="147"/>
      <c r="AZE312" s="147"/>
      <c r="AZF312" s="147"/>
      <c r="AZG312" s="147"/>
      <c r="AZH312" s="147"/>
      <c r="AZI312" s="147"/>
      <c r="AZJ312" s="147"/>
      <c r="AZK312" s="147"/>
      <c r="AZL312" s="147"/>
      <c r="AZM312" s="147"/>
      <c r="AZN312" s="147"/>
      <c r="AZO312" s="147"/>
      <c r="AZP312" s="147"/>
      <c r="AZQ312" s="147"/>
      <c r="AZR312" s="147"/>
      <c r="AZS312" s="147"/>
      <c r="AZT312" s="147"/>
      <c r="AZU312" s="147"/>
      <c r="AZV312" s="147"/>
      <c r="AZW312" s="147"/>
      <c r="AZX312" s="147"/>
      <c r="AZY312" s="147"/>
      <c r="AZZ312" s="147"/>
      <c r="BAA312" s="147"/>
      <c r="BAB312" s="147"/>
      <c r="BAC312" s="147"/>
      <c r="BAD312" s="147"/>
      <c r="BAE312" s="147"/>
      <c r="BAF312" s="147"/>
      <c r="BAG312" s="147"/>
      <c r="BAH312" s="147"/>
      <c r="BAI312" s="147"/>
      <c r="BAJ312" s="147"/>
      <c r="BAK312" s="147"/>
      <c r="BAL312" s="147"/>
      <c r="BAM312" s="147"/>
      <c r="BAN312" s="147"/>
      <c r="BAO312" s="147"/>
      <c r="BAP312" s="147"/>
      <c r="BAQ312" s="147"/>
      <c r="BAR312" s="147"/>
      <c r="BAS312" s="147"/>
      <c r="BAT312" s="147"/>
      <c r="BAU312" s="147"/>
      <c r="BAV312" s="147"/>
      <c r="BAW312" s="147"/>
      <c r="BAX312" s="147"/>
      <c r="BAY312" s="147"/>
      <c r="BAZ312" s="147"/>
      <c r="BBA312" s="147"/>
      <c r="BBB312" s="147"/>
      <c r="BBC312" s="147"/>
      <c r="BBD312" s="147"/>
      <c r="BBE312" s="147"/>
      <c r="BBF312" s="147"/>
      <c r="BBG312" s="147"/>
      <c r="BBH312" s="147"/>
      <c r="BBI312" s="147"/>
      <c r="BBJ312" s="147"/>
      <c r="BBK312" s="147"/>
      <c r="BBL312" s="147"/>
      <c r="BBM312" s="147"/>
      <c r="BBN312" s="147"/>
      <c r="BBO312" s="147"/>
      <c r="BBP312" s="147"/>
      <c r="BBQ312" s="147"/>
      <c r="BBR312" s="147"/>
      <c r="BBS312" s="147"/>
      <c r="BBT312" s="147"/>
      <c r="BBU312" s="147"/>
      <c r="BBV312" s="147"/>
      <c r="BBW312" s="147"/>
      <c r="BBX312" s="147"/>
      <c r="BBY312" s="147"/>
      <c r="BBZ312" s="147"/>
      <c r="BCA312" s="147"/>
      <c r="BCB312" s="147"/>
      <c r="BCC312" s="147"/>
      <c r="BCD312" s="147"/>
      <c r="BCE312" s="147"/>
      <c r="BCF312" s="147"/>
      <c r="BCG312" s="147"/>
      <c r="BCH312" s="147"/>
      <c r="BCI312" s="147"/>
      <c r="BCJ312" s="147"/>
      <c r="BCK312" s="147"/>
      <c r="BCL312" s="147"/>
      <c r="BCM312" s="147"/>
      <c r="BCN312" s="147"/>
      <c r="BCO312" s="147"/>
      <c r="BCP312" s="147"/>
      <c r="BCQ312" s="147"/>
      <c r="BCR312" s="147"/>
      <c r="BCS312" s="147"/>
      <c r="BCT312" s="147"/>
      <c r="BCU312" s="147"/>
      <c r="BCV312" s="147"/>
      <c r="BCW312" s="147"/>
      <c r="BCX312" s="147"/>
      <c r="BCY312" s="147"/>
      <c r="BCZ312" s="147"/>
      <c r="BDA312" s="147"/>
      <c r="BDB312" s="147"/>
      <c r="BDC312" s="147"/>
      <c r="BDD312" s="147"/>
      <c r="BDE312" s="147"/>
      <c r="BDF312" s="147"/>
      <c r="BDG312" s="147"/>
      <c r="BDH312" s="147"/>
      <c r="BDI312" s="147"/>
      <c r="BDJ312" s="147"/>
      <c r="BDK312" s="147"/>
      <c r="BDL312" s="147"/>
      <c r="BDM312" s="147"/>
      <c r="BDN312" s="147"/>
      <c r="BDO312" s="147"/>
      <c r="BDP312" s="147"/>
      <c r="BDQ312" s="147"/>
      <c r="BDR312" s="147"/>
      <c r="BDS312" s="147"/>
      <c r="BDT312" s="147"/>
      <c r="BDU312" s="147"/>
      <c r="BDV312" s="147"/>
      <c r="BDW312" s="147"/>
      <c r="BDX312" s="147"/>
      <c r="BDY312" s="147"/>
      <c r="BDZ312" s="147"/>
      <c r="BEA312" s="147"/>
      <c r="BEB312" s="147"/>
      <c r="BEC312" s="147"/>
      <c r="BED312" s="147"/>
      <c r="BEE312" s="147"/>
      <c r="BEF312" s="147"/>
      <c r="BEG312" s="147"/>
      <c r="BEH312" s="147"/>
      <c r="BEI312" s="147"/>
      <c r="BEJ312" s="147"/>
      <c r="BEK312" s="147"/>
      <c r="BEL312" s="147"/>
      <c r="BEM312" s="147"/>
      <c r="BEN312" s="147"/>
      <c r="BEO312" s="147"/>
      <c r="BEP312" s="147"/>
      <c r="BEQ312" s="147"/>
      <c r="BER312" s="147"/>
      <c r="BES312" s="147"/>
      <c r="BET312" s="147"/>
      <c r="BEU312" s="147"/>
      <c r="BEV312" s="147"/>
      <c r="BEW312" s="147"/>
      <c r="BEX312" s="147"/>
      <c r="BEY312" s="147"/>
      <c r="BEZ312" s="147"/>
      <c r="BFA312" s="147"/>
      <c r="BFB312" s="147"/>
      <c r="BFC312" s="147"/>
      <c r="BFD312" s="147"/>
      <c r="BFE312" s="147"/>
      <c r="BFF312" s="147"/>
      <c r="BFG312" s="147"/>
      <c r="BFH312" s="147"/>
      <c r="BFI312" s="147"/>
      <c r="BFJ312" s="147"/>
      <c r="BFK312" s="147"/>
      <c r="BFL312" s="147"/>
      <c r="BFM312" s="147"/>
      <c r="BFN312" s="147"/>
      <c r="BFO312" s="147"/>
      <c r="BFP312" s="147"/>
      <c r="BFQ312" s="147"/>
      <c r="BFR312" s="147"/>
      <c r="BFS312" s="147"/>
      <c r="BFT312" s="147"/>
      <c r="BFU312" s="147"/>
      <c r="BFV312" s="147"/>
      <c r="BFW312" s="147"/>
      <c r="BFX312" s="147"/>
      <c r="BFY312" s="147"/>
      <c r="BFZ312" s="147"/>
      <c r="BGA312" s="147"/>
      <c r="BGB312" s="147"/>
      <c r="BGC312" s="147"/>
      <c r="BGD312" s="147"/>
      <c r="BGE312" s="147"/>
      <c r="BGF312" s="147"/>
      <c r="BGG312" s="147"/>
      <c r="BGH312" s="147"/>
      <c r="BGI312" s="147"/>
      <c r="BGJ312" s="147"/>
      <c r="BGK312" s="147"/>
      <c r="BGL312" s="147"/>
      <c r="BGM312" s="147"/>
      <c r="BGN312" s="147"/>
      <c r="BGO312" s="147"/>
      <c r="BGP312" s="147"/>
      <c r="BGQ312" s="147"/>
      <c r="BGR312" s="147"/>
      <c r="BGS312" s="147"/>
      <c r="BGT312" s="147"/>
      <c r="BGU312" s="147"/>
      <c r="BGV312" s="147"/>
      <c r="BGW312" s="147"/>
      <c r="BGX312" s="147"/>
      <c r="BGY312" s="147"/>
      <c r="BGZ312" s="147"/>
      <c r="BHA312" s="147"/>
      <c r="BHB312" s="147"/>
      <c r="BHC312" s="147"/>
      <c r="BHD312" s="147"/>
      <c r="BHE312" s="147"/>
      <c r="BHF312" s="147"/>
      <c r="BHG312" s="147"/>
      <c r="BHH312" s="147"/>
      <c r="BHI312" s="147"/>
      <c r="BHJ312" s="147"/>
      <c r="BHK312" s="147"/>
      <c r="BHL312" s="147"/>
      <c r="BHM312" s="147"/>
      <c r="BHN312" s="147"/>
      <c r="BHO312" s="147"/>
      <c r="BHP312" s="147"/>
      <c r="BHQ312" s="147"/>
      <c r="BHR312" s="147"/>
      <c r="BHS312" s="147"/>
      <c r="BHT312" s="147"/>
      <c r="BHU312" s="147"/>
      <c r="BHV312" s="147"/>
      <c r="BHW312" s="147"/>
      <c r="BHX312" s="147"/>
      <c r="BHY312" s="147"/>
      <c r="BHZ312" s="147"/>
      <c r="BIA312" s="147"/>
      <c r="BIB312" s="147"/>
      <c r="BIC312" s="147"/>
      <c r="BID312" s="147"/>
      <c r="BIE312" s="147"/>
      <c r="BIF312" s="147"/>
      <c r="BIG312" s="147"/>
      <c r="BIH312" s="147"/>
      <c r="BII312" s="147"/>
      <c r="BIJ312" s="147"/>
      <c r="BIK312" s="147"/>
      <c r="BIL312" s="147"/>
      <c r="BIM312" s="147"/>
      <c r="BIN312" s="147"/>
      <c r="BIO312" s="147"/>
      <c r="BIP312" s="147"/>
      <c r="BIQ312" s="147"/>
      <c r="BIR312" s="147"/>
      <c r="BIS312" s="147"/>
      <c r="BIT312" s="147"/>
      <c r="BIU312" s="147"/>
      <c r="BIV312" s="147"/>
      <c r="BIW312" s="147"/>
      <c r="BIX312" s="147"/>
      <c r="BIY312" s="147"/>
      <c r="BIZ312" s="147"/>
      <c r="BJA312" s="147"/>
      <c r="BJB312" s="147"/>
      <c r="BJC312" s="147"/>
      <c r="BJD312" s="147"/>
      <c r="BJE312" s="147"/>
      <c r="BJF312" s="147"/>
      <c r="BJG312" s="147"/>
      <c r="BJH312" s="147"/>
      <c r="BJI312" s="147"/>
      <c r="BJJ312" s="147"/>
      <c r="BJK312" s="147"/>
      <c r="BJL312" s="147"/>
      <c r="BJM312" s="147"/>
      <c r="BJN312" s="147"/>
      <c r="BJO312" s="147"/>
      <c r="BJP312" s="147"/>
      <c r="BJQ312" s="147"/>
      <c r="BJR312" s="147"/>
      <c r="BJS312" s="147"/>
      <c r="BJT312" s="147"/>
      <c r="BJU312" s="147"/>
      <c r="BJV312" s="147"/>
      <c r="BJW312" s="147"/>
      <c r="BJX312" s="147"/>
      <c r="BJY312" s="147"/>
      <c r="BJZ312" s="147"/>
      <c r="BKA312" s="147"/>
      <c r="BKB312" s="147"/>
      <c r="BKC312" s="147"/>
      <c r="BKD312" s="147"/>
      <c r="BKE312" s="147"/>
      <c r="BKF312" s="147"/>
      <c r="BKG312" s="147"/>
      <c r="BKH312" s="147"/>
      <c r="BKI312" s="147"/>
      <c r="BKJ312" s="147"/>
      <c r="BKK312" s="147"/>
      <c r="BKL312" s="147"/>
      <c r="BKM312" s="147"/>
      <c r="BKN312" s="147"/>
      <c r="BKO312" s="147"/>
      <c r="BKP312" s="147"/>
      <c r="BKQ312" s="147"/>
      <c r="BKR312" s="147"/>
      <c r="BKS312" s="147"/>
      <c r="BKT312" s="147"/>
      <c r="BKU312" s="147"/>
      <c r="BKV312" s="147"/>
      <c r="BKW312" s="147"/>
      <c r="BKX312" s="147"/>
      <c r="BKY312" s="147"/>
      <c r="BKZ312" s="147"/>
      <c r="BLA312" s="147"/>
      <c r="BLB312" s="147"/>
      <c r="BLC312" s="147"/>
      <c r="BLD312" s="147"/>
      <c r="BLE312" s="147"/>
      <c r="BLF312" s="147"/>
      <c r="BLG312" s="147"/>
      <c r="BLH312" s="147"/>
      <c r="BLI312" s="147"/>
      <c r="BLJ312" s="147"/>
      <c r="BLK312" s="147"/>
      <c r="BLL312" s="147"/>
      <c r="BLM312" s="147"/>
      <c r="BLN312" s="147"/>
      <c r="BLO312" s="147"/>
      <c r="BLP312" s="147"/>
      <c r="BLQ312" s="147"/>
      <c r="BLR312" s="147"/>
      <c r="BLS312" s="147"/>
      <c r="BLT312" s="147"/>
      <c r="BLU312" s="147"/>
      <c r="BLV312" s="147"/>
      <c r="BLW312" s="147"/>
      <c r="BLX312" s="147"/>
      <c r="BLY312" s="147"/>
      <c r="BLZ312" s="147"/>
      <c r="BMA312" s="147"/>
      <c r="BMB312" s="147"/>
      <c r="BMC312" s="147"/>
      <c r="BMD312" s="147"/>
      <c r="BME312" s="147"/>
      <c r="BMF312" s="147"/>
      <c r="BMG312" s="147"/>
      <c r="BMH312" s="147"/>
      <c r="BMI312" s="147"/>
      <c r="BMJ312" s="147"/>
      <c r="BMK312" s="147"/>
      <c r="BML312" s="147"/>
      <c r="BMM312" s="147"/>
      <c r="BMN312" s="147"/>
      <c r="BMO312" s="147"/>
      <c r="BMP312" s="147"/>
      <c r="BMQ312" s="147"/>
      <c r="BMR312" s="147"/>
      <c r="BMS312" s="147"/>
      <c r="BMT312" s="147"/>
      <c r="BMU312" s="147"/>
      <c r="BMV312" s="147"/>
      <c r="BMW312" s="147"/>
      <c r="BMX312" s="147"/>
      <c r="BMY312" s="147"/>
      <c r="BMZ312" s="147"/>
      <c r="BNA312" s="147"/>
      <c r="BNB312" s="147"/>
      <c r="BNC312" s="147"/>
      <c r="BND312" s="147"/>
      <c r="BNE312" s="147"/>
      <c r="BNF312" s="147"/>
      <c r="BNG312" s="147"/>
      <c r="BNH312" s="147"/>
      <c r="BNI312" s="147"/>
      <c r="BNJ312" s="147"/>
      <c r="BNK312" s="147"/>
      <c r="BNL312" s="147"/>
      <c r="BNM312" s="147"/>
      <c r="BNN312" s="147"/>
      <c r="BNO312" s="147"/>
      <c r="BNP312" s="147"/>
      <c r="BNQ312" s="147"/>
      <c r="BNR312" s="147"/>
      <c r="BNS312" s="147"/>
      <c r="BNT312" s="147"/>
      <c r="BNU312" s="147"/>
      <c r="BNV312" s="147"/>
      <c r="BNW312" s="147"/>
      <c r="BNX312" s="147"/>
      <c r="BNY312" s="147"/>
      <c r="BNZ312" s="147"/>
      <c r="BOA312" s="147"/>
      <c r="BOB312" s="147"/>
      <c r="BOC312" s="147"/>
      <c r="BOD312" s="147"/>
      <c r="BOE312" s="147"/>
      <c r="BOF312" s="147"/>
      <c r="BOG312" s="147"/>
      <c r="BOH312" s="147"/>
      <c r="BOI312" s="147"/>
      <c r="BOJ312" s="147"/>
      <c r="BOK312" s="147"/>
      <c r="BOL312" s="147"/>
      <c r="BOM312" s="147"/>
      <c r="BON312" s="147"/>
      <c r="BOO312" s="147"/>
      <c r="BOP312" s="147"/>
      <c r="BOQ312" s="147"/>
      <c r="BOR312" s="147"/>
      <c r="BOS312" s="147"/>
      <c r="BOT312" s="147"/>
      <c r="BOU312" s="147"/>
      <c r="BOV312" s="147"/>
      <c r="BOW312" s="147"/>
      <c r="BOX312" s="147"/>
      <c r="BOY312" s="147"/>
      <c r="BOZ312" s="147"/>
      <c r="BPA312" s="147"/>
      <c r="BPB312" s="147"/>
      <c r="BPC312" s="147"/>
      <c r="BPD312" s="147"/>
      <c r="BPE312" s="147"/>
      <c r="BPF312" s="147"/>
      <c r="BPG312" s="147"/>
      <c r="BPH312" s="147"/>
      <c r="BPI312" s="147"/>
      <c r="BPJ312" s="147"/>
      <c r="BPK312" s="147"/>
      <c r="BPL312" s="147"/>
      <c r="BPM312" s="147"/>
      <c r="BPN312" s="147"/>
      <c r="BPO312" s="147"/>
      <c r="BPP312" s="147"/>
      <c r="BPQ312" s="147"/>
      <c r="BPR312" s="147"/>
      <c r="BPS312" s="147"/>
      <c r="BPT312" s="147"/>
      <c r="BPU312" s="147"/>
      <c r="BPV312" s="147"/>
      <c r="BPW312" s="147"/>
      <c r="BPX312" s="147"/>
      <c r="BPY312" s="147"/>
      <c r="BPZ312" s="147"/>
      <c r="BQA312" s="147"/>
      <c r="BQB312" s="147"/>
      <c r="BQC312" s="147"/>
      <c r="BQD312" s="147"/>
      <c r="BQE312" s="147"/>
      <c r="BQF312" s="147"/>
      <c r="BQG312" s="147"/>
      <c r="BQH312" s="147"/>
      <c r="BQI312" s="147"/>
      <c r="BQJ312" s="147"/>
      <c r="BQK312" s="147"/>
      <c r="BQL312" s="147"/>
      <c r="BQM312" s="147"/>
      <c r="BQN312" s="147"/>
      <c r="BQO312" s="147"/>
      <c r="BQP312" s="147"/>
      <c r="BQQ312" s="147"/>
      <c r="BQR312" s="147"/>
      <c r="BQS312" s="147"/>
      <c r="BQT312" s="147"/>
      <c r="BQU312" s="147"/>
      <c r="BQV312" s="147"/>
      <c r="BQW312" s="147"/>
      <c r="BQX312" s="147"/>
      <c r="BQY312" s="147"/>
      <c r="BQZ312" s="147"/>
      <c r="BRA312" s="147"/>
      <c r="BRB312" s="147"/>
      <c r="BRC312" s="147"/>
      <c r="BRD312" s="147"/>
      <c r="BRE312" s="147"/>
      <c r="BRF312" s="147"/>
      <c r="BRG312" s="147"/>
      <c r="BRH312" s="147"/>
      <c r="BRI312" s="147"/>
      <c r="BRJ312" s="147"/>
      <c r="BRK312" s="147"/>
      <c r="BRL312" s="147"/>
      <c r="BRM312" s="147"/>
      <c r="BRN312" s="147"/>
      <c r="BRO312" s="147"/>
      <c r="BRP312" s="147"/>
      <c r="BRQ312" s="147"/>
      <c r="BRR312" s="147"/>
      <c r="BRS312" s="147"/>
      <c r="BRT312" s="147"/>
      <c r="BRU312" s="147"/>
      <c r="BRV312" s="147"/>
      <c r="BRW312" s="147"/>
      <c r="BRX312" s="147"/>
      <c r="BRY312" s="147"/>
      <c r="BRZ312" s="147"/>
      <c r="BSA312" s="147"/>
      <c r="BSB312" s="147"/>
      <c r="BSC312" s="147"/>
      <c r="BSD312" s="147"/>
      <c r="BSE312" s="147"/>
      <c r="BSF312" s="147"/>
      <c r="BSG312" s="147"/>
      <c r="BSH312" s="147"/>
      <c r="BSI312" s="147"/>
      <c r="BSJ312" s="147"/>
      <c r="BSK312" s="147"/>
      <c r="BSL312" s="147"/>
      <c r="BSM312" s="147"/>
      <c r="BSN312" s="147"/>
      <c r="BSO312" s="147"/>
      <c r="BSP312" s="147"/>
      <c r="BSQ312" s="147"/>
      <c r="BSR312" s="147"/>
      <c r="BSS312" s="147"/>
      <c r="BST312" s="147"/>
      <c r="BSU312" s="147"/>
      <c r="BSV312" s="147"/>
      <c r="BSW312" s="147"/>
      <c r="BSX312" s="147"/>
      <c r="BSY312" s="147"/>
      <c r="BSZ312" s="147"/>
      <c r="BTA312" s="147"/>
      <c r="BTB312" s="147"/>
      <c r="BTC312" s="147"/>
      <c r="BTD312" s="147"/>
      <c r="BTE312" s="147"/>
      <c r="BTF312" s="147"/>
      <c r="BTG312" s="147"/>
      <c r="BTH312" s="147"/>
      <c r="BTI312" s="147"/>
      <c r="BTJ312" s="147"/>
      <c r="BTK312" s="147"/>
      <c r="BTL312" s="147"/>
      <c r="BTM312" s="147"/>
      <c r="BTN312" s="147"/>
      <c r="BTO312" s="147"/>
      <c r="BTP312" s="147"/>
      <c r="BTQ312" s="147"/>
      <c r="BTR312" s="147"/>
      <c r="BTS312" s="147"/>
      <c r="BTT312" s="147"/>
      <c r="BTU312" s="147"/>
      <c r="BTV312" s="147"/>
      <c r="BTW312" s="147"/>
      <c r="BTX312" s="147"/>
      <c r="BTY312" s="147"/>
      <c r="BTZ312" s="147"/>
      <c r="BUA312" s="147"/>
      <c r="BUB312" s="147"/>
      <c r="BUC312" s="147"/>
      <c r="BUD312" s="147"/>
      <c r="BUE312" s="147"/>
      <c r="BUF312" s="147"/>
      <c r="BUG312" s="147"/>
      <c r="BUH312" s="147"/>
      <c r="BUI312" s="147"/>
      <c r="BUJ312" s="147"/>
      <c r="BUK312" s="147"/>
      <c r="BUL312" s="147"/>
      <c r="BUM312" s="147"/>
      <c r="BUN312" s="147"/>
      <c r="BUO312" s="147"/>
      <c r="BUP312" s="147"/>
      <c r="BUQ312" s="147"/>
      <c r="BUR312" s="147"/>
      <c r="BUS312" s="147"/>
      <c r="BUT312" s="147"/>
      <c r="BUU312" s="147"/>
      <c r="BUV312" s="147"/>
      <c r="BUW312" s="147"/>
      <c r="BUX312" s="147"/>
      <c r="BUY312" s="147"/>
      <c r="BUZ312" s="147"/>
      <c r="BVA312" s="147"/>
      <c r="BVB312" s="147"/>
      <c r="BVC312" s="147"/>
      <c r="BVD312" s="147"/>
      <c r="BVE312" s="147"/>
      <c r="BVF312" s="147"/>
      <c r="BVG312" s="147"/>
      <c r="BVH312" s="147"/>
      <c r="BVI312" s="147"/>
      <c r="BVJ312" s="147"/>
      <c r="BVK312" s="147"/>
      <c r="BVL312" s="147"/>
      <c r="BVM312" s="147"/>
      <c r="BVN312" s="147"/>
      <c r="BVO312" s="147"/>
      <c r="BVP312" s="147"/>
      <c r="BVQ312" s="147"/>
      <c r="BVR312" s="147"/>
      <c r="BVS312" s="147"/>
      <c r="BVT312" s="147"/>
      <c r="BVU312" s="147"/>
      <c r="BVV312" s="147"/>
      <c r="BVW312" s="147"/>
      <c r="BVX312" s="147"/>
      <c r="BVY312" s="147"/>
      <c r="BVZ312" s="147"/>
      <c r="BWA312" s="147"/>
      <c r="BWB312" s="147"/>
      <c r="BWC312" s="147"/>
      <c r="BWD312" s="147"/>
      <c r="BWE312" s="147"/>
      <c r="BWF312" s="147"/>
      <c r="BWG312" s="147"/>
      <c r="BWH312" s="147"/>
      <c r="BWI312" s="147"/>
      <c r="BWJ312" s="147"/>
      <c r="BWK312" s="147"/>
      <c r="BWL312" s="147"/>
      <c r="BWM312" s="147"/>
      <c r="BWN312" s="147"/>
      <c r="BWO312" s="147"/>
      <c r="BWP312" s="147"/>
      <c r="BWQ312" s="147"/>
      <c r="BWR312" s="147"/>
      <c r="BWS312" s="147"/>
      <c r="BWT312" s="147"/>
      <c r="BWU312" s="147"/>
      <c r="BWV312" s="147"/>
      <c r="BWW312" s="147"/>
      <c r="BWX312" s="147"/>
      <c r="BWY312" s="147"/>
      <c r="BWZ312" s="147"/>
      <c r="BXA312" s="147"/>
      <c r="BXB312" s="147"/>
      <c r="BXC312" s="147"/>
      <c r="BXD312" s="147"/>
      <c r="BXE312" s="147"/>
      <c r="BXF312" s="147"/>
      <c r="BXG312" s="147"/>
      <c r="BXH312" s="147"/>
      <c r="BXI312" s="147"/>
      <c r="BXJ312" s="147"/>
      <c r="BXK312" s="147"/>
      <c r="BXL312" s="147"/>
      <c r="BXM312" s="147"/>
      <c r="BXN312" s="147"/>
      <c r="BXO312" s="147"/>
      <c r="BXP312" s="147"/>
      <c r="BXQ312" s="147"/>
      <c r="BXR312" s="147"/>
      <c r="BXS312" s="147"/>
      <c r="BXT312" s="147"/>
      <c r="BXU312" s="147"/>
      <c r="BXV312" s="147"/>
      <c r="BXW312" s="147"/>
      <c r="BXX312" s="147"/>
      <c r="BXY312" s="147"/>
      <c r="BXZ312" s="147"/>
      <c r="BYA312" s="147"/>
      <c r="BYB312" s="147"/>
      <c r="BYC312" s="147"/>
      <c r="BYD312" s="147"/>
      <c r="BYE312" s="147"/>
      <c r="BYF312" s="147"/>
      <c r="BYG312" s="147"/>
      <c r="BYH312" s="147"/>
      <c r="BYI312" s="147"/>
      <c r="BYJ312" s="147"/>
      <c r="BYK312" s="147"/>
      <c r="BYL312" s="147"/>
      <c r="BYM312" s="147"/>
      <c r="BYN312" s="147"/>
      <c r="BYO312" s="147"/>
      <c r="BYP312" s="147"/>
      <c r="BYQ312" s="147"/>
      <c r="BYR312" s="147"/>
      <c r="BYS312" s="147"/>
      <c r="BYT312" s="147"/>
      <c r="BYU312" s="147"/>
      <c r="BYV312" s="147"/>
      <c r="BYW312" s="147"/>
      <c r="BYX312" s="147"/>
      <c r="BYY312" s="147"/>
      <c r="BYZ312" s="147"/>
      <c r="BZA312" s="147"/>
      <c r="BZB312" s="147"/>
      <c r="BZC312" s="147"/>
      <c r="BZD312" s="147"/>
      <c r="BZE312" s="147"/>
      <c r="BZF312" s="147"/>
      <c r="BZG312" s="147"/>
      <c r="BZH312" s="147"/>
      <c r="BZI312" s="147"/>
      <c r="BZJ312" s="147"/>
      <c r="BZK312" s="147"/>
      <c r="BZL312" s="147"/>
      <c r="BZM312" s="147"/>
      <c r="BZN312" s="147"/>
      <c r="BZO312" s="147"/>
      <c r="BZP312" s="147"/>
      <c r="BZQ312" s="147"/>
      <c r="BZR312" s="147"/>
      <c r="BZS312" s="147"/>
      <c r="BZT312" s="147"/>
      <c r="BZU312" s="147"/>
      <c r="BZV312" s="147"/>
      <c r="BZW312" s="147"/>
      <c r="BZX312" s="147"/>
      <c r="BZY312" s="147"/>
      <c r="BZZ312" s="147"/>
      <c r="CAA312" s="147"/>
      <c r="CAB312" s="147"/>
      <c r="CAC312" s="147"/>
      <c r="CAD312" s="147"/>
      <c r="CAE312" s="147"/>
      <c r="CAF312" s="147"/>
      <c r="CAG312" s="147"/>
      <c r="CAH312" s="147"/>
      <c r="CAI312" s="147"/>
      <c r="CAJ312" s="147"/>
      <c r="CAK312" s="147"/>
      <c r="CAL312" s="147"/>
      <c r="CAM312" s="147"/>
      <c r="CAN312" s="147"/>
      <c r="CAO312" s="147"/>
      <c r="CAP312" s="147"/>
      <c r="CAQ312" s="147"/>
      <c r="CAR312" s="147"/>
      <c r="CAS312" s="147"/>
      <c r="CAT312" s="147"/>
      <c r="CAU312" s="147"/>
      <c r="CAV312" s="147"/>
      <c r="CAW312" s="147"/>
      <c r="CAX312" s="147"/>
      <c r="CAY312" s="147"/>
      <c r="CAZ312" s="147"/>
      <c r="CBA312" s="147"/>
      <c r="CBB312" s="147"/>
      <c r="CBC312" s="147"/>
      <c r="CBD312" s="147"/>
      <c r="CBE312" s="147"/>
      <c r="CBF312" s="147"/>
      <c r="CBG312" s="147"/>
      <c r="CBH312" s="147"/>
      <c r="CBI312" s="147"/>
      <c r="CBJ312" s="147"/>
      <c r="CBK312" s="147"/>
      <c r="CBL312" s="147"/>
      <c r="CBM312" s="147"/>
      <c r="CBN312" s="147"/>
      <c r="CBO312" s="147"/>
      <c r="CBP312" s="147"/>
      <c r="CBQ312" s="147"/>
      <c r="CBR312" s="147"/>
      <c r="CBS312" s="147"/>
      <c r="CBT312" s="147"/>
      <c r="CBU312" s="147"/>
      <c r="CBV312" s="147"/>
      <c r="CBW312" s="147"/>
      <c r="CBX312" s="147"/>
      <c r="CBY312" s="147"/>
      <c r="CBZ312" s="147"/>
      <c r="CCA312" s="147"/>
      <c r="CCB312" s="147"/>
      <c r="CCC312" s="147"/>
      <c r="CCD312" s="147"/>
      <c r="CCE312" s="147"/>
      <c r="CCF312" s="147"/>
      <c r="CCG312" s="147"/>
      <c r="CCH312" s="147"/>
      <c r="CCI312" s="147"/>
      <c r="CCJ312" s="147"/>
      <c r="CCK312" s="147"/>
      <c r="CCL312" s="147"/>
      <c r="CCM312" s="147"/>
      <c r="CCN312" s="147"/>
      <c r="CCO312" s="147"/>
      <c r="CCP312" s="147"/>
      <c r="CCQ312" s="147"/>
      <c r="CCR312" s="147"/>
      <c r="CCS312" s="147"/>
      <c r="CCT312" s="147"/>
      <c r="CCU312" s="147"/>
      <c r="CCV312" s="147"/>
      <c r="CCW312" s="147"/>
      <c r="CCX312" s="147"/>
      <c r="CCY312" s="147"/>
      <c r="CCZ312" s="147"/>
      <c r="CDA312" s="147"/>
      <c r="CDB312" s="147"/>
      <c r="CDC312" s="147"/>
      <c r="CDD312" s="147"/>
      <c r="CDE312" s="147"/>
      <c r="CDF312" s="147"/>
      <c r="CDG312" s="147"/>
      <c r="CDH312" s="147"/>
      <c r="CDI312" s="147"/>
      <c r="CDJ312" s="147"/>
      <c r="CDK312" s="147"/>
      <c r="CDL312" s="147"/>
      <c r="CDM312" s="147"/>
      <c r="CDN312" s="147"/>
      <c r="CDO312" s="147"/>
      <c r="CDP312" s="147"/>
      <c r="CDQ312" s="147"/>
      <c r="CDR312" s="147"/>
      <c r="CDS312" s="147"/>
      <c r="CDT312" s="147"/>
      <c r="CDU312" s="147"/>
      <c r="CDV312" s="147"/>
      <c r="CDW312" s="147"/>
      <c r="CDX312" s="147"/>
      <c r="CDY312" s="147"/>
      <c r="CDZ312" s="147"/>
      <c r="CEA312" s="147"/>
      <c r="CEB312" s="147"/>
      <c r="CEC312" s="147"/>
      <c r="CED312" s="147"/>
      <c r="CEE312" s="147"/>
      <c r="CEF312" s="147"/>
      <c r="CEG312" s="147"/>
      <c r="CEH312" s="147"/>
      <c r="CEI312" s="147"/>
      <c r="CEJ312" s="147"/>
      <c r="CEK312" s="147"/>
      <c r="CEL312" s="147"/>
      <c r="CEM312" s="147"/>
      <c r="CEN312" s="147"/>
      <c r="CEO312" s="147"/>
      <c r="CEP312" s="147"/>
      <c r="CEQ312" s="147"/>
      <c r="CER312" s="147"/>
      <c r="CES312" s="147"/>
      <c r="CET312" s="147"/>
      <c r="CEU312" s="147"/>
      <c r="CEV312" s="147"/>
      <c r="CEW312" s="147"/>
      <c r="CEX312" s="147"/>
      <c r="CEY312" s="147"/>
      <c r="CEZ312" s="147"/>
      <c r="CFA312" s="147"/>
      <c r="CFB312" s="147"/>
      <c r="CFC312" s="147"/>
      <c r="CFD312" s="147"/>
      <c r="CFE312" s="147"/>
      <c r="CFF312" s="147"/>
      <c r="CFG312" s="147"/>
      <c r="CFH312" s="147"/>
      <c r="CFI312" s="147"/>
      <c r="CFJ312" s="147"/>
      <c r="CFK312" s="147"/>
      <c r="CFL312" s="147"/>
      <c r="CFM312" s="147"/>
      <c r="CFN312" s="147"/>
      <c r="CFO312" s="147"/>
      <c r="CFP312" s="147"/>
      <c r="CFQ312" s="147"/>
      <c r="CFR312" s="147"/>
      <c r="CFS312" s="147"/>
      <c r="CFT312" s="147"/>
      <c r="CFU312" s="147"/>
      <c r="CFV312" s="147"/>
      <c r="CFW312" s="147"/>
      <c r="CFX312" s="147"/>
      <c r="CFY312" s="147"/>
      <c r="CFZ312" s="147"/>
      <c r="CGA312" s="147"/>
      <c r="CGB312" s="147"/>
      <c r="CGC312" s="147"/>
      <c r="CGD312" s="147"/>
      <c r="CGE312" s="147"/>
      <c r="CGF312" s="147"/>
      <c r="CGG312" s="147"/>
      <c r="CGH312" s="147"/>
      <c r="CGI312" s="147"/>
      <c r="CGJ312" s="147"/>
      <c r="CGK312" s="147"/>
      <c r="CGL312" s="147"/>
      <c r="CGM312" s="147"/>
      <c r="CGN312" s="147"/>
      <c r="CGO312" s="147"/>
      <c r="CGP312" s="147"/>
      <c r="CGQ312" s="147"/>
      <c r="CGR312" s="147"/>
      <c r="CGS312" s="147"/>
      <c r="CGT312" s="147"/>
      <c r="CGU312" s="147"/>
      <c r="CGV312" s="147"/>
      <c r="CGW312" s="147"/>
      <c r="CGX312" s="147"/>
      <c r="CGY312" s="147"/>
      <c r="CGZ312" s="147"/>
      <c r="CHA312" s="147"/>
      <c r="CHB312" s="147"/>
      <c r="CHC312" s="147"/>
      <c r="CHD312" s="147"/>
      <c r="CHE312" s="147"/>
      <c r="CHF312" s="147"/>
      <c r="CHG312" s="147"/>
      <c r="CHH312" s="147"/>
      <c r="CHI312" s="147"/>
      <c r="CHJ312" s="147"/>
      <c r="CHK312" s="147"/>
      <c r="CHL312" s="147"/>
      <c r="CHM312" s="147"/>
      <c r="CHN312" s="147"/>
      <c r="CHO312" s="147"/>
      <c r="CHP312" s="147"/>
      <c r="CHQ312" s="147"/>
      <c r="CHR312" s="147"/>
      <c r="CHS312" s="147"/>
      <c r="CHT312" s="147"/>
      <c r="CHU312" s="147"/>
      <c r="CHV312" s="147"/>
      <c r="CHW312" s="147"/>
      <c r="CHX312" s="147"/>
      <c r="CHY312" s="147"/>
      <c r="CHZ312" s="147"/>
      <c r="CIA312" s="147"/>
      <c r="CIB312" s="147"/>
      <c r="CIC312" s="147"/>
      <c r="CID312" s="147"/>
      <c r="CIE312" s="147"/>
      <c r="CIF312" s="147"/>
      <c r="CIG312" s="147"/>
      <c r="CIH312" s="147"/>
      <c r="CII312" s="147"/>
      <c r="CIJ312" s="147"/>
      <c r="CIK312" s="147"/>
      <c r="CIL312" s="147"/>
      <c r="CIM312" s="147"/>
      <c r="CIN312" s="147"/>
      <c r="CIO312" s="147"/>
      <c r="CIP312" s="147"/>
      <c r="CIQ312" s="147"/>
      <c r="CIR312" s="147"/>
      <c r="CIS312" s="147"/>
      <c r="CIT312" s="147"/>
      <c r="CIU312" s="147"/>
      <c r="CIV312" s="147"/>
      <c r="CIW312" s="147"/>
      <c r="CIX312" s="147"/>
      <c r="CIY312" s="147"/>
      <c r="CIZ312" s="147"/>
      <c r="CJA312" s="147"/>
      <c r="CJB312" s="147"/>
      <c r="CJC312" s="147"/>
      <c r="CJD312" s="147"/>
      <c r="CJE312" s="147"/>
      <c r="CJF312" s="147"/>
      <c r="CJG312" s="147"/>
      <c r="CJH312" s="147"/>
      <c r="CJI312" s="147"/>
      <c r="CJJ312" s="147"/>
      <c r="CJK312" s="147"/>
      <c r="CJL312" s="147"/>
      <c r="CJM312" s="147"/>
      <c r="CJN312" s="147"/>
      <c r="CJO312" s="147"/>
      <c r="CJP312" s="147"/>
      <c r="CJQ312" s="147"/>
      <c r="CJR312" s="147"/>
      <c r="CJS312" s="147"/>
      <c r="CJT312" s="147"/>
      <c r="CJU312" s="147"/>
      <c r="CJV312" s="147"/>
      <c r="CJW312" s="147"/>
      <c r="CJX312" s="147"/>
      <c r="CJY312" s="147"/>
      <c r="CJZ312" s="147"/>
      <c r="CKA312" s="147"/>
      <c r="CKB312" s="147"/>
      <c r="CKC312" s="147"/>
      <c r="CKD312" s="147"/>
      <c r="CKE312" s="147"/>
      <c r="CKF312" s="147"/>
      <c r="CKG312" s="147"/>
      <c r="CKH312" s="147"/>
      <c r="CKI312" s="147"/>
      <c r="CKJ312" s="147"/>
      <c r="CKK312" s="147"/>
      <c r="CKL312" s="147"/>
      <c r="CKM312" s="147"/>
      <c r="CKN312" s="147"/>
      <c r="CKO312" s="147"/>
      <c r="CKP312" s="147"/>
      <c r="CKQ312" s="147"/>
      <c r="CKR312" s="147"/>
      <c r="CKS312" s="147"/>
      <c r="CKT312" s="147"/>
      <c r="CKU312" s="147"/>
      <c r="CKV312" s="147"/>
      <c r="CKW312" s="147"/>
      <c r="CKX312" s="147"/>
      <c r="CKY312" s="147"/>
      <c r="CKZ312" s="147"/>
      <c r="CLA312" s="147"/>
      <c r="CLB312" s="147"/>
      <c r="CLC312" s="147"/>
      <c r="CLD312" s="147"/>
      <c r="CLE312" s="147"/>
      <c r="CLF312" s="147"/>
      <c r="CLG312" s="147"/>
      <c r="CLH312" s="147"/>
      <c r="CLI312" s="147"/>
      <c r="CLJ312" s="147"/>
      <c r="CLK312" s="147"/>
      <c r="CLL312" s="147"/>
      <c r="CLM312" s="147"/>
      <c r="CLN312" s="147"/>
      <c r="CLO312" s="147"/>
      <c r="CLP312" s="147"/>
      <c r="CLQ312" s="147"/>
      <c r="CLR312" s="147"/>
      <c r="CLS312" s="147"/>
      <c r="CLT312" s="147"/>
      <c r="CLU312" s="147"/>
      <c r="CLV312" s="147"/>
      <c r="CLW312" s="147"/>
      <c r="CLX312" s="147"/>
      <c r="CLY312" s="147"/>
      <c r="CLZ312" s="147"/>
      <c r="CMA312" s="147"/>
      <c r="CMB312" s="147"/>
      <c r="CMC312" s="147"/>
      <c r="CMD312" s="147"/>
      <c r="CME312" s="147"/>
      <c r="CMF312" s="147"/>
      <c r="CMG312" s="147"/>
      <c r="CMH312" s="147"/>
      <c r="CMI312" s="147"/>
      <c r="CMJ312" s="147"/>
      <c r="CMK312" s="147"/>
      <c r="CML312" s="147"/>
      <c r="CMM312" s="147"/>
      <c r="CMN312" s="147"/>
      <c r="CMO312" s="147"/>
      <c r="CMP312" s="147"/>
      <c r="CMQ312" s="147"/>
      <c r="CMR312" s="147"/>
      <c r="CMS312" s="147"/>
      <c r="CMT312" s="147"/>
      <c r="CMU312" s="147"/>
      <c r="CMV312" s="147"/>
      <c r="CMW312" s="147"/>
      <c r="CMX312" s="147"/>
      <c r="CMY312" s="147"/>
      <c r="CMZ312" s="147"/>
      <c r="CNA312" s="147"/>
      <c r="CNB312" s="147"/>
      <c r="CNC312" s="147"/>
      <c r="CND312" s="147"/>
      <c r="CNE312" s="147"/>
      <c r="CNF312" s="147"/>
      <c r="CNG312" s="147"/>
      <c r="CNH312" s="147"/>
      <c r="CNI312" s="147"/>
      <c r="CNJ312" s="147"/>
      <c r="CNK312" s="147"/>
      <c r="CNL312" s="147"/>
      <c r="CNM312" s="147"/>
      <c r="CNN312" s="147"/>
      <c r="CNO312" s="147"/>
      <c r="CNP312" s="147"/>
      <c r="CNQ312" s="147"/>
      <c r="CNR312" s="147"/>
      <c r="CNS312" s="147"/>
      <c r="CNT312" s="147"/>
      <c r="CNU312" s="147"/>
      <c r="CNV312" s="147"/>
      <c r="CNW312" s="147"/>
      <c r="CNX312" s="147"/>
      <c r="CNY312" s="147"/>
      <c r="CNZ312" s="147"/>
      <c r="COA312" s="147"/>
      <c r="COB312" s="147"/>
      <c r="COC312" s="147"/>
      <c r="COD312" s="147"/>
      <c r="COE312" s="147"/>
      <c r="COF312" s="147"/>
      <c r="COG312" s="147"/>
      <c r="COH312" s="147"/>
      <c r="COI312" s="147"/>
      <c r="COJ312" s="147"/>
      <c r="COK312" s="147"/>
      <c r="COL312" s="147"/>
      <c r="COM312" s="147"/>
      <c r="CON312" s="147"/>
      <c r="COO312" s="147"/>
      <c r="COP312" s="147"/>
      <c r="COQ312" s="147"/>
      <c r="COR312" s="147"/>
      <c r="COS312" s="147"/>
      <c r="COT312" s="147"/>
      <c r="COU312" s="147"/>
      <c r="COV312" s="147"/>
      <c r="COW312" s="147"/>
      <c r="COX312" s="147"/>
      <c r="COY312" s="147"/>
      <c r="COZ312" s="147"/>
      <c r="CPA312" s="147"/>
      <c r="CPB312" s="147"/>
      <c r="CPC312" s="147"/>
      <c r="CPD312" s="147"/>
      <c r="CPE312" s="147"/>
      <c r="CPF312" s="147"/>
      <c r="CPG312" s="147"/>
      <c r="CPH312" s="147"/>
      <c r="CPI312" s="147"/>
      <c r="CPJ312" s="147"/>
      <c r="CPK312" s="147"/>
      <c r="CPL312" s="147"/>
      <c r="CPM312" s="147"/>
      <c r="CPN312" s="147"/>
      <c r="CPO312" s="147"/>
      <c r="CPP312" s="147"/>
      <c r="CPQ312" s="147"/>
      <c r="CPR312" s="147"/>
      <c r="CPS312" s="147"/>
      <c r="CPT312" s="147"/>
      <c r="CPU312" s="147"/>
      <c r="CPV312" s="147"/>
      <c r="CPW312" s="147"/>
      <c r="CPX312" s="147"/>
      <c r="CPY312" s="147"/>
      <c r="CPZ312" s="147"/>
      <c r="CQA312" s="147"/>
      <c r="CQB312" s="147"/>
      <c r="CQC312" s="147"/>
      <c r="CQD312" s="147"/>
      <c r="CQE312" s="147"/>
      <c r="CQF312" s="147"/>
      <c r="CQG312" s="147"/>
      <c r="CQH312" s="147"/>
      <c r="CQI312" s="147"/>
      <c r="CQJ312" s="147"/>
      <c r="CQK312" s="147"/>
      <c r="CQL312" s="147"/>
      <c r="CQM312" s="147"/>
      <c r="CQN312" s="147"/>
      <c r="CQO312" s="147"/>
      <c r="CQP312" s="147"/>
      <c r="CQQ312" s="147"/>
      <c r="CQR312" s="147"/>
      <c r="CQS312" s="147"/>
      <c r="CQT312" s="147"/>
      <c r="CQU312" s="147"/>
      <c r="CQV312" s="147"/>
      <c r="CQW312" s="147"/>
      <c r="CQX312" s="147"/>
      <c r="CQY312" s="147"/>
      <c r="CQZ312" s="147"/>
      <c r="CRA312" s="147"/>
      <c r="CRB312" s="147"/>
      <c r="CRC312" s="147"/>
      <c r="CRD312" s="147"/>
      <c r="CRE312" s="147"/>
      <c r="CRF312" s="147"/>
      <c r="CRG312" s="147"/>
      <c r="CRH312" s="147"/>
      <c r="CRI312" s="147"/>
      <c r="CRJ312" s="147"/>
      <c r="CRK312" s="147"/>
      <c r="CRL312" s="147"/>
      <c r="CRM312" s="147"/>
      <c r="CRN312" s="147"/>
      <c r="CRO312" s="147"/>
      <c r="CRP312" s="147"/>
      <c r="CRQ312" s="147"/>
      <c r="CRR312" s="147"/>
      <c r="CRS312" s="147"/>
      <c r="CRT312" s="147"/>
      <c r="CRU312" s="147"/>
      <c r="CRV312" s="147"/>
      <c r="CRW312" s="147"/>
      <c r="CRX312" s="147"/>
      <c r="CRY312" s="147"/>
      <c r="CRZ312" s="147"/>
      <c r="CSA312" s="147"/>
      <c r="CSB312" s="147"/>
      <c r="CSC312" s="147"/>
      <c r="CSD312" s="147"/>
      <c r="CSE312" s="147"/>
      <c r="CSF312" s="147"/>
      <c r="CSG312" s="147"/>
      <c r="CSH312" s="147"/>
      <c r="CSI312" s="147"/>
      <c r="CSJ312" s="147"/>
      <c r="CSK312" s="147"/>
      <c r="CSL312" s="147"/>
      <c r="CSM312" s="147"/>
      <c r="CSN312" s="147"/>
      <c r="CSO312" s="147"/>
      <c r="CSP312" s="147"/>
      <c r="CSQ312" s="147"/>
      <c r="CSR312" s="147"/>
      <c r="CSS312" s="147"/>
      <c r="CST312" s="147"/>
      <c r="CSU312" s="147"/>
      <c r="CSV312" s="147"/>
      <c r="CSW312" s="147"/>
      <c r="CSX312" s="147"/>
      <c r="CSY312" s="147"/>
      <c r="CSZ312" s="147"/>
      <c r="CTA312" s="147"/>
      <c r="CTB312" s="147"/>
      <c r="CTC312" s="147"/>
      <c r="CTD312" s="147"/>
      <c r="CTE312" s="147"/>
      <c r="CTF312" s="147"/>
      <c r="CTG312" s="147"/>
      <c r="CTH312" s="147"/>
      <c r="CTI312" s="147"/>
      <c r="CTJ312" s="147"/>
      <c r="CTK312" s="147"/>
      <c r="CTL312" s="147"/>
      <c r="CTM312" s="147"/>
      <c r="CTN312" s="147"/>
      <c r="CTO312" s="147"/>
      <c r="CTP312" s="147"/>
      <c r="CTQ312" s="147"/>
      <c r="CTR312" s="147"/>
      <c r="CTS312" s="147"/>
      <c r="CTT312" s="147"/>
      <c r="CTU312" s="147"/>
      <c r="CTV312" s="147"/>
      <c r="CTW312" s="147"/>
      <c r="CTX312" s="147"/>
      <c r="CTY312" s="147"/>
      <c r="CTZ312" s="147"/>
      <c r="CUA312" s="147"/>
      <c r="CUB312" s="147"/>
      <c r="CUC312" s="147"/>
      <c r="CUD312" s="147"/>
      <c r="CUE312" s="147"/>
      <c r="CUF312" s="147"/>
      <c r="CUG312" s="147"/>
      <c r="CUH312" s="147"/>
      <c r="CUI312" s="147"/>
      <c r="CUJ312" s="147"/>
      <c r="CUK312" s="147"/>
      <c r="CUL312" s="147"/>
      <c r="CUM312" s="147"/>
      <c r="CUN312" s="147"/>
      <c r="CUO312" s="147"/>
      <c r="CUP312" s="147"/>
      <c r="CUQ312" s="147"/>
      <c r="CUR312" s="147"/>
      <c r="CUS312" s="147"/>
      <c r="CUT312" s="147"/>
      <c r="CUU312" s="147"/>
      <c r="CUV312" s="147"/>
      <c r="CUW312" s="147"/>
      <c r="CUX312" s="147"/>
      <c r="CUY312" s="147"/>
      <c r="CUZ312" s="147"/>
      <c r="CVA312" s="147"/>
      <c r="CVB312" s="147"/>
      <c r="CVC312" s="147"/>
      <c r="CVD312" s="147"/>
      <c r="CVE312" s="147"/>
      <c r="CVF312" s="147"/>
      <c r="CVG312" s="147"/>
      <c r="CVH312" s="147"/>
      <c r="CVI312" s="147"/>
      <c r="CVJ312" s="147"/>
      <c r="CVK312" s="147"/>
      <c r="CVL312" s="147"/>
      <c r="CVM312" s="147"/>
      <c r="CVN312" s="147"/>
      <c r="CVO312" s="147"/>
      <c r="CVP312" s="147"/>
      <c r="CVQ312" s="147"/>
      <c r="CVR312" s="147"/>
      <c r="CVS312" s="147"/>
      <c r="CVT312" s="147"/>
      <c r="CVU312" s="147"/>
      <c r="CVV312" s="147"/>
      <c r="CVW312" s="147"/>
      <c r="CVX312" s="147"/>
      <c r="CVY312" s="147"/>
      <c r="CVZ312" s="147"/>
      <c r="CWA312" s="147"/>
      <c r="CWB312" s="147"/>
      <c r="CWC312" s="147"/>
      <c r="CWD312" s="147"/>
      <c r="CWE312" s="147"/>
      <c r="CWF312" s="147"/>
      <c r="CWG312" s="147"/>
      <c r="CWH312" s="147"/>
      <c r="CWI312" s="147"/>
      <c r="CWJ312" s="147"/>
      <c r="CWK312" s="147"/>
      <c r="CWL312" s="147"/>
      <c r="CWM312" s="147"/>
      <c r="CWN312" s="147"/>
      <c r="CWO312" s="147"/>
      <c r="CWP312" s="147"/>
      <c r="CWQ312" s="147"/>
      <c r="CWR312" s="147"/>
      <c r="CWS312" s="147"/>
      <c r="CWT312" s="147"/>
      <c r="CWU312" s="147"/>
      <c r="CWV312" s="147"/>
      <c r="CWW312" s="147"/>
      <c r="CWX312" s="147"/>
      <c r="CWY312" s="147"/>
      <c r="CWZ312" s="147"/>
      <c r="CXA312" s="147"/>
      <c r="CXB312" s="147"/>
      <c r="CXC312" s="147"/>
      <c r="CXD312" s="147"/>
      <c r="CXE312" s="147"/>
      <c r="CXF312" s="147"/>
      <c r="CXG312" s="147"/>
      <c r="CXH312" s="147"/>
      <c r="CXI312" s="147"/>
      <c r="CXJ312" s="147"/>
      <c r="CXK312" s="147"/>
      <c r="CXL312" s="147"/>
      <c r="CXM312" s="147"/>
      <c r="CXN312" s="147"/>
      <c r="CXO312" s="147"/>
      <c r="CXP312" s="147"/>
      <c r="CXQ312" s="147"/>
      <c r="CXR312" s="147"/>
      <c r="CXS312" s="147"/>
      <c r="CXT312" s="147"/>
      <c r="CXU312" s="147"/>
      <c r="CXV312" s="147"/>
      <c r="CXW312" s="147"/>
      <c r="CXX312" s="147"/>
      <c r="CXY312" s="147"/>
      <c r="CXZ312" s="147"/>
      <c r="CYA312" s="147"/>
      <c r="CYB312" s="147"/>
      <c r="CYC312" s="147"/>
      <c r="CYD312" s="147"/>
      <c r="CYE312" s="147"/>
      <c r="CYF312" s="147"/>
      <c r="CYG312" s="147"/>
      <c r="CYH312" s="147"/>
      <c r="CYI312" s="147"/>
      <c r="CYJ312" s="147"/>
      <c r="CYK312" s="147"/>
      <c r="CYL312" s="147"/>
      <c r="CYM312" s="147"/>
      <c r="CYN312" s="147"/>
      <c r="CYO312" s="147"/>
      <c r="CYP312" s="147"/>
      <c r="CYQ312" s="147"/>
      <c r="CYR312" s="147"/>
      <c r="CYS312" s="147"/>
      <c r="CYT312" s="147"/>
      <c r="CYU312" s="147"/>
      <c r="CYV312" s="147"/>
      <c r="CYW312" s="147"/>
      <c r="CYX312" s="147"/>
      <c r="CYY312" s="147"/>
      <c r="CYZ312" s="147"/>
      <c r="CZA312" s="147"/>
      <c r="CZB312" s="147"/>
      <c r="CZC312" s="147"/>
      <c r="CZD312" s="147"/>
      <c r="CZE312" s="147"/>
      <c r="CZF312" s="147"/>
      <c r="CZG312" s="147"/>
      <c r="CZH312" s="147"/>
      <c r="CZI312" s="147"/>
      <c r="CZJ312" s="147"/>
      <c r="CZK312" s="147"/>
      <c r="CZL312" s="147"/>
      <c r="CZM312" s="147"/>
      <c r="CZN312" s="147"/>
      <c r="CZO312" s="147"/>
      <c r="CZP312" s="147"/>
      <c r="CZQ312" s="147"/>
      <c r="CZR312" s="147"/>
      <c r="CZS312" s="147"/>
      <c r="CZT312" s="147"/>
      <c r="CZU312" s="147"/>
      <c r="CZV312" s="147"/>
      <c r="CZW312" s="147"/>
      <c r="CZX312" s="147"/>
      <c r="CZY312" s="147"/>
      <c r="CZZ312" s="147"/>
      <c r="DAA312" s="147"/>
      <c r="DAB312" s="147"/>
      <c r="DAC312" s="147"/>
      <c r="DAD312" s="147"/>
      <c r="DAE312" s="147"/>
      <c r="DAF312" s="147"/>
      <c r="DAG312" s="147"/>
      <c r="DAH312" s="147"/>
      <c r="DAI312" s="147"/>
      <c r="DAJ312" s="147"/>
      <c r="DAK312" s="147"/>
      <c r="DAL312" s="147"/>
      <c r="DAM312" s="147"/>
      <c r="DAN312" s="147"/>
      <c r="DAO312" s="147"/>
      <c r="DAP312" s="147"/>
      <c r="DAQ312" s="147"/>
      <c r="DAR312" s="147"/>
      <c r="DAS312" s="147"/>
      <c r="DAT312" s="147"/>
      <c r="DAU312" s="147"/>
      <c r="DAV312" s="147"/>
      <c r="DAW312" s="147"/>
      <c r="DAX312" s="147"/>
      <c r="DAY312" s="147"/>
      <c r="DAZ312" s="147"/>
      <c r="DBA312" s="147"/>
      <c r="DBB312" s="147"/>
      <c r="DBC312" s="147"/>
      <c r="DBD312" s="147"/>
      <c r="DBE312" s="147"/>
      <c r="DBF312" s="147"/>
      <c r="DBG312" s="147"/>
      <c r="DBH312" s="147"/>
      <c r="DBI312" s="147"/>
      <c r="DBJ312" s="147"/>
      <c r="DBK312" s="147"/>
      <c r="DBL312" s="147"/>
      <c r="DBM312" s="147"/>
      <c r="DBN312" s="147"/>
      <c r="DBO312" s="147"/>
      <c r="DBP312" s="147"/>
      <c r="DBQ312" s="147"/>
      <c r="DBR312" s="147"/>
      <c r="DBS312" s="147"/>
      <c r="DBT312" s="147"/>
      <c r="DBU312" s="147"/>
      <c r="DBV312" s="147"/>
      <c r="DBW312" s="147"/>
      <c r="DBX312" s="147"/>
      <c r="DBY312" s="147"/>
      <c r="DBZ312" s="147"/>
      <c r="DCA312" s="147"/>
      <c r="DCB312" s="147"/>
      <c r="DCC312" s="147"/>
      <c r="DCD312" s="147"/>
      <c r="DCE312" s="147"/>
      <c r="DCF312" s="147"/>
      <c r="DCG312" s="147"/>
      <c r="DCH312" s="147"/>
      <c r="DCI312" s="147"/>
      <c r="DCJ312" s="147"/>
      <c r="DCK312" s="147"/>
      <c r="DCL312" s="147"/>
      <c r="DCM312" s="147"/>
      <c r="DCN312" s="147"/>
      <c r="DCO312" s="147"/>
      <c r="DCP312" s="147"/>
      <c r="DCQ312" s="147"/>
      <c r="DCR312" s="147"/>
      <c r="DCS312" s="147"/>
      <c r="DCT312" s="147"/>
      <c r="DCU312" s="147"/>
      <c r="DCV312" s="147"/>
      <c r="DCW312" s="147"/>
      <c r="DCX312" s="147"/>
      <c r="DCY312" s="147"/>
      <c r="DCZ312" s="147"/>
      <c r="DDA312" s="147"/>
      <c r="DDB312" s="147"/>
      <c r="DDC312" s="147"/>
      <c r="DDD312" s="147"/>
      <c r="DDE312" s="147"/>
      <c r="DDF312" s="147"/>
      <c r="DDG312" s="147"/>
      <c r="DDH312" s="147"/>
      <c r="DDI312" s="147"/>
      <c r="DDJ312" s="147"/>
      <c r="DDK312" s="147"/>
      <c r="DDL312" s="147"/>
      <c r="DDM312" s="147"/>
      <c r="DDN312" s="147"/>
      <c r="DDO312" s="147"/>
      <c r="DDP312" s="147"/>
      <c r="DDQ312" s="147"/>
      <c r="DDR312" s="147"/>
      <c r="DDS312" s="147"/>
      <c r="DDT312" s="147"/>
      <c r="DDU312" s="147"/>
      <c r="DDV312" s="147"/>
      <c r="DDW312" s="147"/>
      <c r="DDX312" s="147"/>
      <c r="DDY312" s="147"/>
      <c r="DDZ312" s="147"/>
      <c r="DEA312" s="147"/>
      <c r="DEB312" s="147"/>
      <c r="DEC312" s="147"/>
      <c r="DED312" s="147"/>
      <c r="DEE312" s="147"/>
      <c r="DEF312" s="147"/>
      <c r="DEG312" s="147"/>
      <c r="DEH312" s="147"/>
      <c r="DEI312" s="147"/>
      <c r="DEJ312" s="147"/>
      <c r="DEK312" s="147"/>
      <c r="DEL312" s="147"/>
      <c r="DEM312" s="147"/>
      <c r="DEN312" s="147"/>
      <c r="DEO312" s="147"/>
      <c r="DEP312" s="147"/>
      <c r="DEQ312" s="147"/>
      <c r="DER312" s="147"/>
      <c r="DES312" s="147"/>
      <c r="DET312" s="147"/>
      <c r="DEU312" s="147"/>
      <c r="DEV312" s="147"/>
      <c r="DEW312" s="147"/>
      <c r="DEX312" s="147"/>
      <c r="DEY312" s="147"/>
      <c r="DEZ312" s="147"/>
      <c r="DFA312" s="147"/>
      <c r="DFB312" s="147"/>
      <c r="DFC312" s="147"/>
      <c r="DFD312" s="147"/>
      <c r="DFE312" s="147"/>
      <c r="DFF312" s="147"/>
      <c r="DFG312" s="147"/>
      <c r="DFH312" s="147"/>
      <c r="DFI312" s="147"/>
      <c r="DFJ312" s="147"/>
      <c r="DFK312" s="147"/>
      <c r="DFL312" s="147"/>
      <c r="DFM312" s="147"/>
      <c r="DFN312" s="147"/>
      <c r="DFO312" s="147"/>
      <c r="DFP312" s="147"/>
      <c r="DFQ312" s="147"/>
      <c r="DFR312" s="147"/>
      <c r="DFS312" s="147"/>
      <c r="DFT312" s="147"/>
      <c r="DFU312" s="147"/>
      <c r="DFV312" s="147"/>
      <c r="DFW312" s="147"/>
      <c r="DFX312" s="147"/>
      <c r="DFY312" s="147"/>
      <c r="DFZ312" s="147"/>
      <c r="DGA312" s="147"/>
      <c r="DGB312" s="147"/>
      <c r="DGC312" s="147"/>
      <c r="DGD312" s="147"/>
      <c r="DGE312" s="147"/>
      <c r="DGF312" s="147"/>
      <c r="DGG312" s="147"/>
      <c r="DGH312" s="147"/>
      <c r="DGI312" s="147"/>
      <c r="DGJ312" s="147"/>
      <c r="DGK312" s="147"/>
      <c r="DGL312" s="147"/>
      <c r="DGM312" s="147"/>
      <c r="DGN312" s="147"/>
      <c r="DGO312" s="147"/>
      <c r="DGP312" s="147"/>
      <c r="DGQ312" s="147"/>
      <c r="DGR312" s="147"/>
      <c r="DGS312" s="147"/>
      <c r="DGT312" s="147"/>
      <c r="DGU312" s="147"/>
      <c r="DGV312" s="147"/>
      <c r="DGW312" s="147"/>
      <c r="DGX312" s="147"/>
      <c r="DGY312" s="147"/>
      <c r="DGZ312" s="147"/>
      <c r="DHA312" s="147"/>
      <c r="DHB312" s="147"/>
      <c r="DHC312" s="147"/>
      <c r="DHD312" s="147"/>
      <c r="DHE312" s="147"/>
      <c r="DHF312" s="147"/>
      <c r="DHG312" s="147"/>
      <c r="DHH312" s="147"/>
      <c r="DHI312" s="147"/>
      <c r="DHJ312" s="147"/>
      <c r="DHK312" s="147"/>
      <c r="DHL312" s="147"/>
      <c r="DHM312" s="147"/>
      <c r="DHN312" s="147"/>
      <c r="DHO312" s="147"/>
      <c r="DHP312" s="147"/>
      <c r="DHQ312" s="147"/>
      <c r="DHR312" s="147"/>
      <c r="DHS312" s="147"/>
      <c r="DHT312" s="147"/>
      <c r="DHU312" s="147"/>
      <c r="DHV312" s="147"/>
      <c r="DHW312" s="147"/>
      <c r="DHX312" s="147"/>
      <c r="DHY312" s="147"/>
      <c r="DHZ312" s="147"/>
      <c r="DIA312" s="147"/>
      <c r="DIB312" s="147"/>
      <c r="DIC312" s="147"/>
      <c r="DID312" s="147"/>
      <c r="DIE312" s="147"/>
      <c r="DIF312" s="147"/>
      <c r="DIG312" s="147"/>
      <c r="DIH312" s="147"/>
      <c r="DII312" s="147"/>
      <c r="DIJ312" s="147"/>
      <c r="DIK312" s="147"/>
      <c r="DIL312" s="147"/>
      <c r="DIM312" s="147"/>
      <c r="DIN312" s="147"/>
      <c r="DIO312" s="147"/>
      <c r="DIP312" s="147"/>
      <c r="DIQ312" s="147"/>
      <c r="DIR312" s="147"/>
      <c r="DIS312" s="147"/>
      <c r="DIT312" s="147"/>
      <c r="DIU312" s="147"/>
      <c r="DIV312" s="147"/>
      <c r="DIW312" s="147"/>
      <c r="DIX312" s="147"/>
      <c r="DIY312" s="147"/>
      <c r="DIZ312" s="147"/>
      <c r="DJA312" s="147"/>
      <c r="DJB312" s="147"/>
      <c r="DJC312" s="147"/>
      <c r="DJD312" s="147"/>
      <c r="DJE312" s="147"/>
      <c r="DJF312" s="147"/>
      <c r="DJG312" s="147"/>
      <c r="DJH312" s="147"/>
      <c r="DJI312" s="147"/>
      <c r="DJJ312" s="147"/>
      <c r="DJK312" s="147"/>
      <c r="DJL312" s="147"/>
      <c r="DJM312" s="147"/>
      <c r="DJN312" s="147"/>
      <c r="DJO312" s="147"/>
      <c r="DJP312" s="147"/>
      <c r="DJQ312" s="147"/>
      <c r="DJR312" s="147"/>
      <c r="DJS312" s="147"/>
      <c r="DJT312" s="147"/>
      <c r="DJU312" s="147"/>
      <c r="DJV312" s="147"/>
      <c r="DJW312" s="147"/>
      <c r="DJX312" s="147"/>
      <c r="DJY312" s="147"/>
      <c r="DJZ312" s="147"/>
      <c r="DKA312" s="147"/>
      <c r="DKB312" s="147"/>
      <c r="DKC312" s="147"/>
      <c r="DKD312" s="147"/>
      <c r="DKE312" s="147"/>
      <c r="DKF312" s="147"/>
      <c r="DKG312" s="147"/>
      <c r="DKH312" s="147"/>
      <c r="DKI312" s="147"/>
      <c r="DKJ312" s="147"/>
      <c r="DKK312" s="147"/>
      <c r="DKL312" s="147"/>
      <c r="DKM312" s="147"/>
      <c r="DKN312" s="147"/>
      <c r="DKO312" s="147"/>
      <c r="DKP312" s="147"/>
      <c r="DKQ312" s="147"/>
      <c r="DKR312" s="147"/>
      <c r="DKS312" s="147"/>
      <c r="DKT312" s="147"/>
      <c r="DKU312" s="147"/>
      <c r="DKV312" s="147"/>
      <c r="DKW312" s="147"/>
      <c r="DKX312" s="147"/>
      <c r="DKY312" s="147"/>
      <c r="DKZ312" s="147"/>
      <c r="DLA312" s="147"/>
      <c r="DLB312" s="147"/>
      <c r="DLC312" s="147"/>
      <c r="DLD312" s="147"/>
      <c r="DLE312" s="147"/>
      <c r="DLF312" s="147"/>
      <c r="DLG312" s="147"/>
      <c r="DLH312" s="147"/>
      <c r="DLI312" s="147"/>
      <c r="DLJ312" s="147"/>
      <c r="DLK312" s="147"/>
      <c r="DLL312" s="147"/>
      <c r="DLM312" s="147"/>
      <c r="DLN312" s="147"/>
      <c r="DLO312" s="147"/>
      <c r="DLP312" s="147"/>
      <c r="DLQ312" s="147"/>
      <c r="DLR312" s="147"/>
      <c r="DLS312" s="147"/>
      <c r="DLT312" s="147"/>
      <c r="DLU312" s="147"/>
      <c r="DLV312" s="147"/>
      <c r="DLW312" s="147"/>
      <c r="DLX312" s="147"/>
      <c r="DLY312" s="147"/>
      <c r="DLZ312" s="147"/>
      <c r="DMA312" s="147"/>
      <c r="DMB312" s="147"/>
      <c r="DMC312" s="147"/>
      <c r="DMD312" s="147"/>
      <c r="DME312" s="147"/>
      <c r="DMF312" s="147"/>
      <c r="DMG312" s="147"/>
      <c r="DMH312" s="147"/>
      <c r="DMI312" s="147"/>
      <c r="DMJ312" s="147"/>
      <c r="DMK312" s="147"/>
      <c r="DML312" s="147"/>
      <c r="DMM312" s="147"/>
      <c r="DMN312" s="147"/>
      <c r="DMO312" s="147"/>
      <c r="DMP312" s="147"/>
      <c r="DMQ312" s="147"/>
      <c r="DMR312" s="147"/>
      <c r="DMS312" s="147"/>
      <c r="DMT312" s="147"/>
      <c r="DMU312" s="147"/>
      <c r="DMV312" s="147"/>
      <c r="DMW312" s="147"/>
      <c r="DMX312" s="147"/>
      <c r="DMY312" s="147"/>
      <c r="DMZ312" s="147"/>
      <c r="DNA312" s="147"/>
      <c r="DNB312" s="147"/>
      <c r="DNC312" s="147"/>
      <c r="DND312" s="147"/>
      <c r="DNE312" s="147"/>
      <c r="DNF312" s="147"/>
      <c r="DNG312" s="147"/>
      <c r="DNH312" s="147"/>
      <c r="DNI312" s="147"/>
      <c r="DNJ312" s="147"/>
      <c r="DNK312" s="147"/>
      <c r="DNL312" s="147"/>
      <c r="DNM312" s="147"/>
      <c r="DNN312" s="147"/>
      <c r="DNO312" s="147"/>
      <c r="DNP312" s="147"/>
      <c r="DNQ312" s="147"/>
      <c r="DNR312" s="147"/>
      <c r="DNS312" s="147"/>
      <c r="DNT312" s="147"/>
      <c r="DNU312" s="147"/>
      <c r="DNV312" s="147"/>
      <c r="DNW312" s="147"/>
      <c r="DNX312" s="147"/>
      <c r="DNY312" s="147"/>
      <c r="DNZ312" s="147"/>
      <c r="DOA312" s="147"/>
      <c r="DOB312" s="147"/>
      <c r="DOC312" s="147"/>
      <c r="DOD312" s="147"/>
      <c r="DOE312" s="147"/>
      <c r="DOF312" s="147"/>
      <c r="DOG312" s="147"/>
      <c r="DOH312" s="147"/>
      <c r="DOI312" s="147"/>
      <c r="DOJ312" s="147"/>
      <c r="DOK312" s="147"/>
      <c r="DOL312" s="147"/>
      <c r="DOM312" s="147"/>
      <c r="DON312" s="147"/>
      <c r="DOO312" s="147"/>
      <c r="DOP312" s="147"/>
      <c r="DOQ312" s="147"/>
      <c r="DOR312" s="147"/>
      <c r="DOS312" s="147"/>
      <c r="DOT312" s="147"/>
      <c r="DOU312" s="147"/>
      <c r="DOV312" s="147"/>
      <c r="DOW312" s="147"/>
      <c r="DOX312" s="147"/>
      <c r="DOY312" s="147"/>
      <c r="DOZ312" s="147"/>
      <c r="DPA312" s="147"/>
      <c r="DPB312" s="147"/>
      <c r="DPC312" s="147"/>
      <c r="DPD312" s="147"/>
      <c r="DPE312" s="147"/>
      <c r="DPF312" s="147"/>
      <c r="DPG312" s="147"/>
      <c r="DPH312" s="147"/>
      <c r="DPI312" s="147"/>
      <c r="DPJ312" s="147"/>
      <c r="DPK312" s="147"/>
      <c r="DPL312" s="147"/>
      <c r="DPM312" s="147"/>
      <c r="DPN312" s="147"/>
      <c r="DPO312" s="147"/>
      <c r="DPP312" s="147"/>
      <c r="DPQ312" s="147"/>
      <c r="DPR312" s="147"/>
      <c r="DPS312" s="147"/>
      <c r="DPT312" s="147"/>
      <c r="DPU312" s="147"/>
      <c r="DPV312" s="147"/>
      <c r="DPW312" s="147"/>
      <c r="DPX312" s="147"/>
      <c r="DPY312" s="147"/>
      <c r="DPZ312" s="147"/>
      <c r="DQA312" s="147"/>
      <c r="DQB312" s="147"/>
      <c r="DQC312" s="147"/>
      <c r="DQD312" s="147"/>
      <c r="DQE312" s="147"/>
      <c r="DQF312" s="147"/>
      <c r="DQG312" s="147"/>
      <c r="DQH312" s="147"/>
      <c r="DQI312" s="147"/>
      <c r="DQJ312" s="147"/>
      <c r="DQK312" s="147"/>
      <c r="DQL312" s="147"/>
      <c r="DQM312" s="147"/>
      <c r="DQN312" s="147"/>
      <c r="DQO312" s="147"/>
      <c r="DQP312" s="147"/>
      <c r="DQQ312" s="147"/>
      <c r="DQR312" s="147"/>
      <c r="DQS312" s="147"/>
      <c r="DQT312" s="147"/>
      <c r="DQU312" s="147"/>
      <c r="DQV312" s="147"/>
      <c r="DQW312" s="147"/>
      <c r="DQX312" s="147"/>
      <c r="DQY312" s="147"/>
      <c r="DQZ312" s="147"/>
      <c r="DRA312" s="147"/>
      <c r="DRB312" s="147"/>
      <c r="DRC312" s="147"/>
      <c r="DRD312" s="147"/>
      <c r="DRE312" s="147"/>
      <c r="DRF312" s="147"/>
      <c r="DRG312" s="147"/>
      <c r="DRH312" s="147"/>
      <c r="DRI312" s="147"/>
      <c r="DRJ312" s="147"/>
      <c r="DRK312" s="147"/>
      <c r="DRL312" s="147"/>
      <c r="DRM312" s="147"/>
      <c r="DRN312" s="147"/>
      <c r="DRO312" s="147"/>
      <c r="DRP312" s="147"/>
      <c r="DRQ312" s="147"/>
      <c r="DRR312" s="147"/>
      <c r="DRS312" s="147"/>
      <c r="DRT312" s="147"/>
      <c r="DRU312" s="147"/>
      <c r="DRV312" s="147"/>
      <c r="DRW312" s="147"/>
      <c r="DRX312" s="147"/>
      <c r="DRY312" s="147"/>
      <c r="DRZ312" s="147"/>
      <c r="DSA312" s="147"/>
      <c r="DSB312" s="147"/>
      <c r="DSC312" s="147"/>
      <c r="DSD312" s="147"/>
      <c r="DSE312" s="147"/>
      <c r="DSF312" s="147"/>
      <c r="DSG312" s="147"/>
      <c r="DSH312" s="147"/>
      <c r="DSI312" s="147"/>
      <c r="DSJ312" s="147"/>
      <c r="DSK312" s="147"/>
      <c r="DSL312" s="147"/>
      <c r="DSM312" s="147"/>
      <c r="DSN312" s="147"/>
      <c r="DSO312" s="147"/>
      <c r="DSP312" s="147"/>
      <c r="DSQ312" s="147"/>
      <c r="DSR312" s="147"/>
      <c r="DSS312" s="147"/>
      <c r="DST312" s="147"/>
      <c r="DSU312" s="147"/>
      <c r="DSV312" s="147"/>
      <c r="DSW312" s="147"/>
      <c r="DSX312" s="147"/>
      <c r="DSY312" s="147"/>
      <c r="DSZ312" s="147"/>
      <c r="DTA312" s="147"/>
      <c r="DTB312" s="147"/>
      <c r="DTC312" s="147"/>
      <c r="DTD312" s="147"/>
      <c r="DTE312" s="147"/>
      <c r="DTF312" s="147"/>
      <c r="DTG312" s="147"/>
      <c r="DTH312" s="147"/>
      <c r="DTI312" s="147"/>
      <c r="DTJ312" s="147"/>
      <c r="DTK312" s="147"/>
      <c r="DTL312" s="147"/>
      <c r="DTM312" s="147"/>
      <c r="DTN312" s="147"/>
      <c r="DTO312" s="147"/>
      <c r="DTP312" s="147"/>
      <c r="DTQ312" s="147"/>
      <c r="DTR312" s="147"/>
      <c r="DTS312" s="147"/>
      <c r="DTT312" s="147"/>
      <c r="DTU312" s="147"/>
      <c r="DTV312" s="147"/>
      <c r="DTW312" s="147"/>
      <c r="DTX312" s="147"/>
      <c r="DTY312" s="147"/>
      <c r="DTZ312" s="147"/>
      <c r="DUA312" s="147"/>
      <c r="DUB312" s="147"/>
      <c r="DUC312" s="147"/>
      <c r="DUD312" s="147"/>
      <c r="DUE312" s="147"/>
      <c r="DUF312" s="147"/>
      <c r="DUG312" s="147"/>
      <c r="DUH312" s="147"/>
      <c r="DUI312" s="147"/>
      <c r="DUJ312" s="147"/>
      <c r="DUK312" s="147"/>
      <c r="DUL312" s="147"/>
      <c r="DUM312" s="147"/>
      <c r="DUN312" s="147"/>
      <c r="DUO312" s="147"/>
      <c r="DUP312" s="147"/>
      <c r="DUQ312" s="147"/>
      <c r="DUR312" s="147"/>
      <c r="DUS312" s="147"/>
      <c r="DUT312" s="147"/>
      <c r="DUU312" s="147"/>
      <c r="DUV312" s="147"/>
      <c r="DUW312" s="147"/>
      <c r="DUX312" s="147"/>
      <c r="DUY312" s="147"/>
      <c r="DUZ312" s="147"/>
      <c r="DVA312" s="147"/>
      <c r="DVB312" s="147"/>
      <c r="DVC312" s="147"/>
      <c r="DVD312" s="147"/>
      <c r="DVE312" s="147"/>
      <c r="DVF312" s="147"/>
      <c r="DVG312" s="147"/>
      <c r="DVH312" s="147"/>
      <c r="DVI312" s="147"/>
      <c r="DVJ312" s="147"/>
      <c r="DVK312" s="147"/>
      <c r="DVL312" s="147"/>
      <c r="DVM312" s="147"/>
      <c r="DVN312" s="147"/>
      <c r="DVO312" s="147"/>
      <c r="DVP312" s="147"/>
      <c r="DVQ312" s="147"/>
      <c r="DVR312" s="147"/>
      <c r="DVS312" s="147"/>
      <c r="DVT312" s="147"/>
      <c r="DVU312" s="147"/>
      <c r="DVV312" s="147"/>
      <c r="DVW312" s="147"/>
      <c r="DVX312" s="147"/>
      <c r="DVY312" s="147"/>
      <c r="DVZ312" s="147"/>
      <c r="DWA312" s="147"/>
      <c r="DWB312" s="147"/>
      <c r="DWC312" s="147"/>
      <c r="DWD312" s="147"/>
      <c r="DWE312" s="147"/>
      <c r="DWF312" s="147"/>
      <c r="DWG312" s="147"/>
      <c r="DWH312" s="147"/>
      <c r="DWI312" s="147"/>
      <c r="DWJ312" s="147"/>
      <c r="DWK312" s="147"/>
      <c r="DWL312" s="147"/>
      <c r="DWM312" s="147"/>
      <c r="DWN312" s="147"/>
      <c r="DWO312" s="147"/>
      <c r="DWP312" s="147"/>
      <c r="DWQ312" s="147"/>
      <c r="DWR312" s="147"/>
      <c r="DWS312" s="147"/>
      <c r="DWT312" s="147"/>
      <c r="DWU312" s="147"/>
      <c r="DWV312" s="147"/>
      <c r="DWW312" s="147"/>
      <c r="DWX312" s="147"/>
      <c r="DWY312" s="147"/>
      <c r="DWZ312" s="147"/>
      <c r="DXA312" s="147"/>
      <c r="DXB312" s="147"/>
      <c r="DXC312" s="147"/>
      <c r="DXD312" s="147"/>
      <c r="DXE312" s="147"/>
      <c r="DXF312" s="147"/>
      <c r="DXG312" s="147"/>
      <c r="DXH312" s="147"/>
      <c r="DXI312" s="147"/>
      <c r="DXJ312" s="147"/>
      <c r="DXK312" s="147"/>
      <c r="DXL312" s="147"/>
      <c r="DXM312" s="147"/>
      <c r="DXN312" s="147"/>
      <c r="DXO312" s="147"/>
      <c r="DXP312" s="147"/>
      <c r="DXQ312" s="147"/>
      <c r="DXR312" s="147"/>
      <c r="DXS312" s="147"/>
      <c r="DXT312" s="147"/>
      <c r="DXU312" s="147"/>
      <c r="DXV312" s="147"/>
      <c r="DXW312" s="147"/>
      <c r="DXX312" s="147"/>
      <c r="DXY312" s="147"/>
      <c r="DXZ312" s="147"/>
      <c r="DYA312" s="147"/>
      <c r="DYB312" s="147"/>
      <c r="DYC312" s="147"/>
      <c r="DYD312" s="147"/>
      <c r="DYE312" s="147"/>
      <c r="DYF312" s="147"/>
      <c r="DYG312" s="147"/>
      <c r="DYH312" s="147"/>
      <c r="DYI312" s="147"/>
      <c r="DYJ312" s="147"/>
      <c r="DYK312" s="147"/>
      <c r="DYL312" s="147"/>
      <c r="DYM312" s="147"/>
      <c r="DYN312" s="147"/>
      <c r="DYO312" s="147"/>
      <c r="DYP312" s="147"/>
      <c r="DYQ312" s="147"/>
      <c r="DYR312" s="147"/>
      <c r="DYS312" s="147"/>
      <c r="DYT312" s="147"/>
      <c r="DYU312" s="147"/>
      <c r="DYV312" s="147"/>
      <c r="DYW312" s="147"/>
      <c r="DYX312" s="147"/>
      <c r="DYY312" s="147"/>
      <c r="DYZ312" s="147"/>
      <c r="DZA312" s="147"/>
      <c r="DZB312" s="147"/>
      <c r="DZC312" s="147"/>
      <c r="DZD312" s="147"/>
      <c r="DZE312" s="147"/>
      <c r="DZF312" s="147"/>
      <c r="DZG312" s="147"/>
      <c r="DZH312" s="147"/>
      <c r="DZI312" s="147"/>
      <c r="DZJ312" s="147"/>
      <c r="DZK312" s="147"/>
      <c r="DZL312" s="147"/>
      <c r="DZM312" s="147"/>
      <c r="DZN312" s="147"/>
      <c r="DZO312" s="147"/>
      <c r="DZP312" s="147"/>
      <c r="DZQ312" s="147"/>
      <c r="DZR312" s="147"/>
      <c r="DZS312" s="147"/>
      <c r="DZT312" s="147"/>
      <c r="DZU312" s="147"/>
      <c r="DZV312" s="147"/>
      <c r="DZW312" s="147"/>
      <c r="DZX312" s="147"/>
      <c r="DZY312" s="147"/>
      <c r="DZZ312" s="147"/>
      <c r="EAA312" s="147"/>
      <c r="EAB312" s="147"/>
      <c r="EAC312" s="147"/>
      <c r="EAD312" s="147"/>
      <c r="EAE312" s="147"/>
      <c r="EAF312" s="147"/>
      <c r="EAG312" s="147"/>
      <c r="EAH312" s="147"/>
      <c r="EAI312" s="147"/>
      <c r="EAJ312" s="147"/>
      <c r="EAK312" s="147"/>
      <c r="EAL312" s="147"/>
      <c r="EAM312" s="147"/>
      <c r="EAN312" s="147"/>
      <c r="EAO312" s="147"/>
      <c r="EAP312" s="147"/>
      <c r="EAQ312" s="147"/>
      <c r="EAR312" s="147"/>
      <c r="EAS312" s="147"/>
      <c r="EAT312" s="147"/>
      <c r="EAU312" s="147"/>
      <c r="EAV312" s="147"/>
      <c r="EAW312" s="147"/>
      <c r="EAX312" s="147"/>
      <c r="EAY312" s="147"/>
      <c r="EAZ312" s="147"/>
      <c r="EBA312" s="147"/>
      <c r="EBB312" s="147"/>
      <c r="EBC312" s="147"/>
      <c r="EBD312" s="147"/>
      <c r="EBE312" s="147"/>
      <c r="EBF312" s="147"/>
      <c r="EBG312" s="147"/>
      <c r="EBH312" s="147"/>
      <c r="EBI312" s="147"/>
      <c r="EBJ312" s="147"/>
      <c r="EBK312" s="147"/>
      <c r="EBL312" s="147"/>
      <c r="EBM312" s="147"/>
      <c r="EBN312" s="147"/>
      <c r="EBO312" s="147"/>
      <c r="EBP312" s="147"/>
      <c r="EBQ312" s="147"/>
      <c r="EBR312" s="147"/>
      <c r="EBS312" s="147"/>
      <c r="EBT312" s="147"/>
      <c r="EBU312" s="147"/>
      <c r="EBV312" s="147"/>
      <c r="EBW312" s="147"/>
      <c r="EBX312" s="147"/>
      <c r="EBY312" s="147"/>
      <c r="EBZ312" s="147"/>
      <c r="ECA312" s="147"/>
      <c r="ECB312" s="147"/>
      <c r="ECC312" s="147"/>
      <c r="ECD312" s="147"/>
      <c r="ECE312" s="147"/>
      <c r="ECF312" s="147"/>
      <c r="ECG312" s="147"/>
      <c r="ECH312" s="147"/>
      <c r="ECI312" s="147"/>
      <c r="ECJ312" s="147"/>
      <c r="ECK312" s="147"/>
      <c r="ECL312" s="147"/>
      <c r="ECM312" s="147"/>
      <c r="ECN312" s="147"/>
      <c r="ECO312" s="147"/>
      <c r="ECP312" s="147"/>
      <c r="ECQ312" s="147"/>
      <c r="ECR312" s="147"/>
      <c r="ECS312" s="147"/>
      <c r="ECT312" s="147"/>
      <c r="ECU312" s="147"/>
      <c r="ECV312" s="147"/>
      <c r="ECW312" s="147"/>
      <c r="ECX312" s="147"/>
      <c r="ECY312" s="147"/>
      <c r="ECZ312" s="147"/>
      <c r="EDA312" s="147"/>
      <c r="EDB312" s="147"/>
      <c r="EDC312" s="147"/>
      <c r="EDD312" s="147"/>
      <c r="EDE312" s="147"/>
      <c r="EDF312" s="147"/>
      <c r="EDG312" s="147"/>
      <c r="EDH312" s="147"/>
      <c r="EDI312" s="147"/>
      <c r="EDJ312" s="147"/>
      <c r="EDK312" s="147"/>
      <c r="EDL312" s="147"/>
      <c r="EDM312" s="147"/>
      <c r="EDN312" s="147"/>
      <c r="EDO312" s="147"/>
      <c r="EDP312" s="147"/>
      <c r="EDQ312" s="147"/>
      <c r="EDR312" s="147"/>
      <c r="EDS312" s="147"/>
      <c r="EDT312" s="147"/>
      <c r="EDU312" s="147"/>
      <c r="EDV312" s="147"/>
      <c r="EDW312" s="147"/>
      <c r="EDX312" s="147"/>
      <c r="EDY312" s="147"/>
      <c r="EDZ312" s="147"/>
      <c r="EEA312" s="147"/>
      <c r="EEB312" s="147"/>
      <c r="EEC312" s="147"/>
      <c r="EED312" s="147"/>
      <c r="EEE312" s="147"/>
      <c r="EEF312" s="147"/>
      <c r="EEG312" s="147"/>
      <c r="EEH312" s="147"/>
      <c r="EEI312" s="147"/>
      <c r="EEJ312" s="147"/>
      <c r="EEK312" s="147"/>
      <c r="EEL312" s="147"/>
      <c r="EEM312" s="147"/>
      <c r="EEN312" s="147"/>
      <c r="EEO312" s="147"/>
      <c r="EEP312" s="147"/>
      <c r="EEQ312" s="147"/>
      <c r="EER312" s="147"/>
      <c r="EES312" s="147"/>
      <c r="EET312" s="147"/>
      <c r="EEU312" s="147"/>
      <c r="EEV312" s="147"/>
      <c r="EEW312" s="147"/>
      <c r="EEX312" s="147"/>
      <c r="EEY312" s="147"/>
      <c r="EEZ312" s="147"/>
      <c r="EFA312" s="147"/>
      <c r="EFB312" s="147"/>
      <c r="EFC312" s="147"/>
      <c r="EFD312" s="147"/>
      <c r="EFE312" s="147"/>
      <c r="EFF312" s="147"/>
      <c r="EFG312" s="147"/>
      <c r="EFH312" s="147"/>
      <c r="EFI312" s="147"/>
      <c r="EFJ312" s="147"/>
      <c r="EFK312" s="147"/>
      <c r="EFL312" s="147"/>
      <c r="EFM312" s="147"/>
      <c r="EFN312" s="147"/>
      <c r="EFO312" s="147"/>
      <c r="EFP312" s="147"/>
      <c r="EFQ312" s="147"/>
      <c r="EFR312" s="147"/>
      <c r="EFS312" s="147"/>
      <c r="EFT312" s="147"/>
      <c r="EFU312" s="147"/>
      <c r="EFV312" s="147"/>
      <c r="EFW312" s="147"/>
      <c r="EFX312" s="147"/>
      <c r="EFY312" s="147"/>
      <c r="EFZ312" s="147"/>
      <c r="EGA312" s="147"/>
      <c r="EGB312" s="147"/>
      <c r="EGC312" s="147"/>
      <c r="EGD312" s="147"/>
      <c r="EGE312" s="147"/>
      <c r="EGF312" s="147"/>
      <c r="EGG312" s="147"/>
      <c r="EGH312" s="147"/>
      <c r="EGI312" s="147"/>
      <c r="EGJ312" s="147"/>
      <c r="EGK312" s="147"/>
      <c r="EGL312" s="147"/>
      <c r="EGM312" s="147"/>
      <c r="EGN312" s="147"/>
      <c r="EGO312" s="147"/>
      <c r="EGP312" s="147"/>
      <c r="EGQ312" s="147"/>
      <c r="EGR312" s="147"/>
      <c r="EGS312" s="147"/>
      <c r="EGT312" s="147"/>
      <c r="EGU312" s="147"/>
      <c r="EGV312" s="147"/>
      <c r="EGW312" s="147"/>
      <c r="EGX312" s="147"/>
      <c r="EGY312" s="147"/>
      <c r="EGZ312" s="147"/>
      <c r="EHA312" s="147"/>
      <c r="EHB312" s="147"/>
      <c r="EHC312" s="147"/>
      <c r="EHD312" s="147"/>
      <c r="EHE312" s="147"/>
      <c r="EHF312" s="147"/>
      <c r="EHG312" s="147"/>
      <c r="EHH312" s="147"/>
      <c r="EHI312" s="147"/>
      <c r="EHJ312" s="147"/>
      <c r="EHK312" s="147"/>
      <c r="EHL312" s="147"/>
      <c r="EHM312" s="147"/>
      <c r="EHN312" s="147"/>
      <c r="EHO312" s="147"/>
      <c r="EHP312" s="147"/>
      <c r="EHQ312" s="147"/>
      <c r="EHR312" s="147"/>
      <c r="EHS312" s="147"/>
      <c r="EHT312" s="147"/>
      <c r="EHU312" s="147"/>
      <c r="EHV312" s="147"/>
      <c r="EHW312" s="147"/>
      <c r="EHX312" s="147"/>
      <c r="EHY312" s="147"/>
      <c r="EHZ312" s="147"/>
      <c r="EIA312" s="147"/>
      <c r="EIB312" s="147"/>
      <c r="EIC312" s="147"/>
      <c r="EID312" s="147"/>
      <c r="EIE312" s="147"/>
      <c r="EIF312" s="147"/>
      <c r="EIG312" s="147"/>
      <c r="EIH312" s="147"/>
      <c r="EII312" s="147"/>
      <c r="EIJ312" s="147"/>
      <c r="EIK312" s="147"/>
      <c r="EIL312" s="147"/>
      <c r="EIM312" s="147"/>
      <c r="EIN312" s="147"/>
      <c r="EIO312" s="147"/>
      <c r="EIP312" s="147"/>
      <c r="EIQ312" s="147"/>
      <c r="EIR312" s="147"/>
      <c r="EIS312" s="147"/>
      <c r="EIT312" s="147"/>
      <c r="EIU312" s="147"/>
      <c r="EIV312" s="147"/>
      <c r="EIW312" s="147"/>
      <c r="EIX312" s="147"/>
      <c r="EIY312" s="147"/>
      <c r="EIZ312" s="147"/>
      <c r="EJA312" s="147"/>
      <c r="EJB312" s="147"/>
      <c r="EJC312" s="147"/>
      <c r="EJD312" s="147"/>
      <c r="EJE312" s="147"/>
      <c r="EJF312" s="147"/>
      <c r="EJG312" s="147"/>
      <c r="EJH312" s="147"/>
      <c r="EJI312" s="147"/>
      <c r="EJJ312" s="147"/>
      <c r="EJK312" s="147"/>
      <c r="EJL312" s="147"/>
      <c r="EJM312" s="147"/>
      <c r="EJN312" s="147"/>
      <c r="EJO312" s="147"/>
      <c r="EJP312" s="147"/>
      <c r="EJQ312" s="147"/>
      <c r="EJR312" s="147"/>
      <c r="EJS312" s="147"/>
      <c r="EJT312" s="147"/>
      <c r="EJU312" s="147"/>
      <c r="EJV312" s="147"/>
      <c r="EJW312" s="147"/>
      <c r="EJX312" s="147"/>
      <c r="EJY312" s="147"/>
      <c r="EJZ312" s="147"/>
      <c r="EKA312" s="147"/>
      <c r="EKB312" s="147"/>
      <c r="EKC312" s="147"/>
      <c r="EKD312" s="147"/>
      <c r="EKE312" s="147"/>
      <c r="EKF312" s="147"/>
      <c r="EKG312" s="147"/>
      <c r="EKH312" s="147"/>
      <c r="EKI312" s="147"/>
      <c r="EKJ312" s="147"/>
      <c r="EKK312" s="147"/>
      <c r="EKL312" s="147"/>
      <c r="EKM312" s="147"/>
      <c r="EKN312" s="147"/>
      <c r="EKO312" s="147"/>
      <c r="EKP312" s="147"/>
      <c r="EKQ312" s="147"/>
      <c r="EKR312" s="147"/>
      <c r="EKS312" s="147"/>
      <c r="EKT312" s="147"/>
      <c r="EKU312" s="147"/>
      <c r="EKV312" s="147"/>
      <c r="EKW312" s="147"/>
      <c r="EKX312" s="147"/>
      <c r="EKY312" s="147"/>
      <c r="EKZ312" s="147"/>
      <c r="ELA312" s="147"/>
      <c r="ELB312" s="147"/>
      <c r="ELC312" s="147"/>
      <c r="ELD312" s="147"/>
      <c r="ELE312" s="147"/>
      <c r="ELF312" s="147"/>
      <c r="ELG312" s="147"/>
      <c r="ELH312" s="147"/>
      <c r="ELI312" s="147"/>
      <c r="ELJ312" s="147"/>
      <c r="ELK312" s="147"/>
      <c r="ELL312" s="147"/>
      <c r="ELM312" s="147"/>
      <c r="ELN312" s="147"/>
      <c r="ELO312" s="147"/>
      <c r="ELP312" s="147"/>
      <c r="ELQ312" s="147"/>
      <c r="ELR312" s="147"/>
      <c r="ELS312" s="147"/>
      <c r="ELT312" s="147"/>
      <c r="ELU312" s="147"/>
      <c r="ELV312" s="147"/>
      <c r="ELW312" s="147"/>
      <c r="ELX312" s="147"/>
      <c r="ELY312" s="147"/>
      <c r="ELZ312" s="147"/>
      <c r="EMA312" s="147"/>
      <c r="EMB312" s="147"/>
      <c r="EMC312" s="147"/>
      <c r="EMD312" s="147"/>
      <c r="EME312" s="147"/>
      <c r="EMF312" s="147"/>
      <c r="EMG312" s="147"/>
      <c r="EMH312" s="147"/>
      <c r="EMI312" s="147"/>
      <c r="EMJ312" s="147"/>
      <c r="EMK312" s="147"/>
      <c r="EML312" s="147"/>
      <c r="EMM312" s="147"/>
      <c r="EMN312" s="147"/>
      <c r="EMO312" s="147"/>
      <c r="EMP312" s="147"/>
      <c r="EMQ312" s="147"/>
      <c r="EMR312" s="147"/>
      <c r="EMS312" s="147"/>
      <c r="EMT312" s="147"/>
      <c r="EMU312" s="147"/>
      <c r="EMV312" s="147"/>
      <c r="EMW312" s="147"/>
      <c r="EMX312" s="147"/>
      <c r="EMY312" s="147"/>
      <c r="EMZ312" s="147"/>
      <c r="ENA312" s="147"/>
      <c r="ENB312" s="147"/>
      <c r="ENC312" s="147"/>
      <c r="END312" s="147"/>
      <c r="ENE312" s="147"/>
      <c r="ENF312" s="147"/>
      <c r="ENG312" s="147"/>
      <c r="ENH312" s="147"/>
      <c r="ENI312" s="147"/>
      <c r="ENJ312" s="147"/>
      <c r="ENK312" s="147"/>
      <c r="ENL312" s="147"/>
      <c r="ENM312" s="147"/>
      <c r="ENN312" s="147"/>
      <c r="ENO312" s="147"/>
      <c r="ENP312" s="147"/>
      <c r="ENQ312" s="147"/>
      <c r="ENR312" s="147"/>
      <c r="ENS312" s="147"/>
      <c r="ENT312" s="147"/>
      <c r="ENU312" s="147"/>
      <c r="ENV312" s="147"/>
      <c r="ENW312" s="147"/>
      <c r="ENX312" s="147"/>
      <c r="ENY312" s="147"/>
      <c r="ENZ312" s="147"/>
      <c r="EOA312" s="147"/>
      <c r="EOB312" s="147"/>
      <c r="EOC312" s="147"/>
      <c r="EOD312" s="147"/>
      <c r="EOE312" s="147"/>
      <c r="EOF312" s="147"/>
      <c r="EOG312" s="147"/>
      <c r="EOH312" s="147"/>
      <c r="EOI312" s="147"/>
      <c r="EOJ312" s="147"/>
      <c r="EOK312" s="147"/>
      <c r="EOL312" s="147"/>
      <c r="EOM312" s="147"/>
      <c r="EON312" s="147"/>
      <c r="EOO312" s="147"/>
      <c r="EOP312" s="147"/>
      <c r="EOQ312" s="147"/>
      <c r="EOR312" s="147"/>
      <c r="EOS312" s="147"/>
      <c r="EOT312" s="147"/>
      <c r="EOU312" s="147"/>
      <c r="EOV312" s="147"/>
      <c r="EOW312" s="147"/>
      <c r="EOX312" s="147"/>
      <c r="EOY312" s="147"/>
      <c r="EOZ312" s="147"/>
      <c r="EPA312" s="147"/>
      <c r="EPB312" s="147"/>
      <c r="EPC312" s="147"/>
      <c r="EPD312" s="147"/>
      <c r="EPE312" s="147"/>
      <c r="EPF312" s="147"/>
      <c r="EPG312" s="147"/>
      <c r="EPH312" s="147"/>
      <c r="EPI312" s="147"/>
      <c r="EPJ312" s="147"/>
      <c r="EPK312" s="147"/>
      <c r="EPL312" s="147"/>
      <c r="EPM312" s="147"/>
      <c r="EPN312" s="147"/>
      <c r="EPO312" s="147"/>
      <c r="EPP312" s="147"/>
      <c r="EPQ312" s="147"/>
      <c r="EPR312" s="147"/>
      <c r="EPS312" s="147"/>
      <c r="EPT312" s="147"/>
      <c r="EPU312" s="147"/>
      <c r="EPV312" s="147"/>
      <c r="EPW312" s="147"/>
      <c r="EPX312" s="147"/>
      <c r="EPY312" s="147"/>
      <c r="EPZ312" s="147"/>
      <c r="EQA312" s="147"/>
      <c r="EQB312" s="147"/>
      <c r="EQC312" s="147"/>
      <c r="EQD312" s="147"/>
      <c r="EQE312" s="147"/>
      <c r="EQF312" s="147"/>
      <c r="EQG312" s="147"/>
      <c r="EQH312" s="147"/>
      <c r="EQI312" s="147"/>
      <c r="EQJ312" s="147"/>
      <c r="EQK312" s="147"/>
      <c r="EQL312" s="147"/>
      <c r="EQM312" s="147"/>
      <c r="EQN312" s="147"/>
      <c r="EQO312" s="147"/>
      <c r="EQP312" s="147"/>
      <c r="EQQ312" s="147"/>
      <c r="EQR312" s="147"/>
      <c r="EQS312" s="147"/>
      <c r="EQT312" s="147"/>
      <c r="EQU312" s="147"/>
      <c r="EQV312" s="147"/>
      <c r="EQW312" s="147"/>
      <c r="EQX312" s="147"/>
      <c r="EQY312" s="147"/>
      <c r="EQZ312" s="147"/>
      <c r="ERA312" s="147"/>
      <c r="ERB312" s="147"/>
      <c r="ERC312" s="147"/>
      <c r="ERD312" s="147"/>
      <c r="ERE312" s="147"/>
      <c r="ERF312" s="147"/>
      <c r="ERG312" s="147"/>
      <c r="ERH312" s="147"/>
      <c r="ERI312" s="147"/>
      <c r="ERJ312" s="147"/>
      <c r="ERK312" s="147"/>
      <c r="ERL312" s="147"/>
      <c r="ERM312" s="147"/>
      <c r="ERN312" s="147"/>
      <c r="ERO312" s="147"/>
      <c r="ERP312" s="147"/>
      <c r="ERQ312" s="147"/>
      <c r="ERR312" s="147"/>
      <c r="ERS312" s="147"/>
      <c r="ERT312" s="147"/>
      <c r="ERU312" s="147"/>
      <c r="ERV312" s="147"/>
      <c r="ERW312" s="147"/>
      <c r="ERX312" s="147"/>
      <c r="ERY312" s="147"/>
      <c r="ERZ312" s="147"/>
      <c r="ESA312" s="147"/>
      <c r="ESB312" s="147"/>
      <c r="ESC312" s="147"/>
      <c r="ESD312" s="147"/>
      <c r="ESE312" s="147"/>
      <c r="ESF312" s="147"/>
      <c r="ESG312" s="147"/>
      <c r="ESH312" s="147"/>
      <c r="ESI312" s="147"/>
      <c r="ESJ312" s="147"/>
      <c r="ESK312" s="147"/>
      <c r="ESL312" s="147"/>
      <c r="ESM312" s="147"/>
      <c r="ESN312" s="147"/>
      <c r="ESO312" s="147"/>
      <c r="ESP312" s="147"/>
      <c r="ESQ312" s="147"/>
      <c r="ESR312" s="147"/>
      <c r="ESS312" s="147"/>
      <c r="EST312" s="147"/>
      <c r="ESU312" s="147"/>
      <c r="ESV312" s="147"/>
      <c r="ESW312" s="147"/>
      <c r="ESX312" s="147"/>
      <c r="ESY312" s="147"/>
      <c r="ESZ312" s="147"/>
      <c r="ETA312" s="147"/>
      <c r="ETB312" s="147"/>
      <c r="ETC312" s="147"/>
      <c r="ETD312" s="147"/>
      <c r="ETE312" s="147"/>
      <c r="ETF312" s="147"/>
      <c r="ETG312" s="147"/>
      <c r="ETH312" s="147"/>
      <c r="ETI312" s="147"/>
      <c r="ETJ312" s="147"/>
      <c r="ETK312" s="147"/>
      <c r="ETL312" s="147"/>
      <c r="ETM312" s="147"/>
      <c r="ETN312" s="147"/>
      <c r="ETO312" s="147"/>
      <c r="ETP312" s="147"/>
      <c r="ETQ312" s="147"/>
      <c r="ETR312" s="147"/>
      <c r="ETS312" s="147"/>
      <c r="ETT312" s="147"/>
      <c r="ETU312" s="147"/>
      <c r="ETV312" s="147"/>
      <c r="ETW312" s="147"/>
      <c r="ETX312" s="147"/>
      <c r="ETY312" s="147"/>
      <c r="ETZ312" s="147"/>
      <c r="EUA312" s="147"/>
      <c r="EUB312" s="147"/>
      <c r="EUC312" s="147"/>
      <c r="EUD312" s="147"/>
      <c r="EUE312" s="147"/>
      <c r="EUF312" s="147"/>
      <c r="EUG312" s="147"/>
      <c r="EUH312" s="147"/>
      <c r="EUI312" s="147"/>
      <c r="EUJ312" s="147"/>
      <c r="EUK312" s="147"/>
      <c r="EUL312" s="147"/>
      <c r="EUM312" s="147"/>
      <c r="EUN312" s="147"/>
      <c r="EUO312" s="147"/>
      <c r="EUP312" s="147"/>
      <c r="EUQ312" s="147"/>
      <c r="EUR312" s="147"/>
      <c r="EUS312" s="147"/>
      <c r="EUT312" s="147"/>
      <c r="EUU312" s="147"/>
      <c r="EUV312" s="147"/>
      <c r="EUW312" s="147"/>
      <c r="EUX312" s="147"/>
      <c r="EUY312" s="147"/>
      <c r="EUZ312" s="147"/>
      <c r="EVA312" s="147"/>
      <c r="EVB312" s="147"/>
      <c r="EVC312" s="147"/>
      <c r="EVD312" s="147"/>
      <c r="EVE312" s="147"/>
      <c r="EVF312" s="147"/>
      <c r="EVG312" s="147"/>
      <c r="EVH312" s="147"/>
      <c r="EVI312" s="147"/>
      <c r="EVJ312" s="147"/>
      <c r="EVK312" s="147"/>
      <c r="EVL312" s="147"/>
      <c r="EVM312" s="147"/>
      <c r="EVN312" s="147"/>
      <c r="EVO312" s="147"/>
      <c r="EVP312" s="147"/>
      <c r="EVQ312" s="147"/>
      <c r="EVR312" s="147"/>
      <c r="EVS312" s="147"/>
      <c r="EVT312" s="147"/>
      <c r="EVU312" s="147"/>
      <c r="EVV312" s="147"/>
      <c r="EVW312" s="147"/>
      <c r="EVX312" s="147"/>
      <c r="EVY312" s="147"/>
      <c r="EVZ312" s="147"/>
      <c r="EWA312" s="147"/>
      <c r="EWB312" s="147"/>
      <c r="EWC312" s="147"/>
      <c r="EWD312" s="147"/>
      <c r="EWE312" s="147"/>
      <c r="EWF312" s="147"/>
      <c r="EWG312" s="147"/>
      <c r="EWH312" s="147"/>
      <c r="EWI312" s="147"/>
      <c r="EWJ312" s="147"/>
      <c r="EWK312" s="147"/>
      <c r="EWL312" s="147"/>
      <c r="EWM312" s="147"/>
      <c r="EWN312" s="147"/>
      <c r="EWO312" s="147"/>
      <c r="EWP312" s="147"/>
      <c r="EWQ312" s="147"/>
      <c r="EWR312" s="147"/>
      <c r="EWS312" s="147"/>
      <c r="EWT312" s="147"/>
      <c r="EWU312" s="147"/>
      <c r="EWV312" s="147"/>
      <c r="EWW312" s="147"/>
      <c r="EWX312" s="147"/>
      <c r="EWY312" s="147"/>
      <c r="EWZ312" s="147"/>
      <c r="EXA312" s="147"/>
      <c r="EXB312" s="147"/>
      <c r="EXC312" s="147"/>
      <c r="EXD312" s="147"/>
      <c r="EXE312" s="147"/>
      <c r="EXF312" s="147"/>
      <c r="EXG312" s="147"/>
      <c r="EXH312" s="147"/>
      <c r="EXI312" s="147"/>
      <c r="EXJ312" s="147"/>
      <c r="EXK312" s="147"/>
      <c r="EXL312" s="147"/>
      <c r="EXM312" s="147"/>
      <c r="EXN312" s="147"/>
      <c r="EXO312" s="147"/>
      <c r="EXP312" s="147"/>
      <c r="EXQ312" s="147"/>
      <c r="EXR312" s="147"/>
      <c r="EXS312" s="147"/>
      <c r="EXT312" s="147"/>
      <c r="EXU312" s="147"/>
      <c r="EXV312" s="147"/>
      <c r="EXW312" s="147"/>
      <c r="EXX312" s="147"/>
      <c r="EXY312" s="147"/>
      <c r="EXZ312" s="147"/>
      <c r="EYA312" s="147"/>
      <c r="EYB312" s="147"/>
      <c r="EYC312" s="147"/>
      <c r="EYD312" s="147"/>
      <c r="EYE312" s="147"/>
      <c r="EYF312" s="147"/>
      <c r="EYG312" s="147"/>
      <c r="EYH312" s="147"/>
      <c r="EYI312" s="147"/>
      <c r="EYJ312" s="147"/>
      <c r="EYK312" s="147"/>
      <c r="EYL312" s="147"/>
      <c r="EYM312" s="147"/>
      <c r="EYN312" s="147"/>
      <c r="EYO312" s="147"/>
      <c r="EYP312" s="147"/>
      <c r="EYQ312" s="147"/>
      <c r="EYR312" s="147"/>
      <c r="EYS312" s="147"/>
      <c r="EYT312" s="147"/>
      <c r="EYU312" s="147"/>
      <c r="EYV312" s="147"/>
      <c r="EYW312" s="147"/>
      <c r="EYX312" s="147"/>
      <c r="EYY312" s="147"/>
      <c r="EYZ312" s="147"/>
      <c r="EZA312" s="147"/>
      <c r="EZB312" s="147"/>
      <c r="EZC312" s="147"/>
      <c r="EZD312" s="147"/>
      <c r="EZE312" s="147"/>
      <c r="EZF312" s="147"/>
      <c r="EZG312" s="147"/>
      <c r="EZH312" s="147"/>
      <c r="EZI312" s="147"/>
      <c r="EZJ312" s="147"/>
      <c r="EZK312" s="147"/>
      <c r="EZL312" s="147"/>
      <c r="EZM312" s="147"/>
      <c r="EZN312" s="147"/>
      <c r="EZO312" s="147"/>
      <c r="EZP312" s="147"/>
      <c r="EZQ312" s="147"/>
      <c r="EZR312" s="147"/>
      <c r="EZS312" s="147"/>
      <c r="EZT312" s="147"/>
      <c r="EZU312" s="147"/>
      <c r="EZV312" s="147"/>
      <c r="EZW312" s="147"/>
      <c r="EZX312" s="147"/>
      <c r="EZY312" s="147"/>
      <c r="EZZ312" s="147"/>
      <c r="FAA312" s="147"/>
      <c r="FAB312" s="147"/>
      <c r="FAC312" s="147"/>
      <c r="FAD312" s="147"/>
      <c r="FAE312" s="147"/>
      <c r="FAF312" s="147"/>
      <c r="FAG312" s="147"/>
      <c r="FAH312" s="147"/>
      <c r="FAI312" s="147"/>
      <c r="FAJ312" s="147"/>
      <c r="FAK312" s="147"/>
      <c r="FAL312" s="147"/>
      <c r="FAM312" s="147"/>
      <c r="FAN312" s="147"/>
      <c r="FAO312" s="147"/>
      <c r="FAP312" s="147"/>
      <c r="FAQ312" s="147"/>
      <c r="FAR312" s="147"/>
      <c r="FAS312" s="147"/>
      <c r="FAT312" s="147"/>
      <c r="FAU312" s="147"/>
      <c r="FAV312" s="147"/>
      <c r="FAW312" s="147"/>
      <c r="FAX312" s="147"/>
      <c r="FAY312" s="147"/>
      <c r="FAZ312" s="147"/>
      <c r="FBA312" s="147"/>
      <c r="FBB312" s="147"/>
      <c r="FBC312" s="147"/>
      <c r="FBD312" s="147"/>
      <c r="FBE312" s="147"/>
      <c r="FBF312" s="147"/>
      <c r="FBG312" s="147"/>
      <c r="FBH312" s="147"/>
      <c r="FBI312" s="147"/>
      <c r="FBJ312" s="147"/>
      <c r="FBK312" s="147"/>
      <c r="FBL312" s="147"/>
      <c r="FBM312" s="147"/>
      <c r="FBN312" s="147"/>
      <c r="FBO312" s="147"/>
      <c r="FBP312" s="147"/>
      <c r="FBQ312" s="147"/>
      <c r="FBR312" s="147"/>
      <c r="FBS312" s="147"/>
      <c r="FBT312" s="147"/>
      <c r="FBU312" s="147"/>
      <c r="FBV312" s="147"/>
      <c r="FBW312" s="147"/>
      <c r="FBX312" s="147"/>
      <c r="FBY312" s="147"/>
      <c r="FBZ312" s="147"/>
      <c r="FCA312" s="147"/>
      <c r="FCB312" s="147"/>
      <c r="FCC312" s="147"/>
      <c r="FCD312" s="147"/>
      <c r="FCE312" s="147"/>
      <c r="FCF312" s="147"/>
      <c r="FCG312" s="147"/>
      <c r="FCH312" s="147"/>
      <c r="FCI312" s="147"/>
      <c r="FCJ312" s="147"/>
      <c r="FCK312" s="147"/>
      <c r="FCL312" s="147"/>
      <c r="FCM312" s="147"/>
      <c r="FCN312" s="147"/>
      <c r="FCO312" s="147"/>
      <c r="FCP312" s="147"/>
      <c r="FCQ312" s="147"/>
      <c r="FCR312" s="147"/>
      <c r="FCS312" s="147"/>
      <c r="FCT312" s="147"/>
      <c r="FCU312" s="147"/>
      <c r="FCV312" s="147"/>
      <c r="FCW312" s="147"/>
      <c r="FCX312" s="147"/>
      <c r="FCY312" s="147"/>
      <c r="FCZ312" s="147"/>
      <c r="FDA312" s="147"/>
      <c r="FDB312" s="147"/>
      <c r="FDC312" s="147"/>
      <c r="FDD312" s="147"/>
      <c r="FDE312" s="147"/>
      <c r="FDF312" s="147"/>
      <c r="FDG312" s="147"/>
      <c r="FDH312" s="147"/>
      <c r="FDI312" s="147"/>
      <c r="FDJ312" s="147"/>
      <c r="FDK312" s="147"/>
      <c r="FDL312" s="147"/>
      <c r="FDM312" s="147"/>
      <c r="FDN312" s="147"/>
      <c r="FDO312" s="147"/>
      <c r="FDP312" s="147"/>
      <c r="FDQ312" s="147"/>
      <c r="FDR312" s="147"/>
      <c r="FDS312" s="147"/>
      <c r="FDT312" s="147"/>
      <c r="FDU312" s="147"/>
      <c r="FDV312" s="147"/>
      <c r="FDW312" s="147"/>
      <c r="FDX312" s="147"/>
      <c r="FDY312" s="147"/>
      <c r="FDZ312" s="147"/>
      <c r="FEA312" s="147"/>
      <c r="FEB312" s="147"/>
      <c r="FEC312" s="147"/>
      <c r="FED312" s="147"/>
      <c r="FEE312" s="147"/>
      <c r="FEF312" s="147"/>
      <c r="FEG312" s="147"/>
      <c r="FEH312" s="147"/>
      <c r="FEI312" s="147"/>
      <c r="FEJ312" s="147"/>
      <c r="FEK312" s="147"/>
      <c r="FEL312" s="147"/>
      <c r="FEM312" s="147"/>
      <c r="FEN312" s="147"/>
      <c r="FEO312" s="147"/>
      <c r="FEP312" s="147"/>
      <c r="FEQ312" s="147"/>
      <c r="FER312" s="147"/>
      <c r="FES312" s="147"/>
      <c r="FET312" s="147"/>
      <c r="FEU312" s="147"/>
      <c r="FEV312" s="147"/>
      <c r="FEW312" s="147"/>
      <c r="FEX312" s="147"/>
      <c r="FEY312" s="147"/>
      <c r="FEZ312" s="147"/>
      <c r="FFA312" s="147"/>
      <c r="FFB312" s="147"/>
      <c r="FFC312" s="147"/>
      <c r="FFD312" s="147"/>
      <c r="FFE312" s="147"/>
      <c r="FFF312" s="147"/>
      <c r="FFG312" s="147"/>
      <c r="FFH312" s="147"/>
      <c r="FFI312" s="147"/>
      <c r="FFJ312" s="147"/>
      <c r="FFK312" s="147"/>
      <c r="FFL312" s="147"/>
      <c r="FFM312" s="147"/>
      <c r="FFN312" s="147"/>
      <c r="FFO312" s="147"/>
      <c r="FFP312" s="147"/>
      <c r="FFQ312" s="147"/>
      <c r="FFR312" s="147"/>
      <c r="FFS312" s="147"/>
      <c r="FFT312" s="147"/>
      <c r="FFU312" s="147"/>
      <c r="FFV312" s="147"/>
      <c r="FFW312" s="147"/>
      <c r="FFX312" s="147"/>
      <c r="FFY312" s="147"/>
      <c r="FFZ312" s="147"/>
      <c r="FGA312" s="147"/>
      <c r="FGB312" s="147"/>
      <c r="FGC312" s="147"/>
      <c r="FGD312" s="147"/>
      <c r="FGE312" s="147"/>
      <c r="FGF312" s="147"/>
      <c r="FGG312" s="147"/>
      <c r="FGH312" s="147"/>
      <c r="FGI312" s="147"/>
      <c r="FGJ312" s="147"/>
      <c r="FGK312" s="147"/>
      <c r="FGL312" s="147"/>
      <c r="FGM312" s="147"/>
      <c r="FGN312" s="147"/>
      <c r="FGO312" s="147"/>
      <c r="FGP312" s="147"/>
      <c r="FGQ312" s="147"/>
      <c r="FGR312" s="147"/>
      <c r="FGS312" s="147"/>
      <c r="FGT312" s="147"/>
      <c r="FGU312" s="147"/>
      <c r="FGV312" s="147"/>
      <c r="FGW312" s="147"/>
      <c r="FGX312" s="147"/>
      <c r="FGY312" s="147"/>
      <c r="FGZ312" s="147"/>
      <c r="FHA312" s="147"/>
      <c r="FHB312" s="147"/>
      <c r="FHC312" s="147"/>
      <c r="FHD312" s="147"/>
      <c r="FHE312" s="147"/>
      <c r="FHF312" s="147"/>
      <c r="FHG312" s="147"/>
      <c r="FHH312" s="147"/>
      <c r="FHI312" s="147"/>
      <c r="FHJ312" s="147"/>
      <c r="FHK312" s="147"/>
      <c r="FHL312" s="147"/>
      <c r="FHM312" s="147"/>
      <c r="FHN312" s="147"/>
      <c r="FHO312" s="147"/>
      <c r="FHP312" s="147"/>
      <c r="FHQ312" s="147"/>
      <c r="FHR312" s="147"/>
      <c r="FHS312" s="147"/>
      <c r="FHT312" s="147"/>
      <c r="FHU312" s="147"/>
      <c r="FHV312" s="147"/>
      <c r="FHW312" s="147"/>
      <c r="FHX312" s="147"/>
      <c r="FHY312" s="147"/>
      <c r="FHZ312" s="147"/>
      <c r="FIA312" s="147"/>
      <c r="FIB312" s="147"/>
      <c r="FIC312" s="147"/>
      <c r="FID312" s="147"/>
      <c r="FIE312" s="147"/>
      <c r="FIF312" s="147"/>
      <c r="FIG312" s="147"/>
      <c r="FIH312" s="147"/>
      <c r="FII312" s="147"/>
      <c r="FIJ312" s="147"/>
      <c r="FIK312" s="147"/>
      <c r="FIL312" s="147"/>
      <c r="FIM312" s="147"/>
      <c r="FIN312" s="147"/>
      <c r="FIO312" s="147"/>
      <c r="FIP312" s="147"/>
      <c r="FIQ312" s="147"/>
      <c r="FIR312" s="147"/>
      <c r="FIS312" s="147"/>
      <c r="FIT312" s="147"/>
      <c r="FIU312" s="147"/>
      <c r="FIV312" s="147"/>
      <c r="FIW312" s="147"/>
      <c r="FIX312" s="147"/>
      <c r="FIY312" s="147"/>
      <c r="FIZ312" s="147"/>
      <c r="FJA312" s="147"/>
      <c r="FJB312" s="147"/>
      <c r="FJC312" s="147"/>
      <c r="FJD312" s="147"/>
      <c r="FJE312" s="147"/>
      <c r="FJF312" s="147"/>
      <c r="FJG312" s="147"/>
      <c r="FJH312" s="147"/>
      <c r="FJI312" s="147"/>
      <c r="FJJ312" s="147"/>
      <c r="FJK312" s="147"/>
      <c r="FJL312" s="147"/>
      <c r="FJM312" s="147"/>
      <c r="FJN312" s="147"/>
      <c r="FJO312" s="147"/>
      <c r="FJP312" s="147"/>
      <c r="FJQ312" s="147"/>
      <c r="FJR312" s="147"/>
      <c r="FJS312" s="147"/>
      <c r="FJT312" s="147"/>
      <c r="FJU312" s="147"/>
      <c r="FJV312" s="147"/>
      <c r="FJW312" s="147"/>
      <c r="FJX312" s="147"/>
      <c r="FJY312" s="147"/>
      <c r="FJZ312" s="147"/>
      <c r="FKA312" s="147"/>
      <c r="FKB312" s="147"/>
      <c r="FKC312" s="147"/>
      <c r="FKD312" s="147"/>
      <c r="FKE312" s="147"/>
      <c r="FKF312" s="147"/>
      <c r="FKG312" s="147"/>
      <c r="FKH312" s="147"/>
      <c r="FKI312" s="147"/>
      <c r="FKJ312" s="147"/>
      <c r="FKK312" s="147"/>
      <c r="FKL312" s="147"/>
      <c r="FKM312" s="147"/>
      <c r="FKN312" s="147"/>
      <c r="FKO312" s="147"/>
      <c r="FKP312" s="147"/>
      <c r="FKQ312" s="147"/>
      <c r="FKR312" s="147"/>
      <c r="FKS312" s="147"/>
      <c r="FKT312" s="147"/>
      <c r="FKU312" s="147"/>
      <c r="FKV312" s="147"/>
      <c r="FKW312" s="147"/>
      <c r="FKX312" s="147"/>
      <c r="FKY312" s="147"/>
      <c r="FKZ312" s="147"/>
      <c r="FLA312" s="147"/>
      <c r="FLB312" s="147"/>
      <c r="FLC312" s="147"/>
      <c r="FLD312" s="147"/>
      <c r="FLE312" s="147"/>
      <c r="FLF312" s="147"/>
      <c r="FLG312" s="147"/>
      <c r="FLH312" s="147"/>
      <c r="FLI312" s="147"/>
      <c r="FLJ312" s="147"/>
      <c r="FLK312" s="147"/>
      <c r="FLL312" s="147"/>
      <c r="FLM312" s="147"/>
      <c r="FLN312" s="147"/>
      <c r="FLO312" s="147"/>
      <c r="FLP312" s="147"/>
      <c r="FLQ312" s="147"/>
      <c r="FLR312" s="147"/>
      <c r="FLS312" s="147"/>
      <c r="FLT312" s="147"/>
      <c r="FLU312" s="147"/>
      <c r="FLV312" s="147"/>
      <c r="FLW312" s="147"/>
      <c r="FLX312" s="147"/>
      <c r="FLY312" s="147"/>
      <c r="FLZ312" s="147"/>
      <c r="FMA312" s="147"/>
      <c r="FMB312" s="147"/>
      <c r="FMC312" s="147"/>
      <c r="FMD312" s="147"/>
      <c r="FME312" s="147"/>
      <c r="FMF312" s="147"/>
      <c r="FMG312" s="147"/>
      <c r="FMH312" s="147"/>
      <c r="FMI312" s="147"/>
      <c r="FMJ312" s="147"/>
      <c r="FMK312" s="147"/>
      <c r="FML312" s="147"/>
      <c r="FMM312" s="147"/>
      <c r="FMN312" s="147"/>
      <c r="FMO312" s="147"/>
      <c r="FMP312" s="147"/>
      <c r="FMQ312" s="147"/>
      <c r="FMR312" s="147"/>
      <c r="FMS312" s="147"/>
      <c r="FMT312" s="147"/>
      <c r="FMU312" s="147"/>
      <c r="FMV312" s="147"/>
      <c r="FMW312" s="147"/>
      <c r="FMX312" s="147"/>
      <c r="FMY312" s="147"/>
      <c r="FMZ312" s="147"/>
      <c r="FNA312" s="147"/>
      <c r="FNB312" s="147"/>
      <c r="FNC312" s="147"/>
      <c r="FND312" s="147"/>
      <c r="FNE312" s="147"/>
      <c r="FNF312" s="147"/>
      <c r="FNG312" s="147"/>
      <c r="FNH312" s="147"/>
      <c r="FNI312" s="147"/>
      <c r="FNJ312" s="147"/>
      <c r="FNK312" s="147"/>
      <c r="FNL312" s="147"/>
      <c r="FNM312" s="147"/>
      <c r="FNN312" s="147"/>
      <c r="FNO312" s="147"/>
      <c r="FNP312" s="147"/>
      <c r="FNQ312" s="147"/>
      <c r="FNR312" s="147"/>
      <c r="FNS312" s="147"/>
      <c r="FNT312" s="147"/>
      <c r="FNU312" s="147"/>
      <c r="FNV312" s="147"/>
      <c r="FNW312" s="147"/>
      <c r="FNX312" s="147"/>
      <c r="FNY312" s="147"/>
      <c r="FNZ312" s="147"/>
      <c r="FOA312" s="147"/>
      <c r="FOB312" s="147"/>
      <c r="FOC312" s="147"/>
      <c r="FOD312" s="147"/>
      <c r="FOE312" s="147"/>
      <c r="FOF312" s="147"/>
      <c r="FOG312" s="147"/>
      <c r="FOH312" s="147"/>
      <c r="FOI312" s="147"/>
      <c r="FOJ312" s="147"/>
      <c r="FOK312" s="147"/>
      <c r="FOL312" s="147"/>
      <c r="FOM312" s="147"/>
      <c r="FON312" s="147"/>
      <c r="FOO312" s="147"/>
      <c r="FOP312" s="147"/>
      <c r="FOQ312" s="147"/>
      <c r="FOR312" s="147"/>
      <c r="FOS312" s="147"/>
      <c r="FOT312" s="147"/>
      <c r="FOU312" s="147"/>
      <c r="FOV312" s="147"/>
      <c r="FOW312" s="147"/>
      <c r="FOX312" s="147"/>
      <c r="FOY312" s="147"/>
      <c r="FOZ312" s="147"/>
      <c r="FPA312" s="147"/>
      <c r="FPB312" s="147"/>
      <c r="FPC312" s="147"/>
      <c r="FPD312" s="147"/>
      <c r="FPE312" s="147"/>
      <c r="FPF312" s="147"/>
      <c r="FPG312" s="147"/>
      <c r="FPH312" s="147"/>
      <c r="FPI312" s="147"/>
      <c r="FPJ312" s="147"/>
      <c r="FPK312" s="147"/>
      <c r="FPL312" s="147"/>
      <c r="FPM312" s="147"/>
      <c r="FPN312" s="147"/>
      <c r="FPO312" s="147"/>
      <c r="FPP312" s="147"/>
      <c r="FPQ312" s="147"/>
      <c r="FPR312" s="147"/>
      <c r="FPS312" s="147"/>
      <c r="FPT312" s="147"/>
      <c r="FPU312" s="147"/>
      <c r="FPV312" s="147"/>
      <c r="FPW312" s="147"/>
      <c r="FPX312" s="147"/>
      <c r="FPY312" s="147"/>
      <c r="FPZ312" s="147"/>
      <c r="FQA312" s="147"/>
      <c r="FQB312" s="147"/>
      <c r="FQC312" s="147"/>
      <c r="FQD312" s="147"/>
      <c r="FQE312" s="147"/>
      <c r="FQF312" s="147"/>
      <c r="FQG312" s="147"/>
      <c r="FQH312" s="147"/>
      <c r="FQI312" s="147"/>
      <c r="FQJ312" s="147"/>
      <c r="FQK312" s="147"/>
      <c r="FQL312" s="147"/>
      <c r="FQM312" s="147"/>
      <c r="FQN312" s="147"/>
      <c r="FQO312" s="147"/>
      <c r="FQP312" s="147"/>
      <c r="FQQ312" s="147"/>
      <c r="FQR312" s="147"/>
      <c r="FQS312" s="147"/>
      <c r="FQT312" s="147"/>
      <c r="FQU312" s="147"/>
      <c r="FQV312" s="147"/>
      <c r="FQW312" s="147"/>
      <c r="FQX312" s="147"/>
      <c r="FQY312" s="147"/>
      <c r="FQZ312" s="147"/>
      <c r="FRA312" s="147"/>
      <c r="FRB312" s="147"/>
      <c r="FRC312" s="147"/>
      <c r="FRD312" s="147"/>
      <c r="FRE312" s="147"/>
      <c r="FRF312" s="147"/>
      <c r="FRG312" s="147"/>
      <c r="FRH312" s="147"/>
      <c r="FRI312" s="147"/>
      <c r="FRJ312" s="147"/>
      <c r="FRK312" s="147"/>
      <c r="FRL312" s="147"/>
      <c r="FRM312" s="147"/>
      <c r="FRN312" s="147"/>
      <c r="FRO312" s="147"/>
      <c r="FRP312" s="147"/>
      <c r="FRQ312" s="147"/>
      <c r="FRR312" s="147"/>
      <c r="FRS312" s="147"/>
      <c r="FRT312" s="147"/>
      <c r="FRU312" s="147"/>
      <c r="FRV312" s="147"/>
      <c r="FRW312" s="147"/>
      <c r="FRX312" s="147"/>
      <c r="FRY312" s="147"/>
      <c r="FRZ312" s="147"/>
      <c r="FSA312" s="147"/>
      <c r="FSB312" s="147"/>
      <c r="FSC312" s="147"/>
      <c r="FSD312" s="147"/>
      <c r="FSE312" s="147"/>
      <c r="FSF312" s="147"/>
      <c r="FSG312" s="147"/>
      <c r="FSH312" s="147"/>
      <c r="FSI312" s="147"/>
      <c r="FSJ312" s="147"/>
      <c r="FSK312" s="147"/>
      <c r="FSL312" s="147"/>
      <c r="FSM312" s="147"/>
      <c r="FSN312" s="147"/>
      <c r="FSO312" s="147"/>
      <c r="FSP312" s="147"/>
      <c r="FSQ312" s="147"/>
      <c r="FSR312" s="147"/>
      <c r="FSS312" s="147"/>
      <c r="FST312" s="147"/>
      <c r="FSU312" s="147"/>
      <c r="FSV312" s="147"/>
      <c r="FSW312" s="147"/>
      <c r="FSX312" s="147"/>
      <c r="FSY312" s="147"/>
      <c r="FSZ312" s="147"/>
      <c r="FTA312" s="147"/>
      <c r="FTB312" s="147"/>
      <c r="FTC312" s="147"/>
      <c r="FTD312" s="147"/>
      <c r="FTE312" s="147"/>
      <c r="FTF312" s="147"/>
      <c r="FTG312" s="147"/>
      <c r="FTH312" s="147"/>
      <c r="FTI312" s="147"/>
      <c r="FTJ312" s="147"/>
      <c r="FTK312" s="147"/>
      <c r="FTL312" s="147"/>
      <c r="FTM312" s="147"/>
      <c r="FTN312" s="147"/>
      <c r="FTO312" s="147"/>
      <c r="FTP312" s="147"/>
      <c r="FTQ312" s="147"/>
      <c r="FTR312" s="147"/>
      <c r="FTS312" s="147"/>
      <c r="FTT312" s="147"/>
      <c r="FTU312" s="147"/>
      <c r="FTV312" s="147"/>
      <c r="FTW312" s="147"/>
      <c r="FTX312" s="147"/>
      <c r="FTY312" s="147"/>
      <c r="FTZ312" s="147"/>
      <c r="FUA312" s="147"/>
      <c r="FUB312" s="147"/>
      <c r="FUC312" s="147"/>
      <c r="FUD312" s="147"/>
      <c r="FUE312" s="147"/>
      <c r="FUF312" s="147"/>
      <c r="FUG312" s="147"/>
      <c r="FUH312" s="147"/>
      <c r="FUI312" s="147"/>
      <c r="FUJ312" s="147"/>
      <c r="FUK312" s="147"/>
      <c r="FUL312" s="147"/>
      <c r="FUM312" s="147"/>
      <c r="FUN312" s="147"/>
      <c r="FUO312" s="147"/>
      <c r="FUP312" s="147"/>
      <c r="FUQ312" s="147"/>
      <c r="FUR312" s="147"/>
      <c r="FUS312" s="147"/>
      <c r="FUT312" s="147"/>
      <c r="FUU312" s="147"/>
      <c r="FUV312" s="147"/>
      <c r="FUW312" s="147"/>
      <c r="FUX312" s="147"/>
      <c r="FUY312" s="147"/>
      <c r="FUZ312" s="147"/>
      <c r="FVA312" s="147"/>
      <c r="FVB312" s="147"/>
      <c r="FVC312" s="147"/>
      <c r="FVD312" s="147"/>
      <c r="FVE312" s="147"/>
      <c r="FVF312" s="147"/>
      <c r="FVG312" s="147"/>
      <c r="FVH312" s="147"/>
      <c r="FVI312" s="147"/>
      <c r="FVJ312" s="147"/>
      <c r="FVK312" s="147"/>
      <c r="FVL312" s="147"/>
      <c r="FVM312" s="147"/>
      <c r="FVN312" s="147"/>
      <c r="FVO312" s="147"/>
      <c r="FVP312" s="147"/>
      <c r="FVQ312" s="147"/>
      <c r="FVR312" s="147"/>
      <c r="FVS312" s="147"/>
      <c r="FVT312" s="147"/>
      <c r="FVU312" s="147"/>
      <c r="FVV312" s="147"/>
      <c r="FVW312" s="147"/>
      <c r="FVX312" s="147"/>
      <c r="FVY312" s="147"/>
      <c r="FVZ312" s="147"/>
      <c r="FWA312" s="147"/>
      <c r="FWB312" s="147"/>
      <c r="FWC312" s="147"/>
      <c r="FWD312" s="147"/>
      <c r="FWE312" s="147"/>
      <c r="FWF312" s="147"/>
      <c r="FWG312" s="147"/>
      <c r="FWH312" s="147"/>
      <c r="FWI312" s="147"/>
      <c r="FWJ312" s="147"/>
      <c r="FWK312" s="147"/>
      <c r="FWL312" s="147"/>
      <c r="FWM312" s="147"/>
      <c r="FWN312" s="147"/>
      <c r="FWO312" s="147"/>
      <c r="FWP312" s="147"/>
      <c r="FWQ312" s="147"/>
      <c r="FWR312" s="147"/>
      <c r="FWS312" s="147"/>
      <c r="FWT312" s="147"/>
      <c r="FWU312" s="147"/>
      <c r="FWV312" s="147"/>
      <c r="FWW312" s="147"/>
      <c r="FWX312" s="147"/>
      <c r="FWY312" s="147"/>
      <c r="FWZ312" s="147"/>
      <c r="FXA312" s="147"/>
      <c r="FXB312" s="147"/>
      <c r="FXC312" s="147"/>
      <c r="FXD312" s="147"/>
      <c r="FXE312" s="147"/>
      <c r="FXF312" s="147"/>
      <c r="FXG312" s="147"/>
      <c r="FXH312" s="147"/>
      <c r="FXI312" s="147"/>
      <c r="FXJ312" s="147"/>
      <c r="FXK312" s="147"/>
      <c r="FXL312" s="147"/>
      <c r="FXM312" s="147"/>
      <c r="FXN312" s="147"/>
      <c r="FXO312" s="147"/>
      <c r="FXP312" s="147"/>
      <c r="FXQ312" s="147"/>
      <c r="FXR312" s="147"/>
      <c r="FXS312" s="147"/>
      <c r="FXT312" s="147"/>
      <c r="FXU312" s="147"/>
      <c r="FXV312" s="147"/>
      <c r="FXW312" s="147"/>
      <c r="FXX312" s="147"/>
      <c r="FXY312" s="147"/>
      <c r="FXZ312" s="147"/>
      <c r="FYA312" s="147"/>
      <c r="FYB312" s="147"/>
      <c r="FYC312" s="147"/>
      <c r="FYD312" s="147"/>
      <c r="FYE312" s="147"/>
      <c r="FYF312" s="147"/>
      <c r="FYG312" s="147"/>
      <c r="FYH312" s="147"/>
      <c r="FYI312" s="147"/>
      <c r="FYJ312" s="147"/>
      <c r="FYK312" s="147"/>
      <c r="FYL312" s="147"/>
      <c r="FYM312" s="147"/>
      <c r="FYN312" s="147"/>
      <c r="FYO312" s="147"/>
      <c r="FYP312" s="147"/>
      <c r="FYQ312" s="147"/>
      <c r="FYR312" s="147"/>
      <c r="FYS312" s="147"/>
      <c r="FYT312" s="147"/>
      <c r="FYU312" s="147"/>
      <c r="FYV312" s="147"/>
      <c r="FYW312" s="147"/>
      <c r="FYX312" s="147"/>
      <c r="FYY312" s="147"/>
      <c r="FYZ312" s="147"/>
      <c r="FZA312" s="147"/>
      <c r="FZB312" s="147"/>
      <c r="FZC312" s="147"/>
      <c r="FZD312" s="147"/>
      <c r="FZE312" s="147"/>
      <c r="FZF312" s="147"/>
      <c r="FZG312" s="147"/>
      <c r="FZH312" s="147"/>
      <c r="FZI312" s="147"/>
      <c r="FZJ312" s="147"/>
      <c r="FZK312" s="147"/>
      <c r="FZL312" s="147"/>
      <c r="FZM312" s="147"/>
      <c r="FZN312" s="147"/>
      <c r="FZO312" s="147"/>
      <c r="FZP312" s="147"/>
      <c r="FZQ312" s="147"/>
      <c r="FZR312" s="147"/>
      <c r="FZS312" s="147"/>
      <c r="FZT312" s="147"/>
      <c r="FZU312" s="147"/>
      <c r="FZV312" s="147"/>
      <c r="FZW312" s="147"/>
      <c r="FZX312" s="147"/>
      <c r="FZY312" s="147"/>
      <c r="FZZ312" s="147"/>
      <c r="GAA312" s="147"/>
      <c r="GAB312" s="147"/>
      <c r="GAC312" s="147"/>
      <c r="GAD312" s="147"/>
      <c r="GAE312" s="147"/>
      <c r="GAF312" s="147"/>
      <c r="GAG312" s="147"/>
      <c r="GAH312" s="147"/>
      <c r="GAI312" s="147"/>
      <c r="GAJ312" s="147"/>
      <c r="GAK312" s="147"/>
      <c r="GAL312" s="147"/>
      <c r="GAM312" s="147"/>
      <c r="GAN312" s="147"/>
      <c r="GAO312" s="147"/>
      <c r="GAP312" s="147"/>
      <c r="GAQ312" s="147"/>
      <c r="GAR312" s="147"/>
      <c r="GAS312" s="147"/>
      <c r="GAT312" s="147"/>
      <c r="GAU312" s="147"/>
      <c r="GAV312" s="147"/>
      <c r="GAW312" s="147"/>
      <c r="GAX312" s="147"/>
      <c r="GAY312" s="147"/>
      <c r="GAZ312" s="147"/>
      <c r="GBA312" s="147"/>
      <c r="GBB312" s="147"/>
      <c r="GBC312" s="147"/>
      <c r="GBD312" s="147"/>
      <c r="GBE312" s="147"/>
      <c r="GBF312" s="147"/>
      <c r="GBG312" s="147"/>
      <c r="GBH312" s="147"/>
      <c r="GBI312" s="147"/>
      <c r="GBJ312" s="147"/>
      <c r="GBK312" s="147"/>
      <c r="GBL312" s="147"/>
      <c r="GBM312" s="147"/>
      <c r="GBN312" s="147"/>
      <c r="GBO312" s="147"/>
      <c r="GBP312" s="147"/>
      <c r="GBQ312" s="147"/>
      <c r="GBR312" s="147"/>
      <c r="GBS312" s="147"/>
      <c r="GBT312" s="147"/>
      <c r="GBU312" s="147"/>
      <c r="GBV312" s="147"/>
      <c r="GBW312" s="147"/>
      <c r="GBX312" s="147"/>
      <c r="GBY312" s="147"/>
      <c r="GBZ312" s="147"/>
      <c r="GCA312" s="147"/>
      <c r="GCB312" s="147"/>
      <c r="GCC312" s="147"/>
      <c r="GCD312" s="147"/>
      <c r="GCE312" s="147"/>
      <c r="GCF312" s="147"/>
      <c r="GCG312" s="147"/>
      <c r="GCH312" s="147"/>
      <c r="GCI312" s="147"/>
      <c r="GCJ312" s="147"/>
      <c r="GCK312" s="147"/>
      <c r="GCL312" s="147"/>
      <c r="GCM312" s="147"/>
      <c r="GCN312" s="147"/>
      <c r="GCO312" s="147"/>
      <c r="GCP312" s="147"/>
      <c r="GCQ312" s="147"/>
      <c r="GCR312" s="147"/>
      <c r="GCS312" s="147"/>
      <c r="GCT312" s="147"/>
      <c r="GCU312" s="147"/>
      <c r="GCV312" s="147"/>
      <c r="GCW312" s="147"/>
      <c r="GCX312" s="147"/>
      <c r="GCY312" s="147"/>
      <c r="GCZ312" s="147"/>
      <c r="GDA312" s="147"/>
      <c r="GDB312" s="147"/>
      <c r="GDC312" s="147"/>
      <c r="GDD312" s="147"/>
      <c r="GDE312" s="147"/>
      <c r="GDF312" s="147"/>
      <c r="GDG312" s="147"/>
      <c r="GDH312" s="147"/>
      <c r="GDI312" s="147"/>
      <c r="GDJ312" s="147"/>
      <c r="GDK312" s="147"/>
      <c r="GDL312" s="147"/>
      <c r="GDM312" s="147"/>
      <c r="GDN312" s="147"/>
      <c r="GDO312" s="147"/>
      <c r="GDP312" s="147"/>
      <c r="GDQ312" s="147"/>
      <c r="GDR312" s="147"/>
      <c r="GDS312" s="147"/>
      <c r="GDT312" s="147"/>
      <c r="GDU312" s="147"/>
      <c r="GDV312" s="147"/>
      <c r="GDW312" s="147"/>
      <c r="GDX312" s="147"/>
      <c r="GDY312" s="147"/>
      <c r="GDZ312" s="147"/>
      <c r="GEA312" s="147"/>
      <c r="GEB312" s="147"/>
      <c r="GEC312" s="147"/>
      <c r="GED312" s="147"/>
      <c r="GEE312" s="147"/>
      <c r="GEF312" s="147"/>
      <c r="GEG312" s="147"/>
      <c r="GEH312" s="147"/>
      <c r="GEI312" s="147"/>
      <c r="GEJ312" s="147"/>
      <c r="GEK312" s="147"/>
      <c r="GEL312" s="147"/>
      <c r="GEM312" s="147"/>
      <c r="GEN312" s="147"/>
      <c r="GEO312" s="147"/>
      <c r="GEP312" s="147"/>
      <c r="GEQ312" s="147"/>
      <c r="GER312" s="147"/>
      <c r="GES312" s="147"/>
      <c r="GET312" s="147"/>
      <c r="GEU312" s="147"/>
      <c r="GEV312" s="147"/>
      <c r="GEW312" s="147"/>
      <c r="GEX312" s="147"/>
      <c r="GEY312" s="147"/>
      <c r="GEZ312" s="147"/>
      <c r="GFA312" s="147"/>
      <c r="GFB312" s="147"/>
      <c r="GFC312" s="147"/>
      <c r="GFD312" s="147"/>
      <c r="GFE312" s="147"/>
      <c r="GFF312" s="147"/>
      <c r="GFG312" s="147"/>
      <c r="GFH312" s="147"/>
      <c r="GFI312" s="147"/>
      <c r="GFJ312" s="147"/>
      <c r="GFK312" s="147"/>
      <c r="GFL312" s="147"/>
      <c r="GFM312" s="147"/>
      <c r="GFN312" s="147"/>
      <c r="GFO312" s="147"/>
      <c r="GFP312" s="147"/>
      <c r="GFQ312" s="147"/>
      <c r="GFR312" s="147"/>
      <c r="GFS312" s="147"/>
      <c r="GFT312" s="147"/>
      <c r="GFU312" s="147"/>
      <c r="GFV312" s="147"/>
      <c r="GFW312" s="147"/>
      <c r="GFX312" s="147"/>
      <c r="GFY312" s="147"/>
      <c r="GFZ312" s="147"/>
      <c r="GGA312" s="147"/>
      <c r="GGB312" s="147"/>
      <c r="GGC312" s="147"/>
      <c r="GGD312" s="147"/>
      <c r="GGE312" s="147"/>
      <c r="GGF312" s="147"/>
      <c r="GGG312" s="147"/>
      <c r="GGH312" s="147"/>
      <c r="GGI312" s="147"/>
      <c r="GGJ312" s="147"/>
      <c r="GGK312" s="147"/>
      <c r="GGL312" s="147"/>
      <c r="GGM312" s="147"/>
      <c r="GGN312" s="147"/>
      <c r="GGO312" s="147"/>
      <c r="GGP312" s="147"/>
      <c r="GGQ312" s="147"/>
      <c r="GGR312" s="147"/>
      <c r="GGS312" s="147"/>
      <c r="GGT312" s="147"/>
      <c r="GGU312" s="147"/>
      <c r="GGV312" s="147"/>
      <c r="GGW312" s="147"/>
      <c r="GGX312" s="147"/>
      <c r="GGY312" s="147"/>
      <c r="GGZ312" s="147"/>
      <c r="GHA312" s="147"/>
      <c r="GHB312" s="147"/>
      <c r="GHC312" s="147"/>
      <c r="GHD312" s="147"/>
      <c r="GHE312" s="147"/>
      <c r="GHF312" s="147"/>
      <c r="GHG312" s="147"/>
      <c r="GHH312" s="147"/>
      <c r="GHI312" s="147"/>
      <c r="GHJ312" s="147"/>
      <c r="GHK312" s="147"/>
      <c r="GHL312" s="147"/>
      <c r="GHM312" s="147"/>
      <c r="GHN312" s="147"/>
      <c r="GHO312" s="147"/>
      <c r="GHP312" s="147"/>
      <c r="GHQ312" s="147"/>
      <c r="GHR312" s="147"/>
      <c r="GHS312" s="147"/>
      <c r="GHT312" s="147"/>
      <c r="GHU312" s="147"/>
      <c r="GHV312" s="147"/>
      <c r="GHW312" s="147"/>
      <c r="GHX312" s="147"/>
      <c r="GHY312" s="147"/>
      <c r="GHZ312" s="147"/>
      <c r="GIA312" s="147"/>
      <c r="GIB312" s="147"/>
      <c r="GIC312" s="147"/>
      <c r="GID312" s="147"/>
      <c r="GIE312" s="147"/>
      <c r="GIF312" s="147"/>
      <c r="GIG312" s="147"/>
      <c r="GIH312" s="147"/>
      <c r="GII312" s="147"/>
      <c r="GIJ312" s="147"/>
      <c r="GIK312" s="147"/>
      <c r="GIL312" s="147"/>
      <c r="GIM312" s="147"/>
      <c r="GIN312" s="147"/>
      <c r="GIO312" s="147"/>
      <c r="GIP312" s="147"/>
      <c r="GIQ312" s="147"/>
      <c r="GIR312" s="147"/>
      <c r="GIS312" s="147"/>
      <c r="GIT312" s="147"/>
      <c r="GIU312" s="147"/>
      <c r="GIV312" s="147"/>
      <c r="GIW312" s="147"/>
      <c r="GIX312" s="147"/>
      <c r="GIY312" s="147"/>
      <c r="GIZ312" s="147"/>
      <c r="GJA312" s="147"/>
      <c r="GJB312" s="147"/>
      <c r="GJC312" s="147"/>
      <c r="GJD312" s="147"/>
      <c r="GJE312" s="147"/>
      <c r="GJF312" s="147"/>
      <c r="GJG312" s="147"/>
      <c r="GJH312" s="147"/>
      <c r="GJI312" s="147"/>
      <c r="GJJ312" s="147"/>
      <c r="GJK312" s="147"/>
      <c r="GJL312" s="147"/>
      <c r="GJM312" s="147"/>
      <c r="GJN312" s="147"/>
      <c r="GJO312" s="147"/>
      <c r="GJP312" s="147"/>
      <c r="GJQ312" s="147"/>
      <c r="GJR312" s="147"/>
      <c r="GJS312" s="147"/>
      <c r="GJT312" s="147"/>
      <c r="GJU312" s="147"/>
      <c r="GJV312" s="147"/>
      <c r="GJW312" s="147"/>
      <c r="GJX312" s="147"/>
      <c r="GJY312" s="147"/>
      <c r="GJZ312" s="147"/>
      <c r="GKA312" s="147"/>
      <c r="GKB312" s="147"/>
      <c r="GKC312" s="147"/>
      <c r="GKD312" s="147"/>
      <c r="GKE312" s="147"/>
      <c r="GKF312" s="147"/>
      <c r="GKG312" s="147"/>
      <c r="GKH312" s="147"/>
      <c r="GKI312" s="147"/>
      <c r="GKJ312" s="147"/>
      <c r="GKK312" s="147"/>
      <c r="GKL312" s="147"/>
      <c r="GKM312" s="147"/>
      <c r="GKN312" s="147"/>
      <c r="GKO312" s="147"/>
      <c r="GKP312" s="147"/>
      <c r="GKQ312" s="147"/>
      <c r="GKR312" s="147"/>
      <c r="GKS312" s="147"/>
      <c r="GKT312" s="147"/>
      <c r="GKU312" s="147"/>
      <c r="GKV312" s="147"/>
      <c r="GKW312" s="147"/>
      <c r="GKX312" s="147"/>
      <c r="GKY312" s="147"/>
      <c r="GKZ312" s="147"/>
      <c r="GLA312" s="147"/>
      <c r="GLB312" s="147"/>
      <c r="GLC312" s="147"/>
      <c r="GLD312" s="147"/>
      <c r="GLE312" s="147"/>
      <c r="GLF312" s="147"/>
      <c r="GLG312" s="147"/>
      <c r="GLH312" s="147"/>
      <c r="GLI312" s="147"/>
      <c r="GLJ312" s="147"/>
      <c r="GLK312" s="147"/>
      <c r="GLL312" s="147"/>
      <c r="GLM312" s="147"/>
      <c r="GLN312" s="147"/>
      <c r="GLO312" s="147"/>
      <c r="GLP312" s="147"/>
      <c r="GLQ312" s="147"/>
      <c r="GLR312" s="147"/>
      <c r="GLS312" s="147"/>
      <c r="GLT312" s="147"/>
      <c r="GLU312" s="147"/>
      <c r="GLV312" s="147"/>
      <c r="GLW312" s="147"/>
      <c r="GLX312" s="147"/>
      <c r="GLY312" s="147"/>
      <c r="GLZ312" s="147"/>
      <c r="GMA312" s="147"/>
      <c r="GMB312" s="147"/>
      <c r="GMC312" s="147"/>
      <c r="GMD312" s="147"/>
      <c r="GME312" s="147"/>
      <c r="GMF312" s="147"/>
      <c r="GMG312" s="147"/>
      <c r="GMH312" s="147"/>
      <c r="GMI312" s="147"/>
      <c r="GMJ312" s="147"/>
      <c r="GMK312" s="147"/>
      <c r="GML312" s="147"/>
      <c r="GMM312" s="147"/>
      <c r="GMN312" s="147"/>
      <c r="GMO312" s="147"/>
      <c r="GMP312" s="147"/>
      <c r="GMQ312" s="147"/>
      <c r="GMR312" s="147"/>
      <c r="GMS312" s="147"/>
      <c r="GMT312" s="147"/>
      <c r="GMU312" s="147"/>
      <c r="GMV312" s="147"/>
      <c r="GMW312" s="147"/>
      <c r="GMX312" s="147"/>
      <c r="GMY312" s="147"/>
      <c r="GMZ312" s="147"/>
      <c r="GNA312" s="147"/>
      <c r="GNB312" s="147"/>
      <c r="GNC312" s="147"/>
      <c r="GND312" s="147"/>
      <c r="GNE312" s="147"/>
      <c r="GNF312" s="147"/>
      <c r="GNG312" s="147"/>
      <c r="GNH312" s="147"/>
      <c r="GNI312" s="147"/>
      <c r="GNJ312" s="147"/>
      <c r="GNK312" s="147"/>
      <c r="GNL312" s="147"/>
      <c r="GNM312" s="147"/>
      <c r="GNN312" s="147"/>
      <c r="GNO312" s="147"/>
      <c r="GNP312" s="147"/>
      <c r="GNQ312" s="147"/>
      <c r="GNR312" s="147"/>
      <c r="GNS312" s="147"/>
      <c r="GNT312" s="147"/>
      <c r="GNU312" s="147"/>
      <c r="GNV312" s="147"/>
      <c r="GNW312" s="147"/>
      <c r="GNX312" s="147"/>
      <c r="GNY312" s="147"/>
      <c r="GNZ312" s="147"/>
      <c r="GOA312" s="147"/>
      <c r="GOB312" s="147"/>
      <c r="GOC312" s="147"/>
      <c r="GOD312" s="147"/>
      <c r="GOE312" s="147"/>
      <c r="GOF312" s="147"/>
      <c r="GOG312" s="147"/>
      <c r="GOH312" s="147"/>
      <c r="GOI312" s="147"/>
      <c r="GOJ312" s="147"/>
      <c r="GOK312" s="147"/>
      <c r="GOL312" s="147"/>
      <c r="GOM312" s="147"/>
      <c r="GON312" s="147"/>
      <c r="GOO312" s="147"/>
      <c r="GOP312" s="147"/>
      <c r="GOQ312" s="147"/>
      <c r="GOR312" s="147"/>
      <c r="GOS312" s="147"/>
      <c r="GOT312" s="147"/>
      <c r="GOU312" s="147"/>
      <c r="GOV312" s="147"/>
      <c r="GOW312" s="147"/>
      <c r="GOX312" s="147"/>
      <c r="GOY312" s="147"/>
      <c r="GOZ312" s="147"/>
      <c r="GPA312" s="147"/>
      <c r="GPB312" s="147"/>
      <c r="GPC312" s="147"/>
      <c r="GPD312" s="147"/>
      <c r="GPE312" s="147"/>
      <c r="GPF312" s="147"/>
      <c r="GPG312" s="147"/>
      <c r="GPH312" s="147"/>
      <c r="GPI312" s="147"/>
      <c r="GPJ312" s="147"/>
      <c r="GPK312" s="147"/>
      <c r="GPL312" s="147"/>
      <c r="GPM312" s="147"/>
      <c r="GPN312" s="147"/>
      <c r="GPO312" s="147"/>
      <c r="GPP312" s="147"/>
      <c r="GPQ312" s="147"/>
      <c r="GPR312" s="147"/>
      <c r="GPS312" s="147"/>
      <c r="GPT312" s="147"/>
      <c r="GPU312" s="147"/>
      <c r="GPV312" s="147"/>
      <c r="GPW312" s="147"/>
      <c r="GPX312" s="147"/>
      <c r="GPY312" s="147"/>
      <c r="GPZ312" s="147"/>
      <c r="GQA312" s="147"/>
      <c r="GQB312" s="147"/>
      <c r="GQC312" s="147"/>
      <c r="GQD312" s="147"/>
      <c r="GQE312" s="147"/>
      <c r="GQF312" s="147"/>
      <c r="GQG312" s="147"/>
      <c r="GQH312" s="147"/>
      <c r="GQI312" s="147"/>
      <c r="GQJ312" s="147"/>
      <c r="GQK312" s="147"/>
      <c r="GQL312" s="147"/>
      <c r="GQM312" s="147"/>
      <c r="GQN312" s="147"/>
      <c r="GQO312" s="147"/>
      <c r="GQP312" s="147"/>
      <c r="GQQ312" s="147"/>
      <c r="GQR312" s="147"/>
      <c r="GQS312" s="147"/>
      <c r="GQT312" s="147"/>
      <c r="GQU312" s="147"/>
      <c r="GQV312" s="147"/>
      <c r="GQW312" s="147"/>
      <c r="GQX312" s="147"/>
      <c r="GQY312" s="147"/>
      <c r="GQZ312" s="147"/>
      <c r="GRA312" s="147"/>
      <c r="GRB312" s="147"/>
      <c r="GRC312" s="147"/>
      <c r="GRD312" s="147"/>
      <c r="GRE312" s="147"/>
      <c r="GRF312" s="147"/>
      <c r="GRG312" s="147"/>
      <c r="GRH312" s="147"/>
      <c r="GRI312" s="147"/>
      <c r="GRJ312" s="147"/>
      <c r="GRK312" s="147"/>
      <c r="GRL312" s="147"/>
      <c r="GRM312" s="147"/>
      <c r="GRN312" s="147"/>
      <c r="GRO312" s="147"/>
      <c r="GRP312" s="147"/>
      <c r="GRQ312" s="147"/>
      <c r="GRR312" s="147"/>
      <c r="GRS312" s="147"/>
      <c r="GRT312" s="147"/>
      <c r="GRU312" s="147"/>
      <c r="GRV312" s="147"/>
      <c r="GRW312" s="147"/>
      <c r="GRX312" s="147"/>
      <c r="GRY312" s="147"/>
      <c r="GRZ312" s="147"/>
      <c r="GSA312" s="147"/>
      <c r="GSB312" s="147"/>
      <c r="GSC312" s="147"/>
      <c r="GSD312" s="147"/>
      <c r="GSE312" s="147"/>
      <c r="GSF312" s="147"/>
      <c r="GSG312" s="147"/>
      <c r="GSH312" s="147"/>
      <c r="GSI312" s="147"/>
      <c r="GSJ312" s="147"/>
      <c r="GSK312" s="147"/>
      <c r="GSL312" s="147"/>
      <c r="GSM312" s="147"/>
      <c r="GSN312" s="147"/>
      <c r="GSO312" s="147"/>
      <c r="GSP312" s="147"/>
      <c r="GSQ312" s="147"/>
      <c r="GSR312" s="147"/>
      <c r="GSS312" s="147"/>
      <c r="GST312" s="147"/>
      <c r="GSU312" s="147"/>
      <c r="GSV312" s="147"/>
      <c r="GSW312" s="147"/>
      <c r="GSX312" s="147"/>
      <c r="GSY312" s="147"/>
      <c r="GSZ312" s="147"/>
      <c r="GTA312" s="147"/>
      <c r="GTB312" s="147"/>
      <c r="GTC312" s="147"/>
      <c r="GTD312" s="147"/>
      <c r="GTE312" s="147"/>
      <c r="GTF312" s="147"/>
      <c r="GTG312" s="147"/>
      <c r="GTH312" s="147"/>
      <c r="GTI312" s="147"/>
      <c r="GTJ312" s="147"/>
      <c r="GTK312" s="147"/>
      <c r="GTL312" s="147"/>
      <c r="GTM312" s="147"/>
      <c r="GTN312" s="147"/>
      <c r="GTO312" s="147"/>
      <c r="GTP312" s="147"/>
      <c r="GTQ312" s="147"/>
      <c r="GTR312" s="147"/>
      <c r="GTS312" s="147"/>
      <c r="GTT312" s="147"/>
      <c r="GTU312" s="147"/>
      <c r="GTV312" s="147"/>
      <c r="GTW312" s="147"/>
      <c r="GTX312" s="147"/>
      <c r="GTY312" s="147"/>
      <c r="GTZ312" s="147"/>
      <c r="GUA312" s="147"/>
      <c r="GUB312" s="147"/>
      <c r="GUC312" s="147"/>
      <c r="GUD312" s="147"/>
      <c r="GUE312" s="147"/>
      <c r="GUF312" s="147"/>
      <c r="GUG312" s="147"/>
      <c r="GUH312" s="147"/>
      <c r="GUI312" s="147"/>
      <c r="GUJ312" s="147"/>
      <c r="GUK312" s="147"/>
      <c r="GUL312" s="147"/>
      <c r="GUM312" s="147"/>
      <c r="GUN312" s="147"/>
      <c r="GUO312" s="147"/>
      <c r="GUP312" s="147"/>
      <c r="GUQ312" s="147"/>
      <c r="GUR312" s="147"/>
      <c r="GUS312" s="147"/>
      <c r="GUT312" s="147"/>
      <c r="GUU312" s="147"/>
      <c r="GUV312" s="147"/>
      <c r="GUW312" s="147"/>
      <c r="GUX312" s="147"/>
      <c r="GUY312" s="147"/>
      <c r="GUZ312" s="147"/>
      <c r="GVA312" s="147"/>
      <c r="GVB312" s="147"/>
      <c r="GVC312" s="147"/>
      <c r="GVD312" s="147"/>
      <c r="GVE312" s="147"/>
      <c r="GVF312" s="147"/>
      <c r="GVG312" s="147"/>
      <c r="GVH312" s="147"/>
      <c r="GVI312" s="147"/>
      <c r="GVJ312" s="147"/>
      <c r="GVK312" s="147"/>
      <c r="GVL312" s="147"/>
      <c r="GVM312" s="147"/>
      <c r="GVN312" s="147"/>
      <c r="GVO312" s="147"/>
      <c r="GVP312" s="147"/>
      <c r="GVQ312" s="147"/>
      <c r="GVR312" s="147"/>
      <c r="GVS312" s="147"/>
      <c r="GVT312" s="147"/>
      <c r="GVU312" s="147"/>
      <c r="GVV312" s="147"/>
      <c r="GVW312" s="147"/>
      <c r="GVX312" s="147"/>
      <c r="GVY312" s="147"/>
      <c r="GVZ312" s="147"/>
      <c r="GWA312" s="147"/>
      <c r="GWB312" s="147"/>
      <c r="GWC312" s="147"/>
      <c r="GWD312" s="147"/>
      <c r="GWE312" s="147"/>
      <c r="GWF312" s="147"/>
      <c r="GWG312" s="147"/>
      <c r="GWH312" s="147"/>
      <c r="GWI312" s="147"/>
      <c r="GWJ312" s="147"/>
      <c r="GWK312" s="147"/>
      <c r="GWL312" s="147"/>
      <c r="GWM312" s="147"/>
      <c r="GWN312" s="147"/>
      <c r="GWO312" s="147"/>
      <c r="GWP312" s="147"/>
      <c r="GWQ312" s="147"/>
      <c r="GWR312" s="147"/>
      <c r="GWS312" s="147"/>
      <c r="GWT312" s="147"/>
      <c r="GWU312" s="147"/>
      <c r="GWV312" s="147"/>
      <c r="GWW312" s="147"/>
      <c r="GWX312" s="147"/>
      <c r="GWY312" s="147"/>
      <c r="GWZ312" s="147"/>
      <c r="GXA312" s="147"/>
      <c r="GXB312" s="147"/>
      <c r="GXC312" s="147"/>
      <c r="GXD312" s="147"/>
      <c r="GXE312" s="147"/>
      <c r="GXF312" s="147"/>
      <c r="GXG312" s="147"/>
      <c r="GXH312" s="147"/>
      <c r="GXI312" s="147"/>
      <c r="GXJ312" s="147"/>
      <c r="GXK312" s="147"/>
      <c r="GXL312" s="147"/>
      <c r="GXM312" s="147"/>
      <c r="GXN312" s="147"/>
      <c r="GXO312" s="147"/>
      <c r="GXP312" s="147"/>
      <c r="GXQ312" s="147"/>
      <c r="GXR312" s="147"/>
      <c r="GXS312" s="147"/>
      <c r="GXT312" s="147"/>
      <c r="GXU312" s="147"/>
      <c r="GXV312" s="147"/>
      <c r="GXW312" s="147"/>
      <c r="GXX312" s="147"/>
      <c r="GXY312" s="147"/>
      <c r="GXZ312" s="147"/>
      <c r="GYA312" s="147"/>
      <c r="GYB312" s="147"/>
      <c r="GYC312" s="147"/>
      <c r="GYD312" s="147"/>
      <c r="GYE312" s="147"/>
      <c r="GYF312" s="147"/>
      <c r="GYG312" s="147"/>
      <c r="GYH312" s="147"/>
      <c r="GYI312" s="147"/>
      <c r="GYJ312" s="147"/>
      <c r="GYK312" s="147"/>
      <c r="GYL312" s="147"/>
      <c r="GYM312" s="147"/>
      <c r="GYN312" s="147"/>
      <c r="GYO312" s="147"/>
      <c r="GYP312" s="147"/>
      <c r="GYQ312" s="147"/>
      <c r="GYR312" s="147"/>
      <c r="GYS312" s="147"/>
      <c r="GYT312" s="147"/>
      <c r="GYU312" s="147"/>
      <c r="GYV312" s="147"/>
      <c r="GYW312" s="147"/>
      <c r="GYX312" s="147"/>
      <c r="GYY312" s="147"/>
      <c r="GYZ312" s="147"/>
      <c r="GZA312" s="147"/>
      <c r="GZB312" s="147"/>
      <c r="GZC312" s="147"/>
      <c r="GZD312" s="147"/>
      <c r="GZE312" s="147"/>
      <c r="GZF312" s="147"/>
      <c r="GZG312" s="147"/>
      <c r="GZH312" s="147"/>
      <c r="GZI312" s="147"/>
      <c r="GZJ312" s="147"/>
      <c r="GZK312" s="147"/>
      <c r="GZL312" s="147"/>
      <c r="GZM312" s="147"/>
      <c r="GZN312" s="147"/>
      <c r="GZO312" s="147"/>
      <c r="GZP312" s="147"/>
      <c r="GZQ312" s="147"/>
      <c r="GZR312" s="147"/>
      <c r="GZS312" s="147"/>
      <c r="GZT312" s="147"/>
      <c r="GZU312" s="147"/>
      <c r="GZV312" s="147"/>
      <c r="GZW312" s="147"/>
      <c r="GZX312" s="147"/>
      <c r="GZY312" s="147"/>
      <c r="GZZ312" s="147"/>
      <c r="HAA312" s="147"/>
      <c r="HAB312" s="147"/>
      <c r="HAC312" s="147"/>
      <c r="HAD312" s="147"/>
      <c r="HAE312" s="147"/>
      <c r="HAF312" s="147"/>
      <c r="HAG312" s="147"/>
      <c r="HAH312" s="147"/>
      <c r="HAI312" s="147"/>
      <c r="HAJ312" s="147"/>
      <c r="HAK312" s="147"/>
      <c r="HAL312" s="147"/>
      <c r="HAM312" s="147"/>
      <c r="HAN312" s="147"/>
      <c r="HAO312" s="147"/>
      <c r="HAP312" s="147"/>
      <c r="HAQ312" s="147"/>
      <c r="HAR312" s="147"/>
      <c r="HAS312" s="147"/>
      <c r="HAT312" s="147"/>
      <c r="HAU312" s="147"/>
      <c r="HAV312" s="147"/>
      <c r="HAW312" s="147"/>
      <c r="HAX312" s="147"/>
      <c r="HAY312" s="147"/>
      <c r="HAZ312" s="147"/>
      <c r="HBA312" s="147"/>
      <c r="HBB312" s="147"/>
      <c r="HBC312" s="147"/>
      <c r="HBD312" s="147"/>
      <c r="HBE312" s="147"/>
      <c r="HBF312" s="147"/>
      <c r="HBG312" s="147"/>
      <c r="HBH312" s="147"/>
      <c r="HBI312" s="147"/>
      <c r="HBJ312" s="147"/>
      <c r="HBK312" s="147"/>
      <c r="HBL312" s="147"/>
      <c r="HBM312" s="147"/>
      <c r="HBN312" s="147"/>
      <c r="HBO312" s="147"/>
      <c r="HBP312" s="147"/>
      <c r="HBQ312" s="147"/>
      <c r="HBR312" s="147"/>
      <c r="HBS312" s="147"/>
      <c r="HBT312" s="147"/>
      <c r="HBU312" s="147"/>
      <c r="HBV312" s="147"/>
      <c r="HBW312" s="147"/>
      <c r="HBX312" s="147"/>
      <c r="HBY312" s="147"/>
      <c r="HBZ312" s="147"/>
      <c r="HCA312" s="147"/>
      <c r="HCB312" s="147"/>
      <c r="HCC312" s="147"/>
      <c r="HCD312" s="147"/>
      <c r="HCE312" s="147"/>
      <c r="HCF312" s="147"/>
      <c r="HCG312" s="147"/>
      <c r="HCH312" s="147"/>
      <c r="HCI312" s="147"/>
      <c r="HCJ312" s="147"/>
      <c r="HCK312" s="147"/>
      <c r="HCL312" s="147"/>
      <c r="HCM312" s="147"/>
      <c r="HCN312" s="147"/>
      <c r="HCO312" s="147"/>
      <c r="HCP312" s="147"/>
      <c r="HCQ312" s="147"/>
      <c r="HCR312" s="147"/>
      <c r="HCS312" s="147"/>
      <c r="HCT312" s="147"/>
      <c r="HCU312" s="147"/>
      <c r="HCV312" s="147"/>
      <c r="HCW312" s="147"/>
      <c r="HCX312" s="147"/>
      <c r="HCY312" s="147"/>
      <c r="HCZ312" s="147"/>
      <c r="HDA312" s="147"/>
      <c r="HDB312" s="147"/>
      <c r="HDC312" s="147"/>
      <c r="HDD312" s="147"/>
      <c r="HDE312" s="147"/>
      <c r="HDF312" s="147"/>
      <c r="HDG312" s="147"/>
      <c r="HDH312" s="147"/>
      <c r="HDI312" s="147"/>
      <c r="HDJ312" s="147"/>
      <c r="HDK312" s="147"/>
      <c r="HDL312" s="147"/>
      <c r="HDM312" s="147"/>
      <c r="HDN312" s="147"/>
      <c r="HDO312" s="147"/>
      <c r="HDP312" s="147"/>
      <c r="HDQ312" s="147"/>
      <c r="HDR312" s="147"/>
      <c r="HDS312" s="147"/>
      <c r="HDT312" s="147"/>
      <c r="HDU312" s="147"/>
      <c r="HDV312" s="147"/>
      <c r="HDW312" s="147"/>
      <c r="HDX312" s="147"/>
      <c r="HDY312" s="147"/>
      <c r="HDZ312" s="147"/>
      <c r="HEA312" s="147"/>
      <c r="HEB312" s="147"/>
      <c r="HEC312" s="147"/>
      <c r="HED312" s="147"/>
      <c r="HEE312" s="147"/>
      <c r="HEF312" s="147"/>
      <c r="HEG312" s="147"/>
      <c r="HEH312" s="147"/>
      <c r="HEI312" s="147"/>
      <c r="HEJ312" s="147"/>
      <c r="HEK312" s="147"/>
      <c r="HEL312" s="147"/>
      <c r="HEM312" s="147"/>
      <c r="HEN312" s="147"/>
      <c r="HEO312" s="147"/>
      <c r="HEP312" s="147"/>
      <c r="HEQ312" s="147"/>
      <c r="HER312" s="147"/>
      <c r="HES312" s="147"/>
      <c r="HET312" s="147"/>
      <c r="HEU312" s="147"/>
      <c r="HEV312" s="147"/>
      <c r="HEW312" s="147"/>
      <c r="HEX312" s="147"/>
      <c r="HEY312" s="147"/>
      <c r="HEZ312" s="147"/>
      <c r="HFA312" s="147"/>
      <c r="HFB312" s="147"/>
      <c r="HFC312" s="147"/>
      <c r="HFD312" s="147"/>
      <c r="HFE312" s="147"/>
      <c r="HFF312" s="147"/>
      <c r="HFG312" s="147"/>
      <c r="HFH312" s="147"/>
      <c r="HFI312" s="147"/>
      <c r="HFJ312" s="147"/>
      <c r="HFK312" s="147"/>
      <c r="HFL312" s="147"/>
      <c r="HFM312" s="147"/>
      <c r="HFN312" s="147"/>
      <c r="HFO312" s="147"/>
      <c r="HFP312" s="147"/>
      <c r="HFQ312" s="147"/>
      <c r="HFR312" s="147"/>
      <c r="HFS312" s="147"/>
      <c r="HFT312" s="147"/>
      <c r="HFU312" s="147"/>
      <c r="HFV312" s="147"/>
      <c r="HFW312" s="147"/>
      <c r="HFX312" s="147"/>
      <c r="HFY312" s="147"/>
      <c r="HFZ312" s="147"/>
      <c r="HGA312" s="147"/>
      <c r="HGB312" s="147"/>
      <c r="HGC312" s="147"/>
      <c r="HGD312" s="147"/>
      <c r="HGE312" s="147"/>
      <c r="HGF312" s="147"/>
      <c r="HGG312" s="147"/>
      <c r="HGH312" s="147"/>
      <c r="HGI312" s="147"/>
      <c r="HGJ312" s="147"/>
      <c r="HGK312" s="147"/>
      <c r="HGL312" s="147"/>
      <c r="HGM312" s="147"/>
      <c r="HGN312" s="147"/>
      <c r="HGO312" s="147"/>
      <c r="HGP312" s="147"/>
      <c r="HGQ312" s="147"/>
      <c r="HGR312" s="147"/>
      <c r="HGS312" s="147"/>
      <c r="HGT312" s="147"/>
      <c r="HGU312" s="147"/>
      <c r="HGV312" s="147"/>
      <c r="HGW312" s="147"/>
      <c r="HGX312" s="147"/>
      <c r="HGY312" s="147"/>
      <c r="HGZ312" s="147"/>
      <c r="HHA312" s="147"/>
      <c r="HHB312" s="147"/>
      <c r="HHC312" s="147"/>
      <c r="HHD312" s="147"/>
      <c r="HHE312" s="147"/>
      <c r="HHF312" s="147"/>
      <c r="HHG312" s="147"/>
      <c r="HHH312" s="147"/>
      <c r="HHI312" s="147"/>
      <c r="HHJ312" s="147"/>
      <c r="HHK312" s="147"/>
      <c r="HHL312" s="147"/>
      <c r="HHM312" s="147"/>
      <c r="HHN312" s="147"/>
      <c r="HHO312" s="147"/>
      <c r="HHP312" s="147"/>
      <c r="HHQ312" s="147"/>
      <c r="HHR312" s="147"/>
      <c r="HHS312" s="147"/>
      <c r="HHT312" s="147"/>
      <c r="HHU312" s="147"/>
      <c r="HHV312" s="147"/>
      <c r="HHW312" s="147"/>
      <c r="HHX312" s="147"/>
      <c r="HHY312" s="147"/>
      <c r="HHZ312" s="147"/>
      <c r="HIA312" s="147"/>
      <c r="HIB312" s="147"/>
      <c r="HIC312" s="147"/>
      <c r="HID312" s="147"/>
      <c r="HIE312" s="147"/>
      <c r="HIF312" s="147"/>
      <c r="HIG312" s="147"/>
      <c r="HIH312" s="147"/>
      <c r="HII312" s="147"/>
      <c r="HIJ312" s="147"/>
      <c r="HIK312" s="147"/>
      <c r="HIL312" s="147"/>
      <c r="HIM312" s="147"/>
      <c r="HIN312" s="147"/>
      <c r="HIO312" s="147"/>
      <c r="HIP312" s="147"/>
      <c r="HIQ312" s="147"/>
      <c r="HIR312" s="147"/>
      <c r="HIS312" s="147"/>
      <c r="HIT312" s="147"/>
      <c r="HIU312" s="147"/>
      <c r="HIV312" s="147"/>
      <c r="HIW312" s="147"/>
      <c r="HIX312" s="147"/>
      <c r="HIY312" s="147"/>
      <c r="HIZ312" s="147"/>
      <c r="HJA312" s="147"/>
      <c r="HJB312" s="147"/>
      <c r="HJC312" s="147"/>
      <c r="HJD312" s="147"/>
      <c r="HJE312" s="147"/>
      <c r="HJF312" s="147"/>
      <c r="HJG312" s="147"/>
      <c r="HJH312" s="147"/>
      <c r="HJI312" s="147"/>
      <c r="HJJ312" s="147"/>
      <c r="HJK312" s="147"/>
      <c r="HJL312" s="147"/>
      <c r="HJM312" s="147"/>
      <c r="HJN312" s="147"/>
      <c r="HJO312" s="147"/>
      <c r="HJP312" s="147"/>
      <c r="HJQ312" s="147"/>
      <c r="HJR312" s="147"/>
      <c r="HJS312" s="147"/>
      <c r="HJT312" s="147"/>
      <c r="HJU312" s="147"/>
      <c r="HJV312" s="147"/>
      <c r="HJW312" s="147"/>
      <c r="HJX312" s="147"/>
      <c r="HJY312" s="147"/>
      <c r="HJZ312" s="147"/>
      <c r="HKA312" s="147"/>
      <c r="HKB312" s="147"/>
      <c r="HKC312" s="147"/>
      <c r="HKD312" s="147"/>
      <c r="HKE312" s="147"/>
      <c r="HKF312" s="147"/>
      <c r="HKG312" s="147"/>
      <c r="HKH312" s="147"/>
      <c r="HKI312" s="147"/>
      <c r="HKJ312" s="147"/>
      <c r="HKK312" s="147"/>
      <c r="HKL312" s="147"/>
      <c r="HKM312" s="147"/>
      <c r="HKN312" s="147"/>
      <c r="HKO312" s="147"/>
      <c r="HKP312" s="147"/>
      <c r="HKQ312" s="147"/>
      <c r="HKR312" s="147"/>
      <c r="HKS312" s="147"/>
      <c r="HKT312" s="147"/>
      <c r="HKU312" s="147"/>
      <c r="HKV312" s="147"/>
      <c r="HKW312" s="147"/>
      <c r="HKX312" s="147"/>
      <c r="HKY312" s="147"/>
      <c r="HKZ312" s="147"/>
      <c r="HLA312" s="147"/>
      <c r="HLB312" s="147"/>
      <c r="HLC312" s="147"/>
      <c r="HLD312" s="147"/>
      <c r="HLE312" s="147"/>
      <c r="HLF312" s="147"/>
      <c r="HLG312" s="147"/>
      <c r="HLH312" s="147"/>
      <c r="HLI312" s="147"/>
      <c r="HLJ312" s="147"/>
      <c r="HLK312" s="147"/>
      <c r="HLL312" s="147"/>
      <c r="HLM312" s="147"/>
      <c r="HLN312" s="147"/>
      <c r="HLO312" s="147"/>
      <c r="HLP312" s="147"/>
      <c r="HLQ312" s="147"/>
      <c r="HLR312" s="147"/>
      <c r="HLS312" s="147"/>
      <c r="HLT312" s="147"/>
      <c r="HLU312" s="147"/>
      <c r="HLV312" s="147"/>
      <c r="HLW312" s="147"/>
      <c r="HLX312" s="147"/>
      <c r="HLY312" s="147"/>
      <c r="HLZ312" s="147"/>
      <c r="HMA312" s="147"/>
      <c r="HMB312" s="147"/>
      <c r="HMC312" s="147"/>
      <c r="HMD312" s="147"/>
      <c r="HME312" s="147"/>
      <c r="HMF312" s="147"/>
      <c r="HMG312" s="147"/>
      <c r="HMH312" s="147"/>
      <c r="HMI312" s="147"/>
      <c r="HMJ312" s="147"/>
      <c r="HMK312" s="147"/>
      <c r="HML312" s="147"/>
      <c r="HMM312" s="147"/>
      <c r="HMN312" s="147"/>
      <c r="HMO312" s="147"/>
      <c r="HMP312" s="147"/>
      <c r="HMQ312" s="147"/>
      <c r="HMR312" s="147"/>
      <c r="HMS312" s="147"/>
      <c r="HMT312" s="147"/>
      <c r="HMU312" s="147"/>
      <c r="HMV312" s="147"/>
      <c r="HMW312" s="147"/>
      <c r="HMX312" s="147"/>
      <c r="HMY312" s="147"/>
      <c r="HMZ312" s="147"/>
      <c r="HNA312" s="147"/>
      <c r="HNB312" s="147"/>
      <c r="HNC312" s="147"/>
      <c r="HND312" s="147"/>
      <c r="HNE312" s="147"/>
      <c r="HNF312" s="147"/>
      <c r="HNG312" s="147"/>
      <c r="HNH312" s="147"/>
      <c r="HNI312" s="147"/>
      <c r="HNJ312" s="147"/>
      <c r="HNK312" s="147"/>
      <c r="HNL312" s="147"/>
      <c r="HNM312" s="147"/>
      <c r="HNN312" s="147"/>
      <c r="HNO312" s="147"/>
      <c r="HNP312" s="147"/>
      <c r="HNQ312" s="147"/>
      <c r="HNR312" s="147"/>
      <c r="HNS312" s="147"/>
      <c r="HNT312" s="147"/>
      <c r="HNU312" s="147"/>
      <c r="HNV312" s="147"/>
      <c r="HNW312" s="147"/>
      <c r="HNX312" s="147"/>
      <c r="HNY312" s="147"/>
      <c r="HNZ312" s="147"/>
      <c r="HOA312" s="147"/>
      <c r="HOB312" s="147"/>
      <c r="HOC312" s="147"/>
      <c r="HOD312" s="147"/>
      <c r="HOE312" s="147"/>
      <c r="HOF312" s="147"/>
      <c r="HOG312" s="147"/>
      <c r="HOH312" s="147"/>
      <c r="HOI312" s="147"/>
      <c r="HOJ312" s="147"/>
      <c r="HOK312" s="147"/>
      <c r="HOL312" s="147"/>
      <c r="HOM312" s="147"/>
      <c r="HON312" s="147"/>
      <c r="HOO312" s="147"/>
      <c r="HOP312" s="147"/>
      <c r="HOQ312" s="147"/>
      <c r="HOR312" s="147"/>
      <c r="HOS312" s="147"/>
      <c r="HOT312" s="147"/>
      <c r="HOU312" s="147"/>
      <c r="HOV312" s="147"/>
      <c r="HOW312" s="147"/>
      <c r="HOX312" s="147"/>
      <c r="HOY312" s="147"/>
      <c r="HOZ312" s="147"/>
      <c r="HPA312" s="147"/>
      <c r="HPB312" s="147"/>
      <c r="HPC312" s="147"/>
      <c r="HPD312" s="147"/>
      <c r="HPE312" s="147"/>
      <c r="HPF312" s="147"/>
      <c r="HPG312" s="147"/>
      <c r="HPH312" s="147"/>
      <c r="HPI312" s="147"/>
      <c r="HPJ312" s="147"/>
      <c r="HPK312" s="147"/>
      <c r="HPL312" s="147"/>
      <c r="HPM312" s="147"/>
      <c r="HPN312" s="147"/>
      <c r="HPO312" s="147"/>
      <c r="HPP312" s="147"/>
      <c r="HPQ312" s="147"/>
      <c r="HPR312" s="147"/>
      <c r="HPS312" s="147"/>
      <c r="HPT312" s="147"/>
      <c r="HPU312" s="147"/>
      <c r="HPV312" s="147"/>
      <c r="HPW312" s="147"/>
      <c r="HPX312" s="147"/>
      <c r="HPY312" s="147"/>
      <c r="HPZ312" s="147"/>
      <c r="HQA312" s="147"/>
      <c r="HQB312" s="147"/>
      <c r="HQC312" s="147"/>
      <c r="HQD312" s="147"/>
      <c r="HQE312" s="147"/>
      <c r="HQF312" s="147"/>
      <c r="HQG312" s="147"/>
      <c r="HQH312" s="147"/>
      <c r="HQI312" s="147"/>
      <c r="HQJ312" s="147"/>
      <c r="HQK312" s="147"/>
      <c r="HQL312" s="147"/>
      <c r="HQM312" s="147"/>
      <c r="HQN312" s="147"/>
      <c r="HQO312" s="147"/>
      <c r="HQP312" s="147"/>
      <c r="HQQ312" s="147"/>
      <c r="HQR312" s="147"/>
      <c r="HQS312" s="147"/>
      <c r="HQT312" s="147"/>
      <c r="HQU312" s="147"/>
      <c r="HQV312" s="147"/>
      <c r="HQW312" s="147"/>
      <c r="HQX312" s="147"/>
      <c r="HQY312" s="147"/>
      <c r="HQZ312" s="147"/>
      <c r="HRA312" s="147"/>
      <c r="HRB312" s="147"/>
      <c r="HRC312" s="147"/>
      <c r="HRD312" s="147"/>
      <c r="HRE312" s="147"/>
      <c r="HRF312" s="147"/>
      <c r="HRG312" s="147"/>
      <c r="HRH312" s="147"/>
      <c r="HRI312" s="147"/>
      <c r="HRJ312" s="147"/>
      <c r="HRK312" s="147"/>
      <c r="HRL312" s="147"/>
      <c r="HRM312" s="147"/>
      <c r="HRN312" s="147"/>
      <c r="HRO312" s="147"/>
      <c r="HRP312" s="147"/>
      <c r="HRQ312" s="147"/>
      <c r="HRR312" s="147"/>
      <c r="HRS312" s="147"/>
      <c r="HRT312" s="147"/>
      <c r="HRU312" s="147"/>
      <c r="HRV312" s="147"/>
      <c r="HRW312" s="147"/>
      <c r="HRX312" s="147"/>
      <c r="HRY312" s="147"/>
      <c r="HRZ312" s="147"/>
      <c r="HSA312" s="147"/>
      <c r="HSB312" s="147"/>
      <c r="HSC312" s="147"/>
      <c r="HSD312" s="147"/>
      <c r="HSE312" s="147"/>
      <c r="HSF312" s="147"/>
      <c r="HSG312" s="147"/>
      <c r="HSH312" s="147"/>
      <c r="HSI312" s="147"/>
      <c r="HSJ312" s="147"/>
      <c r="HSK312" s="147"/>
      <c r="HSL312" s="147"/>
      <c r="HSM312" s="147"/>
      <c r="HSN312" s="147"/>
      <c r="HSO312" s="147"/>
      <c r="HSP312" s="147"/>
      <c r="HSQ312" s="147"/>
      <c r="HSR312" s="147"/>
      <c r="HSS312" s="147"/>
      <c r="HST312" s="147"/>
      <c r="HSU312" s="147"/>
      <c r="HSV312" s="147"/>
      <c r="HSW312" s="147"/>
      <c r="HSX312" s="147"/>
      <c r="HSY312" s="147"/>
      <c r="HSZ312" s="147"/>
      <c r="HTA312" s="147"/>
      <c r="HTB312" s="147"/>
      <c r="HTC312" s="147"/>
      <c r="HTD312" s="147"/>
      <c r="HTE312" s="147"/>
      <c r="HTF312" s="147"/>
      <c r="HTG312" s="147"/>
      <c r="HTH312" s="147"/>
      <c r="HTI312" s="147"/>
      <c r="HTJ312" s="147"/>
      <c r="HTK312" s="147"/>
      <c r="HTL312" s="147"/>
      <c r="HTM312" s="147"/>
      <c r="HTN312" s="147"/>
      <c r="HTO312" s="147"/>
      <c r="HTP312" s="147"/>
      <c r="HTQ312" s="147"/>
      <c r="HTR312" s="147"/>
      <c r="HTS312" s="147"/>
      <c r="HTT312" s="147"/>
      <c r="HTU312" s="147"/>
      <c r="HTV312" s="147"/>
      <c r="HTW312" s="147"/>
      <c r="HTX312" s="147"/>
      <c r="HTY312" s="147"/>
      <c r="HTZ312" s="147"/>
      <c r="HUA312" s="147"/>
      <c r="HUB312" s="147"/>
      <c r="HUC312" s="147"/>
      <c r="HUD312" s="147"/>
      <c r="HUE312" s="147"/>
      <c r="HUF312" s="147"/>
      <c r="HUG312" s="147"/>
      <c r="HUH312" s="147"/>
      <c r="HUI312" s="147"/>
      <c r="HUJ312" s="147"/>
      <c r="HUK312" s="147"/>
      <c r="HUL312" s="147"/>
      <c r="HUM312" s="147"/>
      <c r="HUN312" s="147"/>
      <c r="HUO312" s="147"/>
      <c r="HUP312" s="147"/>
      <c r="HUQ312" s="147"/>
      <c r="HUR312" s="147"/>
      <c r="HUS312" s="147"/>
      <c r="HUT312" s="147"/>
      <c r="HUU312" s="147"/>
      <c r="HUV312" s="147"/>
      <c r="HUW312" s="147"/>
      <c r="HUX312" s="147"/>
      <c r="HUY312" s="147"/>
      <c r="HUZ312" s="147"/>
      <c r="HVA312" s="147"/>
      <c r="HVB312" s="147"/>
      <c r="HVC312" s="147"/>
      <c r="HVD312" s="147"/>
      <c r="HVE312" s="147"/>
      <c r="HVF312" s="147"/>
      <c r="HVG312" s="147"/>
      <c r="HVH312" s="147"/>
      <c r="HVI312" s="147"/>
      <c r="HVJ312" s="147"/>
      <c r="HVK312" s="147"/>
      <c r="HVL312" s="147"/>
      <c r="HVM312" s="147"/>
      <c r="HVN312" s="147"/>
      <c r="HVO312" s="147"/>
      <c r="HVP312" s="147"/>
      <c r="HVQ312" s="147"/>
      <c r="HVR312" s="147"/>
      <c r="HVS312" s="147"/>
      <c r="HVT312" s="147"/>
      <c r="HVU312" s="147"/>
      <c r="HVV312" s="147"/>
      <c r="HVW312" s="147"/>
      <c r="HVX312" s="147"/>
      <c r="HVY312" s="147"/>
      <c r="HVZ312" s="147"/>
      <c r="HWA312" s="147"/>
      <c r="HWB312" s="147"/>
      <c r="HWC312" s="147"/>
      <c r="HWD312" s="147"/>
      <c r="HWE312" s="147"/>
      <c r="HWF312" s="147"/>
      <c r="HWG312" s="147"/>
      <c r="HWH312" s="147"/>
      <c r="HWI312" s="147"/>
      <c r="HWJ312" s="147"/>
      <c r="HWK312" s="147"/>
      <c r="HWL312" s="147"/>
      <c r="HWM312" s="147"/>
      <c r="HWN312" s="147"/>
      <c r="HWO312" s="147"/>
      <c r="HWP312" s="147"/>
      <c r="HWQ312" s="147"/>
      <c r="HWR312" s="147"/>
      <c r="HWS312" s="147"/>
      <c r="HWT312" s="147"/>
      <c r="HWU312" s="147"/>
      <c r="HWV312" s="147"/>
      <c r="HWW312" s="147"/>
      <c r="HWX312" s="147"/>
      <c r="HWY312" s="147"/>
      <c r="HWZ312" s="147"/>
      <c r="HXA312" s="147"/>
      <c r="HXB312" s="147"/>
      <c r="HXC312" s="147"/>
      <c r="HXD312" s="147"/>
      <c r="HXE312" s="147"/>
      <c r="HXF312" s="147"/>
      <c r="HXG312" s="147"/>
      <c r="HXH312" s="147"/>
      <c r="HXI312" s="147"/>
      <c r="HXJ312" s="147"/>
      <c r="HXK312" s="147"/>
      <c r="HXL312" s="147"/>
      <c r="HXM312" s="147"/>
      <c r="HXN312" s="147"/>
      <c r="HXO312" s="147"/>
      <c r="HXP312" s="147"/>
      <c r="HXQ312" s="147"/>
      <c r="HXR312" s="147"/>
      <c r="HXS312" s="147"/>
      <c r="HXT312" s="147"/>
      <c r="HXU312" s="147"/>
      <c r="HXV312" s="147"/>
      <c r="HXW312" s="147"/>
      <c r="HXX312" s="147"/>
      <c r="HXY312" s="147"/>
      <c r="HXZ312" s="147"/>
      <c r="HYA312" s="147"/>
      <c r="HYB312" s="147"/>
      <c r="HYC312" s="147"/>
      <c r="HYD312" s="147"/>
      <c r="HYE312" s="147"/>
      <c r="HYF312" s="147"/>
      <c r="HYG312" s="147"/>
      <c r="HYH312" s="147"/>
      <c r="HYI312" s="147"/>
      <c r="HYJ312" s="147"/>
      <c r="HYK312" s="147"/>
      <c r="HYL312" s="147"/>
      <c r="HYM312" s="147"/>
      <c r="HYN312" s="147"/>
      <c r="HYO312" s="147"/>
      <c r="HYP312" s="147"/>
      <c r="HYQ312" s="147"/>
      <c r="HYR312" s="147"/>
      <c r="HYS312" s="147"/>
      <c r="HYT312" s="147"/>
      <c r="HYU312" s="147"/>
      <c r="HYV312" s="147"/>
      <c r="HYW312" s="147"/>
      <c r="HYX312" s="147"/>
      <c r="HYY312" s="147"/>
      <c r="HYZ312" s="147"/>
      <c r="HZA312" s="147"/>
      <c r="HZB312" s="147"/>
      <c r="HZC312" s="147"/>
      <c r="HZD312" s="147"/>
      <c r="HZE312" s="147"/>
      <c r="HZF312" s="147"/>
      <c r="HZG312" s="147"/>
      <c r="HZH312" s="147"/>
      <c r="HZI312" s="147"/>
      <c r="HZJ312" s="147"/>
      <c r="HZK312" s="147"/>
      <c r="HZL312" s="147"/>
      <c r="HZM312" s="147"/>
      <c r="HZN312" s="147"/>
      <c r="HZO312" s="147"/>
      <c r="HZP312" s="147"/>
      <c r="HZQ312" s="147"/>
      <c r="HZR312" s="147"/>
      <c r="HZS312" s="147"/>
      <c r="HZT312" s="147"/>
      <c r="HZU312" s="147"/>
      <c r="HZV312" s="147"/>
      <c r="HZW312" s="147"/>
      <c r="HZX312" s="147"/>
      <c r="HZY312" s="147"/>
      <c r="HZZ312" s="147"/>
      <c r="IAA312" s="147"/>
      <c r="IAB312" s="147"/>
      <c r="IAC312" s="147"/>
      <c r="IAD312" s="147"/>
      <c r="IAE312" s="147"/>
      <c r="IAF312" s="147"/>
      <c r="IAG312" s="147"/>
      <c r="IAH312" s="147"/>
      <c r="IAI312" s="147"/>
      <c r="IAJ312" s="147"/>
      <c r="IAK312" s="147"/>
      <c r="IAL312" s="147"/>
      <c r="IAM312" s="147"/>
      <c r="IAN312" s="147"/>
      <c r="IAO312" s="147"/>
      <c r="IAP312" s="147"/>
      <c r="IAQ312" s="147"/>
      <c r="IAR312" s="147"/>
      <c r="IAS312" s="147"/>
      <c r="IAT312" s="147"/>
      <c r="IAU312" s="147"/>
      <c r="IAV312" s="147"/>
      <c r="IAW312" s="147"/>
      <c r="IAX312" s="147"/>
      <c r="IAY312" s="147"/>
      <c r="IAZ312" s="147"/>
      <c r="IBA312" s="147"/>
      <c r="IBB312" s="147"/>
      <c r="IBC312" s="147"/>
      <c r="IBD312" s="147"/>
      <c r="IBE312" s="147"/>
      <c r="IBF312" s="147"/>
      <c r="IBG312" s="147"/>
      <c r="IBH312" s="147"/>
      <c r="IBI312" s="147"/>
      <c r="IBJ312" s="147"/>
      <c r="IBK312" s="147"/>
      <c r="IBL312" s="147"/>
      <c r="IBM312" s="147"/>
      <c r="IBN312" s="147"/>
      <c r="IBO312" s="147"/>
      <c r="IBP312" s="147"/>
      <c r="IBQ312" s="147"/>
      <c r="IBR312" s="147"/>
      <c r="IBS312" s="147"/>
      <c r="IBT312" s="147"/>
      <c r="IBU312" s="147"/>
      <c r="IBV312" s="147"/>
      <c r="IBW312" s="147"/>
      <c r="IBX312" s="147"/>
      <c r="IBY312" s="147"/>
      <c r="IBZ312" s="147"/>
      <c r="ICA312" s="147"/>
      <c r="ICB312" s="147"/>
      <c r="ICC312" s="147"/>
      <c r="ICD312" s="147"/>
      <c r="ICE312" s="147"/>
      <c r="ICF312" s="147"/>
      <c r="ICG312" s="147"/>
      <c r="ICH312" s="147"/>
      <c r="ICI312" s="147"/>
      <c r="ICJ312" s="147"/>
      <c r="ICK312" s="147"/>
      <c r="ICL312" s="147"/>
      <c r="ICM312" s="147"/>
      <c r="ICN312" s="147"/>
      <c r="ICO312" s="147"/>
      <c r="ICP312" s="147"/>
      <c r="ICQ312" s="147"/>
      <c r="ICR312" s="147"/>
      <c r="ICS312" s="147"/>
      <c r="ICT312" s="147"/>
      <c r="ICU312" s="147"/>
      <c r="ICV312" s="147"/>
      <c r="ICW312" s="147"/>
      <c r="ICX312" s="147"/>
      <c r="ICY312" s="147"/>
      <c r="ICZ312" s="147"/>
      <c r="IDA312" s="147"/>
      <c r="IDB312" s="147"/>
      <c r="IDC312" s="147"/>
      <c r="IDD312" s="147"/>
      <c r="IDE312" s="147"/>
      <c r="IDF312" s="147"/>
      <c r="IDG312" s="147"/>
      <c r="IDH312" s="147"/>
      <c r="IDI312" s="147"/>
      <c r="IDJ312" s="147"/>
      <c r="IDK312" s="147"/>
      <c r="IDL312" s="147"/>
      <c r="IDM312" s="147"/>
      <c r="IDN312" s="147"/>
      <c r="IDO312" s="147"/>
      <c r="IDP312" s="147"/>
      <c r="IDQ312" s="147"/>
      <c r="IDR312" s="147"/>
      <c r="IDS312" s="147"/>
      <c r="IDT312" s="147"/>
      <c r="IDU312" s="147"/>
      <c r="IDV312" s="147"/>
      <c r="IDW312" s="147"/>
      <c r="IDX312" s="147"/>
      <c r="IDY312" s="147"/>
      <c r="IDZ312" s="147"/>
      <c r="IEA312" s="147"/>
      <c r="IEB312" s="147"/>
      <c r="IEC312" s="147"/>
      <c r="IED312" s="147"/>
      <c r="IEE312" s="147"/>
      <c r="IEF312" s="147"/>
      <c r="IEG312" s="147"/>
      <c r="IEH312" s="147"/>
      <c r="IEI312" s="147"/>
      <c r="IEJ312" s="147"/>
      <c r="IEK312" s="147"/>
      <c r="IEL312" s="147"/>
      <c r="IEM312" s="147"/>
      <c r="IEN312" s="147"/>
      <c r="IEO312" s="147"/>
      <c r="IEP312" s="147"/>
      <c r="IEQ312" s="147"/>
      <c r="IER312" s="147"/>
      <c r="IES312" s="147"/>
      <c r="IET312" s="147"/>
      <c r="IEU312" s="147"/>
      <c r="IEV312" s="147"/>
      <c r="IEW312" s="147"/>
      <c r="IEX312" s="147"/>
      <c r="IEY312" s="147"/>
      <c r="IEZ312" s="147"/>
      <c r="IFA312" s="147"/>
      <c r="IFB312" s="147"/>
      <c r="IFC312" s="147"/>
      <c r="IFD312" s="147"/>
      <c r="IFE312" s="147"/>
      <c r="IFF312" s="147"/>
      <c r="IFG312" s="147"/>
      <c r="IFH312" s="147"/>
      <c r="IFI312" s="147"/>
      <c r="IFJ312" s="147"/>
      <c r="IFK312" s="147"/>
      <c r="IFL312" s="147"/>
      <c r="IFM312" s="147"/>
      <c r="IFN312" s="147"/>
      <c r="IFO312" s="147"/>
      <c r="IFP312" s="147"/>
      <c r="IFQ312" s="147"/>
      <c r="IFR312" s="147"/>
      <c r="IFS312" s="147"/>
      <c r="IFT312" s="147"/>
      <c r="IFU312" s="147"/>
      <c r="IFV312" s="147"/>
      <c r="IFW312" s="147"/>
      <c r="IFX312" s="147"/>
      <c r="IFY312" s="147"/>
      <c r="IFZ312" s="147"/>
      <c r="IGA312" s="147"/>
      <c r="IGB312" s="147"/>
      <c r="IGC312" s="147"/>
      <c r="IGD312" s="147"/>
      <c r="IGE312" s="147"/>
      <c r="IGF312" s="147"/>
      <c r="IGG312" s="147"/>
      <c r="IGH312" s="147"/>
      <c r="IGI312" s="147"/>
      <c r="IGJ312" s="147"/>
      <c r="IGK312" s="147"/>
      <c r="IGL312" s="147"/>
      <c r="IGM312" s="147"/>
      <c r="IGN312" s="147"/>
      <c r="IGO312" s="147"/>
      <c r="IGP312" s="147"/>
      <c r="IGQ312" s="147"/>
      <c r="IGR312" s="147"/>
      <c r="IGS312" s="147"/>
      <c r="IGT312" s="147"/>
      <c r="IGU312" s="147"/>
      <c r="IGV312" s="147"/>
      <c r="IGW312" s="147"/>
      <c r="IGX312" s="147"/>
      <c r="IGY312" s="147"/>
      <c r="IGZ312" s="147"/>
      <c r="IHA312" s="147"/>
      <c r="IHB312" s="147"/>
      <c r="IHC312" s="147"/>
      <c r="IHD312" s="147"/>
      <c r="IHE312" s="147"/>
      <c r="IHF312" s="147"/>
      <c r="IHG312" s="147"/>
      <c r="IHH312" s="147"/>
      <c r="IHI312" s="147"/>
      <c r="IHJ312" s="147"/>
      <c r="IHK312" s="147"/>
      <c r="IHL312" s="147"/>
      <c r="IHM312" s="147"/>
      <c r="IHN312" s="147"/>
      <c r="IHO312" s="147"/>
      <c r="IHP312" s="147"/>
      <c r="IHQ312" s="147"/>
      <c r="IHR312" s="147"/>
      <c r="IHS312" s="147"/>
      <c r="IHT312" s="147"/>
      <c r="IHU312" s="147"/>
      <c r="IHV312" s="147"/>
      <c r="IHW312" s="147"/>
      <c r="IHX312" s="147"/>
      <c r="IHY312" s="147"/>
      <c r="IHZ312" s="147"/>
      <c r="IIA312" s="147"/>
      <c r="IIB312" s="147"/>
      <c r="IIC312" s="147"/>
      <c r="IID312" s="147"/>
      <c r="IIE312" s="147"/>
      <c r="IIF312" s="147"/>
      <c r="IIG312" s="147"/>
      <c r="IIH312" s="147"/>
      <c r="III312" s="147"/>
      <c r="IIJ312" s="147"/>
      <c r="IIK312" s="147"/>
      <c r="IIL312" s="147"/>
      <c r="IIM312" s="147"/>
      <c r="IIN312" s="147"/>
      <c r="IIO312" s="147"/>
      <c r="IIP312" s="147"/>
      <c r="IIQ312" s="147"/>
      <c r="IIR312" s="147"/>
      <c r="IIS312" s="147"/>
      <c r="IIT312" s="147"/>
      <c r="IIU312" s="147"/>
      <c r="IIV312" s="147"/>
      <c r="IIW312" s="147"/>
      <c r="IIX312" s="147"/>
      <c r="IIY312" s="147"/>
      <c r="IIZ312" s="147"/>
      <c r="IJA312" s="147"/>
      <c r="IJB312" s="147"/>
      <c r="IJC312" s="147"/>
      <c r="IJD312" s="147"/>
      <c r="IJE312" s="147"/>
      <c r="IJF312" s="147"/>
      <c r="IJG312" s="147"/>
      <c r="IJH312" s="147"/>
      <c r="IJI312" s="147"/>
      <c r="IJJ312" s="147"/>
      <c r="IJK312" s="147"/>
      <c r="IJL312" s="147"/>
      <c r="IJM312" s="147"/>
      <c r="IJN312" s="147"/>
      <c r="IJO312" s="147"/>
      <c r="IJP312" s="147"/>
      <c r="IJQ312" s="147"/>
      <c r="IJR312" s="147"/>
      <c r="IJS312" s="147"/>
      <c r="IJT312" s="147"/>
      <c r="IJU312" s="147"/>
      <c r="IJV312" s="147"/>
      <c r="IJW312" s="147"/>
      <c r="IJX312" s="147"/>
      <c r="IJY312" s="147"/>
      <c r="IJZ312" s="147"/>
      <c r="IKA312" s="147"/>
      <c r="IKB312" s="147"/>
      <c r="IKC312" s="147"/>
      <c r="IKD312" s="147"/>
      <c r="IKE312" s="147"/>
      <c r="IKF312" s="147"/>
      <c r="IKG312" s="147"/>
      <c r="IKH312" s="147"/>
      <c r="IKI312" s="147"/>
      <c r="IKJ312" s="147"/>
      <c r="IKK312" s="147"/>
      <c r="IKL312" s="147"/>
      <c r="IKM312" s="147"/>
      <c r="IKN312" s="147"/>
      <c r="IKO312" s="147"/>
      <c r="IKP312" s="147"/>
      <c r="IKQ312" s="147"/>
      <c r="IKR312" s="147"/>
      <c r="IKS312" s="147"/>
      <c r="IKT312" s="147"/>
      <c r="IKU312" s="147"/>
      <c r="IKV312" s="147"/>
      <c r="IKW312" s="147"/>
      <c r="IKX312" s="147"/>
      <c r="IKY312" s="147"/>
      <c r="IKZ312" s="147"/>
      <c r="ILA312" s="147"/>
      <c r="ILB312" s="147"/>
      <c r="ILC312" s="147"/>
      <c r="ILD312" s="147"/>
      <c r="ILE312" s="147"/>
      <c r="ILF312" s="147"/>
      <c r="ILG312" s="147"/>
      <c r="ILH312" s="147"/>
      <c r="ILI312" s="147"/>
      <c r="ILJ312" s="147"/>
      <c r="ILK312" s="147"/>
      <c r="ILL312" s="147"/>
      <c r="ILM312" s="147"/>
      <c r="ILN312" s="147"/>
      <c r="ILO312" s="147"/>
      <c r="ILP312" s="147"/>
      <c r="ILQ312" s="147"/>
      <c r="ILR312" s="147"/>
      <c r="ILS312" s="147"/>
      <c r="ILT312" s="147"/>
      <c r="ILU312" s="147"/>
      <c r="ILV312" s="147"/>
      <c r="ILW312" s="147"/>
      <c r="ILX312" s="147"/>
      <c r="ILY312" s="147"/>
      <c r="ILZ312" s="147"/>
      <c r="IMA312" s="147"/>
      <c r="IMB312" s="147"/>
      <c r="IMC312" s="147"/>
      <c r="IMD312" s="147"/>
      <c r="IME312" s="147"/>
      <c r="IMF312" s="147"/>
      <c r="IMG312" s="147"/>
      <c r="IMH312" s="147"/>
      <c r="IMI312" s="147"/>
      <c r="IMJ312" s="147"/>
      <c r="IMK312" s="147"/>
      <c r="IML312" s="147"/>
      <c r="IMM312" s="147"/>
      <c r="IMN312" s="147"/>
      <c r="IMO312" s="147"/>
      <c r="IMP312" s="147"/>
      <c r="IMQ312" s="147"/>
      <c r="IMR312" s="147"/>
      <c r="IMS312" s="147"/>
      <c r="IMT312" s="147"/>
      <c r="IMU312" s="147"/>
      <c r="IMV312" s="147"/>
      <c r="IMW312" s="147"/>
      <c r="IMX312" s="147"/>
      <c r="IMY312" s="147"/>
      <c r="IMZ312" s="147"/>
      <c r="INA312" s="147"/>
      <c r="INB312" s="147"/>
      <c r="INC312" s="147"/>
      <c r="IND312" s="147"/>
      <c r="INE312" s="147"/>
      <c r="INF312" s="147"/>
      <c r="ING312" s="147"/>
      <c r="INH312" s="147"/>
      <c r="INI312" s="147"/>
      <c r="INJ312" s="147"/>
      <c r="INK312" s="147"/>
      <c r="INL312" s="147"/>
      <c r="INM312" s="147"/>
      <c r="INN312" s="147"/>
      <c r="INO312" s="147"/>
      <c r="INP312" s="147"/>
      <c r="INQ312" s="147"/>
      <c r="INR312" s="147"/>
      <c r="INS312" s="147"/>
      <c r="INT312" s="147"/>
      <c r="INU312" s="147"/>
      <c r="INV312" s="147"/>
      <c r="INW312" s="147"/>
      <c r="INX312" s="147"/>
      <c r="INY312" s="147"/>
      <c r="INZ312" s="147"/>
      <c r="IOA312" s="147"/>
      <c r="IOB312" s="147"/>
      <c r="IOC312" s="147"/>
      <c r="IOD312" s="147"/>
      <c r="IOE312" s="147"/>
      <c r="IOF312" s="147"/>
      <c r="IOG312" s="147"/>
      <c r="IOH312" s="147"/>
      <c r="IOI312" s="147"/>
      <c r="IOJ312" s="147"/>
      <c r="IOK312" s="147"/>
      <c r="IOL312" s="147"/>
      <c r="IOM312" s="147"/>
      <c r="ION312" s="147"/>
      <c r="IOO312" s="147"/>
      <c r="IOP312" s="147"/>
      <c r="IOQ312" s="147"/>
      <c r="IOR312" s="147"/>
      <c r="IOS312" s="147"/>
      <c r="IOT312" s="147"/>
      <c r="IOU312" s="147"/>
      <c r="IOV312" s="147"/>
      <c r="IOW312" s="147"/>
      <c r="IOX312" s="147"/>
      <c r="IOY312" s="147"/>
      <c r="IOZ312" s="147"/>
      <c r="IPA312" s="147"/>
      <c r="IPB312" s="147"/>
      <c r="IPC312" s="147"/>
      <c r="IPD312" s="147"/>
      <c r="IPE312" s="147"/>
      <c r="IPF312" s="147"/>
      <c r="IPG312" s="147"/>
      <c r="IPH312" s="147"/>
      <c r="IPI312" s="147"/>
      <c r="IPJ312" s="147"/>
      <c r="IPK312" s="147"/>
      <c r="IPL312" s="147"/>
      <c r="IPM312" s="147"/>
      <c r="IPN312" s="147"/>
      <c r="IPO312" s="147"/>
      <c r="IPP312" s="147"/>
      <c r="IPQ312" s="147"/>
      <c r="IPR312" s="147"/>
      <c r="IPS312" s="147"/>
      <c r="IPT312" s="147"/>
      <c r="IPU312" s="147"/>
      <c r="IPV312" s="147"/>
      <c r="IPW312" s="147"/>
      <c r="IPX312" s="147"/>
      <c r="IPY312" s="147"/>
      <c r="IPZ312" s="147"/>
      <c r="IQA312" s="147"/>
      <c r="IQB312" s="147"/>
      <c r="IQC312" s="147"/>
      <c r="IQD312" s="147"/>
      <c r="IQE312" s="147"/>
      <c r="IQF312" s="147"/>
      <c r="IQG312" s="147"/>
      <c r="IQH312" s="147"/>
      <c r="IQI312" s="147"/>
      <c r="IQJ312" s="147"/>
      <c r="IQK312" s="147"/>
      <c r="IQL312" s="147"/>
      <c r="IQM312" s="147"/>
      <c r="IQN312" s="147"/>
      <c r="IQO312" s="147"/>
      <c r="IQP312" s="147"/>
      <c r="IQQ312" s="147"/>
      <c r="IQR312" s="147"/>
      <c r="IQS312" s="147"/>
      <c r="IQT312" s="147"/>
      <c r="IQU312" s="147"/>
      <c r="IQV312" s="147"/>
      <c r="IQW312" s="147"/>
      <c r="IQX312" s="147"/>
      <c r="IQY312" s="147"/>
      <c r="IQZ312" s="147"/>
      <c r="IRA312" s="147"/>
      <c r="IRB312" s="147"/>
      <c r="IRC312" s="147"/>
      <c r="IRD312" s="147"/>
      <c r="IRE312" s="147"/>
      <c r="IRF312" s="147"/>
      <c r="IRG312" s="147"/>
      <c r="IRH312" s="147"/>
      <c r="IRI312" s="147"/>
      <c r="IRJ312" s="147"/>
      <c r="IRK312" s="147"/>
      <c r="IRL312" s="147"/>
      <c r="IRM312" s="147"/>
      <c r="IRN312" s="147"/>
      <c r="IRO312" s="147"/>
      <c r="IRP312" s="147"/>
      <c r="IRQ312" s="147"/>
      <c r="IRR312" s="147"/>
      <c r="IRS312" s="147"/>
      <c r="IRT312" s="147"/>
      <c r="IRU312" s="147"/>
      <c r="IRV312" s="147"/>
      <c r="IRW312" s="147"/>
      <c r="IRX312" s="147"/>
      <c r="IRY312" s="147"/>
      <c r="IRZ312" s="147"/>
      <c r="ISA312" s="147"/>
      <c r="ISB312" s="147"/>
      <c r="ISC312" s="147"/>
      <c r="ISD312" s="147"/>
      <c r="ISE312" s="147"/>
      <c r="ISF312" s="147"/>
      <c r="ISG312" s="147"/>
      <c r="ISH312" s="147"/>
      <c r="ISI312" s="147"/>
      <c r="ISJ312" s="147"/>
      <c r="ISK312" s="147"/>
      <c r="ISL312" s="147"/>
      <c r="ISM312" s="147"/>
      <c r="ISN312" s="147"/>
      <c r="ISO312" s="147"/>
      <c r="ISP312" s="147"/>
      <c r="ISQ312" s="147"/>
      <c r="ISR312" s="147"/>
      <c r="ISS312" s="147"/>
      <c r="IST312" s="147"/>
      <c r="ISU312" s="147"/>
      <c r="ISV312" s="147"/>
      <c r="ISW312" s="147"/>
      <c r="ISX312" s="147"/>
      <c r="ISY312" s="147"/>
      <c r="ISZ312" s="147"/>
      <c r="ITA312" s="147"/>
      <c r="ITB312" s="147"/>
      <c r="ITC312" s="147"/>
      <c r="ITD312" s="147"/>
      <c r="ITE312" s="147"/>
      <c r="ITF312" s="147"/>
      <c r="ITG312" s="147"/>
      <c r="ITH312" s="147"/>
      <c r="ITI312" s="147"/>
      <c r="ITJ312" s="147"/>
      <c r="ITK312" s="147"/>
      <c r="ITL312" s="147"/>
      <c r="ITM312" s="147"/>
      <c r="ITN312" s="147"/>
      <c r="ITO312" s="147"/>
      <c r="ITP312" s="147"/>
      <c r="ITQ312" s="147"/>
      <c r="ITR312" s="147"/>
      <c r="ITS312" s="147"/>
      <c r="ITT312" s="147"/>
      <c r="ITU312" s="147"/>
      <c r="ITV312" s="147"/>
      <c r="ITW312" s="147"/>
      <c r="ITX312" s="147"/>
      <c r="ITY312" s="147"/>
      <c r="ITZ312" s="147"/>
      <c r="IUA312" s="147"/>
      <c r="IUB312" s="147"/>
      <c r="IUC312" s="147"/>
      <c r="IUD312" s="147"/>
      <c r="IUE312" s="147"/>
      <c r="IUF312" s="147"/>
      <c r="IUG312" s="147"/>
      <c r="IUH312" s="147"/>
      <c r="IUI312" s="147"/>
      <c r="IUJ312" s="147"/>
      <c r="IUK312" s="147"/>
      <c r="IUL312" s="147"/>
      <c r="IUM312" s="147"/>
      <c r="IUN312" s="147"/>
      <c r="IUO312" s="147"/>
      <c r="IUP312" s="147"/>
      <c r="IUQ312" s="147"/>
      <c r="IUR312" s="147"/>
      <c r="IUS312" s="147"/>
      <c r="IUT312" s="147"/>
      <c r="IUU312" s="147"/>
      <c r="IUV312" s="147"/>
      <c r="IUW312" s="147"/>
      <c r="IUX312" s="147"/>
      <c r="IUY312" s="147"/>
      <c r="IUZ312" s="147"/>
      <c r="IVA312" s="147"/>
      <c r="IVB312" s="147"/>
      <c r="IVC312" s="147"/>
      <c r="IVD312" s="147"/>
      <c r="IVE312" s="147"/>
      <c r="IVF312" s="147"/>
      <c r="IVG312" s="147"/>
      <c r="IVH312" s="147"/>
      <c r="IVI312" s="147"/>
      <c r="IVJ312" s="147"/>
      <c r="IVK312" s="147"/>
      <c r="IVL312" s="147"/>
      <c r="IVM312" s="147"/>
      <c r="IVN312" s="147"/>
      <c r="IVO312" s="147"/>
      <c r="IVP312" s="147"/>
      <c r="IVQ312" s="147"/>
      <c r="IVR312" s="147"/>
      <c r="IVS312" s="147"/>
      <c r="IVT312" s="147"/>
      <c r="IVU312" s="147"/>
      <c r="IVV312" s="147"/>
      <c r="IVW312" s="147"/>
      <c r="IVX312" s="147"/>
      <c r="IVY312" s="147"/>
      <c r="IVZ312" s="147"/>
      <c r="IWA312" s="147"/>
      <c r="IWB312" s="147"/>
      <c r="IWC312" s="147"/>
      <c r="IWD312" s="147"/>
      <c r="IWE312" s="147"/>
      <c r="IWF312" s="147"/>
      <c r="IWG312" s="147"/>
      <c r="IWH312" s="147"/>
      <c r="IWI312" s="147"/>
      <c r="IWJ312" s="147"/>
      <c r="IWK312" s="147"/>
      <c r="IWL312" s="147"/>
      <c r="IWM312" s="147"/>
      <c r="IWN312" s="147"/>
      <c r="IWO312" s="147"/>
      <c r="IWP312" s="147"/>
      <c r="IWQ312" s="147"/>
      <c r="IWR312" s="147"/>
      <c r="IWS312" s="147"/>
      <c r="IWT312" s="147"/>
      <c r="IWU312" s="147"/>
      <c r="IWV312" s="147"/>
      <c r="IWW312" s="147"/>
      <c r="IWX312" s="147"/>
      <c r="IWY312" s="147"/>
      <c r="IWZ312" s="147"/>
      <c r="IXA312" s="147"/>
      <c r="IXB312" s="147"/>
      <c r="IXC312" s="147"/>
      <c r="IXD312" s="147"/>
      <c r="IXE312" s="147"/>
      <c r="IXF312" s="147"/>
      <c r="IXG312" s="147"/>
      <c r="IXH312" s="147"/>
      <c r="IXI312" s="147"/>
      <c r="IXJ312" s="147"/>
      <c r="IXK312" s="147"/>
      <c r="IXL312" s="147"/>
      <c r="IXM312" s="147"/>
      <c r="IXN312" s="147"/>
      <c r="IXO312" s="147"/>
      <c r="IXP312" s="147"/>
      <c r="IXQ312" s="147"/>
      <c r="IXR312" s="147"/>
      <c r="IXS312" s="147"/>
      <c r="IXT312" s="147"/>
      <c r="IXU312" s="147"/>
      <c r="IXV312" s="147"/>
      <c r="IXW312" s="147"/>
      <c r="IXX312" s="147"/>
      <c r="IXY312" s="147"/>
      <c r="IXZ312" s="147"/>
      <c r="IYA312" s="147"/>
      <c r="IYB312" s="147"/>
      <c r="IYC312" s="147"/>
      <c r="IYD312" s="147"/>
      <c r="IYE312" s="147"/>
      <c r="IYF312" s="147"/>
      <c r="IYG312" s="147"/>
      <c r="IYH312" s="147"/>
      <c r="IYI312" s="147"/>
      <c r="IYJ312" s="147"/>
      <c r="IYK312" s="147"/>
      <c r="IYL312" s="147"/>
      <c r="IYM312" s="147"/>
      <c r="IYN312" s="147"/>
      <c r="IYO312" s="147"/>
      <c r="IYP312" s="147"/>
      <c r="IYQ312" s="147"/>
      <c r="IYR312" s="147"/>
      <c r="IYS312" s="147"/>
      <c r="IYT312" s="147"/>
      <c r="IYU312" s="147"/>
      <c r="IYV312" s="147"/>
      <c r="IYW312" s="147"/>
      <c r="IYX312" s="147"/>
      <c r="IYY312" s="147"/>
      <c r="IYZ312" s="147"/>
      <c r="IZA312" s="147"/>
      <c r="IZB312" s="147"/>
      <c r="IZC312" s="147"/>
      <c r="IZD312" s="147"/>
      <c r="IZE312" s="147"/>
      <c r="IZF312" s="147"/>
      <c r="IZG312" s="147"/>
      <c r="IZH312" s="147"/>
      <c r="IZI312" s="147"/>
      <c r="IZJ312" s="147"/>
      <c r="IZK312" s="147"/>
      <c r="IZL312" s="147"/>
      <c r="IZM312" s="147"/>
      <c r="IZN312" s="147"/>
      <c r="IZO312" s="147"/>
      <c r="IZP312" s="147"/>
      <c r="IZQ312" s="147"/>
      <c r="IZR312" s="147"/>
      <c r="IZS312" s="147"/>
      <c r="IZT312" s="147"/>
      <c r="IZU312" s="147"/>
      <c r="IZV312" s="147"/>
      <c r="IZW312" s="147"/>
      <c r="IZX312" s="147"/>
      <c r="IZY312" s="147"/>
      <c r="IZZ312" s="147"/>
      <c r="JAA312" s="147"/>
      <c r="JAB312" s="147"/>
      <c r="JAC312" s="147"/>
      <c r="JAD312" s="147"/>
      <c r="JAE312" s="147"/>
      <c r="JAF312" s="147"/>
      <c r="JAG312" s="147"/>
      <c r="JAH312" s="147"/>
      <c r="JAI312" s="147"/>
      <c r="JAJ312" s="147"/>
      <c r="JAK312" s="147"/>
      <c r="JAL312" s="147"/>
      <c r="JAM312" s="147"/>
      <c r="JAN312" s="147"/>
      <c r="JAO312" s="147"/>
      <c r="JAP312" s="147"/>
      <c r="JAQ312" s="147"/>
      <c r="JAR312" s="147"/>
      <c r="JAS312" s="147"/>
      <c r="JAT312" s="147"/>
      <c r="JAU312" s="147"/>
      <c r="JAV312" s="147"/>
      <c r="JAW312" s="147"/>
      <c r="JAX312" s="147"/>
      <c r="JAY312" s="147"/>
      <c r="JAZ312" s="147"/>
      <c r="JBA312" s="147"/>
      <c r="JBB312" s="147"/>
      <c r="JBC312" s="147"/>
      <c r="JBD312" s="147"/>
      <c r="JBE312" s="147"/>
      <c r="JBF312" s="147"/>
      <c r="JBG312" s="147"/>
      <c r="JBH312" s="147"/>
      <c r="JBI312" s="147"/>
      <c r="JBJ312" s="147"/>
      <c r="JBK312" s="147"/>
      <c r="JBL312" s="147"/>
      <c r="JBM312" s="147"/>
      <c r="JBN312" s="147"/>
      <c r="JBO312" s="147"/>
      <c r="JBP312" s="147"/>
      <c r="JBQ312" s="147"/>
      <c r="JBR312" s="147"/>
      <c r="JBS312" s="147"/>
      <c r="JBT312" s="147"/>
      <c r="JBU312" s="147"/>
      <c r="JBV312" s="147"/>
      <c r="JBW312" s="147"/>
      <c r="JBX312" s="147"/>
      <c r="JBY312" s="147"/>
      <c r="JBZ312" s="147"/>
      <c r="JCA312" s="147"/>
      <c r="JCB312" s="147"/>
      <c r="JCC312" s="147"/>
      <c r="JCD312" s="147"/>
      <c r="JCE312" s="147"/>
      <c r="JCF312" s="147"/>
      <c r="JCG312" s="147"/>
      <c r="JCH312" s="147"/>
      <c r="JCI312" s="147"/>
      <c r="JCJ312" s="147"/>
      <c r="JCK312" s="147"/>
      <c r="JCL312" s="147"/>
      <c r="JCM312" s="147"/>
      <c r="JCN312" s="147"/>
      <c r="JCO312" s="147"/>
      <c r="JCP312" s="147"/>
      <c r="JCQ312" s="147"/>
      <c r="JCR312" s="147"/>
      <c r="JCS312" s="147"/>
      <c r="JCT312" s="147"/>
      <c r="JCU312" s="147"/>
      <c r="JCV312" s="147"/>
      <c r="JCW312" s="147"/>
      <c r="JCX312" s="147"/>
      <c r="JCY312" s="147"/>
      <c r="JCZ312" s="147"/>
      <c r="JDA312" s="147"/>
      <c r="JDB312" s="147"/>
      <c r="JDC312" s="147"/>
      <c r="JDD312" s="147"/>
      <c r="JDE312" s="147"/>
      <c r="JDF312" s="147"/>
      <c r="JDG312" s="147"/>
      <c r="JDH312" s="147"/>
      <c r="JDI312" s="147"/>
      <c r="JDJ312" s="147"/>
      <c r="JDK312" s="147"/>
      <c r="JDL312" s="147"/>
      <c r="JDM312" s="147"/>
      <c r="JDN312" s="147"/>
      <c r="JDO312" s="147"/>
      <c r="JDP312" s="147"/>
      <c r="JDQ312" s="147"/>
      <c r="JDR312" s="147"/>
      <c r="JDS312" s="147"/>
      <c r="JDT312" s="147"/>
      <c r="JDU312" s="147"/>
      <c r="JDV312" s="147"/>
      <c r="JDW312" s="147"/>
      <c r="JDX312" s="147"/>
      <c r="JDY312" s="147"/>
      <c r="JDZ312" s="147"/>
      <c r="JEA312" s="147"/>
      <c r="JEB312" s="147"/>
      <c r="JEC312" s="147"/>
      <c r="JED312" s="147"/>
      <c r="JEE312" s="147"/>
      <c r="JEF312" s="147"/>
      <c r="JEG312" s="147"/>
      <c r="JEH312" s="147"/>
      <c r="JEI312" s="147"/>
      <c r="JEJ312" s="147"/>
      <c r="JEK312" s="147"/>
      <c r="JEL312" s="147"/>
      <c r="JEM312" s="147"/>
      <c r="JEN312" s="147"/>
      <c r="JEO312" s="147"/>
      <c r="JEP312" s="147"/>
      <c r="JEQ312" s="147"/>
      <c r="JER312" s="147"/>
      <c r="JES312" s="147"/>
      <c r="JET312" s="147"/>
      <c r="JEU312" s="147"/>
      <c r="JEV312" s="147"/>
      <c r="JEW312" s="147"/>
      <c r="JEX312" s="147"/>
      <c r="JEY312" s="147"/>
      <c r="JEZ312" s="147"/>
      <c r="JFA312" s="147"/>
      <c r="JFB312" s="147"/>
      <c r="JFC312" s="147"/>
      <c r="JFD312" s="147"/>
      <c r="JFE312" s="147"/>
      <c r="JFF312" s="147"/>
      <c r="JFG312" s="147"/>
      <c r="JFH312" s="147"/>
      <c r="JFI312" s="147"/>
      <c r="JFJ312" s="147"/>
      <c r="JFK312" s="147"/>
      <c r="JFL312" s="147"/>
      <c r="JFM312" s="147"/>
      <c r="JFN312" s="147"/>
      <c r="JFO312" s="147"/>
      <c r="JFP312" s="147"/>
      <c r="JFQ312" s="147"/>
      <c r="JFR312" s="147"/>
      <c r="JFS312" s="147"/>
      <c r="JFT312" s="147"/>
      <c r="JFU312" s="147"/>
      <c r="JFV312" s="147"/>
      <c r="JFW312" s="147"/>
      <c r="JFX312" s="147"/>
      <c r="JFY312" s="147"/>
      <c r="JFZ312" s="147"/>
      <c r="JGA312" s="147"/>
      <c r="JGB312" s="147"/>
      <c r="JGC312" s="147"/>
      <c r="JGD312" s="147"/>
      <c r="JGE312" s="147"/>
      <c r="JGF312" s="147"/>
      <c r="JGG312" s="147"/>
      <c r="JGH312" s="147"/>
      <c r="JGI312" s="147"/>
      <c r="JGJ312" s="147"/>
      <c r="JGK312" s="147"/>
      <c r="JGL312" s="147"/>
      <c r="JGM312" s="147"/>
      <c r="JGN312" s="147"/>
      <c r="JGO312" s="147"/>
      <c r="JGP312" s="147"/>
      <c r="JGQ312" s="147"/>
      <c r="JGR312" s="147"/>
      <c r="JGS312" s="147"/>
      <c r="JGT312" s="147"/>
      <c r="JGU312" s="147"/>
      <c r="JGV312" s="147"/>
      <c r="JGW312" s="147"/>
      <c r="JGX312" s="147"/>
      <c r="JGY312" s="147"/>
      <c r="JGZ312" s="147"/>
      <c r="JHA312" s="147"/>
      <c r="JHB312" s="147"/>
      <c r="JHC312" s="147"/>
      <c r="JHD312" s="147"/>
      <c r="JHE312" s="147"/>
      <c r="JHF312" s="147"/>
      <c r="JHG312" s="147"/>
      <c r="JHH312" s="147"/>
      <c r="JHI312" s="147"/>
      <c r="JHJ312" s="147"/>
      <c r="JHK312" s="147"/>
      <c r="JHL312" s="147"/>
      <c r="JHM312" s="147"/>
      <c r="JHN312" s="147"/>
      <c r="JHO312" s="147"/>
      <c r="JHP312" s="147"/>
      <c r="JHQ312" s="147"/>
      <c r="JHR312" s="147"/>
      <c r="JHS312" s="147"/>
      <c r="JHT312" s="147"/>
      <c r="JHU312" s="147"/>
      <c r="JHV312" s="147"/>
      <c r="JHW312" s="147"/>
      <c r="JHX312" s="147"/>
      <c r="JHY312" s="147"/>
      <c r="JHZ312" s="147"/>
      <c r="JIA312" s="147"/>
      <c r="JIB312" s="147"/>
      <c r="JIC312" s="147"/>
      <c r="JID312" s="147"/>
      <c r="JIE312" s="147"/>
      <c r="JIF312" s="147"/>
      <c r="JIG312" s="147"/>
      <c r="JIH312" s="147"/>
      <c r="JII312" s="147"/>
      <c r="JIJ312" s="147"/>
      <c r="JIK312" s="147"/>
      <c r="JIL312" s="147"/>
      <c r="JIM312" s="147"/>
      <c r="JIN312" s="147"/>
      <c r="JIO312" s="147"/>
      <c r="JIP312" s="147"/>
      <c r="JIQ312" s="147"/>
      <c r="JIR312" s="147"/>
      <c r="JIS312" s="147"/>
      <c r="JIT312" s="147"/>
      <c r="JIU312" s="147"/>
      <c r="JIV312" s="147"/>
      <c r="JIW312" s="147"/>
      <c r="JIX312" s="147"/>
      <c r="JIY312" s="147"/>
      <c r="JIZ312" s="147"/>
      <c r="JJA312" s="147"/>
      <c r="JJB312" s="147"/>
      <c r="JJC312" s="147"/>
      <c r="JJD312" s="147"/>
      <c r="JJE312" s="147"/>
      <c r="JJF312" s="147"/>
      <c r="JJG312" s="147"/>
      <c r="JJH312" s="147"/>
      <c r="JJI312" s="147"/>
      <c r="JJJ312" s="147"/>
      <c r="JJK312" s="147"/>
      <c r="JJL312" s="147"/>
      <c r="JJM312" s="147"/>
      <c r="JJN312" s="147"/>
      <c r="JJO312" s="147"/>
      <c r="JJP312" s="147"/>
      <c r="JJQ312" s="147"/>
      <c r="JJR312" s="147"/>
      <c r="JJS312" s="147"/>
      <c r="JJT312" s="147"/>
      <c r="JJU312" s="147"/>
      <c r="JJV312" s="147"/>
      <c r="JJW312" s="147"/>
      <c r="JJX312" s="147"/>
      <c r="JJY312" s="147"/>
      <c r="JJZ312" s="147"/>
      <c r="JKA312" s="147"/>
      <c r="JKB312" s="147"/>
      <c r="JKC312" s="147"/>
      <c r="JKD312" s="147"/>
      <c r="JKE312" s="147"/>
      <c r="JKF312" s="147"/>
      <c r="JKG312" s="147"/>
      <c r="JKH312" s="147"/>
      <c r="JKI312" s="147"/>
      <c r="JKJ312" s="147"/>
      <c r="JKK312" s="147"/>
      <c r="JKL312" s="147"/>
      <c r="JKM312" s="147"/>
      <c r="JKN312" s="147"/>
      <c r="JKO312" s="147"/>
      <c r="JKP312" s="147"/>
      <c r="JKQ312" s="147"/>
      <c r="JKR312" s="147"/>
      <c r="JKS312" s="147"/>
      <c r="JKT312" s="147"/>
      <c r="JKU312" s="147"/>
      <c r="JKV312" s="147"/>
      <c r="JKW312" s="147"/>
      <c r="JKX312" s="147"/>
      <c r="JKY312" s="147"/>
      <c r="JKZ312" s="147"/>
      <c r="JLA312" s="147"/>
      <c r="JLB312" s="147"/>
      <c r="JLC312" s="147"/>
      <c r="JLD312" s="147"/>
      <c r="JLE312" s="147"/>
      <c r="JLF312" s="147"/>
      <c r="JLG312" s="147"/>
      <c r="JLH312" s="147"/>
      <c r="JLI312" s="147"/>
      <c r="JLJ312" s="147"/>
      <c r="JLK312" s="147"/>
      <c r="JLL312" s="147"/>
      <c r="JLM312" s="147"/>
      <c r="JLN312" s="147"/>
      <c r="JLO312" s="147"/>
      <c r="JLP312" s="147"/>
      <c r="JLQ312" s="147"/>
      <c r="JLR312" s="147"/>
      <c r="JLS312" s="147"/>
      <c r="JLT312" s="147"/>
      <c r="JLU312" s="147"/>
      <c r="JLV312" s="147"/>
      <c r="JLW312" s="147"/>
      <c r="JLX312" s="147"/>
      <c r="JLY312" s="147"/>
      <c r="JLZ312" s="147"/>
      <c r="JMA312" s="147"/>
      <c r="JMB312" s="147"/>
      <c r="JMC312" s="147"/>
      <c r="JMD312" s="147"/>
      <c r="JME312" s="147"/>
      <c r="JMF312" s="147"/>
      <c r="JMG312" s="147"/>
      <c r="JMH312" s="147"/>
      <c r="JMI312" s="147"/>
      <c r="JMJ312" s="147"/>
      <c r="JMK312" s="147"/>
      <c r="JML312" s="147"/>
      <c r="JMM312" s="147"/>
      <c r="JMN312" s="147"/>
      <c r="JMO312" s="147"/>
      <c r="JMP312" s="147"/>
      <c r="JMQ312" s="147"/>
      <c r="JMR312" s="147"/>
      <c r="JMS312" s="147"/>
      <c r="JMT312" s="147"/>
      <c r="JMU312" s="147"/>
      <c r="JMV312" s="147"/>
      <c r="JMW312" s="147"/>
      <c r="JMX312" s="147"/>
      <c r="JMY312" s="147"/>
      <c r="JMZ312" s="147"/>
      <c r="JNA312" s="147"/>
      <c r="JNB312" s="147"/>
      <c r="JNC312" s="147"/>
      <c r="JND312" s="147"/>
      <c r="JNE312" s="147"/>
      <c r="JNF312" s="147"/>
      <c r="JNG312" s="147"/>
      <c r="JNH312" s="147"/>
      <c r="JNI312" s="147"/>
      <c r="JNJ312" s="147"/>
      <c r="JNK312" s="147"/>
      <c r="JNL312" s="147"/>
      <c r="JNM312" s="147"/>
      <c r="JNN312" s="147"/>
      <c r="JNO312" s="147"/>
      <c r="JNP312" s="147"/>
      <c r="JNQ312" s="147"/>
      <c r="JNR312" s="147"/>
      <c r="JNS312" s="147"/>
      <c r="JNT312" s="147"/>
      <c r="JNU312" s="147"/>
      <c r="JNV312" s="147"/>
      <c r="JNW312" s="147"/>
      <c r="JNX312" s="147"/>
      <c r="JNY312" s="147"/>
      <c r="JNZ312" s="147"/>
      <c r="JOA312" s="147"/>
      <c r="JOB312" s="147"/>
      <c r="JOC312" s="147"/>
      <c r="JOD312" s="147"/>
      <c r="JOE312" s="147"/>
      <c r="JOF312" s="147"/>
      <c r="JOG312" s="147"/>
      <c r="JOH312" s="147"/>
      <c r="JOI312" s="147"/>
      <c r="JOJ312" s="147"/>
      <c r="JOK312" s="147"/>
      <c r="JOL312" s="147"/>
      <c r="JOM312" s="147"/>
      <c r="JON312" s="147"/>
      <c r="JOO312" s="147"/>
      <c r="JOP312" s="147"/>
      <c r="JOQ312" s="147"/>
      <c r="JOR312" s="147"/>
      <c r="JOS312" s="147"/>
      <c r="JOT312" s="147"/>
      <c r="JOU312" s="147"/>
      <c r="JOV312" s="147"/>
      <c r="JOW312" s="147"/>
      <c r="JOX312" s="147"/>
      <c r="JOY312" s="147"/>
      <c r="JOZ312" s="147"/>
      <c r="JPA312" s="147"/>
      <c r="JPB312" s="147"/>
      <c r="JPC312" s="147"/>
      <c r="JPD312" s="147"/>
      <c r="JPE312" s="147"/>
      <c r="JPF312" s="147"/>
      <c r="JPG312" s="147"/>
      <c r="JPH312" s="147"/>
      <c r="JPI312" s="147"/>
      <c r="JPJ312" s="147"/>
      <c r="JPK312" s="147"/>
      <c r="JPL312" s="147"/>
      <c r="JPM312" s="147"/>
      <c r="JPN312" s="147"/>
      <c r="JPO312" s="147"/>
      <c r="JPP312" s="147"/>
      <c r="JPQ312" s="147"/>
      <c r="JPR312" s="147"/>
      <c r="JPS312" s="147"/>
      <c r="JPT312" s="147"/>
      <c r="JPU312" s="147"/>
      <c r="JPV312" s="147"/>
      <c r="JPW312" s="147"/>
      <c r="JPX312" s="147"/>
      <c r="JPY312" s="147"/>
      <c r="JPZ312" s="147"/>
      <c r="JQA312" s="147"/>
      <c r="JQB312" s="147"/>
      <c r="JQC312" s="147"/>
      <c r="JQD312" s="147"/>
      <c r="JQE312" s="147"/>
      <c r="JQF312" s="147"/>
      <c r="JQG312" s="147"/>
      <c r="JQH312" s="147"/>
      <c r="JQI312" s="147"/>
      <c r="JQJ312" s="147"/>
      <c r="JQK312" s="147"/>
      <c r="JQL312" s="147"/>
      <c r="JQM312" s="147"/>
      <c r="JQN312" s="147"/>
      <c r="JQO312" s="147"/>
      <c r="JQP312" s="147"/>
      <c r="JQQ312" s="147"/>
      <c r="JQR312" s="147"/>
      <c r="JQS312" s="147"/>
      <c r="JQT312" s="147"/>
      <c r="JQU312" s="147"/>
      <c r="JQV312" s="147"/>
      <c r="JQW312" s="147"/>
      <c r="JQX312" s="147"/>
      <c r="JQY312" s="147"/>
      <c r="JQZ312" s="147"/>
      <c r="JRA312" s="147"/>
      <c r="JRB312" s="147"/>
      <c r="JRC312" s="147"/>
      <c r="JRD312" s="147"/>
      <c r="JRE312" s="147"/>
      <c r="JRF312" s="147"/>
      <c r="JRG312" s="147"/>
      <c r="JRH312" s="147"/>
      <c r="JRI312" s="147"/>
      <c r="JRJ312" s="147"/>
      <c r="JRK312" s="147"/>
      <c r="JRL312" s="147"/>
      <c r="JRM312" s="147"/>
      <c r="JRN312" s="147"/>
      <c r="JRO312" s="147"/>
      <c r="JRP312" s="147"/>
      <c r="JRQ312" s="147"/>
      <c r="JRR312" s="147"/>
      <c r="JRS312" s="147"/>
      <c r="JRT312" s="147"/>
      <c r="JRU312" s="147"/>
      <c r="JRV312" s="147"/>
      <c r="JRW312" s="147"/>
      <c r="JRX312" s="147"/>
      <c r="JRY312" s="147"/>
      <c r="JRZ312" s="147"/>
      <c r="JSA312" s="147"/>
      <c r="JSB312" s="147"/>
      <c r="JSC312" s="147"/>
      <c r="JSD312" s="147"/>
      <c r="JSE312" s="147"/>
      <c r="JSF312" s="147"/>
      <c r="JSG312" s="147"/>
      <c r="JSH312" s="147"/>
      <c r="JSI312" s="147"/>
      <c r="JSJ312" s="147"/>
      <c r="JSK312" s="147"/>
      <c r="JSL312" s="147"/>
      <c r="JSM312" s="147"/>
      <c r="JSN312" s="147"/>
      <c r="JSO312" s="147"/>
      <c r="JSP312" s="147"/>
      <c r="JSQ312" s="147"/>
      <c r="JSR312" s="147"/>
      <c r="JSS312" s="147"/>
      <c r="JST312" s="147"/>
      <c r="JSU312" s="147"/>
      <c r="JSV312" s="147"/>
      <c r="JSW312" s="147"/>
      <c r="JSX312" s="147"/>
      <c r="JSY312" s="147"/>
      <c r="JSZ312" s="147"/>
      <c r="JTA312" s="147"/>
      <c r="JTB312" s="147"/>
      <c r="JTC312" s="147"/>
      <c r="JTD312" s="147"/>
      <c r="JTE312" s="147"/>
      <c r="JTF312" s="147"/>
      <c r="JTG312" s="147"/>
      <c r="JTH312" s="147"/>
      <c r="JTI312" s="147"/>
      <c r="JTJ312" s="147"/>
      <c r="JTK312" s="147"/>
      <c r="JTL312" s="147"/>
      <c r="JTM312" s="147"/>
      <c r="JTN312" s="147"/>
      <c r="JTO312" s="147"/>
      <c r="JTP312" s="147"/>
      <c r="JTQ312" s="147"/>
      <c r="JTR312" s="147"/>
      <c r="JTS312" s="147"/>
      <c r="JTT312" s="147"/>
      <c r="JTU312" s="147"/>
      <c r="JTV312" s="147"/>
      <c r="JTW312" s="147"/>
      <c r="JTX312" s="147"/>
      <c r="JTY312" s="147"/>
      <c r="JTZ312" s="147"/>
      <c r="JUA312" s="147"/>
      <c r="JUB312" s="147"/>
      <c r="JUC312" s="147"/>
      <c r="JUD312" s="147"/>
      <c r="JUE312" s="147"/>
      <c r="JUF312" s="147"/>
      <c r="JUG312" s="147"/>
      <c r="JUH312" s="147"/>
      <c r="JUI312" s="147"/>
      <c r="JUJ312" s="147"/>
      <c r="JUK312" s="147"/>
      <c r="JUL312" s="147"/>
      <c r="JUM312" s="147"/>
      <c r="JUN312" s="147"/>
      <c r="JUO312" s="147"/>
      <c r="JUP312" s="147"/>
      <c r="JUQ312" s="147"/>
      <c r="JUR312" s="147"/>
      <c r="JUS312" s="147"/>
      <c r="JUT312" s="147"/>
      <c r="JUU312" s="147"/>
      <c r="JUV312" s="147"/>
      <c r="JUW312" s="147"/>
      <c r="JUX312" s="147"/>
      <c r="JUY312" s="147"/>
      <c r="JUZ312" s="147"/>
      <c r="JVA312" s="147"/>
      <c r="JVB312" s="147"/>
      <c r="JVC312" s="147"/>
      <c r="JVD312" s="147"/>
      <c r="JVE312" s="147"/>
      <c r="JVF312" s="147"/>
      <c r="JVG312" s="147"/>
      <c r="JVH312" s="147"/>
      <c r="JVI312" s="147"/>
      <c r="JVJ312" s="147"/>
      <c r="JVK312" s="147"/>
      <c r="JVL312" s="147"/>
      <c r="JVM312" s="147"/>
      <c r="JVN312" s="147"/>
      <c r="JVO312" s="147"/>
      <c r="JVP312" s="147"/>
      <c r="JVQ312" s="147"/>
      <c r="JVR312" s="147"/>
      <c r="JVS312" s="147"/>
      <c r="JVT312" s="147"/>
      <c r="JVU312" s="147"/>
      <c r="JVV312" s="147"/>
      <c r="JVW312" s="147"/>
      <c r="JVX312" s="147"/>
      <c r="JVY312" s="147"/>
      <c r="JVZ312" s="147"/>
      <c r="JWA312" s="147"/>
      <c r="JWB312" s="147"/>
      <c r="JWC312" s="147"/>
      <c r="JWD312" s="147"/>
      <c r="JWE312" s="147"/>
      <c r="JWF312" s="147"/>
      <c r="JWG312" s="147"/>
      <c r="JWH312" s="147"/>
      <c r="JWI312" s="147"/>
      <c r="JWJ312" s="147"/>
      <c r="JWK312" s="147"/>
      <c r="JWL312" s="147"/>
      <c r="JWM312" s="147"/>
      <c r="JWN312" s="147"/>
      <c r="JWO312" s="147"/>
      <c r="JWP312" s="147"/>
      <c r="JWQ312" s="147"/>
      <c r="JWR312" s="147"/>
      <c r="JWS312" s="147"/>
      <c r="JWT312" s="147"/>
      <c r="JWU312" s="147"/>
      <c r="JWV312" s="147"/>
      <c r="JWW312" s="147"/>
      <c r="JWX312" s="147"/>
      <c r="JWY312" s="147"/>
      <c r="JWZ312" s="147"/>
      <c r="JXA312" s="147"/>
      <c r="JXB312" s="147"/>
      <c r="JXC312" s="147"/>
      <c r="JXD312" s="147"/>
      <c r="JXE312" s="147"/>
      <c r="JXF312" s="147"/>
      <c r="JXG312" s="147"/>
      <c r="JXH312" s="147"/>
      <c r="JXI312" s="147"/>
      <c r="JXJ312" s="147"/>
      <c r="JXK312" s="147"/>
      <c r="JXL312" s="147"/>
      <c r="JXM312" s="147"/>
      <c r="JXN312" s="147"/>
      <c r="JXO312" s="147"/>
      <c r="JXP312" s="147"/>
      <c r="JXQ312" s="147"/>
      <c r="JXR312" s="147"/>
      <c r="JXS312" s="147"/>
      <c r="JXT312" s="147"/>
      <c r="JXU312" s="147"/>
      <c r="JXV312" s="147"/>
      <c r="JXW312" s="147"/>
      <c r="JXX312" s="147"/>
      <c r="JXY312" s="147"/>
      <c r="JXZ312" s="147"/>
      <c r="JYA312" s="147"/>
      <c r="JYB312" s="147"/>
      <c r="JYC312" s="147"/>
      <c r="JYD312" s="147"/>
      <c r="JYE312" s="147"/>
      <c r="JYF312" s="147"/>
      <c r="JYG312" s="147"/>
      <c r="JYH312" s="147"/>
      <c r="JYI312" s="147"/>
      <c r="JYJ312" s="147"/>
      <c r="JYK312" s="147"/>
      <c r="JYL312" s="147"/>
      <c r="JYM312" s="147"/>
      <c r="JYN312" s="147"/>
      <c r="JYO312" s="147"/>
      <c r="JYP312" s="147"/>
      <c r="JYQ312" s="147"/>
      <c r="JYR312" s="147"/>
      <c r="JYS312" s="147"/>
      <c r="JYT312" s="147"/>
      <c r="JYU312" s="147"/>
      <c r="JYV312" s="147"/>
      <c r="JYW312" s="147"/>
      <c r="JYX312" s="147"/>
      <c r="JYY312" s="147"/>
      <c r="JYZ312" s="147"/>
      <c r="JZA312" s="147"/>
      <c r="JZB312" s="147"/>
      <c r="JZC312" s="147"/>
      <c r="JZD312" s="147"/>
      <c r="JZE312" s="147"/>
      <c r="JZF312" s="147"/>
      <c r="JZG312" s="147"/>
      <c r="JZH312" s="147"/>
      <c r="JZI312" s="147"/>
      <c r="JZJ312" s="147"/>
      <c r="JZK312" s="147"/>
      <c r="JZL312" s="147"/>
      <c r="JZM312" s="147"/>
      <c r="JZN312" s="147"/>
      <c r="JZO312" s="147"/>
      <c r="JZP312" s="147"/>
      <c r="JZQ312" s="147"/>
      <c r="JZR312" s="147"/>
      <c r="JZS312" s="147"/>
      <c r="JZT312" s="147"/>
      <c r="JZU312" s="147"/>
      <c r="JZV312" s="147"/>
      <c r="JZW312" s="147"/>
      <c r="JZX312" s="147"/>
      <c r="JZY312" s="147"/>
      <c r="JZZ312" s="147"/>
      <c r="KAA312" s="147"/>
      <c r="KAB312" s="147"/>
      <c r="KAC312" s="147"/>
      <c r="KAD312" s="147"/>
      <c r="KAE312" s="147"/>
      <c r="KAF312" s="147"/>
      <c r="KAG312" s="147"/>
      <c r="KAH312" s="147"/>
      <c r="KAI312" s="147"/>
      <c r="KAJ312" s="147"/>
      <c r="KAK312" s="147"/>
      <c r="KAL312" s="147"/>
      <c r="KAM312" s="147"/>
      <c r="KAN312" s="147"/>
      <c r="KAO312" s="147"/>
      <c r="KAP312" s="147"/>
      <c r="KAQ312" s="147"/>
      <c r="KAR312" s="147"/>
      <c r="KAS312" s="147"/>
      <c r="KAT312" s="147"/>
      <c r="KAU312" s="147"/>
      <c r="KAV312" s="147"/>
      <c r="KAW312" s="147"/>
      <c r="KAX312" s="147"/>
      <c r="KAY312" s="147"/>
      <c r="KAZ312" s="147"/>
      <c r="KBA312" s="147"/>
      <c r="KBB312" s="147"/>
      <c r="KBC312" s="147"/>
      <c r="KBD312" s="147"/>
      <c r="KBE312" s="147"/>
      <c r="KBF312" s="147"/>
      <c r="KBG312" s="147"/>
      <c r="KBH312" s="147"/>
      <c r="KBI312" s="147"/>
      <c r="KBJ312" s="147"/>
      <c r="KBK312" s="147"/>
      <c r="KBL312" s="147"/>
      <c r="KBM312" s="147"/>
      <c r="KBN312" s="147"/>
      <c r="KBO312" s="147"/>
      <c r="KBP312" s="147"/>
      <c r="KBQ312" s="147"/>
      <c r="KBR312" s="147"/>
      <c r="KBS312" s="147"/>
      <c r="KBT312" s="147"/>
      <c r="KBU312" s="147"/>
      <c r="KBV312" s="147"/>
      <c r="KBW312" s="147"/>
      <c r="KBX312" s="147"/>
      <c r="KBY312" s="147"/>
      <c r="KBZ312" s="147"/>
      <c r="KCA312" s="147"/>
      <c r="KCB312" s="147"/>
      <c r="KCC312" s="147"/>
      <c r="KCD312" s="147"/>
      <c r="KCE312" s="147"/>
      <c r="KCF312" s="147"/>
      <c r="KCG312" s="147"/>
      <c r="KCH312" s="147"/>
      <c r="KCI312" s="147"/>
      <c r="KCJ312" s="147"/>
      <c r="KCK312" s="147"/>
      <c r="KCL312" s="147"/>
      <c r="KCM312" s="147"/>
      <c r="KCN312" s="147"/>
      <c r="KCO312" s="147"/>
      <c r="KCP312" s="147"/>
      <c r="KCQ312" s="147"/>
      <c r="KCR312" s="147"/>
      <c r="KCS312" s="147"/>
      <c r="KCT312" s="147"/>
      <c r="KCU312" s="147"/>
      <c r="KCV312" s="147"/>
      <c r="KCW312" s="147"/>
      <c r="KCX312" s="147"/>
      <c r="KCY312" s="147"/>
      <c r="KCZ312" s="147"/>
      <c r="KDA312" s="147"/>
      <c r="KDB312" s="147"/>
      <c r="KDC312" s="147"/>
      <c r="KDD312" s="147"/>
      <c r="KDE312" s="147"/>
      <c r="KDF312" s="147"/>
      <c r="KDG312" s="147"/>
      <c r="KDH312" s="147"/>
      <c r="KDI312" s="147"/>
      <c r="KDJ312" s="147"/>
      <c r="KDK312" s="147"/>
      <c r="KDL312" s="147"/>
      <c r="KDM312" s="147"/>
      <c r="KDN312" s="147"/>
      <c r="KDO312" s="147"/>
      <c r="KDP312" s="147"/>
      <c r="KDQ312" s="147"/>
      <c r="KDR312" s="147"/>
      <c r="KDS312" s="147"/>
      <c r="KDT312" s="147"/>
      <c r="KDU312" s="147"/>
      <c r="KDV312" s="147"/>
      <c r="KDW312" s="147"/>
      <c r="KDX312" s="147"/>
      <c r="KDY312" s="147"/>
      <c r="KDZ312" s="147"/>
      <c r="KEA312" s="147"/>
      <c r="KEB312" s="147"/>
      <c r="KEC312" s="147"/>
      <c r="KED312" s="147"/>
      <c r="KEE312" s="147"/>
      <c r="KEF312" s="147"/>
      <c r="KEG312" s="147"/>
      <c r="KEH312" s="147"/>
      <c r="KEI312" s="147"/>
      <c r="KEJ312" s="147"/>
      <c r="KEK312" s="147"/>
      <c r="KEL312" s="147"/>
      <c r="KEM312" s="147"/>
      <c r="KEN312" s="147"/>
      <c r="KEO312" s="147"/>
      <c r="KEP312" s="147"/>
      <c r="KEQ312" s="147"/>
      <c r="KER312" s="147"/>
      <c r="KES312" s="147"/>
      <c r="KET312" s="147"/>
      <c r="KEU312" s="147"/>
      <c r="KEV312" s="147"/>
      <c r="KEW312" s="147"/>
      <c r="KEX312" s="147"/>
      <c r="KEY312" s="147"/>
      <c r="KEZ312" s="147"/>
      <c r="KFA312" s="147"/>
      <c r="KFB312" s="147"/>
      <c r="KFC312" s="147"/>
      <c r="KFD312" s="147"/>
      <c r="KFE312" s="147"/>
      <c r="KFF312" s="147"/>
      <c r="KFG312" s="147"/>
      <c r="KFH312" s="147"/>
      <c r="KFI312" s="147"/>
      <c r="KFJ312" s="147"/>
      <c r="KFK312" s="147"/>
      <c r="KFL312" s="147"/>
      <c r="KFM312" s="147"/>
      <c r="KFN312" s="147"/>
      <c r="KFO312" s="147"/>
      <c r="KFP312" s="147"/>
      <c r="KFQ312" s="147"/>
      <c r="KFR312" s="147"/>
      <c r="KFS312" s="147"/>
      <c r="KFT312" s="147"/>
      <c r="KFU312" s="147"/>
      <c r="KFV312" s="147"/>
      <c r="KFW312" s="147"/>
      <c r="KFX312" s="147"/>
      <c r="KFY312" s="147"/>
      <c r="KFZ312" s="147"/>
      <c r="KGA312" s="147"/>
      <c r="KGB312" s="147"/>
      <c r="KGC312" s="147"/>
      <c r="KGD312" s="147"/>
      <c r="KGE312" s="147"/>
      <c r="KGF312" s="147"/>
      <c r="KGG312" s="147"/>
      <c r="KGH312" s="147"/>
      <c r="KGI312" s="147"/>
      <c r="KGJ312" s="147"/>
      <c r="KGK312" s="147"/>
      <c r="KGL312" s="147"/>
      <c r="KGM312" s="147"/>
      <c r="KGN312" s="147"/>
      <c r="KGO312" s="147"/>
      <c r="KGP312" s="147"/>
      <c r="KGQ312" s="147"/>
      <c r="KGR312" s="147"/>
      <c r="KGS312" s="147"/>
      <c r="KGT312" s="147"/>
      <c r="KGU312" s="147"/>
      <c r="KGV312" s="147"/>
      <c r="KGW312" s="147"/>
      <c r="KGX312" s="147"/>
      <c r="KGY312" s="147"/>
      <c r="KGZ312" s="147"/>
      <c r="KHA312" s="147"/>
      <c r="KHB312" s="147"/>
      <c r="KHC312" s="147"/>
      <c r="KHD312" s="147"/>
      <c r="KHE312" s="147"/>
      <c r="KHF312" s="147"/>
      <c r="KHG312" s="147"/>
      <c r="KHH312" s="147"/>
      <c r="KHI312" s="147"/>
      <c r="KHJ312" s="147"/>
      <c r="KHK312" s="147"/>
      <c r="KHL312" s="147"/>
      <c r="KHM312" s="147"/>
      <c r="KHN312" s="147"/>
      <c r="KHO312" s="147"/>
      <c r="KHP312" s="147"/>
      <c r="KHQ312" s="147"/>
      <c r="KHR312" s="147"/>
      <c r="KHS312" s="147"/>
      <c r="KHT312" s="147"/>
      <c r="KHU312" s="147"/>
      <c r="KHV312" s="147"/>
      <c r="KHW312" s="147"/>
      <c r="KHX312" s="147"/>
      <c r="KHY312" s="147"/>
      <c r="KHZ312" s="147"/>
      <c r="KIA312" s="147"/>
      <c r="KIB312" s="147"/>
      <c r="KIC312" s="147"/>
      <c r="KID312" s="147"/>
      <c r="KIE312" s="147"/>
      <c r="KIF312" s="147"/>
      <c r="KIG312" s="147"/>
      <c r="KIH312" s="147"/>
      <c r="KII312" s="147"/>
      <c r="KIJ312" s="147"/>
      <c r="KIK312" s="147"/>
      <c r="KIL312" s="147"/>
      <c r="KIM312" s="147"/>
      <c r="KIN312" s="147"/>
      <c r="KIO312" s="147"/>
      <c r="KIP312" s="147"/>
      <c r="KIQ312" s="147"/>
      <c r="KIR312" s="147"/>
      <c r="KIS312" s="147"/>
      <c r="KIT312" s="147"/>
      <c r="KIU312" s="147"/>
      <c r="KIV312" s="147"/>
      <c r="KIW312" s="147"/>
      <c r="KIX312" s="147"/>
      <c r="KIY312" s="147"/>
      <c r="KIZ312" s="147"/>
      <c r="KJA312" s="147"/>
      <c r="KJB312" s="147"/>
      <c r="KJC312" s="147"/>
      <c r="KJD312" s="147"/>
      <c r="KJE312" s="147"/>
      <c r="KJF312" s="147"/>
      <c r="KJG312" s="147"/>
      <c r="KJH312" s="147"/>
      <c r="KJI312" s="147"/>
      <c r="KJJ312" s="147"/>
      <c r="KJK312" s="147"/>
      <c r="KJL312" s="147"/>
      <c r="KJM312" s="147"/>
      <c r="KJN312" s="147"/>
      <c r="KJO312" s="147"/>
      <c r="KJP312" s="147"/>
      <c r="KJQ312" s="147"/>
      <c r="KJR312" s="147"/>
      <c r="KJS312" s="147"/>
      <c r="KJT312" s="147"/>
      <c r="KJU312" s="147"/>
      <c r="KJV312" s="147"/>
      <c r="KJW312" s="147"/>
      <c r="KJX312" s="147"/>
      <c r="KJY312" s="147"/>
      <c r="KJZ312" s="147"/>
      <c r="KKA312" s="147"/>
      <c r="KKB312" s="147"/>
      <c r="KKC312" s="147"/>
      <c r="KKD312" s="147"/>
      <c r="KKE312" s="147"/>
      <c r="KKF312" s="147"/>
      <c r="KKG312" s="147"/>
      <c r="KKH312" s="147"/>
      <c r="KKI312" s="147"/>
      <c r="KKJ312" s="147"/>
      <c r="KKK312" s="147"/>
      <c r="KKL312" s="147"/>
      <c r="KKM312" s="147"/>
      <c r="KKN312" s="147"/>
      <c r="KKO312" s="147"/>
      <c r="KKP312" s="147"/>
      <c r="KKQ312" s="147"/>
      <c r="KKR312" s="147"/>
      <c r="KKS312" s="147"/>
      <c r="KKT312" s="147"/>
      <c r="KKU312" s="147"/>
      <c r="KKV312" s="147"/>
      <c r="KKW312" s="147"/>
      <c r="KKX312" s="147"/>
      <c r="KKY312" s="147"/>
      <c r="KKZ312" s="147"/>
      <c r="KLA312" s="147"/>
      <c r="KLB312" s="147"/>
      <c r="KLC312" s="147"/>
      <c r="KLD312" s="147"/>
      <c r="KLE312" s="147"/>
      <c r="KLF312" s="147"/>
      <c r="KLG312" s="147"/>
      <c r="KLH312" s="147"/>
      <c r="KLI312" s="147"/>
      <c r="KLJ312" s="147"/>
      <c r="KLK312" s="147"/>
      <c r="KLL312" s="147"/>
      <c r="KLM312" s="147"/>
      <c r="KLN312" s="147"/>
      <c r="KLO312" s="147"/>
      <c r="KLP312" s="147"/>
      <c r="KLQ312" s="147"/>
      <c r="KLR312" s="147"/>
      <c r="KLS312" s="147"/>
      <c r="KLT312" s="147"/>
      <c r="KLU312" s="147"/>
      <c r="KLV312" s="147"/>
      <c r="KLW312" s="147"/>
      <c r="KLX312" s="147"/>
      <c r="KLY312" s="147"/>
      <c r="KLZ312" s="147"/>
      <c r="KMA312" s="147"/>
      <c r="KMB312" s="147"/>
      <c r="KMC312" s="147"/>
      <c r="KMD312" s="147"/>
      <c r="KME312" s="147"/>
      <c r="KMF312" s="147"/>
      <c r="KMG312" s="147"/>
      <c r="KMH312" s="147"/>
      <c r="KMI312" s="147"/>
      <c r="KMJ312" s="147"/>
      <c r="KMK312" s="147"/>
      <c r="KML312" s="147"/>
      <c r="KMM312" s="147"/>
      <c r="KMN312" s="147"/>
      <c r="KMO312" s="147"/>
      <c r="KMP312" s="147"/>
      <c r="KMQ312" s="147"/>
      <c r="KMR312" s="147"/>
      <c r="KMS312" s="147"/>
      <c r="KMT312" s="147"/>
      <c r="KMU312" s="147"/>
      <c r="KMV312" s="147"/>
      <c r="KMW312" s="147"/>
      <c r="KMX312" s="147"/>
      <c r="KMY312" s="147"/>
      <c r="KMZ312" s="147"/>
      <c r="KNA312" s="147"/>
      <c r="KNB312" s="147"/>
      <c r="KNC312" s="147"/>
      <c r="KND312" s="147"/>
      <c r="KNE312" s="147"/>
      <c r="KNF312" s="147"/>
      <c r="KNG312" s="147"/>
      <c r="KNH312" s="147"/>
      <c r="KNI312" s="147"/>
      <c r="KNJ312" s="147"/>
      <c r="KNK312" s="147"/>
      <c r="KNL312" s="147"/>
      <c r="KNM312" s="147"/>
      <c r="KNN312" s="147"/>
      <c r="KNO312" s="147"/>
      <c r="KNP312" s="147"/>
      <c r="KNQ312" s="147"/>
      <c r="KNR312" s="147"/>
      <c r="KNS312" s="147"/>
      <c r="KNT312" s="147"/>
      <c r="KNU312" s="147"/>
      <c r="KNV312" s="147"/>
      <c r="KNW312" s="147"/>
      <c r="KNX312" s="147"/>
      <c r="KNY312" s="147"/>
      <c r="KNZ312" s="147"/>
      <c r="KOA312" s="147"/>
      <c r="KOB312" s="147"/>
      <c r="KOC312" s="147"/>
      <c r="KOD312" s="147"/>
      <c r="KOE312" s="147"/>
      <c r="KOF312" s="147"/>
      <c r="KOG312" s="147"/>
      <c r="KOH312" s="147"/>
      <c r="KOI312" s="147"/>
      <c r="KOJ312" s="147"/>
      <c r="KOK312" s="147"/>
      <c r="KOL312" s="147"/>
      <c r="KOM312" s="147"/>
      <c r="KON312" s="147"/>
      <c r="KOO312" s="147"/>
      <c r="KOP312" s="147"/>
      <c r="KOQ312" s="147"/>
      <c r="KOR312" s="147"/>
      <c r="KOS312" s="147"/>
      <c r="KOT312" s="147"/>
      <c r="KOU312" s="147"/>
      <c r="KOV312" s="147"/>
      <c r="KOW312" s="147"/>
      <c r="KOX312" s="147"/>
      <c r="KOY312" s="147"/>
      <c r="KOZ312" s="147"/>
      <c r="KPA312" s="147"/>
      <c r="KPB312" s="147"/>
      <c r="KPC312" s="147"/>
      <c r="KPD312" s="147"/>
      <c r="KPE312" s="147"/>
      <c r="KPF312" s="147"/>
      <c r="KPG312" s="147"/>
      <c r="KPH312" s="147"/>
      <c r="KPI312" s="147"/>
      <c r="KPJ312" s="147"/>
      <c r="KPK312" s="147"/>
      <c r="KPL312" s="147"/>
      <c r="KPM312" s="147"/>
      <c r="KPN312" s="147"/>
      <c r="KPO312" s="147"/>
      <c r="KPP312" s="147"/>
      <c r="KPQ312" s="147"/>
      <c r="KPR312" s="147"/>
      <c r="KPS312" s="147"/>
      <c r="KPT312" s="147"/>
      <c r="KPU312" s="147"/>
      <c r="KPV312" s="147"/>
      <c r="KPW312" s="147"/>
      <c r="KPX312" s="147"/>
      <c r="KPY312" s="147"/>
      <c r="KPZ312" s="147"/>
      <c r="KQA312" s="147"/>
      <c r="KQB312" s="147"/>
      <c r="KQC312" s="147"/>
      <c r="KQD312" s="147"/>
      <c r="KQE312" s="147"/>
      <c r="KQF312" s="147"/>
      <c r="KQG312" s="147"/>
      <c r="KQH312" s="147"/>
      <c r="KQI312" s="147"/>
      <c r="KQJ312" s="147"/>
      <c r="KQK312" s="147"/>
      <c r="KQL312" s="147"/>
      <c r="KQM312" s="147"/>
      <c r="KQN312" s="147"/>
      <c r="KQO312" s="147"/>
      <c r="KQP312" s="147"/>
      <c r="KQQ312" s="147"/>
      <c r="KQR312" s="147"/>
      <c r="KQS312" s="147"/>
      <c r="KQT312" s="147"/>
      <c r="KQU312" s="147"/>
      <c r="KQV312" s="147"/>
      <c r="KQW312" s="147"/>
      <c r="KQX312" s="147"/>
      <c r="KQY312" s="147"/>
      <c r="KQZ312" s="147"/>
      <c r="KRA312" s="147"/>
      <c r="KRB312" s="147"/>
      <c r="KRC312" s="147"/>
      <c r="KRD312" s="147"/>
      <c r="KRE312" s="147"/>
      <c r="KRF312" s="147"/>
      <c r="KRG312" s="147"/>
      <c r="KRH312" s="147"/>
      <c r="KRI312" s="147"/>
      <c r="KRJ312" s="147"/>
      <c r="KRK312" s="147"/>
      <c r="KRL312" s="147"/>
      <c r="KRM312" s="147"/>
      <c r="KRN312" s="147"/>
      <c r="KRO312" s="147"/>
      <c r="KRP312" s="147"/>
      <c r="KRQ312" s="147"/>
      <c r="KRR312" s="147"/>
      <c r="KRS312" s="147"/>
      <c r="KRT312" s="147"/>
      <c r="KRU312" s="147"/>
      <c r="KRV312" s="147"/>
      <c r="KRW312" s="147"/>
      <c r="KRX312" s="147"/>
      <c r="KRY312" s="147"/>
      <c r="KRZ312" s="147"/>
      <c r="KSA312" s="147"/>
      <c r="KSB312" s="147"/>
      <c r="KSC312" s="147"/>
      <c r="KSD312" s="147"/>
      <c r="KSE312" s="147"/>
      <c r="KSF312" s="147"/>
      <c r="KSG312" s="147"/>
      <c r="KSH312" s="147"/>
      <c r="KSI312" s="147"/>
      <c r="KSJ312" s="147"/>
      <c r="KSK312" s="147"/>
      <c r="KSL312" s="147"/>
      <c r="KSM312" s="147"/>
      <c r="KSN312" s="147"/>
      <c r="KSO312" s="147"/>
      <c r="KSP312" s="147"/>
      <c r="KSQ312" s="147"/>
      <c r="KSR312" s="147"/>
      <c r="KSS312" s="147"/>
      <c r="KST312" s="147"/>
      <c r="KSU312" s="147"/>
      <c r="KSV312" s="147"/>
      <c r="KSW312" s="147"/>
      <c r="KSX312" s="147"/>
      <c r="KSY312" s="147"/>
      <c r="KSZ312" s="147"/>
      <c r="KTA312" s="147"/>
      <c r="KTB312" s="147"/>
      <c r="KTC312" s="147"/>
      <c r="KTD312" s="147"/>
      <c r="KTE312" s="147"/>
      <c r="KTF312" s="147"/>
      <c r="KTG312" s="147"/>
      <c r="KTH312" s="147"/>
      <c r="KTI312" s="147"/>
      <c r="KTJ312" s="147"/>
      <c r="KTK312" s="147"/>
      <c r="KTL312" s="147"/>
      <c r="KTM312" s="147"/>
      <c r="KTN312" s="147"/>
      <c r="KTO312" s="147"/>
      <c r="KTP312" s="147"/>
      <c r="KTQ312" s="147"/>
      <c r="KTR312" s="147"/>
      <c r="KTS312" s="147"/>
      <c r="KTT312" s="147"/>
      <c r="KTU312" s="147"/>
      <c r="KTV312" s="147"/>
      <c r="KTW312" s="147"/>
      <c r="KTX312" s="147"/>
      <c r="KTY312" s="147"/>
      <c r="KTZ312" s="147"/>
      <c r="KUA312" s="147"/>
      <c r="KUB312" s="147"/>
      <c r="KUC312" s="147"/>
      <c r="KUD312" s="147"/>
      <c r="KUE312" s="147"/>
      <c r="KUF312" s="147"/>
      <c r="KUG312" s="147"/>
      <c r="KUH312" s="147"/>
      <c r="KUI312" s="147"/>
      <c r="KUJ312" s="147"/>
      <c r="KUK312" s="147"/>
      <c r="KUL312" s="147"/>
      <c r="KUM312" s="147"/>
      <c r="KUN312" s="147"/>
      <c r="KUO312" s="147"/>
      <c r="KUP312" s="147"/>
      <c r="KUQ312" s="147"/>
      <c r="KUR312" s="147"/>
      <c r="KUS312" s="147"/>
      <c r="KUT312" s="147"/>
      <c r="KUU312" s="147"/>
      <c r="KUV312" s="147"/>
      <c r="KUW312" s="147"/>
      <c r="KUX312" s="147"/>
      <c r="KUY312" s="147"/>
      <c r="KUZ312" s="147"/>
      <c r="KVA312" s="147"/>
      <c r="KVB312" s="147"/>
      <c r="KVC312" s="147"/>
      <c r="KVD312" s="147"/>
      <c r="KVE312" s="147"/>
      <c r="KVF312" s="147"/>
      <c r="KVG312" s="147"/>
      <c r="KVH312" s="147"/>
      <c r="KVI312" s="147"/>
      <c r="KVJ312" s="147"/>
      <c r="KVK312" s="147"/>
      <c r="KVL312" s="147"/>
      <c r="KVM312" s="147"/>
      <c r="KVN312" s="147"/>
      <c r="KVO312" s="147"/>
      <c r="KVP312" s="147"/>
      <c r="KVQ312" s="147"/>
      <c r="KVR312" s="147"/>
      <c r="KVS312" s="147"/>
      <c r="KVT312" s="147"/>
      <c r="KVU312" s="147"/>
      <c r="KVV312" s="147"/>
      <c r="KVW312" s="147"/>
      <c r="KVX312" s="147"/>
      <c r="KVY312" s="147"/>
      <c r="KVZ312" s="147"/>
      <c r="KWA312" s="147"/>
      <c r="KWB312" s="147"/>
      <c r="KWC312" s="147"/>
      <c r="KWD312" s="147"/>
      <c r="KWE312" s="147"/>
      <c r="KWF312" s="147"/>
      <c r="KWG312" s="147"/>
      <c r="KWH312" s="147"/>
      <c r="KWI312" s="147"/>
      <c r="KWJ312" s="147"/>
      <c r="KWK312" s="147"/>
      <c r="KWL312" s="147"/>
      <c r="KWM312" s="147"/>
      <c r="KWN312" s="147"/>
      <c r="KWO312" s="147"/>
      <c r="KWP312" s="147"/>
      <c r="KWQ312" s="147"/>
      <c r="KWR312" s="147"/>
      <c r="KWS312" s="147"/>
      <c r="KWT312" s="147"/>
      <c r="KWU312" s="147"/>
      <c r="KWV312" s="147"/>
      <c r="KWW312" s="147"/>
      <c r="KWX312" s="147"/>
      <c r="KWY312" s="147"/>
      <c r="KWZ312" s="147"/>
      <c r="KXA312" s="147"/>
      <c r="KXB312" s="147"/>
      <c r="KXC312" s="147"/>
      <c r="KXD312" s="147"/>
      <c r="KXE312" s="147"/>
      <c r="KXF312" s="147"/>
      <c r="KXG312" s="147"/>
      <c r="KXH312" s="147"/>
      <c r="KXI312" s="147"/>
      <c r="KXJ312" s="147"/>
      <c r="KXK312" s="147"/>
      <c r="KXL312" s="147"/>
      <c r="KXM312" s="147"/>
      <c r="KXN312" s="147"/>
      <c r="KXO312" s="147"/>
      <c r="KXP312" s="147"/>
      <c r="KXQ312" s="147"/>
      <c r="KXR312" s="147"/>
      <c r="KXS312" s="147"/>
      <c r="KXT312" s="147"/>
      <c r="KXU312" s="147"/>
      <c r="KXV312" s="147"/>
      <c r="KXW312" s="147"/>
      <c r="KXX312" s="147"/>
      <c r="KXY312" s="147"/>
      <c r="KXZ312" s="147"/>
      <c r="KYA312" s="147"/>
      <c r="KYB312" s="147"/>
      <c r="KYC312" s="147"/>
      <c r="KYD312" s="147"/>
      <c r="KYE312" s="147"/>
      <c r="KYF312" s="147"/>
      <c r="KYG312" s="147"/>
      <c r="KYH312" s="147"/>
      <c r="KYI312" s="147"/>
      <c r="KYJ312" s="147"/>
      <c r="KYK312" s="147"/>
      <c r="KYL312" s="147"/>
      <c r="KYM312" s="147"/>
      <c r="KYN312" s="147"/>
      <c r="KYO312" s="147"/>
      <c r="KYP312" s="147"/>
      <c r="KYQ312" s="147"/>
      <c r="KYR312" s="147"/>
      <c r="KYS312" s="147"/>
      <c r="KYT312" s="147"/>
      <c r="KYU312" s="147"/>
      <c r="KYV312" s="147"/>
      <c r="KYW312" s="147"/>
      <c r="KYX312" s="147"/>
      <c r="KYY312" s="147"/>
      <c r="KYZ312" s="147"/>
      <c r="KZA312" s="147"/>
      <c r="KZB312" s="147"/>
      <c r="KZC312" s="147"/>
      <c r="KZD312" s="147"/>
      <c r="KZE312" s="147"/>
      <c r="KZF312" s="147"/>
      <c r="KZG312" s="147"/>
      <c r="KZH312" s="147"/>
      <c r="KZI312" s="147"/>
      <c r="KZJ312" s="147"/>
      <c r="KZK312" s="147"/>
      <c r="KZL312" s="147"/>
      <c r="KZM312" s="147"/>
      <c r="KZN312" s="147"/>
      <c r="KZO312" s="147"/>
      <c r="KZP312" s="147"/>
      <c r="KZQ312" s="147"/>
      <c r="KZR312" s="147"/>
      <c r="KZS312" s="147"/>
      <c r="KZT312" s="147"/>
      <c r="KZU312" s="147"/>
      <c r="KZV312" s="147"/>
      <c r="KZW312" s="147"/>
      <c r="KZX312" s="147"/>
      <c r="KZY312" s="147"/>
      <c r="KZZ312" s="147"/>
      <c r="LAA312" s="147"/>
      <c r="LAB312" s="147"/>
      <c r="LAC312" s="147"/>
      <c r="LAD312" s="147"/>
      <c r="LAE312" s="147"/>
      <c r="LAF312" s="147"/>
      <c r="LAG312" s="147"/>
      <c r="LAH312" s="147"/>
      <c r="LAI312" s="147"/>
      <c r="LAJ312" s="147"/>
      <c r="LAK312" s="147"/>
      <c r="LAL312" s="147"/>
      <c r="LAM312" s="147"/>
      <c r="LAN312" s="147"/>
      <c r="LAO312" s="147"/>
      <c r="LAP312" s="147"/>
      <c r="LAQ312" s="147"/>
      <c r="LAR312" s="147"/>
      <c r="LAS312" s="147"/>
      <c r="LAT312" s="147"/>
      <c r="LAU312" s="147"/>
      <c r="LAV312" s="147"/>
      <c r="LAW312" s="147"/>
      <c r="LAX312" s="147"/>
      <c r="LAY312" s="147"/>
      <c r="LAZ312" s="147"/>
      <c r="LBA312" s="147"/>
      <c r="LBB312" s="147"/>
      <c r="LBC312" s="147"/>
      <c r="LBD312" s="147"/>
      <c r="LBE312" s="147"/>
      <c r="LBF312" s="147"/>
      <c r="LBG312" s="147"/>
      <c r="LBH312" s="147"/>
      <c r="LBI312" s="147"/>
      <c r="LBJ312" s="147"/>
      <c r="LBK312" s="147"/>
      <c r="LBL312" s="147"/>
      <c r="LBM312" s="147"/>
      <c r="LBN312" s="147"/>
      <c r="LBO312" s="147"/>
      <c r="LBP312" s="147"/>
      <c r="LBQ312" s="147"/>
      <c r="LBR312" s="147"/>
      <c r="LBS312" s="147"/>
      <c r="LBT312" s="147"/>
      <c r="LBU312" s="147"/>
      <c r="LBV312" s="147"/>
      <c r="LBW312" s="147"/>
      <c r="LBX312" s="147"/>
      <c r="LBY312" s="147"/>
      <c r="LBZ312" s="147"/>
      <c r="LCA312" s="147"/>
      <c r="LCB312" s="147"/>
      <c r="LCC312" s="147"/>
      <c r="LCD312" s="147"/>
      <c r="LCE312" s="147"/>
      <c r="LCF312" s="147"/>
      <c r="LCG312" s="147"/>
      <c r="LCH312" s="147"/>
      <c r="LCI312" s="147"/>
      <c r="LCJ312" s="147"/>
      <c r="LCK312" s="147"/>
      <c r="LCL312" s="147"/>
      <c r="LCM312" s="147"/>
      <c r="LCN312" s="147"/>
      <c r="LCO312" s="147"/>
      <c r="LCP312" s="147"/>
      <c r="LCQ312" s="147"/>
      <c r="LCR312" s="147"/>
      <c r="LCS312" s="147"/>
      <c r="LCT312" s="147"/>
      <c r="LCU312" s="147"/>
      <c r="LCV312" s="147"/>
      <c r="LCW312" s="147"/>
      <c r="LCX312" s="147"/>
      <c r="LCY312" s="147"/>
      <c r="LCZ312" s="147"/>
      <c r="LDA312" s="147"/>
      <c r="LDB312" s="147"/>
      <c r="LDC312" s="147"/>
      <c r="LDD312" s="147"/>
      <c r="LDE312" s="147"/>
      <c r="LDF312" s="147"/>
      <c r="LDG312" s="147"/>
      <c r="LDH312" s="147"/>
      <c r="LDI312" s="147"/>
      <c r="LDJ312" s="147"/>
      <c r="LDK312" s="147"/>
      <c r="LDL312" s="147"/>
      <c r="LDM312" s="147"/>
      <c r="LDN312" s="147"/>
      <c r="LDO312" s="147"/>
      <c r="LDP312" s="147"/>
      <c r="LDQ312" s="147"/>
      <c r="LDR312" s="147"/>
      <c r="LDS312" s="147"/>
      <c r="LDT312" s="147"/>
      <c r="LDU312" s="147"/>
      <c r="LDV312" s="147"/>
      <c r="LDW312" s="147"/>
      <c r="LDX312" s="147"/>
      <c r="LDY312" s="147"/>
      <c r="LDZ312" s="147"/>
      <c r="LEA312" s="147"/>
      <c r="LEB312" s="147"/>
      <c r="LEC312" s="147"/>
      <c r="LED312" s="147"/>
      <c r="LEE312" s="147"/>
      <c r="LEF312" s="147"/>
      <c r="LEG312" s="147"/>
      <c r="LEH312" s="147"/>
      <c r="LEI312" s="147"/>
      <c r="LEJ312" s="147"/>
      <c r="LEK312" s="147"/>
      <c r="LEL312" s="147"/>
      <c r="LEM312" s="147"/>
      <c r="LEN312" s="147"/>
      <c r="LEO312" s="147"/>
      <c r="LEP312" s="147"/>
      <c r="LEQ312" s="147"/>
      <c r="LER312" s="147"/>
      <c r="LES312" s="147"/>
      <c r="LET312" s="147"/>
      <c r="LEU312" s="147"/>
      <c r="LEV312" s="147"/>
      <c r="LEW312" s="147"/>
      <c r="LEX312" s="147"/>
      <c r="LEY312" s="147"/>
      <c r="LEZ312" s="147"/>
      <c r="LFA312" s="147"/>
      <c r="LFB312" s="147"/>
      <c r="LFC312" s="147"/>
      <c r="LFD312" s="147"/>
      <c r="LFE312" s="147"/>
      <c r="LFF312" s="147"/>
      <c r="LFG312" s="147"/>
      <c r="LFH312" s="147"/>
      <c r="LFI312" s="147"/>
      <c r="LFJ312" s="147"/>
      <c r="LFK312" s="147"/>
      <c r="LFL312" s="147"/>
      <c r="LFM312" s="147"/>
      <c r="LFN312" s="147"/>
      <c r="LFO312" s="147"/>
      <c r="LFP312" s="147"/>
      <c r="LFQ312" s="147"/>
      <c r="LFR312" s="147"/>
      <c r="LFS312" s="147"/>
      <c r="LFT312" s="147"/>
      <c r="LFU312" s="147"/>
      <c r="LFV312" s="147"/>
      <c r="LFW312" s="147"/>
      <c r="LFX312" s="147"/>
      <c r="LFY312" s="147"/>
      <c r="LFZ312" s="147"/>
      <c r="LGA312" s="147"/>
      <c r="LGB312" s="147"/>
      <c r="LGC312" s="147"/>
      <c r="LGD312" s="147"/>
      <c r="LGE312" s="147"/>
      <c r="LGF312" s="147"/>
      <c r="LGG312" s="147"/>
      <c r="LGH312" s="147"/>
      <c r="LGI312" s="147"/>
      <c r="LGJ312" s="147"/>
      <c r="LGK312" s="147"/>
      <c r="LGL312" s="147"/>
      <c r="LGM312" s="147"/>
      <c r="LGN312" s="147"/>
      <c r="LGO312" s="147"/>
      <c r="LGP312" s="147"/>
      <c r="LGQ312" s="147"/>
      <c r="LGR312" s="147"/>
      <c r="LGS312" s="147"/>
      <c r="LGT312" s="147"/>
      <c r="LGU312" s="147"/>
      <c r="LGV312" s="147"/>
      <c r="LGW312" s="147"/>
      <c r="LGX312" s="147"/>
      <c r="LGY312" s="147"/>
      <c r="LGZ312" s="147"/>
      <c r="LHA312" s="147"/>
      <c r="LHB312" s="147"/>
      <c r="LHC312" s="147"/>
      <c r="LHD312" s="147"/>
      <c r="LHE312" s="147"/>
      <c r="LHF312" s="147"/>
      <c r="LHG312" s="147"/>
      <c r="LHH312" s="147"/>
      <c r="LHI312" s="147"/>
      <c r="LHJ312" s="147"/>
      <c r="LHK312" s="147"/>
      <c r="LHL312" s="147"/>
      <c r="LHM312" s="147"/>
      <c r="LHN312" s="147"/>
      <c r="LHO312" s="147"/>
      <c r="LHP312" s="147"/>
      <c r="LHQ312" s="147"/>
      <c r="LHR312" s="147"/>
      <c r="LHS312" s="147"/>
      <c r="LHT312" s="147"/>
      <c r="LHU312" s="147"/>
      <c r="LHV312" s="147"/>
      <c r="LHW312" s="147"/>
      <c r="LHX312" s="147"/>
      <c r="LHY312" s="147"/>
      <c r="LHZ312" s="147"/>
      <c r="LIA312" s="147"/>
      <c r="LIB312" s="147"/>
      <c r="LIC312" s="147"/>
      <c r="LID312" s="147"/>
      <c r="LIE312" s="147"/>
      <c r="LIF312" s="147"/>
      <c r="LIG312" s="147"/>
      <c r="LIH312" s="147"/>
      <c r="LII312" s="147"/>
      <c r="LIJ312" s="147"/>
      <c r="LIK312" s="147"/>
      <c r="LIL312" s="147"/>
      <c r="LIM312" s="147"/>
      <c r="LIN312" s="147"/>
      <c r="LIO312" s="147"/>
      <c r="LIP312" s="147"/>
      <c r="LIQ312" s="147"/>
      <c r="LIR312" s="147"/>
      <c r="LIS312" s="147"/>
      <c r="LIT312" s="147"/>
      <c r="LIU312" s="147"/>
      <c r="LIV312" s="147"/>
      <c r="LIW312" s="147"/>
      <c r="LIX312" s="147"/>
      <c r="LIY312" s="147"/>
      <c r="LIZ312" s="147"/>
      <c r="LJA312" s="147"/>
      <c r="LJB312" s="147"/>
      <c r="LJC312" s="147"/>
      <c r="LJD312" s="147"/>
      <c r="LJE312" s="147"/>
      <c r="LJF312" s="147"/>
      <c r="LJG312" s="147"/>
      <c r="LJH312" s="147"/>
      <c r="LJI312" s="147"/>
      <c r="LJJ312" s="147"/>
      <c r="LJK312" s="147"/>
      <c r="LJL312" s="147"/>
      <c r="LJM312" s="147"/>
      <c r="LJN312" s="147"/>
      <c r="LJO312" s="147"/>
      <c r="LJP312" s="147"/>
      <c r="LJQ312" s="147"/>
      <c r="LJR312" s="147"/>
      <c r="LJS312" s="147"/>
      <c r="LJT312" s="147"/>
      <c r="LJU312" s="147"/>
      <c r="LJV312" s="147"/>
      <c r="LJW312" s="147"/>
      <c r="LJX312" s="147"/>
      <c r="LJY312" s="147"/>
      <c r="LJZ312" s="147"/>
      <c r="LKA312" s="147"/>
      <c r="LKB312" s="147"/>
      <c r="LKC312" s="147"/>
      <c r="LKD312" s="147"/>
      <c r="LKE312" s="147"/>
      <c r="LKF312" s="147"/>
      <c r="LKG312" s="147"/>
      <c r="LKH312" s="147"/>
      <c r="LKI312" s="147"/>
      <c r="LKJ312" s="147"/>
      <c r="LKK312" s="147"/>
      <c r="LKL312" s="147"/>
      <c r="LKM312" s="147"/>
      <c r="LKN312" s="147"/>
      <c r="LKO312" s="147"/>
      <c r="LKP312" s="147"/>
      <c r="LKQ312" s="147"/>
      <c r="LKR312" s="147"/>
      <c r="LKS312" s="147"/>
      <c r="LKT312" s="147"/>
      <c r="LKU312" s="147"/>
      <c r="LKV312" s="147"/>
      <c r="LKW312" s="147"/>
      <c r="LKX312" s="147"/>
      <c r="LKY312" s="147"/>
      <c r="LKZ312" s="147"/>
      <c r="LLA312" s="147"/>
      <c r="LLB312" s="147"/>
      <c r="LLC312" s="147"/>
      <c r="LLD312" s="147"/>
      <c r="LLE312" s="147"/>
      <c r="LLF312" s="147"/>
      <c r="LLG312" s="147"/>
      <c r="LLH312" s="147"/>
      <c r="LLI312" s="147"/>
      <c r="LLJ312" s="147"/>
      <c r="LLK312" s="147"/>
      <c r="LLL312" s="147"/>
      <c r="LLM312" s="147"/>
      <c r="LLN312" s="147"/>
      <c r="LLO312" s="147"/>
      <c r="LLP312" s="147"/>
      <c r="LLQ312" s="147"/>
      <c r="LLR312" s="147"/>
      <c r="LLS312" s="147"/>
      <c r="LLT312" s="147"/>
      <c r="LLU312" s="147"/>
      <c r="LLV312" s="147"/>
      <c r="LLW312" s="147"/>
      <c r="LLX312" s="147"/>
      <c r="LLY312" s="147"/>
      <c r="LLZ312" s="147"/>
      <c r="LMA312" s="147"/>
      <c r="LMB312" s="147"/>
      <c r="LMC312" s="147"/>
      <c r="LMD312" s="147"/>
      <c r="LME312" s="147"/>
      <c r="LMF312" s="147"/>
      <c r="LMG312" s="147"/>
      <c r="LMH312" s="147"/>
      <c r="LMI312" s="147"/>
      <c r="LMJ312" s="147"/>
      <c r="LMK312" s="147"/>
      <c r="LML312" s="147"/>
      <c r="LMM312" s="147"/>
      <c r="LMN312" s="147"/>
      <c r="LMO312" s="147"/>
      <c r="LMP312" s="147"/>
      <c r="LMQ312" s="147"/>
      <c r="LMR312" s="147"/>
      <c r="LMS312" s="147"/>
      <c r="LMT312" s="147"/>
      <c r="LMU312" s="147"/>
      <c r="LMV312" s="147"/>
      <c r="LMW312" s="147"/>
      <c r="LMX312" s="147"/>
      <c r="LMY312" s="147"/>
      <c r="LMZ312" s="147"/>
      <c r="LNA312" s="147"/>
      <c r="LNB312" s="147"/>
      <c r="LNC312" s="147"/>
      <c r="LND312" s="147"/>
      <c r="LNE312" s="147"/>
      <c r="LNF312" s="147"/>
      <c r="LNG312" s="147"/>
      <c r="LNH312" s="147"/>
      <c r="LNI312" s="147"/>
      <c r="LNJ312" s="147"/>
      <c r="LNK312" s="147"/>
      <c r="LNL312" s="147"/>
      <c r="LNM312" s="147"/>
      <c r="LNN312" s="147"/>
      <c r="LNO312" s="147"/>
      <c r="LNP312" s="147"/>
      <c r="LNQ312" s="147"/>
      <c r="LNR312" s="147"/>
      <c r="LNS312" s="147"/>
      <c r="LNT312" s="147"/>
      <c r="LNU312" s="147"/>
      <c r="LNV312" s="147"/>
      <c r="LNW312" s="147"/>
      <c r="LNX312" s="147"/>
      <c r="LNY312" s="147"/>
      <c r="LNZ312" s="147"/>
      <c r="LOA312" s="147"/>
      <c r="LOB312" s="147"/>
      <c r="LOC312" s="147"/>
      <c r="LOD312" s="147"/>
      <c r="LOE312" s="147"/>
      <c r="LOF312" s="147"/>
      <c r="LOG312" s="147"/>
      <c r="LOH312" s="147"/>
      <c r="LOI312" s="147"/>
      <c r="LOJ312" s="147"/>
      <c r="LOK312" s="147"/>
      <c r="LOL312" s="147"/>
      <c r="LOM312" s="147"/>
      <c r="LON312" s="147"/>
      <c r="LOO312" s="147"/>
      <c r="LOP312" s="147"/>
      <c r="LOQ312" s="147"/>
      <c r="LOR312" s="147"/>
      <c r="LOS312" s="147"/>
      <c r="LOT312" s="147"/>
      <c r="LOU312" s="147"/>
      <c r="LOV312" s="147"/>
      <c r="LOW312" s="147"/>
      <c r="LOX312" s="147"/>
      <c r="LOY312" s="147"/>
      <c r="LOZ312" s="147"/>
      <c r="LPA312" s="147"/>
      <c r="LPB312" s="147"/>
      <c r="LPC312" s="147"/>
      <c r="LPD312" s="147"/>
      <c r="LPE312" s="147"/>
      <c r="LPF312" s="147"/>
      <c r="LPG312" s="147"/>
      <c r="LPH312" s="147"/>
      <c r="LPI312" s="147"/>
      <c r="LPJ312" s="147"/>
      <c r="LPK312" s="147"/>
      <c r="LPL312" s="147"/>
      <c r="LPM312" s="147"/>
      <c r="LPN312" s="147"/>
      <c r="LPO312" s="147"/>
      <c r="LPP312" s="147"/>
      <c r="LPQ312" s="147"/>
      <c r="LPR312" s="147"/>
      <c r="LPS312" s="147"/>
      <c r="LPT312" s="147"/>
      <c r="LPU312" s="147"/>
      <c r="LPV312" s="147"/>
      <c r="LPW312" s="147"/>
      <c r="LPX312" s="147"/>
      <c r="LPY312" s="147"/>
      <c r="LPZ312" s="147"/>
      <c r="LQA312" s="147"/>
      <c r="LQB312" s="147"/>
      <c r="LQC312" s="147"/>
      <c r="LQD312" s="147"/>
      <c r="LQE312" s="147"/>
      <c r="LQF312" s="147"/>
      <c r="LQG312" s="147"/>
      <c r="LQH312" s="147"/>
      <c r="LQI312" s="147"/>
      <c r="LQJ312" s="147"/>
      <c r="LQK312" s="147"/>
      <c r="LQL312" s="147"/>
      <c r="LQM312" s="147"/>
      <c r="LQN312" s="147"/>
      <c r="LQO312" s="147"/>
      <c r="LQP312" s="147"/>
      <c r="LQQ312" s="147"/>
      <c r="LQR312" s="147"/>
      <c r="LQS312" s="147"/>
      <c r="LQT312" s="147"/>
      <c r="LQU312" s="147"/>
      <c r="LQV312" s="147"/>
      <c r="LQW312" s="147"/>
      <c r="LQX312" s="147"/>
      <c r="LQY312" s="147"/>
      <c r="LQZ312" s="147"/>
      <c r="LRA312" s="147"/>
      <c r="LRB312" s="147"/>
      <c r="LRC312" s="147"/>
      <c r="LRD312" s="147"/>
      <c r="LRE312" s="147"/>
      <c r="LRF312" s="147"/>
      <c r="LRG312" s="147"/>
      <c r="LRH312" s="147"/>
      <c r="LRI312" s="147"/>
      <c r="LRJ312" s="147"/>
      <c r="LRK312" s="147"/>
      <c r="LRL312" s="147"/>
      <c r="LRM312" s="147"/>
      <c r="LRN312" s="147"/>
      <c r="LRO312" s="147"/>
      <c r="LRP312" s="147"/>
      <c r="LRQ312" s="147"/>
      <c r="LRR312" s="147"/>
      <c r="LRS312" s="147"/>
      <c r="LRT312" s="147"/>
      <c r="LRU312" s="147"/>
      <c r="LRV312" s="147"/>
      <c r="LRW312" s="147"/>
      <c r="LRX312" s="147"/>
      <c r="LRY312" s="147"/>
      <c r="LRZ312" s="147"/>
      <c r="LSA312" s="147"/>
      <c r="LSB312" s="147"/>
      <c r="LSC312" s="147"/>
      <c r="LSD312" s="147"/>
      <c r="LSE312" s="147"/>
      <c r="LSF312" s="147"/>
      <c r="LSG312" s="147"/>
      <c r="LSH312" s="147"/>
      <c r="LSI312" s="147"/>
      <c r="LSJ312" s="147"/>
      <c r="LSK312" s="147"/>
      <c r="LSL312" s="147"/>
      <c r="LSM312" s="147"/>
      <c r="LSN312" s="147"/>
      <c r="LSO312" s="147"/>
      <c r="LSP312" s="147"/>
      <c r="LSQ312" s="147"/>
      <c r="LSR312" s="147"/>
      <c r="LSS312" s="147"/>
      <c r="LST312" s="147"/>
      <c r="LSU312" s="147"/>
      <c r="LSV312" s="147"/>
      <c r="LSW312" s="147"/>
      <c r="LSX312" s="147"/>
      <c r="LSY312" s="147"/>
      <c r="LSZ312" s="147"/>
      <c r="LTA312" s="147"/>
      <c r="LTB312" s="147"/>
      <c r="LTC312" s="147"/>
      <c r="LTD312" s="147"/>
      <c r="LTE312" s="147"/>
      <c r="LTF312" s="147"/>
      <c r="LTG312" s="147"/>
      <c r="LTH312" s="147"/>
      <c r="LTI312" s="147"/>
      <c r="LTJ312" s="147"/>
      <c r="LTK312" s="147"/>
      <c r="LTL312" s="147"/>
      <c r="LTM312" s="147"/>
      <c r="LTN312" s="147"/>
      <c r="LTO312" s="147"/>
      <c r="LTP312" s="147"/>
      <c r="LTQ312" s="147"/>
      <c r="LTR312" s="147"/>
      <c r="LTS312" s="147"/>
      <c r="LTT312" s="147"/>
      <c r="LTU312" s="147"/>
      <c r="LTV312" s="147"/>
      <c r="LTW312" s="147"/>
      <c r="LTX312" s="147"/>
      <c r="LTY312" s="147"/>
      <c r="LTZ312" s="147"/>
      <c r="LUA312" s="147"/>
      <c r="LUB312" s="147"/>
      <c r="LUC312" s="147"/>
      <c r="LUD312" s="147"/>
      <c r="LUE312" s="147"/>
      <c r="LUF312" s="147"/>
      <c r="LUG312" s="147"/>
      <c r="LUH312" s="147"/>
      <c r="LUI312" s="147"/>
      <c r="LUJ312" s="147"/>
      <c r="LUK312" s="147"/>
      <c r="LUL312" s="147"/>
      <c r="LUM312" s="147"/>
      <c r="LUN312" s="147"/>
      <c r="LUO312" s="147"/>
      <c r="LUP312" s="147"/>
      <c r="LUQ312" s="147"/>
      <c r="LUR312" s="147"/>
      <c r="LUS312" s="147"/>
      <c r="LUT312" s="147"/>
      <c r="LUU312" s="147"/>
      <c r="LUV312" s="147"/>
      <c r="LUW312" s="147"/>
      <c r="LUX312" s="147"/>
      <c r="LUY312" s="147"/>
      <c r="LUZ312" s="147"/>
      <c r="LVA312" s="147"/>
      <c r="LVB312" s="147"/>
      <c r="LVC312" s="147"/>
      <c r="LVD312" s="147"/>
      <c r="LVE312" s="147"/>
      <c r="LVF312" s="147"/>
      <c r="LVG312" s="147"/>
      <c r="LVH312" s="147"/>
      <c r="LVI312" s="147"/>
      <c r="LVJ312" s="147"/>
      <c r="LVK312" s="147"/>
      <c r="LVL312" s="147"/>
      <c r="LVM312" s="147"/>
      <c r="LVN312" s="147"/>
      <c r="LVO312" s="147"/>
      <c r="LVP312" s="147"/>
      <c r="LVQ312" s="147"/>
      <c r="LVR312" s="147"/>
      <c r="LVS312" s="147"/>
      <c r="LVT312" s="147"/>
      <c r="LVU312" s="147"/>
      <c r="LVV312" s="147"/>
      <c r="LVW312" s="147"/>
      <c r="LVX312" s="147"/>
      <c r="LVY312" s="147"/>
      <c r="LVZ312" s="147"/>
      <c r="LWA312" s="147"/>
      <c r="LWB312" s="147"/>
      <c r="LWC312" s="147"/>
      <c r="LWD312" s="147"/>
      <c r="LWE312" s="147"/>
      <c r="LWF312" s="147"/>
      <c r="LWG312" s="147"/>
      <c r="LWH312" s="147"/>
      <c r="LWI312" s="147"/>
      <c r="LWJ312" s="147"/>
      <c r="LWK312" s="147"/>
      <c r="LWL312" s="147"/>
      <c r="LWM312" s="147"/>
      <c r="LWN312" s="147"/>
      <c r="LWO312" s="147"/>
      <c r="LWP312" s="147"/>
      <c r="LWQ312" s="147"/>
      <c r="LWR312" s="147"/>
      <c r="LWS312" s="147"/>
      <c r="LWT312" s="147"/>
      <c r="LWU312" s="147"/>
      <c r="LWV312" s="147"/>
      <c r="LWW312" s="147"/>
      <c r="LWX312" s="147"/>
      <c r="LWY312" s="147"/>
      <c r="LWZ312" s="147"/>
      <c r="LXA312" s="147"/>
      <c r="LXB312" s="147"/>
      <c r="LXC312" s="147"/>
      <c r="LXD312" s="147"/>
      <c r="LXE312" s="147"/>
      <c r="LXF312" s="147"/>
      <c r="LXG312" s="147"/>
      <c r="LXH312" s="147"/>
      <c r="LXI312" s="147"/>
      <c r="LXJ312" s="147"/>
      <c r="LXK312" s="147"/>
      <c r="LXL312" s="147"/>
      <c r="LXM312" s="147"/>
      <c r="LXN312" s="147"/>
      <c r="LXO312" s="147"/>
      <c r="LXP312" s="147"/>
      <c r="LXQ312" s="147"/>
      <c r="LXR312" s="147"/>
      <c r="LXS312" s="147"/>
      <c r="LXT312" s="147"/>
      <c r="LXU312" s="147"/>
      <c r="LXV312" s="147"/>
      <c r="LXW312" s="147"/>
      <c r="LXX312" s="147"/>
      <c r="LXY312" s="147"/>
      <c r="LXZ312" s="147"/>
      <c r="LYA312" s="147"/>
      <c r="LYB312" s="147"/>
      <c r="LYC312" s="147"/>
      <c r="LYD312" s="147"/>
      <c r="LYE312" s="147"/>
      <c r="LYF312" s="147"/>
      <c r="LYG312" s="147"/>
      <c r="LYH312" s="147"/>
      <c r="LYI312" s="147"/>
      <c r="LYJ312" s="147"/>
      <c r="LYK312" s="147"/>
      <c r="LYL312" s="147"/>
      <c r="LYM312" s="147"/>
      <c r="LYN312" s="147"/>
      <c r="LYO312" s="147"/>
      <c r="LYP312" s="147"/>
      <c r="LYQ312" s="147"/>
      <c r="LYR312" s="147"/>
      <c r="LYS312" s="147"/>
      <c r="LYT312" s="147"/>
      <c r="LYU312" s="147"/>
      <c r="LYV312" s="147"/>
      <c r="LYW312" s="147"/>
      <c r="LYX312" s="147"/>
      <c r="LYY312" s="147"/>
      <c r="LYZ312" s="147"/>
      <c r="LZA312" s="147"/>
      <c r="LZB312" s="147"/>
      <c r="LZC312" s="147"/>
      <c r="LZD312" s="147"/>
      <c r="LZE312" s="147"/>
      <c r="LZF312" s="147"/>
      <c r="LZG312" s="147"/>
      <c r="LZH312" s="147"/>
      <c r="LZI312" s="147"/>
      <c r="LZJ312" s="147"/>
      <c r="LZK312" s="147"/>
      <c r="LZL312" s="147"/>
      <c r="LZM312" s="147"/>
      <c r="LZN312" s="147"/>
      <c r="LZO312" s="147"/>
      <c r="LZP312" s="147"/>
      <c r="LZQ312" s="147"/>
      <c r="LZR312" s="147"/>
      <c r="LZS312" s="147"/>
      <c r="LZT312" s="147"/>
      <c r="LZU312" s="147"/>
      <c r="LZV312" s="147"/>
      <c r="LZW312" s="147"/>
      <c r="LZX312" s="147"/>
      <c r="LZY312" s="147"/>
      <c r="LZZ312" s="147"/>
      <c r="MAA312" s="147"/>
      <c r="MAB312" s="147"/>
      <c r="MAC312" s="147"/>
      <c r="MAD312" s="147"/>
      <c r="MAE312" s="147"/>
      <c r="MAF312" s="147"/>
      <c r="MAG312" s="147"/>
      <c r="MAH312" s="147"/>
      <c r="MAI312" s="147"/>
      <c r="MAJ312" s="147"/>
      <c r="MAK312" s="147"/>
      <c r="MAL312" s="147"/>
      <c r="MAM312" s="147"/>
      <c r="MAN312" s="147"/>
      <c r="MAO312" s="147"/>
      <c r="MAP312" s="147"/>
      <c r="MAQ312" s="147"/>
      <c r="MAR312" s="147"/>
      <c r="MAS312" s="147"/>
      <c r="MAT312" s="147"/>
      <c r="MAU312" s="147"/>
      <c r="MAV312" s="147"/>
      <c r="MAW312" s="147"/>
      <c r="MAX312" s="147"/>
      <c r="MAY312" s="147"/>
      <c r="MAZ312" s="147"/>
      <c r="MBA312" s="147"/>
      <c r="MBB312" s="147"/>
      <c r="MBC312" s="147"/>
      <c r="MBD312" s="147"/>
      <c r="MBE312" s="147"/>
      <c r="MBF312" s="147"/>
      <c r="MBG312" s="147"/>
      <c r="MBH312" s="147"/>
      <c r="MBI312" s="147"/>
      <c r="MBJ312" s="147"/>
      <c r="MBK312" s="147"/>
      <c r="MBL312" s="147"/>
      <c r="MBM312" s="147"/>
      <c r="MBN312" s="147"/>
      <c r="MBO312" s="147"/>
      <c r="MBP312" s="147"/>
      <c r="MBQ312" s="147"/>
      <c r="MBR312" s="147"/>
      <c r="MBS312" s="147"/>
      <c r="MBT312" s="147"/>
      <c r="MBU312" s="147"/>
      <c r="MBV312" s="147"/>
      <c r="MBW312" s="147"/>
      <c r="MBX312" s="147"/>
      <c r="MBY312" s="147"/>
      <c r="MBZ312" s="147"/>
      <c r="MCA312" s="147"/>
      <c r="MCB312" s="147"/>
      <c r="MCC312" s="147"/>
      <c r="MCD312" s="147"/>
      <c r="MCE312" s="147"/>
      <c r="MCF312" s="147"/>
      <c r="MCG312" s="147"/>
      <c r="MCH312" s="147"/>
      <c r="MCI312" s="147"/>
      <c r="MCJ312" s="147"/>
      <c r="MCK312" s="147"/>
      <c r="MCL312" s="147"/>
      <c r="MCM312" s="147"/>
      <c r="MCN312" s="147"/>
      <c r="MCO312" s="147"/>
      <c r="MCP312" s="147"/>
      <c r="MCQ312" s="147"/>
      <c r="MCR312" s="147"/>
      <c r="MCS312" s="147"/>
      <c r="MCT312" s="147"/>
      <c r="MCU312" s="147"/>
      <c r="MCV312" s="147"/>
      <c r="MCW312" s="147"/>
      <c r="MCX312" s="147"/>
      <c r="MCY312" s="147"/>
      <c r="MCZ312" s="147"/>
      <c r="MDA312" s="147"/>
      <c r="MDB312" s="147"/>
      <c r="MDC312" s="147"/>
      <c r="MDD312" s="147"/>
      <c r="MDE312" s="147"/>
      <c r="MDF312" s="147"/>
      <c r="MDG312" s="147"/>
      <c r="MDH312" s="147"/>
      <c r="MDI312" s="147"/>
      <c r="MDJ312" s="147"/>
      <c r="MDK312" s="147"/>
      <c r="MDL312" s="147"/>
      <c r="MDM312" s="147"/>
      <c r="MDN312" s="147"/>
      <c r="MDO312" s="147"/>
      <c r="MDP312" s="147"/>
      <c r="MDQ312" s="147"/>
      <c r="MDR312" s="147"/>
      <c r="MDS312" s="147"/>
      <c r="MDT312" s="147"/>
      <c r="MDU312" s="147"/>
      <c r="MDV312" s="147"/>
      <c r="MDW312" s="147"/>
      <c r="MDX312" s="147"/>
      <c r="MDY312" s="147"/>
      <c r="MDZ312" s="147"/>
      <c r="MEA312" s="147"/>
      <c r="MEB312" s="147"/>
      <c r="MEC312" s="147"/>
      <c r="MED312" s="147"/>
      <c r="MEE312" s="147"/>
      <c r="MEF312" s="147"/>
      <c r="MEG312" s="147"/>
      <c r="MEH312" s="147"/>
      <c r="MEI312" s="147"/>
      <c r="MEJ312" s="147"/>
      <c r="MEK312" s="147"/>
      <c r="MEL312" s="147"/>
      <c r="MEM312" s="147"/>
      <c r="MEN312" s="147"/>
      <c r="MEO312" s="147"/>
      <c r="MEP312" s="147"/>
      <c r="MEQ312" s="147"/>
      <c r="MER312" s="147"/>
      <c r="MES312" s="147"/>
      <c r="MET312" s="147"/>
      <c r="MEU312" s="147"/>
      <c r="MEV312" s="147"/>
      <c r="MEW312" s="147"/>
      <c r="MEX312" s="147"/>
      <c r="MEY312" s="147"/>
      <c r="MEZ312" s="147"/>
      <c r="MFA312" s="147"/>
      <c r="MFB312" s="147"/>
      <c r="MFC312" s="147"/>
      <c r="MFD312" s="147"/>
      <c r="MFE312" s="147"/>
      <c r="MFF312" s="147"/>
      <c r="MFG312" s="147"/>
      <c r="MFH312" s="147"/>
      <c r="MFI312" s="147"/>
      <c r="MFJ312" s="147"/>
      <c r="MFK312" s="147"/>
      <c r="MFL312" s="147"/>
      <c r="MFM312" s="147"/>
      <c r="MFN312" s="147"/>
      <c r="MFO312" s="147"/>
      <c r="MFP312" s="147"/>
      <c r="MFQ312" s="147"/>
      <c r="MFR312" s="147"/>
      <c r="MFS312" s="147"/>
      <c r="MFT312" s="147"/>
      <c r="MFU312" s="147"/>
      <c r="MFV312" s="147"/>
      <c r="MFW312" s="147"/>
      <c r="MFX312" s="147"/>
      <c r="MFY312" s="147"/>
      <c r="MFZ312" s="147"/>
      <c r="MGA312" s="147"/>
      <c r="MGB312" s="147"/>
      <c r="MGC312" s="147"/>
      <c r="MGD312" s="147"/>
      <c r="MGE312" s="147"/>
      <c r="MGF312" s="147"/>
      <c r="MGG312" s="147"/>
      <c r="MGH312" s="147"/>
      <c r="MGI312" s="147"/>
      <c r="MGJ312" s="147"/>
      <c r="MGK312" s="147"/>
      <c r="MGL312" s="147"/>
      <c r="MGM312" s="147"/>
      <c r="MGN312" s="147"/>
      <c r="MGO312" s="147"/>
      <c r="MGP312" s="147"/>
      <c r="MGQ312" s="147"/>
      <c r="MGR312" s="147"/>
      <c r="MGS312" s="147"/>
      <c r="MGT312" s="147"/>
      <c r="MGU312" s="147"/>
      <c r="MGV312" s="147"/>
      <c r="MGW312" s="147"/>
      <c r="MGX312" s="147"/>
      <c r="MGY312" s="147"/>
      <c r="MGZ312" s="147"/>
      <c r="MHA312" s="147"/>
      <c r="MHB312" s="147"/>
      <c r="MHC312" s="147"/>
      <c r="MHD312" s="147"/>
      <c r="MHE312" s="147"/>
      <c r="MHF312" s="147"/>
      <c r="MHG312" s="147"/>
      <c r="MHH312" s="147"/>
      <c r="MHI312" s="147"/>
      <c r="MHJ312" s="147"/>
      <c r="MHK312" s="147"/>
      <c r="MHL312" s="147"/>
      <c r="MHM312" s="147"/>
      <c r="MHN312" s="147"/>
      <c r="MHO312" s="147"/>
      <c r="MHP312" s="147"/>
      <c r="MHQ312" s="147"/>
      <c r="MHR312" s="147"/>
      <c r="MHS312" s="147"/>
      <c r="MHT312" s="147"/>
      <c r="MHU312" s="147"/>
      <c r="MHV312" s="147"/>
      <c r="MHW312" s="147"/>
      <c r="MHX312" s="147"/>
      <c r="MHY312" s="147"/>
      <c r="MHZ312" s="147"/>
      <c r="MIA312" s="147"/>
      <c r="MIB312" s="147"/>
      <c r="MIC312" s="147"/>
      <c r="MID312" s="147"/>
      <c r="MIE312" s="147"/>
      <c r="MIF312" s="147"/>
      <c r="MIG312" s="147"/>
      <c r="MIH312" s="147"/>
      <c r="MII312" s="147"/>
      <c r="MIJ312" s="147"/>
      <c r="MIK312" s="147"/>
      <c r="MIL312" s="147"/>
      <c r="MIM312" s="147"/>
      <c r="MIN312" s="147"/>
      <c r="MIO312" s="147"/>
      <c r="MIP312" s="147"/>
      <c r="MIQ312" s="147"/>
      <c r="MIR312" s="147"/>
      <c r="MIS312" s="147"/>
      <c r="MIT312" s="147"/>
      <c r="MIU312" s="147"/>
      <c r="MIV312" s="147"/>
      <c r="MIW312" s="147"/>
      <c r="MIX312" s="147"/>
      <c r="MIY312" s="147"/>
      <c r="MIZ312" s="147"/>
      <c r="MJA312" s="147"/>
      <c r="MJB312" s="147"/>
      <c r="MJC312" s="147"/>
      <c r="MJD312" s="147"/>
      <c r="MJE312" s="147"/>
      <c r="MJF312" s="147"/>
      <c r="MJG312" s="147"/>
      <c r="MJH312" s="147"/>
      <c r="MJI312" s="147"/>
      <c r="MJJ312" s="147"/>
      <c r="MJK312" s="147"/>
      <c r="MJL312" s="147"/>
      <c r="MJM312" s="147"/>
      <c r="MJN312" s="147"/>
      <c r="MJO312" s="147"/>
      <c r="MJP312" s="147"/>
      <c r="MJQ312" s="147"/>
      <c r="MJR312" s="147"/>
      <c r="MJS312" s="147"/>
      <c r="MJT312" s="147"/>
      <c r="MJU312" s="147"/>
      <c r="MJV312" s="147"/>
      <c r="MJW312" s="147"/>
      <c r="MJX312" s="147"/>
      <c r="MJY312" s="147"/>
      <c r="MJZ312" s="147"/>
      <c r="MKA312" s="147"/>
      <c r="MKB312" s="147"/>
      <c r="MKC312" s="147"/>
      <c r="MKD312" s="147"/>
      <c r="MKE312" s="147"/>
      <c r="MKF312" s="147"/>
      <c r="MKG312" s="147"/>
      <c r="MKH312" s="147"/>
      <c r="MKI312" s="147"/>
      <c r="MKJ312" s="147"/>
      <c r="MKK312" s="147"/>
      <c r="MKL312" s="147"/>
      <c r="MKM312" s="147"/>
      <c r="MKN312" s="147"/>
      <c r="MKO312" s="147"/>
      <c r="MKP312" s="147"/>
      <c r="MKQ312" s="147"/>
      <c r="MKR312" s="147"/>
      <c r="MKS312" s="147"/>
      <c r="MKT312" s="147"/>
      <c r="MKU312" s="147"/>
      <c r="MKV312" s="147"/>
      <c r="MKW312" s="147"/>
      <c r="MKX312" s="147"/>
      <c r="MKY312" s="147"/>
      <c r="MKZ312" s="147"/>
      <c r="MLA312" s="147"/>
      <c r="MLB312" s="147"/>
      <c r="MLC312" s="147"/>
      <c r="MLD312" s="147"/>
      <c r="MLE312" s="147"/>
      <c r="MLF312" s="147"/>
      <c r="MLG312" s="147"/>
      <c r="MLH312" s="147"/>
      <c r="MLI312" s="147"/>
      <c r="MLJ312" s="147"/>
      <c r="MLK312" s="147"/>
      <c r="MLL312" s="147"/>
      <c r="MLM312" s="147"/>
      <c r="MLN312" s="147"/>
      <c r="MLO312" s="147"/>
      <c r="MLP312" s="147"/>
      <c r="MLQ312" s="147"/>
      <c r="MLR312" s="147"/>
      <c r="MLS312" s="147"/>
      <c r="MLT312" s="147"/>
      <c r="MLU312" s="147"/>
      <c r="MLV312" s="147"/>
      <c r="MLW312" s="147"/>
      <c r="MLX312" s="147"/>
      <c r="MLY312" s="147"/>
      <c r="MLZ312" s="147"/>
      <c r="MMA312" s="147"/>
      <c r="MMB312" s="147"/>
      <c r="MMC312" s="147"/>
      <c r="MMD312" s="147"/>
      <c r="MME312" s="147"/>
      <c r="MMF312" s="147"/>
      <c r="MMG312" s="147"/>
      <c r="MMH312" s="147"/>
      <c r="MMI312" s="147"/>
      <c r="MMJ312" s="147"/>
      <c r="MMK312" s="147"/>
      <c r="MML312" s="147"/>
      <c r="MMM312" s="147"/>
      <c r="MMN312" s="147"/>
      <c r="MMO312" s="147"/>
      <c r="MMP312" s="147"/>
      <c r="MMQ312" s="147"/>
      <c r="MMR312" s="147"/>
      <c r="MMS312" s="147"/>
      <c r="MMT312" s="147"/>
      <c r="MMU312" s="147"/>
      <c r="MMV312" s="147"/>
      <c r="MMW312" s="147"/>
      <c r="MMX312" s="147"/>
      <c r="MMY312" s="147"/>
      <c r="MMZ312" s="147"/>
      <c r="MNA312" s="147"/>
      <c r="MNB312" s="147"/>
      <c r="MNC312" s="147"/>
      <c r="MND312" s="147"/>
      <c r="MNE312" s="147"/>
      <c r="MNF312" s="147"/>
      <c r="MNG312" s="147"/>
      <c r="MNH312" s="147"/>
      <c r="MNI312" s="147"/>
      <c r="MNJ312" s="147"/>
      <c r="MNK312" s="147"/>
      <c r="MNL312" s="147"/>
      <c r="MNM312" s="147"/>
      <c r="MNN312" s="147"/>
      <c r="MNO312" s="147"/>
      <c r="MNP312" s="147"/>
      <c r="MNQ312" s="147"/>
      <c r="MNR312" s="147"/>
      <c r="MNS312" s="147"/>
      <c r="MNT312" s="147"/>
      <c r="MNU312" s="147"/>
      <c r="MNV312" s="147"/>
      <c r="MNW312" s="147"/>
      <c r="MNX312" s="147"/>
      <c r="MNY312" s="147"/>
      <c r="MNZ312" s="147"/>
      <c r="MOA312" s="147"/>
      <c r="MOB312" s="147"/>
      <c r="MOC312" s="147"/>
      <c r="MOD312" s="147"/>
      <c r="MOE312" s="147"/>
      <c r="MOF312" s="147"/>
      <c r="MOG312" s="147"/>
      <c r="MOH312" s="147"/>
      <c r="MOI312" s="147"/>
      <c r="MOJ312" s="147"/>
      <c r="MOK312" s="147"/>
      <c r="MOL312" s="147"/>
      <c r="MOM312" s="147"/>
      <c r="MON312" s="147"/>
      <c r="MOO312" s="147"/>
      <c r="MOP312" s="147"/>
      <c r="MOQ312" s="147"/>
      <c r="MOR312" s="147"/>
      <c r="MOS312" s="147"/>
      <c r="MOT312" s="147"/>
      <c r="MOU312" s="147"/>
      <c r="MOV312" s="147"/>
      <c r="MOW312" s="147"/>
      <c r="MOX312" s="147"/>
      <c r="MOY312" s="147"/>
      <c r="MOZ312" s="147"/>
      <c r="MPA312" s="147"/>
      <c r="MPB312" s="147"/>
      <c r="MPC312" s="147"/>
      <c r="MPD312" s="147"/>
      <c r="MPE312" s="147"/>
      <c r="MPF312" s="147"/>
      <c r="MPG312" s="147"/>
      <c r="MPH312" s="147"/>
      <c r="MPI312" s="147"/>
      <c r="MPJ312" s="147"/>
      <c r="MPK312" s="147"/>
      <c r="MPL312" s="147"/>
      <c r="MPM312" s="147"/>
      <c r="MPN312" s="147"/>
      <c r="MPO312" s="147"/>
      <c r="MPP312" s="147"/>
      <c r="MPQ312" s="147"/>
      <c r="MPR312" s="147"/>
      <c r="MPS312" s="147"/>
      <c r="MPT312" s="147"/>
      <c r="MPU312" s="147"/>
      <c r="MPV312" s="147"/>
      <c r="MPW312" s="147"/>
      <c r="MPX312" s="147"/>
      <c r="MPY312" s="147"/>
      <c r="MPZ312" s="147"/>
      <c r="MQA312" s="147"/>
      <c r="MQB312" s="147"/>
      <c r="MQC312" s="147"/>
      <c r="MQD312" s="147"/>
      <c r="MQE312" s="147"/>
      <c r="MQF312" s="147"/>
      <c r="MQG312" s="147"/>
      <c r="MQH312" s="147"/>
      <c r="MQI312" s="147"/>
      <c r="MQJ312" s="147"/>
      <c r="MQK312" s="147"/>
      <c r="MQL312" s="147"/>
      <c r="MQM312" s="147"/>
      <c r="MQN312" s="147"/>
      <c r="MQO312" s="147"/>
      <c r="MQP312" s="147"/>
      <c r="MQQ312" s="147"/>
      <c r="MQR312" s="147"/>
      <c r="MQS312" s="147"/>
      <c r="MQT312" s="147"/>
      <c r="MQU312" s="147"/>
      <c r="MQV312" s="147"/>
      <c r="MQW312" s="147"/>
      <c r="MQX312" s="147"/>
      <c r="MQY312" s="147"/>
      <c r="MQZ312" s="147"/>
      <c r="MRA312" s="147"/>
      <c r="MRB312" s="147"/>
      <c r="MRC312" s="147"/>
      <c r="MRD312" s="147"/>
      <c r="MRE312" s="147"/>
      <c r="MRF312" s="147"/>
      <c r="MRG312" s="147"/>
      <c r="MRH312" s="147"/>
      <c r="MRI312" s="147"/>
      <c r="MRJ312" s="147"/>
      <c r="MRK312" s="147"/>
      <c r="MRL312" s="147"/>
      <c r="MRM312" s="147"/>
      <c r="MRN312" s="147"/>
      <c r="MRO312" s="147"/>
      <c r="MRP312" s="147"/>
      <c r="MRQ312" s="147"/>
      <c r="MRR312" s="147"/>
      <c r="MRS312" s="147"/>
      <c r="MRT312" s="147"/>
      <c r="MRU312" s="147"/>
      <c r="MRV312" s="147"/>
      <c r="MRW312" s="147"/>
      <c r="MRX312" s="147"/>
      <c r="MRY312" s="147"/>
      <c r="MRZ312" s="147"/>
      <c r="MSA312" s="147"/>
      <c r="MSB312" s="147"/>
      <c r="MSC312" s="147"/>
      <c r="MSD312" s="147"/>
      <c r="MSE312" s="147"/>
      <c r="MSF312" s="147"/>
      <c r="MSG312" s="147"/>
      <c r="MSH312" s="147"/>
      <c r="MSI312" s="147"/>
      <c r="MSJ312" s="147"/>
      <c r="MSK312" s="147"/>
      <c r="MSL312" s="147"/>
      <c r="MSM312" s="147"/>
      <c r="MSN312" s="147"/>
      <c r="MSO312" s="147"/>
      <c r="MSP312" s="147"/>
      <c r="MSQ312" s="147"/>
      <c r="MSR312" s="147"/>
      <c r="MSS312" s="147"/>
      <c r="MST312" s="147"/>
      <c r="MSU312" s="147"/>
      <c r="MSV312" s="147"/>
      <c r="MSW312" s="147"/>
      <c r="MSX312" s="147"/>
      <c r="MSY312" s="147"/>
      <c r="MSZ312" s="147"/>
      <c r="MTA312" s="147"/>
      <c r="MTB312" s="147"/>
      <c r="MTC312" s="147"/>
      <c r="MTD312" s="147"/>
      <c r="MTE312" s="147"/>
      <c r="MTF312" s="147"/>
      <c r="MTG312" s="147"/>
      <c r="MTH312" s="147"/>
      <c r="MTI312" s="147"/>
      <c r="MTJ312" s="147"/>
      <c r="MTK312" s="147"/>
      <c r="MTL312" s="147"/>
      <c r="MTM312" s="147"/>
      <c r="MTN312" s="147"/>
      <c r="MTO312" s="147"/>
      <c r="MTP312" s="147"/>
      <c r="MTQ312" s="147"/>
      <c r="MTR312" s="147"/>
      <c r="MTS312" s="147"/>
      <c r="MTT312" s="147"/>
      <c r="MTU312" s="147"/>
      <c r="MTV312" s="147"/>
      <c r="MTW312" s="147"/>
      <c r="MTX312" s="147"/>
      <c r="MTY312" s="147"/>
      <c r="MTZ312" s="147"/>
      <c r="MUA312" s="147"/>
      <c r="MUB312" s="147"/>
      <c r="MUC312" s="147"/>
      <c r="MUD312" s="147"/>
      <c r="MUE312" s="147"/>
      <c r="MUF312" s="147"/>
      <c r="MUG312" s="147"/>
      <c r="MUH312" s="147"/>
      <c r="MUI312" s="147"/>
      <c r="MUJ312" s="147"/>
      <c r="MUK312" s="147"/>
      <c r="MUL312" s="147"/>
      <c r="MUM312" s="147"/>
      <c r="MUN312" s="147"/>
      <c r="MUO312" s="147"/>
      <c r="MUP312" s="147"/>
      <c r="MUQ312" s="147"/>
      <c r="MUR312" s="147"/>
      <c r="MUS312" s="147"/>
      <c r="MUT312" s="147"/>
      <c r="MUU312" s="147"/>
      <c r="MUV312" s="147"/>
      <c r="MUW312" s="147"/>
      <c r="MUX312" s="147"/>
      <c r="MUY312" s="147"/>
      <c r="MUZ312" s="147"/>
      <c r="MVA312" s="147"/>
      <c r="MVB312" s="147"/>
      <c r="MVC312" s="147"/>
      <c r="MVD312" s="147"/>
      <c r="MVE312" s="147"/>
      <c r="MVF312" s="147"/>
      <c r="MVG312" s="147"/>
      <c r="MVH312" s="147"/>
      <c r="MVI312" s="147"/>
      <c r="MVJ312" s="147"/>
      <c r="MVK312" s="147"/>
      <c r="MVL312" s="147"/>
      <c r="MVM312" s="147"/>
      <c r="MVN312" s="147"/>
      <c r="MVO312" s="147"/>
      <c r="MVP312" s="147"/>
      <c r="MVQ312" s="147"/>
      <c r="MVR312" s="147"/>
      <c r="MVS312" s="147"/>
      <c r="MVT312" s="147"/>
      <c r="MVU312" s="147"/>
      <c r="MVV312" s="147"/>
      <c r="MVW312" s="147"/>
      <c r="MVX312" s="147"/>
      <c r="MVY312" s="147"/>
      <c r="MVZ312" s="147"/>
      <c r="MWA312" s="147"/>
      <c r="MWB312" s="147"/>
      <c r="MWC312" s="147"/>
      <c r="MWD312" s="147"/>
      <c r="MWE312" s="147"/>
      <c r="MWF312" s="147"/>
      <c r="MWG312" s="147"/>
      <c r="MWH312" s="147"/>
      <c r="MWI312" s="147"/>
      <c r="MWJ312" s="147"/>
      <c r="MWK312" s="147"/>
      <c r="MWL312" s="147"/>
      <c r="MWM312" s="147"/>
      <c r="MWN312" s="147"/>
      <c r="MWO312" s="147"/>
      <c r="MWP312" s="147"/>
      <c r="MWQ312" s="147"/>
      <c r="MWR312" s="147"/>
      <c r="MWS312" s="147"/>
      <c r="MWT312" s="147"/>
      <c r="MWU312" s="147"/>
      <c r="MWV312" s="147"/>
      <c r="MWW312" s="147"/>
      <c r="MWX312" s="147"/>
      <c r="MWY312" s="147"/>
      <c r="MWZ312" s="147"/>
      <c r="MXA312" s="147"/>
      <c r="MXB312" s="147"/>
      <c r="MXC312" s="147"/>
      <c r="MXD312" s="147"/>
      <c r="MXE312" s="147"/>
      <c r="MXF312" s="147"/>
      <c r="MXG312" s="147"/>
      <c r="MXH312" s="147"/>
      <c r="MXI312" s="147"/>
      <c r="MXJ312" s="147"/>
      <c r="MXK312" s="147"/>
      <c r="MXL312" s="147"/>
      <c r="MXM312" s="147"/>
      <c r="MXN312" s="147"/>
      <c r="MXO312" s="147"/>
      <c r="MXP312" s="147"/>
      <c r="MXQ312" s="147"/>
      <c r="MXR312" s="147"/>
      <c r="MXS312" s="147"/>
      <c r="MXT312" s="147"/>
      <c r="MXU312" s="147"/>
      <c r="MXV312" s="147"/>
      <c r="MXW312" s="147"/>
      <c r="MXX312" s="147"/>
      <c r="MXY312" s="147"/>
      <c r="MXZ312" s="147"/>
      <c r="MYA312" s="147"/>
      <c r="MYB312" s="147"/>
      <c r="MYC312" s="147"/>
      <c r="MYD312" s="147"/>
      <c r="MYE312" s="147"/>
      <c r="MYF312" s="147"/>
      <c r="MYG312" s="147"/>
      <c r="MYH312" s="147"/>
      <c r="MYI312" s="147"/>
      <c r="MYJ312" s="147"/>
      <c r="MYK312" s="147"/>
      <c r="MYL312" s="147"/>
      <c r="MYM312" s="147"/>
      <c r="MYN312" s="147"/>
      <c r="MYO312" s="147"/>
      <c r="MYP312" s="147"/>
      <c r="MYQ312" s="147"/>
      <c r="MYR312" s="147"/>
      <c r="MYS312" s="147"/>
      <c r="MYT312" s="147"/>
      <c r="MYU312" s="147"/>
      <c r="MYV312" s="147"/>
      <c r="MYW312" s="147"/>
      <c r="MYX312" s="147"/>
      <c r="MYY312" s="147"/>
      <c r="MYZ312" s="147"/>
      <c r="MZA312" s="147"/>
      <c r="MZB312" s="147"/>
      <c r="MZC312" s="147"/>
      <c r="MZD312" s="147"/>
      <c r="MZE312" s="147"/>
      <c r="MZF312" s="147"/>
      <c r="MZG312" s="147"/>
      <c r="MZH312" s="147"/>
      <c r="MZI312" s="147"/>
      <c r="MZJ312" s="147"/>
      <c r="MZK312" s="147"/>
      <c r="MZL312" s="147"/>
      <c r="MZM312" s="147"/>
      <c r="MZN312" s="147"/>
      <c r="MZO312" s="147"/>
      <c r="MZP312" s="147"/>
      <c r="MZQ312" s="147"/>
      <c r="MZR312" s="147"/>
      <c r="MZS312" s="147"/>
      <c r="MZT312" s="147"/>
      <c r="MZU312" s="147"/>
      <c r="MZV312" s="147"/>
      <c r="MZW312" s="147"/>
      <c r="MZX312" s="147"/>
      <c r="MZY312" s="147"/>
      <c r="MZZ312" s="147"/>
      <c r="NAA312" s="147"/>
      <c r="NAB312" s="147"/>
      <c r="NAC312" s="147"/>
      <c r="NAD312" s="147"/>
      <c r="NAE312" s="147"/>
      <c r="NAF312" s="147"/>
      <c r="NAG312" s="147"/>
      <c r="NAH312" s="147"/>
      <c r="NAI312" s="147"/>
      <c r="NAJ312" s="147"/>
      <c r="NAK312" s="147"/>
      <c r="NAL312" s="147"/>
      <c r="NAM312" s="147"/>
      <c r="NAN312" s="147"/>
      <c r="NAO312" s="147"/>
      <c r="NAP312" s="147"/>
      <c r="NAQ312" s="147"/>
      <c r="NAR312" s="147"/>
      <c r="NAS312" s="147"/>
      <c r="NAT312" s="147"/>
      <c r="NAU312" s="147"/>
      <c r="NAV312" s="147"/>
      <c r="NAW312" s="147"/>
      <c r="NAX312" s="147"/>
      <c r="NAY312" s="147"/>
      <c r="NAZ312" s="147"/>
      <c r="NBA312" s="147"/>
      <c r="NBB312" s="147"/>
      <c r="NBC312" s="147"/>
      <c r="NBD312" s="147"/>
      <c r="NBE312" s="147"/>
      <c r="NBF312" s="147"/>
      <c r="NBG312" s="147"/>
      <c r="NBH312" s="147"/>
      <c r="NBI312" s="147"/>
      <c r="NBJ312" s="147"/>
      <c r="NBK312" s="147"/>
      <c r="NBL312" s="147"/>
      <c r="NBM312" s="147"/>
      <c r="NBN312" s="147"/>
      <c r="NBO312" s="147"/>
      <c r="NBP312" s="147"/>
      <c r="NBQ312" s="147"/>
      <c r="NBR312" s="147"/>
      <c r="NBS312" s="147"/>
      <c r="NBT312" s="147"/>
      <c r="NBU312" s="147"/>
      <c r="NBV312" s="147"/>
      <c r="NBW312" s="147"/>
      <c r="NBX312" s="147"/>
      <c r="NBY312" s="147"/>
      <c r="NBZ312" s="147"/>
      <c r="NCA312" s="147"/>
      <c r="NCB312" s="147"/>
      <c r="NCC312" s="147"/>
      <c r="NCD312" s="147"/>
      <c r="NCE312" s="147"/>
      <c r="NCF312" s="147"/>
      <c r="NCG312" s="147"/>
      <c r="NCH312" s="147"/>
      <c r="NCI312" s="147"/>
      <c r="NCJ312" s="147"/>
      <c r="NCK312" s="147"/>
      <c r="NCL312" s="147"/>
      <c r="NCM312" s="147"/>
      <c r="NCN312" s="147"/>
      <c r="NCO312" s="147"/>
      <c r="NCP312" s="147"/>
      <c r="NCQ312" s="147"/>
      <c r="NCR312" s="147"/>
      <c r="NCS312" s="147"/>
      <c r="NCT312" s="147"/>
      <c r="NCU312" s="147"/>
      <c r="NCV312" s="147"/>
      <c r="NCW312" s="147"/>
      <c r="NCX312" s="147"/>
      <c r="NCY312" s="147"/>
      <c r="NCZ312" s="147"/>
      <c r="NDA312" s="147"/>
      <c r="NDB312" s="147"/>
      <c r="NDC312" s="147"/>
      <c r="NDD312" s="147"/>
      <c r="NDE312" s="147"/>
      <c r="NDF312" s="147"/>
      <c r="NDG312" s="147"/>
      <c r="NDH312" s="147"/>
      <c r="NDI312" s="147"/>
      <c r="NDJ312" s="147"/>
      <c r="NDK312" s="147"/>
      <c r="NDL312" s="147"/>
      <c r="NDM312" s="147"/>
      <c r="NDN312" s="147"/>
      <c r="NDO312" s="147"/>
      <c r="NDP312" s="147"/>
      <c r="NDQ312" s="147"/>
      <c r="NDR312" s="147"/>
      <c r="NDS312" s="147"/>
      <c r="NDT312" s="147"/>
      <c r="NDU312" s="147"/>
      <c r="NDV312" s="147"/>
      <c r="NDW312" s="147"/>
      <c r="NDX312" s="147"/>
      <c r="NDY312" s="147"/>
      <c r="NDZ312" s="147"/>
      <c r="NEA312" s="147"/>
      <c r="NEB312" s="147"/>
      <c r="NEC312" s="147"/>
      <c r="NED312" s="147"/>
      <c r="NEE312" s="147"/>
      <c r="NEF312" s="147"/>
      <c r="NEG312" s="147"/>
      <c r="NEH312" s="147"/>
      <c r="NEI312" s="147"/>
      <c r="NEJ312" s="147"/>
      <c r="NEK312" s="147"/>
      <c r="NEL312" s="147"/>
      <c r="NEM312" s="147"/>
      <c r="NEN312" s="147"/>
      <c r="NEO312" s="147"/>
      <c r="NEP312" s="147"/>
      <c r="NEQ312" s="147"/>
      <c r="NER312" s="147"/>
      <c r="NES312" s="147"/>
      <c r="NET312" s="147"/>
      <c r="NEU312" s="147"/>
      <c r="NEV312" s="147"/>
      <c r="NEW312" s="147"/>
      <c r="NEX312" s="147"/>
      <c r="NEY312" s="147"/>
      <c r="NEZ312" s="147"/>
      <c r="NFA312" s="147"/>
      <c r="NFB312" s="147"/>
      <c r="NFC312" s="147"/>
      <c r="NFD312" s="147"/>
      <c r="NFE312" s="147"/>
      <c r="NFF312" s="147"/>
      <c r="NFG312" s="147"/>
      <c r="NFH312" s="147"/>
      <c r="NFI312" s="147"/>
      <c r="NFJ312" s="147"/>
      <c r="NFK312" s="147"/>
      <c r="NFL312" s="147"/>
      <c r="NFM312" s="147"/>
      <c r="NFN312" s="147"/>
      <c r="NFO312" s="147"/>
      <c r="NFP312" s="147"/>
      <c r="NFQ312" s="147"/>
      <c r="NFR312" s="147"/>
      <c r="NFS312" s="147"/>
      <c r="NFT312" s="147"/>
      <c r="NFU312" s="147"/>
      <c r="NFV312" s="147"/>
      <c r="NFW312" s="147"/>
      <c r="NFX312" s="147"/>
      <c r="NFY312" s="147"/>
      <c r="NFZ312" s="147"/>
      <c r="NGA312" s="147"/>
      <c r="NGB312" s="147"/>
      <c r="NGC312" s="147"/>
      <c r="NGD312" s="147"/>
      <c r="NGE312" s="147"/>
      <c r="NGF312" s="147"/>
      <c r="NGG312" s="147"/>
      <c r="NGH312" s="147"/>
      <c r="NGI312" s="147"/>
      <c r="NGJ312" s="147"/>
      <c r="NGK312" s="147"/>
      <c r="NGL312" s="147"/>
      <c r="NGM312" s="147"/>
      <c r="NGN312" s="147"/>
      <c r="NGO312" s="147"/>
      <c r="NGP312" s="147"/>
      <c r="NGQ312" s="147"/>
      <c r="NGR312" s="147"/>
      <c r="NGS312" s="147"/>
      <c r="NGT312" s="147"/>
      <c r="NGU312" s="147"/>
      <c r="NGV312" s="147"/>
      <c r="NGW312" s="147"/>
      <c r="NGX312" s="147"/>
      <c r="NGY312" s="147"/>
      <c r="NGZ312" s="147"/>
      <c r="NHA312" s="147"/>
      <c r="NHB312" s="147"/>
      <c r="NHC312" s="147"/>
      <c r="NHD312" s="147"/>
      <c r="NHE312" s="147"/>
      <c r="NHF312" s="147"/>
      <c r="NHG312" s="147"/>
      <c r="NHH312" s="147"/>
      <c r="NHI312" s="147"/>
      <c r="NHJ312" s="147"/>
      <c r="NHK312" s="147"/>
      <c r="NHL312" s="147"/>
      <c r="NHM312" s="147"/>
      <c r="NHN312" s="147"/>
      <c r="NHO312" s="147"/>
      <c r="NHP312" s="147"/>
      <c r="NHQ312" s="147"/>
      <c r="NHR312" s="147"/>
      <c r="NHS312" s="147"/>
      <c r="NHT312" s="147"/>
      <c r="NHU312" s="147"/>
      <c r="NHV312" s="147"/>
      <c r="NHW312" s="147"/>
      <c r="NHX312" s="147"/>
      <c r="NHY312" s="147"/>
      <c r="NHZ312" s="147"/>
      <c r="NIA312" s="147"/>
      <c r="NIB312" s="147"/>
      <c r="NIC312" s="147"/>
      <c r="NID312" s="147"/>
      <c r="NIE312" s="147"/>
      <c r="NIF312" s="147"/>
      <c r="NIG312" s="147"/>
      <c r="NIH312" s="147"/>
      <c r="NII312" s="147"/>
      <c r="NIJ312" s="147"/>
      <c r="NIK312" s="147"/>
      <c r="NIL312" s="147"/>
      <c r="NIM312" s="147"/>
      <c r="NIN312" s="147"/>
      <c r="NIO312" s="147"/>
      <c r="NIP312" s="147"/>
      <c r="NIQ312" s="147"/>
      <c r="NIR312" s="147"/>
      <c r="NIS312" s="147"/>
      <c r="NIT312" s="147"/>
      <c r="NIU312" s="147"/>
      <c r="NIV312" s="147"/>
      <c r="NIW312" s="147"/>
      <c r="NIX312" s="147"/>
      <c r="NIY312" s="147"/>
      <c r="NIZ312" s="147"/>
      <c r="NJA312" s="147"/>
      <c r="NJB312" s="147"/>
      <c r="NJC312" s="147"/>
      <c r="NJD312" s="147"/>
      <c r="NJE312" s="147"/>
      <c r="NJF312" s="147"/>
      <c r="NJG312" s="147"/>
      <c r="NJH312" s="147"/>
      <c r="NJI312" s="147"/>
      <c r="NJJ312" s="147"/>
      <c r="NJK312" s="147"/>
      <c r="NJL312" s="147"/>
      <c r="NJM312" s="147"/>
      <c r="NJN312" s="147"/>
      <c r="NJO312" s="147"/>
      <c r="NJP312" s="147"/>
      <c r="NJQ312" s="147"/>
      <c r="NJR312" s="147"/>
      <c r="NJS312" s="147"/>
      <c r="NJT312" s="147"/>
      <c r="NJU312" s="147"/>
      <c r="NJV312" s="147"/>
      <c r="NJW312" s="147"/>
      <c r="NJX312" s="147"/>
      <c r="NJY312" s="147"/>
      <c r="NJZ312" s="147"/>
      <c r="NKA312" s="147"/>
      <c r="NKB312" s="147"/>
      <c r="NKC312" s="147"/>
      <c r="NKD312" s="147"/>
      <c r="NKE312" s="147"/>
      <c r="NKF312" s="147"/>
      <c r="NKG312" s="147"/>
      <c r="NKH312" s="147"/>
      <c r="NKI312" s="147"/>
      <c r="NKJ312" s="147"/>
      <c r="NKK312" s="147"/>
      <c r="NKL312" s="147"/>
      <c r="NKM312" s="147"/>
      <c r="NKN312" s="147"/>
      <c r="NKO312" s="147"/>
      <c r="NKP312" s="147"/>
      <c r="NKQ312" s="147"/>
      <c r="NKR312" s="147"/>
      <c r="NKS312" s="147"/>
      <c r="NKT312" s="147"/>
      <c r="NKU312" s="147"/>
      <c r="NKV312" s="147"/>
      <c r="NKW312" s="147"/>
      <c r="NKX312" s="147"/>
      <c r="NKY312" s="147"/>
      <c r="NKZ312" s="147"/>
      <c r="NLA312" s="147"/>
      <c r="NLB312" s="147"/>
      <c r="NLC312" s="147"/>
      <c r="NLD312" s="147"/>
      <c r="NLE312" s="147"/>
      <c r="NLF312" s="147"/>
      <c r="NLG312" s="147"/>
      <c r="NLH312" s="147"/>
      <c r="NLI312" s="147"/>
      <c r="NLJ312" s="147"/>
      <c r="NLK312" s="147"/>
      <c r="NLL312" s="147"/>
      <c r="NLM312" s="147"/>
      <c r="NLN312" s="147"/>
      <c r="NLO312" s="147"/>
      <c r="NLP312" s="147"/>
      <c r="NLQ312" s="147"/>
      <c r="NLR312" s="147"/>
      <c r="NLS312" s="147"/>
      <c r="NLT312" s="147"/>
      <c r="NLU312" s="147"/>
      <c r="NLV312" s="147"/>
      <c r="NLW312" s="147"/>
      <c r="NLX312" s="147"/>
      <c r="NLY312" s="147"/>
      <c r="NLZ312" s="147"/>
      <c r="NMA312" s="147"/>
      <c r="NMB312" s="147"/>
      <c r="NMC312" s="147"/>
      <c r="NMD312" s="147"/>
      <c r="NME312" s="147"/>
      <c r="NMF312" s="147"/>
      <c r="NMG312" s="147"/>
      <c r="NMH312" s="147"/>
      <c r="NMI312" s="147"/>
      <c r="NMJ312" s="147"/>
      <c r="NMK312" s="147"/>
      <c r="NML312" s="147"/>
      <c r="NMM312" s="147"/>
      <c r="NMN312" s="147"/>
      <c r="NMO312" s="147"/>
      <c r="NMP312" s="147"/>
      <c r="NMQ312" s="147"/>
      <c r="NMR312" s="147"/>
      <c r="NMS312" s="147"/>
      <c r="NMT312" s="147"/>
      <c r="NMU312" s="147"/>
      <c r="NMV312" s="147"/>
      <c r="NMW312" s="147"/>
      <c r="NMX312" s="147"/>
      <c r="NMY312" s="147"/>
      <c r="NMZ312" s="147"/>
      <c r="NNA312" s="147"/>
      <c r="NNB312" s="147"/>
      <c r="NNC312" s="147"/>
      <c r="NND312" s="147"/>
      <c r="NNE312" s="147"/>
      <c r="NNF312" s="147"/>
      <c r="NNG312" s="147"/>
      <c r="NNH312" s="147"/>
      <c r="NNI312" s="147"/>
      <c r="NNJ312" s="147"/>
      <c r="NNK312" s="147"/>
      <c r="NNL312" s="147"/>
      <c r="NNM312" s="147"/>
      <c r="NNN312" s="147"/>
      <c r="NNO312" s="147"/>
      <c r="NNP312" s="147"/>
      <c r="NNQ312" s="147"/>
      <c r="NNR312" s="147"/>
      <c r="NNS312" s="147"/>
      <c r="NNT312" s="147"/>
      <c r="NNU312" s="147"/>
      <c r="NNV312" s="147"/>
      <c r="NNW312" s="147"/>
      <c r="NNX312" s="147"/>
      <c r="NNY312" s="147"/>
      <c r="NNZ312" s="147"/>
      <c r="NOA312" s="147"/>
      <c r="NOB312" s="147"/>
      <c r="NOC312" s="147"/>
      <c r="NOD312" s="147"/>
      <c r="NOE312" s="147"/>
      <c r="NOF312" s="147"/>
      <c r="NOG312" s="147"/>
      <c r="NOH312" s="147"/>
      <c r="NOI312" s="147"/>
      <c r="NOJ312" s="147"/>
      <c r="NOK312" s="147"/>
      <c r="NOL312" s="147"/>
      <c r="NOM312" s="147"/>
      <c r="NON312" s="147"/>
      <c r="NOO312" s="147"/>
      <c r="NOP312" s="147"/>
      <c r="NOQ312" s="147"/>
      <c r="NOR312" s="147"/>
      <c r="NOS312" s="147"/>
      <c r="NOT312" s="147"/>
      <c r="NOU312" s="147"/>
      <c r="NOV312" s="147"/>
      <c r="NOW312" s="147"/>
      <c r="NOX312" s="147"/>
      <c r="NOY312" s="147"/>
      <c r="NOZ312" s="147"/>
      <c r="NPA312" s="147"/>
      <c r="NPB312" s="147"/>
      <c r="NPC312" s="147"/>
      <c r="NPD312" s="147"/>
      <c r="NPE312" s="147"/>
      <c r="NPF312" s="147"/>
      <c r="NPG312" s="147"/>
      <c r="NPH312" s="147"/>
      <c r="NPI312" s="147"/>
      <c r="NPJ312" s="147"/>
      <c r="NPK312" s="147"/>
      <c r="NPL312" s="147"/>
      <c r="NPM312" s="147"/>
      <c r="NPN312" s="147"/>
      <c r="NPO312" s="147"/>
      <c r="NPP312" s="147"/>
      <c r="NPQ312" s="147"/>
      <c r="NPR312" s="147"/>
      <c r="NPS312" s="147"/>
      <c r="NPT312" s="147"/>
      <c r="NPU312" s="147"/>
      <c r="NPV312" s="147"/>
      <c r="NPW312" s="147"/>
      <c r="NPX312" s="147"/>
      <c r="NPY312" s="147"/>
      <c r="NPZ312" s="147"/>
      <c r="NQA312" s="147"/>
      <c r="NQB312" s="147"/>
      <c r="NQC312" s="147"/>
      <c r="NQD312" s="147"/>
      <c r="NQE312" s="147"/>
      <c r="NQF312" s="147"/>
      <c r="NQG312" s="147"/>
      <c r="NQH312" s="147"/>
      <c r="NQI312" s="147"/>
      <c r="NQJ312" s="147"/>
      <c r="NQK312" s="147"/>
      <c r="NQL312" s="147"/>
      <c r="NQM312" s="147"/>
      <c r="NQN312" s="147"/>
      <c r="NQO312" s="147"/>
      <c r="NQP312" s="147"/>
      <c r="NQQ312" s="147"/>
      <c r="NQR312" s="147"/>
      <c r="NQS312" s="147"/>
      <c r="NQT312" s="147"/>
      <c r="NQU312" s="147"/>
      <c r="NQV312" s="147"/>
      <c r="NQW312" s="147"/>
      <c r="NQX312" s="147"/>
      <c r="NQY312" s="147"/>
      <c r="NQZ312" s="147"/>
      <c r="NRA312" s="147"/>
      <c r="NRB312" s="147"/>
      <c r="NRC312" s="147"/>
      <c r="NRD312" s="147"/>
      <c r="NRE312" s="147"/>
      <c r="NRF312" s="147"/>
      <c r="NRG312" s="147"/>
      <c r="NRH312" s="147"/>
      <c r="NRI312" s="147"/>
      <c r="NRJ312" s="147"/>
      <c r="NRK312" s="147"/>
      <c r="NRL312" s="147"/>
      <c r="NRM312" s="147"/>
      <c r="NRN312" s="147"/>
      <c r="NRO312" s="147"/>
      <c r="NRP312" s="147"/>
      <c r="NRQ312" s="147"/>
      <c r="NRR312" s="147"/>
      <c r="NRS312" s="147"/>
      <c r="NRT312" s="147"/>
      <c r="NRU312" s="147"/>
      <c r="NRV312" s="147"/>
      <c r="NRW312" s="147"/>
      <c r="NRX312" s="147"/>
      <c r="NRY312" s="147"/>
      <c r="NRZ312" s="147"/>
      <c r="NSA312" s="147"/>
      <c r="NSB312" s="147"/>
      <c r="NSC312" s="147"/>
      <c r="NSD312" s="147"/>
      <c r="NSE312" s="147"/>
      <c r="NSF312" s="147"/>
      <c r="NSG312" s="147"/>
      <c r="NSH312" s="147"/>
      <c r="NSI312" s="147"/>
      <c r="NSJ312" s="147"/>
      <c r="NSK312" s="147"/>
      <c r="NSL312" s="147"/>
      <c r="NSM312" s="147"/>
      <c r="NSN312" s="147"/>
      <c r="NSO312" s="147"/>
      <c r="NSP312" s="147"/>
      <c r="NSQ312" s="147"/>
      <c r="NSR312" s="147"/>
      <c r="NSS312" s="147"/>
      <c r="NST312" s="147"/>
      <c r="NSU312" s="147"/>
      <c r="NSV312" s="147"/>
      <c r="NSW312" s="147"/>
      <c r="NSX312" s="147"/>
      <c r="NSY312" s="147"/>
      <c r="NSZ312" s="147"/>
      <c r="NTA312" s="147"/>
      <c r="NTB312" s="147"/>
      <c r="NTC312" s="147"/>
      <c r="NTD312" s="147"/>
      <c r="NTE312" s="147"/>
      <c r="NTF312" s="147"/>
      <c r="NTG312" s="147"/>
      <c r="NTH312" s="147"/>
      <c r="NTI312" s="147"/>
      <c r="NTJ312" s="147"/>
      <c r="NTK312" s="147"/>
      <c r="NTL312" s="147"/>
      <c r="NTM312" s="147"/>
      <c r="NTN312" s="147"/>
      <c r="NTO312" s="147"/>
      <c r="NTP312" s="147"/>
      <c r="NTQ312" s="147"/>
      <c r="NTR312" s="147"/>
      <c r="NTS312" s="147"/>
      <c r="NTT312" s="147"/>
      <c r="NTU312" s="147"/>
      <c r="NTV312" s="147"/>
      <c r="NTW312" s="147"/>
      <c r="NTX312" s="147"/>
      <c r="NTY312" s="147"/>
      <c r="NTZ312" s="147"/>
      <c r="NUA312" s="147"/>
      <c r="NUB312" s="147"/>
      <c r="NUC312" s="147"/>
      <c r="NUD312" s="147"/>
      <c r="NUE312" s="147"/>
      <c r="NUF312" s="147"/>
      <c r="NUG312" s="147"/>
      <c r="NUH312" s="147"/>
      <c r="NUI312" s="147"/>
      <c r="NUJ312" s="147"/>
      <c r="NUK312" s="147"/>
      <c r="NUL312" s="147"/>
      <c r="NUM312" s="147"/>
      <c r="NUN312" s="147"/>
      <c r="NUO312" s="147"/>
      <c r="NUP312" s="147"/>
      <c r="NUQ312" s="147"/>
      <c r="NUR312" s="147"/>
      <c r="NUS312" s="147"/>
      <c r="NUT312" s="147"/>
      <c r="NUU312" s="147"/>
      <c r="NUV312" s="147"/>
      <c r="NUW312" s="147"/>
      <c r="NUX312" s="147"/>
      <c r="NUY312" s="147"/>
      <c r="NUZ312" s="147"/>
      <c r="NVA312" s="147"/>
      <c r="NVB312" s="147"/>
      <c r="NVC312" s="147"/>
      <c r="NVD312" s="147"/>
      <c r="NVE312" s="147"/>
      <c r="NVF312" s="147"/>
      <c r="NVG312" s="147"/>
      <c r="NVH312" s="147"/>
      <c r="NVI312" s="147"/>
      <c r="NVJ312" s="147"/>
      <c r="NVK312" s="147"/>
      <c r="NVL312" s="147"/>
      <c r="NVM312" s="147"/>
      <c r="NVN312" s="147"/>
      <c r="NVO312" s="147"/>
      <c r="NVP312" s="147"/>
      <c r="NVQ312" s="147"/>
      <c r="NVR312" s="147"/>
      <c r="NVS312" s="147"/>
      <c r="NVT312" s="147"/>
      <c r="NVU312" s="147"/>
      <c r="NVV312" s="147"/>
      <c r="NVW312" s="147"/>
      <c r="NVX312" s="147"/>
      <c r="NVY312" s="147"/>
      <c r="NVZ312" s="147"/>
      <c r="NWA312" s="147"/>
      <c r="NWB312" s="147"/>
      <c r="NWC312" s="147"/>
      <c r="NWD312" s="147"/>
      <c r="NWE312" s="147"/>
      <c r="NWF312" s="147"/>
      <c r="NWG312" s="147"/>
      <c r="NWH312" s="147"/>
      <c r="NWI312" s="147"/>
      <c r="NWJ312" s="147"/>
      <c r="NWK312" s="147"/>
      <c r="NWL312" s="147"/>
      <c r="NWM312" s="147"/>
      <c r="NWN312" s="147"/>
      <c r="NWO312" s="147"/>
      <c r="NWP312" s="147"/>
      <c r="NWQ312" s="147"/>
      <c r="NWR312" s="147"/>
      <c r="NWS312" s="147"/>
      <c r="NWT312" s="147"/>
      <c r="NWU312" s="147"/>
      <c r="NWV312" s="147"/>
      <c r="NWW312" s="147"/>
      <c r="NWX312" s="147"/>
      <c r="NWY312" s="147"/>
      <c r="NWZ312" s="147"/>
      <c r="NXA312" s="147"/>
      <c r="NXB312" s="147"/>
      <c r="NXC312" s="147"/>
      <c r="NXD312" s="147"/>
      <c r="NXE312" s="147"/>
      <c r="NXF312" s="147"/>
      <c r="NXG312" s="147"/>
      <c r="NXH312" s="147"/>
      <c r="NXI312" s="147"/>
      <c r="NXJ312" s="147"/>
      <c r="NXK312" s="147"/>
      <c r="NXL312" s="147"/>
      <c r="NXM312" s="147"/>
      <c r="NXN312" s="147"/>
      <c r="NXO312" s="147"/>
      <c r="NXP312" s="147"/>
      <c r="NXQ312" s="147"/>
      <c r="NXR312" s="147"/>
      <c r="NXS312" s="147"/>
      <c r="NXT312" s="147"/>
      <c r="NXU312" s="147"/>
      <c r="NXV312" s="147"/>
      <c r="NXW312" s="147"/>
      <c r="NXX312" s="147"/>
      <c r="NXY312" s="147"/>
      <c r="NXZ312" s="147"/>
      <c r="NYA312" s="147"/>
      <c r="NYB312" s="147"/>
      <c r="NYC312" s="147"/>
      <c r="NYD312" s="147"/>
      <c r="NYE312" s="147"/>
      <c r="NYF312" s="147"/>
      <c r="NYG312" s="147"/>
      <c r="NYH312" s="147"/>
      <c r="NYI312" s="147"/>
      <c r="NYJ312" s="147"/>
      <c r="NYK312" s="147"/>
      <c r="NYL312" s="147"/>
      <c r="NYM312" s="147"/>
      <c r="NYN312" s="147"/>
      <c r="NYO312" s="147"/>
      <c r="NYP312" s="147"/>
      <c r="NYQ312" s="147"/>
      <c r="NYR312" s="147"/>
      <c r="NYS312" s="147"/>
      <c r="NYT312" s="147"/>
      <c r="NYU312" s="147"/>
      <c r="NYV312" s="147"/>
      <c r="NYW312" s="147"/>
      <c r="NYX312" s="147"/>
      <c r="NYY312" s="147"/>
      <c r="NYZ312" s="147"/>
      <c r="NZA312" s="147"/>
      <c r="NZB312" s="147"/>
      <c r="NZC312" s="147"/>
      <c r="NZD312" s="147"/>
      <c r="NZE312" s="147"/>
      <c r="NZF312" s="147"/>
      <c r="NZG312" s="147"/>
      <c r="NZH312" s="147"/>
      <c r="NZI312" s="147"/>
      <c r="NZJ312" s="147"/>
      <c r="NZK312" s="147"/>
      <c r="NZL312" s="147"/>
      <c r="NZM312" s="147"/>
      <c r="NZN312" s="147"/>
      <c r="NZO312" s="147"/>
      <c r="NZP312" s="147"/>
      <c r="NZQ312" s="147"/>
      <c r="NZR312" s="147"/>
      <c r="NZS312" s="147"/>
      <c r="NZT312" s="147"/>
      <c r="NZU312" s="147"/>
      <c r="NZV312" s="147"/>
      <c r="NZW312" s="147"/>
      <c r="NZX312" s="147"/>
      <c r="NZY312" s="147"/>
      <c r="NZZ312" s="147"/>
      <c r="OAA312" s="147"/>
      <c r="OAB312" s="147"/>
      <c r="OAC312" s="147"/>
      <c r="OAD312" s="147"/>
      <c r="OAE312" s="147"/>
      <c r="OAF312" s="147"/>
      <c r="OAG312" s="147"/>
      <c r="OAH312" s="147"/>
      <c r="OAI312" s="147"/>
      <c r="OAJ312" s="147"/>
      <c r="OAK312" s="147"/>
      <c r="OAL312" s="147"/>
      <c r="OAM312" s="147"/>
      <c r="OAN312" s="147"/>
      <c r="OAO312" s="147"/>
      <c r="OAP312" s="147"/>
      <c r="OAQ312" s="147"/>
      <c r="OAR312" s="147"/>
      <c r="OAS312" s="147"/>
      <c r="OAT312" s="147"/>
      <c r="OAU312" s="147"/>
      <c r="OAV312" s="147"/>
      <c r="OAW312" s="147"/>
      <c r="OAX312" s="147"/>
      <c r="OAY312" s="147"/>
      <c r="OAZ312" s="147"/>
      <c r="OBA312" s="147"/>
      <c r="OBB312" s="147"/>
      <c r="OBC312" s="147"/>
      <c r="OBD312" s="147"/>
      <c r="OBE312" s="147"/>
      <c r="OBF312" s="147"/>
      <c r="OBG312" s="147"/>
      <c r="OBH312" s="147"/>
      <c r="OBI312" s="147"/>
      <c r="OBJ312" s="147"/>
      <c r="OBK312" s="147"/>
      <c r="OBL312" s="147"/>
      <c r="OBM312" s="147"/>
      <c r="OBN312" s="147"/>
      <c r="OBO312" s="147"/>
      <c r="OBP312" s="147"/>
      <c r="OBQ312" s="147"/>
      <c r="OBR312" s="147"/>
      <c r="OBS312" s="147"/>
      <c r="OBT312" s="147"/>
      <c r="OBU312" s="147"/>
      <c r="OBV312" s="147"/>
      <c r="OBW312" s="147"/>
      <c r="OBX312" s="147"/>
      <c r="OBY312" s="147"/>
      <c r="OBZ312" s="147"/>
      <c r="OCA312" s="147"/>
      <c r="OCB312" s="147"/>
      <c r="OCC312" s="147"/>
      <c r="OCD312" s="147"/>
      <c r="OCE312" s="147"/>
      <c r="OCF312" s="147"/>
      <c r="OCG312" s="147"/>
      <c r="OCH312" s="147"/>
      <c r="OCI312" s="147"/>
      <c r="OCJ312" s="147"/>
      <c r="OCK312" s="147"/>
      <c r="OCL312" s="147"/>
      <c r="OCM312" s="147"/>
      <c r="OCN312" s="147"/>
      <c r="OCO312" s="147"/>
      <c r="OCP312" s="147"/>
      <c r="OCQ312" s="147"/>
      <c r="OCR312" s="147"/>
      <c r="OCS312" s="147"/>
      <c r="OCT312" s="147"/>
      <c r="OCU312" s="147"/>
      <c r="OCV312" s="147"/>
      <c r="OCW312" s="147"/>
      <c r="OCX312" s="147"/>
      <c r="OCY312" s="147"/>
      <c r="OCZ312" s="147"/>
      <c r="ODA312" s="147"/>
      <c r="ODB312" s="147"/>
      <c r="ODC312" s="147"/>
      <c r="ODD312" s="147"/>
      <c r="ODE312" s="147"/>
      <c r="ODF312" s="147"/>
      <c r="ODG312" s="147"/>
      <c r="ODH312" s="147"/>
      <c r="ODI312" s="147"/>
      <c r="ODJ312" s="147"/>
      <c r="ODK312" s="147"/>
      <c r="ODL312" s="147"/>
      <c r="ODM312" s="147"/>
      <c r="ODN312" s="147"/>
      <c r="ODO312" s="147"/>
      <c r="ODP312" s="147"/>
      <c r="ODQ312" s="147"/>
      <c r="ODR312" s="147"/>
      <c r="ODS312" s="147"/>
      <c r="ODT312" s="147"/>
      <c r="ODU312" s="147"/>
      <c r="ODV312" s="147"/>
      <c r="ODW312" s="147"/>
      <c r="ODX312" s="147"/>
      <c r="ODY312" s="147"/>
      <c r="ODZ312" s="147"/>
      <c r="OEA312" s="147"/>
      <c r="OEB312" s="147"/>
      <c r="OEC312" s="147"/>
      <c r="OED312" s="147"/>
      <c r="OEE312" s="147"/>
      <c r="OEF312" s="147"/>
      <c r="OEG312" s="147"/>
      <c r="OEH312" s="147"/>
      <c r="OEI312" s="147"/>
      <c r="OEJ312" s="147"/>
      <c r="OEK312" s="147"/>
      <c r="OEL312" s="147"/>
      <c r="OEM312" s="147"/>
      <c r="OEN312" s="147"/>
      <c r="OEO312" s="147"/>
      <c r="OEP312" s="147"/>
      <c r="OEQ312" s="147"/>
      <c r="OER312" s="147"/>
      <c r="OES312" s="147"/>
      <c r="OET312" s="147"/>
      <c r="OEU312" s="147"/>
      <c r="OEV312" s="147"/>
      <c r="OEW312" s="147"/>
      <c r="OEX312" s="147"/>
      <c r="OEY312" s="147"/>
      <c r="OEZ312" s="147"/>
      <c r="OFA312" s="147"/>
      <c r="OFB312" s="147"/>
      <c r="OFC312" s="147"/>
      <c r="OFD312" s="147"/>
      <c r="OFE312" s="147"/>
      <c r="OFF312" s="147"/>
      <c r="OFG312" s="147"/>
      <c r="OFH312" s="147"/>
      <c r="OFI312" s="147"/>
      <c r="OFJ312" s="147"/>
      <c r="OFK312" s="147"/>
      <c r="OFL312" s="147"/>
      <c r="OFM312" s="147"/>
      <c r="OFN312" s="147"/>
      <c r="OFO312" s="147"/>
      <c r="OFP312" s="147"/>
      <c r="OFQ312" s="147"/>
      <c r="OFR312" s="147"/>
      <c r="OFS312" s="147"/>
      <c r="OFT312" s="147"/>
      <c r="OFU312" s="147"/>
      <c r="OFV312" s="147"/>
      <c r="OFW312" s="147"/>
      <c r="OFX312" s="147"/>
      <c r="OFY312" s="147"/>
      <c r="OFZ312" s="147"/>
      <c r="OGA312" s="147"/>
      <c r="OGB312" s="147"/>
      <c r="OGC312" s="147"/>
      <c r="OGD312" s="147"/>
      <c r="OGE312" s="147"/>
      <c r="OGF312" s="147"/>
      <c r="OGG312" s="147"/>
      <c r="OGH312" s="147"/>
      <c r="OGI312" s="147"/>
      <c r="OGJ312" s="147"/>
      <c r="OGK312" s="147"/>
      <c r="OGL312" s="147"/>
      <c r="OGM312" s="147"/>
      <c r="OGN312" s="147"/>
      <c r="OGO312" s="147"/>
      <c r="OGP312" s="147"/>
      <c r="OGQ312" s="147"/>
      <c r="OGR312" s="147"/>
      <c r="OGS312" s="147"/>
      <c r="OGT312" s="147"/>
      <c r="OGU312" s="147"/>
      <c r="OGV312" s="147"/>
      <c r="OGW312" s="147"/>
      <c r="OGX312" s="147"/>
      <c r="OGY312" s="147"/>
      <c r="OGZ312" s="147"/>
      <c r="OHA312" s="147"/>
      <c r="OHB312" s="147"/>
      <c r="OHC312" s="147"/>
      <c r="OHD312" s="147"/>
      <c r="OHE312" s="147"/>
      <c r="OHF312" s="147"/>
      <c r="OHG312" s="147"/>
      <c r="OHH312" s="147"/>
      <c r="OHI312" s="147"/>
      <c r="OHJ312" s="147"/>
      <c r="OHK312" s="147"/>
      <c r="OHL312" s="147"/>
      <c r="OHM312" s="147"/>
      <c r="OHN312" s="147"/>
      <c r="OHO312" s="147"/>
      <c r="OHP312" s="147"/>
      <c r="OHQ312" s="147"/>
      <c r="OHR312" s="147"/>
      <c r="OHS312" s="147"/>
      <c r="OHT312" s="147"/>
      <c r="OHU312" s="147"/>
      <c r="OHV312" s="147"/>
      <c r="OHW312" s="147"/>
      <c r="OHX312" s="147"/>
      <c r="OHY312" s="147"/>
      <c r="OHZ312" s="147"/>
      <c r="OIA312" s="147"/>
      <c r="OIB312" s="147"/>
      <c r="OIC312" s="147"/>
      <c r="OID312" s="147"/>
      <c r="OIE312" s="147"/>
      <c r="OIF312" s="147"/>
      <c r="OIG312" s="147"/>
      <c r="OIH312" s="147"/>
      <c r="OII312" s="147"/>
      <c r="OIJ312" s="147"/>
      <c r="OIK312" s="147"/>
      <c r="OIL312" s="147"/>
      <c r="OIM312" s="147"/>
      <c r="OIN312" s="147"/>
      <c r="OIO312" s="147"/>
      <c r="OIP312" s="147"/>
      <c r="OIQ312" s="147"/>
      <c r="OIR312" s="147"/>
      <c r="OIS312" s="147"/>
      <c r="OIT312" s="147"/>
      <c r="OIU312" s="147"/>
      <c r="OIV312" s="147"/>
      <c r="OIW312" s="147"/>
      <c r="OIX312" s="147"/>
      <c r="OIY312" s="147"/>
      <c r="OIZ312" s="147"/>
      <c r="OJA312" s="147"/>
      <c r="OJB312" s="147"/>
      <c r="OJC312" s="147"/>
      <c r="OJD312" s="147"/>
      <c r="OJE312" s="147"/>
      <c r="OJF312" s="147"/>
      <c r="OJG312" s="147"/>
      <c r="OJH312" s="147"/>
      <c r="OJI312" s="147"/>
      <c r="OJJ312" s="147"/>
      <c r="OJK312" s="147"/>
      <c r="OJL312" s="147"/>
      <c r="OJM312" s="147"/>
      <c r="OJN312" s="147"/>
      <c r="OJO312" s="147"/>
      <c r="OJP312" s="147"/>
      <c r="OJQ312" s="147"/>
      <c r="OJR312" s="147"/>
      <c r="OJS312" s="147"/>
      <c r="OJT312" s="147"/>
      <c r="OJU312" s="147"/>
      <c r="OJV312" s="147"/>
      <c r="OJW312" s="147"/>
      <c r="OJX312" s="147"/>
      <c r="OJY312" s="147"/>
      <c r="OJZ312" s="147"/>
      <c r="OKA312" s="147"/>
      <c r="OKB312" s="147"/>
      <c r="OKC312" s="147"/>
      <c r="OKD312" s="147"/>
      <c r="OKE312" s="147"/>
      <c r="OKF312" s="147"/>
      <c r="OKG312" s="147"/>
      <c r="OKH312" s="147"/>
      <c r="OKI312" s="147"/>
      <c r="OKJ312" s="147"/>
      <c r="OKK312" s="147"/>
      <c r="OKL312" s="147"/>
      <c r="OKM312" s="147"/>
      <c r="OKN312" s="147"/>
      <c r="OKO312" s="147"/>
      <c r="OKP312" s="147"/>
      <c r="OKQ312" s="147"/>
      <c r="OKR312" s="147"/>
      <c r="OKS312" s="147"/>
      <c r="OKT312" s="147"/>
      <c r="OKU312" s="147"/>
      <c r="OKV312" s="147"/>
      <c r="OKW312" s="147"/>
      <c r="OKX312" s="147"/>
      <c r="OKY312" s="147"/>
      <c r="OKZ312" s="147"/>
      <c r="OLA312" s="147"/>
      <c r="OLB312" s="147"/>
      <c r="OLC312" s="147"/>
      <c r="OLD312" s="147"/>
      <c r="OLE312" s="147"/>
      <c r="OLF312" s="147"/>
      <c r="OLG312" s="147"/>
      <c r="OLH312" s="147"/>
      <c r="OLI312" s="147"/>
      <c r="OLJ312" s="147"/>
      <c r="OLK312" s="147"/>
      <c r="OLL312" s="147"/>
      <c r="OLM312" s="147"/>
      <c r="OLN312" s="147"/>
      <c r="OLO312" s="147"/>
      <c r="OLP312" s="147"/>
      <c r="OLQ312" s="147"/>
      <c r="OLR312" s="147"/>
      <c r="OLS312" s="147"/>
      <c r="OLT312" s="147"/>
      <c r="OLU312" s="147"/>
      <c r="OLV312" s="147"/>
      <c r="OLW312" s="147"/>
      <c r="OLX312" s="147"/>
      <c r="OLY312" s="147"/>
      <c r="OLZ312" s="147"/>
      <c r="OMA312" s="147"/>
      <c r="OMB312" s="147"/>
      <c r="OMC312" s="147"/>
      <c r="OMD312" s="147"/>
      <c r="OME312" s="147"/>
      <c r="OMF312" s="147"/>
      <c r="OMG312" s="147"/>
      <c r="OMH312" s="147"/>
      <c r="OMI312" s="147"/>
      <c r="OMJ312" s="147"/>
      <c r="OMK312" s="147"/>
      <c r="OML312" s="147"/>
      <c r="OMM312" s="147"/>
      <c r="OMN312" s="147"/>
      <c r="OMO312" s="147"/>
      <c r="OMP312" s="147"/>
      <c r="OMQ312" s="147"/>
      <c r="OMR312" s="147"/>
      <c r="OMS312" s="147"/>
      <c r="OMT312" s="147"/>
      <c r="OMU312" s="147"/>
      <c r="OMV312" s="147"/>
      <c r="OMW312" s="147"/>
      <c r="OMX312" s="147"/>
      <c r="OMY312" s="147"/>
      <c r="OMZ312" s="147"/>
      <c r="ONA312" s="147"/>
      <c r="ONB312" s="147"/>
      <c r="ONC312" s="147"/>
      <c r="OND312" s="147"/>
      <c r="ONE312" s="147"/>
      <c r="ONF312" s="147"/>
      <c r="ONG312" s="147"/>
      <c r="ONH312" s="147"/>
      <c r="ONI312" s="147"/>
      <c r="ONJ312" s="147"/>
      <c r="ONK312" s="147"/>
      <c r="ONL312" s="147"/>
      <c r="ONM312" s="147"/>
      <c r="ONN312" s="147"/>
      <c r="ONO312" s="147"/>
      <c r="ONP312" s="147"/>
      <c r="ONQ312" s="147"/>
      <c r="ONR312" s="147"/>
      <c r="ONS312" s="147"/>
      <c r="ONT312" s="147"/>
      <c r="ONU312" s="147"/>
      <c r="ONV312" s="147"/>
      <c r="ONW312" s="147"/>
      <c r="ONX312" s="147"/>
      <c r="ONY312" s="147"/>
      <c r="ONZ312" s="147"/>
      <c r="OOA312" s="147"/>
      <c r="OOB312" s="147"/>
      <c r="OOC312" s="147"/>
      <c r="OOD312" s="147"/>
      <c r="OOE312" s="147"/>
      <c r="OOF312" s="147"/>
      <c r="OOG312" s="147"/>
      <c r="OOH312" s="147"/>
      <c r="OOI312" s="147"/>
      <c r="OOJ312" s="147"/>
      <c r="OOK312" s="147"/>
      <c r="OOL312" s="147"/>
      <c r="OOM312" s="147"/>
      <c r="OON312" s="147"/>
      <c r="OOO312" s="147"/>
      <c r="OOP312" s="147"/>
      <c r="OOQ312" s="147"/>
      <c r="OOR312" s="147"/>
      <c r="OOS312" s="147"/>
      <c r="OOT312" s="147"/>
      <c r="OOU312" s="147"/>
      <c r="OOV312" s="147"/>
      <c r="OOW312" s="147"/>
      <c r="OOX312" s="147"/>
      <c r="OOY312" s="147"/>
      <c r="OOZ312" s="147"/>
      <c r="OPA312" s="147"/>
      <c r="OPB312" s="147"/>
      <c r="OPC312" s="147"/>
      <c r="OPD312" s="147"/>
      <c r="OPE312" s="147"/>
      <c r="OPF312" s="147"/>
      <c r="OPG312" s="147"/>
      <c r="OPH312" s="147"/>
      <c r="OPI312" s="147"/>
      <c r="OPJ312" s="147"/>
      <c r="OPK312" s="147"/>
      <c r="OPL312" s="147"/>
      <c r="OPM312" s="147"/>
      <c r="OPN312" s="147"/>
      <c r="OPO312" s="147"/>
      <c r="OPP312" s="147"/>
      <c r="OPQ312" s="147"/>
      <c r="OPR312" s="147"/>
      <c r="OPS312" s="147"/>
      <c r="OPT312" s="147"/>
      <c r="OPU312" s="147"/>
      <c r="OPV312" s="147"/>
      <c r="OPW312" s="147"/>
      <c r="OPX312" s="147"/>
      <c r="OPY312" s="147"/>
      <c r="OPZ312" s="147"/>
      <c r="OQA312" s="147"/>
      <c r="OQB312" s="147"/>
      <c r="OQC312" s="147"/>
      <c r="OQD312" s="147"/>
      <c r="OQE312" s="147"/>
      <c r="OQF312" s="147"/>
      <c r="OQG312" s="147"/>
      <c r="OQH312" s="147"/>
      <c r="OQI312" s="147"/>
      <c r="OQJ312" s="147"/>
      <c r="OQK312" s="147"/>
      <c r="OQL312" s="147"/>
      <c r="OQM312" s="147"/>
      <c r="OQN312" s="147"/>
      <c r="OQO312" s="147"/>
      <c r="OQP312" s="147"/>
      <c r="OQQ312" s="147"/>
      <c r="OQR312" s="147"/>
      <c r="OQS312" s="147"/>
      <c r="OQT312" s="147"/>
      <c r="OQU312" s="147"/>
      <c r="OQV312" s="147"/>
      <c r="OQW312" s="147"/>
      <c r="OQX312" s="147"/>
      <c r="OQY312" s="147"/>
      <c r="OQZ312" s="147"/>
      <c r="ORA312" s="147"/>
      <c r="ORB312" s="147"/>
      <c r="ORC312" s="147"/>
      <c r="ORD312" s="147"/>
      <c r="ORE312" s="147"/>
      <c r="ORF312" s="147"/>
      <c r="ORG312" s="147"/>
      <c r="ORH312" s="147"/>
      <c r="ORI312" s="147"/>
      <c r="ORJ312" s="147"/>
      <c r="ORK312" s="147"/>
      <c r="ORL312" s="147"/>
      <c r="ORM312" s="147"/>
      <c r="ORN312" s="147"/>
      <c r="ORO312" s="147"/>
      <c r="ORP312" s="147"/>
      <c r="ORQ312" s="147"/>
      <c r="ORR312" s="147"/>
      <c r="ORS312" s="147"/>
      <c r="ORT312" s="147"/>
      <c r="ORU312" s="147"/>
      <c r="ORV312" s="147"/>
      <c r="ORW312" s="147"/>
      <c r="ORX312" s="147"/>
      <c r="ORY312" s="147"/>
      <c r="ORZ312" s="147"/>
      <c r="OSA312" s="147"/>
      <c r="OSB312" s="147"/>
      <c r="OSC312" s="147"/>
      <c r="OSD312" s="147"/>
      <c r="OSE312" s="147"/>
      <c r="OSF312" s="147"/>
      <c r="OSG312" s="147"/>
      <c r="OSH312" s="147"/>
      <c r="OSI312" s="147"/>
      <c r="OSJ312" s="147"/>
      <c r="OSK312" s="147"/>
      <c r="OSL312" s="147"/>
      <c r="OSM312" s="147"/>
      <c r="OSN312" s="147"/>
      <c r="OSO312" s="147"/>
      <c r="OSP312" s="147"/>
      <c r="OSQ312" s="147"/>
      <c r="OSR312" s="147"/>
      <c r="OSS312" s="147"/>
      <c r="OST312" s="147"/>
      <c r="OSU312" s="147"/>
      <c r="OSV312" s="147"/>
      <c r="OSW312" s="147"/>
      <c r="OSX312" s="147"/>
      <c r="OSY312" s="147"/>
      <c r="OSZ312" s="147"/>
      <c r="OTA312" s="147"/>
      <c r="OTB312" s="147"/>
      <c r="OTC312" s="147"/>
      <c r="OTD312" s="147"/>
      <c r="OTE312" s="147"/>
      <c r="OTF312" s="147"/>
      <c r="OTG312" s="147"/>
      <c r="OTH312" s="147"/>
      <c r="OTI312" s="147"/>
      <c r="OTJ312" s="147"/>
      <c r="OTK312" s="147"/>
      <c r="OTL312" s="147"/>
      <c r="OTM312" s="147"/>
      <c r="OTN312" s="147"/>
      <c r="OTO312" s="147"/>
      <c r="OTP312" s="147"/>
      <c r="OTQ312" s="147"/>
      <c r="OTR312" s="147"/>
      <c r="OTS312" s="147"/>
      <c r="OTT312" s="147"/>
      <c r="OTU312" s="147"/>
      <c r="OTV312" s="147"/>
      <c r="OTW312" s="147"/>
      <c r="OTX312" s="147"/>
      <c r="OTY312" s="147"/>
      <c r="OTZ312" s="147"/>
      <c r="OUA312" s="147"/>
      <c r="OUB312" s="147"/>
      <c r="OUC312" s="147"/>
      <c r="OUD312" s="147"/>
      <c r="OUE312" s="147"/>
      <c r="OUF312" s="147"/>
      <c r="OUG312" s="147"/>
      <c r="OUH312" s="147"/>
      <c r="OUI312" s="147"/>
      <c r="OUJ312" s="147"/>
      <c r="OUK312" s="147"/>
      <c r="OUL312" s="147"/>
      <c r="OUM312" s="147"/>
      <c r="OUN312" s="147"/>
      <c r="OUO312" s="147"/>
      <c r="OUP312" s="147"/>
      <c r="OUQ312" s="147"/>
      <c r="OUR312" s="147"/>
      <c r="OUS312" s="147"/>
      <c r="OUT312" s="147"/>
      <c r="OUU312" s="147"/>
      <c r="OUV312" s="147"/>
      <c r="OUW312" s="147"/>
      <c r="OUX312" s="147"/>
      <c r="OUY312" s="147"/>
      <c r="OUZ312" s="147"/>
      <c r="OVA312" s="147"/>
      <c r="OVB312" s="147"/>
      <c r="OVC312" s="147"/>
      <c r="OVD312" s="147"/>
      <c r="OVE312" s="147"/>
      <c r="OVF312" s="147"/>
      <c r="OVG312" s="147"/>
      <c r="OVH312" s="147"/>
      <c r="OVI312" s="147"/>
      <c r="OVJ312" s="147"/>
      <c r="OVK312" s="147"/>
      <c r="OVL312" s="147"/>
      <c r="OVM312" s="147"/>
      <c r="OVN312" s="147"/>
      <c r="OVO312" s="147"/>
      <c r="OVP312" s="147"/>
      <c r="OVQ312" s="147"/>
      <c r="OVR312" s="147"/>
      <c r="OVS312" s="147"/>
      <c r="OVT312" s="147"/>
      <c r="OVU312" s="147"/>
      <c r="OVV312" s="147"/>
      <c r="OVW312" s="147"/>
      <c r="OVX312" s="147"/>
      <c r="OVY312" s="147"/>
      <c r="OVZ312" s="147"/>
      <c r="OWA312" s="147"/>
      <c r="OWB312" s="147"/>
      <c r="OWC312" s="147"/>
      <c r="OWD312" s="147"/>
      <c r="OWE312" s="147"/>
      <c r="OWF312" s="147"/>
      <c r="OWG312" s="147"/>
      <c r="OWH312" s="147"/>
      <c r="OWI312" s="147"/>
      <c r="OWJ312" s="147"/>
      <c r="OWK312" s="147"/>
      <c r="OWL312" s="147"/>
      <c r="OWM312" s="147"/>
      <c r="OWN312" s="147"/>
      <c r="OWO312" s="147"/>
      <c r="OWP312" s="147"/>
      <c r="OWQ312" s="147"/>
      <c r="OWR312" s="147"/>
      <c r="OWS312" s="147"/>
      <c r="OWT312" s="147"/>
      <c r="OWU312" s="147"/>
      <c r="OWV312" s="147"/>
      <c r="OWW312" s="147"/>
      <c r="OWX312" s="147"/>
      <c r="OWY312" s="147"/>
      <c r="OWZ312" s="147"/>
      <c r="OXA312" s="147"/>
      <c r="OXB312" s="147"/>
      <c r="OXC312" s="147"/>
      <c r="OXD312" s="147"/>
      <c r="OXE312" s="147"/>
      <c r="OXF312" s="147"/>
      <c r="OXG312" s="147"/>
      <c r="OXH312" s="147"/>
      <c r="OXI312" s="147"/>
      <c r="OXJ312" s="147"/>
      <c r="OXK312" s="147"/>
      <c r="OXL312" s="147"/>
      <c r="OXM312" s="147"/>
      <c r="OXN312" s="147"/>
      <c r="OXO312" s="147"/>
      <c r="OXP312" s="147"/>
      <c r="OXQ312" s="147"/>
      <c r="OXR312" s="147"/>
      <c r="OXS312" s="147"/>
      <c r="OXT312" s="147"/>
      <c r="OXU312" s="147"/>
      <c r="OXV312" s="147"/>
      <c r="OXW312" s="147"/>
      <c r="OXX312" s="147"/>
      <c r="OXY312" s="147"/>
      <c r="OXZ312" s="147"/>
      <c r="OYA312" s="147"/>
      <c r="OYB312" s="147"/>
      <c r="OYC312" s="147"/>
      <c r="OYD312" s="147"/>
      <c r="OYE312" s="147"/>
      <c r="OYF312" s="147"/>
      <c r="OYG312" s="147"/>
      <c r="OYH312" s="147"/>
      <c r="OYI312" s="147"/>
      <c r="OYJ312" s="147"/>
      <c r="OYK312" s="147"/>
      <c r="OYL312" s="147"/>
      <c r="OYM312" s="147"/>
      <c r="OYN312" s="147"/>
      <c r="OYO312" s="147"/>
      <c r="OYP312" s="147"/>
      <c r="OYQ312" s="147"/>
      <c r="OYR312" s="147"/>
      <c r="OYS312" s="147"/>
      <c r="OYT312" s="147"/>
      <c r="OYU312" s="147"/>
      <c r="OYV312" s="147"/>
      <c r="OYW312" s="147"/>
      <c r="OYX312" s="147"/>
      <c r="OYY312" s="147"/>
      <c r="OYZ312" s="147"/>
      <c r="OZA312" s="147"/>
      <c r="OZB312" s="147"/>
      <c r="OZC312" s="147"/>
      <c r="OZD312" s="147"/>
      <c r="OZE312" s="147"/>
      <c r="OZF312" s="147"/>
      <c r="OZG312" s="147"/>
      <c r="OZH312" s="147"/>
      <c r="OZI312" s="147"/>
      <c r="OZJ312" s="147"/>
      <c r="OZK312" s="147"/>
      <c r="OZL312" s="147"/>
      <c r="OZM312" s="147"/>
      <c r="OZN312" s="147"/>
      <c r="OZO312" s="147"/>
      <c r="OZP312" s="147"/>
      <c r="OZQ312" s="147"/>
      <c r="OZR312" s="147"/>
      <c r="OZS312" s="147"/>
      <c r="OZT312" s="147"/>
      <c r="OZU312" s="147"/>
      <c r="OZV312" s="147"/>
      <c r="OZW312" s="147"/>
      <c r="OZX312" s="147"/>
      <c r="OZY312" s="147"/>
      <c r="OZZ312" s="147"/>
      <c r="PAA312" s="147"/>
      <c r="PAB312" s="147"/>
      <c r="PAC312" s="147"/>
      <c r="PAD312" s="147"/>
      <c r="PAE312" s="147"/>
      <c r="PAF312" s="147"/>
      <c r="PAG312" s="147"/>
      <c r="PAH312" s="147"/>
      <c r="PAI312" s="147"/>
      <c r="PAJ312" s="147"/>
      <c r="PAK312" s="147"/>
      <c r="PAL312" s="147"/>
      <c r="PAM312" s="147"/>
      <c r="PAN312" s="147"/>
      <c r="PAO312" s="147"/>
      <c r="PAP312" s="147"/>
      <c r="PAQ312" s="147"/>
      <c r="PAR312" s="147"/>
      <c r="PAS312" s="147"/>
      <c r="PAT312" s="147"/>
      <c r="PAU312" s="147"/>
      <c r="PAV312" s="147"/>
      <c r="PAW312" s="147"/>
      <c r="PAX312" s="147"/>
      <c r="PAY312" s="147"/>
      <c r="PAZ312" s="147"/>
      <c r="PBA312" s="147"/>
      <c r="PBB312" s="147"/>
      <c r="PBC312" s="147"/>
      <c r="PBD312" s="147"/>
      <c r="PBE312" s="147"/>
      <c r="PBF312" s="147"/>
      <c r="PBG312" s="147"/>
      <c r="PBH312" s="147"/>
      <c r="PBI312" s="147"/>
      <c r="PBJ312" s="147"/>
      <c r="PBK312" s="147"/>
      <c r="PBL312" s="147"/>
      <c r="PBM312" s="147"/>
      <c r="PBN312" s="147"/>
      <c r="PBO312" s="147"/>
      <c r="PBP312" s="147"/>
      <c r="PBQ312" s="147"/>
      <c r="PBR312" s="147"/>
      <c r="PBS312" s="147"/>
      <c r="PBT312" s="147"/>
      <c r="PBU312" s="147"/>
      <c r="PBV312" s="147"/>
      <c r="PBW312" s="147"/>
      <c r="PBX312" s="147"/>
      <c r="PBY312" s="147"/>
      <c r="PBZ312" s="147"/>
      <c r="PCA312" s="147"/>
      <c r="PCB312" s="147"/>
      <c r="PCC312" s="147"/>
      <c r="PCD312" s="147"/>
      <c r="PCE312" s="147"/>
      <c r="PCF312" s="147"/>
      <c r="PCG312" s="147"/>
      <c r="PCH312" s="147"/>
      <c r="PCI312" s="147"/>
      <c r="PCJ312" s="147"/>
      <c r="PCK312" s="147"/>
      <c r="PCL312" s="147"/>
      <c r="PCM312" s="147"/>
      <c r="PCN312" s="147"/>
      <c r="PCO312" s="147"/>
      <c r="PCP312" s="147"/>
      <c r="PCQ312" s="147"/>
      <c r="PCR312" s="147"/>
      <c r="PCS312" s="147"/>
      <c r="PCT312" s="147"/>
      <c r="PCU312" s="147"/>
      <c r="PCV312" s="147"/>
      <c r="PCW312" s="147"/>
      <c r="PCX312" s="147"/>
      <c r="PCY312" s="147"/>
      <c r="PCZ312" s="147"/>
      <c r="PDA312" s="147"/>
      <c r="PDB312" s="147"/>
      <c r="PDC312" s="147"/>
      <c r="PDD312" s="147"/>
      <c r="PDE312" s="147"/>
      <c r="PDF312" s="147"/>
      <c r="PDG312" s="147"/>
      <c r="PDH312" s="147"/>
      <c r="PDI312" s="147"/>
      <c r="PDJ312" s="147"/>
      <c r="PDK312" s="147"/>
      <c r="PDL312" s="147"/>
      <c r="PDM312" s="147"/>
      <c r="PDN312" s="147"/>
      <c r="PDO312" s="147"/>
      <c r="PDP312" s="147"/>
      <c r="PDQ312" s="147"/>
      <c r="PDR312" s="147"/>
      <c r="PDS312" s="147"/>
      <c r="PDT312" s="147"/>
      <c r="PDU312" s="147"/>
      <c r="PDV312" s="147"/>
      <c r="PDW312" s="147"/>
      <c r="PDX312" s="147"/>
      <c r="PDY312" s="147"/>
      <c r="PDZ312" s="147"/>
      <c r="PEA312" s="147"/>
      <c r="PEB312" s="147"/>
      <c r="PEC312" s="147"/>
      <c r="PED312" s="147"/>
      <c r="PEE312" s="147"/>
      <c r="PEF312" s="147"/>
      <c r="PEG312" s="147"/>
      <c r="PEH312" s="147"/>
      <c r="PEI312" s="147"/>
      <c r="PEJ312" s="147"/>
      <c r="PEK312" s="147"/>
      <c r="PEL312" s="147"/>
      <c r="PEM312" s="147"/>
      <c r="PEN312" s="147"/>
      <c r="PEO312" s="147"/>
      <c r="PEP312" s="147"/>
      <c r="PEQ312" s="147"/>
      <c r="PER312" s="147"/>
      <c r="PES312" s="147"/>
      <c r="PET312" s="147"/>
      <c r="PEU312" s="147"/>
      <c r="PEV312" s="147"/>
      <c r="PEW312" s="147"/>
      <c r="PEX312" s="147"/>
      <c r="PEY312" s="147"/>
      <c r="PEZ312" s="147"/>
      <c r="PFA312" s="147"/>
      <c r="PFB312" s="147"/>
      <c r="PFC312" s="147"/>
      <c r="PFD312" s="147"/>
      <c r="PFE312" s="147"/>
      <c r="PFF312" s="147"/>
      <c r="PFG312" s="147"/>
      <c r="PFH312" s="147"/>
      <c r="PFI312" s="147"/>
      <c r="PFJ312" s="147"/>
      <c r="PFK312" s="147"/>
      <c r="PFL312" s="147"/>
      <c r="PFM312" s="147"/>
      <c r="PFN312" s="147"/>
      <c r="PFO312" s="147"/>
      <c r="PFP312" s="147"/>
      <c r="PFQ312" s="147"/>
      <c r="PFR312" s="147"/>
      <c r="PFS312" s="147"/>
      <c r="PFT312" s="147"/>
      <c r="PFU312" s="147"/>
      <c r="PFV312" s="147"/>
      <c r="PFW312" s="147"/>
      <c r="PFX312" s="147"/>
      <c r="PFY312" s="147"/>
      <c r="PFZ312" s="147"/>
      <c r="PGA312" s="147"/>
      <c r="PGB312" s="147"/>
      <c r="PGC312" s="147"/>
      <c r="PGD312" s="147"/>
      <c r="PGE312" s="147"/>
      <c r="PGF312" s="147"/>
      <c r="PGG312" s="147"/>
      <c r="PGH312" s="147"/>
      <c r="PGI312" s="147"/>
      <c r="PGJ312" s="147"/>
      <c r="PGK312" s="147"/>
      <c r="PGL312" s="147"/>
      <c r="PGM312" s="147"/>
      <c r="PGN312" s="147"/>
      <c r="PGO312" s="147"/>
      <c r="PGP312" s="147"/>
      <c r="PGQ312" s="147"/>
      <c r="PGR312" s="147"/>
      <c r="PGS312" s="147"/>
      <c r="PGT312" s="147"/>
      <c r="PGU312" s="147"/>
      <c r="PGV312" s="147"/>
      <c r="PGW312" s="147"/>
      <c r="PGX312" s="147"/>
      <c r="PGY312" s="147"/>
      <c r="PGZ312" s="147"/>
      <c r="PHA312" s="147"/>
      <c r="PHB312" s="147"/>
      <c r="PHC312" s="147"/>
      <c r="PHD312" s="147"/>
      <c r="PHE312" s="147"/>
      <c r="PHF312" s="147"/>
      <c r="PHG312" s="147"/>
      <c r="PHH312" s="147"/>
      <c r="PHI312" s="147"/>
      <c r="PHJ312" s="147"/>
      <c r="PHK312" s="147"/>
      <c r="PHL312" s="147"/>
      <c r="PHM312" s="147"/>
      <c r="PHN312" s="147"/>
      <c r="PHO312" s="147"/>
      <c r="PHP312" s="147"/>
      <c r="PHQ312" s="147"/>
      <c r="PHR312" s="147"/>
      <c r="PHS312" s="147"/>
      <c r="PHT312" s="147"/>
      <c r="PHU312" s="147"/>
      <c r="PHV312" s="147"/>
      <c r="PHW312" s="147"/>
      <c r="PHX312" s="147"/>
      <c r="PHY312" s="147"/>
      <c r="PHZ312" s="147"/>
      <c r="PIA312" s="147"/>
      <c r="PIB312" s="147"/>
      <c r="PIC312" s="147"/>
      <c r="PID312" s="147"/>
      <c r="PIE312" s="147"/>
      <c r="PIF312" s="147"/>
      <c r="PIG312" s="147"/>
      <c r="PIH312" s="147"/>
      <c r="PII312" s="147"/>
      <c r="PIJ312" s="147"/>
      <c r="PIK312" s="147"/>
      <c r="PIL312" s="147"/>
      <c r="PIM312" s="147"/>
      <c r="PIN312" s="147"/>
      <c r="PIO312" s="147"/>
      <c r="PIP312" s="147"/>
      <c r="PIQ312" s="147"/>
      <c r="PIR312" s="147"/>
      <c r="PIS312" s="147"/>
      <c r="PIT312" s="147"/>
      <c r="PIU312" s="147"/>
      <c r="PIV312" s="147"/>
      <c r="PIW312" s="147"/>
      <c r="PIX312" s="147"/>
      <c r="PIY312" s="147"/>
      <c r="PIZ312" s="147"/>
      <c r="PJA312" s="147"/>
      <c r="PJB312" s="147"/>
      <c r="PJC312" s="147"/>
      <c r="PJD312" s="147"/>
      <c r="PJE312" s="147"/>
      <c r="PJF312" s="147"/>
      <c r="PJG312" s="147"/>
      <c r="PJH312" s="147"/>
      <c r="PJI312" s="147"/>
      <c r="PJJ312" s="147"/>
      <c r="PJK312" s="147"/>
      <c r="PJL312" s="147"/>
      <c r="PJM312" s="147"/>
      <c r="PJN312" s="147"/>
      <c r="PJO312" s="147"/>
      <c r="PJP312" s="147"/>
      <c r="PJQ312" s="147"/>
      <c r="PJR312" s="147"/>
      <c r="PJS312" s="147"/>
      <c r="PJT312" s="147"/>
      <c r="PJU312" s="147"/>
      <c r="PJV312" s="147"/>
      <c r="PJW312" s="147"/>
      <c r="PJX312" s="147"/>
      <c r="PJY312" s="147"/>
      <c r="PJZ312" s="147"/>
      <c r="PKA312" s="147"/>
      <c r="PKB312" s="147"/>
      <c r="PKC312" s="147"/>
      <c r="PKD312" s="147"/>
      <c r="PKE312" s="147"/>
      <c r="PKF312" s="147"/>
      <c r="PKG312" s="147"/>
      <c r="PKH312" s="147"/>
      <c r="PKI312" s="147"/>
      <c r="PKJ312" s="147"/>
      <c r="PKK312" s="147"/>
      <c r="PKL312" s="147"/>
      <c r="PKM312" s="147"/>
      <c r="PKN312" s="147"/>
      <c r="PKO312" s="147"/>
      <c r="PKP312" s="147"/>
      <c r="PKQ312" s="147"/>
      <c r="PKR312" s="147"/>
      <c r="PKS312" s="147"/>
      <c r="PKT312" s="147"/>
      <c r="PKU312" s="147"/>
      <c r="PKV312" s="147"/>
      <c r="PKW312" s="147"/>
      <c r="PKX312" s="147"/>
      <c r="PKY312" s="147"/>
      <c r="PKZ312" s="147"/>
      <c r="PLA312" s="147"/>
      <c r="PLB312" s="147"/>
      <c r="PLC312" s="147"/>
      <c r="PLD312" s="147"/>
      <c r="PLE312" s="147"/>
      <c r="PLF312" s="147"/>
      <c r="PLG312" s="147"/>
      <c r="PLH312" s="147"/>
      <c r="PLI312" s="147"/>
      <c r="PLJ312" s="147"/>
      <c r="PLK312" s="147"/>
      <c r="PLL312" s="147"/>
      <c r="PLM312" s="147"/>
      <c r="PLN312" s="147"/>
      <c r="PLO312" s="147"/>
      <c r="PLP312" s="147"/>
      <c r="PLQ312" s="147"/>
      <c r="PLR312" s="147"/>
      <c r="PLS312" s="147"/>
      <c r="PLT312" s="147"/>
      <c r="PLU312" s="147"/>
      <c r="PLV312" s="147"/>
      <c r="PLW312" s="147"/>
      <c r="PLX312" s="147"/>
      <c r="PLY312" s="147"/>
      <c r="PLZ312" s="147"/>
      <c r="PMA312" s="147"/>
      <c r="PMB312" s="147"/>
      <c r="PMC312" s="147"/>
      <c r="PMD312" s="147"/>
      <c r="PME312" s="147"/>
      <c r="PMF312" s="147"/>
      <c r="PMG312" s="147"/>
      <c r="PMH312" s="147"/>
      <c r="PMI312" s="147"/>
      <c r="PMJ312" s="147"/>
      <c r="PMK312" s="147"/>
      <c r="PML312" s="147"/>
      <c r="PMM312" s="147"/>
      <c r="PMN312" s="147"/>
      <c r="PMO312" s="147"/>
      <c r="PMP312" s="147"/>
      <c r="PMQ312" s="147"/>
      <c r="PMR312" s="147"/>
      <c r="PMS312" s="147"/>
      <c r="PMT312" s="147"/>
      <c r="PMU312" s="147"/>
      <c r="PMV312" s="147"/>
      <c r="PMW312" s="147"/>
      <c r="PMX312" s="147"/>
      <c r="PMY312" s="147"/>
      <c r="PMZ312" s="147"/>
      <c r="PNA312" s="147"/>
      <c r="PNB312" s="147"/>
      <c r="PNC312" s="147"/>
      <c r="PND312" s="147"/>
      <c r="PNE312" s="147"/>
      <c r="PNF312" s="147"/>
      <c r="PNG312" s="147"/>
      <c r="PNH312" s="147"/>
      <c r="PNI312" s="147"/>
      <c r="PNJ312" s="147"/>
      <c r="PNK312" s="147"/>
      <c r="PNL312" s="147"/>
      <c r="PNM312" s="147"/>
      <c r="PNN312" s="147"/>
      <c r="PNO312" s="147"/>
      <c r="PNP312" s="147"/>
      <c r="PNQ312" s="147"/>
      <c r="PNR312" s="147"/>
      <c r="PNS312" s="147"/>
      <c r="PNT312" s="147"/>
      <c r="PNU312" s="147"/>
      <c r="PNV312" s="147"/>
      <c r="PNW312" s="147"/>
      <c r="PNX312" s="147"/>
      <c r="PNY312" s="147"/>
      <c r="PNZ312" s="147"/>
      <c r="POA312" s="147"/>
      <c r="POB312" s="147"/>
      <c r="POC312" s="147"/>
      <c r="POD312" s="147"/>
      <c r="POE312" s="147"/>
      <c r="POF312" s="147"/>
      <c r="POG312" s="147"/>
      <c r="POH312" s="147"/>
      <c r="POI312" s="147"/>
      <c r="POJ312" s="147"/>
      <c r="POK312" s="147"/>
      <c r="POL312" s="147"/>
      <c r="POM312" s="147"/>
      <c r="PON312" s="147"/>
      <c r="POO312" s="147"/>
      <c r="POP312" s="147"/>
      <c r="POQ312" s="147"/>
      <c r="POR312" s="147"/>
      <c r="POS312" s="147"/>
      <c r="POT312" s="147"/>
      <c r="POU312" s="147"/>
      <c r="POV312" s="147"/>
      <c r="POW312" s="147"/>
      <c r="POX312" s="147"/>
      <c r="POY312" s="147"/>
      <c r="POZ312" s="147"/>
      <c r="PPA312" s="147"/>
      <c r="PPB312" s="147"/>
      <c r="PPC312" s="147"/>
      <c r="PPD312" s="147"/>
      <c r="PPE312" s="147"/>
      <c r="PPF312" s="147"/>
      <c r="PPG312" s="147"/>
      <c r="PPH312" s="147"/>
      <c r="PPI312" s="147"/>
      <c r="PPJ312" s="147"/>
      <c r="PPK312" s="147"/>
      <c r="PPL312" s="147"/>
      <c r="PPM312" s="147"/>
      <c r="PPN312" s="147"/>
      <c r="PPO312" s="147"/>
      <c r="PPP312" s="147"/>
      <c r="PPQ312" s="147"/>
      <c r="PPR312" s="147"/>
      <c r="PPS312" s="147"/>
      <c r="PPT312" s="147"/>
      <c r="PPU312" s="147"/>
      <c r="PPV312" s="147"/>
      <c r="PPW312" s="147"/>
      <c r="PPX312" s="147"/>
      <c r="PPY312" s="147"/>
      <c r="PPZ312" s="147"/>
      <c r="PQA312" s="147"/>
      <c r="PQB312" s="147"/>
      <c r="PQC312" s="147"/>
      <c r="PQD312" s="147"/>
      <c r="PQE312" s="147"/>
      <c r="PQF312" s="147"/>
      <c r="PQG312" s="147"/>
      <c r="PQH312" s="147"/>
      <c r="PQI312" s="147"/>
      <c r="PQJ312" s="147"/>
      <c r="PQK312" s="147"/>
      <c r="PQL312" s="147"/>
      <c r="PQM312" s="147"/>
      <c r="PQN312" s="147"/>
      <c r="PQO312" s="147"/>
      <c r="PQP312" s="147"/>
      <c r="PQQ312" s="147"/>
      <c r="PQR312" s="147"/>
      <c r="PQS312" s="147"/>
      <c r="PQT312" s="147"/>
      <c r="PQU312" s="147"/>
      <c r="PQV312" s="147"/>
      <c r="PQW312" s="147"/>
      <c r="PQX312" s="147"/>
      <c r="PQY312" s="147"/>
      <c r="PQZ312" s="147"/>
      <c r="PRA312" s="147"/>
      <c r="PRB312" s="147"/>
      <c r="PRC312" s="147"/>
      <c r="PRD312" s="147"/>
      <c r="PRE312" s="147"/>
      <c r="PRF312" s="147"/>
      <c r="PRG312" s="147"/>
      <c r="PRH312" s="147"/>
      <c r="PRI312" s="147"/>
      <c r="PRJ312" s="147"/>
      <c r="PRK312" s="147"/>
      <c r="PRL312" s="147"/>
      <c r="PRM312" s="147"/>
      <c r="PRN312" s="147"/>
      <c r="PRO312" s="147"/>
      <c r="PRP312" s="147"/>
      <c r="PRQ312" s="147"/>
      <c r="PRR312" s="147"/>
      <c r="PRS312" s="147"/>
      <c r="PRT312" s="147"/>
      <c r="PRU312" s="147"/>
      <c r="PRV312" s="147"/>
      <c r="PRW312" s="147"/>
      <c r="PRX312" s="147"/>
      <c r="PRY312" s="147"/>
      <c r="PRZ312" s="147"/>
      <c r="PSA312" s="147"/>
      <c r="PSB312" s="147"/>
      <c r="PSC312" s="147"/>
      <c r="PSD312" s="147"/>
      <c r="PSE312" s="147"/>
      <c r="PSF312" s="147"/>
      <c r="PSG312" s="147"/>
      <c r="PSH312" s="147"/>
      <c r="PSI312" s="147"/>
      <c r="PSJ312" s="147"/>
      <c r="PSK312" s="147"/>
      <c r="PSL312" s="147"/>
      <c r="PSM312" s="147"/>
      <c r="PSN312" s="147"/>
      <c r="PSO312" s="147"/>
      <c r="PSP312" s="147"/>
      <c r="PSQ312" s="147"/>
      <c r="PSR312" s="147"/>
      <c r="PSS312" s="147"/>
      <c r="PST312" s="147"/>
      <c r="PSU312" s="147"/>
      <c r="PSV312" s="147"/>
      <c r="PSW312" s="147"/>
      <c r="PSX312" s="147"/>
      <c r="PSY312" s="147"/>
      <c r="PSZ312" s="147"/>
      <c r="PTA312" s="147"/>
      <c r="PTB312" s="147"/>
      <c r="PTC312" s="147"/>
      <c r="PTD312" s="147"/>
      <c r="PTE312" s="147"/>
      <c r="PTF312" s="147"/>
      <c r="PTG312" s="147"/>
      <c r="PTH312" s="147"/>
      <c r="PTI312" s="147"/>
      <c r="PTJ312" s="147"/>
      <c r="PTK312" s="147"/>
      <c r="PTL312" s="147"/>
      <c r="PTM312" s="147"/>
      <c r="PTN312" s="147"/>
      <c r="PTO312" s="147"/>
      <c r="PTP312" s="147"/>
      <c r="PTQ312" s="147"/>
      <c r="PTR312" s="147"/>
      <c r="PTS312" s="147"/>
      <c r="PTT312" s="147"/>
      <c r="PTU312" s="147"/>
      <c r="PTV312" s="147"/>
      <c r="PTW312" s="147"/>
      <c r="PTX312" s="147"/>
      <c r="PTY312" s="147"/>
      <c r="PTZ312" s="147"/>
      <c r="PUA312" s="147"/>
      <c r="PUB312" s="147"/>
      <c r="PUC312" s="147"/>
      <c r="PUD312" s="147"/>
      <c r="PUE312" s="147"/>
      <c r="PUF312" s="147"/>
      <c r="PUG312" s="147"/>
      <c r="PUH312" s="147"/>
      <c r="PUI312" s="147"/>
      <c r="PUJ312" s="147"/>
      <c r="PUK312" s="147"/>
      <c r="PUL312" s="147"/>
      <c r="PUM312" s="147"/>
      <c r="PUN312" s="147"/>
      <c r="PUO312" s="147"/>
      <c r="PUP312" s="147"/>
      <c r="PUQ312" s="147"/>
      <c r="PUR312" s="147"/>
      <c r="PUS312" s="147"/>
      <c r="PUT312" s="147"/>
      <c r="PUU312" s="147"/>
      <c r="PUV312" s="147"/>
      <c r="PUW312" s="147"/>
      <c r="PUX312" s="147"/>
      <c r="PUY312" s="147"/>
      <c r="PUZ312" s="147"/>
      <c r="PVA312" s="147"/>
      <c r="PVB312" s="147"/>
      <c r="PVC312" s="147"/>
      <c r="PVD312" s="147"/>
      <c r="PVE312" s="147"/>
      <c r="PVF312" s="147"/>
      <c r="PVG312" s="147"/>
      <c r="PVH312" s="147"/>
      <c r="PVI312" s="147"/>
      <c r="PVJ312" s="147"/>
      <c r="PVK312" s="147"/>
      <c r="PVL312" s="147"/>
      <c r="PVM312" s="147"/>
      <c r="PVN312" s="147"/>
      <c r="PVO312" s="147"/>
      <c r="PVP312" s="147"/>
      <c r="PVQ312" s="147"/>
      <c r="PVR312" s="147"/>
      <c r="PVS312" s="147"/>
      <c r="PVT312" s="147"/>
      <c r="PVU312" s="147"/>
      <c r="PVV312" s="147"/>
      <c r="PVW312" s="147"/>
      <c r="PVX312" s="147"/>
      <c r="PVY312" s="147"/>
      <c r="PVZ312" s="147"/>
      <c r="PWA312" s="147"/>
      <c r="PWB312" s="147"/>
      <c r="PWC312" s="147"/>
      <c r="PWD312" s="147"/>
      <c r="PWE312" s="147"/>
      <c r="PWF312" s="147"/>
      <c r="PWG312" s="147"/>
      <c r="PWH312" s="147"/>
      <c r="PWI312" s="147"/>
      <c r="PWJ312" s="147"/>
      <c r="PWK312" s="147"/>
      <c r="PWL312" s="147"/>
      <c r="PWM312" s="147"/>
      <c r="PWN312" s="147"/>
      <c r="PWO312" s="147"/>
      <c r="PWP312" s="147"/>
      <c r="PWQ312" s="147"/>
      <c r="PWR312" s="147"/>
      <c r="PWS312" s="147"/>
      <c r="PWT312" s="147"/>
      <c r="PWU312" s="147"/>
      <c r="PWV312" s="147"/>
      <c r="PWW312" s="147"/>
      <c r="PWX312" s="147"/>
      <c r="PWY312" s="147"/>
      <c r="PWZ312" s="147"/>
      <c r="PXA312" s="147"/>
      <c r="PXB312" s="147"/>
      <c r="PXC312" s="147"/>
      <c r="PXD312" s="147"/>
      <c r="PXE312" s="147"/>
      <c r="PXF312" s="147"/>
      <c r="PXG312" s="147"/>
      <c r="PXH312" s="147"/>
      <c r="PXI312" s="147"/>
      <c r="PXJ312" s="147"/>
      <c r="PXK312" s="147"/>
      <c r="PXL312" s="147"/>
      <c r="PXM312" s="147"/>
      <c r="PXN312" s="147"/>
      <c r="PXO312" s="147"/>
      <c r="PXP312" s="147"/>
      <c r="PXQ312" s="147"/>
      <c r="PXR312" s="147"/>
      <c r="PXS312" s="147"/>
      <c r="PXT312" s="147"/>
      <c r="PXU312" s="147"/>
      <c r="PXV312" s="147"/>
      <c r="PXW312" s="147"/>
      <c r="PXX312" s="147"/>
      <c r="PXY312" s="147"/>
      <c r="PXZ312" s="147"/>
      <c r="PYA312" s="147"/>
      <c r="PYB312" s="147"/>
      <c r="PYC312" s="147"/>
      <c r="PYD312" s="147"/>
      <c r="PYE312" s="147"/>
      <c r="PYF312" s="147"/>
      <c r="PYG312" s="147"/>
      <c r="PYH312" s="147"/>
      <c r="PYI312" s="147"/>
      <c r="PYJ312" s="147"/>
      <c r="PYK312" s="147"/>
      <c r="PYL312" s="147"/>
      <c r="PYM312" s="147"/>
      <c r="PYN312" s="147"/>
      <c r="PYO312" s="147"/>
      <c r="PYP312" s="147"/>
      <c r="PYQ312" s="147"/>
      <c r="PYR312" s="147"/>
      <c r="PYS312" s="147"/>
      <c r="PYT312" s="147"/>
      <c r="PYU312" s="147"/>
      <c r="PYV312" s="147"/>
      <c r="PYW312" s="147"/>
      <c r="PYX312" s="147"/>
      <c r="PYY312" s="147"/>
      <c r="PYZ312" s="147"/>
      <c r="PZA312" s="147"/>
      <c r="PZB312" s="147"/>
      <c r="PZC312" s="147"/>
      <c r="PZD312" s="147"/>
      <c r="PZE312" s="147"/>
      <c r="PZF312" s="147"/>
      <c r="PZG312" s="147"/>
      <c r="PZH312" s="147"/>
      <c r="PZI312" s="147"/>
      <c r="PZJ312" s="147"/>
      <c r="PZK312" s="147"/>
      <c r="PZL312" s="147"/>
      <c r="PZM312" s="147"/>
      <c r="PZN312" s="147"/>
      <c r="PZO312" s="147"/>
      <c r="PZP312" s="147"/>
      <c r="PZQ312" s="147"/>
      <c r="PZR312" s="147"/>
      <c r="PZS312" s="147"/>
      <c r="PZT312" s="147"/>
      <c r="PZU312" s="147"/>
      <c r="PZV312" s="147"/>
      <c r="PZW312" s="147"/>
      <c r="PZX312" s="147"/>
      <c r="PZY312" s="147"/>
      <c r="PZZ312" s="147"/>
      <c r="QAA312" s="147"/>
      <c r="QAB312" s="147"/>
      <c r="QAC312" s="147"/>
      <c r="QAD312" s="147"/>
      <c r="QAE312" s="147"/>
      <c r="QAF312" s="147"/>
      <c r="QAG312" s="147"/>
      <c r="QAH312" s="147"/>
      <c r="QAI312" s="147"/>
      <c r="QAJ312" s="147"/>
      <c r="QAK312" s="147"/>
      <c r="QAL312" s="147"/>
      <c r="QAM312" s="147"/>
      <c r="QAN312" s="147"/>
      <c r="QAO312" s="147"/>
      <c r="QAP312" s="147"/>
      <c r="QAQ312" s="147"/>
      <c r="QAR312" s="147"/>
      <c r="QAS312" s="147"/>
      <c r="QAT312" s="147"/>
      <c r="QAU312" s="147"/>
      <c r="QAV312" s="147"/>
      <c r="QAW312" s="147"/>
      <c r="QAX312" s="147"/>
      <c r="QAY312" s="147"/>
      <c r="QAZ312" s="147"/>
      <c r="QBA312" s="147"/>
      <c r="QBB312" s="147"/>
      <c r="QBC312" s="147"/>
      <c r="QBD312" s="147"/>
      <c r="QBE312" s="147"/>
      <c r="QBF312" s="147"/>
      <c r="QBG312" s="147"/>
      <c r="QBH312" s="147"/>
      <c r="QBI312" s="147"/>
      <c r="QBJ312" s="147"/>
      <c r="QBK312" s="147"/>
      <c r="QBL312" s="147"/>
      <c r="QBM312" s="147"/>
      <c r="QBN312" s="147"/>
      <c r="QBO312" s="147"/>
      <c r="QBP312" s="147"/>
      <c r="QBQ312" s="147"/>
      <c r="QBR312" s="147"/>
      <c r="QBS312" s="147"/>
      <c r="QBT312" s="147"/>
      <c r="QBU312" s="147"/>
      <c r="QBV312" s="147"/>
      <c r="QBW312" s="147"/>
      <c r="QBX312" s="147"/>
      <c r="QBY312" s="147"/>
      <c r="QBZ312" s="147"/>
      <c r="QCA312" s="147"/>
      <c r="QCB312" s="147"/>
      <c r="QCC312" s="147"/>
      <c r="QCD312" s="147"/>
      <c r="QCE312" s="147"/>
      <c r="QCF312" s="147"/>
      <c r="QCG312" s="147"/>
      <c r="QCH312" s="147"/>
      <c r="QCI312" s="147"/>
      <c r="QCJ312" s="147"/>
      <c r="QCK312" s="147"/>
      <c r="QCL312" s="147"/>
      <c r="QCM312" s="147"/>
      <c r="QCN312" s="147"/>
      <c r="QCO312" s="147"/>
      <c r="QCP312" s="147"/>
      <c r="QCQ312" s="147"/>
      <c r="QCR312" s="147"/>
      <c r="QCS312" s="147"/>
      <c r="QCT312" s="147"/>
      <c r="QCU312" s="147"/>
      <c r="QCV312" s="147"/>
      <c r="QCW312" s="147"/>
      <c r="QCX312" s="147"/>
      <c r="QCY312" s="147"/>
      <c r="QCZ312" s="147"/>
      <c r="QDA312" s="147"/>
      <c r="QDB312" s="147"/>
      <c r="QDC312" s="147"/>
      <c r="QDD312" s="147"/>
      <c r="QDE312" s="147"/>
      <c r="QDF312" s="147"/>
      <c r="QDG312" s="147"/>
      <c r="QDH312" s="147"/>
      <c r="QDI312" s="147"/>
      <c r="QDJ312" s="147"/>
      <c r="QDK312" s="147"/>
      <c r="QDL312" s="147"/>
      <c r="QDM312" s="147"/>
      <c r="QDN312" s="147"/>
      <c r="QDO312" s="147"/>
      <c r="QDP312" s="147"/>
      <c r="QDQ312" s="147"/>
      <c r="QDR312" s="147"/>
      <c r="QDS312" s="147"/>
      <c r="QDT312" s="147"/>
      <c r="QDU312" s="147"/>
      <c r="QDV312" s="147"/>
      <c r="QDW312" s="147"/>
      <c r="QDX312" s="147"/>
      <c r="QDY312" s="147"/>
      <c r="QDZ312" s="147"/>
      <c r="QEA312" s="147"/>
      <c r="QEB312" s="147"/>
      <c r="QEC312" s="147"/>
      <c r="QED312" s="147"/>
      <c r="QEE312" s="147"/>
      <c r="QEF312" s="147"/>
      <c r="QEG312" s="147"/>
      <c r="QEH312" s="147"/>
      <c r="QEI312" s="147"/>
      <c r="QEJ312" s="147"/>
      <c r="QEK312" s="147"/>
      <c r="QEL312" s="147"/>
      <c r="QEM312" s="147"/>
      <c r="QEN312" s="147"/>
      <c r="QEO312" s="147"/>
      <c r="QEP312" s="147"/>
      <c r="QEQ312" s="147"/>
      <c r="QER312" s="147"/>
      <c r="QES312" s="147"/>
      <c r="QET312" s="147"/>
      <c r="QEU312" s="147"/>
      <c r="QEV312" s="147"/>
      <c r="QEW312" s="147"/>
      <c r="QEX312" s="147"/>
      <c r="QEY312" s="147"/>
      <c r="QEZ312" s="147"/>
      <c r="QFA312" s="147"/>
      <c r="QFB312" s="147"/>
      <c r="QFC312" s="147"/>
      <c r="QFD312" s="147"/>
      <c r="QFE312" s="147"/>
      <c r="QFF312" s="147"/>
      <c r="QFG312" s="147"/>
      <c r="QFH312" s="147"/>
      <c r="QFI312" s="147"/>
      <c r="QFJ312" s="147"/>
      <c r="QFK312" s="147"/>
      <c r="QFL312" s="147"/>
      <c r="QFM312" s="147"/>
      <c r="QFN312" s="147"/>
      <c r="QFO312" s="147"/>
      <c r="QFP312" s="147"/>
      <c r="QFQ312" s="147"/>
      <c r="QFR312" s="147"/>
      <c r="QFS312" s="147"/>
      <c r="QFT312" s="147"/>
      <c r="QFU312" s="147"/>
      <c r="QFV312" s="147"/>
      <c r="QFW312" s="147"/>
      <c r="QFX312" s="147"/>
      <c r="QFY312" s="147"/>
      <c r="QFZ312" s="147"/>
      <c r="QGA312" s="147"/>
      <c r="QGB312" s="147"/>
      <c r="QGC312" s="147"/>
      <c r="QGD312" s="147"/>
      <c r="QGE312" s="147"/>
      <c r="QGF312" s="147"/>
      <c r="QGG312" s="147"/>
      <c r="QGH312" s="147"/>
      <c r="QGI312" s="147"/>
      <c r="QGJ312" s="147"/>
      <c r="QGK312" s="147"/>
      <c r="QGL312" s="147"/>
      <c r="QGM312" s="147"/>
      <c r="QGN312" s="147"/>
      <c r="QGO312" s="147"/>
      <c r="QGP312" s="147"/>
      <c r="QGQ312" s="147"/>
      <c r="QGR312" s="147"/>
      <c r="QGS312" s="147"/>
      <c r="QGT312" s="147"/>
      <c r="QGU312" s="147"/>
      <c r="QGV312" s="147"/>
      <c r="QGW312" s="147"/>
      <c r="QGX312" s="147"/>
      <c r="QGY312" s="147"/>
      <c r="QGZ312" s="147"/>
      <c r="QHA312" s="147"/>
      <c r="QHB312" s="147"/>
      <c r="QHC312" s="147"/>
      <c r="QHD312" s="147"/>
      <c r="QHE312" s="147"/>
      <c r="QHF312" s="147"/>
      <c r="QHG312" s="147"/>
      <c r="QHH312" s="147"/>
      <c r="QHI312" s="147"/>
      <c r="QHJ312" s="147"/>
      <c r="QHK312" s="147"/>
      <c r="QHL312" s="147"/>
      <c r="QHM312" s="147"/>
      <c r="QHN312" s="147"/>
      <c r="QHO312" s="147"/>
      <c r="QHP312" s="147"/>
      <c r="QHQ312" s="147"/>
      <c r="QHR312" s="147"/>
      <c r="QHS312" s="147"/>
      <c r="QHT312" s="147"/>
      <c r="QHU312" s="147"/>
      <c r="QHV312" s="147"/>
      <c r="QHW312" s="147"/>
      <c r="QHX312" s="147"/>
      <c r="QHY312" s="147"/>
      <c r="QHZ312" s="147"/>
      <c r="QIA312" s="147"/>
      <c r="QIB312" s="147"/>
      <c r="QIC312" s="147"/>
      <c r="QID312" s="147"/>
      <c r="QIE312" s="147"/>
      <c r="QIF312" s="147"/>
      <c r="QIG312" s="147"/>
      <c r="QIH312" s="147"/>
      <c r="QII312" s="147"/>
      <c r="QIJ312" s="147"/>
      <c r="QIK312" s="147"/>
      <c r="QIL312" s="147"/>
      <c r="QIM312" s="147"/>
      <c r="QIN312" s="147"/>
      <c r="QIO312" s="147"/>
      <c r="QIP312" s="147"/>
      <c r="QIQ312" s="147"/>
      <c r="QIR312" s="147"/>
      <c r="QIS312" s="147"/>
      <c r="QIT312" s="147"/>
      <c r="QIU312" s="147"/>
      <c r="QIV312" s="147"/>
      <c r="QIW312" s="147"/>
      <c r="QIX312" s="147"/>
      <c r="QIY312" s="147"/>
      <c r="QIZ312" s="147"/>
      <c r="QJA312" s="147"/>
      <c r="QJB312" s="147"/>
      <c r="QJC312" s="147"/>
      <c r="QJD312" s="147"/>
      <c r="QJE312" s="147"/>
      <c r="QJF312" s="147"/>
      <c r="QJG312" s="147"/>
      <c r="QJH312" s="147"/>
      <c r="QJI312" s="147"/>
      <c r="QJJ312" s="147"/>
      <c r="QJK312" s="147"/>
      <c r="QJL312" s="147"/>
      <c r="QJM312" s="147"/>
      <c r="QJN312" s="147"/>
      <c r="QJO312" s="147"/>
      <c r="QJP312" s="147"/>
      <c r="QJQ312" s="147"/>
      <c r="QJR312" s="147"/>
      <c r="QJS312" s="147"/>
      <c r="QJT312" s="147"/>
      <c r="QJU312" s="147"/>
      <c r="QJV312" s="147"/>
      <c r="QJW312" s="147"/>
      <c r="QJX312" s="147"/>
      <c r="QJY312" s="147"/>
      <c r="QJZ312" s="147"/>
      <c r="QKA312" s="147"/>
      <c r="QKB312" s="147"/>
      <c r="QKC312" s="147"/>
      <c r="QKD312" s="147"/>
      <c r="QKE312" s="147"/>
      <c r="QKF312" s="147"/>
      <c r="QKG312" s="147"/>
      <c r="QKH312" s="147"/>
      <c r="QKI312" s="147"/>
      <c r="QKJ312" s="147"/>
      <c r="QKK312" s="147"/>
      <c r="QKL312" s="147"/>
      <c r="QKM312" s="147"/>
      <c r="QKN312" s="147"/>
      <c r="QKO312" s="147"/>
      <c r="QKP312" s="147"/>
      <c r="QKQ312" s="147"/>
      <c r="QKR312" s="147"/>
      <c r="QKS312" s="147"/>
      <c r="QKT312" s="147"/>
      <c r="QKU312" s="147"/>
      <c r="QKV312" s="147"/>
      <c r="QKW312" s="147"/>
      <c r="QKX312" s="147"/>
      <c r="QKY312" s="147"/>
      <c r="QKZ312" s="147"/>
      <c r="QLA312" s="147"/>
      <c r="QLB312" s="147"/>
      <c r="QLC312" s="147"/>
      <c r="QLD312" s="147"/>
      <c r="QLE312" s="147"/>
      <c r="QLF312" s="147"/>
      <c r="QLG312" s="147"/>
      <c r="QLH312" s="147"/>
      <c r="QLI312" s="147"/>
      <c r="QLJ312" s="147"/>
      <c r="QLK312" s="147"/>
      <c r="QLL312" s="147"/>
      <c r="QLM312" s="147"/>
      <c r="QLN312" s="147"/>
      <c r="QLO312" s="147"/>
      <c r="QLP312" s="147"/>
      <c r="QLQ312" s="147"/>
      <c r="QLR312" s="147"/>
      <c r="QLS312" s="147"/>
      <c r="QLT312" s="147"/>
      <c r="QLU312" s="147"/>
      <c r="QLV312" s="147"/>
      <c r="QLW312" s="147"/>
      <c r="QLX312" s="147"/>
      <c r="QLY312" s="147"/>
      <c r="QLZ312" s="147"/>
      <c r="QMA312" s="147"/>
      <c r="QMB312" s="147"/>
      <c r="QMC312" s="147"/>
      <c r="QMD312" s="147"/>
      <c r="QME312" s="147"/>
      <c r="QMF312" s="147"/>
      <c r="QMG312" s="147"/>
      <c r="QMH312" s="147"/>
      <c r="QMI312" s="147"/>
      <c r="QMJ312" s="147"/>
      <c r="QMK312" s="147"/>
      <c r="QML312" s="147"/>
      <c r="QMM312" s="147"/>
      <c r="QMN312" s="147"/>
      <c r="QMO312" s="147"/>
      <c r="QMP312" s="147"/>
      <c r="QMQ312" s="147"/>
      <c r="QMR312" s="147"/>
      <c r="QMS312" s="147"/>
      <c r="QMT312" s="147"/>
      <c r="QMU312" s="147"/>
      <c r="QMV312" s="147"/>
      <c r="QMW312" s="147"/>
      <c r="QMX312" s="147"/>
      <c r="QMY312" s="147"/>
      <c r="QMZ312" s="147"/>
      <c r="QNA312" s="147"/>
      <c r="QNB312" s="147"/>
      <c r="QNC312" s="147"/>
      <c r="QND312" s="147"/>
      <c r="QNE312" s="147"/>
      <c r="QNF312" s="147"/>
      <c r="QNG312" s="147"/>
      <c r="QNH312" s="147"/>
      <c r="QNI312" s="147"/>
      <c r="QNJ312" s="147"/>
      <c r="QNK312" s="147"/>
      <c r="QNL312" s="147"/>
      <c r="QNM312" s="147"/>
      <c r="QNN312" s="147"/>
      <c r="QNO312" s="147"/>
      <c r="QNP312" s="147"/>
      <c r="QNQ312" s="147"/>
      <c r="QNR312" s="147"/>
      <c r="QNS312" s="147"/>
      <c r="QNT312" s="147"/>
      <c r="QNU312" s="147"/>
      <c r="QNV312" s="147"/>
      <c r="QNW312" s="147"/>
      <c r="QNX312" s="147"/>
      <c r="QNY312" s="147"/>
      <c r="QNZ312" s="147"/>
      <c r="QOA312" s="147"/>
      <c r="QOB312" s="147"/>
      <c r="QOC312" s="147"/>
      <c r="QOD312" s="147"/>
      <c r="QOE312" s="147"/>
      <c r="QOF312" s="147"/>
      <c r="QOG312" s="147"/>
      <c r="QOH312" s="147"/>
      <c r="QOI312" s="147"/>
      <c r="QOJ312" s="147"/>
      <c r="QOK312" s="147"/>
      <c r="QOL312" s="147"/>
      <c r="QOM312" s="147"/>
      <c r="QON312" s="147"/>
      <c r="QOO312" s="147"/>
      <c r="QOP312" s="147"/>
      <c r="QOQ312" s="147"/>
      <c r="QOR312" s="147"/>
      <c r="QOS312" s="147"/>
      <c r="QOT312" s="147"/>
      <c r="QOU312" s="147"/>
      <c r="QOV312" s="147"/>
      <c r="QOW312" s="147"/>
      <c r="QOX312" s="147"/>
      <c r="QOY312" s="147"/>
      <c r="QOZ312" s="147"/>
      <c r="QPA312" s="147"/>
      <c r="QPB312" s="147"/>
      <c r="QPC312" s="147"/>
      <c r="QPD312" s="147"/>
      <c r="QPE312" s="147"/>
      <c r="QPF312" s="147"/>
      <c r="QPG312" s="147"/>
      <c r="QPH312" s="147"/>
      <c r="QPI312" s="147"/>
      <c r="QPJ312" s="147"/>
      <c r="QPK312" s="147"/>
      <c r="QPL312" s="147"/>
      <c r="QPM312" s="147"/>
      <c r="QPN312" s="147"/>
      <c r="QPO312" s="147"/>
      <c r="QPP312" s="147"/>
      <c r="QPQ312" s="147"/>
      <c r="QPR312" s="147"/>
      <c r="QPS312" s="147"/>
      <c r="QPT312" s="147"/>
      <c r="QPU312" s="147"/>
      <c r="QPV312" s="147"/>
      <c r="QPW312" s="147"/>
      <c r="QPX312" s="147"/>
      <c r="QPY312" s="147"/>
      <c r="QPZ312" s="147"/>
      <c r="QQA312" s="147"/>
      <c r="QQB312" s="147"/>
      <c r="QQC312" s="147"/>
      <c r="QQD312" s="147"/>
      <c r="QQE312" s="147"/>
      <c r="QQF312" s="147"/>
      <c r="QQG312" s="147"/>
      <c r="QQH312" s="147"/>
      <c r="QQI312" s="147"/>
      <c r="QQJ312" s="147"/>
      <c r="QQK312" s="147"/>
      <c r="QQL312" s="147"/>
      <c r="QQM312" s="147"/>
      <c r="QQN312" s="147"/>
      <c r="QQO312" s="147"/>
      <c r="QQP312" s="147"/>
      <c r="QQQ312" s="147"/>
      <c r="QQR312" s="147"/>
      <c r="QQS312" s="147"/>
      <c r="QQT312" s="147"/>
      <c r="QQU312" s="147"/>
      <c r="QQV312" s="147"/>
      <c r="QQW312" s="147"/>
      <c r="QQX312" s="147"/>
      <c r="QQY312" s="147"/>
      <c r="QQZ312" s="147"/>
      <c r="QRA312" s="147"/>
      <c r="QRB312" s="147"/>
      <c r="QRC312" s="147"/>
      <c r="QRD312" s="147"/>
      <c r="QRE312" s="147"/>
      <c r="QRF312" s="147"/>
      <c r="QRG312" s="147"/>
      <c r="QRH312" s="147"/>
      <c r="QRI312" s="147"/>
      <c r="QRJ312" s="147"/>
      <c r="QRK312" s="147"/>
      <c r="QRL312" s="147"/>
      <c r="QRM312" s="147"/>
      <c r="QRN312" s="147"/>
      <c r="QRO312" s="147"/>
      <c r="QRP312" s="147"/>
      <c r="QRQ312" s="147"/>
      <c r="QRR312" s="147"/>
      <c r="QRS312" s="147"/>
      <c r="QRT312" s="147"/>
      <c r="QRU312" s="147"/>
      <c r="QRV312" s="147"/>
      <c r="QRW312" s="147"/>
      <c r="QRX312" s="147"/>
      <c r="QRY312" s="147"/>
      <c r="QRZ312" s="147"/>
      <c r="QSA312" s="147"/>
      <c r="QSB312" s="147"/>
      <c r="QSC312" s="147"/>
      <c r="QSD312" s="147"/>
      <c r="QSE312" s="147"/>
      <c r="QSF312" s="147"/>
      <c r="QSG312" s="147"/>
      <c r="QSH312" s="147"/>
      <c r="QSI312" s="147"/>
      <c r="QSJ312" s="147"/>
      <c r="QSK312" s="147"/>
      <c r="QSL312" s="147"/>
      <c r="QSM312" s="147"/>
      <c r="QSN312" s="147"/>
      <c r="QSO312" s="147"/>
      <c r="QSP312" s="147"/>
      <c r="QSQ312" s="147"/>
      <c r="QSR312" s="147"/>
      <c r="QSS312" s="147"/>
      <c r="QST312" s="147"/>
      <c r="QSU312" s="147"/>
      <c r="QSV312" s="147"/>
      <c r="QSW312" s="147"/>
      <c r="QSX312" s="147"/>
      <c r="QSY312" s="147"/>
      <c r="QSZ312" s="147"/>
      <c r="QTA312" s="147"/>
      <c r="QTB312" s="147"/>
      <c r="QTC312" s="147"/>
      <c r="QTD312" s="147"/>
      <c r="QTE312" s="147"/>
      <c r="QTF312" s="147"/>
      <c r="QTG312" s="147"/>
      <c r="QTH312" s="147"/>
      <c r="QTI312" s="147"/>
      <c r="QTJ312" s="147"/>
      <c r="QTK312" s="147"/>
      <c r="QTL312" s="147"/>
      <c r="QTM312" s="147"/>
      <c r="QTN312" s="147"/>
      <c r="QTO312" s="147"/>
      <c r="QTP312" s="147"/>
      <c r="QTQ312" s="147"/>
      <c r="QTR312" s="147"/>
      <c r="QTS312" s="147"/>
      <c r="QTT312" s="147"/>
      <c r="QTU312" s="147"/>
      <c r="QTV312" s="147"/>
      <c r="QTW312" s="147"/>
      <c r="QTX312" s="147"/>
      <c r="QTY312" s="147"/>
      <c r="QTZ312" s="147"/>
      <c r="QUA312" s="147"/>
      <c r="QUB312" s="147"/>
      <c r="QUC312" s="147"/>
      <c r="QUD312" s="147"/>
      <c r="QUE312" s="147"/>
      <c r="QUF312" s="147"/>
      <c r="QUG312" s="147"/>
      <c r="QUH312" s="147"/>
      <c r="QUI312" s="147"/>
      <c r="QUJ312" s="147"/>
      <c r="QUK312" s="147"/>
      <c r="QUL312" s="147"/>
      <c r="QUM312" s="147"/>
      <c r="QUN312" s="147"/>
      <c r="QUO312" s="147"/>
      <c r="QUP312" s="147"/>
      <c r="QUQ312" s="147"/>
      <c r="QUR312" s="147"/>
      <c r="QUS312" s="147"/>
      <c r="QUT312" s="147"/>
      <c r="QUU312" s="147"/>
      <c r="QUV312" s="147"/>
      <c r="QUW312" s="147"/>
      <c r="QUX312" s="147"/>
      <c r="QUY312" s="147"/>
      <c r="QUZ312" s="147"/>
      <c r="QVA312" s="147"/>
      <c r="QVB312" s="147"/>
      <c r="QVC312" s="147"/>
      <c r="QVD312" s="147"/>
      <c r="QVE312" s="147"/>
      <c r="QVF312" s="147"/>
      <c r="QVG312" s="147"/>
      <c r="QVH312" s="147"/>
      <c r="QVI312" s="147"/>
      <c r="QVJ312" s="147"/>
      <c r="QVK312" s="147"/>
      <c r="QVL312" s="147"/>
      <c r="QVM312" s="147"/>
      <c r="QVN312" s="147"/>
      <c r="QVO312" s="147"/>
      <c r="QVP312" s="147"/>
      <c r="QVQ312" s="147"/>
      <c r="QVR312" s="147"/>
      <c r="QVS312" s="147"/>
      <c r="QVT312" s="147"/>
      <c r="QVU312" s="147"/>
      <c r="QVV312" s="147"/>
      <c r="QVW312" s="147"/>
      <c r="QVX312" s="147"/>
      <c r="QVY312" s="147"/>
      <c r="QVZ312" s="147"/>
      <c r="QWA312" s="147"/>
      <c r="QWB312" s="147"/>
      <c r="QWC312" s="147"/>
      <c r="QWD312" s="147"/>
      <c r="QWE312" s="147"/>
      <c r="QWF312" s="147"/>
      <c r="QWG312" s="147"/>
      <c r="QWH312" s="147"/>
      <c r="QWI312" s="147"/>
      <c r="QWJ312" s="147"/>
      <c r="QWK312" s="147"/>
      <c r="QWL312" s="147"/>
      <c r="QWM312" s="147"/>
      <c r="QWN312" s="147"/>
      <c r="QWO312" s="147"/>
      <c r="QWP312" s="147"/>
      <c r="QWQ312" s="147"/>
      <c r="QWR312" s="147"/>
      <c r="QWS312" s="147"/>
      <c r="QWT312" s="147"/>
      <c r="QWU312" s="147"/>
      <c r="QWV312" s="147"/>
      <c r="QWW312" s="147"/>
      <c r="QWX312" s="147"/>
      <c r="QWY312" s="147"/>
      <c r="QWZ312" s="147"/>
      <c r="QXA312" s="147"/>
      <c r="QXB312" s="147"/>
      <c r="QXC312" s="147"/>
      <c r="QXD312" s="147"/>
      <c r="QXE312" s="147"/>
      <c r="QXF312" s="147"/>
      <c r="QXG312" s="147"/>
      <c r="QXH312" s="147"/>
      <c r="QXI312" s="147"/>
      <c r="QXJ312" s="147"/>
      <c r="QXK312" s="147"/>
      <c r="QXL312" s="147"/>
      <c r="QXM312" s="147"/>
      <c r="QXN312" s="147"/>
      <c r="QXO312" s="147"/>
      <c r="QXP312" s="147"/>
      <c r="QXQ312" s="147"/>
      <c r="QXR312" s="147"/>
      <c r="QXS312" s="147"/>
      <c r="QXT312" s="147"/>
      <c r="QXU312" s="147"/>
      <c r="QXV312" s="147"/>
      <c r="QXW312" s="147"/>
      <c r="QXX312" s="147"/>
      <c r="QXY312" s="147"/>
      <c r="QXZ312" s="147"/>
      <c r="QYA312" s="147"/>
      <c r="QYB312" s="147"/>
      <c r="QYC312" s="147"/>
      <c r="QYD312" s="147"/>
      <c r="QYE312" s="147"/>
      <c r="QYF312" s="147"/>
      <c r="QYG312" s="147"/>
      <c r="QYH312" s="147"/>
      <c r="QYI312" s="147"/>
      <c r="QYJ312" s="147"/>
      <c r="QYK312" s="147"/>
      <c r="QYL312" s="147"/>
      <c r="QYM312" s="147"/>
      <c r="QYN312" s="147"/>
      <c r="QYO312" s="147"/>
      <c r="QYP312" s="147"/>
      <c r="QYQ312" s="147"/>
      <c r="QYR312" s="147"/>
      <c r="QYS312" s="147"/>
      <c r="QYT312" s="147"/>
      <c r="QYU312" s="147"/>
      <c r="QYV312" s="147"/>
      <c r="QYW312" s="147"/>
      <c r="QYX312" s="147"/>
      <c r="QYY312" s="147"/>
      <c r="QYZ312" s="147"/>
      <c r="QZA312" s="147"/>
      <c r="QZB312" s="147"/>
      <c r="QZC312" s="147"/>
      <c r="QZD312" s="147"/>
      <c r="QZE312" s="147"/>
      <c r="QZF312" s="147"/>
      <c r="QZG312" s="147"/>
      <c r="QZH312" s="147"/>
      <c r="QZI312" s="147"/>
      <c r="QZJ312" s="147"/>
      <c r="QZK312" s="147"/>
      <c r="QZL312" s="147"/>
      <c r="QZM312" s="147"/>
      <c r="QZN312" s="147"/>
      <c r="QZO312" s="147"/>
      <c r="QZP312" s="147"/>
      <c r="QZQ312" s="147"/>
      <c r="QZR312" s="147"/>
      <c r="QZS312" s="147"/>
      <c r="QZT312" s="147"/>
      <c r="QZU312" s="147"/>
      <c r="QZV312" s="147"/>
      <c r="QZW312" s="147"/>
      <c r="QZX312" s="147"/>
      <c r="QZY312" s="147"/>
      <c r="QZZ312" s="147"/>
      <c r="RAA312" s="147"/>
      <c r="RAB312" s="147"/>
      <c r="RAC312" s="147"/>
      <c r="RAD312" s="147"/>
      <c r="RAE312" s="147"/>
      <c r="RAF312" s="147"/>
      <c r="RAG312" s="147"/>
      <c r="RAH312" s="147"/>
      <c r="RAI312" s="147"/>
      <c r="RAJ312" s="147"/>
      <c r="RAK312" s="147"/>
      <c r="RAL312" s="147"/>
      <c r="RAM312" s="147"/>
      <c r="RAN312" s="147"/>
      <c r="RAO312" s="147"/>
      <c r="RAP312" s="147"/>
      <c r="RAQ312" s="147"/>
      <c r="RAR312" s="147"/>
      <c r="RAS312" s="147"/>
      <c r="RAT312" s="147"/>
      <c r="RAU312" s="147"/>
      <c r="RAV312" s="147"/>
      <c r="RAW312" s="147"/>
      <c r="RAX312" s="147"/>
      <c r="RAY312" s="147"/>
      <c r="RAZ312" s="147"/>
      <c r="RBA312" s="147"/>
      <c r="RBB312" s="147"/>
      <c r="RBC312" s="147"/>
      <c r="RBD312" s="147"/>
      <c r="RBE312" s="147"/>
      <c r="RBF312" s="147"/>
      <c r="RBG312" s="147"/>
      <c r="RBH312" s="147"/>
      <c r="RBI312" s="147"/>
      <c r="RBJ312" s="147"/>
      <c r="RBK312" s="147"/>
      <c r="RBL312" s="147"/>
      <c r="RBM312" s="147"/>
      <c r="RBN312" s="147"/>
      <c r="RBO312" s="147"/>
      <c r="RBP312" s="147"/>
      <c r="RBQ312" s="147"/>
      <c r="RBR312" s="147"/>
      <c r="RBS312" s="147"/>
      <c r="RBT312" s="147"/>
      <c r="RBU312" s="147"/>
      <c r="RBV312" s="147"/>
      <c r="RBW312" s="147"/>
      <c r="RBX312" s="147"/>
      <c r="RBY312" s="147"/>
      <c r="RBZ312" s="147"/>
      <c r="RCA312" s="147"/>
      <c r="RCB312" s="147"/>
      <c r="RCC312" s="147"/>
      <c r="RCD312" s="147"/>
      <c r="RCE312" s="147"/>
      <c r="RCF312" s="147"/>
      <c r="RCG312" s="147"/>
      <c r="RCH312" s="147"/>
      <c r="RCI312" s="147"/>
      <c r="RCJ312" s="147"/>
      <c r="RCK312" s="147"/>
      <c r="RCL312" s="147"/>
      <c r="RCM312" s="147"/>
      <c r="RCN312" s="147"/>
      <c r="RCO312" s="147"/>
      <c r="RCP312" s="147"/>
      <c r="RCQ312" s="147"/>
      <c r="RCR312" s="147"/>
      <c r="RCS312" s="147"/>
      <c r="RCT312" s="147"/>
      <c r="RCU312" s="147"/>
      <c r="RCV312" s="147"/>
      <c r="RCW312" s="147"/>
      <c r="RCX312" s="147"/>
      <c r="RCY312" s="147"/>
      <c r="RCZ312" s="147"/>
      <c r="RDA312" s="147"/>
      <c r="RDB312" s="147"/>
      <c r="RDC312" s="147"/>
      <c r="RDD312" s="147"/>
      <c r="RDE312" s="147"/>
      <c r="RDF312" s="147"/>
      <c r="RDG312" s="147"/>
      <c r="RDH312" s="147"/>
      <c r="RDI312" s="147"/>
      <c r="RDJ312" s="147"/>
      <c r="RDK312" s="147"/>
      <c r="RDL312" s="147"/>
      <c r="RDM312" s="147"/>
      <c r="RDN312" s="147"/>
      <c r="RDO312" s="147"/>
      <c r="RDP312" s="147"/>
      <c r="RDQ312" s="147"/>
      <c r="RDR312" s="147"/>
      <c r="RDS312" s="147"/>
      <c r="RDT312" s="147"/>
      <c r="RDU312" s="147"/>
      <c r="RDV312" s="147"/>
      <c r="RDW312" s="147"/>
      <c r="RDX312" s="147"/>
      <c r="RDY312" s="147"/>
      <c r="RDZ312" s="147"/>
      <c r="REA312" s="147"/>
      <c r="REB312" s="147"/>
      <c r="REC312" s="147"/>
      <c r="RED312" s="147"/>
      <c r="REE312" s="147"/>
      <c r="REF312" s="147"/>
      <c r="REG312" s="147"/>
      <c r="REH312" s="147"/>
      <c r="REI312" s="147"/>
      <c r="REJ312" s="147"/>
      <c r="REK312" s="147"/>
      <c r="REL312" s="147"/>
      <c r="REM312" s="147"/>
      <c r="REN312" s="147"/>
      <c r="REO312" s="147"/>
      <c r="REP312" s="147"/>
      <c r="REQ312" s="147"/>
      <c r="RER312" s="147"/>
      <c r="RES312" s="147"/>
      <c r="RET312" s="147"/>
      <c r="REU312" s="147"/>
      <c r="REV312" s="147"/>
      <c r="REW312" s="147"/>
      <c r="REX312" s="147"/>
      <c r="REY312" s="147"/>
      <c r="REZ312" s="147"/>
      <c r="RFA312" s="147"/>
      <c r="RFB312" s="147"/>
      <c r="RFC312" s="147"/>
      <c r="RFD312" s="147"/>
      <c r="RFE312" s="147"/>
      <c r="RFF312" s="147"/>
      <c r="RFG312" s="147"/>
      <c r="RFH312" s="147"/>
      <c r="RFI312" s="147"/>
      <c r="RFJ312" s="147"/>
      <c r="RFK312" s="147"/>
      <c r="RFL312" s="147"/>
      <c r="RFM312" s="147"/>
      <c r="RFN312" s="147"/>
      <c r="RFO312" s="147"/>
      <c r="RFP312" s="147"/>
      <c r="RFQ312" s="147"/>
      <c r="RFR312" s="147"/>
      <c r="RFS312" s="147"/>
      <c r="RFT312" s="147"/>
      <c r="RFU312" s="147"/>
      <c r="RFV312" s="147"/>
      <c r="RFW312" s="147"/>
      <c r="RFX312" s="147"/>
      <c r="RFY312" s="147"/>
      <c r="RFZ312" s="147"/>
      <c r="RGA312" s="147"/>
      <c r="RGB312" s="147"/>
      <c r="RGC312" s="147"/>
      <c r="RGD312" s="147"/>
      <c r="RGE312" s="147"/>
      <c r="RGF312" s="147"/>
      <c r="RGG312" s="147"/>
      <c r="RGH312" s="147"/>
      <c r="RGI312" s="147"/>
      <c r="RGJ312" s="147"/>
      <c r="RGK312" s="147"/>
      <c r="RGL312" s="147"/>
      <c r="RGM312" s="147"/>
      <c r="RGN312" s="147"/>
      <c r="RGO312" s="147"/>
      <c r="RGP312" s="147"/>
      <c r="RGQ312" s="147"/>
      <c r="RGR312" s="147"/>
      <c r="RGS312" s="147"/>
      <c r="RGT312" s="147"/>
      <c r="RGU312" s="147"/>
      <c r="RGV312" s="147"/>
      <c r="RGW312" s="147"/>
      <c r="RGX312" s="147"/>
      <c r="RGY312" s="147"/>
      <c r="RGZ312" s="147"/>
      <c r="RHA312" s="147"/>
      <c r="RHB312" s="147"/>
      <c r="RHC312" s="147"/>
      <c r="RHD312" s="147"/>
      <c r="RHE312" s="147"/>
      <c r="RHF312" s="147"/>
      <c r="RHG312" s="147"/>
      <c r="RHH312" s="147"/>
      <c r="RHI312" s="147"/>
      <c r="RHJ312" s="147"/>
      <c r="RHK312" s="147"/>
      <c r="RHL312" s="147"/>
      <c r="RHM312" s="147"/>
      <c r="RHN312" s="147"/>
      <c r="RHO312" s="147"/>
      <c r="RHP312" s="147"/>
      <c r="RHQ312" s="147"/>
      <c r="RHR312" s="147"/>
      <c r="RHS312" s="147"/>
      <c r="RHT312" s="147"/>
      <c r="RHU312" s="147"/>
      <c r="RHV312" s="147"/>
      <c r="RHW312" s="147"/>
      <c r="RHX312" s="147"/>
      <c r="RHY312" s="147"/>
      <c r="RHZ312" s="147"/>
      <c r="RIA312" s="147"/>
      <c r="RIB312" s="147"/>
      <c r="RIC312" s="147"/>
      <c r="RID312" s="147"/>
      <c r="RIE312" s="147"/>
      <c r="RIF312" s="147"/>
      <c r="RIG312" s="147"/>
      <c r="RIH312" s="147"/>
      <c r="RII312" s="147"/>
      <c r="RIJ312" s="147"/>
      <c r="RIK312" s="147"/>
      <c r="RIL312" s="147"/>
      <c r="RIM312" s="147"/>
      <c r="RIN312" s="147"/>
      <c r="RIO312" s="147"/>
      <c r="RIP312" s="147"/>
      <c r="RIQ312" s="147"/>
      <c r="RIR312" s="147"/>
      <c r="RIS312" s="147"/>
      <c r="RIT312" s="147"/>
      <c r="RIU312" s="147"/>
      <c r="RIV312" s="147"/>
      <c r="RIW312" s="147"/>
      <c r="RIX312" s="147"/>
      <c r="RIY312" s="147"/>
      <c r="RIZ312" s="147"/>
      <c r="RJA312" s="147"/>
      <c r="RJB312" s="147"/>
      <c r="RJC312" s="147"/>
      <c r="RJD312" s="147"/>
      <c r="RJE312" s="147"/>
      <c r="RJF312" s="147"/>
      <c r="RJG312" s="147"/>
      <c r="RJH312" s="147"/>
      <c r="RJI312" s="147"/>
      <c r="RJJ312" s="147"/>
      <c r="RJK312" s="147"/>
      <c r="RJL312" s="147"/>
      <c r="RJM312" s="147"/>
      <c r="RJN312" s="147"/>
      <c r="RJO312" s="147"/>
      <c r="RJP312" s="147"/>
      <c r="RJQ312" s="147"/>
      <c r="RJR312" s="147"/>
      <c r="RJS312" s="147"/>
      <c r="RJT312" s="147"/>
      <c r="RJU312" s="147"/>
      <c r="RJV312" s="147"/>
      <c r="RJW312" s="147"/>
      <c r="RJX312" s="147"/>
      <c r="RJY312" s="147"/>
      <c r="RJZ312" s="147"/>
      <c r="RKA312" s="147"/>
      <c r="RKB312" s="147"/>
      <c r="RKC312" s="147"/>
      <c r="RKD312" s="147"/>
      <c r="RKE312" s="147"/>
      <c r="RKF312" s="147"/>
      <c r="RKG312" s="147"/>
      <c r="RKH312" s="147"/>
      <c r="RKI312" s="147"/>
      <c r="RKJ312" s="147"/>
      <c r="RKK312" s="147"/>
      <c r="RKL312" s="147"/>
      <c r="RKM312" s="147"/>
      <c r="RKN312" s="147"/>
      <c r="RKO312" s="147"/>
      <c r="RKP312" s="147"/>
      <c r="RKQ312" s="147"/>
      <c r="RKR312" s="147"/>
      <c r="RKS312" s="147"/>
      <c r="RKT312" s="147"/>
      <c r="RKU312" s="147"/>
      <c r="RKV312" s="147"/>
      <c r="RKW312" s="147"/>
      <c r="RKX312" s="147"/>
      <c r="RKY312" s="147"/>
      <c r="RKZ312" s="147"/>
      <c r="RLA312" s="147"/>
      <c r="RLB312" s="147"/>
      <c r="RLC312" s="147"/>
      <c r="RLD312" s="147"/>
      <c r="RLE312" s="147"/>
      <c r="RLF312" s="147"/>
      <c r="RLG312" s="147"/>
      <c r="RLH312" s="147"/>
      <c r="RLI312" s="147"/>
      <c r="RLJ312" s="147"/>
      <c r="RLK312" s="147"/>
      <c r="RLL312" s="147"/>
      <c r="RLM312" s="147"/>
      <c r="RLN312" s="147"/>
      <c r="RLO312" s="147"/>
      <c r="RLP312" s="147"/>
      <c r="RLQ312" s="147"/>
      <c r="RLR312" s="147"/>
      <c r="RLS312" s="147"/>
      <c r="RLT312" s="147"/>
      <c r="RLU312" s="147"/>
      <c r="RLV312" s="147"/>
      <c r="RLW312" s="147"/>
      <c r="RLX312" s="147"/>
      <c r="RLY312" s="147"/>
      <c r="RLZ312" s="147"/>
      <c r="RMA312" s="147"/>
      <c r="RMB312" s="147"/>
      <c r="RMC312" s="147"/>
      <c r="RMD312" s="147"/>
      <c r="RME312" s="147"/>
      <c r="RMF312" s="147"/>
      <c r="RMG312" s="147"/>
      <c r="RMH312" s="147"/>
      <c r="RMI312" s="147"/>
      <c r="RMJ312" s="147"/>
      <c r="RMK312" s="147"/>
      <c r="RML312" s="147"/>
      <c r="RMM312" s="147"/>
      <c r="RMN312" s="147"/>
      <c r="RMO312" s="147"/>
      <c r="RMP312" s="147"/>
      <c r="RMQ312" s="147"/>
      <c r="RMR312" s="147"/>
      <c r="RMS312" s="147"/>
      <c r="RMT312" s="147"/>
      <c r="RMU312" s="147"/>
      <c r="RMV312" s="147"/>
      <c r="RMW312" s="147"/>
      <c r="RMX312" s="147"/>
      <c r="RMY312" s="147"/>
      <c r="RMZ312" s="147"/>
      <c r="RNA312" s="147"/>
      <c r="RNB312" s="147"/>
      <c r="RNC312" s="147"/>
      <c r="RND312" s="147"/>
      <c r="RNE312" s="147"/>
      <c r="RNF312" s="147"/>
      <c r="RNG312" s="147"/>
      <c r="RNH312" s="147"/>
      <c r="RNI312" s="147"/>
      <c r="RNJ312" s="147"/>
      <c r="RNK312" s="147"/>
      <c r="RNL312" s="147"/>
      <c r="RNM312" s="147"/>
      <c r="RNN312" s="147"/>
      <c r="RNO312" s="147"/>
      <c r="RNP312" s="147"/>
      <c r="RNQ312" s="147"/>
      <c r="RNR312" s="147"/>
      <c r="RNS312" s="147"/>
      <c r="RNT312" s="147"/>
      <c r="RNU312" s="147"/>
      <c r="RNV312" s="147"/>
      <c r="RNW312" s="147"/>
      <c r="RNX312" s="147"/>
      <c r="RNY312" s="147"/>
      <c r="RNZ312" s="147"/>
      <c r="ROA312" s="147"/>
      <c r="ROB312" s="147"/>
      <c r="ROC312" s="147"/>
      <c r="ROD312" s="147"/>
      <c r="ROE312" s="147"/>
      <c r="ROF312" s="147"/>
      <c r="ROG312" s="147"/>
      <c r="ROH312" s="147"/>
      <c r="ROI312" s="147"/>
      <c r="ROJ312" s="147"/>
      <c r="ROK312" s="147"/>
      <c r="ROL312" s="147"/>
      <c r="ROM312" s="147"/>
      <c r="RON312" s="147"/>
      <c r="ROO312" s="147"/>
      <c r="ROP312" s="147"/>
      <c r="ROQ312" s="147"/>
      <c r="ROR312" s="147"/>
      <c r="ROS312" s="147"/>
      <c r="ROT312" s="147"/>
      <c r="ROU312" s="147"/>
      <c r="ROV312" s="147"/>
      <c r="ROW312" s="147"/>
      <c r="ROX312" s="147"/>
      <c r="ROY312" s="147"/>
      <c r="ROZ312" s="147"/>
      <c r="RPA312" s="147"/>
      <c r="RPB312" s="147"/>
      <c r="RPC312" s="147"/>
      <c r="RPD312" s="147"/>
      <c r="RPE312" s="147"/>
      <c r="RPF312" s="147"/>
      <c r="RPG312" s="147"/>
      <c r="RPH312" s="147"/>
      <c r="RPI312" s="147"/>
      <c r="RPJ312" s="147"/>
      <c r="RPK312" s="147"/>
      <c r="RPL312" s="147"/>
      <c r="RPM312" s="147"/>
      <c r="RPN312" s="147"/>
      <c r="RPO312" s="147"/>
      <c r="RPP312" s="147"/>
      <c r="RPQ312" s="147"/>
      <c r="RPR312" s="147"/>
      <c r="RPS312" s="147"/>
      <c r="RPT312" s="147"/>
      <c r="RPU312" s="147"/>
      <c r="RPV312" s="147"/>
      <c r="RPW312" s="147"/>
      <c r="RPX312" s="147"/>
      <c r="RPY312" s="147"/>
      <c r="RPZ312" s="147"/>
      <c r="RQA312" s="147"/>
      <c r="RQB312" s="147"/>
      <c r="RQC312" s="147"/>
      <c r="RQD312" s="147"/>
      <c r="RQE312" s="147"/>
      <c r="RQF312" s="147"/>
      <c r="RQG312" s="147"/>
      <c r="RQH312" s="147"/>
      <c r="RQI312" s="147"/>
      <c r="RQJ312" s="147"/>
      <c r="RQK312" s="147"/>
      <c r="RQL312" s="147"/>
      <c r="RQM312" s="147"/>
      <c r="RQN312" s="147"/>
      <c r="RQO312" s="147"/>
      <c r="RQP312" s="147"/>
      <c r="RQQ312" s="147"/>
      <c r="RQR312" s="147"/>
      <c r="RQS312" s="147"/>
      <c r="RQT312" s="147"/>
      <c r="RQU312" s="147"/>
      <c r="RQV312" s="147"/>
      <c r="RQW312" s="147"/>
      <c r="RQX312" s="147"/>
      <c r="RQY312" s="147"/>
      <c r="RQZ312" s="147"/>
      <c r="RRA312" s="147"/>
      <c r="RRB312" s="147"/>
      <c r="RRC312" s="147"/>
      <c r="RRD312" s="147"/>
      <c r="RRE312" s="147"/>
      <c r="RRF312" s="147"/>
      <c r="RRG312" s="147"/>
      <c r="RRH312" s="147"/>
      <c r="RRI312" s="147"/>
      <c r="RRJ312" s="147"/>
      <c r="RRK312" s="147"/>
      <c r="RRL312" s="147"/>
      <c r="RRM312" s="147"/>
      <c r="RRN312" s="147"/>
      <c r="RRO312" s="147"/>
      <c r="RRP312" s="147"/>
      <c r="RRQ312" s="147"/>
      <c r="RRR312" s="147"/>
      <c r="RRS312" s="147"/>
      <c r="RRT312" s="147"/>
      <c r="RRU312" s="147"/>
      <c r="RRV312" s="147"/>
      <c r="RRW312" s="147"/>
      <c r="RRX312" s="147"/>
      <c r="RRY312" s="147"/>
      <c r="RRZ312" s="147"/>
      <c r="RSA312" s="147"/>
      <c r="RSB312" s="147"/>
      <c r="RSC312" s="147"/>
      <c r="RSD312" s="147"/>
      <c r="RSE312" s="147"/>
      <c r="RSF312" s="147"/>
      <c r="RSG312" s="147"/>
      <c r="RSH312" s="147"/>
      <c r="RSI312" s="147"/>
      <c r="RSJ312" s="147"/>
      <c r="RSK312" s="147"/>
      <c r="RSL312" s="147"/>
      <c r="RSM312" s="147"/>
      <c r="RSN312" s="147"/>
      <c r="RSO312" s="147"/>
      <c r="RSP312" s="147"/>
      <c r="RSQ312" s="147"/>
      <c r="RSR312" s="147"/>
      <c r="RSS312" s="147"/>
      <c r="RST312" s="147"/>
      <c r="RSU312" s="147"/>
      <c r="RSV312" s="147"/>
      <c r="RSW312" s="147"/>
      <c r="RSX312" s="147"/>
      <c r="RSY312" s="147"/>
      <c r="RSZ312" s="147"/>
      <c r="RTA312" s="147"/>
      <c r="RTB312" s="147"/>
      <c r="RTC312" s="147"/>
      <c r="RTD312" s="147"/>
      <c r="RTE312" s="147"/>
      <c r="RTF312" s="147"/>
      <c r="RTG312" s="147"/>
      <c r="RTH312" s="147"/>
      <c r="RTI312" s="147"/>
      <c r="RTJ312" s="147"/>
      <c r="RTK312" s="147"/>
      <c r="RTL312" s="147"/>
      <c r="RTM312" s="147"/>
      <c r="RTN312" s="147"/>
      <c r="RTO312" s="147"/>
      <c r="RTP312" s="147"/>
      <c r="RTQ312" s="147"/>
      <c r="RTR312" s="147"/>
      <c r="RTS312" s="147"/>
      <c r="RTT312" s="147"/>
      <c r="RTU312" s="147"/>
      <c r="RTV312" s="147"/>
      <c r="RTW312" s="147"/>
      <c r="RTX312" s="147"/>
      <c r="RTY312" s="147"/>
      <c r="RTZ312" s="147"/>
      <c r="RUA312" s="147"/>
      <c r="RUB312" s="147"/>
      <c r="RUC312" s="147"/>
      <c r="RUD312" s="147"/>
      <c r="RUE312" s="147"/>
      <c r="RUF312" s="147"/>
      <c r="RUG312" s="147"/>
      <c r="RUH312" s="147"/>
      <c r="RUI312" s="147"/>
      <c r="RUJ312" s="147"/>
      <c r="RUK312" s="147"/>
      <c r="RUL312" s="147"/>
      <c r="RUM312" s="147"/>
      <c r="RUN312" s="147"/>
      <c r="RUO312" s="147"/>
      <c r="RUP312" s="147"/>
      <c r="RUQ312" s="147"/>
      <c r="RUR312" s="147"/>
      <c r="RUS312" s="147"/>
      <c r="RUT312" s="147"/>
      <c r="RUU312" s="147"/>
      <c r="RUV312" s="147"/>
      <c r="RUW312" s="147"/>
      <c r="RUX312" s="147"/>
      <c r="RUY312" s="147"/>
      <c r="RUZ312" s="147"/>
      <c r="RVA312" s="147"/>
      <c r="RVB312" s="147"/>
      <c r="RVC312" s="147"/>
      <c r="RVD312" s="147"/>
      <c r="RVE312" s="147"/>
      <c r="RVF312" s="147"/>
      <c r="RVG312" s="147"/>
      <c r="RVH312" s="147"/>
      <c r="RVI312" s="147"/>
      <c r="RVJ312" s="147"/>
      <c r="RVK312" s="147"/>
      <c r="RVL312" s="147"/>
      <c r="RVM312" s="147"/>
      <c r="RVN312" s="147"/>
      <c r="RVO312" s="147"/>
      <c r="RVP312" s="147"/>
      <c r="RVQ312" s="147"/>
      <c r="RVR312" s="147"/>
      <c r="RVS312" s="147"/>
      <c r="RVT312" s="147"/>
      <c r="RVU312" s="147"/>
      <c r="RVV312" s="147"/>
      <c r="RVW312" s="147"/>
      <c r="RVX312" s="147"/>
      <c r="RVY312" s="147"/>
      <c r="RVZ312" s="147"/>
      <c r="RWA312" s="147"/>
      <c r="RWB312" s="147"/>
      <c r="RWC312" s="147"/>
      <c r="RWD312" s="147"/>
      <c r="RWE312" s="147"/>
      <c r="RWF312" s="147"/>
      <c r="RWG312" s="147"/>
      <c r="RWH312" s="147"/>
      <c r="RWI312" s="147"/>
      <c r="RWJ312" s="147"/>
      <c r="RWK312" s="147"/>
      <c r="RWL312" s="147"/>
      <c r="RWM312" s="147"/>
      <c r="RWN312" s="147"/>
      <c r="RWO312" s="147"/>
      <c r="RWP312" s="147"/>
      <c r="RWQ312" s="147"/>
      <c r="RWR312" s="147"/>
      <c r="RWS312" s="147"/>
      <c r="RWT312" s="147"/>
      <c r="RWU312" s="147"/>
      <c r="RWV312" s="147"/>
      <c r="RWW312" s="147"/>
      <c r="RWX312" s="147"/>
      <c r="RWY312" s="147"/>
      <c r="RWZ312" s="147"/>
      <c r="RXA312" s="147"/>
      <c r="RXB312" s="147"/>
      <c r="RXC312" s="147"/>
      <c r="RXD312" s="147"/>
      <c r="RXE312" s="147"/>
      <c r="RXF312" s="147"/>
      <c r="RXG312" s="147"/>
      <c r="RXH312" s="147"/>
      <c r="RXI312" s="147"/>
      <c r="RXJ312" s="147"/>
      <c r="RXK312" s="147"/>
      <c r="RXL312" s="147"/>
      <c r="RXM312" s="147"/>
      <c r="RXN312" s="147"/>
      <c r="RXO312" s="147"/>
      <c r="RXP312" s="147"/>
      <c r="RXQ312" s="147"/>
      <c r="RXR312" s="147"/>
      <c r="RXS312" s="147"/>
      <c r="RXT312" s="147"/>
      <c r="RXU312" s="147"/>
      <c r="RXV312" s="147"/>
      <c r="RXW312" s="147"/>
      <c r="RXX312" s="147"/>
      <c r="RXY312" s="147"/>
      <c r="RXZ312" s="147"/>
      <c r="RYA312" s="147"/>
      <c r="RYB312" s="147"/>
      <c r="RYC312" s="147"/>
      <c r="RYD312" s="147"/>
      <c r="RYE312" s="147"/>
      <c r="RYF312" s="147"/>
      <c r="RYG312" s="147"/>
      <c r="RYH312" s="147"/>
      <c r="RYI312" s="147"/>
      <c r="RYJ312" s="147"/>
      <c r="RYK312" s="147"/>
      <c r="RYL312" s="147"/>
      <c r="RYM312" s="147"/>
      <c r="RYN312" s="147"/>
      <c r="RYO312" s="147"/>
      <c r="RYP312" s="147"/>
      <c r="RYQ312" s="147"/>
      <c r="RYR312" s="147"/>
      <c r="RYS312" s="147"/>
      <c r="RYT312" s="147"/>
      <c r="RYU312" s="147"/>
      <c r="RYV312" s="147"/>
      <c r="RYW312" s="147"/>
      <c r="RYX312" s="147"/>
      <c r="RYY312" s="147"/>
      <c r="RYZ312" s="147"/>
      <c r="RZA312" s="147"/>
      <c r="RZB312" s="147"/>
      <c r="RZC312" s="147"/>
      <c r="RZD312" s="147"/>
      <c r="RZE312" s="147"/>
      <c r="RZF312" s="147"/>
      <c r="RZG312" s="147"/>
      <c r="RZH312" s="147"/>
      <c r="RZI312" s="147"/>
      <c r="RZJ312" s="147"/>
      <c r="RZK312" s="147"/>
      <c r="RZL312" s="147"/>
      <c r="RZM312" s="147"/>
      <c r="RZN312" s="147"/>
      <c r="RZO312" s="147"/>
      <c r="RZP312" s="147"/>
      <c r="RZQ312" s="147"/>
      <c r="RZR312" s="147"/>
      <c r="RZS312" s="147"/>
      <c r="RZT312" s="147"/>
      <c r="RZU312" s="147"/>
      <c r="RZV312" s="147"/>
      <c r="RZW312" s="147"/>
      <c r="RZX312" s="147"/>
      <c r="RZY312" s="147"/>
      <c r="RZZ312" s="147"/>
      <c r="SAA312" s="147"/>
      <c r="SAB312" s="147"/>
      <c r="SAC312" s="147"/>
      <c r="SAD312" s="147"/>
      <c r="SAE312" s="147"/>
      <c r="SAF312" s="147"/>
      <c r="SAG312" s="147"/>
      <c r="SAH312" s="147"/>
      <c r="SAI312" s="147"/>
      <c r="SAJ312" s="147"/>
      <c r="SAK312" s="147"/>
      <c r="SAL312" s="147"/>
      <c r="SAM312" s="147"/>
      <c r="SAN312" s="147"/>
      <c r="SAO312" s="147"/>
      <c r="SAP312" s="147"/>
      <c r="SAQ312" s="147"/>
      <c r="SAR312" s="147"/>
      <c r="SAS312" s="147"/>
      <c r="SAT312" s="147"/>
      <c r="SAU312" s="147"/>
      <c r="SAV312" s="147"/>
      <c r="SAW312" s="147"/>
      <c r="SAX312" s="147"/>
      <c r="SAY312" s="147"/>
      <c r="SAZ312" s="147"/>
      <c r="SBA312" s="147"/>
      <c r="SBB312" s="147"/>
      <c r="SBC312" s="147"/>
      <c r="SBD312" s="147"/>
      <c r="SBE312" s="147"/>
      <c r="SBF312" s="147"/>
      <c r="SBG312" s="147"/>
      <c r="SBH312" s="147"/>
      <c r="SBI312" s="147"/>
      <c r="SBJ312" s="147"/>
      <c r="SBK312" s="147"/>
      <c r="SBL312" s="147"/>
      <c r="SBM312" s="147"/>
      <c r="SBN312" s="147"/>
      <c r="SBO312" s="147"/>
      <c r="SBP312" s="147"/>
      <c r="SBQ312" s="147"/>
      <c r="SBR312" s="147"/>
      <c r="SBS312" s="147"/>
      <c r="SBT312" s="147"/>
      <c r="SBU312" s="147"/>
      <c r="SBV312" s="147"/>
      <c r="SBW312" s="147"/>
      <c r="SBX312" s="147"/>
      <c r="SBY312" s="147"/>
      <c r="SBZ312" s="147"/>
      <c r="SCA312" s="147"/>
      <c r="SCB312" s="147"/>
      <c r="SCC312" s="147"/>
      <c r="SCD312" s="147"/>
      <c r="SCE312" s="147"/>
      <c r="SCF312" s="147"/>
      <c r="SCG312" s="147"/>
      <c r="SCH312" s="147"/>
      <c r="SCI312" s="147"/>
      <c r="SCJ312" s="147"/>
      <c r="SCK312" s="147"/>
      <c r="SCL312" s="147"/>
      <c r="SCM312" s="147"/>
      <c r="SCN312" s="147"/>
      <c r="SCO312" s="147"/>
      <c r="SCP312" s="147"/>
      <c r="SCQ312" s="147"/>
      <c r="SCR312" s="147"/>
      <c r="SCS312" s="147"/>
      <c r="SCT312" s="147"/>
      <c r="SCU312" s="147"/>
      <c r="SCV312" s="147"/>
      <c r="SCW312" s="147"/>
      <c r="SCX312" s="147"/>
      <c r="SCY312" s="147"/>
      <c r="SCZ312" s="147"/>
      <c r="SDA312" s="147"/>
      <c r="SDB312" s="147"/>
      <c r="SDC312" s="147"/>
      <c r="SDD312" s="147"/>
      <c r="SDE312" s="147"/>
      <c r="SDF312" s="147"/>
      <c r="SDG312" s="147"/>
      <c r="SDH312" s="147"/>
      <c r="SDI312" s="147"/>
      <c r="SDJ312" s="147"/>
      <c r="SDK312" s="147"/>
      <c r="SDL312" s="147"/>
      <c r="SDM312" s="147"/>
      <c r="SDN312" s="147"/>
      <c r="SDO312" s="147"/>
      <c r="SDP312" s="147"/>
      <c r="SDQ312" s="147"/>
      <c r="SDR312" s="147"/>
      <c r="SDS312" s="147"/>
      <c r="SDT312" s="147"/>
      <c r="SDU312" s="147"/>
      <c r="SDV312" s="147"/>
      <c r="SDW312" s="147"/>
      <c r="SDX312" s="147"/>
      <c r="SDY312" s="147"/>
      <c r="SDZ312" s="147"/>
      <c r="SEA312" s="147"/>
      <c r="SEB312" s="147"/>
      <c r="SEC312" s="147"/>
      <c r="SED312" s="147"/>
      <c r="SEE312" s="147"/>
      <c r="SEF312" s="147"/>
      <c r="SEG312" s="147"/>
      <c r="SEH312" s="147"/>
      <c r="SEI312" s="147"/>
      <c r="SEJ312" s="147"/>
      <c r="SEK312" s="147"/>
      <c r="SEL312" s="147"/>
      <c r="SEM312" s="147"/>
      <c r="SEN312" s="147"/>
      <c r="SEO312" s="147"/>
      <c r="SEP312" s="147"/>
      <c r="SEQ312" s="147"/>
      <c r="SER312" s="147"/>
      <c r="SES312" s="147"/>
      <c r="SET312" s="147"/>
      <c r="SEU312" s="147"/>
      <c r="SEV312" s="147"/>
      <c r="SEW312" s="147"/>
      <c r="SEX312" s="147"/>
      <c r="SEY312" s="147"/>
      <c r="SEZ312" s="147"/>
      <c r="SFA312" s="147"/>
      <c r="SFB312" s="147"/>
      <c r="SFC312" s="147"/>
      <c r="SFD312" s="147"/>
      <c r="SFE312" s="147"/>
      <c r="SFF312" s="147"/>
      <c r="SFG312" s="147"/>
      <c r="SFH312" s="147"/>
      <c r="SFI312" s="147"/>
      <c r="SFJ312" s="147"/>
      <c r="SFK312" s="147"/>
      <c r="SFL312" s="147"/>
      <c r="SFM312" s="147"/>
      <c r="SFN312" s="147"/>
      <c r="SFO312" s="147"/>
      <c r="SFP312" s="147"/>
      <c r="SFQ312" s="147"/>
      <c r="SFR312" s="147"/>
      <c r="SFS312" s="147"/>
      <c r="SFT312" s="147"/>
      <c r="SFU312" s="147"/>
      <c r="SFV312" s="147"/>
      <c r="SFW312" s="147"/>
      <c r="SFX312" s="147"/>
      <c r="SFY312" s="147"/>
      <c r="SFZ312" s="147"/>
      <c r="SGA312" s="147"/>
      <c r="SGB312" s="147"/>
      <c r="SGC312" s="147"/>
      <c r="SGD312" s="147"/>
      <c r="SGE312" s="147"/>
      <c r="SGF312" s="147"/>
      <c r="SGG312" s="147"/>
      <c r="SGH312" s="147"/>
      <c r="SGI312" s="147"/>
      <c r="SGJ312" s="147"/>
      <c r="SGK312" s="147"/>
      <c r="SGL312" s="147"/>
      <c r="SGM312" s="147"/>
      <c r="SGN312" s="147"/>
      <c r="SGO312" s="147"/>
      <c r="SGP312" s="147"/>
      <c r="SGQ312" s="147"/>
      <c r="SGR312" s="147"/>
      <c r="SGS312" s="147"/>
      <c r="SGT312" s="147"/>
      <c r="SGU312" s="147"/>
      <c r="SGV312" s="147"/>
      <c r="SGW312" s="147"/>
      <c r="SGX312" s="147"/>
      <c r="SGY312" s="147"/>
      <c r="SGZ312" s="147"/>
      <c r="SHA312" s="147"/>
      <c r="SHB312" s="147"/>
      <c r="SHC312" s="147"/>
      <c r="SHD312" s="147"/>
      <c r="SHE312" s="147"/>
      <c r="SHF312" s="147"/>
      <c r="SHG312" s="147"/>
      <c r="SHH312" s="147"/>
      <c r="SHI312" s="147"/>
      <c r="SHJ312" s="147"/>
      <c r="SHK312" s="147"/>
      <c r="SHL312" s="147"/>
      <c r="SHM312" s="147"/>
      <c r="SHN312" s="147"/>
      <c r="SHO312" s="147"/>
      <c r="SHP312" s="147"/>
      <c r="SHQ312" s="147"/>
      <c r="SHR312" s="147"/>
      <c r="SHS312" s="147"/>
      <c r="SHT312" s="147"/>
      <c r="SHU312" s="147"/>
      <c r="SHV312" s="147"/>
      <c r="SHW312" s="147"/>
      <c r="SHX312" s="147"/>
      <c r="SHY312" s="147"/>
      <c r="SHZ312" s="147"/>
      <c r="SIA312" s="147"/>
      <c r="SIB312" s="147"/>
      <c r="SIC312" s="147"/>
      <c r="SID312" s="147"/>
      <c r="SIE312" s="147"/>
      <c r="SIF312" s="147"/>
      <c r="SIG312" s="147"/>
      <c r="SIH312" s="147"/>
      <c r="SII312" s="147"/>
      <c r="SIJ312" s="147"/>
      <c r="SIK312" s="147"/>
      <c r="SIL312" s="147"/>
      <c r="SIM312" s="147"/>
      <c r="SIN312" s="147"/>
      <c r="SIO312" s="147"/>
      <c r="SIP312" s="147"/>
      <c r="SIQ312" s="147"/>
      <c r="SIR312" s="147"/>
      <c r="SIS312" s="147"/>
      <c r="SIT312" s="147"/>
      <c r="SIU312" s="147"/>
      <c r="SIV312" s="147"/>
      <c r="SIW312" s="147"/>
      <c r="SIX312" s="147"/>
      <c r="SIY312" s="147"/>
      <c r="SIZ312" s="147"/>
      <c r="SJA312" s="147"/>
      <c r="SJB312" s="147"/>
      <c r="SJC312" s="147"/>
      <c r="SJD312" s="147"/>
      <c r="SJE312" s="147"/>
      <c r="SJF312" s="147"/>
      <c r="SJG312" s="147"/>
      <c r="SJH312" s="147"/>
      <c r="SJI312" s="147"/>
      <c r="SJJ312" s="147"/>
      <c r="SJK312" s="147"/>
      <c r="SJL312" s="147"/>
      <c r="SJM312" s="147"/>
      <c r="SJN312" s="147"/>
      <c r="SJO312" s="147"/>
      <c r="SJP312" s="147"/>
      <c r="SJQ312" s="147"/>
      <c r="SJR312" s="147"/>
      <c r="SJS312" s="147"/>
      <c r="SJT312" s="147"/>
      <c r="SJU312" s="147"/>
      <c r="SJV312" s="147"/>
      <c r="SJW312" s="147"/>
      <c r="SJX312" s="147"/>
      <c r="SJY312" s="147"/>
      <c r="SJZ312" s="147"/>
      <c r="SKA312" s="147"/>
      <c r="SKB312" s="147"/>
      <c r="SKC312" s="147"/>
      <c r="SKD312" s="147"/>
      <c r="SKE312" s="147"/>
      <c r="SKF312" s="147"/>
      <c r="SKG312" s="147"/>
      <c r="SKH312" s="147"/>
      <c r="SKI312" s="147"/>
      <c r="SKJ312" s="147"/>
      <c r="SKK312" s="147"/>
      <c r="SKL312" s="147"/>
      <c r="SKM312" s="147"/>
      <c r="SKN312" s="147"/>
      <c r="SKO312" s="147"/>
      <c r="SKP312" s="147"/>
      <c r="SKQ312" s="147"/>
      <c r="SKR312" s="147"/>
      <c r="SKS312" s="147"/>
      <c r="SKT312" s="147"/>
      <c r="SKU312" s="147"/>
      <c r="SKV312" s="147"/>
      <c r="SKW312" s="147"/>
      <c r="SKX312" s="147"/>
      <c r="SKY312" s="147"/>
      <c r="SKZ312" s="147"/>
      <c r="SLA312" s="147"/>
      <c r="SLB312" s="147"/>
      <c r="SLC312" s="147"/>
      <c r="SLD312" s="147"/>
      <c r="SLE312" s="147"/>
      <c r="SLF312" s="147"/>
      <c r="SLG312" s="147"/>
      <c r="SLH312" s="147"/>
      <c r="SLI312" s="147"/>
      <c r="SLJ312" s="147"/>
      <c r="SLK312" s="147"/>
      <c r="SLL312" s="147"/>
      <c r="SLM312" s="147"/>
      <c r="SLN312" s="147"/>
      <c r="SLO312" s="147"/>
      <c r="SLP312" s="147"/>
      <c r="SLQ312" s="147"/>
      <c r="SLR312" s="147"/>
      <c r="SLS312" s="147"/>
      <c r="SLT312" s="147"/>
      <c r="SLU312" s="147"/>
      <c r="SLV312" s="147"/>
      <c r="SLW312" s="147"/>
      <c r="SLX312" s="147"/>
      <c r="SLY312" s="147"/>
      <c r="SLZ312" s="147"/>
      <c r="SMA312" s="147"/>
      <c r="SMB312" s="147"/>
      <c r="SMC312" s="147"/>
      <c r="SMD312" s="147"/>
      <c r="SME312" s="147"/>
      <c r="SMF312" s="147"/>
      <c r="SMG312" s="147"/>
      <c r="SMH312" s="147"/>
      <c r="SMI312" s="147"/>
      <c r="SMJ312" s="147"/>
      <c r="SMK312" s="147"/>
      <c r="SML312" s="147"/>
      <c r="SMM312" s="147"/>
      <c r="SMN312" s="147"/>
      <c r="SMO312" s="147"/>
      <c r="SMP312" s="147"/>
      <c r="SMQ312" s="147"/>
      <c r="SMR312" s="147"/>
      <c r="SMS312" s="147"/>
      <c r="SMT312" s="147"/>
      <c r="SMU312" s="147"/>
      <c r="SMV312" s="147"/>
      <c r="SMW312" s="147"/>
      <c r="SMX312" s="147"/>
      <c r="SMY312" s="147"/>
      <c r="SMZ312" s="147"/>
      <c r="SNA312" s="147"/>
      <c r="SNB312" s="147"/>
      <c r="SNC312" s="147"/>
      <c r="SND312" s="147"/>
      <c r="SNE312" s="147"/>
      <c r="SNF312" s="147"/>
      <c r="SNG312" s="147"/>
      <c r="SNH312" s="147"/>
      <c r="SNI312" s="147"/>
      <c r="SNJ312" s="147"/>
      <c r="SNK312" s="147"/>
      <c r="SNL312" s="147"/>
      <c r="SNM312" s="147"/>
      <c r="SNN312" s="147"/>
      <c r="SNO312" s="147"/>
      <c r="SNP312" s="147"/>
      <c r="SNQ312" s="147"/>
      <c r="SNR312" s="147"/>
      <c r="SNS312" s="147"/>
      <c r="SNT312" s="147"/>
      <c r="SNU312" s="147"/>
      <c r="SNV312" s="147"/>
      <c r="SNW312" s="147"/>
      <c r="SNX312" s="147"/>
      <c r="SNY312" s="147"/>
      <c r="SNZ312" s="147"/>
      <c r="SOA312" s="147"/>
      <c r="SOB312" s="147"/>
      <c r="SOC312" s="147"/>
      <c r="SOD312" s="147"/>
      <c r="SOE312" s="147"/>
      <c r="SOF312" s="147"/>
      <c r="SOG312" s="147"/>
      <c r="SOH312" s="147"/>
      <c r="SOI312" s="147"/>
      <c r="SOJ312" s="147"/>
      <c r="SOK312" s="147"/>
      <c r="SOL312" s="147"/>
      <c r="SOM312" s="147"/>
      <c r="SON312" s="147"/>
      <c r="SOO312" s="147"/>
      <c r="SOP312" s="147"/>
      <c r="SOQ312" s="147"/>
      <c r="SOR312" s="147"/>
      <c r="SOS312" s="147"/>
      <c r="SOT312" s="147"/>
      <c r="SOU312" s="147"/>
      <c r="SOV312" s="147"/>
      <c r="SOW312" s="147"/>
      <c r="SOX312" s="147"/>
      <c r="SOY312" s="147"/>
      <c r="SOZ312" s="147"/>
      <c r="SPA312" s="147"/>
      <c r="SPB312" s="147"/>
      <c r="SPC312" s="147"/>
      <c r="SPD312" s="147"/>
      <c r="SPE312" s="147"/>
      <c r="SPF312" s="147"/>
      <c r="SPG312" s="147"/>
      <c r="SPH312" s="147"/>
      <c r="SPI312" s="147"/>
      <c r="SPJ312" s="147"/>
      <c r="SPK312" s="147"/>
      <c r="SPL312" s="147"/>
      <c r="SPM312" s="147"/>
      <c r="SPN312" s="147"/>
      <c r="SPO312" s="147"/>
      <c r="SPP312" s="147"/>
      <c r="SPQ312" s="147"/>
      <c r="SPR312" s="147"/>
      <c r="SPS312" s="147"/>
      <c r="SPT312" s="147"/>
      <c r="SPU312" s="147"/>
      <c r="SPV312" s="147"/>
      <c r="SPW312" s="147"/>
      <c r="SPX312" s="147"/>
      <c r="SPY312" s="147"/>
      <c r="SPZ312" s="147"/>
      <c r="SQA312" s="147"/>
      <c r="SQB312" s="147"/>
      <c r="SQC312" s="147"/>
      <c r="SQD312" s="147"/>
      <c r="SQE312" s="147"/>
      <c r="SQF312" s="147"/>
      <c r="SQG312" s="147"/>
      <c r="SQH312" s="147"/>
      <c r="SQI312" s="147"/>
      <c r="SQJ312" s="147"/>
      <c r="SQK312" s="147"/>
      <c r="SQL312" s="147"/>
      <c r="SQM312" s="147"/>
      <c r="SQN312" s="147"/>
      <c r="SQO312" s="147"/>
      <c r="SQP312" s="147"/>
      <c r="SQQ312" s="147"/>
      <c r="SQR312" s="147"/>
      <c r="SQS312" s="147"/>
      <c r="SQT312" s="147"/>
      <c r="SQU312" s="147"/>
      <c r="SQV312" s="147"/>
      <c r="SQW312" s="147"/>
      <c r="SQX312" s="147"/>
      <c r="SQY312" s="147"/>
      <c r="SQZ312" s="147"/>
      <c r="SRA312" s="147"/>
      <c r="SRB312" s="147"/>
      <c r="SRC312" s="147"/>
      <c r="SRD312" s="147"/>
      <c r="SRE312" s="147"/>
      <c r="SRF312" s="147"/>
      <c r="SRG312" s="147"/>
      <c r="SRH312" s="147"/>
      <c r="SRI312" s="147"/>
      <c r="SRJ312" s="147"/>
      <c r="SRK312" s="147"/>
      <c r="SRL312" s="147"/>
      <c r="SRM312" s="147"/>
      <c r="SRN312" s="147"/>
      <c r="SRO312" s="147"/>
      <c r="SRP312" s="147"/>
      <c r="SRQ312" s="147"/>
      <c r="SRR312" s="147"/>
      <c r="SRS312" s="147"/>
      <c r="SRT312" s="147"/>
      <c r="SRU312" s="147"/>
      <c r="SRV312" s="147"/>
      <c r="SRW312" s="147"/>
      <c r="SRX312" s="147"/>
      <c r="SRY312" s="147"/>
      <c r="SRZ312" s="147"/>
      <c r="SSA312" s="147"/>
      <c r="SSB312" s="147"/>
      <c r="SSC312" s="147"/>
      <c r="SSD312" s="147"/>
      <c r="SSE312" s="147"/>
      <c r="SSF312" s="147"/>
      <c r="SSG312" s="147"/>
      <c r="SSH312" s="147"/>
      <c r="SSI312" s="147"/>
      <c r="SSJ312" s="147"/>
      <c r="SSK312" s="147"/>
      <c r="SSL312" s="147"/>
      <c r="SSM312" s="147"/>
      <c r="SSN312" s="147"/>
      <c r="SSO312" s="147"/>
      <c r="SSP312" s="147"/>
      <c r="SSQ312" s="147"/>
      <c r="SSR312" s="147"/>
      <c r="SSS312" s="147"/>
      <c r="SST312" s="147"/>
      <c r="SSU312" s="147"/>
      <c r="SSV312" s="147"/>
      <c r="SSW312" s="147"/>
      <c r="SSX312" s="147"/>
      <c r="SSY312" s="147"/>
      <c r="SSZ312" s="147"/>
      <c r="STA312" s="147"/>
      <c r="STB312" s="147"/>
      <c r="STC312" s="147"/>
      <c r="STD312" s="147"/>
      <c r="STE312" s="147"/>
      <c r="STF312" s="147"/>
      <c r="STG312" s="147"/>
      <c r="STH312" s="147"/>
      <c r="STI312" s="147"/>
      <c r="STJ312" s="147"/>
      <c r="STK312" s="147"/>
      <c r="STL312" s="147"/>
      <c r="STM312" s="147"/>
      <c r="STN312" s="147"/>
      <c r="STO312" s="147"/>
      <c r="STP312" s="147"/>
      <c r="STQ312" s="147"/>
      <c r="STR312" s="147"/>
      <c r="STS312" s="147"/>
      <c r="STT312" s="147"/>
      <c r="STU312" s="147"/>
      <c r="STV312" s="147"/>
      <c r="STW312" s="147"/>
      <c r="STX312" s="147"/>
      <c r="STY312" s="147"/>
      <c r="STZ312" s="147"/>
      <c r="SUA312" s="147"/>
      <c r="SUB312" s="147"/>
      <c r="SUC312" s="147"/>
      <c r="SUD312" s="147"/>
      <c r="SUE312" s="147"/>
      <c r="SUF312" s="147"/>
      <c r="SUG312" s="147"/>
      <c r="SUH312" s="147"/>
      <c r="SUI312" s="147"/>
      <c r="SUJ312" s="147"/>
      <c r="SUK312" s="147"/>
      <c r="SUL312" s="147"/>
      <c r="SUM312" s="147"/>
      <c r="SUN312" s="147"/>
      <c r="SUO312" s="147"/>
      <c r="SUP312" s="147"/>
      <c r="SUQ312" s="147"/>
      <c r="SUR312" s="147"/>
      <c r="SUS312" s="147"/>
      <c r="SUT312" s="147"/>
      <c r="SUU312" s="147"/>
      <c r="SUV312" s="147"/>
      <c r="SUW312" s="147"/>
      <c r="SUX312" s="147"/>
      <c r="SUY312" s="147"/>
      <c r="SUZ312" s="147"/>
      <c r="SVA312" s="147"/>
      <c r="SVB312" s="147"/>
      <c r="SVC312" s="147"/>
      <c r="SVD312" s="147"/>
      <c r="SVE312" s="147"/>
      <c r="SVF312" s="147"/>
      <c r="SVG312" s="147"/>
      <c r="SVH312" s="147"/>
      <c r="SVI312" s="147"/>
      <c r="SVJ312" s="147"/>
      <c r="SVK312" s="147"/>
      <c r="SVL312" s="147"/>
      <c r="SVM312" s="147"/>
      <c r="SVN312" s="147"/>
      <c r="SVO312" s="147"/>
      <c r="SVP312" s="147"/>
      <c r="SVQ312" s="147"/>
      <c r="SVR312" s="147"/>
      <c r="SVS312" s="147"/>
      <c r="SVT312" s="147"/>
      <c r="SVU312" s="147"/>
      <c r="SVV312" s="147"/>
      <c r="SVW312" s="147"/>
      <c r="SVX312" s="147"/>
      <c r="SVY312" s="147"/>
      <c r="SVZ312" s="147"/>
      <c r="SWA312" s="147"/>
      <c r="SWB312" s="147"/>
      <c r="SWC312" s="147"/>
      <c r="SWD312" s="147"/>
      <c r="SWE312" s="147"/>
      <c r="SWF312" s="147"/>
      <c r="SWG312" s="147"/>
      <c r="SWH312" s="147"/>
      <c r="SWI312" s="147"/>
      <c r="SWJ312" s="147"/>
      <c r="SWK312" s="147"/>
      <c r="SWL312" s="147"/>
      <c r="SWM312" s="147"/>
      <c r="SWN312" s="147"/>
      <c r="SWO312" s="147"/>
      <c r="SWP312" s="147"/>
      <c r="SWQ312" s="147"/>
      <c r="SWR312" s="147"/>
      <c r="SWS312" s="147"/>
      <c r="SWT312" s="147"/>
      <c r="SWU312" s="147"/>
      <c r="SWV312" s="147"/>
      <c r="SWW312" s="147"/>
      <c r="SWX312" s="147"/>
      <c r="SWY312" s="147"/>
      <c r="SWZ312" s="147"/>
      <c r="SXA312" s="147"/>
      <c r="SXB312" s="147"/>
      <c r="SXC312" s="147"/>
      <c r="SXD312" s="147"/>
      <c r="SXE312" s="147"/>
      <c r="SXF312" s="147"/>
      <c r="SXG312" s="147"/>
      <c r="SXH312" s="147"/>
      <c r="SXI312" s="147"/>
      <c r="SXJ312" s="147"/>
      <c r="SXK312" s="147"/>
      <c r="SXL312" s="147"/>
      <c r="SXM312" s="147"/>
      <c r="SXN312" s="147"/>
      <c r="SXO312" s="147"/>
      <c r="SXP312" s="147"/>
      <c r="SXQ312" s="147"/>
      <c r="SXR312" s="147"/>
      <c r="SXS312" s="147"/>
      <c r="SXT312" s="147"/>
      <c r="SXU312" s="147"/>
      <c r="SXV312" s="147"/>
      <c r="SXW312" s="147"/>
      <c r="SXX312" s="147"/>
      <c r="SXY312" s="147"/>
      <c r="SXZ312" s="147"/>
      <c r="SYA312" s="147"/>
      <c r="SYB312" s="147"/>
      <c r="SYC312" s="147"/>
      <c r="SYD312" s="147"/>
      <c r="SYE312" s="147"/>
      <c r="SYF312" s="147"/>
      <c r="SYG312" s="147"/>
      <c r="SYH312" s="147"/>
      <c r="SYI312" s="147"/>
      <c r="SYJ312" s="147"/>
      <c r="SYK312" s="147"/>
      <c r="SYL312" s="147"/>
      <c r="SYM312" s="147"/>
      <c r="SYN312" s="147"/>
      <c r="SYO312" s="147"/>
      <c r="SYP312" s="147"/>
      <c r="SYQ312" s="147"/>
      <c r="SYR312" s="147"/>
      <c r="SYS312" s="147"/>
      <c r="SYT312" s="147"/>
      <c r="SYU312" s="147"/>
      <c r="SYV312" s="147"/>
      <c r="SYW312" s="147"/>
      <c r="SYX312" s="147"/>
      <c r="SYY312" s="147"/>
      <c r="SYZ312" s="147"/>
      <c r="SZA312" s="147"/>
      <c r="SZB312" s="147"/>
      <c r="SZC312" s="147"/>
      <c r="SZD312" s="147"/>
      <c r="SZE312" s="147"/>
      <c r="SZF312" s="147"/>
      <c r="SZG312" s="147"/>
      <c r="SZH312" s="147"/>
      <c r="SZI312" s="147"/>
      <c r="SZJ312" s="147"/>
      <c r="SZK312" s="147"/>
      <c r="SZL312" s="147"/>
      <c r="SZM312" s="147"/>
      <c r="SZN312" s="147"/>
      <c r="SZO312" s="147"/>
      <c r="SZP312" s="147"/>
      <c r="SZQ312" s="147"/>
      <c r="SZR312" s="147"/>
      <c r="SZS312" s="147"/>
      <c r="SZT312" s="147"/>
      <c r="SZU312" s="147"/>
      <c r="SZV312" s="147"/>
      <c r="SZW312" s="147"/>
      <c r="SZX312" s="147"/>
      <c r="SZY312" s="147"/>
      <c r="SZZ312" s="147"/>
      <c r="TAA312" s="147"/>
      <c r="TAB312" s="147"/>
      <c r="TAC312" s="147"/>
      <c r="TAD312" s="147"/>
      <c r="TAE312" s="147"/>
      <c r="TAF312" s="147"/>
      <c r="TAG312" s="147"/>
      <c r="TAH312" s="147"/>
      <c r="TAI312" s="147"/>
      <c r="TAJ312" s="147"/>
      <c r="TAK312" s="147"/>
      <c r="TAL312" s="147"/>
      <c r="TAM312" s="147"/>
      <c r="TAN312" s="147"/>
      <c r="TAO312" s="147"/>
      <c r="TAP312" s="147"/>
      <c r="TAQ312" s="147"/>
      <c r="TAR312" s="147"/>
      <c r="TAS312" s="147"/>
      <c r="TAT312" s="147"/>
      <c r="TAU312" s="147"/>
      <c r="TAV312" s="147"/>
      <c r="TAW312" s="147"/>
      <c r="TAX312" s="147"/>
      <c r="TAY312" s="147"/>
      <c r="TAZ312" s="147"/>
      <c r="TBA312" s="147"/>
      <c r="TBB312" s="147"/>
      <c r="TBC312" s="147"/>
      <c r="TBD312" s="147"/>
      <c r="TBE312" s="147"/>
      <c r="TBF312" s="147"/>
      <c r="TBG312" s="147"/>
      <c r="TBH312" s="147"/>
      <c r="TBI312" s="147"/>
      <c r="TBJ312" s="147"/>
      <c r="TBK312" s="147"/>
      <c r="TBL312" s="147"/>
      <c r="TBM312" s="147"/>
      <c r="TBN312" s="147"/>
      <c r="TBO312" s="147"/>
      <c r="TBP312" s="147"/>
      <c r="TBQ312" s="147"/>
      <c r="TBR312" s="147"/>
      <c r="TBS312" s="147"/>
      <c r="TBT312" s="147"/>
      <c r="TBU312" s="147"/>
      <c r="TBV312" s="147"/>
      <c r="TBW312" s="147"/>
      <c r="TBX312" s="147"/>
      <c r="TBY312" s="147"/>
      <c r="TBZ312" s="147"/>
      <c r="TCA312" s="147"/>
      <c r="TCB312" s="147"/>
      <c r="TCC312" s="147"/>
      <c r="TCD312" s="147"/>
      <c r="TCE312" s="147"/>
      <c r="TCF312" s="147"/>
      <c r="TCG312" s="147"/>
      <c r="TCH312" s="147"/>
      <c r="TCI312" s="147"/>
      <c r="TCJ312" s="147"/>
      <c r="TCK312" s="147"/>
      <c r="TCL312" s="147"/>
      <c r="TCM312" s="147"/>
      <c r="TCN312" s="147"/>
      <c r="TCO312" s="147"/>
      <c r="TCP312" s="147"/>
      <c r="TCQ312" s="147"/>
      <c r="TCR312" s="147"/>
      <c r="TCS312" s="147"/>
      <c r="TCT312" s="147"/>
      <c r="TCU312" s="147"/>
      <c r="TCV312" s="147"/>
      <c r="TCW312" s="147"/>
      <c r="TCX312" s="147"/>
      <c r="TCY312" s="147"/>
      <c r="TCZ312" s="147"/>
      <c r="TDA312" s="147"/>
      <c r="TDB312" s="147"/>
      <c r="TDC312" s="147"/>
      <c r="TDD312" s="147"/>
      <c r="TDE312" s="147"/>
      <c r="TDF312" s="147"/>
      <c r="TDG312" s="147"/>
      <c r="TDH312" s="147"/>
      <c r="TDI312" s="147"/>
      <c r="TDJ312" s="147"/>
      <c r="TDK312" s="147"/>
      <c r="TDL312" s="147"/>
      <c r="TDM312" s="147"/>
      <c r="TDN312" s="147"/>
      <c r="TDO312" s="147"/>
      <c r="TDP312" s="147"/>
      <c r="TDQ312" s="147"/>
      <c r="TDR312" s="147"/>
      <c r="TDS312" s="147"/>
      <c r="TDT312" s="147"/>
      <c r="TDU312" s="147"/>
      <c r="TDV312" s="147"/>
      <c r="TDW312" s="147"/>
      <c r="TDX312" s="147"/>
      <c r="TDY312" s="147"/>
      <c r="TDZ312" s="147"/>
      <c r="TEA312" s="147"/>
      <c r="TEB312" s="147"/>
      <c r="TEC312" s="147"/>
      <c r="TED312" s="147"/>
      <c r="TEE312" s="147"/>
      <c r="TEF312" s="147"/>
      <c r="TEG312" s="147"/>
      <c r="TEH312" s="147"/>
      <c r="TEI312" s="147"/>
      <c r="TEJ312" s="147"/>
      <c r="TEK312" s="147"/>
      <c r="TEL312" s="147"/>
      <c r="TEM312" s="147"/>
      <c r="TEN312" s="147"/>
      <c r="TEO312" s="147"/>
      <c r="TEP312" s="147"/>
      <c r="TEQ312" s="147"/>
      <c r="TER312" s="147"/>
      <c r="TES312" s="147"/>
      <c r="TET312" s="147"/>
      <c r="TEU312" s="147"/>
      <c r="TEV312" s="147"/>
      <c r="TEW312" s="147"/>
      <c r="TEX312" s="147"/>
      <c r="TEY312" s="147"/>
      <c r="TEZ312" s="147"/>
      <c r="TFA312" s="147"/>
      <c r="TFB312" s="147"/>
      <c r="TFC312" s="147"/>
      <c r="TFD312" s="147"/>
      <c r="TFE312" s="147"/>
      <c r="TFF312" s="147"/>
      <c r="TFG312" s="147"/>
      <c r="TFH312" s="147"/>
      <c r="TFI312" s="147"/>
      <c r="TFJ312" s="147"/>
      <c r="TFK312" s="147"/>
      <c r="TFL312" s="147"/>
      <c r="TFM312" s="147"/>
      <c r="TFN312" s="147"/>
      <c r="TFO312" s="147"/>
      <c r="TFP312" s="147"/>
      <c r="TFQ312" s="147"/>
      <c r="TFR312" s="147"/>
      <c r="TFS312" s="147"/>
      <c r="TFT312" s="147"/>
      <c r="TFU312" s="147"/>
      <c r="TFV312" s="147"/>
      <c r="TFW312" s="147"/>
      <c r="TFX312" s="147"/>
      <c r="TFY312" s="147"/>
      <c r="TFZ312" s="147"/>
      <c r="TGA312" s="147"/>
      <c r="TGB312" s="147"/>
      <c r="TGC312" s="147"/>
      <c r="TGD312" s="147"/>
      <c r="TGE312" s="147"/>
      <c r="TGF312" s="147"/>
      <c r="TGG312" s="147"/>
      <c r="TGH312" s="147"/>
      <c r="TGI312" s="147"/>
      <c r="TGJ312" s="147"/>
      <c r="TGK312" s="147"/>
      <c r="TGL312" s="147"/>
      <c r="TGM312" s="147"/>
      <c r="TGN312" s="147"/>
      <c r="TGO312" s="147"/>
      <c r="TGP312" s="147"/>
      <c r="TGQ312" s="147"/>
      <c r="TGR312" s="147"/>
      <c r="TGS312" s="147"/>
      <c r="TGT312" s="147"/>
      <c r="TGU312" s="147"/>
      <c r="TGV312" s="147"/>
      <c r="TGW312" s="147"/>
      <c r="TGX312" s="147"/>
      <c r="TGY312" s="147"/>
      <c r="TGZ312" s="147"/>
      <c r="THA312" s="147"/>
      <c r="THB312" s="147"/>
      <c r="THC312" s="147"/>
      <c r="THD312" s="147"/>
      <c r="THE312" s="147"/>
      <c r="THF312" s="147"/>
      <c r="THG312" s="147"/>
      <c r="THH312" s="147"/>
      <c r="THI312" s="147"/>
      <c r="THJ312" s="147"/>
      <c r="THK312" s="147"/>
      <c r="THL312" s="147"/>
      <c r="THM312" s="147"/>
      <c r="THN312" s="147"/>
      <c r="THO312" s="147"/>
      <c r="THP312" s="147"/>
      <c r="THQ312" s="147"/>
      <c r="THR312" s="147"/>
      <c r="THS312" s="147"/>
      <c r="THT312" s="147"/>
      <c r="THU312" s="147"/>
      <c r="THV312" s="147"/>
      <c r="THW312" s="147"/>
      <c r="THX312" s="147"/>
      <c r="THY312" s="147"/>
      <c r="THZ312" s="147"/>
      <c r="TIA312" s="147"/>
      <c r="TIB312" s="147"/>
      <c r="TIC312" s="147"/>
      <c r="TID312" s="147"/>
      <c r="TIE312" s="147"/>
      <c r="TIF312" s="147"/>
      <c r="TIG312" s="147"/>
      <c r="TIH312" s="147"/>
      <c r="TII312" s="147"/>
      <c r="TIJ312" s="147"/>
      <c r="TIK312" s="147"/>
      <c r="TIL312" s="147"/>
      <c r="TIM312" s="147"/>
      <c r="TIN312" s="147"/>
      <c r="TIO312" s="147"/>
      <c r="TIP312" s="147"/>
      <c r="TIQ312" s="147"/>
      <c r="TIR312" s="147"/>
      <c r="TIS312" s="147"/>
      <c r="TIT312" s="147"/>
      <c r="TIU312" s="147"/>
      <c r="TIV312" s="147"/>
      <c r="TIW312" s="147"/>
      <c r="TIX312" s="147"/>
      <c r="TIY312" s="147"/>
      <c r="TIZ312" s="147"/>
      <c r="TJA312" s="147"/>
      <c r="TJB312" s="147"/>
      <c r="TJC312" s="147"/>
      <c r="TJD312" s="147"/>
      <c r="TJE312" s="147"/>
      <c r="TJF312" s="147"/>
      <c r="TJG312" s="147"/>
      <c r="TJH312" s="147"/>
      <c r="TJI312" s="147"/>
      <c r="TJJ312" s="147"/>
      <c r="TJK312" s="147"/>
      <c r="TJL312" s="147"/>
      <c r="TJM312" s="147"/>
      <c r="TJN312" s="147"/>
      <c r="TJO312" s="147"/>
      <c r="TJP312" s="147"/>
      <c r="TJQ312" s="147"/>
      <c r="TJR312" s="147"/>
      <c r="TJS312" s="147"/>
      <c r="TJT312" s="147"/>
      <c r="TJU312" s="147"/>
      <c r="TJV312" s="147"/>
      <c r="TJW312" s="147"/>
      <c r="TJX312" s="147"/>
      <c r="TJY312" s="147"/>
      <c r="TJZ312" s="147"/>
      <c r="TKA312" s="147"/>
      <c r="TKB312" s="147"/>
      <c r="TKC312" s="147"/>
      <c r="TKD312" s="147"/>
      <c r="TKE312" s="147"/>
      <c r="TKF312" s="147"/>
      <c r="TKG312" s="147"/>
      <c r="TKH312" s="147"/>
      <c r="TKI312" s="147"/>
      <c r="TKJ312" s="147"/>
      <c r="TKK312" s="147"/>
      <c r="TKL312" s="147"/>
      <c r="TKM312" s="147"/>
      <c r="TKN312" s="147"/>
      <c r="TKO312" s="147"/>
      <c r="TKP312" s="147"/>
      <c r="TKQ312" s="147"/>
      <c r="TKR312" s="147"/>
      <c r="TKS312" s="147"/>
      <c r="TKT312" s="147"/>
      <c r="TKU312" s="147"/>
      <c r="TKV312" s="147"/>
      <c r="TKW312" s="147"/>
      <c r="TKX312" s="147"/>
      <c r="TKY312" s="147"/>
      <c r="TKZ312" s="147"/>
      <c r="TLA312" s="147"/>
      <c r="TLB312" s="147"/>
      <c r="TLC312" s="147"/>
      <c r="TLD312" s="147"/>
      <c r="TLE312" s="147"/>
      <c r="TLF312" s="147"/>
      <c r="TLG312" s="147"/>
      <c r="TLH312" s="147"/>
      <c r="TLI312" s="147"/>
      <c r="TLJ312" s="147"/>
      <c r="TLK312" s="147"/>
      <c r="TLL312" s="147"/>
      <c r="TLM312" s="147"/>
      <c r="TLN312" s="147"/>
      <c r="TLO312" s="147"/>
      <c r="TLP312" s="147"/>
      <c r="TLQ312" s="147"/>
      <c r="TLR312" s="147"/>
      <c r="TLS312" s="147"/>
      <c r="TLT312" s="147"/>
      <c r="TLU312" s="147"/>
      <c r="TLV312" s="147"/>
      <c r="TLW312" s="147"/>
      <c r="TLX312" s="147"/>
      <c r="TLY312" s="147"/>
      <c r="TLZ312" s="147"/>
      <c r="TMA312" s="147"/>
      <c r="TMB312" s="147"/>
      <c r="TMC312" s="147"/>
      <c r="TMD312" s="147"/>
      <c r="TME312" s="147"/>
      <c r="TMF312" s="147"/>
      <c r="TMG312" s="147"/>
      <c r="TMH312" s="147"/>
      <c r="TMI312" s="147"/>
      <c r="TMJ312" s="147"/>
      <c r="TMK312" s="147"/>
      <c r="TML312" s="147"/>
      <c r="TMM312" s="147"/>
      <c r="TMN312" s="147"/>
      <c r="TMO312" s="147"/>
      <c r="TMP312" s="147"/>
      <c r="TMQ312" s="147"/>
      <c r="TMR312" s="147"/>
      <c r="TMS312" s="147"/>
      <c r="TMT312" s="147"/>
      <c r="TMU312" s="147"/>
      <c r="TMV312" s="147"/>
      <c r="TMW312" s="147"/>
      <c r="TMX312" s="147"/>
      <c r="TMY312" s="147"/>
      <c r="TMZ312" s="147"/>
      <c r="TNA312" s="147"/>
      <c r="TNB312" s="147"/>
      <c r="TNC312" s="147"/>
      <c r="TND312" s="147"/>
      <c r="TNE312" s="147"/>
      <c r="TNF312" s="147"/>
      <c r="TNG312" s="147"/>
      <c r="TNH312" s="147"/>
      <c r="TNI312" s="147"/>
      <c r="TNJ312" s="147"/>
      <c r="TNK312" s="147"/>
      <c r="TNL312" s="147"/>
      <c r="TNM312" s="147"/>
      <c r="TNN312" s="147"/>
      <c r="TNO312" s="147"/>
      <c r="TNP312" s="147"/>
      <c r="TNQ312" s="147"/>
      <c r="TNR312" s="147"/>
      <c r="TNS312" s="147"/>
      <c r="TNT312" s="147"/>
      <c r="TNU312" s="147"/>
      <c r="TNV312" s="147"/>
      <c r="TNW312" s="147"/>
      <c r="TNX312" s="147"/>
      <c r="TNY312" s="147"/>
      <c r="TNZ312" s="147"/>
      <c r="TOA312" s="147"/>
      <c r="TOB312" s="147"/>
      <c r="TOC312" s="147"/>
      <c r="TOD312" s="147"/>
      <c r="TOE312" s="147"/>
      <c r="TOF312" s="147"/>
      <c r="TOG312" s="147"/>
      <c r="TOH312" s="147"/>
      <c r="TOI312" s="147"/>
      <c r="TOJ312" s="147"/>
      <c r="TOK312" s="147"/>
      <c r="TOL312" s="147"/>
      <c r="TOM312" s="147"/>
      <c r="TON312" s="147"/>
      <c r="TOO312" s="147"/>
      <c r="TOP312" s="147"/>
      <c r="TOQ312" s="147"/>
      <c r="TOR312" s="147"/>
      <c r="TOS312" s="147"/>
      <c r="TOT312" s="147"/>
      <c r="TOU312" s="147"/>
      <c r="TOV312" s="147"/>
      <c r="TOW312" s="147"/>
      <c r="TOX312" s="147"/>
      <c r="TOY312" s="147"/>
      <c r="TOZ312" s="147"/>
      <c r="TPA312" s="147"/>
      <c r="TPB312" s="147"/>
      <c r="TPC312" s="147"/>
      <c r="TPD312" s="147"/>
      <c r="TPE312" s="147"/>
      <c r="TPF312" s="147"/>
      <c r="TPG312" s="147"/>
      <c r="TPH312" s="147"/>
      <c r="TPI312" s="147"/>
      <c r="TPJ312" s="147"/>
      <c r="TPK312" s="147"/>
      <c r="TPL312" s="147"/>
      <c r="TPM312" s="147"/>
      <c r="TPN312" s="147"/>
      <c r="TPO312" s="147"/>
      <c r="TPP312" s="147"/>
      <c r="TPQ312" s="147"/>
      <c r="TPR312" s="147"/>
      <c r="TPS312" s="147"/>
      <c r="TPT312" s="147"/>
      <c r="TPU312" s="147"/>
      <c r="TPV312" s="147"/>
      <c r="TPW312" s="147"/>
      <c r="TPX312" s="147"/>
      <c r="TPY312" s="147"/>
      <c r="TPZ312" s="147"/>
      <c r="TQA312" s="147"/>
      <c r="TQB312" s="147"/>
      <c r="TQC312" s="147"/>
      <c r="TQD312" s="147"/>
      <c r="TQE312" s="147"/>
      <c r="TQF312" s="147"/>
      <c r="TQG312" s="147"/>
      <c r="TQH312" s="147"/>
      <c r="TQI312" s="147"/>
      <c r="TQJ312" s="147"/>
      <c r="TQK312" s="147"/>
      <c r="TQL312" s="147"/>
      <c r="TQM312" s="147"/>
      <c r="TQN312" s="147"/>
      <c r="TQO312" s="147"/>
      <c r="TQP312" s="147"/>
      <c r="TQQ312" s="147"/>
      <c r="TQR312" s="147"/>
      <c r="TQS312" s="147"/>
      <c r="TQT312" s="147"/>
      <c r="TQU312" s="147"/>
      <c r="TQV312" s="147"/>
      <c r="TQW312" s="147"/>
      <c r="TQX312" s="147"/>
      <c r="TQY312" s="147"/>
      <c r="TQZ312" s="147"/>
      <c r="TRA312" s="147"/>
      <c r="TRB312" s="147"/>
      <c r="TRC312" s="147"/>
      <c r="TRD312" s="147"/>
      <c r="TRE312" s="147"/>
      <c r="TRF312" s="147"/>
      <c r="TRG312" s="147"/>
      <c r="TRH312" s="147"/>
      <c r="TRI312" s="147"/>
      <c r="TRJ312" s="147"/>
      <c r="TRK312" s="147"/>
      <c r="TRL312" s="147"/>
      <c r="TRM312" s="147"/>
      <c r="TRN312" s="147"/>
      <c r="TRO312" s="147"/>
      <c r="TRP312" s="147"/>
      <c r="TRQ312" s="147"/>
      <c r="TRR312" s="147"/>
      <c r="TRS312" s="147"/>
      <c r="TRT312" s="147"/>
      <c r="TRU312" s="147"/>
      <c r="TRV312" s="147"/>
      <c r="TRW312" s="147"/>
      <c r="TRX312" s="147"/>
      <c r="TRY312" s="147"/>
      <c r="TRZ312" s="147"/>
      <c r="TSA312" s="147"/>
      <c r="TSB312" s="147"/>
      <c r="TSC312" s="147"/>
      <c r="TSD312" s="147"/>
      <c r="TSE312" s="147"/>
      <c r="TSF312" s="147"/>
      <c r="TSG312" s="147"/>
      <c r="TSH312" s="147"/>
      <c r="TSI312" s="147"/>
      <c r="TSJ312" s="147"/>
      <c r="TSK312" s="147"/>
      <c r="TSL312" s="147"/>
      <c r="TSM312" s="147"/>
      <c r="TSN312" s="147"/>
      <c r="TSO312" s="147"/>
      <c r="TSP312" s="147"/>
      <c r="TSQ312" s="147"/>
      <c r="TSR312" s="147"/>
      <c r="TSS312" s="147"/>
      <c r="TST312" s="147"/>
      <c r="TSU312" s="147"/>
      <c r="TSV312" s="147"/>
      <c r="TSW312" s="147"/>
      <c r="TSX312" s="147"/>
      <c r="TSY312" s="147"/>
      <c r="TSZ312" s="147"/>
      <c r="TTA312" s="147"/>
      <c r="TTB312" s="147"/>
      <c r="TTC312" s="147"/>
      <c r="TTD312" s="147"/>
      <c r="TTE312" s="147"/>
      <c r="TTF312" s="147"/>
      <c r="TTG312" s="147"/>
      <c r="TTH312" s="147"/>
      <c r="TTI312" s="147"/>
      <c r="TTJ312" s="147"/>
      <c r="TTK312" s="147"/>
      <c r="TTL312" s="147"/>
      <c r="TTM312" s="147"/>
      <c r="TTN312" s="147"/>
      <c r="TTO312" s="147"/>
      <c r="TTP312" s="147"/>
      <c r="TTQ312" s="147"/>
      <c r="TTR312" s="147"/>
      <c r="TTS312" s="147"/>
      <c r="TTT312" s="147"/>
      <c r="TTU312" s="147"/>
      <c r="TTV312" s="147"/>
      <c r="TTW312" s="147"/>
      <c r="TTX312" s="147"/>
      <c r="TTY312" s="147"/>
      <c r="TTZ312" s="147"/>
      <c r="TUA312" s="147"/>
      <c r="TUB312" s="147"/>
      <c r="TUC312" s="147"/>
      <c r="TUD312" s="147"/>
      <c r="TUE312" s="147"/>
      <c r="TUF312" s="147"/>
      <c r="TUG312" s="147"/>
      <c r="TUH312" s="147"/>
      <c r="TUI312" s="147"/>
      <c r="TUJ312" s="147"/>
      <c r="TUK312" s="147"/>
      <c r="TUL312" s="147"/>
      <c r="TUM312" s="147"/>
      <c r="TUN312" s="147"/>
      <c r="TUO312" s="147"/>
      <c r="TUP312" s="147"/>
      <c r="TUQ312" s="147"/>
      <c r="TUR312" s="147"/>
      <c r="TUS312" s="147"/>
      <c r="TUT312" s="147"/>
      <c r="TUU312" s="147"/>
      <c r="TUV312" s="147"/>
      <c r="TUW312" s="147"/>
      <c r="TUX312" s="147"/>
      <c r="TUY312" s="147"/>
      <c r="TUZ312" s="147"/>
      <c r="TVA312" s="147"/>
      <c r="TVB312" s="147"/>
      <c r="TVC312" s="147"/>
      <c r="TVD312" s="147"/>
      <c r="TVE312" s="147"/>
      <c r="TVF312" s="147"/>
      <c r="TVG312" s="147"/>
      <c r="TVH312" s="147"/>
      <c r="TVI312" s="147"/>
      <c r="TVJ312" s="147"/>
      <c r="TVK312" s="147"/>
      <c r="TVL312" s="147"/>
      <c r="TVM312" s="147"/>
      <c r="TVN312" s="147"/>
      <c r="TVO312" s="147"/>
      <c r="TVP312" s="147"/>
      <c r="TVQ312" s="147"/>
      <c r="TVR312" s="147"/>
      <c r="TVS312" s="147"/>
      <c r="TVT312" s="147"/>
      <c r="TVU312" s="147"/>
      <c r="TVV312" s="147"/>
      <c r="TVW312" s="147"/>
      <c r="TVX312" s="147"/>
      <c r="TVY312" s="147"/>
      <c r="TVZ312" s="147"/>
      <c r="TWA312" s="147"/>
      <c r="TWB312" s="147"/>
      <c r="TWC312" s="147"/>
      <c r="TWD312" s="147"/>
      <c r="TWE312" s="147"/>
      <c r="TWF312" s="147"/>
      <c r="TWG312" s="147"/>
      <c r="TWH312" s="147"/>
      <c r="TWI312" s="147"/>
      <c r="TWJ312" s="147"/>
      <c r="TWK312" s="147"/>
      <c r="TWL312" s="147"/>
      <c r="TWM312" s="147"/>
      <c r="TWN312" s="147"/>
      <c r="TWO312" s="147"/>
      <c r="TWP312" s="147"/>
      <c r="TWQ312" s="147"/>
      <c r="TWR312" s="147"/>
      <c r="TWS312" s="147"/>
      <c r="TWT312" s="147"/>
      <c r="TWU312" s="147"/>
      <c r="TWV312" s="147"/>
      <c r="TWW312" s="147"/>
      <c r="TWX312" s="147"/>
      <c r="TWY312" s="147"/>
      <c r="TWZ312" s="147"/>
      <c r="TXA312" s="147"/>
      <c r="TXB312" s="147"/>
      <c r="TXC312" s="147"/>
      <c r="TXD312" s="147"/>
      <c r="TXE312" s="147"/>
      <c r="TXF312" s="147"/>
      <c r="TXG312" s="147"/>
      <c r="TXH312" s="147"/>
      <c r="TXI312" s="147"/>
      <c r="TXJ312" s="147"/>
      <c r="TXK312" s="147"/>
      <c r="TXL312" s="147"/>
      <c r="TXM312" s="147"/>
      <c r="TXN312" s="147"/>
      <c r="TXO312" s="147"/>
      <c r="TXP312" s="147"/>
      <c r="TXQ312" s="147"/>
      <c r="TXR312" s="147"/>
      <c r="TXS312" s="147"/>
      <c r="TXT312" s="147"/>
      <c r="TXU312" s="147"/>
      <c r="TXV312" s="147"/>
      <c r="TXW312" s="147"/>
      <c r="TXX312" s="147"/>
      <c r="TXY312" s="147"/>
      <c r="TXZ312" s="147"/>
      <c r="TYA312" s="147"/>
      <c r="TYB312" s="147"/>
      <c r="TYC312" s="147"/>
      <c r="TYD312" s="147"/>
      <c r="TYE312" s="147"/>
      <c r="TYF312" s="147"/>
      <c r="TYG312" s="147"/>
      <c r="TYH312" s="147"/>
      <c r="TYI312" s="147"/>
      <c r="TYJ312" s="147"/>
      <c r="TYK312" s="147"/>
      <c r="TYL312" s="147"/>
      <c r="TYM312" s="147"/>
      <c r="TYN312" s="147"/>
      <c r="TYO312" s="147"/>
      <c r="TYP312" s="147"/>
      <c r="TYQ312" s="147"/>
      <c r="TYR312" s="147"/>
      <c r="TYS312" s="147"/>
      <c r="TYT312" s="147"/>
      <c r="TYU312" s="147"/>
      <c r="TYV312" s="147"/>
      <c r="TYW312" s="147"/>
      <c r="TYX312" s="147"/>
      <c r="TYY312" s="147"/>
      <c r="TYZ312" s="147"/>
      <c r="TZA312" s="147"/>
      <c r="TZB312" s="147"/>
      <c r="TZC312" s="147"/>
      <c r="TZD312" s="147"/>
      <c r="TZE312" s="147"/>
      <c r="TZF312" s="147"/>
      <c r="TZG312" s="147"/>
      <c r="TZH312" s="147"/>
      <c r="TZI312" s="147"/>
      <c r="TZJ312" s="147"/>
      <c r="TZK312" s="147"/>
      <c r="TZL312" s="147"/>
      <c r="TZM312" s="147"/>
      <c r="TZN312" s="147"/>
      <c r="TZO312" s="147"/>
      <c r="TZP312" s="147"/>
      <c r="TZQ312" s="147"/>
      <c r="TZR312" s="147"/>
      <c r="TZS312" s="147"/>
      <c r="TZT312" s="147"/>
      <c r="TZU312" s="147"/>
      <c r="TZV312" s="147"/>
      <c r="TZW312" s="147"/>
      <c r="TZX312" s="147"/>
      <c r="TZY312" s="147"/>
      <c r="TZZ312" s="147"/>
      <c r="UAA312" s="147"/>
      <c r="UAB312" s="147"/>
      <c r="UAC312" s="147"/>
      <c r="UAD312" s="147"/>
      <c r="UAE312" s="147"/>
      <c r="UAF312" s="147"/>
      <c r="UAG312" s="147"/>
      <c r="UAH312" s="147"/>
      <c r="UAI312" s="147"/>
      <c r="UAJ312" s="147"/>
      <c r="UAK312" s="147"/>
      <c r="UAL312" s="147"/>
      <c r="UAM312" s="147"/>
      <c r="UAN312" s="147"/>
      <c r="UAO312" s="147"/>
      <c r="UAP312" s="147"/>
      <c r="UAQ312" s="147"/>
      <c r="UAR312" s="147"/>
      <c r="UAS312" s="147"/>
      <c r="UAT312" s="147"/>
      <c r="UAU312" s="147"/>
      <c r="UAV312" s="147"/>
      <c r="UAW312" s="147"/>
      <c r="UAX312" s="147"/>
      <c r="UAY312" s="147"/>
      <c r="UAZ312" s="147"/>
      <c r="UBA312" s="147"/>
      <c r="UBB312" s="147"/>
      <c r="UBC312" s="147"/>
      <c r="UBD312" s="147"/>
      <c r="UBE312" s="147"/>
      <c r="UBF312" s="147"/>
      <c r="UBG312" s="147"/>
      <c r="UBH312" s="147"/>
      <c r="UBI312" s="147"/>
      <c r="UBJ312" s="147"/>
      <c r="UBK312" s="147"/>
      <c r="UBL312" s="147"/>
      <c r="UBM312" s="147"/>
      <c r="UBN312" s="147"/>
      <c r="UBO312" s="147"/>
      <c r="UBP312" s="147"/>
      <c r="UBQ312" s="147"/>
      <c r="UBR312" s="147"/>
      <c r="UBS312" s="147"/>
      <c r="UBT312" s="147"/>
      <c r="UBU312" s="147"/>
      <c r="UBV312" s="147"/>
      <c r="UBW312" s="147"/>
      <c r="UBX312" s="147"/>
      <c r="UBY312" s="147"/>
      <c r="UBZ312" s="147"/>
      <c r="UCA312" s="147"/>
      <c r="UCB312" s="147"/>
      <c r="UCC312" s="147"/>
      <c r="UCD312" s="147"/>
      <c r="UCE312" s="147"/>
      <c r="UCF312" s="147"/>
      <c r="UCG312" s="147"/>
      <c r="UCH312" s="147"/>
      <c r="UCI312" s="147"/>
      <c r="UCJ312" s="147"/>
      <c r="UCK312" s="147"/>
      <c r="UCL312" s="147"/>
      <c r="UCM312" s="147"/>
      <c r="UCN312" s="147"/>
      <c r="UCO312" s="147"/>
      <c r="UCP312" s="147"/>
      <c r="UCQ312" s="147"/>
      <c r="UCR312" s="147"/>
      <c r="UCS312" s="147"/>
      <c r="UCT312" s="147"/>
      <c r="UCU312" s="147"/>
      <c r="UCV312" s="147"/>
      <c r="UCW312" s="147"/>
      <c r="UCX312" s="147"/>
      <c r="UCY312" s="147"/>
      <c r="UCZ312" s="147"/>
      <c r="UDA312" s="147"/>
      <c r="UDB312" s="147"/>
      <c r="UDC312" s="147"/>
      <c r="UDD312" s="147"/>
      <c r="UDE312" s="147"/>
      <c r="UDF312" s="147"/>
      <c r="UDG312" s="147"/>
      <c r="UDH312" s="147"/>
      <c r="UDI312" s="147"/>
      <c r="UDJ312" s="147"/>
      <c r="UDK312" s="147"/>
      <c r="UDL312" s="147"/>
      <c r="UDM312" s="147"/>
      <c r="UDN312" s="147"/>
      <c r="UDO312" s="147"/>
      <c r="UDP312" s="147"/>
      <c r="UDQ312" s="147"/>
      <c r="UDR312" s="147"/>
      <c r="UDS312" s="147"/>
      <c r="UDT312" s="147"/>
      <c r="UDU312" s="147"/>
      <c r="UDV312" s="147"/>
      <c r="UDW312" s="147"/>
      <c r="UDX312" s="147"/>
      <c r="UDY312" s="147"/>
      <c r="UDZ312" s="147"/>
      <c r="UEA312" s="147"/>
      <c r="UEB312" s="147"/>
      <c r="UEC312" s="147"/>
      <c r="UED312" s="147"/>
      <c r="UEE312" s="147"/>
      <c r="UEF312" s="147"/>
      <c r="UEG312" s="147"/>
      <c r="UEH312" s="147"/>
      <c r="UEI312" s="147"/>
      <c r="UEJ312" s="147"/>
      <c r="UEK312" s="147"/>
      <c r="UEL312" s="147"/>
      <c r="UEM312" s="147"/>
      <c r="UEN312" s="147"/>
      <c r="UEO312" s="147"/>
      <c r="UEP312" s="147"/>
      <c r="UEQ312" s="147"/>
      <c r="UER312" s="147"/>
      <c r="UES312" s="147"/>
      <c r="UET312" s="147"/>
      <c r="UEU312" s="147"/>
      <c r="UEV312" s="147"/>
      <c r="UEW312" s="147"/>
      <c r="UEX312" s="147"/>
      <c r="UEY312" s="147"/>
      <c r="UEZ312" s="147"/>
      <c r="UFA312" s="147"/>
      <c r="UFB312" s="147"/>
      <c r="UFC312" s="147"/>
      <c r="UFD312" s="147"/>
      <c r="UFE312" s="147"/>
      <c r="UFF312" s="147"/>
      <c r="UFG312" s="147"/>
      <c r="UFH312" s="147"/>
      <c r="UFI312" s="147"/>
      <c r="UFJ312" s="147"/>
      <c r="UFK312" s="147"/>
      <c r="UFL312" s="147"/>
      <c r="UFM312" s="147"/>
      <c r="UFN312" s="147"/>
      <c r="UFO312" s="147"/>
      <c r="UFP312" s="147"/>
      <c r="UFQ312" s="147"/>
      <c r="UFR312" s="147"/>
      <c r="UFS312" s="147"/>
      <c r="UFT312" s="147"/>
      <c r="UFU312" s="147"/>
      <c r="UFV312" s="147"/>
      <c r="UFW312" s="147"/>
      <c r="UFX312" s="147"/>
      <c r="UFY312" s="147"/>
      <c r="UFZ312" s="147"/>
      <c r="UGA312" s="147"/>
      <c r="UGB312" s="147"/>
      <c r="UGC312" s="147"/>
      <c r="UGD312" s="147"/>
      <c r="UGE312" s="147"/>
      <c r="UGF312" s="147"/>
      <c r="UGG312" s="147"/>
      <c r="UGH312" s="147"/>
      <c r="UGI312" s="147"/>
      <c r="UGJ312" s="147"/>
      <c r="UGK312" s="147"/>
      <c r="UGL312" s="147"/>
      <c r="UGM312" s="147"/>
      <c r="UGN312" s="147"/>
      <c r="UGO312" s="147"/>
      <c r="UGP312" s="147"/>
      <c r="UGQ312" s="147"/>
      <c r="UGR312" s="147"/>
      <c r="UGS312" s="147"/>
      <c r="UGT312" s="147"/>
      <c r="UGU312" s="147"/>
      <c r="UGV312" s="147"/>
      <c r="UGW312" s="147"/>
      <c r="UGX312" s="147"/>
      <c r="UGY312" s="147"/>
      <c r="UGZ312" s="147"/>
      <c r="UHA312" s="147"/>
      <c r="UHB312" s="147"/>
      <c r="UHC312" s="147"/>
      <c r="UHD312" s="147"/>
      <c r="UHE312" s="147"/>
      <c r="UHF312" s="147"/>
      <c r="UHG312" s="147"/>
      <c r="UHH312" s="147"/>
      <c r="UHI312" s="147"/>
      <c r="UHJ312" s="147"/>
      <c r="UHK312" s="147"/>
      <c r="UHL312" s="147"/>
      <c r="UHM312" s="147"/>
      <c r="UHN312" s="147"/>
      <c r="UHO312" s="147"/>
      <c r="UHP312" s="147"/>
      <c r="UHQ312" s="147"/>
      <c r="UHR312" s="147"/>
      <c r="UHS312" s="147"/>
      <c r="UHT312" s="147"/>
      <c r="UHU312" s="147"/>
      <c r="UHV312" s="147"/>
      <c r="UHW312" s="147"/>
      <c r="UHX312" s="147"/>
      <c r="UHY312" s="147"/>
      <c r="UHZ312" s="147"/>
      <c r="UIA312" s="147"/>
      <c r="UIB312" s="147"/>
      <c r="UIC312" s="147"/>
      <c r="UID312" s="147"/>
      <c r="UIE312" s="147"/>
      <c r="UIF312" s="147"/>
      <c r="UIG312" s="147"/>
      <c r="UIH312" s="147"/>
      <c r="UII312" s="147"/>
      <c r="UIJ312" s="147"/>
      <c r="UIK312" s="147"/>
      <c r="UIL312" s="147"/>
      <c r="UIM312" s="147"/>
      <c r="UIN312" s="147"/>
      <c r="UIO312" s="147"/>
      <c r="UIP312" s="147"/>
      <c r="UIQ312" s="147"/>
      <c r="UIR312" s="147"/>
      <c r="UIS312" s="147"/>
      <c r="UIT312" s="147"/>
      <c r="UIU312" s="147"/>
      <c r="UIV312" s="147"/>
      <c r="UIW312" s="147"/>
      <c r="UIX312" s="147"/>
      <c r="UIY312" s="147"/>
      <c r="UIZ312" s="147"/>
      <c r="UJA312" s="147"/>
      <c r="UJB312" s="147"/>
      <c r="UJC312" s="147"/>
      <c r="UJD312" s="147"/>
      <c r="UJE312" s="147"/>
      <c r="UJF312" s="147"/>
      <c r="UJG312" s="147"/>
      <c r="UJH312" s="147"/>
      <c r="UJI312" s="147"/>
      <c r="UJJ312" s="147"/>
      <c r="UJK312" s="147"/>
      <c r="UJL312" s="147"/>
      <c r="UJM312" s="147"/>
      <c r="UJN312" s="147"/>
      <c r="UJO312" s="147"/>
      <c r="UJP312" s="147"/>
      <c r="UJQ312" s="147"/>
      <c r="UJR312" s="147"/>
      <c r="UJS312" s="147"/>
      <c r="UJT312" s="147"/>
      <c r="UJU312" s="147"/>
      <c r="UJV312" s="147"/>
      <c r="UJW312" s="147"/>
      <c r="UJX312" s="147"/>
      <c r="UJY312" s="147"/>
      <c r="UJZ312" s="147"/>
      <c r="UKA312" s="147"/>
      <c r="UKB312" s="147"/>
      <c r="UKC312" s="147"/>
      <c r="UKD312" s="147"/>
      <c r="UKE312" s="147"/>
      <c r="UKF312" s="147"/>
      <c r="UKG312" s="147"/>
      <c r="UKH312" s="147"/>
      <c r="UKI312" s="147"/>
      <c r="UKJ312" s="147"/>
      <c r="UKK312" s="147"/>
      <c r="UKL312" s="147"/>
      <c r="UKM312" s="147"/>
      <c r="UKN312" s="147"/>
      <c r="UKO312" s="147"/>
      <c r="UKP312" s="147"/>
      <c r="UKQ312" s="147"/>
      <c r="UKR312" s="147"/>
      <c r="UKS312" s="147"/>
      <c r="UKT312" s="147"/>
      <c r="UKU312" s="147"/>
      <c r="UKV312" s="147"/>
      <c r="UKW312" s="147"/>
      <c r="UKX312" s="147"/>
      <c r="UKY312" s="147"/>
      <c r="UKZ312" s="147"/>
      <c r="ULA312" s="147"/>
      <c r="ULB312" s="147"/>
      <c r="ULC312" s="147"/>
      <c r="ULD312" s="147"/>
      <c r="ULE312" s="147"/>
      <c r="ULF312" s="147"/>
      <c r="ULG312" s="147"/>
      <c r="ULH312" s="147"/>
      <c r="ULI312" s="147"/>
      <c r="ULJ312" s="147"/>
      <c r="ULK312" s="147"/>
      <c r="ULL312" s="147"/>
      <c r="ULM312" s="147"/>
      <c r="ULN312" s="147"/>
      <c r="ULO312" s="147"/>
      <c r="ULP312" s="147"/>
      <c r="ULQ312" s="147"/>
      <c r="ULR312" s="147"/>
      <c r="ULS312" s="147"/>
      <c r="ULT312" s="147"/>
      <c r="ULU312" s="147"/>
      <c r="ULV312" s="147"/>
      <c r="ULW312" s="147"/>
      <c r="ULX312" s="147"/>
      <c r="ULY312" s="147"/>
      <c r="ULZ312" s="147"/>
      <c r="UMA312" s="147"/>
      <c r="UMB312" s="147"/>
      <c r="UMC312" s="147"/>
      <c r="UMD312" s="147"/>
      <c r="UME312" s="147"/>
      <c r="UMF312" s="147"/>
      <c r="UMG312" s="147"/>
      <c r="UMH312" s="147"/>
      <c r="UMI312" s="147"/>
      <c r="UMJ312" s="147"/>
      <c r="UMK312" s="147"/>
      <c r="UML312" s="147"/>
      <c r="UMM312" s="147"/>
      <c r="UMN312" s="147"/>
      <c r="UMO312" s="147"/>
      <c r="UMP312" s="147"/>
      <c r="UMQ312" s="147"/>
      <c r="UMR312" s="147"/>
      <c r="UMS312" s="147"/>
      <c r="UMT312" s="147"/>
      <c r="UMU312" s="147"/>
      <c r="UMV312" s="147"/>
      <c r="UMW312" s="147"/>
      <c r="UMX312" s="147"/>
      <c r="UMY312" s="147"/>
      <c r="UMZ312" s="147"/>
      <c r="UNA312" s="147"/>
      <c r="UNB312" s="147"/>
      <c r="UNC312" s="147"/>
      <c r="UND312" s="147"/>
      <c r="UNE312" s="147"/>
      <c r="UNF312" s="147"/>
      <c r="UNG312" s="147"/>
      <c r="UNH312" s="147"/>
      <c r="UNI312" s="147"/>
      <c r="UNJ312" s="147"/>
      <c r="UNK312" s="147"/>
      <c r="UNL312" s="147"/>
      <c r="UNM312" s="147"/>
      <c r="UNN312" s="147"/>
      <c r="UNO312" s="147"/>
      <c r="UNP312" s="147"/>
      <c r="UNQ312" s="147"/>
      <c r="UNR312" s="147"/>
      <c r="UNS312" s="147"/>
      <c r="UNT312" s="147"/>
      <c r="UNU312" s="147"/>
      <c r="UNV312" s="147"/>
      <c r="UNW312" s="147"/>
      <c r="UNX312" s="147"/>
      <c r="UNY312" s="147"/>
      <c r="UNZ312" s="147"/>
      <c r="UOA312" s="147"/>
      <c r="UOB312" s="147"/>
      <c r="UOC312" s="147"/>
      <c r="UOD312" s="147"/>
      <c r="UOE312" s="147"/>
      <c r="UOF312" s="147"/>
      <c r="UOG312" s="147"/>
      <c r="UOH312" s="147"/>
      <c r="UOI312" s="147"/>
      <c r="UOJ312" s="147"/>
      <c r="UOK312" s="147"/>
      <c r="UOL312" s="147"/>
      <c r="UOM312" s="147"/>
      <c r="UON312" s="147"/>
      <c r="UOO312" s="147"/>
      <c r="UOP312" s="147"/>
      <c r="UOQ312" s="147"/>
      <c r="UOR312" s="147"/>
      <c r="UOS312" s="147"/>
      <c r="UOT312" s="147"/>
      <c r="UOU312" s="147"/>
      <c r="UOV312" s="147"/>
      <c r="UOW312" s="147"/>
      <c r="UOX312" s="147"/>
      <c r="UOY312" s="147"/>
      <c r="UOZ312" s="147"/>
      <c r="UPA312" s="147"/>
      <c r="UPB312" s="147"/>
      <c r="UPC312" s="147"/>
      <c r="UPD312" s="147"/>
      <c r="UPE312" s="147"/>
      <c r="UPF312" s="147"/>
      <c r="UPG312" s="147"/>
      <c r="UPH312" s="147"/>
      <c r="UPI312" s="147"/>
      <c r="UPJ312" s="147"/>
      <c r="UPK312" s="147"/>
      <c r="UPL312" s="147"/>
      <c r="UPM312" s="147"/>
      <c r="UPN312" s="147"/>
      <c r="UPO312" s="147"/>
      <c r="UPP312" s="147"/>
      <c r="UPQ312" s="147"/>
      <c r="UPR312" s="147"/>
      <c r="UPS312" s="147"/>
      <c r="UPT312" s="147"/>
      <c r="UPU312" s="147"/>
      <c r="UPV312" s="147"/>
      <c r="UPW312" s="147"/>
      <c r="UPX312" s="147"/>
      <c r="UPY312" s="147"/>
      <c r="UPZ312" s="147"/>
      <c r="UQA312" s="147"/>
      <c r="UQB312" s="147"/>
      <c r="UQC312" s="147"/>
      <c r="UQD312" s="147"/>
      <c r="UQE312" s="147"/>
      <c r="UQF312" s="147"/>
      <c r="UQG312" s="147"/>
      <c r="UQH312" s="147"/>
      <c r="UQI312" s="147"/>
      <c r="UQJ312" s="147"/>
      <c r="UQK312" s="147"/>
      <c r="UQL312" s="147"/>
      <c r="UQM312" s="147"/>
      <c r="UQN312" s="147"/>
      <c r="UQO312" s="147"/>
      <c r="UQP312" s="147"/>
      <c r="UQQ312" s="147"/>
      <c r="UQR312" s="147"/>
      <c r="UQS312" s="147"/>
      <c r="UQT312" s="147"/>
      <c r="UQU312" s="147"/>
      <c r="UQV312" s="147"/>
      <c r="UQW312" s="147"/>
      <c r="UQX312" s="147"/>
      <c r="UQY312" s="147"/>
      <c r="UQZ312" s="147"/>
      <c r="URA312" s="147"/>
      <c r="URB312" s="147"/>
      <c r="URC312" s="147"/>
      <c r="URD312" s="147"/>
      <c r="URE312" s="147"/>
      <c r="URF312" s="147"/>
      <c r="URG312" s="147"/>
      <c r="URH312" s="147"/>
      <c r="URI312" s="147"/>
      <c r="URJ312" s="147"/>
      <c r="URK312" s="147"/>
      <c r="URL312" s="147"/>
      <c r="URM312" s="147"/>
      <c r="URN312" s="147"/>
      <c r="URO312" s="147"/>
      <c r="URP312" s="147"/>
      <c r="URQ312" s="147"/>
      <c r="URR312" s="147"/>
      <c r="URS312" s="147"/>
      <c r="URT312" s="147"/>
      <c r="URU312" s="147"/>
      <c r="URV312" s="147"/>
      <c r="URW312" s="147"/>
      <c r="URX312" s="147"/>
      <c r="URY312" s="147"/>
      <c r="URZ312" s="147"/>
      <c r="USA312" s="147"/>
      <c r="USB312" s="147"/>
      <c r="USC312" s="147"/>
      <c r="USD312" s="147"/>
      <c r="USE312" s="147"/>
      <c r="USF312" s="147"/>
      <c r="USG312" s="147"/>
      <c r="USH312" s="147"/>
      <c r="USI312" s="147"/>
      <c r="USJ312" s="147"/>
      <c r="USK312" s="147"/>
      <c r="USL312" s="147"/>
      <c r="USM312" s="147"/>
      <c r="USN312" s="147"/>
      <c r="USO312" s="147"/>
      <c r="USP312" s="147"/>
      <c r="USQ312" s="147"/>
      <c r="USR312" s="147"/>
      <c r="USS312" s="147"/>
      <c r="UST312" s="147"/>
      <c r="USU312" s="147"/>
      <c r="USV312" s="147"/>
      <c r="USW312" s="147"/>
      <c r="USX312" s="147"/>
      <c r="USY312" s="147"/>
      <c r="USZ312" s="147"/>
      <c r="UTA312" s="147"/>
      <c r="UTB312" s="147"/>
      <c r="UTC312" s="147"/>
      <c r="UTD312" s="147"/>
      <c r="UTE312" s="147"/>
      <c r="UTF312" s="147"/>
      <c r="UTG312" s="147"/>
      <c r="UTH312" s="147"/>
      <c r="UTI312" s="147"/>
      <c r="UTJ312" s="147"/>
      <c r="UTK312" s="147"/>
      <c r="UTL312" s="147"/>
      <c r="UTM312" s="147"/>
      <c r="UTN312" s="147"/>
      <c r="UTO312" s="147"/>
      <c r="UTP312" s="147"/>
      <c r="UTQ312" s="147"/>
      <c r="UTR312" s="147"/>
      <c r="UTS312" s="147"/>
      <c r="UTT312" s="147"/>
      <c r="UTU312" s="147"/>
      <c r="UTV312" s="147"/>
      <c r="UTW312" s="147"/>
      <c r="UTX312" s="147"/>
      <c r="UTY312" s="147"/>
      <c r="UTZ312" s="147"/>
      <c r="UUA312" s="147"/>
      <c r="UUB312" s="147"/>
      <c r="UUC312" s="147"/>
      <c r="UUD312" s="147"/>
      <c r="UUE312" s="147"/>
      <c r="UUF312" s="147"/>
      <c r="UUG312" s="147"/>
      <c r="UUH312" s="147"/>
      <c r="UUI312" s="147"/>
      <c r="UUJ312" s="147"/>
      <c r="UUK312" s="147"/>
      <c r="UUL312" s="147"/>
      <c r="UUM312" s="147"/>
      <c r="UUN312" s="147"/>
      <c r="UUO312" s="147"/>
      <c r="UUP312" s="147"/>
      <c r="UUQ312" s="147"/>
      <c r="UUR312" s="147"/>
      <c r="UUS312" s="147"/>
      <c r="UUT312" s="147"/>
      <c r="UUU312" s="147"/>
      <c r="UUV312" s="147"/>
      <c r="UUW312" s="147"/>
      <c r="UUX312" s="147"/>
      <c r="UUY312" s="147"/>
      <c r="UUZ312" s="147"/>
      <c r="UVA312" s="147"/>
      <c r="UVB312" s="147"/>
      <c r="UVC312" s="147"/>
      <c r="UVD312" s="147"/>
      <c r="UVE312" s="147"/>
      <c r="UVF312" s="147"/>
      <c r="UVG312" s="147"/>
      <c r="UVH312" s="147"/>
      <c r="UVI312" s="147"/>
      <c r="UVJ312" s="147"/>
      <c r="UVK312" s="147"/>
      <c r="UVL312" s="147"/>
      <c r="UVM312" s="147"/>
      <c r="UVN312" s="147"/>
      <c r="UVO312" s="147"/>
      <c r="UVP312" s="147"/>
      <c r="UVQ312" s="147"/>
      <c r="UVR312" s="147"/>
      <c r="UVS312" s="147"/>
      <c r="UVT312" s="147"/>
      <c r="UVU312" s="147"/>
      <c r="UVV312" s="147"/>
      <c r="UVW312" s="147"/>
      <c r="UVX312" s="147"/>
      <c r="UVY312" s="147"/>
      <c r="UVZ312" s="147"/>
      <c r="UWA312" s="147"/>
      <c r="UWB312" s="147"/>
      <c r="UWC312" s="147"/>
      <c r="UWD312" s="147"/>
      <c r="UWE312" s="147"/>
      <c r="UWF312" s="147"/>
      <c r="UWG312" s="147"/>
      <c r="UWH312" s="147"/>
      <c r="UWI312" s="147"/>
      <c r="UWJ312" s="147"/>
      <c r="UWK312" s="147"/>
      <c r="UWL312" s="147"/>
      <c r="UWM312" s="147"/>
      <c r="UWN312" s="147"/>
      <c r="UWO312" s="147"/>
      <c r="UWP312" s="147"/>
      <c r="UWQ312" s="147"/>
      <c r="UWR312" s="147"/>
      <c r="UWS312" s="147"/>
      <c r="UWT312" s="147"/>
      <c r="UWU312" s="147"/>
      <c r="UWV312" s="147"/>
      <c r="UWW312" s="147"/>
      <c r="UWX312" s="147"/>
      <c r="UWY312" s="147"/>
      <c r="UWZ312" s="147"/>
      <c r="UXA312" s="147"/>
      <c r="UXB312" s="147"/>
      <c r="UXC312" s="147"/>
      <c r="UXD312" s="147"/>
      <c r="UXE312" s="147"/>
      <c r="UXF312" s="147"/>
      <c r="UXG312" s="147"/>
      <c r="UXH312" s="147"/>
      <c r="UXI312" s="147"/>
      <c r="UXJ312" s="147"/>
      <c r="UXK312" s="147"/>
      <c r="UXL312" s="147"/>
      <c r="UXM312" s="147"/>
      <c r="UXN312" s="147"/>
      <c r="UXO312" s="147"/>
      <c r="UXP312" s="147"/>
      <c r="UXQ312" s="147"/>
      <c r="UXR312" s="147"/>
      <c r="UXS312" s="147"/>
      <c r="UXT312" s="147"/>
      <c r="UXU312" s="147"/>
      <c r="UXV312" s="147"/>
      <c r="UXW312" s="147"/>
      <c r="UXX312" s="147"/>
      <c r="UXY312" s="147"/>
      <c r="UXZ312" s="147"/>
      <c r="UYA312" s="147"/>
      <c r="UYB312" s="147"/>
      <c r="UYC312" s="147"/>
      <c r="UYD312" s="147"/>
      <c r="UYE312" s="147"/>
      <c r="UYF312" s="147"/>
      <c r="UYG312" s="147"/>
      <c r="UYH312" s="147"/>
      <c r="UYI312" s="147"/>
      <c r="UYJ312" s="147"/>
      <c r="UYK312" s="147"/>
      <c r="UYL312" s="147"/>
      <c r="UYM312" s="147"/>
      <c r="UYN312" s="147"/>
      <c r="UYO312" s="147"/>
      <c r="UYP312" s="147"/>
      <c r="UYQ312" s="147"/>
      <c r="UYR312" s="147"/>
      <c r="UYS312" s="147"/>
      <c r="UYT312" s="147"/>
      <c r="UYU312" s="147"/>
      <c r="UYV312" s="147"/>
      <c r="UYW312" s="147"/>
      <c r="UYX312" s="147"/>
      <c r="UYY312" s="147"/>
      <c r="UYZ312" s="147"/>
      <c r="UZA312" s="147"/>
      <c r="UZB312" s="147"/>
      <c r="UZC312" s="147"/>
      <c r="UZD312" s="147"/>
      <c r="UZE312" s="147"/>
      <c r="UZF312" s="147"/>
      <c r="UZG312" s="147"/>
      <c r="UZH312" s="147"/>
      <c r="UZI312" s="147"/>
      <c r="UZJ312" s="147"/>
      <c r="UZK312" s="147"/>
      <c r="UZL312" s="147"/>
      <c r="UZM312" s="147"/>
      <c r="UZN312" s="147"/>
      <c r="UZO312" s="147"/>
      <c r="UZP312" s="147"/>
      <c r="UZQ312" s="147"/>
      <c r="UZR312" s="147"/>
      <c r="UZS312" s="147"/>
      <c r="UZT312" s="147"/>
      <c r="UZU312" s="147"/>
      <c r="UZV312" s="147"/>
      <c r="UZW312" s="147"/>
      <c r="UZX312" s="147"/>
      <c r="UZY312" s="147"/>
      <c r="UZZ312" s="147"/>
      <c r="VAA312" s="147"/>
      <c r="VAB312" s="147"/>
      <c r="VAC312" s="147"/>
      <c r="VAD312" s="147"/>
      <c r="VAE312" s="147"/>
      <c r="VAF312" s="147"/>
      <c r="VAG312" s="147"/>
      <c r="VAH312" s="147"/>
      <c r="VAI312" s="147"/>
      <c r="VAJ312" s="147"/>
      <c r="VAK312" s="147"/>
      <c r="VAL312" s="147"/>
      <c r="VAM312" s="147"/>
      <c r="VAN312" s="147"/>
      <c r="VAO312" s="147"/>
      <c r="VAP312" s="147"/>
      <c r="VAQ312" s="147"/>
      <c r="VAR312" s="147"/>
      <c r="VAS312" s="147"/>
      <c r="VAT312" s="147"/>
      <c r="VAU312" s="147"/>
      <c r="VAV312" s="147"/>
      <c r="VAW312" s="147"/>
      <c r="VAX312" s="147"/>
      <c r="VAY312" s="147"/>
      <c r="VAZ312" s="147"/>
      <c r="VBA312" s="147"/>
      <c r="VBB312" s="147"/>
      <c r="VBC312" s="147"/>
      <c r="VBD312" s="147"/>
      <c r="VBE312" s="147"/>
      <c r="VBF312" s="147"/>
      <c r="VBG312" s="147"/>
      <c r="VBH312" s="147"/>
      <c r="VBI312" s="147"/>
      <c r="VBJ312" s="147"/>
      <c r="VBK312" s="147"/>
      <c r="VBL312" s="147"/>
      <c r="VBM312" s="147"/>
      <c r="VBN312" s="147"/>
      <c r="VBO312" s="147"/>
      <c r="VBP312" s="147"/>
      <c r="VBQ312" s="147"/>
      <c r="VBR312" s="147"/>
      <c r="VBS312" s="147"/>
      <c r="VBT312" s="147"/>
      <c r="VBU312" s="147"/>
      <c r="VBV312" s="147"/>
      <c r="VBW312" s="147"/>
      <c r="VBX312" s="147"/>
      <c r="VBY312" s="147"/>
      <c r="VBZ312" s="147"/>
      <c r="VCA312" s="147"/>
      <c r="VCB312" s="147"/>
      <c r="VCC312" s="147"/>
      <c r="VCD312" s="147"/>
      <c r="VCE312" s="147"/>
      <c r="VCF312" s="147"/>
      <c r="VCG312" s="147"/>
      <c r="VCH312" s="147"/>
      <c r="VCI312" s="147"/>
      <c r="VCJ312" s="147"/>
      <c r="VCK312" s="147"/>
      <c r="VCL312" s="147"/>
      <c r="VCM312" s="147"/>
      <c r="VCN312" s="147"/>
      <c r="VCO312" s="147"/>
      <c r="VCP312" s="147"/>
      <c r="VCQ312" s="147"/>
      <c r="VCR312" s="147"/>
      <c r="VCS312" s="147"/>
      <c r="VCT312" s="147"/>
      <c r="VCU312" s="147"/>
      <c r="VCV312" s="147"/>
      <c r="VCW312" s="147"/>
      <c r="VCX312" s="147"/>
      <c r="VCY312" s="147"/>
      <c r="VCZ312" s="147"/>
      <c r="VDA312" s="147"/>
      <c r="VDB312" s="147"/>
      <c r="VDC312" s="147"/>
      <c r="VDD312" s="147"/>
      <c r="VDE312" s="147"/>
      <c r="VDF312" s="147"/>
      <c r="VDG312" s="147"/>
      <c r="VDH312" s="147"/>
      <c r="VDI312" s="147"/>
      <c r="VDJ312" s="147"/>
      <c r="VDK312" s="147"/>
      <c r="VDL312" s="147"/>
      <c r="VDM312" s="147"/>
      <c r="VDN312" s="147"/>
      <c r="VDO312" s="147"/>
      <c r="VDP312" s="147"/>
      <c r="VDQ312" s="147"/>
      <c r="VDR312" s="147"/>
      <c r="VDS312" s="147"/>
      <c r="VDT312" s="147"/>
      <c r="VDU312" s="147"/>
      <c r="VDV312" s="147"/>
      <c r="VDW312" s="147"/>
      <c r="VDX312" s="147"/>
      <c r="VDY312" s="147"/>
      <c r="VDZ312" s="147"/>
      <c r="VEA312" s="147"/>
      <c r="VEB312" s="147"/>
      <c r="VEC312" s="147"/>
      <c r="VED312" s="147"/>
      <c r="VEE312" s="147"/>
      <c r="VEF312" s="147"/>
      <c r="VEG312" s="147"/>
      <c r="VEH312" s="147"/>
      <c r="VEI312" s="147"/>
      <c r="VEJ312" s="147"/>
      <c r="VEK312" s="147"/>
      <c r="VEL312" s="147"/>
      <c r="VEM312" s="147"/>
      <c r="VEN312" s="147"/>
      <c r="VEO312" s="147"/>
      <c r="VEP312" s="147"/>
      <c r="VEQ312" s="147"/>
      <c r="VER312" s="147"/>
      <c r="VES312" s="147"/>
      <c r="VET312" s="147"/>
      <c r="VEU312" s="147"/>
      <c r="VEV312" s="147"/>
      <c r="VEW312" s="147"/>
      <c r="VEX312" s="147"/>
      <c r="VEY312" s="147"/>
      <c r="VEZ312" s="147"/>
      <c r="VFA312" s="147"/>
      <c r="VFB312" s="147"/>
      <c r="VFC312" s="147"/>
      <c r="VFD312" s="147"/>
      <c r="VFE312" s="147"/>
      <c r="VFF312" s="147"/>
      <c r="VFG312" s="147"/>
      <c r="VFH312" s="147"/>
      <c r="VFI312" s="147"/>
      <c r="VFJ312" s="147"/>
      <c r="VFK312" s="147"/>
      <c r="VFL312" s="147"/>
      <c r="VFM312" s="147"/>
      <c r="VFN312" s="147"/>
      <c r="VFO312" s="147"/>
      <c r="VFP312" s="147"/>
      <c r="VFQ312" s="147"/>
      <c r="VFR312" s="147"/>
      <c r="VFS312" s="147"/>
      <c r="VFT312" s="147"/>
      <c r="VFU312" s="147"/>
      <c r="VFV312" s="147"/>
      <c r="VFW312" s="147"/>
      <c r="VFX312" s="147"/>
      <c r="VFY312" s="147"/>
      <c r="VFZ312" s="147"/>
      <c r="VGA312" s="147"/>
      <c r="VGB312" s="147"/>
      <c r="VGC312" s="147"/>
      <c r="VGD312" s="147"/>
      <c r="VGE312" s="147"/>
      <c r="VGF312" s="147"/>
      <c r="VGG312" s="147"/>
      <c r="VGH312" s="147"/>
      <c r="VGI312" s="147"/>
      <c r="VGJ312" s="147"/>
      <c r="VGK312" s="147"/>
      <c r="VGL312" s="147"/>
      <c r="VGM312" s="147"/>
      <c r="VGN312" s="147"/>
      <c r="VGO312" s="147"/>
      <c r="VGP312" s="147"/>
      <c r="VGQ312" s="147"/>
      <c r="VGR312" s="147"/>
      <c r="VGS312" s="147"/>
      <c r="VGT312" s="147"/>
      <c r="VGU312" s="147"/>
      <c r="VGV312" s="147"/>
      <c r="VGW312" s="147"/>
      <c r="VGX312" s="147"/>
      <c r="VGY312" s="147"/>
      <c r="VGZ312" s="147"/>
      <c r="VHA312" s="147"/>
      <c r="VHB312" s="147"/>
      <c r="VHC312" s="147"/>
      <c r="VHD312" s="147"/>
      <c r="VHE312" s="147"/>
      <c r="VHF312" s="147"/>
      <c r="VHG312" s="147"/>
      <c r="VHH312" s="147"/>
      <c r="VHI312" s="147"/>
      <c r="VHJ312" s="147"/>
      <c r="VHK312" s="147"/>
      <c r="VHL312" s="147"/>
      <c r="VHM312" s="147"/>
      <c r="VHN312" s="147"/>
      <c r="VHO312" s="147"/>
      <c r="VHP312" s="147"/>
      <c r="VHQ312" s="147"/>
      <c r="VHR312" s="147"/>
      <c r="VHS312" s="147"/>
      <c r="VHT312" s="147"/>
      <c r="VHU312" s="147"/>
      <c r="VHV312" s="147"/>
      <c r="VHW312" s="147"/>
      <c r="VHX312" s="147"/>
      <c r="VHY312" s="147"/>
      <c r="VHZ312" s="147"/>
      <c r="VIA312" s="147"/>
      <c r="VIB312" s="147"/>
      <c r="VIC312" s="147"/>
      <c r="VID312" s="147"/>
      <c r="VIE312" s="147"/>
      <c r="VIF312" s="147"/>
      <c r="VIG312" s="147"/>
      <c r="VIH312" s="147"/>
      <c r="VII312" s="147"/>
      <c r="VIJ312" s="147"/>
      <c r="VIK312" s="147"/>
      <c r="VIL312" s="147"/>
      <c r="VIM312" s="147"/>
      <c r="VIN312" s="147"/>
      <c r="VIO312" s="147"/>
      <c r="VIP312" s="147"/>
      <c r="VIQ312" s="147"/>
      <c r="VIR312" s="147"/>
      <c r="VIS312" s="147"/>
      <c r="VIT312" s="147"/>
      <c r="VIU312" s="147"/>
      <c r="VIV312" s="147"/>
      <c r="VIW312" s="147"/>
      <c r="VIX312" s="147"/>
      <c r="VIY312" s="147"/>
      <c r="VIZ312" s="147"/>
      <c r="VJA312" s="147"/>
      <c r="VJB312" s="147"/>
      <c r="VJC312" s="147"/>
      <c r="VJD312" s="147"/>
      <c r="VJE312" s="147"/>
      <c r="VJF312" s="147"/>
      <c r="VJG312" s="147"/>
      <c r="VJH312" s="147"/>
      <c r="VJI312" s="147"/>
      <c r="VJJ312" s="147"/>
      <c r="VJK312" s="147"/>
      <c r="VJL312" s="147"/>
      <c r="VJM312" s="147"/>
      <c r="VJN312" s="147"/>
      <c r="VJO312" s="147"/>
      <c r="VJP312" s="147"/>
      <c r="VJQ312" s="147"/>
      <c r="VJR312" s="147"/>
      <c r="VJS312" s="147"/>
      <c r="VJT312" s="147"/>
      <c r="VJU312" s="147"/>
      <c r="VJV312" s="147"/>
      <c r="VJW312" s="147"/>
      <c r="VJX312" s="147"/>
      <c r="VJY312" s="147"/>
      <c r="VJZ312" s="147"/>
      <c r="VKA312" s="147"/>
      <c r="VKB312" s="147"/>
      <c r="VKC312" s="147"/>
      <c r="VKD312" s="147"/>
      <c r="VKE312" s="147"/>
      <c r="VKF312" s="147"/>
      <c r="VKG312" s="147"/>
      <c r="VKH312" s="147"/>
      <c r="VKI312" s="147"/>
      <c r="VKJ312" s="147"/>
      <c r="VKK312" s="147"/>
      <c r="VKL312" s="147"/>
      <c r="VKM312" s="147"/>
      <c r="VKN312" s="147"/>
      <c r="VKO312" s="147"/>
      <c r="VKP312" s="147"/>
      <c r="VKQ312" s="147"/>
      <c r="VKR312" s="147"/>
      <c r="VKS312" s="147"/>
      <c r="VKT312" s="147"/>
      <c r="VKU312" s="147"/>
      <c r="VKV312" s="147"/>
      <c r="VKW312" s="147"/>
      <c r="VKX312" s="147"/>
      <c r="VKY312" s="147"/>
      <c r="VKZ312" s="147"/>
      <c r="VLA312" s="147"/>
      <c r="VLB312" s="147"/>
      <c r="VLC312" s="147"/>
      <c r="VLD312" s="147"/>
      <c r="VLE312" s="147"/>
      <c r="VLF312" s="147"/>
      <c r="VLG312" s="147"/>
      <c r="VLH312" s="147"/>
      <c r="VLI312" s="147"/>
      <c r="VLJ312" s="147"/>
      <c r="VLK312" s="147"/>
      <c r="VLL312" s="147"/>
      <c r="VLM312" s="147"/>
      <c r="VLN312" s="147"/>
      <c r="VLO312" s="147"/>
      <c r="VLP312" s="147"/>
      <c r="VLQ312" s="147"/>
      <c r="VLR312" s="147"/>
      <c r="VLS312" s="147"/>
      <c r="VLT312" s="147"/>
      <c r="VLU312" s="147"/>
      <c r="VLV312" s="147"/>
      <c r="VLW312" s="147"/>
      <c r="VLX312" s="147"/>
      <c r="VLY312" s="147"/>
      <c r="VLZ312" s="147"/>
      <c r="VMA312" s="147"/>
      <c r="VMB312" s="147"/>
      <c r="VMC312" s="147"/>
      <c r="VMD312" s="147"/>
      <c r="VME312" s="147"/>
      <c r="VMF312" s="147"/>
      <c r="VMG312" s="147"/>
      <c r="VMH312" s="147"/>
      <c r="VMI312" s="147"/>
      <c r="VMJ312" s="147"/>
      <c r="VMK312" s="147"/>
      <c r="VML312" s="147"/>
      <c r="VMM312" s="147"/>
      <c r="VMN312" s="147"/>
      <c r="VMO312" s="147"/>
      <c r="VMP312" s="147"/>
      <c r="VMQ312" s="147"/>
      <c r="VMR312" s="147"/>
      <c r="VMS312" s="147"/>
      <c r="VMT312" s="147"/>
      <c r="VMU312" s="147"/>
      <c r="VMV312" s="147"/>
      <c r="VMW312" s="147"/>
      <c r="VMX312" s="147"/>
      <c r="VMY312" s="147"/>
      <c r="VMZ312" s="147"/>
      <c r="VNA312" s="147"/>
      <c r="VNB312" s="147"/>
      <c r="VNC312" s="147"/>
      <c r="VND312" s="147"/>
      <c r="VNE312" s="147"/>
      <c r="VNF312" s="147"/>
      <c r="VNG312" s="147"/>
      <c r="VNH312" s="147"/>
      <c r="VNI312" s="147"/>
      <c r="VNJ312" s="147"/>
      <c r="VNK312" s="147"/>
      <c r="VNL312" s="147"/>
      <c r="VNM312" s="147"/>
      <c r="VNN312" s="147"/>
      <c r="VNO312" s="147"/>
      <c r="VNP312" s="147"/>
      <c r="VNQ312" s="147"/>
      <c r="VNR312" s="147"/>
      <c r="VNS312" s="147"/>
      <c r="VNT312" s="147"/>
      <c r="VNU312" s="147"/>
      <c r="VNV312" s="147"/>
      <c r="VNW312" s="147"/>
      <c r="VNX312" s="147"/>
      <c r="VNY312" s="147"/>
      <c r="VNZ312" s="147"/>
      <c r="VOA312" s="147"/>
      <c r="VOB312" s="147"/>
      <c r="VOC312" s="147"/>
      <c r="VOD312" s="147"/>
      <c r="VOE312" s="147"/>
      <c r="VOF312" s="147"/>
      <c r="VOG312" s="147"/>
      <c r="VOH312" s="147"/>
      <c r="VOI312" s="147"/>
      <c r="VOJ312" s="147"/>
      <c r="VOK312" s="147"/>
      <c r="VOL312" s="147"/>
      <c r="VOM312" s="147"/>
      <c r="VON312" s="147"/>
      <c r="VOO312" s="147"/>
      <c r="VOP312" s="147"/>
      <c r="VOQ312" s="147"/>
      <c r="VOR312" s="147"/>
      <c r="VOS312" s="147"/>
      <c r="VOT312" s="147"/>
      <c r="VOU312" s="147"/>
      <c r="VOV312" s="147"/>
      <c r="VOW312" s="147"/>
      <c r="VOX312" s="147"/>
      <c r="VOY312" s="147"/>
      <c r="VOZ312" s="147"/>
      <c r="VPA312" s="147"/>
      <c r="VPB312" s="147"/>
      <c r="VPC312" s="147"/>
      <c r="VPD312" s="147"/>
      <c r="VPE312" s="147"/>
      <c r="VPF312" s="147"/>
      <c r="VPG312" s="147"/>
      <c r="VPH312" s="147"/>
      <c r="VPI312" s="147"/>
      <c r="VPJ312" s="147"/>
      <c r="VPK312" s="147"/>
      <c r="VPL312" s="147"/>
      <c r="VPM312" s="147"/>
      <c r="VPN312" s="147"/>
      <c r="VPO312" s="147"/>
      <c r="VPP312" s="147"/>
      <c r="VPQ312" s="147"/>
      <c r="VPR312" s="147"/>
      <c r="VPS312" s="147"/>
      <c r="VPT312" s="147"/>
      <c r="VPU312" s="147"/>
      <c r="VPV312" s="147"/>
      <c r="VPW312" s="147"/>
      <c r="VPX312" s="147"/>
      <c r="VPY312" s="147"/>
      <c r="VPZ312" s="147"/>
      <c r="VQA312" s="147"/>
      <c r="VQB312" s="147"/>
      <c r="VQC312" s="147"/>
      <c r="VQD312" s="147"/>
      <c r="VQE312" s="147"/>
      <c r="VQF312" s="147"/>
      <c r="VQG312" s="147"/>
      <c r="VQH312" s="147"/>
      <c r="VQI312" s="147"/>
      <c r="VQJ312" s="147"/>
      <c r="VQK312" s="147"/>
      <c r="VQL312" s="147"/>
      <c r="VQM312" s="147"/>
      <c r="VQN312" s="147"/>
      <c r="VQO312" s="147"/>
      <c r="VQP312" s="147"/>
      <c r="VQQ312" s="147"/>
      <c r="VQR312" s="147"/>
      <c r="VQS312" s="147"/>
      <c r="VQT312" s="147"/>
      <c r="VQU312" s="147"/>
      <c r="VQV312" s="147"/>
      <c r="VQW312" s="147"/>
      <c r="VQX312" s="147"/>
      <c r="VQY312" s="147"/>
      <c r="VQZ312" s="147"/>
      <c r="VRA312" s="147"/>
      <c r="VRB312" s="147"/>
      <c r="VRC312" s="147"/>
      <c r="VRD312" s="147"/>
      <c r="VRE312" s="147"/>
      <c r="VRF312" s="147"/>
      <c r="VRG312" s="147"/>
      <c r="VRH312" s="147"/>
      <c r="VRI312" s="147"/>
      <c r="VRJ312" s="147"/>
      <c r="VRK312" s="147"/>
      <c r="VRL312" s="147"/>
      <c r="VRM312" s="147"/>
      <c r="VRN312" s="147"/>
      <c r="VRO312" s="147"/>
      <c r="VRP312" s="147"/>
      <c r="VRQ312" s="147"/>
      <c r="VRR312" s="147"/>
      <c r="VRS312" s="147"/>
      <c r="VRT312" s="147"/>
      <c r="VRU312" s="147"/>
      <c r="VRV312" s="147"/>
      <c r="VRW312" s="147"/>
      <c r="VRX312" s="147"/>
      <c r="VRY312" s="147"/>
      <c r="VRZ312" s="147"/>
      <c r="VSA312" s="147"/>
      <c r="VSB312" s="147"/>
      <c r="VSC312" s="147"/>
      <c r="VSD312" s="147"/>
      <c r="VSE312" s="147"/>
      <c r="VSF312" s="147"/>
      <c r="VSG312" s="147"/>
      <c r="VSH312" s="147"/>
      <c r="VSI312" s="147"/>
      <c r="VSJ312" s="147"/>
      <c r="VSK312" s="147"/>
      <c r="VSL312" s="147"/>
      <c r="VSM312" s="147"/>
      <c r="VSN312" s="147"/>
      <c r="VSO312" s="147"/>
      <c r="VSP312" s="147"/>
      <c r="VSQ312" s="147"/>
      <c r="VSR312" s="147"/>
      <c r="VSS312" s="147"/>
      <c r="VST312" s="147"/>
      <c r="VSU312" s="147"/>
      <c r="VSV312" s="147"/>
      <c r="VSW312" s="147"/>
      <c r="VSX312" s="147"/>
      <c r="VSY312" s="147"/>
      <c r="VSZ312" s="147"/>
      <c r="VTA312" s="147"/>
      <c r="VTB312" s="147"/>
      <c r="VTC312" s="147"/>
      <c r="VTD312" s="147"/>
      <c r="VTE312" s="147"/>
      <c r="VTF312" s="147"/>
      <c r="VTG312" s="147"/>
      <c r="VTH312" s="147"/>
      <c r="VTI312" s="147"/>
      <c r="VTJ312" s="147"/>
      <c r="VTK312" s="147"/>
      <c r="VTL312" s="147"/>
      <c r="VTM312" s="147"/>
      <c r="VTN312" s="147"/>
      <c r="VTO312" s="147"/>
      <c r="VTP312" s="147"/>
      <c r="VTQ312" s="147"/>
      <c r="VTR312" s="147"/>
      <c r="VTS312" s="147"/>
      <c r="VTT312" s="147"/>
      <c r="VTU312" s="147"/>
      <c r="VTV312" s="147"/>
      <c r="VTW312" s="147"/>
      <c r="VTX312" s="147"/>
      <c r="VTY312" s="147"/>
      <c r="VTZ312" s="147"/>
      <c r="VUA312" s="147"/>
      <c r="VUB312" s="147"/>
      <c r="VUC312" s="147"/>
      <c r="VUD312" s="147"/>
      <c r="VUE312" s="147"/>
      <c r="VUF312" s="147"/>
      <c r="VUG312" s="147"/>
      <c r="VUH312" s="147"/>
      <c r="VUI312" s="147"/>
      <c r="VUJ312" s="147"/>
      <c r="VUK312" s="147"/>
      <c r="VUL312" s="147"/>
      <c r="VUM312" s="147"/>
      <c r="VUN312" s="147"/>
      <c r="VUO312" s="147"/>
      <c r="VUP312" s="147"/>
      <c r="VUQ312" s="147"/>
      <c r="VUR312" s="147"/>
      <c r="VUS312" s="147"/>
      <c r="VUT312" s="147"/>
      <c r="VUU312" s="147"/>
      <c r="VUV312" s="147"/>
      <c r="VUW312" s="147"/>
      <c r="VUX312" s="147"/>
      <c r="VUY312" s="147"/>
      <c r="VUZ312" s="147"/>
      <c r="VVA312" s="147"/>
      <c r="VVB312" s="147"/>
      <c r="VVC312" s="147"/>
      <c r="VVD312" s="147"/>
      <c r="VVE312" s="147"/>
      <c r="VVF312" s="147"/>
      <c r="VVG312" s="147"/>
      <c r="VVH312" s="147"/>
      <c r="VVI312" s="147"/>
      <c r="VVJ312" s="147"/>
      <c r="VVK312" s="147"/>
      <c r="VVL312" s="147"/>
      <c r="VVM312" s="147"/>
      <c r="VVN312" s="147"/>
      <c r="VVO312" s="147"/>
      <c r="VVP312" s="147"/>
      <c r="VVQ312" s="147"/>
      <c r="VVR312" s="147"/>
      <c r="VVS312" s="147"/>
      <c r="VVT312" s="147"/>
      <c r="VVU312" s="147"/>
      <c r="VVV312" s="147"/>
      <c r="VVW312" s="147"/>
      <c r="VVX312" s="147"/>
      <c r="VVY312" s="147"/>
      <c r="VVZ312" s="147"/>
      <c r="VWA312" s="147"/>
      <c r="VWB312" s="147"/>
      <c r="VWC312" s="147"/>
      <c r="VWD312" s="147"/>
      <c r="VWE312" s="147"/>
      <c r="VWF312" s="147"/>
      <c r="VWG312" s="147"/>
      <c r="VWH312" s="147"/>
      <c r="VWI312" s="147"/>
      <c r="VWJ312" s="147"/>
      <c r="VWK312" s="147"/>
      <c r="VWL312" s="147"/>
      <c r="VWM312" s="147"/>
      <c r="VWN312" s="147"/>
      <c r="VWO312" s="147"/>
      <c r="VWP312" s="147"/>
      <c r="VWQ312" s="147"/>
      <c r="VWR312" s="147"/>
      <c r="VWS312" s="147"/>
      <c r="VWT312" s="147"/>
      <c r="VWU312" s="147"/>
      <c r="VWV312" s="147"/>
      <c r="VWW312" s="147"/>
      <c r="VWX312" s="147"/>
      <c r="VWY312" s="147"/>
      <c r="VWZ312" s="147"/>
      <c r="VXA312" s="147"/>
      <c r="VXB312" s="147"/>
      <c r="VXC312" s="147"/>
      <c r="VXD312" s="147"/>
      <c r="VXE312" s="147"/>
      <c r="VXF312" s="147"/>
      <c r="VXG312" s="147"/>
      <c r="VXH312" s="147"/>
      <c r="VXI312" s="147"/>
      <c r="VXJ312" s="147"/>
      <c r="VXK312" s="147"/>
      <c r="VXL312" s="147"/>
      <c r="VXM312" s="147"/>
      <c r="VXN312" s="147"/>
      <c r="VXO312" s="147"/>
      <c r="VXP312" s="147"/>
      <c r="VXQ312" s="147"/>
      <c r="VXR312" s="147"/>
      <c r="VXS312" s="147"/>
      <c r="VXT312" s="147"/>
      <c r="VXU312" s="147"/>
      <c r="VXV312" s="147"/>
      <c r="VXW312" s="147"/>
      <c r="VXX312" s="147"/>
      <c r="VXY312" s="147"/>
      <c r="VXZ312" s="147"/>
      <c r="VYA312" s="147"/>
      <c r="VYB312" s="147"/>
      <c r="VYC312" s="147"/>
      <c r="VYD312" s="147"/>
      <c r="VYE312" s="147"/>
      <c r="VYF312" s="147"/>
      <c r="VYG312" s="147"/>
      <c r="VYH312" s="147"/>
      <c r="VYI312" s="147"/>
      <c r="VYJ312" s="147"/>
      <c r="VYK312" s="147"/>
      <c r="VYL312" s="147"/>
      <c r="VYM312" s="147"/>
      <c r="VYN312" s="147"/>
      <c r="VYO312" s="147"/>
      <c r="VYP312" s="147"/>
      <c r="VYQ312" s="147"/>
      <c r="VYR312" s="147"/>
      <c r="VYS312" s="147"/>
      <c r="VYT312" s="147"/>
      <c r="VYU312" s="147"/>
      <c r="VYV312" s="147"/>
      <c r="VYW312" s="147"/>
      <c r="VYX312" s="147"/>
      <c r="VYY312" s="147"/>
      <c r="VYZ312" s="147"/>
      <c r="VZA312" s="147"/>
      <c r="VZB312" s="147"/>
      <c r="VZC312" s="147"/>
      <c r="VZD312" s="147"/>
      <c r="VZE312" s="147"/>
      <c r="VZF312" s="147"/>
      <c r="VZG312" s="147"/>
      <c r="VZH312" s="147"/>
      <c r="VZI312" s="147"/>
      <c r="VZJ312" s="147"/>
      <c r="VZK312" s="147"/>
      <c r="VZL312" s="147"/>
      <c r="VZM312" s="147"/>
      <c r="VZN312" s="147"/>
      <c r="VZO312" s="147"/>
      <c r="VZP312" s="147"/>
      <c r="VZQ312" s="147"/>
      <c r="VZR312" s="147"/>
      <c r="VZS312" s="147"/>
      <c r="VZT312" s="147"/>
      <c r="VZU312" s="147"/>
      <c r="VZV312" s="147"/>
      <c r="VZW312" s="147"/>
      <c r="VZX312" s="147"/>
      <c r="VZY312" s="147"/>
      <c r="VZZ312" s="147"/>
      <c r="WAA312" s="147"/>
      <c r="WAB312" s="147"/>
      <c r="WAC312" s="147"/>
      <c r="WAD312" s="147"/>
      <c r="WAE312" s="147"/>
      <c r="WAF312" s="147"/>
      <c r="WAG312" s="147"/>
      <c r="WAH312" s="147"/>
      <c r="WAI312" s="147"/>
      <c r="WAJ312" s="147"/>
      <c r="WAK312" s="147"/>
      <c r="WAL312" s="147"/>
      <c r="WAM312" s="147"/>
      <c r="WAN312" s="147"/>
      <c r="WAO312" s="147"/>
      <c r="WAP312" s="147"/>
      <c r="WAQ312" s="147"/>
      <c r="WAR312" s="147"/>
      <c r="WAS312" s="147"/>
      <c r="WAT312" s="147"/>
      <c r="WAU312" s="147"/>
      <c r="WAV312" s="147"/>
      <c r="WAW312" s="147"/>
      <c r="WAX312" s="147"/>
      <c r="WAY312" s="147"/>
      <c r="WAZ312" s="147"/>
      <c r="WBA312" s="147"/>
      <c r="WBB312" s="147"/>
      <c r="WBC312" s="147"/>
      <c r="WBD312" s="147"/>
      <c r="WBE312" s="147"/>
      <c r="WBF312" s="147"/>
      <c r="WBG312" s="147"/>
      <c r="WBH312" s="147"/>
      <c r="WBI312" s="147"/>
      <c r="WBJ312" s="147"/>
      <c r="WBK312" s="147"/>
      <c r="WBL312" s="147"/>
      <c r="WBM312" s="147"/>
      <c r="WBN312" s="147"/>
      <c r="WBO312" s="147"/>
      <c r="WBP312" s="147"/>
      <c r="WBQ312" s="147"/>
      <c r="WBR312" s="147"/>
      <c r="WBS312" s="147"/>
      <c r="WBT312" s="147"/>
      <c r="WBU312" s="147"/>
      <c r="WBV312" s="147"/>
      <c r="WBW312" s="147"/>
      <c r="WBX312" s="147"/>
      <c r="WBY312" s="147"/>
      <c r="WBZ312" s="147"/>
      <c r="WCA312" s="147"/>
      <c r="WCB312" s="147"/>
      <c r="WCC312" s="147"/>
      <c r="WCD312" s="147"/>
      <c r="WCE312" s="147"/>
      <c r="WCF312" s="147"/>
      <c r="WCG312" s="147"/>
      <c r="WCH312" s="147"/>
      <c r="WCI312" s="147"/>
      <c r="WCJ312" s="147"/>
      <c r="WCK312" s="147"/>
      <c r="WCL312" s="147"/>
      <c r="WCM312" s="147"/>
      <c r="WCN312" s="147"/>
      <c r="WCO312" s="147"/>
      <c r="WCP312" s="147"/>
      <c r="WCQ312" s="147"/>
      <c r="WCR312" s="147"/>
      <c r="WCS312" s="147"/>
      <c r="WCT312" s="147"/>
      <c r="WCU312" s="147"/>
      <c r="WCV312" s="147"/>
      <c r="WCW312" s="147"/>
      <c r="WCX312" s="147"/>
      <c r="WCY312" s="147"/>
      <c r="WCZ312" s="147"/>
      <c r="WDA312" s="147"/>
      <c r="WDB312" s="147"/>
      <c r="WDC312" s="147"/>
      <c r="WDD312" s="147"/>
      <c r="WDE312" s="147"/>
      <c r="WDF312" s="147"/>
      <c r="WDG312" s="147"/>
      <c r="WDH312" s="147"/>
      <c r="WDI312" s="147"/>
      <c r="WDJ312" s="147"/>
      <c r="WDK312" s="147"/>
      <c r="WDL312" s="147"/>
      <c r="WDM312" s="147"/>
      <c r="WDN312" s="147"/>
      <c r="WDO312" s="147"/>
      <c r="WDP312" s="147"/>
      <c r="WDQ312" s="147"/>
      <c r="WDR312" s="147"/>
      <c r="WDS312" s="147"/>
      <c r="WDT312" s="147"/>
      <c r="WDU312" s="147"/>
      <c r="WDV312" s="147"/>
      <c r="WDW312" s="147"/>
      <c r="WDX312" s="147"/>
      <c r="WDY312" s="147"/>
      <c r="WDZ312" s="147"/>
      <c r="WEA312" s="147"/>
      <c r="WEB312" s="147"/>
      <c r="WEC312" s="147"/>
      <c r="WED312" s="147"/>
      <c r="WEE312" s="147"/>
      <c r="WEF312" s="147"/>
      <c r="WEG312" s="147"/>
      <c r="WEH312" s="147"/>
      <c r="WEI312" s="147"/>
      <c r="WEJ312" s="147"/>
      <c r="WEK312" s="147"/>
      <c r="WEL312" s="147"/>
      <c r="WEM312" s="147"/>
      <c r="WEN312" s="147"/>
      <c r="WEO312" s="147"/>
      <c r="WEP312" s="147"/>
      <c r="WEQ312" s="147"/>
      <c r="WER312" s="147"/>
      <c r="WES312" s="147"/>
      <c r="WET312" s="147"/>
      <c r="WEU312" s="147"/>
      <c r="WEV312" s="147"/>
      <c r="WEW312" s="147"/>
      <c r="WEX312" s="147"/>
      <c r="WEY312" s="147"/>
      <c r="WEZ312" s="147"/>
      <c r="WFA312" s="147"/>
      <c r="WFB312" s="147"/>
      <c r="WFC312" s="147"/>
      <c r="WFD312" s="147"/>
      <c r="WFE312" s="147"/>
      <c r="WFF312" s="147"/>
      <c r="WFG312" s="147"/>
      <c r="WFH312" s="147"/>
      <c r="WFI312" s="147"/>
      <c r="WFJ312" s="147"/>
      <c r="WFK312" s="147"/>
      <c r="WFL312" s="147"/>
      <c r="WFM312" s="147"/>
      <c r="WFN312" s="147"/>
      <c r="WFO312" s="147"/>
      <c r="WFP312" s="147"/>
      <c r="WFQ312" s="147"/>
      <c r="WFR312" s="147"/>
      <c r="WFS312" s="147"/>
      <c r="WFT312" s="147"/>
      <c r="WFU312" s="147"/>
      <c r="WFV312" s="147"/>
      <c r="WFW312" s="147"/>
      <c r="WFX312" s="147"/>
      <c r="WFY312" s="147"/>
      <c r="WFZ312" s="147"/>
      <c r="WGA312" s="147"/>
      <c r="WGB312" s="147"/>
      <c r="WGC312" s="147"/>
      <c r="WGD312" s="147"/>
      <c r="WGE312" s="147"/>
      <c r="WGF312" s="147"/>
      <c r="WGG312" s="147"/>
      <c r="WGH312" s="147"/>
      <c r="WGI312" s="147"/>
      <c r="WGJ312" s="147"/>
      <c r="WGK312" s="147"/>
      <c r="WGL312" s="147"/>
      <c r="WGM312" s="147"/>
      <c r="WGN312" s="147"/>
      <c r="WGO312" s="147"/>
      <c r="WGP312" s="147"/>
      <c r="WGQ312" s="147"/>
      <c r="WGR312" s="147"/>
      <c r="WGS312" s="147"/>
      <c r="WGT312" s="147"/>
      <c r="WGU312" s="147"/>
      <c r="WGV312" s="147"/>
      <c r="WGW312" s="147"/>
      <c r="WGX312" s="147"/>
      <c r="WGY312" s="147"/>
      <c r="WGZ312" s="147"/>
      <c r="WHA312" s="147"/>
      <c r="WHB312" s="147"/>
      <c r="WHC312" s="147"/>
      <c r="WHD312" s="147"/>
      <c r="WHE312" s="147"/>
      <c r="WHF312" s="147"/>
      <c r="WHG312" s="147"/>
      <c r="WHH312" s="147"/>
      <c r="WHI312" s="147"/>
      <c r="WHJ312" s="147"/>
      <c r="WHK312" s="147"/>
      <c r="WHL312" s="147"/>
      <c r="WHM312" s="147"/>
      <c r="WHN312" s="147"/>
      <c r="WHO312" s="147"/>
      <c r="WHP312" s="147"/>
      <c r="WHQ312" s="147"/>
      <c r="WHR312" s="147"/>
      <c r="WHS312" s="147"/>
      <c r="WHT312" s="147"/>
      <c r="WHU312" s="147"/>
      <c r="WHV312" s="147"/>
      <c r="WHW312" s="147"/>
      <c r="WHX312" s="147"/>
      <c r="WHY312" s="147"/>
      <c r="WHZ312" s="147"/>
      <c r="WIA312" s="147"/>
      <c r="WIB312" s="147"/>
      <c r="WIC312" s="147"/>
      <c r="WID312" s="147"/>
      <c r="WIE312" s="147"/>
      <c r="WIF312" s="147"/>
      <c r="WIG312" s="147"/>
      <c r="WIH312" s="147"/>
      <c r="WII312" s="147"/>
      <c r="WIJ312" s="147"/>
      <c r="WIK312" s="147"/>
      <c r="WIL312" s="147"/>
      <c r="WIM312" s="147"/>
      <c r="WIN312" s="147"/>
      <c r="WIO312" s="147"/>
      <c r="WIP312" s="147"/>
      <c r="WIQ312" s="147"/>
      <c r="WIR312" s="147"/>
      <c r="WIS312" s="147"/>
      <c r="WIT312" s="147"/>
      <c r="WIU312" s="147"/>
      <c r="WIV312" s="147"/>
      <c r="WIW312" s="147"/>
      <c r="WIX312" s="147"/>
      <c r="WIY312" s="147"/>
      <c r="WIZ312" s="147"/>
      <c r="WJA312" s="147"/>
      <c r="WJB312" s="147"/>
      <c r="WJC312" s="147"/>
      <c r="WJD312" s="147"/>
      <c r="WJE312" s="147"/>
      <c r="WJF312" s="147"/>
      <c r="WJG312" s="147"/>
      <c r="WJH312" s="147"/>
      <c r="WJI312" s="147"/>
      <c r="WJJ312" s="147"/>
      <c r="WJK312" s="147"/>
      <c r="WJL312" s="147"/>
      <c r="WJM312" s="147"/>
      <c r="WJN312" s="147"/>
      <c r="WJO312" s="147"/>
      <c r="WJP312" s="147"/>
      <c r="WJQ312" s="147"/>
      <c r="WJR312" s="147"/>
      <c r="WJS312" s="147"/>
      <c r="WJT312" s="147"/>
      <c r="WJU312" s="147"/>
      <c r="WJV312" s="147"/>
      <c r="WJW312" s="147"/>
      <c r="WJX312" s="147"/>
      <c r="WJY312" s="147"/>
      <c r="WJZ312" s="147"/>
      <c r="WKA312" s="147"/>
      <c r="WKB312" s="147"/>
      <c r="WKC312" s="147"/>
      <c r="WKD312" s="147"/>
      <c r="WKE312" s="147"/>
      <c r="WKF312" s="147"/>
      <c r="WKG312" s="147"/>
      <c r="WKH312" s="147"/>
      <c r="WKI312" s="147"/>
      <c r="WKJ312" s="147"/>
      <c r="WKK312" s="147"/>
      <c r="WKL312" s="147"/>
      <c r="WKM312" s="147"/>
      <c r="WKN312" s="147"/>
      <c r="WKO312" s="147"/>
      <c r="WKP312" s="147"/>
      <c r="WKQ312" s="147"/>
      <c r="WKR312" s="147"/>
      <c r="WKS312" s="147"/>
      <c r="WKT312" s="147"/>
      <c r="WKU312" s="147"/>
      <c r="WKV312" s="147"/>
      <c r="WKW312" s="147"/>
      <c r="WKX312" s="147"/>
      <c r="WKY312" s="147"/>
      <c r="WKZ312" s="147"/>
      <c r="WLA312" s="147"/>
      <c r="WLB312" s="147"/>
      <c r="WLC312" s="147"/>
      <c r="WLD312" s="147"/>
      <c r="WLE312" s="147"/>
      <c r="WLF312" s="147"/>
      <c r="WLG312" s="147"/>
      <c r="WLH312" s="147"/>
      <c r="WLI312" s="147"/>
      <c r="WLJ312" s="147"/>
      <c r="WLK312" s="147"/>
      <c r="WLL312" s="147"/>
      <c r="WLM312" s="147"/>
      <c r="WLN312" s="147"/>
      <c r="WLO312" s="147"/>
      <c r="WLP312" s="147"/>
      <c r="WLQ312" s="147"/>
      <c r="WLR312" s="147"/>
      <c r="WLS312" s="147"/>
      <c r="WLT312" s="147"/>
      <c r="WLU312" s="147"/>
      <c r="WLV312" s="147"/>
      <c r="WLW312" s="147"/>
      <c r="WLX312" s="147"/>
      <c r="WLY312" s="147"/>
      <c r="WLZ312" s="147"/>
      <c r="WMA312" s="147"/>
      <c r="WMB312" s="147"/>
      <c r="WMC312" s="147"/>
      <c r="WMD312" s="147"/>
      <c r="WME312" s="147"/>
      <c r="WMF312" s="147"/>
      <c r="WMG312" s="147"/>
      <c r="WMH312" s="147"/>
      <c r="WMI312" s="147"/>
      <c r="WMJ312" s="147"/>
      <c r="WMK312" s="147"/>
      <c r="WML312" s="147"/>
      <c r="WMM312" s="147"/>
      <c r="WMN312" s="147"/>
      <c r="WMO312" s="147"/>
      <c r="WMP312" s="147"/>
      <c r="WMQ312" s="147"/>
      <c r="WMR312" s="147"/>
      <c r="WMS312" s="147"/>
      <c r="WMT312" s="147"/>
      <c r="WMU312" s="147"/>
      <c r="WMV312" s="147"/>
      <c r="WMW312" s="147"/>
      <c r="WMX312" s="147"/>
      <c r="WMY312" s="147"/>
      <c r="WMZ312" s="147"/>
      <c r="WNA312" s="147"/>
      <c r="WNB312" s="147"/>
      <c r="WNC312" s="147"/>
      <c r="WND312" s="147"/>
      <c r="WNE312" s="147"/>
      <c r="WNF312" s="147"/>
      <c r="WNG312" s="147"/>
      <c r="WNH312" s="147"/>
      <c r="WNI312" s="147"/>
      <c r="WNJ312" s="147"/>
      <c r="WNK312" s="147"/>
      <c r="WNL312" s="147"/>
      <c r="WNM312" s="147"/>
      <c r="WNN312" s="147"/>
      <c r="WNO312" s="147"/>
      <c r="WNP312" s="147"/>
      <c r="WNQ312" s="147"/>
      <c r="WNR312" s="147"/>
      <c r="WNS312" s="147"/>
      <c r="WNT312" s="147"/>
      <c r="WNU312" s="147"/>
      <c r="WNV312" s="147"/>
      <c r="WNW312" s="147"/>
      <c r="WNX312" s="147"/>
      <c r="WNY312" s="147"/>
      <c r="WNZ312" s="147"/>
      <c r="WOA312" s="147"/>
      <c r="WOB312" s="147"/>
      <c r="WOC312" s="147"/>
      <c r="WOD312" s="147"/>
      <c r="WOE312" s="147"/>
      <c r="WOF312" s="147"/>
      <c r="WOG312" s="147"/>
      <c r="WOH312" s="147"/>
      <c r="WOI312" s="147"/>
      <c r="WOJ312" s="147"/>
      <c r="WOK312" s="147"/>
      <c r="WOL312" s="147"/>
      <c r="WOM312" s="147"/>
      <c r="WON312" s="147"/>
      <c r="WOO312" s="147"/>
      <c r="WOP312" s="147"/>
      <c r="WOQ312" s="147"/>
      <c r="WOR312" s="147"/>
      <c r="WOS312" s="147"/>
      <c r="WOT312" s="147"/>
      <c r="WOU312" s="147"/>
      <c r="WOV312" s="147"/>
      <c r="WOW312" s="147"/>
      <c r="WOX312" s="147"/>
      <c r="WOY312" s="147"/>
      <c r="WOZ312" s="147"/>
      <c r="WPA312" s="147"/>
      <c r="WPB312" s="147"/>
      <c r="WPC312" s="147"/>
      <c r="WPD312" s="147"/>
      <c r="WPE312" s="147"/>
      <c r="WPF312" s="147"/>
      <c r="WPG312" s="147"/>
      <c r="WPH312" s="147"/>
      <c r="WPI312" s="147"/>
      <c r="WPJ312" s="147"/>
      <c r="WPK312" s="147"/>
      <c r="WPL312" s="147"/>
      <c r="WPM312" s="147"/>
      <c r="WPN312" s="147"/>
      <c r="WPO312" s="147"/>
      <c r="WPP312" s="147"/>
      <c r="WPQ312" s="147"/>
      <c r="WPR312" s="147"/>
      <c r="WPS312" s="147"/>
      <c r="WPT312" s="147"/>
      <c r="WPU312" s="147"/>
      <c r="WPV312" s="147"/>
      <c r="WPW312" s="147"/>
      <c r="WPX312" s="147"/>
      <c r="WPY312" s="147"/>
      <c r="WPZ312" s="147"/>
      <c r="WQA312" s="147"/>
      <c r="WQB312" s="147"/>
      <c r="WQC312" s="147"/>
      <c r="WQD312" s="147"/>
      <c r="WQE312" s="147"/>
      <c r="WQF312" s="147"/>
      <c r="WQG312" s="147"/>
      <c r="WQH312" s="147"/>
      <c r="WQI312" s="147"/>
      <c r="WQJ312" s="147"/>
      <c r="WQK312" s="147"/>
      <c r="WQL312" s="147"/>
      <c r="WQM312" s="147"/>
      <c r="WQN312" s="147"/>
      <c r="WQO312" s="147"/>
      <c r="WQP312" s="147"/>
      <c r="WQQ312" s="147"/>
      <c r="WQR312" s="147"/>
      <c r="WQS312" s="147"/>
      <c r="WQT312" s="147"/>
      <c r="WQU312" s="147"/>
      <c r="WQV312" s="147"/>
      <c r="WQW312" s="147"/>
      <c r="WQX312" s="147"/>
      <c r="WQY312" s="147"/>
      <c r="WQZ312" s="147"/>
      <c r="WRA312" s="147"/>
      <c r="WRB312" s="147"/>
      <c r="WRC312" s="147"/>
      <c r="WRD312" s="147"/>
      <c r="WRE312" s="147"/>
      <c r="WRF312" s="147"/>
      <c r="WRG312" s="147"/>
      <c r="WRH312" s="147"/>
      <c r="WRI312" s="147"/>
      <c r="WRJ312" s="147"/>
      <c r="WRK312" s="147"/>
      <c r="WRL312" s="147"/>
      <c r="WRM312" s="147"/>
      <c r="WRN312" s="147"/>
      <c r="WRO312" s="147"/>
      <c r="WRP312" s="147"/>
      <c r="WRQ312" s="147"/>
      <c r="WRR312" s="147"/>
      <c r="WRS312" s="147"/>
      <c r="WRT312" s="147"/>
      <c r="WRU312" s="147"/>
      <c r="WRV312" s="147"/>
      <c r="WRW312" s="147"/>
      <c r="WRX312" s="147"/>
      <c r="WRY312" s="147"/>
      <c r="WRZ312" s="147"/>
      <c r="WSA312" s="147"/>
      <c r="WSB312" s="147"/>
      <c r="WSC312" s="147"/>
      <c r="WSD312" s="147"/>
      <c r="WSE312" s="147"/>
      <c r="WSF312" s="147"/>
      <c r="WSG312" s="147"/>
      <c r="WSH312" s="147"/>
      <c r="WSI312" s="147"/>
      <c r="WSJ312" s="147"/>
      <c r="WSK312" s="147"/>
      <c r="WSL312" s="147"/>
      <c r="WSM312" s="147"/>
      <c r="WSN312" s="147"/>
      <c r="WSO312" s="147"/>
      <c r="WSP312" s="147"/>
      <c r="WSQ312" s="147"/>
      <c r="WSR312" s="147"/>
      <c r="WSS312" s="147"/>
      <c r="WST312" s="147"/>
      <c r="WSU312" s="147"/>
      <c r="WSV312" s="147"/>
      <c r="WSW312" s="147"/>
      <c r="WSX312" s="147"/>
      <c r="WSY312" s="147"/>
      <c r="WSZ312" s="147"/>
      <c r="WTA312" s="147"/>
      <c r="WTB312" s="147"/>
      <c r="WTC312" s="147"/>
      <c r="WTD312" s="147"/>
      <c r="WTE312" s="147"/>
      <c r="WTF312" s="147"/>
      <c r="WTG312" s="147"/>
      <c r="WTH312" s="147"/>
      <c r="WTI312" s="147"/>
      <c r="WTJ312" s="147"/>
      <c r="WTK312" s="147"/>
      <c r="WTL312" s="147"/>
      <c r="WTM312" s="147"/>
      <c r="WTN312" s="147"/>
      <c r="WTO312" s="147"/>
      <c r="WTP312" s="147"/>
      <c r="WTQ312" s="147"/>
      <c r="WTR312" s="147"/>
      <c r="WTS312" s="147"/>
      <c r="WTT312" s="147"/>
      <c r="WTU312" s="147"/>
      <c r="WTV312" s="147"/>
      <c r="WTW312" s="147"/>
      <c r="WTX312" s="147"/>
      <c r="WTY312" s="147"/>
      <c r="WTZ312" s="147"/>
      <c r="WUA312" s="147"/>
      <c r="WUB312" s="147"/>
      <c r="WUC312" s="147"/>
      <c r="WUD312" s="147"/>
      <c r="WUE312" s="147"/>
      <c r="WUF312" s="147"/>
      <c r="WUG312" s="147"/>
      <c r="WUH312" s="147"/>
      <c r="WUI312" s="147"/>
      <c r="WUJ312" s="147"/>
      <c r="WUK312" s="147"/>
      <c r="WUL312" s="147"/>
      <c r="WUM312" s="147"/>
      <c r="WUN312" s="147"/>
      <c r="WUO312" s="147"/>
      <c r="WUP312" s="147"/>
      <c r="WUQ312" s="147"/>
      <c r="WUR312" s="147"/>
      <c r="WUS312" s="147"/>
      <c r="WUT312" s="147"/>
      <c r="WUU312" s="147"/>
      <c r="WUV312" s="147"/>
      <c r="WUW312" s="147"/>
      <c r="WUX312" s="147"/>
      <c r="WUY312" s="147"/>
      <c r="WUZ312" s="147"/>
      <c r="WVA312" s="147"/>
      <c r="WVB312" s="147"/>
      <c r="WVC312" s="147"/>
      <c r="WVD312" s="147"/>
      <c r="WVE312" s="147"/>
      <c r="WVF312" s="147"/>
      <c r="WVG312" s="147"/>
      <c r="WVH312" s="147"/>
      <c r="WVI312" s="147"/>
      <c r="WVJ312" s="147"/>
      <c r="WVK312" s="147"/>
      <c r="WVL312" s="147"/>
      <c r="WVM312" s="147"/>
      <c r="WVN312" s="147"/>
      <c r="WVO312" s="147"/>
      <c r="WVP312" s="147"/>
      <c r="WVQ312" s="147"/>
      <c r="WVR312" s="147"/>
      <c r="WVS312" s="147"/>
      <c r="WVT312" s="147"/>
      <c r="WVU312" s="147"/>
      <c r="WVV312" s="147"/>
      <c r="WVW312" s="147"/>
      <c r="WVX312" s="147"/>
      <c r="WVY312" s="147"/>
      <c r="WVZ312" s="147"/>
      <c r="WWA312" s="147"/>
      <c r="WWB312" s="147"/>
      <c r="WWC312" s="147"/>
      <c r="WWD312" s="147"/>
      <c r="WWE312" s="147"/>
      <c r="WWF312" s="147"/>
      <c r="WWG312" s="147"/>
      <c r="WWH312" s="147"/>
      <c r="WWI312" s="147"/>
      <c r="WWJ312" s="147"/>
      <c r="WWK312" s="147"/>
      <c r="WWL312" s="147"/>
      <c r="WWM312" s="147"/>
      <c r="WWN312" s="147"/>
      <c r="WWO312" s="147"/>
      <c r="WWP312" s="147"/>
      <c r="WWQ312" s="147"/>
      <c r="WWR312" s="147"/>
      <c r="WWS312" s="147"/>
      <c r="WWT312" s="147"/>
      <c r="WWU312" s="147"/>
      <c r="WWV312" s="147"/>
      <c r="WWW312" s="147"/>
      <c r="WWX312" s="147"/>
      <c r="WWY312" s="147"/>
      <c r="WWZ312" s="147"/>
      <c r="WXA312" s="147"/>
      <c r="WXB312" s="147"/>
      <c r="WXC312" s="147"/>
      <c r="WXD312" s="147"/>
      <c r="WXE312" s="147"/>
      <c r="WXF312" s="147"/>
      <c r="WXG312" s="147"/>
      <c r="WXH312" s="147"/>
      <c r="WXI312" s="147"/>
      <c r="WXJ312" s="147"/>
      <c r="WXK312" s="147"/>
      <c r="WXL312" s="147"/>
      <c r="WXM312" s="147"/>
      <c r="WXN312" s="147"/>
      <c r="WXO312" s="147"/>
      <c r="WXP312" s="147"/>
      <c r="WXQ312" s="147"/>
      <c r="WXR312" s="147"/>
      <c r="WXS312" s="147"/>
      <c r="WXT312" s="147"/>
      <c r="WXU312" s="147"/>
      <c r="WXV312" s="147"/>
      <c r="WXW312" s="147"/>
      <c r="WXX312" s="147"/>
      <c r="WXY312" s="147"/>
      <c r="WXZ312" s="147"/>
      <c r="WYA312" s="147"/>
      <c r="WYB312" s="147"/>
      <c r="WYC312" s="147"/>
      <c r="WYD312" s="147"/>
      <c r="WYE312" s="147"/>
      <c r="WYF312" s="147"/>
      <c r="WYG312" s="147"/>
      <c r="WYH312" s="147"/>
      <c r="WYI312" s="147"/>
      <c r="WYJ312" s="147"/>
      <c r="WYK312" s="147"/>
      <c r="WYL312" s="147"/>
      <c r="WYM312" s="147"/>
      <c r="WYN312" s="147"/>
      <c r="WYO312" s="147"/>
      <c r="WYP312" s="147"/>
      <c r="WYQ312" s="147"/>
      <c r="WYR312" s="147"/>
      <c r="WYS312" s="147"/>
      <c r="WYT312" s="147"/>
      <c r="WYU312" s="147"/>
      <c r="WYV312" s="147"/>
      <c r="WYW312" s="147"/>
      <c r="WYX312" s="147"/>
      <c r="WYY312" s="147"/>
      <c r="WYZ312" s="147"/>
      <c r="WZA312" s="147"/>
      <c r="WZB312" s="147"/>
      <c r="WZC312" s="147"/>
      <c r="WZD312" s="147"/>
      <c r="WZE312" s="147"/>
      <c r="WZF312" s="147"/>
      <c r="WZG312" s="147"/>
      <c r="WZH312" s="147"/>
      <c r="WZI312" s="147"/>
      <c r="WZJ312" s="147"/>
      <c r="WZK312" s="147"/>
      <c r="WZL312" s="147"/>
      <c r="WZM312" s="147"/>
      <c r="WZN312" s="147"/>
      <c r="WZO312" s="147"/>
      <c r="WZP312" s="147"/>
      <c r="WZQ312" s="147"/>
      <c r="WZR312" s="147"/>
      <c r="WZS312" s="147"/>
      <c r="WZT312" s="147"/>
      <c r="WZU312" s="147"/>
      <c r="WZV312" s="147"/>
      <c r="WZW312" s="147"/>
      <c r="WZX312" s="147"/>
      <c r="WZY312" s="147"/>
      <c r="WZZ312" s="147"/>
      <c r="XAA312" s="147"/>
      <c r="XAB312" s="147"/>
      <c r="XAC312" s="147"/>
      <c r="XAD312" s="147"/>
      <c r="XAE312" s="147"/>
      <c r="XAF312" s="147"/>
      <c r="XAG312" s="147"/>
      <c r="XAH312" s="147"/>
      <c r="XAI312" s="147"/>
      <c r="XAJ312" s="147"/>
      <c r="XAK312" s="147"/>
      <c r="XAL312" s="147"/>
      <c r="XAM312" s="147"/>
      <c r="XAN312" s="147"/>
      <c r="XAO312" s="147"/>
      <c r="XAP312" s="147"/>
      <c r="XAQ312" s="147"/>
      <c r="XAR312" s="147"/>
      <c r="XAS312" s="147"/>
      <c r="XAT312" s="147"/>
      <c r="XAU312" s="147"/>
      <c r="XAV312" s="147"/>
      <c r="XAW312" s="147"/>
      <c r="XAX312" s="147"/>
      <c r="XAY312" s="147"/>
      <c r="XAZ312" s="147"/>
      <c r="XBA312" s="147"/>
      <c r="XBB312" s="147"/>
      <c r="XBC312" s="147"/>
      <c r="XBD312" s="147"/>
      <c r="XBE312" s="147"/>
      <c r="XBF312" s="147"/>
      <c r="XBG312" s="147"/>
      <c r="XBH312" s="147"/>
      <c r="XBI312" s="147"/>
      <c r="XBJ312" s="147"/>
      <c r="XBK312" s="147"/>
      <c r="XBL312" s="147"/>
      <c r="XBM312" s="147"/>
      <c r="XBN312" s="147"/>
      <c r="XBO312" s="147"/>
      <c r="XBP312" s="147"/>
      <c r="XBQ312" s="147"/>
      <c r="XBR312" s="147"/>
      <c r="XBS312" s="147"/>
      <c r="XBT312" s="147"/>
      <c r="XBU312" s="147"/>
      <c r="XBV312" s="147"/>
      <c r="XBW312" s="147"/>
      <c r="XBX312" s="147"/>
      <c r="XBY312" s="147"/>
      <c r="XBZ312" s="147"/>
      <c r="XCA312" s="147"/>
      <c r="XCB312" s="147"/>
      <c r="XCC312" s="147"/>
      <c r="XCD312" s="147"/>
      <c r="XCE312" s="147"/>
      <c r="XCF312" s="147"/>
      <c r="XCG312" s="147"/>
      <c r="XCH312" s="147"/>
      <c r="XCI312" s="147"/>
      <c r="XCJ312" s="147"/>
      <c r="XCK312" s="147"/>
      <c r="XCL312" s="147"/>
      <c r="XCM312" s="147"/>
      <c r="XCN312" s="147"/>
      <c r="XCO312" s="147"/>
      <c r="XCP312" s="147"/>
      <c r="XCQ312" s="147"/>
      <c r="XCR312" s="147"/>
      <c r="XCS312" s="147"/>
      <c r="XCT312" s="147"/>
      <c r="XCU312" s="147"/>
      <c r="XCV312" s="147"/>
      <c r="XCW312" s="147"/>
      <c r="XCX312" s="147"/>
      <c r="XCY312" s="147"/>
      <c r="XCZ312" s="147"/>
      <c r="XDA312" s="147"/>
      <c r="XDB312" s="147"/>
      <c r="XDC312" s="147"/>
      <c r="XDD312" s="147"/>
      <c r="XDE312" s="147"/>
      <c r="XDF312" s="147"/>
      <c r="XDG312" s="147"/>
      <c r="XDH312" s="147"/>
      <c r="XDI312" s="147"/>
      <c r="XDJ312" s="147"/>
      <c r="XDK312" s="147"/>
      <c r="XDL312" s="147"/>
      <c r="XDM312" s="147"/>
      <c r="XDN312" s="147"/>
      <c r="XDO312" s="147"/>
      <c r="XDP312" s="147"/>
      <c r="XDQ312" s="147"/>
      <c r="XDR312" s="147"/>
      <c r="XDS312" s="147"/>
      <c r="XDT312" s="147"/>
      <c r="XDU312" s="147"/>
      <c r="XDV312" s="147"/>
      <c r="XDW312" s="147"/>
      <c r="XDX312" s="147"/>
      <c r="XDY312" s="147"/>
      <c r="XDZ312" s="147"/>
      <c r="XEA312" s="147"/>
      <c r="XEB312" s="147"/>
      <c r="XEC312" s="147"/>
      <c r="XED312" s="147"/>
      <c r="XEE312" s="147"/>
      <c r="XEF312" s="147"/>
      <c r="XEG312" s="147"/>
      <c r="XEH312" s="147"/>
      <c r="XEI312" s="147"/>
      <c r="XEJ312" s="147"/>
      <c r="XEK312" s="147"/>
      <c r="XEL312" s="147"/>
      <c r="XEM312" s="147"/>
      <c r="XEN312" s="147"/>
      <c r="XEO312" s="147"/>
      <c r="XEP312" s="147"/>
      <c r="XEQ312" s="147"/>
      <c r="XER312" s="147"/>
      <c r="XES312" s="147"/>
      <c r="XET312" s="147"/>
      <c r="XEU312" s="147"/>
      <c r="XEV312" s="147"/>
      <c r="XEW312" s="147"/>
      <c r="XEX312" s="147"/>
      <c r="XEY312" s="147"/>
      <c r="XEZ312" s="147"/>
      <c r="XFA312" s="147"/>
      <c r="XFB312" s="147"/>
      <c r="XFC312" s="147"/>
      <c r="XFD312" s="147"/>
    </row>
    <row r="313" spans="1:16384" ht="17.25" customHeight="1" x14ac:dyDescent="0.35">
      <c r="A313" s="138">
        <v>1</v>
      </c>
      <c r="B313" s="139" t="s">
        <v>811</v>
      </c>
      <c r="C313" s="123">
        <v>9</v>
      </c>
      <c r="D313" s="127">
        <v>0</v>
      </c>
      <c r="E313" s="128">
        <f t="shared" si="32"/>
        <v>9</v>
      </c>
      <c r="F313" s="24" t="s">
        <v>18</v>
      </c>
      <c r="G313" s="131"/>
      <c r="H313" s="131"/>
      <c r="I313" s="132">
        <f t="shared" ref="I313:I323" si="36">L$4</f>
        <v>0</v>
      </c>
      <c r="J313" s="113">
        <v>4.5</v>
      </c>
      <c r="K313" s="132">
        <f t="shared" ref="K313:K323" si="37">J313*I313</f>
        <v>0</v>
      </c>
      <c r="L313" s="133">
        <f t="shared" ref="L313:L323" si="38">K313+H313</f>
        <v>0</v>
      </c>
    </row>
    <row r="314" spans="1:16384" ht="17.25" customHeight="1" x14ac:dyDescent="0.35">
      <c r="A314" s="138">
        <v>2</v>
      </c>
      <c r="B314" s="140" t="s">
        <v>812</v>
      </c>
      <c r="C314" s="123">
        <v>8</v>
      </c>
      <c r="D314" s="127">
        <v>0</v>
      </c>
      <c r="E314" s="128">
        <f t="shared" si="32"/>
        <v>8</v>
      </c>
      <c r="F314" s="24" t="s">
        <v>18</v>
      </c>
      <c r="G314" s="131"/>
      <c r="H314" s="131"/>
      <c r="I314" s="132">
        <f t="shared" si="36"/>
        <v>0</v>
      </c>
      <c r="J314" s="113">
        <v>4</v>
      </c>
      <c r="K314" s="132">
        <f t="shared" si="37"/>
        <v>0</v>
      </c>
      <c r="L314" s="133">
        <f t="shared" si="38"/>
        <v>0</v>
      </c>
    </row>
    <row r="315" spans="1:16384" ht="17.25" customHeight="1" x14ac:dyDescent="0.35">
      <c r="A315" s="138">
        <v>3</v>
      </c>
      <c r="B315" s="140" t="s">
        <v>813</v>
      </c>
      <c r="C315" s="123">
        <v>11</v>
      </c>
      <c r="D315" s="127">
        <v>0</v>
      </c>
      <c r="E315" s="128">
        <f t="shared" si="32"/>
        <v>11</v>
      </c>
      <c r="F315" s="24" t="s">
        <v>18</v>
      </c>
      <c r="G315" s="131"/>
      <c r="H315" s="131"/>
      <c r="I315" s="132">
        <f t="shared" si="36"/>
        <v>0</v>
      </c>
      <c r="J315" s="113">
        <v>5.5</v>
      </c>
      <c r="K315" s="132">
        <f t="shared" si="37"/>
        <v>0</v>
      </c>
      <c r="L315" s="133">
        <f t="shared" si="38"/>
        <v>0</v>
      </c>
    </row>
    <row r="316" spans="1:16384" ht="17.25" customHeight="1" x14ac:dyDescent="0.35">
      <c r="A316" s="138">
        <v>4</v>
      </c>
      <c r="B316" s="130" t="s">
        <v>814</v>
      </c>
      <c r="C316" s="123">
        <v>8</v>
      </c>
      <c r="D316" s="127">
        <v>0</v>
      </c>
      <c r="E316" s="128">
        <f t="shared" si="32"/>
        <v>8</v>
      </c>
      <c r="F316" s="24" t="s">
        <v>18</v>
      </c>
      <c r="G316" s="131"/>
      <c r="H316" s="131"/>
      <c r="I316" s="132">
        <f t="shared" si="36"/>
        <v>0</v>
      </c>
      <c r="J316" s="113">
        <v>4</v>
      </c>
      <c r="K316" s="132">
        <f t="shared" si="37"/>
        <v>0</v>
      </c>
      <c r="L316" s="133">
        <f t="shared" si="38"/>
        <v>0</v>
      </c>
    </row>
    <row r="317" spans="1:16384" ht="17.25" customHeight="1" x14ac:dyDescent="0.35">
      <c r="A317" s="138">
        <v>5</v>
      </c>
      <c r="B317" s="130" t="s">
        <v>815</v>
      </c>
      <c r="C317" s="123">
        <v>50</v>
      </c>
      <c r="D317" s="127">
        <v>0</v>
      </c>
      <c r="E317" s="128">
        <f t="shared" si="32"/>
        <v>50</v>
      </c>
      <c r="F317" s="24" t="s">
        <v>18</v>
      </c>
      <c r="G317" s="131"/>
      <c r="H317" s="131"/>
      <c r="I317" s="132">
        <f t="shared" si="36"/>
        <v>0</v>
      </c>
      <c r="J317" s="113">
        <v>25</v>
      </c>
      <c r="K317" s="132">
        <f t="shared" si="37"/>
        <v>0</v>
      </c>
      <c r="L317" s="133">
        <f t="shared" si="38"/>
        <v>0</v>
      </c>
    </row>
    <row r="318" spans="1:16384" ht="17.25" customHeight="1" x14ac:dyDescent="0.35">
      <c r="A318" s="138">
        <v>6</v>
      </c>
      <c r="B318" s="130" t="s">
        <v>816</v>
      </c>
      <c r="C318" s="123">
        <v>1</v>
      </c>
      <c r="D318" s="127">
        <v>0</v>
      </c>
      <c r="E318" s="128">
        <f t="shared" si="32"/>
        <v>1</v>
      </c>
      <c r="F318" s="24" t="s">
        <v>18</v>
      </c>
      <c r="G318" s="131"/>
      <c r="H318" s="131"/>
      <c r="I318" s="132">
        <f t="shared" si="36"/>
        <v>0</v>
      </c>
      <c r="J318" s="113">
        <v>0.5</v>
      </c>
      <c r="K318" s="132">
        <f t="shared" si="37"/>
        <v>0</v>
      </c>
      <c r="L318" s="133">
        <f t="shared" si="38"/>
        <v>0</v>
      </c>
    </row>
    <row r="319" spans="1:16384" ht="17.25" customHeight="1" x14ac:dyDescent="0.35">
      <c r="A319" s="138">
        <v>7</v>
      </c>
      <c r="B319" s="130" t="s">
        <v>817</v>
      </c>
      <c r="C319" s="123">
        <v>2</v>
      </c>
      <c r="D319" s="127">
        <v>0</v>
      </c>
      <c r="E319" s="128">
        <f t="shared" si="32"/>
        <v>2</v>
      </c>
      <c r="F319" s="24" t="s">
        <v>18</v>
      </c>
      <c r="G319" s="131"/>
      <c r="H319" s="131"/>
      <c r="I319" s="132">
        <f t="shared" si="36"/>
        <v>0</v>
      </c>
      <c r="J319" s="113">
        <v>1</v>
      </c>
      <c r="K319" s="132">
        <f t="shared" si="37"/>
        <v>0</v>
      </c>
      <c r="L319" s="133">
        <f t="shared" si="38"/>
        <v>0</v>
      </c>
    </row>
    <row r="320" spans="1:16384" ht="17.25" customHeight="1" x14ac:dyDescent="0.35">
      <c r="A320" s="138">
        <v>8</v>
      </c>
      <c r="B320" s="130" t="s">
        <v>818</v>
      </c>
      <c r="C320" s="123">
        <v>3</v>
      </c>
      <c r="D320" s="127">
        <v>0</v>
      </c>
      <c r="E320" s="128">
        <f t="shared" si="32"/>
        <v>3</v>
      </c>
      <c r="F320" s="24" t="s">
        <v>18</v>
      </c>
      <c r="G320" s="131"/>
      <c r="H320" s="131"/>
      <c r="I320" s="132">
        <f t="shared" si="36"/>
        <v>0</v>
      </c>
      <c r="J320" s="113">
        <v>1.5</v>
      </c>
      <c r="K320" s="132">
        <f t="shared" si="37"/>
        <v>0</v>
      </c>
      <c r="L320" s="133">
        <f t="shared" si="38"/>
        <v>0</v>
      </c>
    </row>
    <row r="321" spans="1:12" ht="17.25" customHeight="1" x14ac:dyDescent="0.35">
      <c r="A321" s="138">
        <v>9</v>
      </c>
      <c r="B321" s="130" t="s">
        <v>819</v>
      </c>
      <c r="C321" s="123">
        <v>2</v>
      </c>
      <c r="D321" s="127">
        <v>0</v>
      </c>
      <c r="E321" s="128">
        <f t="shared" si="32"/>
        <v>2</v>
      </c>
      <c r="F321" s="24" t="s">
        <v>18</v>
      </c>
      <c r="G321" s="131"/>
      <c r="H321" s="131"/>
      <c r="I321" s="132">
        <f t="shared" si="36"/>
        <v>0</v>
      </c>
      <c r="J321" s="113">
        <v>1</v>
      </c>
      <c r="K321" s="132">
        <f t="shared" si="37"/>
        <v>0</v>
      </c>
      <c r="L321" s="133">
        <f t="shared" si="38"/>
        <v>0</v>
      </c>
    </row>
    <row r="322" spans="1:12" ht="17.25" customHeight="1" x14ac:dyDescent="0.35">
      <c r="A322" s="138">
        <v>10</v>
      </c>
      <c r="B322" s="130" t="s">
        <v>820</v>
      </c>
      <c r="C322" s="123">
        <v>7</v>
      </c>
      <c r="D322" s="127">
        <v>0</v>
      </c>
      <c r="E322" s="128">
        <f t="shared" si="32"/>
        <v>7</v>
      </c>
      <c r="F322" s="24" t="s">
        <v>18</v>
      </c>
      <c r="G322" s="131"/>
      <c r="H322" s="131"/>
      <c r="I322" s="132">
        <f t="shared" si="36"/>
        <v>0</v>
      </c>
      <c r="J322" s="113">
        <v>3.5</v>
      </c>
      <c r="K322" s="132">
        <f t="shared" si="37"/>
        <v>0</v>
      </c>
      <c r="L322" s="133">
        <f t="shared" si="38"/>
        <v>0</v>
      </c>
    </row>
    <row r="323" spans="1:12" ht="17.25" customHeight="1" x14ac:dyDescent="0.35">
      <c r="A323" s="138">
        <v>11</v>
      </c>
      <c r="B323" s="130" t="s">
        <v>821</v>
      </c>
      <c r="C323" s="123">
        <v>4</v>
      </c>
      <c r="D323" s="127">
        <v>0</v>
      </c>
      <c r="E323" s="128">
        <f t="shared" si="32"/>
        <v>4</v>
      </c>
      <c r="F323" s="24" t="s">
        <v>18</v>
      </c>
      <c r="G323" s="131"/>
      <c r="H323" s="131"/>
      <c r="I323" s="132">
        <f t="shared" si="36"/>
        <v>0</v>
      </c>
      <c r="J323" s="113">
        <v>2</v>
      </c>
      <c r="K323" s="132">
        <f t="shared" si="37"/>
        <v>0</v>
      </c>
      <c r="L323" s="133">
        <f t="shared" si="38"/>
        <v>0</v>
      </c>
    </row>
    <row r="324" spans="1:12" ht="17.25" customHeight="1" thickBot="1" x14ac:dyDescent="0.4">
      <c r="A324" s="129"/>
      <c r="B324" s="130"/>
      <c r="C324" s="123"/>
      <c r="D324" s="127"/>
      <c r="E324" s="128"/>
      <c r="F324" s="24"/>
      <c r="G324" s="131"/>
      <c r="H324" s="131"/>
      <c r="I324" s="132"/>
      <c r="J324" s="113"/>
      <c r="K324" s="132"/>
      <c r="L324" s="133"/>
    </row>
    <row r="325" spans="1:12" ht="17.25" customHeight="1" thickBot="1" x14ac:dyDescent="0.4">
      <c r="A325" s="382" t="s">
        <v>1112</v>
      </c>
      <c r="B325" s="383"/>
      <c r="C325" s="134"/>
      <c r="D325" s="127"/>
      <c r="E325" s="128"/>
      <c r="F325" s="24"/>
      <c r="G325" s="131"/>
      <c r="H325" s="131"/>
      <c r="I325" s="132"/>
      <c r="J325" s="113"/>
      <c r="K325" s="132"/>
      <c r="L325" s="133"/>
    </row>
    <row r="326" spans="1:12" ht="17.25" customHeight="1" x14ac:dyDescent="0.35">
      <c r="A326" s="197">
        <v>1</v>
      </c>
      <c r="B326" s="199" t="s">
        <v>822</v>
      </c>
      <c r="C326" s="123">
        <v>1</v>
      </c>
      <c r="D326" s="127">
        <v>0</v>
      </c>
      <c r="E326" s="128">
        <f t="shared" si="32"/>
        <v>1</v>
      </c>
      <c r="F326" s="24" t="s">
        <v>18</v>
      </c>
      <c r="G326" s="131"/>
      <c r="H326" s="131"/>
      <c r="I326" s="132">
        <f t="shared" ref="I326:I332" si="39">L$4</f>
        <v>0</v>
      </c>
      <c r="J326" s="113">
        <v>0.5</v>
      </c>
      <c r="K326" s="132">
        <f t="shared" ref="K326:K332" si="40">J326*I326</f>
        <v>0</v>
      </c>
      <c r="L326" s="133">
        <f t="shared" ref="L326:L332" si="41">K326+H326</f>
        <v>0</v>
      </c>
    </row>
    <row r="327" spans="1:12" ht="17.25" customHeight="1" x14ac:dyDescent="0.35">
      <c r="A327" s="129">
        <v>2</v>
      </c>
      <c r="B327" s="130" t="s">
        <v>823</v>
      </c>
      <c r="C327" s="123">
        <v>1</v>
      </c>
      <c r="D327" s="127">
        <v>0</v>
      </c>
      <c r="E327" s="128">
        <f t="shared" si="32"/>
        <v>1</v>
      </c>
      <c r="F327" s="24" t="s">
        <v>18</v>
      </c>
      <c r="G327" s="131"/>
      <c r="H327" s="131"/>
      <c r="I327" s="132">
        <f t="shared" si="39"/>
        <v>0</v>
      </c>
      <c r="J327" s="113">
        <v>0.5</v>
      </c>
      <c r="K327" s="132">
        <f t="shared" si="40"/>
        <v>0</v>
      </c>
      <c r="L327" s="133">
        <f t="shared" si="41"/>
        <v>0</v>
      </c>
    </row>
    <row r="328" spans="1:12" ht="17.25" customHeight="1" x14ac:dyDescent="0.35">
      <c r="A328" s="129">
        <v>3</v>
      </c>
      <c r="B328" s="130" t="s">
        <v>824</v>
      </c>
      <c r="C328" s="123">
        <v>1</v>
      </c>
      <c r="D328" s="127">
        <v>0</v>
      </c>
      <c r="E328" s="128">
        <f t="shared" si="32"/>
        <v>1</v>
      </c>
      <c r="F328" s="24" t="s">
        <v>18</v>
      </c>
      <c r="G328" s="131"/>
      <c r="H328" s="131"/>
      <c r="I328" s="132">
        <f t="shared" si="39"/>
        <v>0</v>
      </c>
      <c r="J328" s="113">
        <v>0.5</v>
      </c>
      <c r="K328" s="132">
        <f t="shared" si="40"/>
        <v>0</v>
      </c>
      <c r="L328" s="133">
        <f t="shared" si="41"/>
        <v>0</v>
      </c>
    </row>
    <row r="329" spans="1:12" ht="17.25" customHeight="1" x14ac:dyDescent="0.35">
      <c r="A329" s="129">
        <v>4</v>
      </c>
      <c r="B329" s="130" t="s">
        <v>825</v>
      </c>
      <c r="C329" s="123">
        <v>1</v>
      </c>
      <c r="D329" s="127">
        <v>0</v>
      </c>
      <c r="E329" s="128">
        <f t="shared" si="32"/>
        <v>1</v>
      </c>
      <c r="F329" s="24" t="s">
        <v>18</v>
      </c>
      <c r="G329" s="131"/>
      <c r="H329" s="131"/>
      <c r="I329" s="132">
        <f t="shared" si="39"/>
        <v>0</v>
      </c>
      <c r="J329" s="113">
        <v>0.5</v>
      </c>
      <c r="K329" s="132">
        <f t="shared" si="40"/>
        <v>0</v>
      </c>
      <c r="L329" s="133">
        <f t="shared" si="41"/>
        <v>0</v>
      </c>
    </row>
    <row r="330" spans="1:12" ht="17.25" customHeight="1" x14ac:dyDescent="0.35">
      <c r="A330" s="129">
        <v>5</v>
      </c>
      <c r="B330" s="130" t="s">
        <v>826</v>
      </c>
      <c r="C330" s="123">
        <v>3</v>
      </c>
      <c r="D330" s="127">
        <v>0</v>
      </c>
      <c r="E330" s="128">
        <f t="shared" si="32"/>
        <v>3</v>
      </c>
      <c r="F330" s="24" t="s">
        <v>18</v>
      </c>
      <c r="G330" s="131"/>
      <c r="H330" s="131"/>
      <c r="I330" s="132">
        <f t="shared" si="39"/>
        <v>0</v>
      </c>
      <c r="J330" s="113">
        <v>1.5</v>
      </c>
      <c r="K330" s="132">
        <f t="shared" si="40"/>
        <v>0</v>
      </c>
      <c r="L330" s="133">
        <f t="shared" si="41"/>
        <v>0</v>
      </c>
    </row>
    <row r="331" spans="1:12" ht="17.25" customHeight="1" x14ac:dyDescent="0.35">
      <c r="A331" s="129">
        <v>6</v>
      </c>
      <c r="B331" s="130" t="s">
        <v>827</v>
      </c>
      <c r="C331" s="123">
        <v>1</v>
      </c>
      <c r="D331" s="127">
        <v>0</v>
      </c>
      <c r="E331" s="128">
        <f t="shared" si="32"/>
        <v>1</v>
      </c>
      <c r="F331" s="24" t="s">
        <v>18</v>
      </c>
      <c r="G331" s="131"/>
      <c r="H331" s="131"/>
      <c r="I331" s="132">
        <f t="shared" si="39"/>
        <v>0</v>
      </c>
      <c r="J331" s="113">
        <v>0.5</v>
      </c>
      <c r="K331" s="132">
        <f t="shared" si="40"/>
        <v>0</v>
      </c>
      <c r="L331" s="133">
        <f t="shared" si="41"/>
        <v>0</v>
      </c>
    </row>
    <row r="332" spans="1:12" ht="17.25" customHeight="1" x14ac:dyDescent="0.35">
      <c r="A332" s="129">
        <v>7</v>
      </c>
      <c r="B332" s="130" t="s">
        <v>828</v>
      </c>
      <c r="C332" s="123">
        <v>1</v>
      </c>
      <c r="D332" s="127">
        <v>0</v>
      </c>
      <c r="E332" s="128">
        <f t="shared" si="32"/>
        <v>1</v>
      </c>
      <c r="F332" s="24" t="s">
        <v>18</v>
      </c>
      <c r="G332" s="131"/>
      <c r="H332" s="131"/>
      <c r="I332" s="132">
        <f t="shared" si="39"/>
        <v>0</v>
      </c>
      <c r="J332" s="113">
        <v>0.5</v>
      </c>
      <c r="K332" s="132">
        <f t="shared" si="40"/>
        <v>0</v>
      </c>
      <c r="L332" s="133">
        <f t="shared" si="41"/>
        <v>0</v>
      </c>
    </row>
    <row r="333" spans="1:12" ht="17.25" customHeight="1" thickBot="1" x14ac:dyDescent="0.4">
      <c r="A333" s="129"/>
      <c r="B333" s="130"/>
      <c r="C333" s="123"/>
      <c r="D333" s="127"/>
      <c r="E333" s="128"/>
      <c r="F333" s="24"/>
      <c r="G333" s="131"/>
      <c r="H333" s="131"/>
      <c r="I333" s="132"/>
      <c r="J333" s="113"/>
      <c r="K333" s="132"/>
      <c r="L333" s="133"/>
    </row>
    <row r="334" spans="1:12" ht="17.25" customHeight="1" thickBot="1" x14ac:dyDescent="0.4">
      <c r="A334" s="382" t="s">
        <v>1113</v>
      </c>
      <c r="B334" s="383"/>
      <c r="C334" s="134"/>
      <c r="D334" s="127"/>
      <c r="E334" s="128"/>
      <c r="F334" s="24"/>
      <c r="G334" s="131"/>
      <c r="H334" s="131"/>
      <c r="I334" s="132"/>
      <c r="J334" s="113"/>
      <c r="K334" s="132"/>
      <c r="L334" s="133"/>
    </row>
    <row r="335" spans="1:12" ht="17.25" customHeight="1" x14ac:dyDescent="0.35">
      <c r="A335" s="197">
        <v>1</v>
      </c>
      <c r="B335" s="199" t="s">
        <v>829</v>
      </c>
      <c r="C335" s="123">
        <v>1</v>
      </c>
      <c r="D335" s="127">
        <v>0</v>
      </c>
      <c r="E335" s="128">
        <f t="shared" si="32"/>
        <v>1</v>
      </c>
      <c r="F335" s="24" t="s">
        <v>18</v>
      </c>
      <c r="G335" s="131"/>
      <c r="H335" s="131"/>
      <c r="I335" s="132">
        <f t="shared" ref="I335:I338" si="42">L$4</f>
        <v>0</v>
      </c>
      <c r="J335" s="113">
        <v>0.5</v>
      </c>
      <c r="K335" s="132">
        <f t="shared" ref="K335:K338" si="43">J335*I335</f>
        <v>0</v>
      </c>
      <c r="L335" s="133">
        <f t="shared" ref="L335:L338" si="44">K335+H335</f>
        <v>0</v>
      </c>
    </row>
    <row r="336" spans="1:12" ht="17.25" customHeight="1" x14ac:dyDescent="0.35">
      <c r="A336" s="129">
        <v>2</v>
      </c>
      <c r="B336" s="130" t="s">
        <v>830</v>
      </c>
      <c r="C336" s="123">
        <v>1</v>
      </c>
      <c r="D336" s="127">
        <v>0</v>
      </c>
      <c r="E336" s="128">
        <f t="shared" si="32"/>
        <v>1</v>
      </c>
      <c r="F336" s="24" t="s">
        <v>18</v>
      </c>
      <c r="G336" s="131"/>
      <c r="H336" s="131"/>
      <c r="I336" s="132">
        <f t="shared" si="42"/>
        <v>0</v>
      </c>
      <c r="J336" s="113">
        <v>0.5</v>
      </c>
      <c r="K336" s="132">
        <f t="shared" si="43"/>
        <v>0</v>
      </c>
      <c r="L336" s="133">
        <f t="shared" si="44"/>
        <v>0</v>
      </c>
    </row>
    <row r="337" spans="1:12" ht="17.25" customHeight="1" x14ac:dyDescent="0.35">
      <c r="A337" s="129">
        <v>3</v>
      </c>
      <c r="B337" s="130" t="s">
        <v>831</v>
      </c>
      <c r="C337" s="123">
        <v>1</v>
      </c>
      <c r="D337" s="127">
        <v>0</v>
      </c>
      <c r="E337" s="128">
        <f t="shared" si="32"/>
        <v>1</v>
      </c>
      <c r="F337" s="24" t="s">
        <v>18</v>
      </c>
      <c r="G337" s="131"/>
      <c r="H337" s="131"/>
      <c r="I337" s="132">
        <f t="shared" si="42"/>
        <v>0</v>
      </c>
      <c r="J337" s="113">
        <v>0.5</v>
      </c>
      <c r="K337" s="132">
        <f t="shared" si="43"/>
        <v>0</v>
      </c>
      <c r="L337" s="133">
        <f t="shared" si="44"/>
        <v>0</v>
      </c>
    </row>
    <row r="338" spans="1:12" ht="17.25" customHeight="1" x14ac:dyDescent="0.35">
      <c r="A338" s="129">
        <v>4</v>
      </c>
      <c r="B338" s="130" t="s">
        <v>832</v>
      </c>
      <c r="C338" s="123">
        <v>1</v>
      </c>
      <c r="D338" s="127">
        <v>0</v>
      </c>
      <c r="E338" s="128">
        <f t="shared" si="32"/>
        <v>1</v>
      </c>
      <c r="F338" s="24" t="s">
        <v>18</v>
      </c>
      <c r="G338" s="131"/>
      <c r="H338" s="131"/>
      <c r="I338" s="132">
        <f t="shared" si="42"/>
        <v>0</v>
      </c>
      <c r="J338" s="113">
        <v>0.5</v>
      </c>
      <c r="K338" s="132">
        <f t="shared" si="43"/>
        <v>0</v>
      </c>
      <c r="L338" s="133">
        <f t="shared" si="44"/>
        <v>0</v>
      </c>
    </row>
    <row r="339" spans="1:12" ht="17.25" customHeight="1" thickBot="1" x14ac:dyDescent="0.4">
      <c r="A339" s="129"/>
      <c r="B339" s="130"/>
      <c r="C339" s="123"/>
      <c r="D339" s="127"/>
      <c r="E339" s="128"/>
      <c r="F339" s="24"/>
      <c r="G339" s="131"/>
      <c r="H339" s="131"/>
      <c r="I339" s="132"/>
      <c r="J339" s="113"/>
      <c r="K339" s="132"/>
      <c r="L339" s="133"/>
    </row>
    <row r="340" spans="1:12" ht="17.25" customHeight="1" thickBot="1" x14ac:dyDescent="0.4">
      <c r="A340" s="382" t="s">
        <v>1114</v>
      </c>
      <c r="B340" s="383"/>
      <c r="C340" s="134"/>
      <c r="D340" s="127"/>
      <c r="E340" s="128"/>
      <c r="F340" s="24"/>
      <c r="G340" s="131"/>
      <c r="H340" s="131"/>
      <c r="I340" s="132"/>
      <c r="J340" s="113"/>
      <c r="K340" s="132"/>
      <c r="L340" s="133"/>
    </row>
    <row r="341" spans="1:12" ht="17.25" customHeight="1" x14ac:dyDescent="0.35">
      <c r="A341" s="197">
        <v>1</v>
      </c>
      <c r="B341" s="199" t="s">
        <v>833</v>
      </c>
      <c r="C341" s="123">
        <v>1</v>
      </c>
      <c r="D341" s="127">
        <v>0</v>
      </c>
      <c r="E341" s="128">
        <f t="shared" si="32"/>
        <v>1</v>
      </c>
      <c r="F341" s="24" t="s">
        <v>18</v>
      </c>
      <c r="G341" s="131"/>
      <c r="H341" s="131"/>
      <c r="I341" s="132">
        <f t="shared" ref="I341:I353" si="45">L$4</f>
        <v>0</v>
      </c>
      <c r="J341" s="113">
        <v>0.5</v>
      </c>
      <c r="K341" s="132">
        <f t="shared" ref="K341:K353" si="46">J341*I341</f>
        <v>0</v>
      </c>
      <c r="L341" s="133">
        <f t="shared" ref="L341:L353" si="47">K341+H341</f>
        <v>0</v>
      </c>
    </row>
    <row r="342" spans="1:12" ht="17.25" customHeight="1" x14ac:dyDescent="0.35">
      <c r="A342" s="129">
        <v>2</v>
      </c>
      <c r="B342" s="130" t="s">
        <v>834</v>
      </c>
      <c r="C342" s="123">
        <v>8</v>
      </c>
      <c r="D342" s="127">
        <v>0</v>
      </c>
      <c r="E342" s="128">
        <f t="shared" si="32"/>
        <v>8</v>
      </c>
      <c r="F342" s="24" t="s">
        <v>18</v>
      </c>
      <c r="G342" s="131"/>
      <c r="H342" s="131"/>
      <c r="I342" s="132">
        <f t="shared" si="45"/>
        <v>0</v>
      </c>
      <c r="J342" s="113">
        <v>4</v>
      </c>
      <c r="K342" s="132">
        <f t="shared" si="46"/>
        <v>0</v>
      </c>
      <c r="L342" s="133">
        <f t="shared" si="47"/>
        <v>0</v>
      </c>
    </row>
    <row r="343" spans="1:12" ht="17.25" customHeight="1" x14ac:dyDescent="0.35">
      <c r="A343" s="129">
        <v>3</v>
      </c>
      <c r="B343" s="130" t="s">
        <v>835</v>
      </c>
      <c r="C343" s="123">
        <v>2</v>
      </c>
      <c r="D343" s="127">
        <v>0</v>
      </c>
      <c r="E343" s="128">
        <f t="shared" si="32"/>
        <v>2</v>
      </c>
      <c r="F343" s="24" t="s">
        <v>18</v>
      </c>
      <c r="G343" s="131"/>
      <c r="H343" s="131"/>
      <c r="I343" s="132">
        <f t="shared" si="45"/>
        <v>0</v>
      </c>
      <c r="J343" s="113">
        <v>1</v>
      </c>
      <c r="K343" s="132">
        <f t="shared" si="46"/>
        <v>0</v>
      </c>
      <c r="L343" s="133">
        <f t="shared" si="47"/>
        <v>0</v>
      </c>
    </row>
    <row r="344" spans="1:12" ht="17.25" customHeight="1" x14ac:dyDescent="0.35">
      <c r="A344" s="129">
        <v>4</v>
      </c>
      <c r="B344" s="130" t="s">
        <v>836</v>
      </c>
      <c r="C344" s="123">
        <v>5</v>
      </c>
      <c r="D344" s="127">
        <v>0</v>
      </c>
      <c r="E344" s="128">
        <f t="shared" si="32"/>
        <v>5</v>
      </c>
      <c r="F344" s="24" t="s">
        <v>18</v>
      </c>
      <c r="G344" s="131"/>
      <c r="H344" s="131"/>
      <c r="I344" s="132">
        <f t="shared" si="45"/>
        <v>0</v>
      </c>
      <c r="J344" s="113">
        <v>2.5</v>
      </c>
      <c r="K344" s="132">
        <f t="shared" si="46"/>
        <v>0</v>
      </c>
      <c r="L344" s="133">
        <f t="shared" si="47"/>
        <v>0</v>
      </c>
    </row>
    <row r="345" spans="1:12" ht="17.25" customHeight="1" x14ac:dyDescent="0.35">
      <c r="A345" s="129">
        <v>5</v>
      </c>
      <c r="B345" s="130" t="s">
        <v>631</v>
      </c>
      <c r="C345" s="123">
        <v>1</v>
      </c>
      <c r="D345" s="127">
        <v>0</v>
      </c>
      <c r="E345" s="128">
        <f t="shared" si="32"/>
        <v>1</v>
      </c>
      <c r="F345" s="24" t="s">
        <v>18</v>
      </c>
      <c r="G345" s="131"/>
      <c r="H345" s="131"/>
      <c r="I345" s="132">
        <f t="shared" si="45"/>
        <v>0</v>
      </c>
      <c r="J345" s="113">
        <v>0.5</v>
      </c>
      <c r="K345" s="132">
        <f t="shared" si="46"/>
        <v>0</v>
      </c>
      <c r="L345" s="133">
        <f t="shared" si="47"/>
        <v>0</v>
      </c>
    </row>
    <row r="346" spans="1:12" ht="17.25" customHeight="1" x14ac:dyDescent="0.35">
      <c r="A346" s="129">
        <v>6</v>
      </c>
      <c r="B346" s="130" t="s">
        <v>837</v>
      </c>
      <c r="C346" s="123">
        <v>8</v>
      </c>
      <c r="D346" s="127">
        <v>0</v>
      </c>
      <c r="E346" s="128">
        <f t="shared" si="32"/>
        <v>8</v>
      </c>
      <c r="F346" s="24" t="s">
        <v>18</v>
      </c>
      <c r="G346" s="131"/>
      <c r="H346" s="131"/>
      <c r="I346" s="132">
        <f t="shared" si="45"/>
        <v>0</v>
      </c>
      <c r="J346" s="113">
        <v>4</v>
      </c>
      <c r="K346" s="132">
        <f t="shared" si="46"/>
        <v>0</v>
      </c>
      <c r="L346" s="133">
        <f t="shared" si="47"/>
        <v>0</v>
      </c>
    </row>
    <row r="347" spans="1:12" ht="17.25" customHeight="1" x14ac:dyDescent="0.35">
      <c r="A347" s="129">
        <v>7</v>
      </c>
      <c r="B347" s="130" t="s">
        <v>838</v>
      </c>
      <c r="C347" s="123">
        <v>5</v>
      </c>
      <c r="D347" s="127">
        <v>0</v>
      </c>
      <c r="E347" s="128">
        <f t="shared" si="32"/>
        <v>5</v>
      </c>
      <c r="F347" s="24" t="s">
        <v>18</v>
      </c>
      <c r="G347" s="131"/>
      <c r="H347" s="131"/>
      <c r="I347" s="132">
        <f t="shared" si="45"/>
        <v>0</v>
      </c>
      <c r="J347" s="113">
        <v>2.5</v>
      </c>
      <c r="K347" s="132">
        <f t="shared" si="46"/>
        <v>0</v>
      </c>
      <c r="L347" s="133">
        <f t="shared" si="47"/>
        <v>0</v>
      </c>
    </row>
    <row r="348" spans="1:12" ht="17.25" customHeight="1" x14ac:dyDescent="0.35">
      <c r="A348" s="129">
        <v>8</v>
      </c>
      <c r="B348" s="130" t="s">
        <v>839</v>
      </c>
      <c r="C348" s="123">
        <v>5</v>
      </c>
      <c r="D348" s="127">
        <v>0</v>
      </c>
      <c r="E348" s="128">
        <f t="shared" si="32"/>
        <v>5</v>
      </c>
      <c r="F348" s="24" t="s">
        <v>18</v>
      </c>
      <c r="G348" s="131"/>
      <c r="H348" s="131"/>
      <c r="I348" s="132">
        <f t="shared" si="45"/>
        <v>0</v>
      </c>
      <c r="J348" s="113">
        <v>2.5</v>
      </c>
      <c r="K348" s="132">
        <f t="shared" si="46"/>
        <v>0</v>
      </c>
      <c r="L348" s="133">
        <f t="shared" si="47"/>
        <v>0</v>
      </c>
    </row>
    <row r="349" spans="1:12" ht="17.25" customHeight="1" x14ac:dyDescent="0.35">
      <c r="A349" s="129">
        <v>9</v>
      </c>
      <c r="B349" s="130" t="s">
        <v>840</v>
      </c>
      <c r="C349" s="123">
        <v>15</v>
      </c>
      <c r="D349" s="127">
        <v>0</v>
      </c>
      <c r="E349" s="128">
        <f t="shared" si="32"/>
        <v>15</v>
      </c>
      <c r="F349" s="24" t="s">
        <v>18</v>
      </c>
      <c r="G349" s="131"/>
      <c r="H349" s="131"/>
      <c r="I349" s="132">
        <f t="shared" si="45"/>
        <v>0</v>
      </c>
      <c r="J349" s="113">
        <v>7.5</v>
      </c>
      <c r="K349" s="132">
        <f t="shared" si="46"/>
        <v>0</v>
      </c>
      <c r="L349" s="133">
        <f t="shared" si="47"/>
        <v>0</v>
      </c>
    </row>
    <row r="350" spans="1:12" ht="17.25" customHeight="1" x14ac:dyDescent="0.35">
      <c r="A350" s="129">
        <v>10</v>
      </c>
      <c r="B350" s="130" t="s">
        <v>841</v>
      </c>
      <c r="C350" s="123">
        <v>9</v>
      </c>
      <c r="D350" s="127">
        <v>0</v>
      </c>
      <c r="E350" s="128">
        <f t="shared" si="32"/>
        <v>9</v>
      </c>
      <c r="F350" s="24" t="s">
        <v>18</v>
      </c>
      <c r="G350" s="131"/>
      <c r="H350" s="131"/>
      <c r="I350" s="132">
        <f t="shared" si="45"/>
        <v>0</v>
      </c>
      <c r="J350" s="113">
        <v>4.5</v>
      </c>
      <c r="K350" s="132">
        <f t="shared" si="46"/>
        <v>0</v>
      </c>
      <c r="L350" s="133">
        <f t="shared" si="47"/>
        <v>0</v>
      </c>
    </row>
    <row r="351" spans="1:12" ht="17.25" customHeight="1" x14ac:dyDescent="0.35">
      <c r="A351" s="129">
        <v>11</v>
      </c>
      <c r="B351" s="130" t="s">
        <v>842</v>
      </c>
      <c r="C351" s="123">
        <v>4</v>
      </c>
      <c r="D351" s="127">
        <v>0</v>
      </c>
      <c r="E351" s="128">
        <f t="shared" si="32"/>
        <v>4</v>
      </c>
      <c r="F351" s="24" t="s">
        <v>18</v>
      </c>
      <c r="G351" s="131"/>
      <c r="H351" s="131"/>
      <c r="I351" s="132">
        <f t="shared" si="45"/>
        <v>0</v>
      </c>
      <c r="J351" s="113">
        <v>2</v>
      </c>
      <c r="K351" s="132">
        <f t="shared" si="46"/>
        <v>0</v>
      </c>
      <c r="L351" s="133">
        <f t="shared" si="47"/>
        <v>0</v>
      </c>
    </row>
    <row r="352" spans="1:12" ht="17.25" customHeight="1" x14ac:dyDescent="0.35">
      <c r="A352" s="129">
        <v>12</v>
      </c>
      <c r="B352" s="130" t="s">
        <v>843</v>
      </c>
      <c r="C352" s="123">
        <v>4</v>
      </c>
      <c r="D352" s="127">
        <v>0</v>
      </c>
      <c r="E352" s="128">
        <f t="shared" si="32"/>
        <v>4</v>
      </c>
      <c r="F352" s="24" t="s">
        <v>18</v>
      </c>
      <c r="G352" s="131"/>
      <c r="H352" s="131"/>
      <c r="I352" s="132">
        <f t="shared" si="45"/>
        <v>0</v>
      </c>
      <c r="J352" s="113">
        <v>2</v>
      </c>
      <c r="K352" s="132">
        <f t="shared" si="46"/>
        <v>0</v>
      </c>
      <c r="L352" s="133">
        <f t="shared" si="47"/>
        <v>0</v>
      </c>
    </row>
    <row r="353" spans="1:12" ht="17.25" customHeight="1" x14ac:dyDescent="0.35">
      <c r="A353" s="129">
        <v>13</v>
      </c>
      <c r="B353" s="130" t="s">
        <v>844</v>
      </c>
      <c r="C353" s="123">
        <v>1</v>
      </c>
      <c r="D353" s="127">
        <v>0</v>
      </c>
      <c r="E353" s="128">
        <f t="shared" si="32"/>
        <v>1</v>
      </c>
      <c r="F353" s="24" t="s">
        <v>18</v>
      </c>
      <c r="G353" s="131"/>
      <c r="H353" s="131"/>
      <c r="I353" s="132">
        <f t="shared" si="45"/>
        <v>0</v>
      </c>
      <c r="J353" s="113">
        <v>0.5</v>
      </c>
      <c r="K353" s="132">
        <f t="shared" si="46"/>
        <v>0</v>
      </c>
      <c r="L353" s="133">
        <f t="shared" si="47"/>
        <v>0</v>
      </c>
    </row>
    <row r="354" spans="1:12" ht="17.25" customHeight="1" thickBot="1" x14ac:dyDescent="0.4">
      <c r="A354" s="129"/>
      <c r="B354" s="130"/>
      <c r="C354" s="123"/>
      <c r="D354" s="127"/>
      <c r="E354" s="128"/>
      <c r="F354" s="24"/>
      <c r="G354" s="131"/>
      <c r="H354" s="131"/>
      <c r="I354" s="132"/>
      <c r="J354" s="113"/>
      <c r="K354" s="132"/>
      <c r="L354" s="133"/>
    </row>
    <row r="355" spans="1:12" ht="17.25" customHeight="1" thickBot="1" x14ac:dyDescent="0.4">
      <c r="A355" s="382" t="s">
        <v>1115</v>
      </c>
      <c r="B355" s="383"/>
      <c r="C355" s="134"/>
      <c r="D355" s="127"/>
      <c r="E355" s="128"/>
      <c r="F355" s="24"/>
      <c r="G355" s="131"/>
      <c r="H355" s="131"/>
      <c r="I355" s="132"/>
      <c r="J355" s="113"/>
      <c r="K355" s="132"/>
      <c r="L355" s="133"/>
    </row>
    <row r="356" spans="1:12" ht="17.25" customHeight="1" x14ac:dyDescent="0.35">
      <c r="A356" s="197">
        <v>1</v>
      </c>
      <c r="B356" s="199" t="s">
        <v>845</v>
      </c>
      <c r="C356" s="123">
        <v>3</v>
      </c>
      <c r="D356" s="127">
        <v>0</v>
      </c>
      <c r="E356" s="128">
        <f t="shared" si="32"/>
        <v>3</v>
      </c>
      <c r="F356" s="24" t="s">
        <v>18</v>
      </c>
      <c r="G356" s="131"/>
      <c r="H356" s="131"/>
      <c r="I356" s="132">
        <f t="shared" ref="I356:I358" si="48">L$4</f>
        <v>0</v>
      </c>
      <c r="J356" s="113">
        <v>2.25</v>
      </c>
      <c r="K356" s="132">
        <f t="shared" ref="K356:K358" si="49">J356*I356</f>
        <v>0</v>
      </c>
      <c r="L356" s="133">
        <f t="shared" ref="L356:L358" si="50">K356+H356</f>
        <v>0</v>
      </c>
    </row>
    <row r="357" spans="1:12" ht="17.25" customHeight="1" x14ac:dyDescent="0.35">
      <c r="A357" s="129">
        <v>2</v>
      </c>
      <c r="B357" s="130" t="s">
        <v>846</v>
      </c>
      <c r="C357" s="123">
        <v>17</v>
      </c>
      <c r="D357" s="127">
        <v>0</v>
      </c>
      <c r="E357" s="128">
        <f t="shared" si="32"/>
        <v>17</v>
      </c>
      <c r="F357" s="24" t="s">
        <v>18</v>
      </c>
      <c r="G357" s="131"/>
      <c r="H357" s="131"/>
      <c r="I357" s="132">
        <f t="shared" si="48"/>
        <v>0</v>
      </c>
      <c r="J357" s="113">
        <v>12.75</v>
      </c>
      <c r="K357" s="132">
        <f t="shared" si="49"/>
        <v>0</v>
      </c>
      <c r="L357" s="133">
        <f t="shared" si="50"/>
        <v>0</v>
      </c>
    </row>
    <row r="358" spans="1:12" ht="17.25" customHeight="1" x14ac:dyDescent="0.35">
      <c r="A358" s="129">
        <v>3</v>
      </c>
      <c r="B358" s="130" t="s">
        <v>847</v>
      </c>
      <c r="C358" s="123">
        <v>2</v>
      </c>
      <c r="D358" s="127">
        <v>0</v>
      </c>
      <c r="E358" s="128">
        <f t="shared" si="32"/>
        <v>2</v>
      </c>
      <c r="F358" s="24" t="s">
        <v>18</v>
      </c>
      <c r="G358" s="131"/>
      <c r="H358" s="131"/>
      <c r="I358" s="132">
        <f t="shared" si="48"/>
        <v>0</v>
      </c>
      <c r="J358" s="113">
        <v>1.5</v>
      </c>
      <c r="K358" s="132">
        <f t="shared" si="49"/>
        <v>0</v>
      </c>
      <c r="L358" s="133">
        <f t="shared" si="50"/>
        <v>0</v>
      </c>
    </row>
    <row r="359" spans="1:12" ht="17.25" customHeight="1" thickBot="1" x14ac:dyDescent="0.4">
      <c r="A359" s="129"/>
      <c r="B359" s="130"/>
      <c r="C359" s="123"/>
      <c r="D359" s="127"/>
      <c r="E359" s="128"/>
      <c r="F359" s="24"/>
      <c r="G359" s="131"/>
      <c r="H359" s="131"/>
      <c r="I359" s="132"/>
      <c r="J359" s="113"/>
      <c r="K359" s="132"/>
      <c r="L359" s="133"/>
    </row>
    <row r="360" spans="1:12" ht="17.25" customHeight="1" thickBot="1" x14ac:dyDescent="0.4">
      <c r="A360" s="382" t="s">
        <v>1119</v>
      </c>
      <c r="B360" s="383"/>
      <c r="C360" s="322"/>
      <c r="D360" s="127"/>
      <c r="E360" s="128"/>
      <c r="F360" s="93"/>
      <c r="G360" s="131"/>
      <c r="H360" s="131"/>
      <c r="I360" s="318"/>
      <c r="J360" s="324"/>
      <c r="K360" s="318"/>
      <c r="L360" s="320"/>
    </row>
    <row r="361" spans="1:12" ht="58" x14ac:dyDescent="0.35">
      <c r="A361" s="197">
        <v>1</v>
      </c>
      <c r="B361" s="329" t="s">
        <v>1120</v>
      </c>
      <c r="C361" s="317">
        <v>510</v>
      </c>
      <c r="D361" s="127">
        <v>0</v>
      </c>
      <c r="E361" s="128">
        <f t="shared" ref="E361" si="51">C361*(1+D361)</f>
        <v>510</v>
      </c>
      <c r="F361" s="93" t="s">
        <v>18</v>
      </c>
      <c r="G361" s="131"/>
      <c r="H361" s="131"/>
      <c r="I361" s="318">
        <f t="shared" ref="I361" si="52">L$4</f>
        <v>0</v>
      </c>
      <c r="J361" s="319">
        <v>78</v>
      </c>
      <c r="K361" s="318">
        <f t="shared" ref="K361" si="53">J361*I361</f>
        <v>0</v>
      </c>
      <c r="L361" s="320">
        <f t="shared" ref="L361" si="54">K361+H361</f>
        <v>0</v>
      </c>
    </row>
    <row r="362" spans="1:12" ht="17.25" customHeight="1" thickBot="1" x14ac:dyDescent="0.4">
      <c r="A362" s="129"/>
      <c r="B362" s="321"/>
      <c r="C362" s="317"/>
      <c r="D362" s="127"/>
      <c r="E362" s="128"/>
      <c r="F362" s="93"/>
      <c r="G362" s="131"/>
      <c r="H362" s="131"/>
      <c r="I362" s="318"/>
      <c r="J362" s="319"/>
      <c r="K362" s="318"/>
      <c r="L362" s="320"/>
    </row>
    <row r="363" spans="1:12" ht="17.25" customHeight="1" thickBot="1" x14ac:dyDescent="0.4">
      <c r="A363" s="382" t="s">
        <v>1121</v>
      </c>
      <c r="B363" s="383"/>
      <c r="C363" s="322"/>
      <c r="D363" s="127"/>
      <c r="E363" s="128"/>
      <c r="F363" s="93"/>
      <c r="G363" s="131"/>
      <c r="H363" s="131"/>
      <c r="I363" s="318"/>
      <c r="J363" s="319"/>
      <c r="K363" s="318"/>
      <c r="L363" s="320"/>
    </row>
    <row r="364" spans="1:12" ht="29" x14ac:dyDescent="0.35">
      <c r="A364" s="197">
        <v>1</v>
      </c>
      <c r="B364" s="329" t="s">
        <v>1122</v>
      </c>
      <c r="C364" s="317">
        <v>5900</v>
      </c>
      <c r="D364" s="127">
        <v>0.1</v>
      </c>
      <c r="E364" s="128">
        <f t="shared" ref="E364" si="55">C364*(1+D364)</f>
        <v>6490.0000000000009</v>
      </c>
      <c r="F364" s="93" t="s">
        <v>243</v>
      </c>
      <c r="G364" s="131"/>
      <c r="H364" s="131"/>
      <c r="I364" s="318">
        <f t="shared" ref="I364" si="56">L$4</f>
        <v>0</v>
      </c>
      <c r="J364" s="319">
        <v>325</v>
      </c>
      <c r="K364" s="318">
        <f t="shared" ref="K364" si="57">J364*I364</f>
        <v>0</v>
      </c>
      <c r="L364" s="320">
        <f t="shared" ref="L364" si="58">K364+H364</f>
        <v>0</v>
      </c>
    </row>
    <row r="365" spans="1:12" ht="17.25" customHeight="1" thickBot="1" x14ac:dyDescent="0.4">
      <c r="A365" s="129"/>
      <c r="B365" s="130"/>
      <c r="C365" s="123"/>
      <c r="D365" s="127"/>
      <c r="E365" s="128"/>
      <c r="F365" s="24"/>
      <c r="G365" s="131"/>
      <c r="H365" s="131"/>
      <c r="I365" s="132"/>
      <c r="J365" s="113"/>
      <c r="K365" s="132"/>
      <c r="L365" s="133"/>
    </row>
    <row r="366" spans="1:12" ht="17.25" customHeight="1" thickBot="1" x14ac:dyDescent="0.4">
      <c r="A366" s="382" t="s">
        <v>1116</v>
      </c>
      <c r="B366" s="383"/>
      <c r="C366" s="134"/>
      <c r="D366" s="127"/>
      <c r="E366" s="128"/>
      <c r="F366" s="24"/>
      <c r="G366" s="131"/>
      <c r="H366" s="131"/>
      <c r="I366" s="132"/>
      <c r="J366" s="113"/>
      <c r="K366" s="132"/>
      <c r="L366" s="133"/>
    </row>
    <row r="367" spans="1:12" ht="17.25" customHeight="1" thickBot="1" x14ac:dyDescent="0.4">
      <c r="A367" s="382" t="s">
        <v>1117</v>
      </c>
      <c r="B367" s="383"/>
      <c r="C367" s="134"/>
      <c r="D367" s="127"/>
      <c r="E367" s="128"/>
      <c r="F367" s="24"/>
      <c r="G367" s="131"/>
      <c r="H367" s="131"/>
      <c r="I367" s="132"/>
      <c r="J367" s="113"/>
      <c r="K367" s="132"/>
      <c r="L367" s="133"/>
    </row>
    <row r="368" spans="1:12" ht="17.25" customHeight="1" x14ac:dyDescent="0.35">
      <c r="A368" s="197">
        <v>1</v>
      </c>
      <c r="B368" s="327" t="s">
        <v>865</v>
      </c>
      <c r="C368" s="123">
        <f>2270+3220+3220+3220+510+780+3220+3220+2770+2070+840+45+90</f>
        <v>25475</v>
      </c>
      <c r="D368" s="127">
        <v>0.1</v>
      </c>
      <c r="E368" s="128">
        <f t="shared" si="32"/>
        <v>28022.500000000004</v>
      </c>
      <c r="F368" s="24" t="s">
        <v>17</v>
      </c>
      <c r="G368" s="131"/>
      <c r="H368" s="131"/>
      <c r="I368" s="132">
        <f t="shared" ref="I368:I375" si="59">L$4</f>
        <v>0</v>
      </c>
      <c r="J368" s="113">
        <v>1682</v>
      </c>
      <c r="K368" s="132">
        <f t="shared" ref="K368:K375" si="60">J368*I368</f>
        <v>0</v>
      </c>
      <c r="L368" s="133">
        <f t="shared" ref="L368:L375" si="61">K368+H368</f>
        <v>0</v>
      </c>
    </row>
    <row r="369" spans="1:12" ht="17.25" customHeight="1" x14ac:dyDescent="0.35">
      <c r="A369" s="129">
        <v>2</v>
      </c>
      <c r="B369" s="328" t="s">
        <v>114</v>
      </c>
      <c r="C369" s="123">
        <v>25600</v>
      </c>
      <c r="D369" s="127">
        <v>0.1</v>
      </c>
      <c r="E369" s="128">
        <f t="shared" si="32"/>
        <v>28160.000000000004</v>
      </c>
      <c r="F369" s="24" t="s">
        <v>17</v>
      </c>
      <c r="G369" s="131"/>
      <c r="H369" s="131"/>
      <c r="I369" s="132">
        <f t="shared" si="59"/>
        <v>0</v>
      </c>
      <c r="J369" s="113">
        <v>1690</v>
      </c>
      <c r="K369" s="132">
        <f t="shared" si="60"/>
        <v>0</v>
      </c>
      <c r="L369" s="133">
        <f t="shared" si="61"/>
        <v>0</v>
      </c>
    </row>
    <row r="370" spans="1:12" ht="17.25" customHeight="1" x14ac:dyDescent="0.35">
      <c r="A370" s="129">
        <v>3</v>
      </c>
      <c r="B370" s="328" t="s">
        <v>120</v>
      </c>
      <c r="C370" s="123">
        <f>660+600+600+600+720+320+320+280+240+240</f>
        <v>4580</v>
      </c>
      <c r="D370" s="127">
        <v>0.1</v>
      </c>
      <c r="E370" s="128">
        <f t="shared" si="32"/>
        <v>5038</v>
      </c>
      <c r="F370" s="24" t="s">
        <v>17</v>
      </c>
      <c r="G370" s="131"/>
      <c r="H370" s="131"/>
      <c r="I370" s="132">
        <f t="shared" si="59"/>
        <v>0</v>
      </c>
      <c r="J370" s="113">
        <v>302</v>
      </c>
      <c r="K370" s="132">
        <f t="shared" si="60"/>
        <v>0</v>
      </c>
      <c r="L370" s="133">
        <f t="shared" si="61"/>
        <v>0</v>
      </c>
    </row>
    <row r="371" spans="1:12" ht="17.25" customHeight="1" x14ac:dyDescent="0.35">
      <c r="A371" s="129">
        <v>4</v>
      </c>
      <c r="B371" s="328" t="s">
        <v>866</v>
      </c>
      <c r="C371" s="123">
        <f>660+720</f>
        <v>1380</v>
      </c>
      <c r="D371" s="127">
        <v>0.1</v>
      </c>
      <c r="E371" s="128">
        <f t="shared" si="32"/>
        <v>1518.0000000000002</v>
      </c>
      <c r="F371" s="24" t="s">
        <v>17</v>
      </c>
      <c r="G371" s="131"/>
      <c r="H371" s="131"/>
      <c r="I371" s="132">
        <f t="shared" si="59"/>
        <v>0</v>
      </c>
      <c r="J371" s="113">
        <v>92</v>
      </c>
      <c r="K371" s="132">
        <f t="shared" si="60"/>
        <v>0</v>
      </c>
      <c r="L371" s="133">
        <f t="shared" si="61"/>
        <v>0</v>
      </c>
    </row>
    <row r="372" spans="1:12" ht="17.25" customHeight="1" x14ac:dyDescent="0.35">
      <c r="A372" s="129">
        <v>5</v>
      </c>
      <c r="B372" s="328" t="s">
        <v>867</v>
      </c>
      <c r="C372" s="123">
        <f>600+600+600+320+320+280+240+240+120</f>
        <v>3320</v>
      </c>
      <c r="D372" s="127">
        <v>0.1</v>
      </c>
      <c r="E372" s="128">
        <f t="shared" si="32"/>
        <v>3652.0000000000005</v>
      </c>
      <c r="F372" s="24" t="s">
        <v>17</v>
      </c>
      <c r="G372" s="131"/>
      <c r="H372" s="131"/>
      <c r="I372" s="132">
        <f t="shared" si="59"/>
        <v>0</v>
      </c>
      <c r="J372" s="113">
        <v>220</v>
      </c>
      <c r="K372" s="132">
        <f t="shared" si="60"/>
        <v>0</v>
      </c>
      <c r="L372" s="133">
        <f t="shared" si="61"/>
        <v>0</v>
      </c>
    </row>
    <row r="373" spans="1:12" ht="17.25" customHeight="1" x14ac:dyDescent="0.35">
      <c r="A373" s="129">
        <v>6</v>
      </c>
      <c r="B373" s="328" t="s">
        <v>868</v>
      </c>
      <c r="C373" s="123">
        <v>120</v>
      </c>
      <c r="D373" s="127">
        <v>0.1</v>
      </c>
      <c r="E373" s="128">
        <f t="shared" si="32"/>
        <v>132</v>
      </c>
      <c r="F373" s="24" t="s">
        <v>17</v>
      </c>
      <c r="G373" s="131"/>
      <c r="H373" s="131"/>
      <c r="I373" s="132">
        <f t="shared" si="59"/>
        <v>0</v>
      </c>
      <c r="J373" s="113">
        <v>8</v>
      </c>
      <c r="K373" s="132">
        <f t="shared" si="60"/>
        <v>0</v>
      </c>
      <c r="L373" s="133">
        <f t="shared" si="61"/>
        <v>0</v>
      </c>
    </row>
    <row r="374" spans="1:12" ht="17.25" customHeight="1" x14ac:dyDescent="0.35">
      <c r="A374" s="129">
        <v>7</v>
      </c>
      <c r="B374" s="328" t="s">
        <v>869</v>
      </c>
      <c r="C374" s="123">
        <f>25+12+35+52+16+12+15+35</f>
        <v>202</v>
      </c>
      <c r="D374" s="127">
        <v>0</v>
      </c>
      <c r="E374" s="128">
        <f t="shared" si="32"/>
        <v>202</v>
      </c>
      <c r="F374" s="24" t="s">
        <v>18</v>
      </c>
      <c r="G374" s="131"/>
      <c r="H374" s="131"/>
      <c r="I374" s="132">
        <f t="shared" si="59"/>
        <v>0</v>
      </c>
      <c r="J374" s="113">
        <v>101</v>
      </c>
      <c r="K374" s="132">
        <f t="shared" si="60"/>
        <v>0</v>
      </c>
      <c r="L374" s="133">
        <f t="shared" si="61"/>
        <v>0</v>
      </c>
    </row>
    <row r="375" spans="1:12" ht="17.25" customHeight="1" x14ac:dyDescent="0.35">
      <c r="A375" s="129">
        <v>8</v>
      </c>
      <c r="B375" s="328" t="s">
        <v>870</v>
      </c>
      <c r="C375" s="123">
        <f>22+11+32+42+10+19+25</f>
        <v>161</v>
      </c>
      <c r="D375" s="127">
        <v>0</v>
      </c>
      <c r="E375" s="128">
        <f t="shared" si="32"/>
        <v>161</v>
      </c>
      <c r="F375" s="24" t="s">
        <v>18</v>
      </c>
      <c r="G375" s="131"/>
      <c r="H375" s="131"/>
      <c r="I375" s="132">
        <f t="shared" si="59"/>
        <v>0</v>
      </c>
      <c r="J375" s="113">
        <v>80.5</v>
      </c>
      <c r="K375" s="132">
        <f t="shared" si="60"/>
        <v>0</v>
      </c>
      <c r="L375" s="133">
        <f t="shared" si="61"/>
        <v>0</v>
      </c>
    </row>
    <row r="376" spans="1:12" ht="29.5" thickBot="1" x14ac:dyDescent="0.4">
      <c r="A376" s="129"/>
      <c r="B376" s="130" t="s">
        <v>871</v>
      </c>
      <c r="C376" s="123"/>
      <c r="D376" s="127"/>
      <c r="E376" s="128"/>
      <c r="F376" s="24"/>
      <c r="G376" s="131"/>
      <c r="H376" s="131"/>
      <c r="I376" s="132"/>
      <c r="J376" s="113"/>
      <c r="K376" s="132"/>
      <c r="L376" s="133"/>
    </row>
    <row r="377" spans="1:12" ht="17.25" customHeight="1" thickBot="1" x14ac:dyDescent="0.4">
      <c r="A377" s="382" t="s">
        <v>1118</v>
      </c>
      <c r="B377" s="383"/>
      <c r="C377" s="134"/>
      <c r="D377" s="127"/>
      <c r="E377" s="128"/>
      <c r="F377" s="24"/>
      <c r="G377" s="131"/>
      <c r="H377" s="131"/>
      <c r="I377" s="132"/>
      <c r="J377" s="113"/>
      <c r="K377" s="132"/>
      <c r="L377" s="133"/>
    </row>
    <row r="378" spans="1:12" ht="17.25" customHeight="1" x14ac:dyDescent="0.35">
      <c r="A378" s="197">
        <v>1</v>
      </c>
      <c r="B378" s="327" t="s">
        <v>120</v>
      </c>
      <c r="C378" s="123">
        <f>45+179+104+384+294+71+134</f>
        <v>1211</v>
      </c>
      <c r="D378" s="127">
        <v>0.1</v>
      </c>
      <c r="E378" s="128">
        <f t="shared" si="32"/>
        <v>1332.1000000000001</v>
      </c>
      <c r="F378" s="24" t="s">
        <v>17</v>
      </c>
      <c r="G378" s="131"/>
      <c r="H378" s="131"/>
      <c r="I378" s="132">
        <f t="shared" ref="I378:I390" si="62">L$4</f>
        <v>0</v>
      </c>
      <c r="J378" s="113">
        <v>79.926000000000002</v>
      </c>
      <c r="K378" s="132">
        <f t="shared" ref="K378:K390" si="63">J378*I378</f>
        <v>0</v>
      </c>
      <c r="L378" s="133">
        <f t="shared" ref="L378:L390" si="64">K378+H378</f>
        <v>0</v>
      </c>
    </row>
    <row r="379" spans="1:12" ht="17.25" customHeight="1" x14ac:dyDescent="0.35">
      <c r="A379" s="129">
        <v>2</v>
      </c>
      <c r="B379" s="328" t="s">
        <v>113</v>
      </c>
      <c r="C379" s="123">
        <v>51</v>
      </c>
      <c r="D379" s="127">
        <v>0.1</v>
      </c>
      <c r="E379" s="128">
        <f t="shared" si="32"/>
        <v>56.1</v>
      </c>
      <c r="F379" s="24" t="s">
        <v>17</v>
      </c>
      <c r="G379" s="131"/>
      <c r="H379" s="131"/>
      <c r="I379" s="132">
        <f t="shared" si="62"/>
        <v>0</v>
      </c>
      <c r="J379" s="113">
        <v>3.3660000000000001</v>
      </c>
      <c r="K379" s="132">
        <f t="shared" si="63"/>
        <v>0</v>
      </c>
      <c r="L379" s="133">
        <f t="shared" si="64"/>
        <v>0</v>
      </c>
    </row>
    <row r="380" spans="1:12" ht="17.25" customHeight="1" x14ac:dyDescent="0.35">
      <c r="A380" s="129">
        <v>3</v>
      </c>
      <c r="B380" s="328" t="s">
        <v>100</v>
      </c>
      <c r="C380" s="123">
        <v>25</v>
      </c>
      <c r="D380" s="127">
        <v>0.1</v>
      </c>
      <c r="E380" s="128">
        <f t="shared" si="32"/>
        <v>27.500000000000004</v>
      </c>
      <c r="F380" s="24" t="s">
        <v>17</v>
      </c>
      <c r="G380" s="131"/>
      <c r="H380" s="131"/>
      <c r="I380" s="132">
        <f t="shared" si="62"/>
        <v>0</v>
      </c>
      <c r="J380" s="113">
        <v>1.6500000000000001</v>
      </c>
      <c r="K380" s="132">
        <f t="shared" si="63"/>
        <v>0</v>
      </c>
      <c r="L380" s="133">
        <f t="shared" si="64"/>
        <v>0</v>
      </c>
    </row>
    <row r="381" spans="1:12" ht="17.25" customHeight="1" x14ac:dyDescent="0.35">
      <c r="A381" s="129">
        <v>4</v>
      </c>
      <c r="B381" s="328" t="s">
        <v>872</v>
      </c>
      <c r="C381" s="123">
        <v>62</v>
      </c>
      <c r="D381" s="127">
        <v>0</v>
      </c>
      <c r="E381" s="128">
        <f t="shared" si="32"/>
        <v>62</v>
      </c>
      <c r="F381" s="24" t="s">
        <v>18</v>
      </c>
      <c r="G381" s="131"/>
      <c r="H381" s="131"/>
      <c r="I381" s="132">
        <f t="shared" si="62"/>
        <v>0</v>
      </c>
      <c r="J381" s="113">
        <v>31</v>
      </c>
      <c r="K381" s="132">
        <f t="shared" si="63"/>
        <v>0</v>
      </c>
      <c r="L381" s="133">
        <f t="shared" si="64"/>
        <v>0</v>
      </c>
    </row>
    <row r="382" spans="1:12" ht="17.25" customHeight="1" x14ac:dyDescent="0.35">
      <c r="A382" s="129">
        <v>5</v>
      </c>
      <c r="B382" s="328" t="s">
        <v>873</v>
      </c>
      <c r="C382" s="123">
        <v>97</v>
      </c>
      <c r="D382" s="127">
        <v>0</v>
      </c>
      <c r="E382" s="128">
        <f t="shared" si="32"/>
        <v>97</v>
      </c>
      <c r="F382" s="24" t="s">
        <v>18</v>
      </c>
      <c r="G382" s="131"/>
      <c r="H382" s="131"/>
      <c r="I382" s="132">
        <f t="shared" si="62"/>
        <v>0</v>
      </c>
      <c r="J382" s="113">
        <v>48.5</v>
      </c>
      <c r="K382" s="132">
        <f t="shared" si="63"/>
        <v>0</v>
      </c>
      <c r="L382" s="133">
        <f t="shared" si="64"/>
        <v>0</v>
      </c>
    </row>
    <row r="383" spans="1:12" ht="17.25" customHeight="1" x14ac:dyDescent="0.35">
      <c r="A383" s="129">
        <v>6</v>
      </c>
      <c r="B383" s="328" t="s">
        <v>874</v>
      </c>
      <c r="C383" s="123">
        <v>2</v>
      </c>
      <c r="D383" s="127">
        <v>0</v>
      </c>
      <c r="E383" s="128">
        <f t="shared" si="32"/>
        <v>2</v>
      </c>
      <c r="F383" s="24" t="s">
        <v>18</v>
      </c>
      <c r="G383" s="131"/>
      <c r="H383" s="131"/>
      <c r="I383" s="132">
        <f t="shared" si="62"/>
        <v>0</v>
      </c>
      <c r="J383" s="113">
        <v>1</v>
      </c>
      <c r="K383" s="132">
        <f t="shared" si="63"/>
        <v>0</v>
      </c>
      <c r="L383" s="133">
        <f t="shared" si="64"/>
        <v>0</v>
      </c>
    </row>
    <row r="384" spans="1:12" ht="17.25" customHeight="1" x14ac:dyDescent="0.35">
      <c r="A384" s="129">
        <v>7</v>
      </c>
      <c r="B384" s="328" t="s">
        <v>875</v>
      </c>
      <c r="C384" s="123">
        <v>1</v>
      </c>
      <c r="D384" s="127">
        <v>0</v>
      </c>
      <c r="E384" s="128">
        <f t="shared" si="32"/>
        <v>1</v>
      </c>
      <c r="F384" s="24" t="s">
        <v>18</v>
      </c>
      <c r="G384" s="131"/>
      <c r="H384" s="131"/>
      <c r="I384" s="132">
        <f t="shared" si="62"/>
        <v>0</v>
      </c>
      <c r="J384" s="113">
        <v>0.5</v>
      </c>
      <c r="K384" s="132">
        <f t="shared" si="63"/>
        <v>0</v>
      </c>
      <c r="L384" s="133">
        <f t="shared" si="64"/>
        <v>0</v>
      </c>
    </row>
    <row r="385" spans="1:12" ht="17.25" customHeight="1" x14ac:dyDescent="0.35">
      <c r="A385" s="129">
        <v>8</v>
      </c>
      <c r="B385" s="328" t="s">
        <v>569</v>
      </c>
      <c r="C385" s="123">
        <v>3</v>
      </c>
      <c r="D385" s="127">
        <v>0</v>
      </c>
      <c r="E385" s="128">
        <f t="shared" si="32"/>
        <v>3</v>
      </c>
      <c r="F385" s="24" t="s">
        <v>18</v>
      </c>
      <c r="G385" s="131"/>
      <c r="H385" s="131"/>
      <c r="I385" s="132">
        <f t="shared" si="62"/>
        <v>0</v>
      </c>
      <c r="J385" s="113">
        <v>1.5</v>
      </c>
      <c r="K385" s="132">
        <f t="shared" si="63"/>
        <v>0</v>
      </c>
      <c r="L385" s="133">
        <f t="shared" si="64"/>
        <v>0</v>
      </c>
    </row>
    <row r="386" spans="1:12" ht="17.25" customHeight="1" x14ac:dyDescent="0.35">
      <c r="A386" s="129">
        <v>9</v>
      </c>
      <c r="B386" s="328" t="s">
        <v>559</v>
      </c>
      <c r="C386" s="123">
        <v>1</v>
      </c>
      <c r="D386" s="127">
        <v>0</v>
      </c>
      <c r="E386" s="128">
        <f t="shared" si="32"/>
        <v>1</v>
      </c>
      <c r="F386" s="24" t="s">
        <v>18</v>
      </c>
      <c r="G386" s="131"/>
      <c r="H386" s="131"/>
      <c r="I386" s="132">
        <f t="shared" si="62"/>
        <v>0</v>
      </c>
      <c r="J386" s="113">
        <v>0.5</v>
      </c>
      <c r="K386" s="132">
        <f t="shared" si="63"/>
        <v>0</v>
      </c>
      <c r="L386" s="133">
        <f t="shared" si="64"/>
        <v>0</v>
      </c>
    </row>
    <row r="387" spans="1:12" ht="17.25" customHeight="1" x14ac:dyDescent="0.35">
      <c r="A387" s="129">
        <v>10</v>
      </c>
      <c r="B387" s="328" t="s">
        <v>533</v>
      </c>
      <c r="C387" s="123">
        <v>1</v>
      </c>
      <c r="D387" s="127">
        <v>0</v>
      </c>
      <c r="E387" s="128">
        <f t="shared" si="32"/>
        <v>1</v>
      </c>
      <c r="F387" s="24" t="s">
        <v>18</v>
      </c>
      <c r="G387" s="131"/>
      <c r="H387" s="131"/>
      <c r="I387" s="132">
        <f t="shared" si="62"/>
        <v>0</v>
      </c>
      <c r="J387" s="113">
        <v>0.5</v>
      </c>
      <c r="K387" s="132">
        <f t="shared" si="63"/>
        <v>0</v>
      </c>
      <c r="L387" s="133">
        <f t="shared" si="64"/>
        <v>0</v>
      </c>
    </row>
    <row r="388" spans="1:12" ht="17.25" customHeight="1" x14ac:dyDescent="0.35">
      <c r="A388" s="129">
        <v>11</v>
      </c>
      <c r="B388" s="183" t="s">
        <v>525</v>
      </c>
      <c r="C388" s="134">
        <v>1</v>
      </c>
      <c r="D388" s="127">
        <v>0</v>
      </c>
      <c r="E388" s="128">
        <f t="shared" si="32"/>
        <v>1</v>
      </c>
      <c r="F388" s="24" t="s">
        <v>18</v>
      </c>
      <c r="G388" s="131"/>
      <c r="H388" s="131"/>
      <c r="I388" s="132">
        <f t="shared" si="62"/>
        <v>0</v>
      </c>
      <c r="J388" s="113">
        <v>0.5</v>
      </c>
      <c r="K388" s="132">
        <f t="shared" si="63"/>
        <v>0</v>
      </c>
      <c r="L388" s="133">
        <f t="shared" si="64"/>
        <v>0</v>
      </c>
    </row>
    <row r="389" spans="1:12" ht="17.25" customHeight="1" x14ac:dyDescent="0.35">
      <c r="A389" s="129">
        <v>12</v>
      </c>
      <c r="B389" s="328" t="s">
        <v>876</v>
      </c>
      <c r="C389" s="134">
        <v>2</v>
      </c>
      <c r="D389" s="127">
        <v>0</v>
      </c>
      <c r="E389" s="128">
        <f t="shared" si="32"/>
        <v>2</v>
      </c>
      <c r="F389" s="24" t="s">
        <v>18</v>
      </c>
      <c r="G389" s="131"/>
      <c r="H389" s="131"/>
      <c r="I389" s="132">
        <f t="shared" si="62"/>
        <v>0</v>
      </c>
      <c r="J389" s="113">
        <v>1</v>
      </c>
      <c r="K389" s="132">
        <f t="shared" si="63"/>
        <v>0</v>
      </c>
      <c r="L389" s="133">
        <f t="shared" si="64"/>
        <v>0</v>
      </c>
    </row>
    <row r="390" spans="1:12" ht="17.25" customHeight="1" x14ac:dyDescent="0.35">
      <c r="A390" s="129">
        <v>13</v>
      </c>
      <c r="B390" s="183" t="s">
        <v>877</v>
      </c>
      <c r="C390" s="134">
        <v>1</v>
      </c>
      <c r="D390" s="127">
        <v>0</v>
      </c>
      <c r="E390" s="128">
        <f t="shared" si="32"/>
        <v>1</v>
      </c>
      <c r="F390" s="24" t="s">
        <v>18</v>
      </c>
      <c r="G390" s="131"/>
      <c r="H390" s="131"/>
      <c r="I390" s="132">
        <f t="shared" si="62"/>
        <v>0</v>
      </c>
      <c r="J390" s="113">
        <v>0.5</v>
      </c>
      <c r="K390" s="132">
        <f t="shared" si="63"/>
        <v>0</v>
      </c>
      <c r="L390" s="133">
        <f t="shared" si="64"/>
        <v>0</v>
      </c>
    </row>
    <row r="391" spans="1:12" ht="17.25" customHeight="1" x14ac:dyDescent="0.35">
      <c r="A391" s="310"/>
      <c r="B391" s="130" t="s">
        <v>878</v>
      </c>
      <c r="C391" s="134"/>
      <c r="D391" s="127"/>
      <c r="E391" s="128"/>
      <c r="F391" s="24"/>
      <c r="G391" s="131"/>
      <c r="H391" s="131"/>
      <c r="I391" s="132"/>
      <c r="J391" s="113"/>
      <c r="K391" s="132"/>
      <c r="L391" s="133"/>
    </row>
    <row r="392" spans="1:12" ht="17.25" customHeight="1" thickBot="1" x14ac:dyDescent="0.4">
      <c r="A392" s="147"/>
      <c r="B392" s="323"/>
      <c r="C392" s="134"/>
      <c r="D392" s="127"/>
      <c r="E392" s="128"/>
      <c r="F392" s="24"/>
      <c r="G392" s="131"/>
      <c r="H392" s="131"/>
      <c r="I392" s="132"/>
      <c r="J392" s="113"/>
      <c r="K392" s="132"/>
      <c r="L392" s="133"/>
    </row>
    <row r="393" spans="1:12" ht="17.25" customHeight="1" thickBot="1" x14ac:dyDescent="0.4">
      <c r="A393" s="382" t="s">
        <v>1123</v>
      </c>
      <c r="B393" s="383"/>
      <c r="C393" s="322"/>
      <c r="D393" s="127"/>
      <c r="E393" s="128"/>
      <c r="F393" s="93"/>
      <c r="G393" s="131"/>
      <c r="H393" s="131"/>
      <c r="I393" s="318"/>
      <c r="J393" s="319"/>
      <c r="K393" s="318"/>
      <c r="L393" s="320"/>
    </row>
    <row r="394" spans="1:12" ht="17.25" customHeight="1" x14ac:dyDescent="0.35">
      <c r="A394" s="143">
        <v>1</v>
      </c>
      <c r="B394" s="325" t="s">
        <v>1124</v>
      </c>
      <c r="C394" s="322">
        <v>61800</v>
      </c>
      <c r="D394" s="127">
        <v>0.1</v>
      </c>
      <c r="E394" s="128">
        <f t="shared" ref="E394" si="65">C394*(1+D394)</f>
        <v>67980</v>
      </c>
      <c r="F394" s="93" t="s">
        <v>243</v>
      </c>
      <c r="G394" s="131"/>
      <c r="H394" s="131"/>
      <c r="I394" s="132">
        <f t="shared" ref="I394" si="66">L$4</f>
        <v>0</v>
      </c>
      <c r="J394" s="113">
        <v>1700</v>
      </c>
      <c r="K394" s="132">
        <f t="shared" ref="K394" si="67">J394*I394</f>
        <v>0</v>
      </c>
      <c r="L394" s="133">
        <f t="shared" ref="L394" si="68">K394+H394</f>
        <v>0</v>
      </c>
    </row>
    <row r="395" spans="1:12" ht="17.25" customHeight="1" thickBot="1" x14ac:dyDescent="0.4">
      <c r="A395" s="147"/>
      <c r="B395" s="326"/>
      <c r="C395" s="322"/>
      <c r="D395" s="127"/>
      <c r="E395" s="128"/>
      <c r="F395" s="93"/>
      <c r="G395" s="131"/>
      <c r="H395" s="131"/>
      <c r="I395" s="318"/>
      <c r="J395" s="319"/>
      <c r="K395" s="318"/>
      <c r="L395" s="320"/>
    </row>
    <row r="396" spans="1:12" ht="17.25" customHeight="1" thickBot="1" x14ac:dyDescent="0.4">
      <c r="A396" s="382" t="s">
        <v>1125</v>
      </c>
      <c r="B396" s="383"/>
      <c r="C396" s="322"/>
      <c r="D396" s="127"/>
      <c r="E396" s="128"/>
      <c r="F396" s="93"/>
      <c r="G396" s="131"/>
      <c r="H396" s="131"/>
      <c r="I396" s="318"/>
      <c r="J396" s="319"/>
      <c r="K396" s="318"/>
      <c r="L396" s="320"/>
    </row>
    <row r="397" spans="1:12" ht="29" x14ac:dyDescent="0.35">
      <c r="A397" s="143">
        <v>1</v>
      </c>
      <c r="B397" s="325" t="s">
        <v>1126</v>
      </c>
      <c r="C397" s="322">
        <v>7795</v>
      </c>
      <c r="D397" s="127">
        <v>0</v>
      </c>
      <c r="E397" s="128">
        <f t="shared" ref="E397" si="69">C397*(1+D397)</f>
        <v>7795</v>
      </c>
      <c r="F397" s="93" t="s">
        <v>18</v>
      </c>
      <c r="G397" s="131"/>
      <c r="H397" s="131"/>
      <c r="I397" s="132">
        <f t="shared" ref="I397" si="70">L$4</f>
        <v>0</v>
      </c>
      <c r="J397" s="113">
        <v>780</v>
      </c>
      <c r="K397" s="132">
        <f t="shared" ref="K397" si="71">J397*I397</f>
        <v>0</v>
      </c>
      <c r="L397" s="133">
        <f t="shared" ref="L397" si="72">K397+H397</f>
        <v>0</v>
      </c>
    </row>
    <row r="398" spans="1:12" ht="17.25" customHeight="1" thickBot="1" x14ac:dyDescent="0.4">
      <c r="A398" s="147"/>
      <c r="B398" s="323"/>
      <c r="C398" s="134"/>
      <c r="D398" s="127"/>
      <c r="E398" s="128"/>
      <c r="F398" s="24"/>
      <c r="G398" s="131"/>
      <c r="H398" s="131"/>
      <c r="I398" s="132"/>
      <c r="J398" s="113"/>
      <c r="K398" s="132"/>
      <c r="L398" s="133"/>
    </row>
    <row r="399" spans="1:12" ht="17.25" customHeight="1" thickBot="1" x14ac:dyDescent="0.4">
      <c r="A399" s="382" t="s">
        <v>848</v>
      </c>
      <c r="B399" s="383"/>
      <c r="C399" s="134"/>
      <c r="D399" s="127"/>
      <c r="E399" s="128"/>
      <c r="F399" s="24"/>
      <c r="G399" s="131"/>
      <c r="H399" s="131"/>
      <c r="I399" s="132"/>
      <c r="J399" s="113"/>
      <c r="K399" s="132"/>
      <c r="L399" s="133"/>
    </row>
    <row r="400" spans="1:12" ht="29" x14ac:dyDescent="0.35">
      <c r="A400" s="311">
        <v>1</v>
      </c>
      <c r="B400" s="296" t="s">
        <v>879</v>
      </c>
      <c r="C400" s="27">
        <v>36</v>
      </c>
      <c r="D400" s="286">
        <v>0</v>
      </c>
      <c r="E400" s="287">
        <f t="shared" si="32"/>
        <v>36</v>
      </c>
      <c r="F400" s="27" t="s">
        <v>18</v>
      </c>
      <c r="G400" s="131"/>
      <c r="H400" s="131"/>
      <c r="I400" s="132">
        <f t="shared" ref="I400:I437" si="73">L$4</f>
        <v>0</v>
      </c>
      <c r="J400" s="113">
        <v>18</v>
      </c>
      <c r="K400" s="132">
        <f t="shared" ref="K400:K437" si="74">J400*I400</f>
        <v>0</v>
      </c>
      <c r="L400" s="133">
        <f t="shared" ref="L400:L437" si="75">K400+H400</f>
        <v>0</v>
      </c>
    </row>
    <row r="401" spans="1:12" ht="29" x14ac:dyDescent="0.35">
      <c r="A401" s="285">
        <v>2</v>
      </c>
      <c r="B401" s="141" t="s">
        <v>880</v>
      </c>
      <c r="C401" s="27">
        <v>2</v>
      </c>
      <c r="D401" s="286">
        <v>0</v>
      </c>
      <c r="E401" s="287">
        <f t="shared" si="32"/>
        <v>2</v>
      </c>
      <c r="F401" s="27" t="s">
        <v>18</v>
      </c>
      <c r="G401" s="131"/>
      <c r="H401" s="131"/>
      <c r="I401" s="132">
        <f t="shared" si="73"/>
        <v>0</v>
      </c>
      <c r="J401" s="113">
        <v>1</v>
      </c>
      <c r="K401" s="132">
        <f t="shared" si="74"/>
        <v>0</v>
      </c>
      <c r="L401" s="133">
        <f t="shared" si="75"/>
        <v>0</v>
      </c>
    </row>
    <row r="402" spans="1:12" ht="29" x14ac:dyDescent="0.35">
      <c r="A402" s="285">
        <v>3</v>
      </c>
      <c r="B402" s="141" t="s">
        <v>881</v>
      </c>
      <c r="C402" s="27">
        <v>1</v>
      </c>
      <c r="D402" s="286">
        <v>0</v>
      </c>
      <c r="E402" s="287">
        <f t="shared" si="32"/>
        <v>1</v>
      </c>
      <c r="F402" s="27" t="s">
        <v>18</v>
      </c>
      <c r="G402" s="131"/>
      <c r="H402" s="131"/>
      <c r="I402" s="132">
        <f t="shared" si="73"/>
        <v>0</v>
      </c>
      <c r="J402" s="113">
        <v>0.5</v>
      </c>
      <c r="K402" s="132">
        <f t="shared" si="74"/>
        <v>0</v>
      </c>
      <c r="L402" s="133">
        <f t="shared" si="75"/>
        <v>0</v>
      </c>
    </row>
    <row r="403" spans="1:12" ht="29" x14ac:dyDescent="0.35">
      <c r="A403" s="285">
        <v>4</v>
      </c>
      <c r="B403" s="290" t="s">
        <v>882</v>
      </c>
      <c r="C403" s="27">
        <v>1</v>
      </c>
      <c r="D403" s="286">
        <v>0</v>
      </c>
      <c r="E403" s="287">
        <f t="shared" si="32"/>
        <v>1</v>
      </c>
      <c r="F403" s="27" t="s">
        <v>18</v>
      </c>
      <c r="G403" s="131"/>
      <c r="H403" s="131"/>
      <c r="I403" s="132">
        <f t="shared" si="73"/>
        <v>0</v>
      </c>
      <c r="J403" s="113">
        <v>0.5</v>
      </c>
      <c r="K403" s="132">
        <f t="shared" si="74"/>
        <v>0</v>
      </c>
      <c r="L403" s="133">
        <f t="shared" si="75"/>
        <v>0</v>
      </c>
    </row>
    <row r="404" spans="1:12" ht="29" x14ac:dyDescent="0.35">
      <c r="A404" s="285">
        <v>5</v>
      </c>
      <c r="B404" s="290" t="s">
        <v>883</v>
      </c>
      <c r="C404" s="27">
        <v>1</v>
      </c>
      <c r="D404" s="286">
        <v>0</v>
      </c>
      <c r="E404" s="287">
        <f t="shared" si="32"/>
        <v>1</v>
      </c>
      <c r="F404" s="27" t="s">
        <v>18</v>
      </c>
      <c r="G404" s="131"/>
      <c r="H404" s="131"/>
      <c r="I404" s="132">
        <f t="shared" si="73"/>
        <v>0</v>
      </c>
      <c r="J404" s="113">
        <v>0.5</v>
      </c>
      <c r="K404" s="132">
        <f t="shared" si="74"/>
        <v>0</v>
      </c>
      <c r="L404" s="133">
        <f t="shared" si="75"/>
        <v>0</v>
      </c>
    </row>
    <row r="405" spans="1:12" ht="29" x14ac:dyDescent="0.35">
      <c r="A405" s="285">
        <v>6</v>
      </c>
      <c r="B405" s="290" t="s">
        <v>884</v>
      </c>
      <c r="C405" s="27">
        <v>6</v>
      </c>
      <c r="D405" s="286">
        <v>0</v>
      </c>
      <c r="E405" s="287">
        <f t="shared" si="32"/>
        <v>6</v>
      </c>
      <c r="F405" s="27" t="s">
        <v>18</v>
      </c>
      <c r="G405" s="131"/>
      <c r="H405" s="131"/>
      <c r="I405" s="132">
        <f t="shared" si="73"/>
        <v>0</v>
      </c>
      <c r="J405" s="113">
        <v>3</v>
      </c>
      <c r="K405" s="132">
        <f t="shared" si="74"/>
        <v>0</v>
      </c>
      <c r="L405" s="133">
        <f t="shared" si="75"/>
        <v>0</v>
      </c>
    </row>
    <row r="406" spans="1:12" ht="29" x14ac:dyDescent="0.35">
      <c r="A406" s="285">
        <v>7</v>
      </c>
      <c r="B406" s="290" t="s">
        <v>885</v>
      </c>
      <c r="C406" s="27">
        <v>1</v>
      </c>
      <c r="D406" s="286">
        <v>0</v>
      </c>
      <c r="E406" s="287">
        <f t="shared" si="32"/>
        <v>1</v>
      </c>
      <c r="F406" s="27" t="s">
        <v>18</v>
      </c>
      <c r="G406" s="131"/>
      <c r="H406" s="131"/>
      <c r="I406" s="132">
        <f t="shared" si="73"/>
        <v>0</v>
      </c>
      <c r="J406" s="113">
        <v>0.5</v>
      </c>
      <c r="K406" s="132">
        <f t="shared" si="74"/>
        <v>0</v>
      </c>
      <c r="L406" s="133">
        <f t="shared" si="75"/>
        <v>0</v>
      </c>
    </row>
    <row r="407" spans="1:12" ht="29" x14ac:dyDescent="0.35">
      <c r="A407" s="285">
        <v>8</v>
      </c>
      <c r="B407" s="290" t="s">
        <v>886</v>
      </c>
      <c r="C407" s="27">
        <v>1</v>
      </c>
      <c r="D407" s="286">
        <v>0</v>
      </c>
      <c r="E407" s="287">
        <f t="shared" si="32"/>
        <v>1</v>
      </c>
      <c r="F407" s="27" t="s">
        <v>18</v>
      </c>
      <c r="G407" s="131"/>
      <c r="H407" s="131"/>
      <c r="I407" s="132">
        <f t="shared" si="73"/>
        <v>0</v>
      </c>
      <c r="J407" s="113">
        <v>0.5</v>
      </c>
      <c r="K407" s="132">
        <f t="shared" si="74"/>
        <v>0</v>
      </c>
      <c r="L407" s="133">
        <f t="shared" si="75"/>
        <v>0</v>
      </c>
    </row>
    <row r="408" spans="1:12" ht="29" x14ac:dyDescent="0.35">
      <c r="A408" s="285">
        <v>9</v>
      </c>
      <c r="B408" s="290" t="s">
        <v>887</v>
      </c>
      <c r="C408" s="27">
        <v>4</v>
      </c>
      <c r="D408" s="286">
        <v>0</v>
      </c>
      <c r="E408" s="287">
        <f t="shared" si="32"/>
        <v>4</v>
      </c>
      <c r="F408" s="27" t="s">
        <v>18</v>
      </c>
      <c r="G408" s="131"/>
      <c r="H408" s="131"/>
      <c r="I408" s="132">
        <f t="shared" si="73"/>
        <v>0</v>
      </c>
      <c r="J408" s="113">
        <v>2</v>
      </c>
      <c r="K408" s="132">
        <f t="shared" si="74"/>
        <v>0</v>
      </c>
      <c r="L408" s="133">
        <f t="shared" si="75"/>
        <v>0</v>
      </c>
    </row>
    <row r="409" spans="1:12" ht="29" x14ac:dyDescent="0.35">
      <c r="A409" s="285">
        <v>10</v>
      </c>
      <c r="B409" s="290" t="s">
        <v>888</v>
      </c>
      <c r="C409" s="27">
        <v>2</v>
      </c>
      <c r="D409" s="286">
        <v>0</v>
      </c>
      <c r="E409" s="287">
        <f t="shared" si="32"/>
        <v>2</v>
      </c>
      <c r="F409" s="27" t="s">
        <v>18</v>
      </c>
      <c r="G409" s="131"/>
      <c r="H409" s="131"/>
      <c r="I409" s="132">
        <f t="shared" si="73"/>
        <v>0</v>
      </c>
      <c r="J409" s="113">
        <v>1</v>
      </c>
      <c r="K409" s="132">
        <f t="shared" si="74"/>
        <v>0</v>
      </c>
      <c r="L409" s="133">
        <f t="shared" si="75"/>
        <v>0</v>
      </c>
    </row>
    <row r="410" spans="1:12" ht="29" x14ac:dyDescent="0.35">
      <c r="A410" s="285">
        <v>11</v>
      </c>
      <c r="B410" s="290" t="s">
        <v>889</v>
      </c>
      <c r="C410" s="27">
        <v>2</v>
      </c>
      <c r="D410" s="286">
        <v>0</v>
      </c>
      <c r="E410" s="287">
        <f t="shared" si="32"/>
        <v>2</v>
      </c>
      <c r="F410" s="27" t="s">
        <v>18</v>
      </c>
      <c r="G410" s="131"/>
      <c r="H410" s="131"/>
      <c r="I410" s="132">
        <f t="shared" si="73"/>
        <v>0</v>
      </c>
      <c r="J410" s="113">
        <v>1</v>
      </c>
      <c r="K410" s="132">
        <f t="shared" si="74"/>
        <v>0</v>
      </c>
      <c r="L410" s="133">
        <f t="shared" si="75"/>
        <v>0</v>
      </c>
    </row>
    <row r="411" spans="1:12" ht="29" x14ac:dyDescent="0.35">
      <c r="A411" s="285">
        <v>12</v>
      </c>
      <c r="B411" s="290" t="s">
        <v>890</v>
      </c>
      <c r="C411" s="27">
        <v>3</v>
      </c>
      <c r="D411" s="286">
        <v>0</v>
      </c>
      <c r="E411" s="287">
        <f t="shared" si="32"/>
        <v>3</v>
      </c>
      <c r="F411" s="27" t="s">
        <v>18</v>
      </c>
      <c r="G411" s="131"/>
      <c r="H411" s="131"/>
      <c r="I411" s="132">
        <f t="shared" si="73"/>
        <v>0</v>
      </c>
      <c r="J411" s="113">
        <v>1.5</v>
      </c>
      <c r="K411" s="132">
        <f t="shared" si="74"/>
        <v>0</v>
      </c>
      <c r="L411" s="133">
        <f t="shared" si="75"/>
        <v>0</v>
      </c>
    </row>
    <row r="412" spans="1:12" ht="29" x14ac:dyDescent="0.35">
      <c r="A412" s="285">
        <v>13</v>
      </c>
      <c r="B412" s="290" t="s">
        <v>891</v>
      </c>
      <c r="C412" s="27">
        <v>2</v>
      </c>
      <c r="D412" s="286">
        <v>0</v>
      </c>
      <c r="E412" s="287">
        <f t="shared" si="32"/>
        <v>2</v>
      </c>
      <c r="F412" s="27" t="s">
        <v>18</v>
      </c>
      <c r="G412" s="131"/>
      <c r="H412" s="131"/>
      <c r="I412" s="132">
        <f t="shared" si="73"/>
        <v>0</v>
      </c>
      <c r="J412" s="113">
        <v>1</v>
      </c>
      <c r="K412" s="132">
        <f t="shared" si="74"/>
        <v>0</v>
      </c>
      <c r="L412" s="133">
        <f t="shared" si="75"/>
        <v>0</v>
      </c>
    </row>
    <row r="413" spans="1:12" ht="29" x14ac:dyDescent="0.35">
      <c r="A413" s="285">
        <v>14</v>
      </c>
      <c r="B413" s="290" t="s">
        <v>892</v>
      </c>
      <c r="C413" s="27">
        <v>1</v>
      </c>
      <c r="D413" s="286">
        <v>0</v>
      </c>
      <c r="E413" s="287">
        <f t="shared" si="32"/>
        <v>1</v>
      </c>
      <c r="F413" s="27" t="s">
        <v>18</v>
      </c>
      <c r="G413" s="131"/>
      <c r="H413" s="131"/>
      <c r="I413" s="132">
        <f t="shared" si="73"/>
        <v>0</v>
      </c>
      <c r="J413" s="113">
        <v>0.5</v>
      </c>
      <c r="K413" s="132">
        <f t="shared" si="74"/>
        <v>0</v>
      </c>
      <c r="L413" s="133">
        <f t="shared" si="75"/>
        <v>0</v>
      </c>
    </row>
    <row r="414" spans="1:12" ht="29" x14ac:dyDescent="0.35">
      <c r="A414" s="285">
        <v>15</v>
      </c>
      <c r="B414" s="290" t="s">
        <v>893</v>
      </c>
      <c r="C414" s="27">
        <v>1</v>
      </c>
      <c r="D414" s="286">
        <v>0</v>
      </c>
      <c r="E414" s="287">
        <f t="shared" si="32"/>
        <v>1</v>
      </c>
      <c r="F414" s="27" t="s">
        <v>18</v>
      </c>
      <c r="G414" s="131"/>
      <c r="H414" s="131"/>
      <c r="I414" s="132">
        <f t="shared" si="73"/>
        <v>0</v>
      </c>
      <c r="J414" s="113">
        <v>0.5</v>
      </c>
      <c r="K414" s="132">
        <f t="shared" si="74"/>
        <v>0</v>
      </c>
      <c r="L414" s="133">
        <f t="shared" si="75"/>
        <v>0</v>
      </c>
    </row>
    <row r="415" spans="1:12" ht="29" x14ac:dyDescent="0.35">
      <c r="A415" s="285">
        <v>16</v>
      </c>
      <c r="B415" s="290" t="s">
        <v>894</v>
      </c>
      <c r="C415" s="27">
        <v>1</v>
      </c>
      <c r="D415" s="286">
        <v>0</v>
      </c>
      <c r="E415" s="287">
        <f t="shared" si="32"/>
        <v>1</v>
      </c>
      <c r="F415" s="27" t="s">
        <v>18</v>
      </c>
      <c r="G415" s="131"/>
      <c r="H415" s="131"/>
      <c r="I415" s="132">
        <f t="shared" si="73"/>
        <v>0</v>
      </c>
      <c r="J415" s="113">
        <v>0.5</v>
      </c>
      <c r="K415" s="132">
        <f t="shared" si="74"/>
        <v>0</v>
      </c>
      <c r="L415" s="133">
        <f t="shared" si="75"/>
        <v>0</v>
      </c>
    </row>
    <row r="416" spans="1:12" ht="29" x14ac:dyDescent="0.35">
      <c r="A416" s="285">
        <v>17</v>
      </c>
      <c r="B416" s="290" t="s">
        <v>895</v>
      </c>
      <c r="C416" s="27">
        <v>3</v>
      </c>
      <c r="D416" s="286">
        <v>0</v>
      </c>
      <c r="E416" s="287">
        <f t="shared" si="32"/>
        <v>3</v>
      </c>
      <c r="F416" s="27" t="s">
        <v>18</v>
      </c>
      <c r="G416" s="131"/>
      <c r="H416" s="131"/>
      <c r="I416" s="132">
        <f t="shared" si="73"/>
        <v>0</v>
      </c>
      <c r="J416" s="113">
        <v>1.5</v>
      </c>
      <c r="K416" s="132">
        <f t="shared" si="74"/>
        <v>0</v>
      </c>
      <c r="L416" s="133">
        <f t="shared" si="75"/>
        <v>0</v>
      </c>
    </row>
    <row r="417" spans="1:12" ht="29" x14ac:dyDescent="0.35">
      <c r="A417" s="285">
        <v>18</v>
      </c>
      <c r="B417" s="290" t="s">
        <v>896</v>
      </c>
      <c r="C417" s="27">
        <v>5</v>
      </c>
      <c r="D417" s="286">
        <v>0</v>
      </c>
      <c r="E417" s="287">
        <f t="shared" si="32"/>
        <v>5</v>
      </c>
      <c r="F417" s="27" t="s">
        <v>18</v>
      </c>
      <c r="G417" s="131"/>
      <c r="H417" s="131"/>
      <c r="I417" s="132">
        <f t="shared" si="73"/>
        <v>0</v>
      </c>
      <c r="J417" s="113">
        <v>2.5</v>
      </c>
      <c r="K417" s="132">
        <f t="shared" si="74"/>
        <v>0</v>
      </c>
      <c r="L417" s="133">
        <f t="shared" si="75"/>
        <v>0</v>
      </c>
    </row>
    <row r="418" spans="1:12" ht="29" x14ac:dyDescent="0.35">
      <c r="A418" s="285">
        <v>19</v>
      </c>
      <c r="B418" s="290" t="s">
        <v>897</v>
      </c>
      <c r="C418" s="27">
        <v>6</v>
      </c>
      <c r="D418" s="286">
        <v>0</v>
      </c>
      <c r="E418" s="287">
        <f t="shared" si="32"/>
        <v>6</v>
      </c>
      <c r="F418" s="27" t="s">
        <v>18</v>
      </c>
      <c r="G418" s="131"/>
      <c r="H418" s="131"/>
      <c r="I418" s="132">
        <f t="shared" si="73"/>
        <v>0</v>
      </c>
      <c r="J418" s="113">
        <v>3</v>
      </c>
      <c r="K418" s="132">
        <f t="shared" si="74"/>
        <v>0</v>
      </c>
      <c r="L418" s="133">
        <f t="shared" si="75"/>
        <v>0</v>
      </c>
    </row>
    <row r="419" spans="1:12" ht="29" x14ac:dyDescent="0.35">
      <c r="A419" s="285">
        <v>20</v>
      </c>
      <c r="B419" s="290" t="s">
        <v>898</v>
      </c>
      <c r="C419" s="27">
        <v>2</v>
      </c>
      <c r="D419" s="286">
        <v>0</v>
      </c>
      <c r="E419" s="287">
        <f t="shared" si="32"/>
        <v>2</v>
      </c>
      <c r="F419" s="27" t="s">
        <v>18</v>
      </c>
      <c r="G419" s="131"/>
      <c r="H419" s="131"/>
      <c r="I419" s="132">
        <f t="shared" si="73"/>
        <v>0</v>
      </c>
      <c r="J419" s="113">
        <v>1</v>
      </c>
      <c r="K419" s="132">
        <f t="shared" si="74"/>
        <v>0</v>
      </c>
      <c r="L419" s="133">
        <f t="shared" si="75"/>
        <v>0</v>
      </c>
    </row>
    <row r="420" spans="1:12" ht="29" x14ac:dyDescent="0.35">
      <c r="A420" s="285">
        <v>21</v>
      </c>
      <c r="B420" s="290" t="s">
        <v>899</v>
      </c>
      <c r="C420" s="27">
        <v>2</v>
      </c>
      <c r="D420" s="286">
        <v>0</v>
      </c>
      <c r="E420" s="287">
        <f t="shared" si="32"/>
        <v>2</v>
      </c>
      <c r="F420" s="27" t="s">
        <v>18</v>
      </c>
      <c r="G420" s="131"/>
      <c r="H420" s="131"/>
      <c r="I420" s="132">
        <f t="shared" si="73"/>
        <v>0</v>
      </c>
      <c r="J420" s="113">
        <v>1</v>
      </c>
      <c r="K420" s="132">
        <f t="shared" si="74"/>
        <v>0</v>
      </c>
      <c r="L420" s="133">
        <f t="shared" si="75"/>
        <v>0</v>
      </c>
    </row>
    <row r="421" spans="1:12" ht="29" x14ac:dyDescent="0.35">
      <c r="A421" s="285">
        <v>22</v>
      </c>
      <c r="B421" s="290" t="s">
        <v>900</v>
      </c>
      <c r="C421" s="27">
        <v>1</v>
      </c>
      <c r="D421" s="286">
        <v>0</v>
      </c>
      <c r="E421" s="287">
        <f t="shared" si="32"/>
        <v>1</v>
      </c>
      <c r="F421" s="27" t="s">
        <v>18</v>
      </c>
      <c r="G421" s="131"/>
      <c r="H421" s="131"/>
      <c r="I421" s="132">
        <f t="shared" si="73"/>
        <v>0</v>
      </c>
      <c r="J421" s="113">
        <v>0.5</v>
      </c>
      <c r="K421" s="132">
        <f t="shared" si="74"/>
        <v>0</v>
      </c>
      <c r="L421" s="133">
        <f t="shared" si="75"/>
        <v>0</v>
      </c>
    </row>
    <row r="422" spans="1:12" ht="29" x14ac:dyDescent="0.35">
      <c r="A422" s="285">
        <v>23</v>
      </c>
      <c r="B422" s="290" t="s">
        <v>901</v>
      </c>
      <c r="C422" s="27">
        <v>2</v>
      </c>
      <c r="D422" s="286">
        <v>0</v>
      </c>
      <c r="E422" s="287">
        <f t="shared" si="32"/>
        <v>2</v>
      </c>
      <c r="F422" s="27" t="s">
        <v>18</v>
      </c>
      <c r="G422" s="131"/>
      <c r="H422" s="131"/>
      <c r="I422" s="132">
        <f t="shared" si="73"/>
        <v>0</v>
      </c>
      <c r="J422" s="113">
        <v>1</v>
      </c>
      <c r="K422" s="132">
        <f t="shared" si="74"/>
        <v>0</v>
      </c>
      <c r="L422" s="133">
        <f t="shared" si="75"/>
        <v>0</v>
      </c>
    </row>
    <row r="423" spans="1:12" ht="29" x14ac:dyDescent="0.35">
      <c r="A423" s="285">
        <v>24</v>
      </c>
      <c r="B423" s="290" t="s">
        <v>902</v>
      </c>
      <c r="C423" s="27">
        <v>1</v>
      </c>
      <c r="D423" s="286">
        <v>0</v>
      </c>
      <c r="E423" s="287">
        <f t="shared" si="32"/>
        <v>1</v>
      </c>
      <c r="F423" s="27" t="s">
        <v>18</v>
      </c>
      <c r="G423" s="131"/>
      <c r="H423" s="131"/>
      <c r="I423" s="132">
        <f t="shared" si="73"/>
        <v>0</v>
      </c>
      <c r="J423" s="113">
        <v>0.5</v>
      </c>
      <c r="K423" s="132">
        <f t="shared" si="74"/>
        <v>0</v>
      </c>
      <c r="L423" s="133">
        <f t="shared" si="75"/>
        <v>0</v>
      </c>
    </row>
    <row r="424" spans="1:12" ht="29" x14ac:dyDescent="0.35">
      <c r="A424" s="285">
        <v>25</v>
      </c>
      <c r="B424" s="290" t="s">
        <v>903</v>
      </c>
      <c r="C424" s="27">
        <v>1</v>
      </c>
      <c r="D424" s="286">
        <v>0</v>
      </c>
      <c r="E424" s="287">
        <f t="shared" si="32"/>
        <v>1</v>
      </c>
      <c r="F424" s="27" t="s">
        <v>18</v>
      </c>
      <c r="G424" s="131"/>
      <c r="H424" s="131"/>
      <c r="I424" s="132">
        <f t="shared" si="73"/>
        <v>0</v>
      </c>
      <c r="J424" s="113">
        <v>0.5</v>
      </c>
      <c r="K424" s="132">
        <f t="shared" si="74"/>
        <v>0</v>
      </c>
      <c r="L424" s="133">
        <f t="shared" si="75"/>
        <v>0</v>
      </c>
    </row>
    <row r="425" spans="1:12" ht="29" x14ac:dyDescent="0.35">
      <c r="A425" s="285">
        <v>26</v>
      </c>
      <c r="B425" s="290" t="s">
        <v>904</v>
      </c>
      <c r="C425" s="27">
        <v>1</v>
      </c>
      <c r="D425" s="286">
        <v>0</v>
      </c>
      <c r="E425" s="287">
        <f t="shared" si="32"/>
        <v>1</v>
      </c>
      <c r="F425" s="27" t="s">
        <v>18</v>
      </c>
      <c r="G425" s="131"/>
      <c r="H425" s="131"/>
      <c r="I425" s="132">
        <f t="shared" si="73"/>
        <v>0</v>
      </c>
      <c r="J425" s="113">
        <v>0.5</v>
      </c>
      <c r="K425" s="132">
        <f t="shared" si="74"/>
        <v>0</v>
      </c>
      <c r="L425" s="133">
        <f t="shared" si="75"/>
        <v>0</v>
      </c>
    </row>
    <row r="426" spans="1:12" ht="29" x14ac:dyDescent="0.35">
      <c r="A426" s="285">
        <v>27</v>
      </c>
      <c r="B426" s="290" t="s">
        <v>905</v>
      </c>
      <c r="C426" s="27">
        <v>1</v>
      </c>
      <c r="D426" s="286">
        <v>0</v>
      </c>
      <c r="E426" s="287">
        <f t="shared" si="32"/>
        <v>1</v>
      </c>
      <c r="F426" s="27" t="s">
        <v>18</v>
      </c>
      <c r="G426" s="131"/>
      <c r="H426" s="131"/>
      <c r="I426" s="132">
        <f t="shared" si="73"/>
        <v>0</v>
      </c>
      <c r="J426" s="113">
        <v>0.5</v>
      </c>
      <c r="K426" s="132">
        <f t="shared" si="74"/>
        <v>0</v>
      </c>
      <c r="L426" s="133">
        <f t="shared" si="75"/>
        <v>0</v>
      </c>
    </row>
    <row r="427" spans="1:12" ht="29" x14ac:dyDescent="0.35">
      <c r="A427" s="285">
        <v>28</v>
      </c>
      <c r="B427" s="290" t="s">
        <v>906</v>
      </c>
      <c r="C427" s="27">
        <v>120</v>
      </c>
      <c r="D427" s="286">
        <v>0</v>
      </c>
      <c r="E427" s="287">
        <f t="shared" si="32"/>
        <v>120</v>
      </c>
      <c r="F427" s="27" t="s">
        <v>18</v>
      </c>
      <c r="G427" s="131"/>
      <c r="H427" s="131"/>
      <c r="I427" s="132">
        <f t="shared" si="73"/>
        <v>0</v>
      </c>
      <c r="J427" s="113">
        <v>60</v>
      </c>
      <c r="K427" s="132">
        <f t="shared" si="74"/>
        <v>0</v>
      </c>
      <c r="L427" s="133">
        <f t="shared" si="75"/>
        <v>0</v>
      </c>
    </row>
    <row r="428" spans="1:12" ht="29" x14ac:dyDescent="0.35">
      <c r="A428" s="285">
        <v>29</v>
      </c>
      <c r="B428" s="290" t="s">
        <v>907</v>
      </c>
      <c r="C428" s="27">
        <v>18</v>
      </c>
      <c r="D428" s="286">
        <v>0</v>
      </c>
      <c r="E428" s="287">
        <f t="shared" si="32"/>
        <v>18</v>
      </c>
      <c r="F428" s="27" t="s">
        <v>18</v>
      </c>
      <c r="G428" s="131"/>
      <c r="H428" s="131"/>
      <c r="I428" s="132">
        <f t="shared" si="73"/>
        <v>0</v>
      </c>
      <c r="J428" s="113">
        <v>9</v>
      </c>
      <c r="K428" s="132">
        <f t="shared" si="74"/>
        <v>0</v>
      </c>
      <c r="L428" s="133">
        <f t="shared" si="75"/>
        <v>0</v>
      </c>
    </row>
    <row r="429" spans="1:12" ht="29" x14ac:dyDescent="0.35">
      <c r="A429" s="285">
        <v>30</v>
      </c>
      <c r="B429" s="290" t="s">
        <v>908</v>
      </c>
      <c r="C429" s="27">
        <v>26</v>
      </c>
      <c r="D429" s="286">
        <v>0</v>
      </c>
      <c r="E429" s="287">
        <f t="shared" si="32"/>
        <v>26</v>
      </c>
      <c r="F429" s="27" t="s">
        <v>18</v>
      </c>
      <c r="G429" s="131"/>
      <c r="H429" s="131"/>
      <c r="I429" s="132">
        <f t="shared" si="73"/>
        <v>0</v>
      </c>
      <c r="J429" s="113">
        <v>13</v>
      </c>
      <c r="K429" s="132">
        <f t="shared" si="74"/>
        <v>0</v>
      </c>
      <c r="L429" s="133">
        <f t="shared" si="75"/>
        <v>0</v>
      </c>
    </row>
    <row r="430" spans="1:12" ht="29" x14ac:dyDescent="0.35">
      <c r="A430" s="285">
        <v>31</v>
      </c>
      <c r="B430" s="290" t="s">
        <v>909</v>
      </c>
      <c r="C430" s="27">
        <v>3</v>
      </c>
      <c r="D430" s="286">
        <v>0</v>
      </c>
      <c r="E430" s="287">
        <f t="shared" si="32"/>
        <v>3</v>
      </c>
      <c r="F430" s="27" t="s">
        <v>18</v>
      </c>
      <c r="G430" s="131"/>
      <c r="H430" s="131"/>
      <c r="I430" s="132">
        <f t="shared" si="73"/>
        <v>0</v>
      </c>
      <c r="J430" s="113">
        <v>1.5</v>
      </c>
      <c r="K430" s="132">
        <f t="shared" si="74"/>
        <v>0</v>
      </c>
      <c r="L430" s="133">
        <f t="shared" si="75"/>
        <v>0</v>
      </c>
    </row>
    <row r="431" spans="1:12" ht="29" x14ac:dyDescent="0.35">
      <c r="A431" s="285">
        <v>32</v>
      </c>
      <c r="B431" s="290" t="s">
        <v>910</v>
      </c>
      <c r="C431" s="27">
        <v>3</v>
      </c>
      <c r="D431" s="286">
        <v>0</v>
      </c>
      <c r="E431" s="287">
        <f t="shared" si="32"/>
        <v>3</v>
      </c>
      <c r="F431" s="27" t="s">
        <v>18</v>
      </c>
      <c r="G431" s="131"/>
      <c r="H431" s="131"/>
      <c r="I431" s="132">
        <f t="shared" si="73"/>
        <v>0</v>
      </c>
      <c r="J431" s="113">
        <v>1.5</v>
      </c>
      <c r="K431" s="132">
        <f t="shared" si="74"/>
        <v>0</v>
      </c>
      <c r="L431" s="133">
        <f t="shared" si="75"/>
        <v>0</v>
      </c>
    </row>
    <row r="432" spans="1:12" ht="29" x14ac:dyDescent="0.35">
      <c r="A432" s="285">
        <v>33</v>
      </c>
      <c r="B432" s="290" t="s">
        <v>911</v>
      </c>
      <c r="C432" s="27">
        <v>2</v>
      </c>
      <c r="D432" s="286">
        <v>0</v>
      </c>
      <c r="E432" s="287">
        <f t="shared" si="32"/>
        <v>2</v>
      </c>
      <c r="F432" s="27" t="s">
        <v>18</v>
      </c>
      <c r="G432" s="131"/>
      <c r="H432" s="131"/>
      <c r="I432" s="132">
        <f t="shared" si="73"/>
        <v>0</v>
      </c>
      <c r="J432" s="113">
        <v>1</v>
      </c>
      <c r="K432" s="132">
        <f t="shared" si="74"/>
        <v>0</v>
      </c>
      <c r="L432" s="133">
        <f t="shared" si="75"/>
        <v>0</v>
      </c>
    </row>
    <row r="433" spans="1:12" ht="29" x14ac:dyDescent="0.35">
      <c r="A433" s="285">
        <v>34</v>
      </c>
      <c r="B433" s="290" t="s">
        <v>912</v>
      </c>
      <c r="C433" s="27">
        <v>72</v>
      </c>
      <c r="D433" s="286">
        <v>0</v>
      </c>
      <c r="E433" s="287">
        <f t="shared" si="32"/>
        <v>72</v>
      </c>
      <c r="F433" s="27" t="s">
        <v>18</v>
      </c>
      <c r="G433" s="131"/>
      <c r="H433" s="131"/>
      <c r="I433" s="132">
        <f t="shared" si="73"/>
        <v>0</v>
      </c>
      <c r="J433" s="113">
        <v>36</v>
      </c>
      <c r="K433" s="132">
        <f t="shared" si="74"/>
        <v>0</v>
      </c>
      <c r="L433" s="133">
        <f t="shared" si="75"/>
        <v>0</v>
      </c>
    </row>
    <row r="434" spans="1:12" ht="29" x14ac:dyDescent="0.35">
      <c r="A434" s="285">
        <v>35</v>
      </c>
      <c r="B434" s="290" t="s">
        <v>913</v>
      </c>
      <c r="C434" s="27">
        <v>3</v>
      </c>
      <c r="D434" s="286">
        <v>0</v>
      </c>
      <c r="E434" s="287">
        <f t="shared" si="32"/>
        <v>3</v>
      </c>
      <c r="F434" s="27" t="s">
        <v>18</v>
      </c>
      <c r="G434" s="131"/>
      <c r="H434" s="131"/>
      <c r="I434" s="132">
        <f t="shared" si="73"/>
        <v>0</v>
      </c>
      <c r="J434" s="113">
        <v>1.5</v>
      </c>
      <c r="K434" s="132">
        <f t="shared" si="74"/>
        <v>0</v>
      </c>
      <c r="L434" s="133">
        <f t="shared" si="75"/>
        <v>0</v>
      </c>
    </row>
    <row r="435" spans="1:12" ht="29" x14ac:dyDescent="0.35">
      <c r="A435" s="285">
        <v>36</v>
      </c>
      <c r="B435" s="290" t="s">
        <v>914</v>
      </c>
      <c r="C435" s="27">
        <v>2</v>
      </c>
      <c r="D435" s="286">
        <v>0</v>
      </c>
      <c r="E435" s="287">
        <f t="shared" si="32"/>
        <v>2</v>
      </c>
      <c r="F435" s="27" t="s">
        <v>18</v>
      </c>
      <c r="G435" s="131"/>
      <c r="H435" s="131"/>
      <c r="I435" s="132">
        <f t="shared" si="73"/>
        <v>0</v>
      </c>
      <c r="J435" s="113">
        <v>1</v>
      </c>
      <c r="K435" s="132">
        <f t="shared" si="74"/>
        <v>0</v>
      </c>
      <c r="L435" s="133">
        <f t="shared" si="75"/>
        <v>0</v>
      </c>
    </row>
    <row r="436" spans="1:12" ht="17.25" customHeight="1" x14ac:dyDescent="0.35">
      <c r="A436" s="285">
        <v>37</v>
      </c>
      <c r="B436" s="290" t="s">
        <v>849</v>
      </c>
      <c r="C436" s="27">
        <v>1</v>
      </c>
      <c r="D436" s="286">
        <v>0</v>
      </c>
      <c r="E436" s="287">
        <f t="shared" si="32"/>
        <v>1</v>
      </c>
      <c r="F436" s="27" t="s">
        <v>18</v>
      </c>
      <c r="G436" s="131"/>
      <c r="H436" s="131"/>
      <c r="I436" s="132">
        <f t="shared" si="73"/>
        <v>0</v>
      </c>
      <c r="J436" s="113">
        <v>0.5</v>
      </c>
      <c r="K436" s="132">
        <f t="shared" si="74"/>
        <v>0</v>
      </c>
      <c r="L436" s="133">
        <f t="shared" si="75"/>
        <v>0</v>
      </c>
    </row>
    <row r="437" spans="1:12" ht="17.25" customHeight="1" x14ac:dyDescent="0.35">
      <c r="A437" s="285">
        <v>38</v>
      </c>
      <c r="B437" s="290" t="s">
        <v>850</v>
      </c>
      <c r="C437" s="27">
        <v>1</v>
      </c>
      <c r="D437" s="286">
        <v>0</v>
      </c>
      <c r="E437" s="287">
        <f t="shared" si="32"/>
        <v>1</v>
      </c>
      <c r="F437" s="27" t="s">
        <v>18</v>
      </c>
      <c r="G437" s="131"/>
      <c r="H437" s="131"/>
      <c r="I437" s="132">
        <f t="shared" si="73"/>
        <v>0</v>
      </c>
      <c r="J437" s="113">
        <v>0.5</v>
      </c>
      <c r="K437" s="132">
        <f t="shared" si="74"/>
        <v>0</v>
      </c>
      <c r="L437" s="133">
        <f t="shared" si="75"/>
        <v>0</v>
      </c>
    </row>
    <row r="438" spans="1:12" ht="17.25" customHeight="1" thickBot="1" x14ac:dyDescent="0.4">
      <c r="A438" s="291"/>
      <c r="B438" s="290"/>
      <c r="C438" s="27"/>
      <c r="D438" s="286"/>
      <c r="E438" s="287"/>
      <c r="F438" s="27"/>
      <c r="G438" s="288"/>
      <c r="H438" s="288"/>
      <c r="I438" s="103"/>
      <c r="J438" s="23"/>
      <c r="K438" s="103"/>
      <c r="L438" s="289"/>
    </row>
    <row r="439" spans="1:12" ht="17.25" customHeight="1" thickBot="1" x14ac:dyDescent="0.4">
      <c r="A439" s="379" t="s">
        <v>851</v>
      </c>
      <c r="B439" s="380"/>
      <c r="C439" s="30"/>
      <c r="D439" s="286"/>
      <c r="E439" s="287"/>
      <c r="F439" s="27"/>
      <c r="G439" s="292"/>
      <c r="H439" s="292"/>
      <c r="I439" s="103"/>
      <c r="J439" s="23"/>
      <c r="K439" s="293"/>
      <c r="L439" s="294"/>
    </row>
    <row r="440" spans="1:12" ht="29" x14ac:dyDescent="0.35">
      <c r="A440" s="295">
        <v>1</v>
      </c>
      <c r="B440" s="296" t="s">
        <v>915</v>
      </c>
      <c r="C440" s="27">
        <v>1</v>
      </c>
      <c r="D440" s="286">
        <v>0</v>
      </c>
      <c r="E440" s="287">
        <f t="shared" si="32"/>
        <v>1</v>
      </c>
      <c r="F440" s="27" t="s">
        <v>18</v>
      </c>
      <c r="G440" s="131"/>
      <c r="H440" s="131"/>
      <c r="I440" s="132">
        <f t="shared" ref="I440:I463" si="76">L$4</f>
        <v>0</v>
      </c>
      <c r="J440" s="113">
        <v>0.5</v>
      </c>
      <c r="K440" s="132">
        <f t="shared" ref="K440:K463" si="77">J440*I440</f>
        <v>0</v>
      </c>
      <c r="L440" s="133">
        <f t="shared" ref="L440:L463" si="78">K440+H440</f>
        <v>0</v>
      </c>
    </row>
    <row r="441" spans="1:12" ht="29" x14ac:dyDescent="0.35">
      <c r="A441" s="295">
        <v>2</v>
      </c>
      <c r="B441" s="141" t="s">
        <v>916</v>
      </c>
      <c r="C441" s="27">
        <v>1</v>
      </c>
      <c r="D441" s="286">
        <v>0</v>
      </c>
      <c r="E441" s="287">
        <f t="shared" si="32"/>
        <v>1</v>
      </c>
      <c r="F441" s="27" t="s">
        <v>18</v>
      </c>
      <c r="G441" s="131"/>
      <c r="H441" s="131"/>
      <c r="I441" s="132">
        <f t="shared" si="76"/>
        <v>0</v>
      </c>
      <c r="J441" s="113">
        <v>0.5</v>
      </c>
      <c r="K441" s="132">
        <f t="shared" si="77"/>
        <v>0</v>
      </c>
      <c r="L441" s="133">
        <f t="shared" si="78"/>
        <v>0</v>
      </c>
    </row>
    <row r="442" spans="1:12" ht="29" x14ac:dyDescent="0.35">
      <c r="A442" s="295">
        <v>3</v>
      </c>
      <c r="B442" s="141" t="s">
        <v>917</v>
      </c>
      <c r="C442" s="27">
        <v>1</v>
      </c>
      <c r="D442" s="286">
        <v>0</v>
      </c>
      <c r="E442" s="287">
        <f t="shared" si="32"/>
        <v>1</v>
      </c>
      <c r="F442" s="27" t="s">
        <v>18</v>
      </c>
      <c r="G442" s="131"/>
      <c r="H442" s="131"/>
      <c r="I442" s="132">
        <f t="shared" si="76"/>
        <v>0</v>
      </c>
      <c r="J442" s="113">
        <v>0.5</v>
      </c>
      <c r="K442" s="132">
        <f t="shared" si="77"/>
        <v>0</v>
      </c>
      <c r="L442" s="133">
        <f t="shared" si="78"/>
        <v>0</v>
      </c>
    </row>
    <row r="443" spans="1:12" x14ac:dyDescent="0.35">
      <c r="A443" s="295">
        <v>4</v>
      </c>
      <c r="B443" s="141" t="s">
        <v>918</v>
      </c>
      <c r="C443" s="27">
        <v>1</v>
      </c>
      <c r="D443" s="286">
        <v>0</v>
      </c>
      <c r="E443" s="287">
        <f t="shared" si="32"/>
        <v>1</v>
      </c>
      <c r="F443" s="27" t="s">
        <v>18</v>
      </c>
      <c r="G443" s="131"/>
      <c r="H443" s="131"/>
      <c r="I443" s="132">
        <f t="shared" si="76"/>
        <v>0</v>
      </c>
      <c r="J443" s="113">
        <v>0.5</v>
      </c>
      <c r="K443" s="132">
        <f t="shared" si="77"/>
        <v>0</v>
      </c>
      <c r="L443" s="133">
        <f t="shared" si="78"/>
        <v>0</v>
      </c>
    </row>
    <row r="444" spans="1:12" x14ac:dyDescent="0.35">
      <c r="A444" s="295">
        <v>5</v>
      </c>
      <c r="B444" s="141" t="s">
        <v>919</v>
      </c>
      <c r="C444" s="27">
        <v>1</v>
      </c>
      <c r="D444" s="286">
        <v>0</v>
      </c>
      <c r="E444" s="287">
        <f t="shared" si="32"/>
        <v>1</v>
      </c>
      <c r="F444" s="27" t="s">
        <v>18</v>
      </c>
      <c r="G444" s="131"/>
      <c r="H444" s="131"/>
      <c r="I444" s="132">
        <f t="shared" si="76"/>
        <v>0</v>
      </c>
      <c r="J444" s="113">
        <v>0.5</v>
      </c>
      <c r="K444" s="132">
        <f t="shared" si="77"/>
        <v>0</v>
      </c>
      <c r="L444" s="133">
        <f t="shared" si="78"/>
        <v>0</v>
      </c>
    </row>
    <row r="445" spans="1:12" ht="29" x14ac:dyDescent="0.35">
      <c r="A445" s="295">
        <v>6</v>
      </c>
      <c r="B445" s="141" t="s">
        <v>920</v>
      </c>
      <c r="C445" s="27">
        <v>1</v>
      </c>
      <c r="D445" s="286">
        <v>0</v>
      </c>
      <c r="E445" s="287">
        <f t="shared" si="32"/>
        <v>1</v>
      </c>
      <c r="F445" s="27" t="s">
        <v>18</v>
      </c>
      <c r="G445" s="131"/>
      <c r="H445" s="131"/>
      <c r="I445" s="132">
        <f t="shared" si="76"/>
        <v>0</v>
      </c>
      <c r="J445" s="113">
        <v>0.5</v>
      </c>
      <c r="K445" s="132">
        <f t="shared" si="77"/>
        <v>0</v>
      </c>
      <c r="L445" s="133">
        <f t="shared" si="78"/>
        <v>0</v>
      </c>
    </row>
    <row r="446" spans="1:12" ht="29" x14ac:dyDescent="0.35">
      <c r="A446" s="295">
        <v>7</v>
      </c>
      <c r="B446" s="141" t="s">
        <v>921</v>
      </c>
      <c r="C446" s="27">
        <v>1</v>
      </c>
      <c r="D446" s="286">
        <v>0</v>
      </c>
      <c r="E446" s="287">
        <f t="shared" si="32"/>
        <v>1</v>
      </c>
      <c r="F446" s="27" t="s">
        <v>18</v>
      </c>
      <c r="G446" s="131"/>
      <c r="H446" s="131"/>
      <c r="I446" s="132">
        <f t="shared" si="76"/>
        <v>0</v>
      </c>
      <c r="J446" s="113">
        <v>0.5</v>
      </c>
      <c r="K446" s="132">
        <f t="shared" si="77"/>
        <v>0</v>
      </c>
      <c r="L446" s="133">
        <f t="shared" si="78"/>
        <v>0</v>
      </c>
    </row>
    <row r="447" spans="1:12" ht="29" x14ac:dyDescent="0.35">
      <c r="A447" s="295">
        <v>8</v>
      </c>
      <c r="B447" s="141" t="s">
        <v>922</v>
      </c>
      <c r="C447" s="27">
        <v>1</v>
      </c>
      <c r="D447" s="286">
        <v>0</v>
      </c>
      <c r="E447" s="287">
        <f t="shared" si="32"/>
        <v>1</v>
      </c>
      <c r="F447" s="27" t="s">
        <v>18</v>
      </c>
      <c r="G447" s="131"/>
      <c r="H447" s="131"/>
      <c r="I447" s="132">
        <f t="shared" si="76"/>
        <v>0</v>
      </c>
      <c r="J447" s="113">
        <v>0.5</v>
      </c>
      <c r="K447" s="132">
        <f t="shared" si="77"/>
        <v>0</v>
      </c>
      <c r="L447" s="133">
        <f t="shared" si="78"/>
        <v>0</v>
      </c>
    </row>
    <row r="448" spans="1:12" ht="29" x14ac:dyDescent="0.35">
      <c r="A448" s="295">
        <v>9</v>
      </c>
      <c r="B448" s="141" t="s">
        <v>923</v>
      </c>
      <c r="C448" s="27">
        <v>1</v>
      </c>
      <c r="D448" s="286">
        <v>0</v>
      </c>
      <c r="E448" s="287">
        <f t="shared" si="32"/>
        <v>1</v>
      </c>
      <c r="F448" s="27" t="s">
        <v>18</v>
      </c>
      <c r="G448" s="131"/>
      <c r="H448" s="131"/>
      <c r="I448" s="132">
        <f t="shared" si="76"/>
        <v>0</v>
      </c>
      <c r="J448" s="113">
        <v>0.5</v>
      </c>
      <c r="K448" s="132">
        <f t="shared" si="77"/>
        <v>0</v>
      </c>
      <c r="L448" s="133">
        <f t="shared" si="78"/>
        <v>0</v>
      </c>
    </row>
    <row r="449" spans="1:12" ht="29" x14ac:dyDescent="0.35">
      <c r="A449" s="295">
        <v>10</v>
      </c>
      <c r="B449" s="290" t="s">
        <v>924</v>
      </c>
      <c r="C449" s="27">
        <v>1</v>
      </c>
      <c r="D449" s="286">
        <v>0</v>
      </c>
      <c r="E449" s="287">
        <f t="shared" si="32"/>
        <v>1</v>
      </c>
      <c r="F449" s="27" t="s">
        <v>18</v>
      </c>
      <c r="G449" s="131"/>
      <c r="H449" s="131"/>
      <c r="I449" s="132">
        <f t="shared" si="76"/>
        <v>0</v>
      </c>
      <c r="J449" s="113">
        <v>0.5</v>
      </c>
      <c r="K449" s="132">
        <f t="shared" si="77"/>
        <v>0</v>
      </c>
      <c r="L449" s="133">
        <f t="shared" si="78"/>
        <v>0</v>
      </c>
    </row>
    <row r="450" spans="1:12" ht="29" x14ac:dyDescent="0.35">
      <c r="A450" s="295">
        <v>11</v>
      </c>
      <c r="B450" s="290" t="s">
        <v>925</v>
      </c>
      <c r="C450" s="27">
        <v>1</v>
      </c>
      <c r="D450" s="286">
        <v>0</v>
      </c>
      <c r="E450" s="287">
        <f t="shared" si="32"/>
        <v>1</v>
      </c>
      <c r="F450" s="27" t="s">
        <v>18</v>
      </c>
      <c r="G450" s="131"/>
      <c r="H450" s="131"/>
      <c r="I450" s="132">
        <f t="shared" si="76"/>
        <v>0</v>
      </c>
      <c r="J450" s="113">
        <v>0.5</v>
      </c>
      <c r="K450" s="132">
        <f t="shared" si="77"/>
        <v>0</v>
      </c>
      <c r="L450" s="133">
        <f t="shared" si="78"/>
        <v>0</v>
      </c>
    </row>
    <row r="451" spans="1:12" ht="29" x14ac:dyDescent="0.35">
      <c r="A451" s="295">
        <v>12</v>
      </c>
      <c r="B451" s="290" t="s">
        <v>926</v>
      </c>
      <c r="C451" s="27">
        <v>1</v>
      </c>
      <c r="D451" s="286">
        <v>0</v>
      </c>
      <c r="E451" s="287">
        <f t="shared" si="32"/>
        <v>1</v>
      </c>
      <c r="F451" s="27" t="s">
        <v>18</v>
      </c>
      <c r="G451" s="131"/>
      <c r="H451" s="131"/>
      <c r="I451" s="132">
        <f t="shared" si="76"/>
        <v>0</v>
      </c>
      <c r="J451" s="113">
        <v>0.5</v>
      </c>
      <c r="K451" s="132">
        <f t="shared" si="77"/>
        <v>0</v>
      </c>
      <c r="L451" s="133">
        <f t="shared" si="78"/>
        <v>0</v>
      </c>
    </row>
    <row r="452" spans="1:12" ht="29" x14ac:dyDescent="0.35">
      <c r="A452" s="295">
        <v>13</v>
      </c>
      <c r="B452" s="290" t="s">
        <v>927</v>
      </c>
      <c r="C452" s="27">
        <v>1</v>
      </c>
      <c r="D452" s="286">
        <v>0</v>
      </c>
      <c r="E452" s="287">
        <f t="shared" si="32"/>
        <v>1</v>
      </c>
      <c r="F452" s="27" t="s">
        <v>18</v>
      </c>
      <c r="G452" s="131"/>
      <c r="H452" s="131"/>
      <c r="I452" s="132">
        <f t="shared" si="76"/>
        <v>0</v>
      </c>
      <c r="J452" s="113">
        <v>0.5</v>
      </c>
      <c r="K452" s="132">
        <f t="shared" si="77"/>
        <v>0</v>
      </c>
      <c r="L452" s="133">
        <f t="shared" si="78"/>
        <v>0</v>
      </c>
    </row>
    <row r="453" spans="1:12" ht="29" x14ac:dyDescent="0.35">
      <c r="A453" s="295">
        <v>14</v>
      </c>
      <c r="B453" s="290" t="s">
        <v>928</v>
      </c>
      <c r="C453" s="27">
        <v>1</v>
      </c>
      <c r="D453" s="286">
        <v>0</v>
      </c>
      <c r="E453" s="287">
        <f t="shared" si="32"/>
        <v>1</v>
      </c>
      <c r="F453" s="27" t="s">
        <v>18</v>
      </c>
      <c r="G453" s="131"/>
      <c r="H453" s="131"/>
      <c r="I453" s="132">
        <f t="shared" si="76"/>
        <v>0</v>
      </c>
      <c r="J453" s="113">
        <v>0.5</v>
      </c>
      <c r="K453" s="132">
        <f t="shared" si="77"/>
        <v>0</v>
      </c>
      <c r="L453" s="133">
        <f t="shared" si="78"/>
        <v>0</v>
      </c>
    </row>
    <row r="454" spans="1:12" ht="29" x14ac:dyDescent="0.35">
      <c r="A454" s="295">
        <v>15</v>
      </c>
      <c r="B454" s="290" t="s">
        <v>929</v>
      </c>
      <c r="C454" s="27">
        <v>1</v>
      </c>
      <c r="D454" s="286">
        <v>0</v>
      </c>
      <c r="E454" s="287">
        <f t="shared" si="32"/>
        <v>1</v>
      </c>
      <c r="F454" s="27" t="s">
        <v>18</v>
      </c>
      <c r="G454" s="131"/>
      <c r="H454" s="131"/>
      <c r="I454" s="132">
        <f t="shared" si="76"/>
        <v>0</v>
      </c>
      <c r="J454" s="113">
        <v>0.5</v>
      </c>
      <c r="K454" s="132">
        <f t="shared" si="77"/>
        <v>0</v>
      </c>
      <c r="L454" s="133">
        <f t="shared" si="78"/>
        <v>0</v>
      </c>
    </row>
    <row r="455" spans="1:12" ht="29" x14ac:dyDescent="0.35">
      <c r="A455" s="295">
        <v>16</v>
      </c>
      <c r="B455" s="290" t="s">
        <v>930</v>
      </c>
      <c r="C455" s="27">
        <v>1</v>
      </c>
      <c r="D455" s="286">
        <v>0</v>
      </c>
      <c r="E455" s="287">
        <f t="shared" si="32"/>
        <v>1</v>
      </c>
      <c r="F455" s="27" t="s">
        <v>18</v>
      </c>
      <c r="G455" s="131"/>
      <c r="H455" s="131"/>
      <c r="I455" s="132">
        <f t="shared" si="76"/>
        <v>0</v>
      </c>
      <c r="J455" s="113">
        <v>0.5</v>
      </c>
      <c r="K455" s="132">
        <f t="shared" si="77"/>
        <v>0</v>
      </c>
      <c r="L455" s="133">
        <f t="shared" si="78"/>
        <v>0</v>
      </c>
    </row>
    <row r="456" spans="1:12" ht="29" x14ac:dyDescent="0.35">
      <c r="A456" s="295">
        <v>17</v>
      </c>
      <c r="B456" s="290" t="s">
        <v>931</v>
      </c>
      <c r="C456" s="27">
        <v>1</v>
      </c>
      <c r="D456" s="286">
        <v>0</v>
      </c>
      <c r="E456" s="287">
        <f t="shared" si="32"/>
        <v>1</v>
      </c>
      <c r="F456" s="27" t="s">
        <v>18</v>
      </c>
      <c r="G456" s="131"/>
      <c r="H456" s="131"/>
      <c r="I456" s="132">
        <f t="shared" si="76"/>
        <v>0</v>
      </c>
      <c r="J456" s="113">
        <v>0.5</v>
      </c>
      <c r="K456" s="132">
        <f t="shared" si="77"/>
        <v>0</v>
      </c>
      <c r="L456" s="133">
        <f t="shared" si="78"/>
        <v>0</v>
      </c>
    </row>
    <row r="457" spans="1:12" ht="29" x14ac:dyDescent="0.35">
      <c r="A457" s="295">
        <v>18</v>
      </c>
      <c r="B457" s="290" t="s">
        <v>932</v>
      </c>
      <c r="C457" s="27">
        <v>1</v>
      </c>
      <c r="D457" s="286">
        <v>0</v>
      </c>
      <c r="E457" s="287">
        <f t="shared" si="32"/>
        <v>1</v>
      </c>
      <c r="F457" s="27" t="s">
        <v>18</v>
      </c>
      <c r="G457" s="131"/>
      <c r="H457" s="131"/>
      <c r="I457" s="132">
        <f t="shared" si="76"/>
        <v>0</v>
      </c>
      <c r="J457" s="113">
        <v>0.5</v>
      </c>
      <c r="K457" s="132">
        <f t="shared" si="77"/>
        <v>0</v>
      </c>
      <c r="L457" s="133">
        <f t="shared" si="78"/>
        <v>0</v>
      </c>
    </row>
    <row r="458" spans="1:12" ht="29" x14ac:dyDescent="0.35">
      <c r="A458" s="295">
        <v>19</v>
      </c>
      <c r="B458" s="290" t="s">
        <v>933</v>
      </c>
      <c r="C458" s="27">
        <v>1</v>
      </c>
      <c r="D458" s="286">
        <v>0</v>
      </c>
      <c r="E458" s="287">
        <f t="shared" si="32"/>
        <v>1</v>
      </c>
      <c r="F458" s="27" t="s">
        <v>18</v>
      </c>
      <c r="G458" s="131"/>
      <c r="H458" s="131"/>
      <c r="I458" s="132">
        <f t="shared" si="76"/>
        <v>0</v>
      </c>
      <c r="J458" s="113">
        <v>0.5</v>
      </c>
      <c r="K458" s="132">
        <f t="shared" si="77"/>
        <v>0</v>
      </c>
      <c r="L458" s="133">
        <f t="shared" si="78"/>
        <v>0</v>
      </c>
    </row>
    <row r="459" spans="1:12" ht="29" x14ac:dyDescent="0.35">
      <c r="A459" s="295">
        <v>20</v>
      </c>
      <c r="B459" s="290" t="s">
        <v>934</v>
      </c>
      <c r="C459" s="27">
        <v>1</v>
      </c>
      <c r="D459" s="286">
        <v>0</v>
      </c>
      <c r="E459" s="287">
        <f t="shared" si="32"/>
        <v>1</v>
      </c>
      <c r="F459" s="27" t="s">
        <v>18</v>
      </c>
      <c r="G459" s="131"/>
      <c r="H459" s="131"/>
      <c r="I459" s="132">
        <f t="shared" si="76"/>
        <v>0</v>
      </c>
      <c r="J459" s="113">
        <v>0.5</v>
      </c>
      <c r="K459" s="132">
        <f t="shared" si="77"/>
        <v>0</v>
      </c>
      <c r="L459" s="133">
        <f t="shared" si="78"/>
        <v>0</v>
      </c>
    </row>
    <row r="460" spans="1:12" ht="29" x14ac:dyDescent="0.35">
      <c r="A460" s="295">
        <v>21</v>
      </c>
      <c r="B460" s="290" t="s">
        <v>935</v>
      </c>
      <c r="C460" s="27">
        <v>1</v>
      </c>
      <c r="D460" s="286">
        <v>0</v>
      </c>
      <c r="E460" s="287">
        <f t="shared" si="32"/>
        <v>1</v>
      </c>
      <c r="F460" s="27" t="s">
        <v>18</v>
      </c>
      <c r="G460" s="131"/>
      <c r="H460" s="131"/>
      <c r="I460" s="132">
        <f t="shared" si="76"/>
        <v>0</v>
      </c>
      <c r="J460" s="113">
        <v>0.5</v>
      </c>
      <c r="K460" s="132">
        <f t="shared" si="77"/>
        <v>0</v>
      </c>
      <c r="L460" s="133">
        <f t="shared" si="78"/>
        <v>0</v>
      </c>
    </row>
    <row r="461" spans="1:12" ht="29" x14ac:dyDescent="0.35">
      <c r="A461" s="295">
        <v>22</v>
      </c>
      <c r="B461" s="290" t="s">
        <v>936</v>
      </c>
      <c r="C461" s="27">
        <v>1</v>
      </c>
      <c r="D461" s="286">
        <v>0</v>
      </c>
      <c r="E461" s="287">
        <f t="shared" si="32"/>
        <v>1</v>
      </c>
      <c r="F461" s="27" t="s">
        <v>18</v>
      </c>
      <c r="G461" s="131"/>
      <c r="H461" s="131"/>
      <c r="I461" s="132">
        <f t="shared" si="76"/>
        <v>0</v>
      </c>
      <c r="J461" s="113">
        <v>0.5</v>
      </c>
      <c r="K461" s="132">
        <f t="shared" si="77"/>
        <v>0</v>
      </c>
      <c r="L461" s="133">
        <f t="shared" si="78"/>
        <v>0</v>
      </c>
    </row>
    <row r="462" spans="1:12" ht="29" x14ac:dyDescent="0.35">
      <c r="A462" s="295">
        <v>23</v>
      </c>
      <c r="B462" s="290" t="s">
        <v>937</v>
      </c>
      <c r="C462" s="27">
        <v>1</v>
      </c>
      <c r="D462" s="286">
        <v>0</v>
      </c>
      <c r="E462" s="287">
        <f t="shared" si="32"/>
        <v>1</v>
      </c>
      <c r="F462" s="27" t="s">
        <v>18</v>
      </c>
      <c r="G462" s="131"/>
      <c r="H462" s="131"/>
      <c r="I462" s="132">
        <f t="shared" si="76"/>
        <v>0</v>
      </c>
      <c r="J462" s="113">
        <v>0.5</v>
      </c>
      <c r="K462" s="132">
        <f t="shared" si="77"/>
        <v>0</v>
      </c>
      <c r="L462" s="133">
        <f t="shared" si="78"/>
        <v>0</v>
      </c>
    </row>
    <row r="463" spans="1:12" ht="29" x14ac:dyDescent="0.35">
      <c r="A463" s="285">
        <v>24</v>
      </c>
      <c r="B463" s="141" t="s">
        <v>938</v>
      </c>
      <c r="C463" s="27">
        <v>1</v>
      </c>
      <c r="D463" s="286">
        <v>0</v>
      </c>
      <c r="E463" s="287">
        <f t="shared" si="32"/>
        <v>1</v>
      </c>
      <c r="F463" s="27" t="s">
        <v>18</v>
      </c>
      <c r="G463" s="131"/>
      <c r="H463" s="131"/>
      <c r="I463" s="132">
        <f t="shared" si="76"/>
        <v>0</v>
      </c>
      <c r="J463" s="113">
        <v>0.5</v>
      </c>
      <c r="K463" s="132">
        <f t="shared" si="77"/>
        <v>0</v>
      </c>
      <c r="L463" s="132">
        <f t="shared" si="78"/>
        <v>0</v>
      </c>
    </row>
    <row r="464" spans="1:12" s="54" customFormat="1" x14ac:dyDescent="0.35">
      <c r="A464" s="316"/>
      <c r="B464" s="316"/>
      <c r="C464" s="27"/>
      <c r="D464" s="286"/>
      <c r="E464" s="287"/>
      <c r="F464" s="27"/>
      <c r="G464" s="292"/>
      <c r="H464" s="292"/>
      <c r="I464" s="103"/>
      <c r="J464" s="23"/>
      <c r="K464" s="293"/>
      <c r="L464" s="293"/>
    </row>
    <row r="465" spans="1:12" ht="17.25" customHeight="1" thickBot="1" x14ac:dyDescent="0.4">
      <c r="A465" s="439" t="s">
        <v>852</v>
      </c>
      <c r="B465" s="440"/>
      <c r="C465" s="300"/>
      <c r="D465" s="301"/>
      <c r="E465" s="302"/>
      <c r="F465" s="173"/>
      <c r="G465" s="303"/>
      <c r="H465" s="303"/>
      <c r="I465" s="163"/>
      <c r="J465" s="175"/>
      <c r="K465" s="304"/>
      <c r="L465" s="305"/>
    </row>
    <row r="466" spans="1:12" ht="29" x14ac:dyDescent="0.35">
      <c r="A466" s="295">
        <v>1</v>
      </c>
      <c r="B466" s="330" t="s">
        <v>939</v>
      </c>
      <c r="C466" s="27">
        <v>17</v>
      </c>
      <c r="D466" s="286">
        <v>0</v>
      </c>
      <c r="E466" s="287">
        <f>C466*(1+D466)</f>
        <v>17</v>
      </c>
      <c r="F466" s="27" t="s">
        <v>18</v>
      </c>
      <c r="G466" s="131"/>
      <c r="H466" s="131"/>
      <c r="I466" s="132">
        <f t="shared" ref="I466:I469" si="79">L$4</f>
        <v>0</v>
      </c>
      <c r="J466" s="113">
        <v>34</v>
      </c>
      <c r="K466" s="132">
        <f t="shared" ref="K466:K469" si="80">J466*I466</f>
        <v>0</v>
      </c>
      <c r="L466" s="133">
        <f t="shared" ref="L466:L469" si="81">K466+H466</f>
        <v>0</v>
      </c>
    </row>
    <row r="467" spans="1:12" ht="29" x14ac:dyDescent="0.35">
      <c r="A467" s="306">
        <v>2</v>
      </c>
      <c r="B467" s="330" t="s">
        <v>940</v>
      </c>
      <c r="C467" s="27">
        <v>42</v>
      </c>
      <c r="D467" s="286">
        <v>0</v>
      </c>
      <c r="E467" s="287">
        <f t="shared" si="32"/>
        <v>42</v>
      </c>
      <c r="F467" s="27" t="s">
        <v>18</v>
      </c>
      <c r="G467" s="131"/>
      <c r="H467" s="131"/>
      <c r="I467" s="132">
        <f t="shared" si="79"/>
        <v>0</v>
      </c>
      <c r="J467" s="113">
        <v>84</v>
      </c>
      <c r="K467" s="132">
        <f t="shared" si="80"/>
        <v>0</v>
      </c>
      <c r="L467" s="133">
        <f t="shared" si="81"/>
        <v>0</v>
      </c>
    </row>
    <row r="468" spans="1:12" ht="29" x14ac:dyDescent="0.35">
      <c r="A468" s="306">
        <v>3</v>
      </c>
      <c r="B468" s="183" t="s">
        <v>941</v>
      </c>
      <c r="C468" s="27">
        <v>16</v>
      </c>
      <c r="D468" s="286">
        <v>0</v>
      </c>
      <c r="E468" s="287">
        <f t="shared" si="32"/>
        <v>16</v>
      </c>
      <c r="F468" s="27" t="s">
        <v>18</v>
      </c>
      <c r="G468" s="131"/>
      <c r="H468" s="131"/>
      <c r="I468" s="132">
        <f t="shared" si="79"/>
        <v>0</v>
      </c>
      <c r="J468" s="113">
        <v>32</v>
      </c>
      <c r="K468" s="132">
        <f t="shared" si="80"/>
        <v>0</v>
      </c>
      <c r="L468" s="133">
        <f t="shared" si="81"/>
        <v>0</v>
      </c>
    </row>
    <row r="469" spans="1:12" ht="29" x14ac:dyDescent="0.35">
      <c r="A469" s="306">
        <v>4</v>
      </c>
      <c r="B469" s="141" t="s">
        <v>942</v>
      </c>
      <c r="C469" s="27">
        <v>16</v>
      </c>
      <c r="D469" s="286">
        <v>0</v>
      </c>
      <c r="E469" s="287">
        <f t="shared" si="32"/>
        <v>16</v>
      </c>
      <c r="F469" s="27" t="s">
        <v>18</v>
      </c>
      <c r="G469" s="131"/>
      <c r="H469" s="131"/>
      <c r="I469" s="132">
        <f t="shared" si="79"/>
        <v>0</v>
      </c>
      <c r="J469" s="113">
        <v>32</v>
      </c>
      <c r="K469" s="132">
        <f t="shared" si="80"/>
        <v>0</v>
      </c>
      <c r="L469" s="133">
        <f t="shared" si="81"/>
        <v>0</v>
      </c>
    </row>
    <row r="470" spans="1:12" ht="58.5" thickBot="1" x14ac:dyDescent="0.4">
      <c r="A470" s="291"/>
      <c r="B470" s="290" t="s">
        <v>943</v>
      </c>
      <c r="C470" s="27"/>
      <c r="D470" s="286"/>
      <c r="E470" s="287"/>
      <c r="F470" s="27"/>
      <c r="G470" s="288"/>
      <c r="H470" s="288"/>
      <c r="I470" s="103"/>
      <c r="J470" s="23"/>
      <c r="K470" s="103"/>
      <c r="L470" s="289"/>
    </row>
    <row r="471" spans="1:12" ht="17.25" customHeight="1" thickBot="1" x14ac:dyDescent="0.4">
      <c r="A471" s="382" t="s">
        <v>853</v>
      </c>
      <c r="B471" s="383"/>
      <c r="C471" s="30"/>
      <c r="D471" s="286"/>
      <c r="E471" s="287"/>
      <c r="F471" s="27"/>
      <c r="G471" s="288"/>
      <c r="H471" s="288"/>
      <c r="I471" s="103"/>
      <c r="J471" s="23"/>
      <c r="K471" s="103"/>
      <c r="L471" s="289"/>
    </row>
    <row r="472" spans="1:12" ht="17.25" customHeight="1" x14ac:dyDescent="0.35">
      <c r="A472" s="295">
        <v>1</v>
      </c>
      <c r="B472" s="296" t="s">
        <v>944</v>
      </c>
      <c r="C472" s="27">
        <v>1</v>
      </c>
      <c r="D472" s="286">
        <v>0</v>
      </c>
      <c r="E472" s="287">
        <f t="shared" si="32"/>
        <v>1</v>
      </c>
      <c r="F472" s="27" t="s">
        <v>18</v>
      </c>
      <c r="G472" s="131"/>
      <c r="H472" s="131"/>
      <c r="I472" s="132">
        <f t="shared" ref="I472:I481" si="82">L$4</f>
        <v>0</v>
      </c>
      <c r="J472" s="113">
        <v>4</v>
      </c>
      <c r="K472" s="132">
        <f t="shared" ref="K472:K481" si="83">J472*I472</f>
        <v>0</v>
      </c>
      <c r="L472" s="133">
        <f t="shared" ref="L472:L481" si="84">K472+H472</f>
        <v>0</v>
      </c>
    </row>
    <row r="473" spans="1:12" ht="17.25" customHeight="1" x14ac:dyDescent="0.35">
      <c r="A473" s="306">
        <v>2</v>
      </c>
      <c r="B473" s="141" t="s">
        <v>945</v>
      </c>
      <c r="C473" s="27">
        <v>1</v>
      </c>
      <c r="D473" s="286">
        <v>0</v>
      </c>
      <c r="E473" s="287">
        <f t="shared" si="32"/>
        <v>1</v>
      </c>
      <c r="F473" s="27" t="s">
        <v>18</v>
      </c>
      <c r="G473" s="131"/>
      <c r="H473" s="131"/>
      <c r="I473" s="132">
        <f t="shared" si="82"/>
        <v>0</v>
      </c>
      <c r="J473" s="113">
        <v>4</v>
      </c>
      <c r="K473" s="132">
        <f t="shared" si="83"/>
        <v>0</v>
      </c>
      <c r="L473" s="133">
        <f t="shared" si="84"/>
        <v>0</v>
      </c>
    </row>
    <row r="474" spans="1:12" ht="17.25" customHeight="1" x14ac:dyDescent="0.35">
      <c r="A474" s="306">
        <v>3</v>
      </c>
      <c r="B474" s="141" t="s">
        <v>946</v>
      </c>
      <c r="C474" s="27">
        <v>1</v>
      </c>
      <c r="D474" s="286">
        <v>0</v>
      </c>
      <c r="E474" s="287">
        <f t="shared" si="32"/>
        <v>1</v>
      </c>
      <c r="F474" s="27" t="s">
        <v>18</v>
      </c>
      <c r="G474" s="131"/>
      <c r="H474" s="131"/>
      <c r="I474" s="132">
        <f t="shared" si="82"/>
        <v>0</v>
      </c>
      <c r="J474" s="113">
        <v>4</v>
      </c>
      <c r="K474" s="132">
        <f t="shared" si="83"/>
        <v>0</v>
      </c>
      <c r="L474" s="133">
        <f t="shared" si="84"/>
        <v>0</v>
      </c>
    </row>
    <row r="475" spans="1:12" ht="17.25" customHeight="1" x14ac:dyDescent="0.35">
      <c r="A475" s="306">
        <v>4</v>
      </c>
      <c r="B475" s="141" t="s">
        <v>947</v>
      </c>
      <c r="C475" s="27">
        <v>1</v>
      </c>
      <c r="D475" s="286">
        <v>0</v>
      </c>
      <c r="E475" s="287">
        <f t="shared" si="32"/>
        <v>1</v>
      </c>
      <c r="F475" s="27" t="s">
        <v>18</v>
      </c>
      <c r="G475" s="131"/>
      <c r="H475" s="131"/>
      <c r="I475" s="132">
        <f t="shared" si="82"/>
        <v>0</v>
      </c>
      <c r="J475" s="113">
        <v>4</v>
      </c>
      <c r="K475" s="132">
        <f t="shared" si="83"/>
        <v>0</v>
      </c>
      <c r="L475" s="133">
        <f t="shared" si="84"/>
        <v>0</v>
      </c>
    </row>
    <row r="476" spans="1:12" ht="17.25" customHeight="1" x14ac:dyDescent="0.35">
      <c r="A476" s="306">
        <v>5</v>
      </c>
      <c r="B476" s="141" t="s">
        <v>948</v>
      </c>
      <c r="C476" s="27">
        <v>1</v>
      </c>
      <c r="D476" s="286">
        <v>0</v>
      </c>
      <c r="E476" s="287">
        <f t="shared" ref="E476:E481" si="85">C476*(1+D476)</f>
        <v>1</v>
      </c>
      <c r="F476" s="27" t="s">
        <v>18</v>
      </c>
      <c r="G476" s="131"/>
      <c r="H476" s="131"/>
      <c r="I476" s="132">
        <f t="shared" si="82"/>
        <v>0</v>
      </c>
      <c r="J476" s="113">
        <v>4</v>
      </c>
      <c r="K476" s="132">
        <f t="shared" si="83"/>
        <v>0</v>
      </c>
      <c r="L476" s="133">
        <f t="shared" si="84"/>
        <v>0</v>
      </c>
    </row>
    <row r="477" spans="1:12" ht="17.25" customHeight="1" x14ac:dyDescent="0.35">
      <c r="A477" s="306">
        <v>6</v>
      </c>
      <c r="B477" s="141" t="s">
        <v>949</v>
      </c>
      <c r="C477" s="27">
        <v>1</v>
      </c>
      <c r="D477" s="286">
        <v>0</v>
      </c>
      <c r="E477" s="287">
        <f t="shared" si="85"/>
        <v>1</v>
      </c>
      <c r="F477" s="27" t="s">
        <v>18</v>
      </c>
      <c r="G477" s="131"/>
      <c r="H477" s="131"/>
      <c r="I477" s="132">
        <f t="shared" si="82"/>
        <v>0</v>
      </c>
      <c r="J477" s="113">
        <v>4</v>
      </c>
      <c r="K477" s="132">
        <f t="shared" si="83"/>
        <v>0</v>
      </c>
      <c r="L477" s="133">
        <f t="shared" si="84"/>
        <v>0</v>
      </c>
    </row>
    <row r="478" spans="1:12" ht="17.25" customHeight="1" x14ac:dyDescent="0.35">
      <c r="A478" s="306">
        <v>7</v>
      </c>
      <c r="B478" s="141" t="s">
        <v>950</v>
      </c>
      <c r="C478" s="27">
        <v>1</v>
      </c>
      <c r="D478" s="286">
        <v>0</v>
      </c>
      <c r="E478" s="287">
        <f t="shared" si="85"/>
        <v>1</v>
      </c>
      <c r="F478" s="27" t="s">
        <v>18</v>
      </c>
      <c r="G478" s="131"/>
      <c r="H478" s="131"/>
      <c r="I478" s="132">
        <f t="shared" si="82"/>
        <v>0</v>
      </c>
      <c r="J478" s="113">
        <v>4</v>
      </c>
      <c r="K478" s="132">
        <f t="shared" si="83"/>
        <v>0</v>
      </c>
      <c r="L478" s="133">
        <f t="shared" si="84"/>
        <v>0</v>
      </c>
    </row>
    <row r="479" spans="1:12" ht="17.25" customHeight="1" x14ac:dyDescent="0.35">
      <c r="A479" s="306">
        <v>8</v>
      </c>
      <c r="B479" s="141" t="s">
        <v>951</v>
      </c>
      <c r="C479" s="27">
        <v>1</v>
      </c>
      <c r="D479" s="286">
        <v>0</v>
      </c>
      <c r="E479" s="287">
        <f t="shared" si="85"/>
        <v>1</v>
      </c>
      <c r="F479" s="27" t="s">
        <v>18</v>
      </c>
      <c r="G479" s="131"/>
      <c r="H479" s="131"/>
      <c r="I479" s="132">
        <f t="shared" si="82"/>
        <v>0</v>
      </c>
      <c r="J479" s="113">
        <v>4</v>
      </c>
      <c r="K479" s="132">
        <f t="shared" si="83"/>
        <v>0</v>
      </c>
      <c r="L479" s="133">
        <f t="shared" si="84"/>
        <v>0</v>
      </c>
    </row>
    <row r="480" spans="1:12" ht="17.25" customHeight="1" x14ac:dyDescent="0.35">
      <c r="A480" s="306">
        <v>9</v>
      </c>
      <c r="B480" s="141" t="s">
        <v>952</v>
      </c>
      <c r="C480" s="27">
        <v>1</v>
      </c>
      <c r="D480" s="286">
        <v>0</v>
      </c>
      <c r="E480" s="287">
        <f t="shared" si="85"/>
        <v>1</v>
      </c>
      <c r="F480" s="27" t="s">
        <v>18</v>
      </c>
      <c r="G480" s="131"/>
      <c r="H480" s="131"/>
      <c r="I480" s="132">
        <f t="shared" si="82"/>
        <v>0</v>
      </c>
      <c r="J480" s="113">
        <v>4</v>
      </c>
      <c r="K480" s="132">
        <f t="shared" si="83"/>
        <v>0</v>
      </c>
      <c r="L480" s="133">
        <f t="shared" si="84"/>
        <v>0</v>
      </c>
    </row>
    <row r="481" spans="1:12" ht="17.25" customHeight="1" x14ac:dyDescent="0.35">
      <c r="A481" s="306">
        <v>10</v>
      </c>
      <c r="B481" s="141" t="s">
        <v>953</v>
      </c>
      <c r="C481" s="27">
        <v>1</v>
      </c>
      <c r="D481" s="286">
        <v>0</v>
      </c>
      <c r="E481" s="287">
        <f t="shared" si="85"/>
        <v>1</v>
      </c>
      <c r="F481" s="27" t="s">
        <v>18</v>
      </c>
      <c r="G481" s="131"/>
      <c r="H481" s="131"/>
      <c r="I481" s="132">
        <f t="shared" si="82"/>
        <v>0</v>
      </c>
      <c r="J481" s="113">
        <v>4</v>
      </c>
      <c r="K481" s="132">
        <f t="shared" si="83"/>
        <v>0</v>
      </c>
      <c r="L481" s="133">
        <f t="shared" si="84"/>
        <v>0</v>
      </c>
    </row>
    <row r="482" spans="1:12" ht="15" thickBot="1" x14ac:dyDescent="0.4">
      <c r="A482" s="291"/>
      <c r="B482" s="290" t="s">
        <v>954</v>
      </c>
      <c r="C482" s="27"/>
      <c r="D482" s="286"/>
      <c r="E482" s="287"/>
      <c r="F482" s="27"/>
      <c r="G482" s="288"/>
      <c r="H482" s="288"/>
      <c r="I482" s="103"/>
      <c r="J482" s="23"/>
      <c r="K482" s="103"/>
      <c r="L482" s="289"/>
    </row>
    <row r="483" spans="1:12" ht="17.25" customHeight="1" thickBot="1" x14ac:dyDescent="0.4">
      <c r="A483" s="382" t="s">
        <v>854</v>
      </c>
      <c r="B483" s="383"/>
      <c r="C483" s="30"/>
      <c r="D483" s="286"/>
      <c r="E483" s="287"/>
      <c r="F483" s="27"/>
      <c r="G483" s="288"/>
      <c r="H483" s="288"/>
      <c r="I483" s="103"/>
      <c r="J483" s="23"/>
      <c r="K483" s="103"/>
      <c r="L483" s="289"/>
    </row>
    <row r="484" spans="1:12" ht="29" x14ac:dyDescent="0.35">
      <c r="A484" s="295">
        <v>1</v>
      </c>
      <c r="B484" s="296" t="s">
        <v>955</v>
      </c>
      <c r="C484" s="27">
        <v>1</v>
      </c>
      <c r="D484" s="286">
        <v>0</v>
      </c>
      <c r="E484" s="287">
        <f t="shared" ref="E484:E493" si="86">C484*(1+D484)</f>
        <v>1</v>
      </c>
      <c r="F484" s="27" t="s">
        <v>18</v>
      </c>
      <c r="G484" s="131"/>
      <c r="H484" s="131"/>
      <c r="I484" s="132">
        <f t="shared" ref="I484:I493" si="87">L$4</f>
        <v>0</v>
      </c>
      <c r="J484" s="113">
        <v>2</v>
      </c>
      <c r="K484" s="132">
        <f t="shared" ref="K484:K493" si="88">J484*I484</f>
        <v>0</v>
      </c>
      <c r="L484" s="133">
        <f t="shared" ref="L484:L493" si="89">K484+H484</f>
        <v>0</v>
      </c>
    </row>
    <row r="485" spans="1:12" ht="29" x14ac:dyDescent="0.35">
      <c r="A485" s="295">
        <v>2</v>
      </c>
      <c r="B485" s="141" t="s">
        <v>956</v>
      </c>
      <c r="C485" s="27">
        <v>1</v>
      </c>
      <c r="D485" s="286">
        <v>0</v>
      </c>
      <c r="E485" s="287">
        <f t="shared" si="86"/>
        <v>1</v>
      </c>
      <c r="F485" s="27" t="s">
        <v>18</v>
      </c>
      <c r="G485" s="131"/>
      <c r="H485" s="131"/>
      <c r="I485" s="132">
        <f t="shared" si="87"/>
        <v>0</v>
      </c>
      <c r="J485" s="113">
        <v>2</v>
      </c>
      <c r="K485" s="132">
        <f t="shared" si="88"/>
        <v>0</v>
      </c>
      <c r="L485" s="133">
        <f t="shared" si="89"/>
        <v>0</v>
      </c>
    </row>
    <row r="486" spans="1:12" ht="29" x14ac:dyDescent="0.35">
      <c r="A486" s="295">
        <v>3</v>
      </c>
      <c r="B486" s="141" t="s">
        <v>957</v>
      </c>
      <c r="C486" s="27">
        <v>1</v>
      </c>
      <c r="D486" s="286">
        <v>0</v>
      </c>
      <c r="E486" s="287">
        <f t="shared" si="86"/>
        <v>1</v>
      </c>
      <c r="F486" s="27" t="s">
        <v>18</v>
      </c>
      <c r="G486" s="131"/>
      <c r="H486" s="131"/>
      <c r="I486" s="132">
        <f t="shared" si="87"/>
        <v>0</v>
      </c>
      <c r="J486" s="113">
        <v>2</v>
      </c>
      <c r="K486" s="132">
        <f t="shared" si="88"/>
        <v>0</v>
      </c>
      <c r="L486" s="133">
        <f t="shared" si="89"/>
        <v>0</v>
      </c>
    </row>
    <row r="487" spans="1:12" ht="29" x14ac:dyDescent="0.35">
      <c r="A487" s="295">
        <v>4</v>
      </c>
      <c r="B487" s="141" t="s">
        <v>958</v>
      </c>
      <c r="C487" s="27">
        <v>1</v>
      </c>
      <c r="D487" s="286">
        <v>0</v>
      </c>
      <c r="E487" s="287">
        <f t="shared" si="86"/>
        <v>1</v>
      </c>
      <c r="F487" s="27" t="s">
        <v>18</v>
      </c>
      <c r="G487" s="131"/>
      <c r="H487" s="131"/>
      <c r="I487" s="132">
        <f t="shared" si="87"/>
        <v>0</v>
      </c>
      <c r="J487" s="113">
        <v>2</v>
      </c>
      <c r="K487" s="132">
        <f t="shared" si="88"/>
        <v>0</v>
      </c>
      <c r="L487" s="133">
        <f t="shared" si="89"/>
        <v>0</v>
      </c>
    </row>
    <row r="488" spans="1:12" ht="29" x14ac:dyDescent="0.35">
      <c r="A488" s="295">
        <v>5</v>
      </c>
      <c r="B488" s="141" t="s">
        <v>959</v>
      </c>
      <c r="C488" s="27">
        <v>1</v>
      </c>
      <c r="D488" s="286">
        <v>0</v>
      </c>
      <c r="E488" s="287">
        <f t="shared" si="86"/>
        <v>1</v>
      </c>
      <c r="F488" s="27" t="s">
        <v>18</v>
      </c>
      <c r="G488" s="131"/>
      <c r="H488" s="131"/>
      <c r="I488" s="132">
        <f t="shared" si="87"/>
        <v>0</v>
      </c>
      <c r="J488" s="113">
        <v>2</v>
      </c>
      <c r="K488" s="132">
        <f t="shared" si="88"/>
        <v>0</v>
      </c>
      <c r="L488" s="133">
        <f t="shared" si="89"/>
        <v>0</v>
      </c>
    </row>
    <row r="489" spans="1:12" ht="29" x14ac:dyDescent="0.35">
      <c r="A489" s="295">
        <v>6</v>
      </c>
      <c r="B489" s="141" t="s">
        <v>960</v>
      </c>
      <c r="C489" s="27">
        <v>1</v>
      </c>
      <c r="D489" s="286">
        <v>0</v>
      </c>
      <c r="E489" s="287">
        <f t="shared" si="86"/>
        <v>1</v>
      </c>
      <c r="F489" s="27" t="s">
        <v>18</v>
      </c>
      <c r="G489" s="131"/>
      <c r="H489" s="131"/>
      <c r="I489" s="132">
        <f t="shared" si="87"/>
        <v>0</v>
      </c>
      <c r="J489" s="113">
        <v>2</v>
      </c>
      <c r="K489" s="132">
        <f t="shared" si="88"/>
        <v>0</v>
      </c>
      <c r="L489" s="133">
        <f t="shared" si="89"/>
        <v>0</v>
      </c>
    </row>
    <row r="490" spans="1:12" ht="29" x14ac:dyDescent="0.35">
      <c r="A490" s="295">
        <v>7</v>
      </c>
      <c r="B490" s="141" t="s">
        <v>961</v>
      </c>
      <c r="C490" s="27">
        <v>1</v>
      </c>
      <c r="D490" s="286">
        <v>0</v>
      </c>
      <c r="E490" s="287">
        <f t="shared" si="86"/>
        <v>1</v>
      </c>
      <c r="F490" s="27" t="s">
        <v>18</v>
      </c>
      <c r="G490" s="131"/>
      <c r="H490" s="131"/>
      <c r="I490" s="132">
        <f t="shared" si="87"/>
        <v>0</v>
      </c>
      <c r="J490" s="113">
        <v>2</v>
      </c>
      <c r="K490" s="132">
        <f t="shared" si="88"/>
        <v>0</v>
      </c>
      <c r="L490" s="133">
        <f t="shared" si="89"/>
        <v>0</v>
      </c>
    </row>
    <row r="491" spans="1:12" ht="29" x14ac:dyDescent="0.35">
      <c r="A491" s="295">
        <v>8</v>
      </c>
      <c r="B491" s="141" t="s">
        <v>962</v>
      </c>
      <c r="C491" s="27">
        <v>1</v>
      </c>
      <c r="D491" s="286">
        <v>0</v>
      </c>
      <c r="E491" s="287">
        <f t="shared" si="86"/>
        <v>1</v>
      </c>
      <c r="F491" s="27" t="s">
        <v>18</v>
      </c>
      <c r="G491" s="131"/>
      <c r="H491" s="131"/>
      <c r="I491" s="132">
        <f t="shared" si="87"/>
        <v>0</v>
      </c>
      <c r="J491" s="113">
        <v>2</v>
      </c>
      <c r="K491" s="132">
        <f t="shared" si="88"/>
        <v>0</v>
      </c>
      <c r="L491" s="133">
        <f t="shared" si="89"/>
        <v>0</v>
      </c>
    </row>
    <row r="492" spans="1:12" ht="29" x14ac:dyDescent="0.35">
      <c r="A492" s="295">
        <v>9</v>
      </c>
      <c r="B492" s="290" t="s">
        <v>963</v>
      </c>
      <c r="C492" s="27">
        <v>1</v>
      </c>
      <c r="D492" s="286">
        <v>0</v>
      </c>
      <c r="E492" s="287">
        <f t="shared" si="86"/>
        <v>1</v>
      </c>
      <c r="F492" s="27" t="s">
        <v>18</v>
      </c>
      <c r="G492" s="131"/>
      <c r="H492" s="131"/>
      <c r="I492" s="132">
        <f t="shared" si="87"/>
        <v>0</v>
      </c>
      <c r="J492" s="113">
        <v>2</v>
      </c>
      <c r="K492" s="132">
        <f t="shared" si="88"/>
        <v>0</v>
      </c>
      <c r="L492" s="133">
        <f t="shared" si="89"/>
        <v>0</v>
      </c>
    </row>
    <row r="493" spans="1:12" ht="29" x14ac:dyDescent="0.35">
      <c r="A493" s="295">
        <v>10</v>
      </c>
      <c r="B493" s="290" t="s">
        <v>964</v>
      </c>
      <c r="C493" s="27">
        <v>1</v>
      </c>
      <c r="D493" s="286">
        <v>0</v>
      </c>
      <c r="E493" s="287">
        <f t="shared" si="86"/>
        <v>1</v>
      </c>
      <c r="F493" s="27" t="s">
        <v>18</v>
      </c>
      <c r="G493" s="131"/>
      <c r="H493" s="131"/>
      <c r="I493" s="132">
        <f t="shared" si="87"/>
        <v>0</v>
      </c>
      <c r="J493" s="113">
        <v>2</v>
      </c>
      <c r="K493" s="132">
        <f t="shared" si="88"/>
        <v>0</v>
      </c>
      <c r="L493" s="133">
        <f t="shared" si="89"/>
        <v>0</v>
      </c>
    </row>
    <row r="494" spans="1:12" ht="17.25" customHeight="1" thickBot="1" x14ac:dyDescent="0.4">
      <c r="A494" s="291"/>
      <c r="B494" s="290"/>
      <c r="C494" s="27"/>
      <c r="D494" s="286"/>
      <c r="E494" s="287"/>
      <c r="F494" s="27"/>
      <c r="G494" s="288"/>
      <c r="H494" s="288"/>
      <c r="I494" s="103"/>
      <c r="J494" s="23"/>
      <c r="K494" s="103"/>
      <c r="L494" s="289"/>
    </row>
    <row r="495" spans="1:12" ht="17.25" customHeight="1" thickBot="1" x14ac:dyDescent="0.4">
      <c r="A495" s="382" t="s">
        <v>855</v>
      </c>
      <c r="B495" s="383"/>
      <c r="C495" s="30"/>
      <c r="D495" s="286"/>
      <c r="E495" s="287"/>
      <c r="F495" s="27"/>
      <c r="G495" s="288"/>
      <c r="H495" s="288"/>
      <c r="I495" s="103"/>
      <c r="J495" s="23"/>
      <c r="K495" s="103"/>
      <c r="L495" s="289"/>
    </row>
    <row r="496" spans="1:12" ht="29" x14ac:dyDescent="0.35">
      <c r="A496" s="295">
        <v>1</v>
      </c>
      <c r="B496" s="296" t="s">
        <v>965</v>
      </c>
      <c r="C496" s="27">
        <v>1</v>
      </c>
      <c r="D496" s="286">
        <v>0</v>
      </c>
      <c r="E496" s="287">
        <f t="shared" ref="E496:E498" si="90">C496*(1+D496)</f>
        <v>1</v>
      </c>
      <c r="F496" s="27" t="s">
        <v>18</v>
      </c>
      <c r="G496" s="131"/>
      <c r="H496" s="131"/>
      <c r="I496" s="132">
        <f t="shared" ref="I496:I498" si="91">L$4</f>
        <v>0</v>
      </c>
      <c r="J496" s="113">
        <v>2</v>
      </c>
      <c r="K496" s="132">
        <f t="shared" ref="K496:K498" si="92">J496*I496</f>
        <v>0</v>
      </c>
      <c r="L496" s="133">
        <f t="shared" ref="L496:L498" si="93">K496+H496</f>
        <v>0</v>
      </c>
    </row>
    <row r="497" spans="1:12" ht="29" x14ac:dyDescent="0.35">
      <c r="A497" s="306">
        <v>2</v>
      </c>
      <c r="B497" s="141" t="s">
        <v>966</v>
      </c>
      <c r="C497" s="27">
        <v>1</v>
      </c>
      <c r="D497" s="286">
        <v>0</v>
      </c>
      <c r="E497" s="287">
        <f t="shared" si="90"/>
        <v>1</v>
      </c>
      <c r="F497" s="27" t="s">
        <v>18</v>
      </c>
      <c r="G497" s="131"/>
      <c r="H497" s="131"/>
      <c r="I497" s="132">
        <f t="shared" si="91"/>
        <v>0</v>
      </c>
      <c r="J497" s="113">
        <v>2</v>
      </c>
      <c r="K497" s="132">
        <f t="shared" si="92"/>
        <v>0</v>
      </c>
      <c r="L497" s="133">
        <f t="shared" si="93"/>
        <v>0</v>
      </c>
    </row>
    <row r="498" spans="1:12" ht="29" x14ac:dyDescent="0.35">
      <c r="A498" s="306">
        <v>3</v>
      </c>
      <c r="B498" s="141" t="s">
        <v>967</v>
      </c>
      <c r="C498" s="27">
        <v>1</v>
      </c>
      <c r="D498" s="286">
        <v>0</v>
      </c>
      <c r="E498" s="287">
        <f t="shared" si="90"/>
        <v>1</v>
      </c>
      <c r="F498" s="27" t="s">
        <v>18</v>
      </c>
      <c r="G498" s="131"/>
      <c r="H498" s="131"/>
      <c r="I498" s="132">
        <f t="shared" si="91"/>
        <v>0</v>
      </c>
      <c r="J498" s="113">
        <v>2</v>
      </c>
      <c r="K498" s="132">
        <f t="shared" si="92"/>
        <v>0</v>
      </c>
      <c r="L498" s="133">
        <f t="shared" si="93"/>
        <v>0</v>
      </c>
    </row>
    <row r="499" spans="1:12" ht="44" thickBot="1" x14ac:dyDescent="0.4">
      <c r="A499" s="291"/>
      <c r="B499" s="290" t="s">
        <v>968</v>
      </c>
      <c r="C499" s="27"/>
      <c r="D499" s="286"/>
      <c r="E499" s="287"/>
      <c r="F499" s="27"/>
      <c r="G499" s="288"/>
      <c r="H499" s="288"/>
      <c r="I499" s="103"/>
      <c r="J499" s="23"/>
      <c r="K499" s="103"/>
      <c r="L499" s="289"/>
    </row>
    <row r="500" spans="1:12" ht="17.25" customHeight="1" thickBot="1" x14ac:dyDescent="0.4">
      <c r="A500" s="382" t="s">
        <v>856</v>
      </c>
      <c r="B500" s="383"/>
      <c r="C500" s="30"/>
      <c r="D500" s="286"/>
      <c r="E500" s="287"/>
      <c r="F500" s="27"/>
      <c r="G500" s="288"/>
      <c r="H500" s="288"/>
      <c r="I500" s="103"/>
      <c r="J500" s="23"/>
      <c r="K500" s="103"/>
      <c r="L500" s="289"/>
    </row>
    <row r="501" spans="1:12" ht="43.5" x14ac:dyDescent="0.35">
      <c r="A501" s="295">
        <v>1</v>
      </c>
      <c r="B501" s="296" t="s">
        <v>969</v>
      </c>
      <c r="C501" s="27">
        <v>1</v>
      </c>
      <c r="D501" s="286">
        <v>0</v>
      </c>
      <c r="E501" s="287">
        <f t="shared" ref="E501" si="94">C501*(1+D501)</f>
        <v>1</v>
      </c>
      <c r="F501" s="27" t="s">
        <v>18</v>
      </c>
      <c r="G501" s="131"/>
      <c r="H501" s="131"/>
      <c r="I501" s="132">
        <f t="shared" ref="I501" si="95">L$4</f>
        <v>0</v>
      </c>
      <c r="J501" s="113">
        <v>12</v>
      </c>
      <c r="K501" s="132">
        <f t="shared" ref="K501" si="96">J501*I501</f>
        <v>0</v>
      </c>
      <c r="L501" s="133">
        <f t="shared" ref="L501" si="97">K501+H501</f>
        <v>0</v>
      </c>
    </row>
    <row r="502" spans="1:12" ht="17.25" customHeight="1" thickBot="1" x14ac:dyDescent="0.4">
      <c r="A502" s="291"/>
      <c r="B502" s="290"/>
      <c r="C502" s="27"/>
      <c r="D502" s="286"/>
      <c r="E502" s="287"/>
      <c r="F502" s="27"/>
      <c r="G502" s="288"/>
      <c r="H502" s="288"/>
      <c r="I502" s="103"/>
      <c r="J502" s="23"/>
      <c r="K502" s="103"/>
      <c r="L502" s="289"/>
    </row>
    <row r="503" spans="1:12" ht="17.25" customHeight="1" thickBot="1" x14ac:dyDescent="0.4">
      <c r="A503" s="441" t="s">
        <v>857</v>
      </c>
      <c r="B503" s="442"/>
      <c r="C503" s="30"/>
      <c r="D503" s="286"/>
      <c r="E503" s="287"/>
      <c r="F503" s="27"/>
      <c r="G503" s="288"/>
      <c r="H503" s="288"/>
      <c r="I503" s="103"/>
      <c r="J503" s="23"/>
      <c r="K503" s="103"/>
      <c r="L503" s="289"/>
    </row>
    <row r="504" spans="1:12" ht="43.5" x14ac:dyDescent="0.35">
      <c r="A504" s="311">
        <v>1</v>
      </c>
      <c r="B504" s="296" t="s">
        <v>970</v>
      </c>
      <c r="C504" s="27">
        <v>1</v>
      </c>
      <c r="D504" s="286">
        <v>0</v>
      </c>
      <c r="E504" s="287">
        <f t="shared" ref="E504:E505" si="98">C504*(1+D504)</f>
        <v>1</v>
      </c>
      <c r="F504" s="27" t="s">
        <v>18</v>
      </c>
      <c r="G504" s="131"/>
      <c r="H504" s="131"/>
      <c r="I504" s="132">
        <f t="shared" ref="I504:I505" si="99">L$4</f>
        <v>0</v>
      </c>
      <c r="J504" s="113">
        <v>18</v>
      </c>
      <c r="K504" s="132">
        <f t="shared" ref="K504:K505" si="100">J504*I504</f>
        <v>0</v>
      </c>
      <c r="L504" s="133">
        <f t="shared" ref="L504:L505" si="101">K504+H504</f>
        <v>0</v>
      </c>
    </row>
    <row r="505" spans="1:12" ht="43.5" x14ac:dyDescent="0.35">
      <c r="A505" s="285">
        <v>2</v>
      </c>
      <c r="B505" s="141" t="s">
        <v>971</v>
      </c>
      <c r="C505" s="27">
        <v>1</v>
      </c>
      <c r="D505" s="286">
        <v>0</v>
      </c>
      <c r="E505" s="287">
        <f t="shared" si="98"/>
        <v>1</v>
      </c>
      <c r="F505" s="27" t="s">
        <v>18</v>
      </c>
      <c r="G505" s="131"/>
      <c r="H505" s="131"/>
      <c r="I505" s="132">
        <f t="shared" si="99"/>
        <v>0</v>
      </c>
      <c r="J505" s="113">
        <v>14</v>
      </c>
      <c r="K505" s="132">
        <f t="shared" si="100"/>
        <v>0</v>
      </c>
      <c r="L505" s="133">
        <f t="shared" si="101"/>
        <v>0</v>
      </c>
    </row>
    <row r="506" spans="1:12" ht="17.25" customHeight="1" thickBot="1" x14ac:dyDescent="0.4">
      <c r="A506" s="315"/>
      <c r="B506" s="290"/>
      <c r="C506" s="27"/>
      <c r="D506" s="286"/>
      <c r="E506" s="287"/>
      <c r="F506" s="27"/>
      <c r="G506" s="288"/>
      <c r="H506" s="288"/>
      <c r="I506" s="103"/>
      <c r="J506" s="23"/>
      <c r="K506" s="103"/>
      <c r="L506" s="289"/>
    </row>
    <row r="507" spans="1:12" ht="17.25" customHeight="1" thickBot="1" x14ac:dyDescent="0.4">
      <c r="A507" s="382" t="s">
        <v>858</v>
      </c>
      <c r="B507" s="383"/>
      <c r="C507" s="30"/>
      <c r="D507" s="286"/>
      <c r="E507" s="287"/>
      <c r="F507" s="27"/>
      <c r="G507" s="288"/>
      <c r="H507" s="288"/>
      <c r="I507" s="103"/>
      <c r="J507" s="23"/>
      <c r="K507" s="103"/>
      <c r="L507" s="289"/>
    </row>
    <row r="508" spans="1:12" ht="29" x14ac:dyDescent="0.35">
      <c r="A508" s="311">
        <v>1</v>
      </c>
      <c r="B508" s="296" t="s">
        <v>972</v>
      </c>
      <c r="C508" s="27">
        <v>1</v>
      </c>
      <c r="D508" s="286">
        <v>0</v>
      </c>
      <c r="E508" s="287">
        <f t="shared" ref="E508" si="102">C508*(1+D508)</f>
        <v>1</v>
      </c>
      <c r="F508" s="27" t="s">
        <v>18</v>
      </c>
      <c r="G508" s="131"/>
      <c r="H508" s="131"/>
      <c r="I508" s="132">
        <f t="shared" ref="I508" si="103">L$4</f>
        <v>0</v>
      </c>
      <c r="J508" s="113">
        <v>2</v>
      </c>
      <c r="K508" s="132">
        <f t="shared" ref="K508" si="104">J508*I508</f>
        <v>0</v>
      </c>
      <c r="L508" s="133">
        <f t="shared" ref="L508" si="105">K508+H508</f>
        <v>0</v>
      </c>
    </row>
    <row r="509" spans="1:12" ht="29.5" thickBot="1" x14ac:dyDescent="0.4">
      <c r="A509" s="315"/>
      <c r="B509" s="290" t="s">
        <v>973</v>
      </c>
      <c r="C509" s="27"/>
      <c r="D509" s="286"/>
      <c r="E509" s="287"/>
      <c r="F509" s="27"/>
      <c r="G509" s="288"/>
      <c r="H509" s="288"/>
      <c r="I509" s="103"/>
      <c r="J509" s="23"/>
      <c r="K509" s="103"/>
      <c r="L509" s="289"/>
    </row>
    <row r="510" spans="1:12" ht="17.25" customHeight="1" thickBot="1" x14ac:dyDescent="0.4">
      <c r="A510" s="382" t="s">
        <v>859</v>
      </c>
      <c r="B510" s="383"/>
      <c r="C510" s="30"/>
      <c r="D510" s="286"/>
      <c r="E510" s="287"/>
      <c r="F510" s="27"/>
      <c r="G510" s="288"/>
      <c r="H510" s="288"/>
      <c r="I510" s="103"/>
      <c r="J510" s="23"/>
      <c r="K510" s="103"/>
      <c r="L510" s="289"/>
    </row>
    <row r="511" spans="1:12" x14ac:dyDescent="0.35">
      <c r="A511" s="295">
        <v>1</v>
      </c>
      <c r="B511" s="296" t="s">
        <v>974</v>
      </c>
      <c r="C511" s="27">
        <v>1</v>
      </c>
      <c r="D511" s="286">
        <v>0</v>
      </c>
      <c r="E511" s="287">
        <f t="shared" ref="E511:E519" si="106">C511*(1+D511)</f>
        <v>1</v>
      </c>
      <c r="F511" s="27" t="s">
        <v>18</v>
      </c>
      <c r="G511" s="131"/>
      <c r="H511" s="131"/>
      <c r="I511" s="132">
        <f t="shared" ref="I511:I519" si="107">L$4</f>
        <v>0</v>
      </c>
      <c r="J511" s="113">
        <v>2</v>
      </c>
      <c r="K511" s="132">
        <f t="shared" ref="K511:K519" si="108">J511*I511</f>
        <v>0</v>
      </c>
      <c r="L511" s="133">
        <f t="shared" ref="L511:L519" si="109">K511+H511</f>
        <v>0</v>
      </c>
    </row>
    <row r="512" spans="1:12" x14ac:dyDescent="0.35">
      <c r="A512" s="306">
        <v>2</v>
      </c>
      <c r="B512" s="141" t="s">
        <v>975</v>
      </c>
      <c r="C512" s="27">
        <v>1</v>
      </c>
      <c r="D512" s="286">
        <v>0</v>
      </c>
      <c r="E512" s="287">
        <f t="shared" si="106"/>
        <v>1</v>
      </c>
      <c r="F512" s="27" t="s">
        <v>18</v>
      </c>
      <c r="G512" s="131"/>
      <c r="H512" s="131"/>
      <c r="I512" s="132">
        <f t="shared" si="107"/>
        <v>0</v>
      </c>
      <c r="J512" s="113">
        <v>2</v>
      </c>
      <c r="K512" s="132">
        <f t="shared" si="108"/>
        <v>0</v>
      </c>
      <c r="L512" s="133">
        <f t="shared" si="109"/>
        <v>0</v>
      </c>
    </row>
    <row r="513" spans="1:12" x14ac:dyDescent="0.35">
      <c r="A513" s="306">
        <v>3</v>
      </c>
      <c r="B513" s="141" t="s">
        <v>976</v>
      </c>
      <c r="C513" s="27">
        <v>1</v>
      </c>
      <c r="D513" s="286">
        <v>0</v>
      </c>
      <c r="E513" s="287">
        <f t="shared" si="106"/>
        <v>1</v>
      </c>
      <c r="F513" s="27" t="s">
        <v>18</v>
      </c>
      <c r="G513" s="131"/>
      <c r="H513" s="131"/>
      <c r="I513" s="132">
        <f t="shared" si="107"/>
        <v>0</v>
      </c>
      <c r="J513" s="113">
        <v>2</v>
      </c>
      <c r="K513" s="132">
        <f t="shared" si="108"/>
        <v>0</v>
      </c>
      <c r="L513" s="133">
        <f t="shared" si="109"/>
        <v>0</v>
      </c>
    </row>
    <row r="514" spans="1:12" x14ac:dyDescent="0.35">
      <c r="A514" s="306">
        <v>4</v>
      </c>
      <c r="B514" s="141" t="s">
        <v>977</v>
      </c>
      <c r="C514" s="27">
        <v>1</v>
      </c>
      <c r="D514" s="286">
        <v>0</v>
      </c>
      <c r="E514" s="287">
        <f t="shared" si="106"/>
        <v>1</v>
      </c>
      <c r="F514" s="27" t="s">
        <v>18</v>
      </c>
      <c r="G514" s="131"/>
      <c r="H514" s="131"/>
      <c r="I514" s="132">
        <f t="shared" si="107"/>
        <v>0</v>
      </c>
      <c r="J514" s="113">
        <v>2</v>
      </c>
      <c r="K514" s="132">
        <f t="shared" si="108"/>
        <v>0</v>
      </c>
      <c r="L514" s="133">
        <f t="shared" si="109"/>
        <v>0</v>
      </c>
    </row>
    <row r="515" spans="1:12" x14ac:dyDescent="0.35">
      <c r="A515" s="306">
        <v>5</v>
      </c>
      <c r="B515" s="141" t="s">
        <v>978</v>
      </c>
      <c r="C515" s="27">
        <v>1</v>
      </c>
      <c r="D515" s="286">
        <v>0</v>
      </c>
      <c r="E515" s="287">
        <f t="shared" si="106"/>
        <v>1</v>
      </c>
      <c r="F515" s="27" t="s">
        <v>18</v>
      </c>
      <c r="G515" s="131"/>
      <c r="H515" s="131"/>
      <c r="I515" s="132">
        <f t="shared" si="107"/>
        <v>0</v>
      </c>
      <c r="J515" s="113">
        <v>2</v>
      </c>
      <c r="K515" s="132">
        <f t="shared" si="108"/>
        <v>0</v>
      </c>
      <c r="L515" s="133">
        <f t="shared" si="109"/>
        <v>0</v>
      </c>
    </row>
    <row r="516" spans="1:12" x14ac:dyDescent="0.35">
      <c r="A516" s="306">
        <v>6</v>
      </c>
      <c r="B516" s="141" t="s">
        <v>979</v>
      </c>
      <c r="C516" s="27">
        <v>1</v>
      </c>
      <c r="D516" s="286">
        <v>0</v>
      </c>
      <c r="E516" s="287">
        <f t="shared" si="106"/>
        <v>1</v>
      </c>
      <c r="F516" s="27" t="s">
        <v>18</v>
      </c>
      <c r="G516" s="131"/>
      <c r="H516" s="131"/>
      <c r="I516" s="132">
        <f t="shared" si="107"/>
        <v>0</v>
      </c>
      <c r="J516" s="113">
        <v>2</v>
      </c>
      <c r="K516" s="132">
        <f t="shared" si="108"/>
        <v>0</v>
      </c>
      <c r="L516" s="133">
        <f t="shared" si="109"/>
        <v>0</v>
      </c>
    </row>
    <row r="517" spans="1:12" x14ac:dyDescent="0.35">
      <c r="A517" s="306">
        <v>7</v>
      </c>
      <c r="B517" s="141" t="s">
        <v>980</v>
      </c>
      <c r="C517" s="27">
        <v>1</v>
      </c>
      <c r="D517" s="286">
        <v>0</v>
      </c>
      <c r="E517" s="287">
        <f t="shared" si="106"/>
        <v>1</v>
      </c>
      <c r="F517" s="27" t="s">
        <v>18</v>
      </c>
      <c r="G517" s="131"/>
      <c r="H517" s="131"/>
      <c r="I517" s="132">
        <f t="shared" si="107"/>
        <v>0</v>
      </c>
      <c r="J517" s="113">
        <v>2</v>
      </c>
      <c r="K517" s="132">
        <f t="shared" si="108"/>
        <v>0</v>
      </c>
      <c r="L517" s="133">
        <f t="shared" si="109"/>
        <v>0</v>
      </c>
    </row>
    <row r="518" spans="1:12" x14ac:dyDescent="0.35">
      <c r="A518" s="306">
        <v>8</v>
      </c>
      <c r="B518" s="141" t="s">
        <v>981</v>
      </c>
      <c r="C518" s="27">
        <v>1</v>
      </c>
      <c r="D518" s="286">
        <v>0</v>
      </c>
      <c r="E518" s="287">
        <f t="shared" si="106"/>
        <v>1</v>
      </c>
      <c r="F518" s="27" t="s">
        <v>18</v>
      </c>
      <c r="G518" s="131"/>
      <c r="H518" s="131"/>
      <c r="I518" s="132">
        <f t="shared" si="107"/>
        <v>0</v>
      </c>
      <c r="J518" s="113">
        <v>2</v>
      </c>
      <c r="K518" s="132">
        <f t="shared" si="108"/>
        <v>0</v>
      </c>
      <c r="L518" s="133">
        <f t="shared" si="109"/>
        <v>0</v>
      </c>
    </row>
    <row r="519" spans="1:12" x14ac:dyDescent="0.35">
      <c r="A519" s="306">
        <v>9</v>
      </c>
      <c r="B519" s="141" t="s">
        <v>982</v>
      </c>
      <c r="C519" s="27">
        <v>1</v>
      </c>
      <c r="D519" s="286">
        <v>0</v>
      </c>
      <c r="E519" s="287">
        <f t="shared" si="106"/>
        <v>1</v>
      </c>
      <c r="F519" s="27" t="s">
        <v>18</v>
      </c>
      <c r="G519" s="131"/>
      <c r="H519" s="131"/>
      <c r="I519" s="132">
        <f t="shared" si="107"/>
        <v>0</v>
      </c>
      <c r="J519" s="113">
        <v>2</v>
      </c>
      <c r="K519" s="132">
        <f t="shared" si="108"/>
        <v>0</v>
      </c>
      <c r="L519" s="133">
        <f t="shared" si="109"/>
        <v>0</v>
      </c>
    </row>
    <row r="520" spans="1:12" ht="44" thickBot="1" x14ac:dyDescent="0.4">
      <c r="A520" s="291"/>
      <c r="B520" s="290" t="s">
        <v>983</v>
      </c>
      <c r="C520" s="27"/>
      <c r="D520" s="286"/>
      <c r="E520" s="287"/>
      <c r="F520" s="27"/>
      <c r="G520" s="288"/>
      <c r="H520" s="288"/>
      <c r="I520" s="103"/>
      <c r="J520" s="23"/>
      <c r="K520" s="103"/>
      <c r="L520" s="289"/>
    </row>
    <row r="521" spans="1:12" ht="17.25" customHeight="1" thickBot="1" x14ac:dyDescent="0.4">
      <c r="A521" s="382" t="s">
        <v>860</v>
      </c>
      <c r="B521" s="383"/>
      <c r="C521" s="30"/>
      <c r="D521" s="286"/>
      <c r="E521" s="287"/>
      <c r="F521" s="27"/>
      <c r="G521" s="288"/>
      <c r="H521" s="288"/>
      <c r="I521" s="103"/>
      <c r="J521" s="23"/>
      <c r="K521" s="103"/>
      <c r="L521" s="289"/>
    </row>
    <row r="522" spans="1:12" ht="29" x14ac:dyDescent="0.35">
      <c r="A522" s="295">
        <v>1</v>
      </c>
      <c r="B522" s="296" t="s">
        <v>984</v>
      </c>
      <c r="C522" s="27">
        <v>1</v>
      </c>
      <c r="D522" s="286">
        <v>0</v>
      </c>
      <c r="E522" s="287">
        <f t="shared" ref="E522:E534" si="110">C522*(1+D522)</f>
        <v>1</v>
      </c>
      <c r="F522" s="27" t="s">
        <v>18</v>
      </c>
      <c r="G522" s="131"/>
      <c r="H522" s="131"/>
      <c r="I522" s="132">
        <f t="shared" ref="I522:I534" si="111">L$4</f>
        <v>0</v>
      </c>
      <c r="J522" s="113">
        <v>6</v>
      </c>
      <c r="K522" s="132">
        <f t="shared" ref="K522:K534" si="112">J522*I522</f>
        <v>0</v>
      </c>
      <c r="L522" s="133">
        <f t="shared" ref="L522:L534" si="113">K522+H522</f>
        <v>0</v>
      </c>
    </row>
    <row r="523" spans="1:12" ht="29" x14ac:dyDescent="0.35">
      <c r="A523" s="306">
        <v>2</v>
      </c>
      <c r="B523" s="141" t="s">
        <v>985</v>
      </c>
      <c r="C523" s="27">
        <v>1</v>
      </c>
      <c r="D523" s="286">
        <v>0</v>
      </c>
      <c r="E523" s="287">
        <f t="shared" si="110"/>
        <v>1</v>
      </c>
      <c r="F523" s="27" t="s">
        <v>18</v>
      </c>
      <c r="G523" s="131"/>
      <c r="H523" s="131"/>
      <c r="I523" s="132">
        <f t="shared" si="111"/>
        <v>0</v>
      </c>
      <c r="J523" s="113">
        <v>6</v>
      </c>
      <c r="K523" s="132">
        <f t="shared" si="112"/>
        <v>0</v>
      </c>
      <c r="L523" s="133">
        <f t="shared" si="113"/>
        <v>0</v>
      </c>
    </row>
    <row r="524" spans="1:12" ht="29" x14ac:dyDescent="0.35">
      <c r="A524" s="306">
        <v>3</v>
      </c>
      <c r="B524" s="141" t="s">
        <v>986</v>
      </c>
      <c r="C524" s="27">
        <v>1</v>
      </c>
      <c r="D524" s="286">
        <v>0</v>
      </c>
      <c r="E524" s="287">
        <f t="shared" si="110"/>
        <v>1</v>
      </c>
      <c r="F524" s="27" t="s">
        <v>18</v>
      </c>
      <c r="G524" s="131"/>
      <c r="H524" s="131"/>
      <c r="I524" s="132">
        <f t="shared" si="111"/>
        <v>0</v>
      </c>
      <c r="J524" s="113">
        <v>6</v>
      </c>
      <c r="K524" s="132">
        <f t="shared" si="112"/>
        <v>0</v>
      </c>
      <c r="L524" s="133">
        <f t="shared" si="113"/>
        <v>0</v>
      </c>
    </row>
    <row r="525" spans="1:12" ht="29" x14ac:dyDescent="0.35">
      <c r="A525" s="306">
        <v>4</v>
      </c>
      <c r="B525" s="141" t="s">
        <v>987</v>
      </c>
      <c r="C525" s="27">
        <v>1</v>
      </c>
      <c r="D525" s="286">
        <v>0</v>
      </c>
      <c r="E525" s="287">
        <f t="shared" si="110"/>
        <v>1</v>
      </c>
      <c r="F525" s="27" t="s">
        <v>18</v>
      </c>
      <c r="G525" s="131"/>
      <c r="H525" s="131"/>
      <c r="I525" s="132">
        <f t="shared" si="111"/>
        <v>0</v>
      </c>
      <c r="J525" s="113">
        <v>6</v>
      </c>
      <c r="K525" s="132">
        <f t="shared" si="112"/>
        <v>0</v>
      </c>
      <c r="L525" s="133">
        <f t="shared" si="113"/>
        <v>0</v>
      </c>
    </row>
    <row r="526" spans="1:12" ht="29" x14ac:dyDescent="0.35">
      <c r="A526" s="306">
        <v>5</v>
      </c>
      <c r="B526" s="141" t="s">
        <v>988</v>
      </c>
      <c r="C526" s="27">
        <v>1</v>
      </c>
      <c r="D526" s="286">
        <v>0</v>
      </c>
      <c r="E526" s="287">
        <f t="shared" si="110"/>
        <v>1</v>
      </c>
      <c r="F526" s="27" t="s">
        <v>18</v>
      </c>
      <c r="G526" s="131"/>
      <c r="H526" s="131"/>
      <c r="I526" s="132">
        <f t="shared" si="111"/>
        <v>0</v>
      </c>
      <c r="J526" s="113">
        <v>6</v>
      </c>
      <c r="K526" s="132">
        <f t="shared" si="112"/>
        <v>0</v>
      </c>
      <c r="L526" s="133">
        <f t="shared" si="113"/>
        <v>0</v>
      </c>
    </row>
    <row r="527" spans="1:12" ht="29" x14ac:dyDescent="0.35">
      <c r="A527" s="306">
        <v>6</v>
      </c>
      <c r="B527" s="141" t="s">
        <v>989</v>
      </c>
      <c r="C527" s="27">
        <v>1</v>
      </c>
      <c r="D527" s="286">
        <v>0</v>
      </c>
      <c r="E527" s="287">
        <f t="shared" si="110"/>
        <v>1</v>
      </c>
      <c r="F527" s="27" t="s">
        <v>18</v>
      </c>
      <c r="G527" s="131"/>
      <c r="H527" s="131"/>
      <c r="I527" s="132">
        <f t="shared" si="111"/>
        <v>0</v>
      </c>
      <c r="J527" s="113">
        <v>6</v>
      </c>
      <c r="K527" s="132">
        <f t="shared" si="112"/>
        <v>0</v>
      </c>
      <c r="L527" s="133">
        <f t="shared" si="113"/>
        <v>0</v>
      </c>
    </row>
    <row r="528" spans="1:12" ht="29" x14ac:dyDescent="0.35">
      <c r="A528" s="306">
        <v>7</v>
      </c>
      <c r="B528" s="141" t="s">
        <v>990</v>
      </c>
      <c r="C528" s="27">
        <v>1</v>
      </c>
      <c r="D528" s="286">
        <v>0</v>
      </c>
      <c r="E528" s="287">
        <f t="shared" si="110"/>
        <v>1</v>
      </c>
      <c r="F528" s="27" t="s">
        <v>18</v>
      </c>
      <c r="G528" s="131"/>
      <c r="H528" s="131"/>
      <c r="I528" s="132">
        <f t="shared" si="111"/>
        <v>0</v>
      </c>
      <c r="J528" s="113">
        <v>6</v>
      </c>
      <c r="K528" s="132">
        <f t="shared" si="112"/>
        <v>0</v>
      </c>
      <c r="L528" s="133">
        <f t="shared" si="113"/>
        <v>0</v>
      </c>
    </row>
    <row r="529" spans="1:12" ht="29" x14ac:dyDescent="0.35">
      <c r="A529" s="306">
        <v>8</v>
      </c>
      <c r="B529" s="141" t="s">
        <v>991</v>
      </c>
      <c r="C529" s="27">
        <v>1</v>
      </c>
      <c r="D529" s="286">
        <v>0</v>
      </c>
      <c r="E529" s="287">
        <f t="shared" si="110"/>
        <v>1</v>
      </c>
      <c r="F529" s="27" t="s">
        <v>18</v>
      </c>
      <c r="G529" s="131"/>
      <c r="H529" s="131"/>
      <c r="I529" s="132">
        <f t="shared" si="111"/>
        <v>0</v>
      </c>
      <c r="J529" s="113">
        <v>6</v>
      </c>
      <c r="K529" s="132">
        <f t="shared" si="112"/>
        <v>0</v>
      </c>
      <c r="L529" s="133">
        <f t="shared" si="113"/>
        <v>0</v>
      </c>
    </row>
    <row r="530" spans="1:12" ht="29" x14ac:dyDescent="0.35">
      <c r="A530" s="306">
        <v>9</v>
      </c>
      <c r="B530" s="141" t="s">
        <v>992</v>
      </c>
      <c r="C530" s="27">
        <v>1</v>
      </c>
      <c r="D530" s="286">
        <v>0</v>
      </c>
      <c r="E530" s="287">
        <f t="shared" si="110"/>
        <v>1</v>
      </c>
      <c r="F530" s="27" t="s">
        <v>18</v>
      </c>
      <c r="G530" s="131"/>
      <c r="H530" s="131"/>
      <c r="I530" s="132">
        <f t="shared" si="111"/>
        <v>0</v>
      </c>
      <c r="J530" s="113">
        <v>6</v>
      </c>
      <c r="K530" s="132">
        <f t="shared" si="112"/>
        <v>0</v>
      </c>
      <c r="L530" s="133">
        <f t="shared" si="113"/>
        <v>0</v>
      </c>
    </row>
    <row r="531" spans="1:12" ht="29" x14ac:dyDescent="0.35">
      <c r="A531" s="306">
        <v>10</v>
      </c>
      <c r="B531" s="141" t="s">
        <v>993</v>
      </c>
      <c r="C531" s="27">
        <v>1</v>
      </c>
      <c r="D531" s="286">
        <v>0</v>
      </c>
      <c r="E531" s="287">
        <f t="shared" si="110"/>
        <v>1</v>
      </c>
      <c r="F531" s="27" t="s">
        <v>18</v>
      </c>
      <c r="G531" s="131"/>
      <c r="H531" s="131"/>
      <c r="I531" s="132">
        <f t="shared" si="111"/>
        <v>0</v>
      </c>
      <c r="J531" s="113">
        <v>6</v>
      </c>
      <c r="K531" s="132">
        <f t="shared" si="112"/>
        <v>0</v>
      </c>
      <c r="L531" s="133">
        <f t="shared" si="113"/>
        <v>0</v>
      </c>
    </row>
    <row r="532" spans="1:12" ht="29" x14ac:dyDescent="0.35">
      <c r="A532" s="306">
        <v>11</v>
      </c>
      <c r="B532" s="141" t="s">
        <v>994</v>
      </c>
      <c r="C532" s="27">
        <v>1</v>
      </c>
      <c r="D532" s="286">
        <v>0</v>
      </c>
      <c r="E532" s="287">
        <f t="shared" si="110"/>
        <v>1</v>
      </c>
      <c r="F532" s="27" t="s">
        <v>18</v>
      </c>
      <c r="G532" s="131"/>
      <c r="H532" s="131"/>
      <c r="I532" s="132">
        <f t="shared" si="111"/>
        <v>0</v>
      </c>
      <c r="J532" s="113">
        <v>6</v>
      </c>
      <c r="K532" s="132">
        <f t="shared" si="112"/>
        <v>0</v>
      </c>
      <c r="L532" s="133">
        <f t="shared" si="113"/>
        <v>0</v>
      </c>
    </row>
    <row r="533" spans="1:12" ht="29" x14ac:dyDescent="0.35">
      <c r="A533" s="306">
        <v>12</v>
      </c>
      <c r="B533" s="141" t="s">
        <v>995</v>
      </c>
      <c r="C533" s="27">
        <v>1</v>
      </c>
      <c r="D533" s="286">
        <v>0</v>
      </c>
      <c r="E533" s="287">
        <f t="shared" si="110"/>
        <v>1</v>
      </c>
      <c r="F533" s="27" t="s">
        <v>18</v>
      </c>
      <c r="G533" s="131"/>
      <c r="H533" s="131"/>
      <c r="I533" s="132">
        <f t="shared" si="111"/>
        <v>0</v>
      </c>
      <c r="J533" s="113">
        <v>6</v>
      </c>
      <c r="K533" s="132">
        <f t="shared" si="112"/>
        <v>0</v>
      </c>
      <c r="L533" s="133">
        <f t="shared" si="113"/>
        <v>0</v>
      </c>
    </row>
    <row r="534" spans="1:12" ht="29" x14ac:dyDescent="0.35">
      <c r="A534" s="306">
        <v>13</v>
      </c>
      <c r="B534" s="141" t="s">
        <v>996</v>
      </c>
      <c r="C534" s="27">
        <v>1</v>
      </c>
      <c r="D534" s="286">
        <v>0</v>
      </c>
      <c r="E534" s="287">
        <f t="shared" si="110"/>
        <v>1</v>
      </c>
      <c r="F534" s="27" t="s">
        <v>18</v>
      </c>
      <c r="G534" s="131"/>
      <c r="H534" s="131"/>
      <c r="I534" s="132">
        <f t="shared" si="111"/>
        <v>0</v>
      </c>
      <c r="J534" s="113">
        <v>6</v>
      </c>
      <c r="K534" s="132">
        <f t="shared" si="112"/>
        <v>0</v>
      </c>
      <c r="L534" s="133">
        <f t="shared" si="113"/>
        <v>0</v>
      </c>
    </row>
    <row r="535" spans="1:12" ht="15" thickBot="1" x14ac:dyDescent="0.4">
      <c r="A535" s="291"/>
      <c r="B535" s="290" t="s">
        <v>997</v>
      </c>
      <c r="C535" s="27"/>
      <c r="D535" s="286"/>
      <c r="E535" s="287"/>
      <c r="F535" s="27"/>
      <c r="G535" s="288"/>
      <c r="H535" s="288"/>
      <c r="I535" s="103"/>
      <c r="J535" s="23"/>
      <c r="K535" s="103"/>
      <c r="L535" s="289"/>
    </row>
    <row r="536" spans="1:12" ht="17.25" customHeight="1" thickBot="1" x14ac:dyDescent="0.4">
      <c r="A536" s="382" t="s">
        <v>861</v>
      </c>
      <c r="B536" s="383"/>
      <c r="C536" s="312"/>
      <c r="D536" s="308"/>
      <c r="E536" s="309"/>
      <c r="F536" s="307"/>
      <c r="G536" s="297"/>
      <c r="H536" s="297"/>
      <c r="I536" s="298"/>
      <c r="J536" s="86"/>
      <c r="K536" s="298"/>
      <c r="L536" s="299"/>
    </row>
    <row r="537" spans="1:12" ht="29" x14ac:dyDescent="0.35">
      <c r="A537" s="313">
        <v>1</v>
      </c>
      <c r="B537" s="314" t="s">
        <v>998</v>
      </c>
      <c r="C537" s="307">
        <v>1</v>
      </c>
      <c r="D537" s="308">
        <v>0</v>
      </c>
      <c r="E537" s="287">
        <f t="shared" ref="E537:E600" si="114">C537*(1+D537)</f>
        <v>1</v>
      </c>
      <c r="F537" s="27" t="s">
        <v>18</v>
      </c>
      <c r="G537" s="131"/>
      <c r="H537" s="131"/>
      <c r="I537" s="132">
        <f t="shared" ref="I537:I600" si="115">L$4</f>
        <v>0</v>
      </c>
      <c r="J537" s="113">
        <v>6</v>
      </c>
      <c r="K537" s="132">
        <f t="shared" ref="K537:K600" si="116">J537*I537</f>
        <v>0</v>
      </c>
      <c r="L537" s="133">
        <f t="shared" ref="L537:L600" si="117">K537+H537</f>
        <v>0</v>
      </c>
    </row>
    <row r="538" spans="1:12" ht="29" x14ac:dyDescent="0.35">
      <c r="A538" s="291">
        <v>2</v>
      </c>
      <c r="B538" s="290" t="s">
        <v>999</v>
      </c>
      <c r="C538" s="307">
        <v>1</v>
      </c>
      <c r="D538" s="308">
        <v>0</v>
      </c>
      <c r="E538" s="287">
        <f t="shared" si="114"/>
        <v>1</v>
      </c>
      <c r="F538" s="27" t="s">
        <v>18</v>
      </c>
      <c r="G538" s="131"/>
      <c r="H538" s="131"/>
      <c r="I538" s="132">
        <f t="shared" si="115"/>
        <v>0</v>
      </c>
      <c r="J538" s="113">
        <v>6</v>
      </c>
      <c r="K538" s="132">
        <f t="shared" si="116"/>
        <v>0</v>
      </c>
      <c r="L538" s="133">
        <f t="shared" si="117"/>
        <v>0</v>
      </c>
    </row>
    <row r="539" spans="1:12" ht="29" x14ac:dyDescent="0.35">
      <c r="A539" s="291">
        <v>3</v>
      </c>
      <c r="B539" s="290" t="s">
        <v>1000</v>
      </c>
      <c r="C539" s="307">
        <v>1</v>
      </c>
      <c r="D539" s="308">
        <v>0</v>
      </c>
      <c r="E539" s="287">
        <f t="shared" si="114"/>
        <v>1</v>
      </c>
      <c r="F539" s="27" t="s">
        <v>18</v>
      </c>
      <c r="G539" s="131"/>
      <c r="H539" s="131"/>
      <c r="I539" s="132">
        <f t="shared" si="115"/>
        <v>0</v>
      </c>
      <c r="J539" s="113">
        <v>6</v>
      </c>
      <c r="K539" s="132">
        <f t="shared" si="116"/>
        <v>0</v>
      </c>
      <c r="L539" s="133">
        <f t="shared" si="117"/>
        <v>0</v>
      </c>
    </row>
    <row r="540" spans="1:12" ht="29" x14ac:dyDescent="0.35">
      <c r="A540" s="291">
        <v>4</v>
      </c>
      <c r="B540" s="290" t="s">
        <v>1001</v>
      </c>
      <c r="C540" s="307">
        <v>1</v>
      </c>
      <c r="D540" s="308">
        <v>0</v>
      </c>
      <c r="E540" s="287">
        <f t="shared" si="114"/>
        <v>1</v>
      </c>
      <c r="F540" s="27" t="s">
        <v>18</v>
      </c>
      <c r="G540" s="131"/>
      <c r="H540" s="131"/>
      <c r="I540" s="132">
        <f t="shared" si="115"/>
        <v>0</v>
      </c>
      <c r="J540" s="113">
        <v>6</v>
      </c>
      <c r="K540" s="132">
        <f t="shared" si="116"/>
        <v>0</v>
      </c>
      <c r="L540" s="133">
        <f t="shared" si="117"/>
        <v>0</v>
      </c>
    </row>
    <row r="541" spans="1:12" ht="29" x14ac:dyDescent="0.35">
      <c r="A541" s="291">
        <v>5</v>
      </c>
      <c r="B541" s="290" t="s">
        <v>1002</v>
      </c>
      <c r="C541" s="307">
        <v>1</v>
      </c>
      <c r="D541" s="308">
        <v>0</v>
      </c>
      <c r="E541" s="287">
        <f t="shared" si="114"/>
        <v>1</v>
      </c>
      <c r="F541" s="27" t="s">
        <v>18</v>
      </c>
      <c r="G541" s="131"/>
      <c r="H541" s="131"/>
      <c r="I541" s="132">
        <f t="shared" si="115"/>
        <v>0</v>
      </c>
      <c r="J541" s="113">
        <v>6</v>
      </c>
      <c r="K541" s="132">
        <f t="shared" si="116"/>
        <v>0</v>
      </c>
      <c r="L541" s="133">
        <f t="shared" si="117"/>
        <v>0</v>
      </c>
    </row>
    <row r="542" spans="1:12" ht="29" x14ac:dyDescent="0.35">
      <c r="A542" s="291">
        <v>6</v>
      </c>
      <c r="B542" s="290" t="s">
        <v>1003</v>
      </c>
      <c r="C542" s="307">
        <v>1</v>
      </c>
      <c r="D542" s="308">
        <v>0</v>
      </c>
      <c r="E542" s="287">
        <f t="shared" si="114"/>
        <v>1</v>
      </c>
      <c r="F542" s="27" t="s">
        <v>18</v>
      </c>
      <c r="G542" s="131"/>
      <c r="H542" s="131"/>
      <c r="I542" s="132">
        <f t="shared" si="115"/>
        <v>0</v>
      </c>
      <c r="J542" s="113">
        <v>6</v>
      </c>
      <c r="K542" s="132">
        <f t="shared" si="116"/>
        <v>0</v>
      </c>
      <c r="L542" s="133">
        <f t="shared" si="117"/>
        <v>0</v>
      </c>
    </row>
    <row r="543" spans="1:12" ht="29" x14ac:dyDescent="0.35">
      <c r="A543" s="291">
        <v>7</v>
      </c>
      <c r="B543" s="290" t="s">
        <v>1004</v>
      </c>
      <c r="C543" s="307">
        <v>1</v>
      </c>
      <c r="D543" s="308">
        <v>0</v>
      </c>
      <c r="E543" s="287">
        <f t="shared" si="114"/>
        <v>1</v>
      </c>
      <c r="F543" s="27" t="s">
        <v>18</v>
      </c>
      <c r="G543" s="131"/>
      <c r="H543" s="131"/>
      <c r="I543" s="132">
        <f t="shared" si="115"/>
        <v>0</v>
      </c>
      <c r="J543" s="113">
        <v>6</v>
      </c>
      <c r="K543" s="132">
        <f t="shared" si="116"/>
        <v>0</v>
      </c>
      <c r="L543" s="133">
        <f t="shared" si="117"/>
        <v>0</v>
      </c>
    </row>
    <row r="544" spans="1:12" ht="29" x14ac:dyDescent="0.35">
      <c r="A544" s="291">
        <v>8</v>
      </c>
      <c r="B544" s="290" t="s">
        <v>1005</v>
      </c>
      <c r="C544" s="307">
        <v>1</v>
      </c>
      <c r="D544" s="308">
        <v>0</v>
      </c>
      <c r="E544" s="287">
        <f t="shared" si="114"/>
        <v>1</v>
      </c>
      <c r="F544" s="27" t="s">
        <v>18</v>
      </c>
      <c r="G544" s="131"/>
      <c r="H544" s="131"/>
      <c r="I544" s="132">
        <f t="shared" si="115"/>
        <v>0</v>
      </c>
      <c r="J544" s="113">
        <v>6</v>
      </c>
      <c r="K544" s="132">
        <f t="shared" si="116"/>
        <v>0</v>
      </c>
      <c r="L544" s="133">
        <f t="shared" si="117"/>
        <v>0</v>
      </c>
    </row>
    <row r="545" spans="1:12" ht="29" x14ac:dyDescent="0.35">
      <c r="A545" s="291">
        <v>9</v>
      </c>
      <c r="B545" s="290" t="s">
        <v>1006</v>
      </c>
      <c r="C545" s="307">
        <v>1</v>
      </c>
      <c r="D545" s="308">
        <v>0</v>
      </c>
      <c r="E545" s="287">
        <f t="shared" si="114"/>
        <v>1</v>
      </c>
      <c r="F545" s="27" t="s">
        <v>18</v>
      </c>
      <c r="G545" s="131"/>
      <c r="H545" s="131"/>
      <c r="I545" s="132">
        <f t="shared" si="115"/>
        <v>0</v>
      </c>
      <c r="J545" s="113">
        <v>6</v>
      </c>
      <c r="K545" s="132">
        <f t="shared" si="116"/>
        <v>0</v>
      </c>
      <c r="L545" s="133">
        <f t="shared" si="117"/>
        <v>0</v>
      </c>
    </row>
    <row r="546" spans="1:12" ht="29" x14ac:dyDescent="0.35">
      <c r="A546" s="291">
        <v>10</v>
      </c>
      <c r="B546" s="290" t="s">
        <v>1007</v>
      </c>
      <c r="C546" s="307">
        <v>1</v>
      </c>
      <c r="D546" s="308">
        <v>0</v>
      </c>
      <c r="E546" s="287">
        <f t="shared" si="114"/>
        <v>1</v>
      </c>
      <c r="F546" s="27" t="s">
        <v>18</v>
      </c>
      <c r="G546" s="131"/>
      <c r="H546" s="131"/>
      <c r="I546" s="132">
        <f t="shared" si="115"/>
        <v>0</v>
      </c>
      <c r="J546" s="113">
        <v>6</v>
      </c>
      <c r="K546" s="132">
        <f t="shared" si="116"/>
        <v>0</v>
      </c>
      <c r="L546" s="133">
        <f t="shared" si="117"/>
        <v>0</v>
      </c>
    </row>
    <row r="547" spans="1:12" ht="29" x14ac:dyDescent="0.35">
      <c r="A547" s="291">
        <v>11</v>
      </c>
      <c r="B547" s="290" t="s">
        <v>1008</v>
      </c>
      <c r="C547" s="307">
        <v>1</v>
      </c>
      <c r="D547" s="308">
        <v>0</v>
      </c>
      <c r="E547" s="287">
        <f t="shared" si="114"/>
        <v>1</v>
      </c>
      <c r="F547" s="27" t="s">
        <v>18</v>
      </c>
      <c r="G547" s="131"/>
      <c r="H547" s="131"/>
      <c r="I547" s="132">
        <f t="shared" si="115"/>
        <v>0</v>
      </c>
      <c r="J547" s="113">
        <v>6</v>
      </c>
      <c r="K547" s="132">
        <f t="shared" si="116"/>
        <v>0</v>
      </c>
      <c r="L547" s="133">
        <f t="shared" si="117"/>
        <v>0</v>
      </c>
    </row>
    <row r="548" spans="1:12" ht="29" x14ac:dyDescent="0.35">
      <c r="A548" s="291">
        <v>12</v>
      </c>
      <c r="B548" s="290" t="s">
        <v>1009</v>
      </c>
      <c r="C548" s="307">
        <v>1</v>
      </c>
      <c r="D548" s="308">
        <v>0</v>
      </c>
      <c r="E548" s="287">
        <f t="shared" si="114"/>
        <v>1</v>
      </c>
      <c r="F548" s="27" t="s">
        <v>18</v>
      </c>
      <c r="G548" s="131"/>
      <c r="H548" s="131"/>
      <c r="I548" s="132">
        <f t="shared" si="115"/>
        <v>0</v>
      </c>
      <c r="J548" s="113">
        <v>6</v>
      </c>
      <c r="K548" s="132">
        <f t="shared" si="116"/>
        <v>0</v>
      </c>
      <c r="L548" s="133">
        <f t="shared" si="117"/>
        <v>0</v>
      </c>
    </row>
    <row r="549" spans="1:12" ht="29" x14ac:dyDescent="0.35">
      <c r="A549" s="291">
        <v>13</v>
      </c>
      <c r="B549" s="290" t="s">
        <v>1010</v>
      </c>
      <c r="C549" s="307">
        <v>1</v>
      </c>
      <c r="D549" s="308">
        <v>0</v>
      </c>
      <c r="E549" s="287">
        <f t="shared" si="114"/>
        <v>1</v>
      </c>
      <c r="F549" s="27" t="s">
        <v>18</v>
      </c>
      <c r="G549" s="131"/>
      <c r="H549" s="131"/>
      <c r="I549" s="132">
        <f t="shared" si="115"/>
        <v>0</v>
      </c>
      <c r="J549" s="113">
        <v>6</v>
      </c>
      <c r="K549" s="132">
        <f t="shared" si="116"/>
        <v>0</v>
      </c>
      <c r="L549" s="133">
        <f t="shared" si="117"/>
        <v>0</v>
      </c>
    </row>
    <row r="550" spans="1:12" ht="29" x14ac:dyDescent="0.35">
      <c r="A550" s="291">
        <v>14</v>
      </c>
      <c r="B550" s="290" t="s">
        <v>1011</v>
      </c>
      <c r="C550" s="307">
        <v>1</v>
      </c>
      <c r="D550" s="308">
        <v>0</v>
      </c>
      <c r="E550" s="287">
        <f t="shared" si="114"/>
        <v>1</v>
      </c>
      <c r="F550" s="27" t="s">
        <v>18</v>
      </c>
      <c r="G550" s="131"/>
      <c r="H550" s="131"/>
      <c r="I550" s="132">
        <f t="shared" si="115"/>
        <v>0</v>
      </c>
      <c r="J550" s="113">
        <v>6</v>
      </c>
      <c r="K550" s="132">
        <f t="shared" si="116"/>
        <v>0</v>
      </c>
      <c r="L550" s="133">
        <f t="shared" si="117"/>
        <v>0</v>
      </c>
    </row>
    <row r="551" spans="1:12" ht="29" x14ac:dyDescent="0.35">
      <c r="A551" s="291">
        <v>15</v>
      </c>
      <c r="B551" s="290" t="s">
        <v>1012</v>
      </c>
      <c r="C551" s="307">
        <v>1</v>
      </c>
      <c r="D551" s="308">
        <v>0</v>
      </c>
      <c r="E551" s="287">
        <f t="shared" si="114"/>
        <v>1</v>
      </c>
      <c r="F551" s="27" t="s">
        <v>18</v>
      </c>
      <c r="G551" s="131"/>
      <c r="H551" s="131"/>
      <c r="I551" s="132">
        <f t="shared" si="115"/>
        <v>0</v>
      </c>
      <c r="J551" s="113">
        <v>6</v>
      </c>
      <c r="K551" s="132">
        <f t="shared" si="116"/>
        <v>0</v>
      </c>
      <c r="L551" s="133">
        <f t="shared" si="117"/>
        <v>0</v>
      </c>
    </row>
    <row r="552" spans="1:12" ht="29" x14ac:dyDescent="0.35">
      <c r="A552" s="291">
        <v>16</v>
      </c>
      <c r="B552" s="290" t="s">
        <v>1013</v>
      </c>
      <c r="C552" s="307">
        <v>1</v>
      </c>
      <c r="D552" s="308">
        <v>0</v>
      </c>
      <c r="E552" s="287">
        <f t="shared" si="114"/>
        <v>1</v>
      </c>
      <c r="F552" s="27" t="s">
        <v>18</v>
      </c>
      <c r="G552" s="131"/>
      <c r="H552" s="131"/>
      <c r="I552" s="132">
        <f t="shared" si="115"/>
        <v>0</v>
      </c>
      <c r="J552" s="113">
        <v>6</v>
      </c>
      <c r="K552" s="132">
        <f t="shared" si="116"/>
        <v>0</v>
      </c>
      <c r="L552" s="133">
        <f t="shared" si="117"/>
        <v>0</v>
      </c>
    </row>
    <row r="553" spans="1:12" ht="29" x14ac:dyDescent="0.35">
      <c r="A553" s="291">
        <v>17</v>
      </c>
      <c r="B553" s="290" t="s">
        <v>1014</v>
      </c>
      <c r="C553" s="307">
        <v>1</v>
      </c>
      <c r="D553" s="308">
        <v>0</v>
      </c>
      <c r="E553" s="287">
        <f t="shared" si="114"/>
        <v>1</v>
      </c>
      <c r="F553" s="27" t="s">
        <v>18</v>
      </c>
      <c r="G553" s="131"/>
      <c r="H553" s="131"/>
      <c r="I553" s="132">
        <f t="shared" si="115"/>
        <v>0</v>
      </c>
      <c r="J553" s="113">
        <v>6</v>
      </c>
      <c r="K553" s="132">
        <f t="shared" si="116"/>
        <v>0</v>
      </c>
      <c r="L553" s="133">
        <f t="shared" si="117"/>
        <v>0</v>
      </c>
    </row>
    <row r="554" spans="1:12" ht="29" x14ac:dyDescent="0.35">
      <c r="A554" s="291">
        <v>18</v>
      </c>
      <c r="B554" s="290" t="s">
        <v>1015</v>
      </c>
      <c r="C554" s="307">
        <v>1</v>
      </c>
      <c r="D554" s="308">
        <v>0</v>
      </c>
      <c r="E554" s="287">
        <f t="shared" si="114"/>
        <v>1</v>
      </c>
      <c r="F554" s="27" t="s">
        <v>18</v>
      </c>
      <c r="G554" s="131"/>
      <c r="H554" s="131"/>
      <c r="I554" s="132">
        <f t="shared" si="115"/>
        <v>0</v>
      </c>
      <c r="J554" s="113">
        <v>6</v>
      </c>
      <c r="K554" s="132">
        <f t="shared" si="116"/>
        <v>0</v>
      </c>
      <c r="L554" s="133">
        <f t="shared" si="117"/>
        <v>0</v>
      </c>
    </row>
    <row r="555" spans="1:12" ht="29" x14ac:dyDescent="0.35">
      <c r="A555" s="291">
        <v>19</v>
      </c>
      <c r="B555" s="290" t="s">
        <v>1016</v>
      </c>
      <c r="C555" s="307">
        <v>1</v>
      </c>
      <c r="D555" s="308">
        <v>0</v>
      </c>
      <c r="E555" s="287">
        <f t="shared" si="114"/>
        <v>1</v>
      </c>
      <c r="F555" s="27" t="s">
        <v>18</v>
      </c>
      <c r="G555" s="131"/>
      <c r="H555" s="131"/>
      <c r="I555" s="132">
        <f t="shared" si="115"/>
        <v>0</v>
      </c>
      <c r="J555" s="113">
        <v>6</v>
      </c>
      <c r="K555" s="132">
        <f t="shared" si="116"/>
        <v>0</v>
      </c>
      <c r="L555" s="133">
        <f t="shared" si="117"/>
        <v>0</v>
      </c>
    </row>
    <row r="556" spans="1:12" ht="29" x14ac:dyDescent="0.35">
      <c r="A556" s="291">
        <v>20</v>
      </c>
      <c r="B556" s="290" t="s">
        <v>1017</v>
      </c>
      <c r="C556" s="307">
        <v>1</v>
      </c>
      <c r="D556" s="308">
        <v>0</v>
      </c>
      <c r="E556" s="287">
        <f t="shared" si="114"/>
        <v>1</v>
      </c>
      <c r="F556" s="27" t="s">
        <v>18</v>
      </c>
      <c r="G556" s="131"/>
      <c r="H556" s="131"/>
      <c r="I556" s="132">
        <f t="shared" si="115"/>
        <v>0</v>
      </c>
      <c r="J556" s="113">
        <v>6</v>
      </c>
      <c r="K556" s="132">
        <f t="shared" si="116"/>
        <v>0</v>
      </c>
      <c r="L556" s="133">
        <f t="shared" si="117"/>
        <v>0</v>
      </c>
    </row>
    <row r="557" spans="1:12" ht="29" x14ac:dyDescent="0.35">
      <c r="A557" s="291">
        <v>21</v>
      </c>
      <c r="B557" s="290" t="s">
        <v>1018</v>
      </c>
      <c r="C557" s="307">
        <v>1</v>
      </c>
      <c r="D557" s="308">
        <v>0</v>
      </c>
      <c r="E557" s="287">
        <f t="shared" si="114"/>
        <v>1</v>
      </c>
      <c r="F557" s="27" t="s">
        <v>18</v>
      </c>
      <c r="G557" s="131"/>
      <c r="H557" s="131"/>
      <c r="I557" s="132">
        <f t="shared" si="115"/>
        <v>0</v>
      </c>
      <c r="J557" s="113">
        <v>6</v>
      </c>
      <c r="K557" s="132">
        <f t="shared" si="116"/>
        <v>0</v>
      </c>
      <c r="L557" s="133">
        <f t="shared" si="117"/>
        <v>0</v>
      </c>
    </row>
    <row r="558" spans="1:12" ht="29" x14ac:dyDescent="0.35">
      <c r="A558" s="291">
        <v>22</v>
      </c>
      <c r="B558" s="290" t="s">
        <v>1019</v>
      </c>
      <c r="C558" s="307">
        <v>1</v>
      </c>
      <c r="D558" s="308">
        <v>0</v>
      </c>
      <c r="E558" s="287">
        <f t="shared" si="114"/>
        <v>1</v>
      </c>
      <c r="F558" s="27" t="s">
        <v>18</v>
      </c>
      <c r="G558" s="131"/>
      <c r="H558" s="131"/>
      <c r="I558" s="132">
        <f t="shared" si="115"/>
        <v>0</v>
      </c>
      <c r="J558" s="113">
        <v>6</v>
      </c>
      <c r="K558" s="132">
        <f t="shared" si="116"/>
        <v>0</v>
      </c>
      <c r="L558" s="133">
        <f t="shared" si="117"/>
        <v>0</v>
      </c>
    </row>
    <row r="559" spans="1:12" ht="29" x14ac:dyDescent="0.35">
      <c r="A559" s="291">
        <v>23</v>
      </c>
      <c r="B559" s="290" t="s">
        <v>1020</v>
      </c>
      <c r="C559" s="307">
        <v>1</v>
      </c>
      <c r="D559" s="308">
        <v>0</v>
      </c>
      <c r="E559" s="287">
        <f t="shared" si="114"/>
        <v>1</v>
      </c>
      <c r="F559" s="27" t="s">
        <v>18</v>
      </c>
      <c r="G559" s="131"/>
      <c r="H559" s="131"/>
      <c r="I559" s="132">
        <f t="shared" si="115"/>
        <v>0</v>
      </c>
      <c r="J559" s="113">
        <v>6</v>
      </c>
      <c r="K559" s="132">
        <f t="shared" si="116"/>
        <v>0</v>
      </c>
      <c r="L559" s="133">
        <f t="shared" si="117"/>
        <v>0</v>
      </c>
    </row>
    <row r="560" spans="1:12" ht="29" x14ac:dyDescent="0.35">
      <c r="A560" s="291">
        <v>24</v>
      </c>
      <c r="B560" s="290" t="s">
        <v>1021</v>
      </c>
      <c r="C560" s="307">
        <v>1</v>
      </c>
      <c r="D560" s="308">
        <v>0</v>
      </c>
      <c r="E560" s="287">
        <f t="shared" si="114"/>
        <v>1</v>
      </c>
      <c r="F560" s="27" t="s">
        <v>18</v>
      </c>
      <c r="G560" s="131"/>
      <c r="H560" s="131"/>
      <c r="I560" s="132">
        <f t="shared" si="115"/>
        <v>0</v>
      </c>
      <c r="J560" s="113">
        <v>6</v>
      </c>
      <c r="K560" s="132">
        <f t="shared" si="116"/>
        <v>0</v>
      </c>
      <c r="L560" s="133">
        <f t="shared" si="117"/>
        <v>0</v>
      </c>
    </row>
    <row r="561" spans="1:12" ht="29" x14ac:dyDescent="0.35">
      <c r="A561" s="291">
        <v>25</v>
      </c>
      <c r="B561" s="290" t="s">
        <v>1022</v>
      </c>
      <c r="C561" s="307">
        <v>1</v>
      </c>
      <c r="D561" s="308">
        <v>0</v>
      </c>
      <c r="E561" s="287">
        <f t="shared" si="114"/>
        <v>1</v>
      </c>
      <c r="F561" s="27" t="s">
        <v>18</v>
      </c>
      <c r="G561" s="131"/>
      <c r="H561" s="131"/>
      <c r="I561" s="132">
        <f t="shared" si="115"/>
        <v>0</v>
      </c>
      <c r="J561" s="113">
        <v>6</v>
      </c>
      <c r="K561" s="132">
        <f t="shared" si="116"/>
        <v>0</v>
      </c>
      <c r="L561" s="133">
        <f t="shared" si="117"/>
        <v>0</v>
      </c>
    </row>
    <row r="562" spans="1:12" ht="29" x14ac:dyDescent="0.35">
      <c r="A562" s="291">
        <v>26</v>
      </c>
      <c r="B562" s="290" t="s">
        <v>1023</v>
      </c>
      <c r="C562" s="307">
        <v>1</v>
      </c>
      <c r="D562" s="308">
        <v>0</v>
      </c>
      <c r="E562" s="287">
        <f t="shared" si="114"/>
        <v>1</v>
      </c>
      <c r="F562" s="27" t="s">
        <v>18</v>
      </c>
      <c r="G562" s="131"/>
      <c r="H562" s="131"/>
      <c r="I562" s="132">
        <f t="shared" si="115"/>
        <v>0</v>
      </c>
      <c r="J562" s="113">
        <v>6</v>
      </c>
      <c r="K562" s="132">
        <f t="shared" si="116"/>
        <v>0</v>
      </c>
      <c r="L562" s="133">
        <f t="shared" si="117"/>
        <v>0</v>
      </c>
    </row>
    <row r="563" spans="1:12" ht="29" x14ac:dyDescent="0.35">
      <c r="A563" s="291">
        <v>27</v>
      </c>
      <c r="B563" s="290" t="s">
        <v>1024</v>
      </c>
      <c r="C563" s="307">
        <v>1</v>
      </c>
      <c r="D563" s="308">
        <v>0</v>
      </c>
      <c r="E563" s="287">
        <f t="shared" si="114"/>
        <v>1</v>
      </c>
      <c r="F563" s="27" t="s">
        <v>18</v>
      </c>
      <c r="G563" s="131"/>
      <c r="H563" s="131"/>
      <c r="I563" s="132">
        <f t="shared" si="115"/>
        <v>0</v>
      </c>
      <c r="J563" s="113">
        <v>6</v>
      </c>
      <c r="K563" s="132">
        <f t="shared" si="116"/>
        <v>0</v>
      </c>
      <c r="L563" s="133">
        <f t="shared" si="117"/>
        <v>0</v>
      </c>
    </row>
    <row r="564" spans="1:12" ht="29" x14ac:dyDescent="0.35">
      <c r="A564" s="291">
        <v>28</v>
      </c>
      <c r="B564" s="290" t="s">
        <v>1025</v>
      </c>
      <c r="C564" s="307">
        <v>1</v>
      </c>
      <c r="D564" s="308">
        <v>0</v>
      </c>
      <c r="E564" s="287">
        <f t="shared" si="114"/>
        <v>1</v>
      </c>
      <c r="F564" s="27" t="s">
        <v>18</v>
      </c>
      <c r="G564" s="131"/>
      <c r="H564" s="131"/>
      <c r="I564" s="132">
        <f t="shared" si="115"/>
        <v>0</v>
      </c>
      <c r="J564" s="113">
        <v>6</v>
      </c>
      <c r="K564" s="132">
        <f t="shared" si="116"/>
        <v>0</v>
      </c>
      <c r="L564" s="133">
        <f t="shared" si="117"/>
        <v>0</v>
      </c>
    </row>
    <row r="565" spans="1:12" ht="29" x14ac:dyDescent="0.35">
      <c r="A565" s="291">
        <v>29</v>
      </c>
      <c r="B565" s="290" t="s">
        <v>1026</v>
      </c>
      <c r="C565" s="307">
        <v>1</v>
      </c>
      <c r="D565" s="308">
        <v>0</v>
      </c>
      <c r="E565" s="287">
        <f t="shared" si="114"/>
        <v>1</v>
      </c>
      <c r="F565" s="27" t="s">
        <v>18</v>
      </c>
      <c r="G565" s="131"/>
      <c r="H565" s="131"/>
      <c r="I565" s="132">
        <f t="shared" si="115"/>
        <v>0</v>
      </c>
      <c r="J565" s="113">
        <v>6</v>
      </c>
      <c r="K565" s="132">
        <f t="shared" si="116"/>
        <v>0</v>
      </c>
      <c r="L565" s="133">
        <f t="shared" si="117"/>
        <v>0</v>
      </c>
    </row>
    <row r="566" spans="1:12" ht="29" x14ac:dyDescent="0.35">
      <c r="A566" s="291">
        <v>30</v>
      </c>
      <c r="B566" s="290" t="s">
        <v>1027</v>
      </c>
      <c r="C566" s="307">
        <v>1</v>
      </c>
      <c r="D566" s="308">
        <v>0</v>
      </c>
      <c r="E566" s="287">
        <f t="shared" si="114"/>
        <v>1</v>
      </c>
      <c r="F566" s="27" t="s">
        <v>18</v>
      </c>
      <c r="G566" s="131"/>
      <c r="H566" s="131"/>
      <c r="I566" s="132">
        <f t="shared" si="115"/>
        <v>0</v>
      </c>
      <c r="J566" s="113">
        <v>6</v>
      </c>
      <c r="K566" s="132">
        <f t="shared" si="116"/>
        <v>0</v>
      </c>
      <c r="L566" s="133">
        <f t="shared" si="117"/>
        <v>0</v>
      </c>
    </row>
    <row r="567" spans="1:12" ht="29" x14ac:dyDescent="0.35">
      <c r="A567" s="291">
        <v>31</v>
      </c>
      <c r="B567" s="290" t="s">
        <v>1028</v>
      </c>
      <c r="C567" s="307">
        <v>1</v>
      </c>
      <c r="D567" s="308">
        <v>0</v>
      </c>
      <c r="E567" s="287">
        <f t="shared" si="114"/>
        <v>1</v>
      </c>
      <c r="F567" s="27" t="s">
        <v>18</v>
      </c>
      <c r="G567" s="131"/>
      <c r="H567" s="131"/>
      <c r="I567" s="132">
        <f t="shared" si="115"/>
        <v>0</v>
      </c>
      <c r="J567" s="113">
        <v>6</v>
      </c>
      <c r="K567" s="132">
        <f t="shared" si="116"/>
        <v>0</v>
      </c>
      <c r="L567" s="133">
        <f t="shared" si="117"/>
        <v>0</v>
      </c>
    </row>
    <row r="568" spans="1:12" ht="29" x14ac:dyDescent="0.35">
      <c r="A568" s="291">
        <v>32</v>
      </c>
      <c r="B568" s="290" t="s">
        <v>1029</v>
      </c>
      <c r="C568" s="307">
        <v>1</v>
      </c>
      <c r="D568" s="308">
        <v>0</v>
      </c>
      <c r="E568" s="287">
        <f t="shared" si="114"/>
        <v>1</v>
      </c>
      <c r="F568" s="27" t="s">
        <v>18</v>
      </c>
      <c r="G568" s="131"/>
      <c r="H568" s="131"/>
      <c r="I568" s="132">
        <f t="shared" si="115"/>
        <v>0</v>
      </c>
      <c r="J568" s="113">
        <v>6</v>
      </c>
      <c r="K568" s="132">
        <f t="shared" si="116"/>
        <v>0</v>
      </c>
      <c r="L568" s="133">
        <f t="shared" si="117"/>
        <v>0</v>
      </c>
    </row>
    <row r="569" spans="1:12" ht="29" x14ac:dyDescent="0.35">
      <c r="A569" s="291">
        <v>33</v>
      </c>
      <c r="B569" s="290" t="s">
        <v>1030</v>
      </c>
      <c r="C569" s="307">
        <v>1</v>
      </c>
      <c r="D569" s="308">
        <v>0</v>
      </c>
      <c r="E569" s="287">
        <f t="shared" si="114"/>
        <v>1</v>
      </c>
      <c r="F569" s="27" t="s">
        <v>18</v>
      </c>
      <c r="G569" s="131"/>
      <c r="H569" s="131"/>
      <c r="I569" s="132">
        <f t="shared" si="115"/>
        <v>0</v>
      </c>
      <c r="J569" s="113">
        <v>6</v>
      </c>
      <c r="K569" s="132">
        <f t="shared" si="116"/>
        <v>0</v>
      </c>
      <c r="L569" s="133">
        <f t="shared" si="117"/>
        <v>0</v>
      </c>
    </row>
    <row r="570" spans="1:12" ht="29" x14ac:dyDescent="0.35">
      <c r="A570" s="291">
        <v>34</v>
      </c>
      <c r="B570" s="290" t="s">
        <v>1031</v>
      </c>
      <c r="C570" s="307">
        <v>1</v>
      </c>
      <c r="D570" s="308">
        <v>0</v>
      </c>
      <c r="E570" s="287">
        <f t="shared" si="114"/>
        <v>1</v>
      </c>
      <c r="F570" s="27" t="s">
        <v>18</v>
      </c>
      <c r="G570" s="131"/>
      <c r="H570" s="131"/>
      <c r="I570" s="132">
        <f t="shared" si="115"/>
        <v>0</v>
      </c>
      <c r="J570" s="113">
        <v>6</v>
      </c>
      <c r="K570" s="132">
        <f t="shared" si="116"/>
        <v>0</v>
      </c>
      <c r="L570" s="133">
        <f t="shared" si="117"/>
        <v>0</v>
      </c>
    </row>
    <row r="571" spans="1:12" ht="29" x14ac:dyDescent="0.35">
      <c r="A571" s="291">
        <v>35</v>
      </c>
      <c r="B571" s="290" t="s">
        <v>1032</v>
      </c>
      <c r="C571" s="307">
        <v>1</v>
      </c>
      <c r="D571" s="308">
        <v>0</v>
      </c>
      <c r="E571" s="287">
        <f t="shared" si="114"/>
        <v>1</v>
      </c>
      <c r="F571" s="27" t="s">
        <v>18</v>
      </c>
      <c r="G571" s="131"/>
      <c r="H571" s="131"/>
      <c r="I571" s="132">
        <f t="shared" si="115"/>
        <v>0</v>
      </c>
      <c r="J571" s="113">
        <v>6</v>
      </c>
      <c r="K571" s="132">
        <f t="shared" si="116"/>
        <v>0</v>
      </c>
      <c r="L571" s="133">
        <f t="shared" si="117"/>
        <v>0</v>
      </c>
    </row>
    <row r="572" spans="1:12" ht="29" x14ac:dyDescent="0.35">
      <c r="A572" s="291">
        <v>36</v>
      </c>
      <c r="B572" s="290" t="s">
        <v>1033</v>
      </c>
      <c r="C572" s="307">
        <v>1</v>
      </c>
      <c r="D572" s="308">
        <v>0</v>
      </c>
      <c r="E572" s="287">
        <f t="shared" si="114"/>
        <v>1</v>
      </c>
      <c r="F572" s="27" t="s">
        <v>18</v>
      </c>
      <c r="G572" s="131"/>
      <c r="H572" s="131"/>
      <c r="I572" s="132">
        <f t="shared" si="115"/>
        <v>0</v>
      </c>
      <c r="J572" s="113">
        <v>6</v>
      </c>
      <c r="K572" s="132">
        <f t="shared" si="116"/>
        <v>0</v>
      </c>
      <c r="L572" s="133">
        <f t="shared" si="117"/>
        <v>0</v>
      </c>
    </row>
    <row r="573" spans="1:12" ht="29" x14ac:dyDescent="0.35">
      <c r="A573" s="291">
        <v>37</v>
      </c>
      <c r="B573" s="290" t="s">
        <v>1034</v>
      </c>
      <c r="C573" s="307">
        <v>1</v>
      </c>
      <c r="D573" s="308">
        <v>0</v>
      </c>
      <c r="E573" s="287">
        <f t="shared" si="114"/>
        <v>1</v>
      </c>
      <c r="F573" s="27" t="s">
        <v>18</v>
      </c>
      <c r="G573" s="131"/>
      <c r="H573" s="131"/>
      <c r="I573" s="132">
        <f t="shared" si="115"/>
        <v>0</v>
      </c>
      <c r="J573" s="113">
        <v>6</v>
      </c>
      <c r="K573" s="132">
        <f t="shared" si="116"/>
        <v>0</v>
      </c>
      <c r="L573" s="133">
        <f t="shared" si="117"/>
        <v>0</v>
      </c>
    </row>
    <row r="574" spans="1:12" ht="29" x14ac:dyDescent="0.35">
      <c r="A574" s="291">
        <v>38</v>
      </c>
      <c r="B574" s="290" t="s">
        <v>1035</v>
      </c>
      <c r="C574" s="307">
        <v>1</v>
      </c>
      <c r="D574" s="308">
        <v>0</v>
      </c>
      <c r="E574" s="287">
        <f t="shared" si="114"/>
        <v>1</v>
      </c>
      <c r="F574" s="27" t="s">
        <v>18</v>
      </c>
      <c r="G574" s="131"/>
      <c r="H574" s="131"/>
      <c r="I574" s="132">
        <f t="shared" si="115"/>
        <v>0</v>
      </c>
      <c r="J574" s="113">
        <v>6</v>
      </c>
      <c r="K574" s="132">
        <f t="shared" si="116"/>
        <v>0</v>
      </c>
      <c r="L574" s="133">
        <f t="shared" si="117"/>
        <v>0</v>
      </c>
    </row>
    <row r="575" spans="1:12" ht="29" x14ac:dyDescent="0.35">
      <c r="A575" s="291">
        <v>39</v>
      </c>
      <c r="B575" s="290" t="s">
        <v>1036</v>
      </c>
      <c r="C575" s="307">
        <v>1</v>
      </c>
      <c r="D575" s="308">
        <v>0</v>
      </c>
      <c r="E575" s="287">
        <f t="shared" si="114"/>
        <v>1</v>
      </c>
      <c r="F575" s="27" t="s">
        <v>18</v>
      </c>
      <c r="G575" s="131"/>
      <c r="H575" s="131"/>
      <c r="I575" s="132">
        <f t="shared" si="115"/>
        <v>0</v>
      </c>
      <c r="J575" s="113">
        <v>6</v>
      </c>
      <c r="K575" s="132">
        <f t="shared" si="116"/>
        <v>0</v>
      </c>
      <c r="L575" s="133">
        <f t="shared" si="117"/>
        <v>0</v>
      </c>
    </row>
    <row r="576" spans="1:12" ht="29" x14ac:dyDescent="0.35">
      <c r="A576" s="291">
        <v>40</v>
      </c>
      <c r="B576" s="290" t="s">
        <v>1037</v>
      </c>
      <c r="C576" s="307">
        <v>1</v>
      </c>
      <c r="D576" s="308">
        <v>0</v>
      </c>
      <c r="E576" s="287">
        <f t="shared" si="114"/>
        <v>1</v>
      </c>
      <c r="F576" s="27" t="s">
        <v>18</v>
      </c>
      <c r="G576" s="131"/>
      <c r="H576" s="131"/>
      <c r="I576" s="132">
        <f t="shared" si="115"/>
        <v>0</v>
      </c>
      <c r="J576" s="113">
        <v>6</v>
      </c>
      <c r="K576" s="132">
        <f t="shared" si="116"/>
        <v>0</v>
      </c>
      <c r="L576" s="133">
        <f t="shared" si="117"/>
        <v>0</v>
      </c>
    </row>
    <row r="577" spans="1:12" ht="29" x14ac:dyDescent="0.35">
      <c r="A577" s="291">
        <v>41</v>
      </c>
      <c r="B577" s="290" t="s">
        <v>1038</v>
      </c>
      <c r="C577" s="307">
        <v>1</v>
      </c>
      <c r="D577" s="308">
        <v>0</v>
      </c>
      <c r="E577" s="287">
        <f t="shared" si="114"/>
        <v>1</v>
      </c>
      <c r="F577" s="27" t="s">
        <v>18</v>
      </c>
      <c r="G577" s="131"/>
      <c r="H577" s="131"/>
      <c r="I577" s="132">
        <f t="shared" si="115"/>
        <v>0</v>
      </c>
      <c r="J577" s="113">
        <v>6</v>
      </c>
      <c r="K577" s="132">
        <f t="shared" si="116"/>
        <v>0</v>
      </c>
      <c r="L577" s="133">
        <f t="shared" si="117"/>
        <v>0</v>
      </c>
    </row>
    <row r="578" spans="1:12" ht="29" x14ac:dyDescent="0.35">
      <c r="A578" s="291">
        <v>42</v>
      </c>
      <c r="B578" s="290" t="s">
        <v>1039</v>
      </c>
      <c r="C578" s="307">
        <v>1</v>
      </c>
      <c r="D578" s="308">
        <v>0</v>
      </c>
      <c r="E578" s="287">
        <f t="shared" si="114"/>
        <v>1</v>
      </c>
      <c r="F578" s="27" t="s">
        <v>18</v>
      </c>
      <c r="G578" s="131"/>
      <c r="H578" s="131"/>
      <c r="I578" s="132">
        <f t="shared" si="115"/>
        <v>0</v>
      </c>
      <c r="J578" s="113">
        <v>6</v>
      </c>
      <c r="K578" s="132">
        <f t="shared" si="116"/>
        <v>0</v>
      </c>
      <c r="L578" s="133">
        <f t="shared" si="117"/>
        <v>0</v>
      </c>
    </row>
    <row r="579" spans="1:12" ht="29" x14ac:dyDescent="0.35">
      <c r="A579" s="291">
        <v>43</v>
      </c>
      <c r="B579" s="290" t="s">
        <v>1040</v>
      </c>
      <c r="C579" s="307">
        <v>1</v>
      </c>
      <c r="D579" s="308">
        <v>0</v>
      </c>
      <c r="E579" s="287">
        <f t="shared" si="114"/>
        <v>1</v>
      </c>
      <c r="F579" s="27" t="s">
        <v>18</v>
      </c>
      <c r="G579" s="131"/>
      <c r="H579" s="131"/>
      <c r="I579" s="132">
        <f t="shared" si="115"/>
        <v>0</v>
      </c>
      <c r="J579" s="113">
        <v>6</v>
      </c>
      <c r="K579" s="132">
        <f t="shared" si="116"/>
        <v>0</v>
      </c>
      <c r="L579" s="133">
        <f t="shared" si="117"/>
        <v>0</v>
      </c>
    </row>
    <row r="580" spans="1:12" ht="29" x14ac:dyDescent="0.35">
      <c r="A580" s="291">
        <v>44</v>
      </c>
      <c r="B580" s="290" t="s">
        <v>1041</v>
      </c>
      <c r="C580" s="307">
        <v>1</v>
      </c>
      <c r="D580" s="308">
        <v>0</v>
      </c>
      <c r="E580" s="287">
        <f t="shared" si="114"/>
        <v>1</v>
      </c>
      <c r="F580" s="27" t="s">
        <v>18</v>
      </c>
      <c r="G580" s="131"/>
      <c r="H580" s="131"/>
      <c r="I580" s="132">
        <f t="shared" si="115"/>
        <v>0</v>
      </c>
      <c r="J580" s="113">
        <v>6</v>
      </c>
      <c r="K580" s="132">
        <f t="shared" si="116"/>
        <v>0</v>
      </c>
      <c r="L580" s="133">
        <f t="shared" si="117"/>
        <v>0</v>
      </c>
    </row>
    <row r="581" spans="1:12" ht="29" x14ac:dyDescent="0.35">
      <c r="A581" s="291">
        <v>45</v>
      </c>
      <c r="B581" s="290" t="s">
        <v>1042</v>
      </c>
      <c r="C581" s="307">
        <v>1</v>
      </c>
      <c r="D581" s="308">
        <v>0</v>
      </c>
      <c r="E581" s="287">
        <f t="shared" si="114"/>
        <v>1</v>
      </c>
      <c r="F581" s="27" t="s">
        <v>18</v>
      </c>
      <c r="G581" s="131"/>
      <c r="H581" s="131"/>
      <c r="I581" s="132">
        <f t="shared" si="115"/>
        <v>0</v>
      </c>
      <c r="J581" s="113">
        <v>6</v>
      </c>
      <c r="K581" s="132">
        <f t="shared" si="116"/>
        <v>0</v>
      </c>
      <c r="L581" s="133">
        <f t="shared" si="117"/>
        <v>0</v>
      </c>
    </row>
    <row r="582" spans="1:12" ht="29" x14ac:dyDescent="0.35">
      <c r="A582" s="291">
        <v>46</v>
      </c>
      <c r="B582" s="290" t="s">
        <v>1043</v>
      </c>
      <c r="C582" s="307">
        <v>1</v>
      </c>
      <c r="D582" s="308">
        <v>0</v>
      </c>
      <c r="E582" s="287">
        <f t="shared" si="114"/>
        <v>1</v>
      </c>
      <c r="F582" s="27" t="s">
        <v>18</v>
      </c>
      <c r="G582" s="131"/>
      <c r="H582" s="131"/>
      <c r="I582" s="132">
        <f t="shared" si="115"/>
        <v>0</v>
      </c>
      <c r="J582" s="113">
        <v>6</v>
      </c>
      <c r="K582" s="132">
        <f t="shared" si="116"/>
        <v>0</v>
      </c>
      <c r="L582" s="133">
        <f t="shared" si="117"/>
        <v>0</v>
      </c>
    </row>
    <row r="583" spans="1:12" ht="29" x14ac:dyDescent="0.35">
      <c r="A583" s="291">
        <v>47</v>
      </c>
      <c r="B583" s="290" t="s">
        <v>1044</v>
      </c>
      <c r="C583" s="307">
        <v>1</v>
      </c>
      <c r="D583" s="308">
        <v>0</v>
      </c>
      <c r="E583" s="287">
        <f t="shared" si="114"/>
        <v>1</v>
      </c>
      <c r="F583" s="27" t="s">
        <v>18</v>
      </c>
      <c r="G583" s="131"/>
      <c r="H583" s="131"/>
      <c r="I583" s="132">
        <f t="shared" si="115"/>
        <v>0</v>
      </c>
      <c r="J583" s="113">
        <v>6</v>
      </c>
      <c r="K583" s="132">
        <f t="shared" si="116"/>
        <v>0</v>
      </c>
      <c r="L583" s="133">
        <f t="shared" si="117"/>
        <v>0</v>
      </c>
    </row>
    <row r="584" spans="1:12" ht="29" x14ac:dyDescent="0.35">
      <c r="A584" s="291">
        <v>48</v>
      </c>
      <c r="B584" s="290" t="s">
        <v>1045</v>
      </c>
      <c r="C584" s="307">
        <v>1</v>
      </c>
      <c r="D584" s="308">
        <v>0</v>
      </c>
      <c r="E584" s="287">
        <f t="shared" si="114"/>
        <v>1</v>
      </c>
      <c r="F584" s="27" t="s">
        <v>18</v>
      </c>
      <c r="G584" s="131"/>
      <c r="H584" s="131"/>
      <c r="I584" s="132">
        <f t="shared" si="115"/>
        <v>0</v>
      </c>
      <c r="J584" s="113">
        <v>6</v>
      </c>
      <c r="K584" s="132">
        <f t="shared" si="116"/>
        <v>0</v>
      </c>
      <c r="L584" s="133">
        <f t="shared" si="117"/>
        <v>0</v>
      </c>
    </row>
    <row r="585" spans="1:12" ht="29" x14ac:dyDescent="0.35">
      <c r="A585" s="291">
        <v>49</v>
      </c>
      <c r="B585" s="290" t="s">
        <v>1046</v>
      </c>
      <c r="C585" s="307">
        <v>1</v>
      </c>
      <c r="D585" s="308">
        <v>0</v>
      </c>
      <c r="E585" s="287">
        <f t="shared" si="114"/>
        <v>1</v>
      </c>
      <c r="F585" s="27" t="s">
        <v>18</v>
      </c>
      <c r="G585" s="131"/>
      <c r="H585" s="131"/>
      <c r="I585" s="132">
        <f t="shared" si="115"/>
        <v>0</v>
      </c>
      <c r="J585" s="113">
        <v>6</v>
      </c>
      <c r="K585" s="132">
        <f t="shared" si="116"/>
        <v>0</v>
      </c>
      <c r="L585" s="133">
        <f t="shared" si="117"/>
        <v>0</v>
      </c>
    </row>
    <row r="586" spans="1:12" ht="29" x14ac:dyDescent="0.35">
      <c r="A586" s="291">
        <v>50</v>
      </c>
      <c r="B586" s="290" t="s">
        <v>1047</v>
      </c>
      <c r="C586" s="307">
        <v>1</v>
      </c>
      <c r="D586" s="308">
        <v>0</v>
      </c>
      <c r="E586" s="287">
        <f t="shared" si="114"/>
        <v>1</v>
      </c>
      <c r="F586" s="27" t="s">
        <v>18</v>
      </c>
      <c r="G586" s="131"/>
      <c r="H586" s="131"/>
      <c r="I586" s="132">
        <f t="shared" si="115"/>
        <v>0</v>
      </c>
      <c r="J586" s="113">
        <v>6</v>
      </c>
      <c r="K586" s="132">
        <f t="shared" si="116"/>
        <v>0</v>
      </c>
      <c r="L586" s="133">
        <f t="shared" si="117"/>
        <v>0</v>
      </c>
    </row>
    <row r="587" spans="1:12" ht="29" x14ac:dyDescent="0.35">
      <c r="A587" s="291">
        <v>51</v>
      </c>
      <c r="B587" s="290" t="s">
        <v>1048</v>
      </c>
      <c r="C587" s="307">
        <v>1</v>
      </c>
      <c r="D587" s="308">
        <v>0</v>
      </c>
      <c r="E587" s="287">
        <f t="shared" si="114"/>
        <v>1</v>
      </c>
      <c r="F587" s="27" t="s">
        <v>18</v>
      </c>
      <c r="G587" s="131"/>
      <c r="H587" s="131"/>
      <c r="I587" s="132">
        <f t="shared" si="115"/>
        <v>0</v>
      </c>
      <c r="J587" s="113">
        <v>6</v>
      </c>
      <c r="K587" s="132">
        <f t="shared" si="116"/>
        <v>0</v>
      </c>
      <c r="L587" s="133">
        <f t="shared" si="117"/>
        <v>0</v>
      </c>
    </row>
    <row r="588" spans="1:12" ht="29" x14ac:dyDescent="0.35">
      <c r="A588" s="291">
        <v>52</v>
      </c>
      <c r="B588" s="290" t="s">
        <v>1049</v>
      </c>
      <c r="C588" s="307">
        <v>1</v>
      </c>
      <c r="D588" s="308">
        <v>0</v>
      </c>
      <c r="E588" s="287">
        <f t="shared" si="114"/>
        <v>1</v>
      </c>
      <c r="F588" s="27" t="s">
        <v>18</v>
      </c>
      <c r="G588" s="131"/>
      <c r="H588" s="131"/>
      <c r="I588" s="132">
        <f t="shared" si="115"/>
        <v>0</v>
      </c>
      <c r="J588" s="113">
        <v>6</v>
      </c>
      <c r="K588" s="132">
        <f t="shared" si="116"/>
        <v>0</v>
      </c>
      <c r="L588" s="133">
        <f t="shared" si="117"/>
        <v>0</v>
      </c>
    </row>
    <row r="589" spans="1:12" ht="29" x14ac:dyDescent="0.35">
      <c r="A589" s="291">
        <v>53</v>
      </c>
      <c r="B589" s="290" t="s">
        <v>1050</v>
      </c>
      <c r="C589" s="307">
        <v>1</v>
      </c>
      <c r="D589" s="308">
        <v>0</v>
      </c>
      <c r="E589" s="287">
        <f t="shared" si="114"/>
        <v>1</v>
      </c>
      <c r="F589" s="27" t="s">
        <v>18</v>
      </c>
      <c r="G589" s="131"/>
      <c r="H589" s="131"/>
      <c r="I589" s="132">
        <f t="shared" si="115"/>
        <v>0</v>
      </c>
      <c r="J589" s="113">
        <v>6</v>
      </c>
      <c r="K589" s="132">
        <f t="shared" si="116"/>
        <v>0</v>
      </c>
      <c r="L589" s="133">
        <f t="shared" si="117"/>
        <v>0</v>
      </c>
    </row>
    <row r="590" spans="1:12" ht="29" x14ac:dyDescent="0.35">
      <c r="A590" s="291">
        <v>54</v>
      </c>
      <c r="B590" s="290" t="s">
        <v>1051</v>
      </c>
      <c r="C590" s="307">
        <v>1</v>
      </c>
      <c r="D590" s="308">
        <v>0</v>
      </c>
      <c r="E590" s="287">
        <f t="shared" si="114"/>
        <v>1</v>
      </c>
      <c r="F590" s="27" t="s">
        <v>18</v>
      </c>
      <c r="G590" s="131"/>
      <c r="H590" s="131"/>
      <c r="I590" s="132">
        <f t="shared" si="115"/>
        <v>0</v>
      </c>
      <c r="J590" s="113">
        <v>6</v>
      </c>
      <c r="K590" s="132">
        <f t="shared" si="116"/>
        <v>0</v>
      </c>
      <c r="L590" s="133">
        <f t="shared" si="117"/>
        <v>0</v>
      </c>
    </row>
    <row r="591" spans="1:12" ht="29" x14ac:dyDescent="0.35">
      <c r="A591" s="291">
        <v>55</v>
      </c>
      <c r="B591" s="290" t="s">
        <v>1052</v>
      </c>
      <c r="C591" s="307">
        <v>1</v>
      </c>
      <c r="D591" s="308">
        <v>0</v>
      </c>
      <c r="E591" s="287">
        <f t="shared" si="114"/>
        <v>1</v>
      </c>
      <c r="F591" s="27" t="s">
        <v>18</v>
      </c>
      <c r="G591" s="131"/>
      <c r="H591" s="131"/>
      <c r="I591" s="132">
        <f t="shared" si="115"/>
        <v>0</v>
      </c>
      <c r="J591" s="113">
        <v>6</v>
      </c>
      <c r="K591" s="132">
        <f t="shared" si="116"/>
        <v>0</v>
      </c>
      <c r="L591" s="133">
        <f t="shared" si="117"/>
        <v>0</v>
      </c>
    </row>
    <row r="592" spans="1:12" ht="29" x14ac:dyDescent="0.35">
      <c r="A592" s="291">
        <v>56</v>
      </c>
      <c r="B592" s="290" t="s">
        <v>1053</v>
      </c>
      <c r="C592" s="307">
        <v>1</v>
      </c>
      <c r="D592" s="308">
        <v>0</v>
      </c>
      <c r="E592" s="287">
        <f t="shared" si="114"/>
        <v>1</v>
      </c>
      <c r="F592" s="27" t="s">
        <v>18</v>
      </c>
      <c r="G592" s="131"/>
      <c r="H592" s="131"/>
      <c r="I592" s="132">
        <f t="shared" si="115"/>
        <v>0</v>
      </c>
      <c r="J592" s="113">
        <v>6</v>
      </c>
      <c r="K592" s="132">
        <f t="shared" si="116"/>
        <v>0</v>
      </c>
      <c r="L592" s="133">
        <f t="shared" si="117"/>
        <v>0</v>
      </c>
    </row>
    <row r="593" spans="1:12" ht="29" x14ac:dyDescent="0.35">
      <c r="A593" s="291">
        <v>57</v>
      </c>
      <c r="B593" s="290" t="s">
        <v>1054</v>
      </c>
      <c r="C593" s="307">
        <v>1</v>
      </c>
      <c r="D593" s="308">
        <v>0</v>
      </c>
      <c r="E593" s="287">
        <f t="shared" si="114"/>
        <v>1</v>
      </c>
      <c r="F593" s="27" t="s">
        <v>18</v>
      </c>
      <c r="G593" s="131"/>
      <c r="H593" s="131"/>
      <c r="I593" s="132">
        <f t="shared" si="115"/>
        <v>0</v>
      </c>
      <c r="J593" s="113">
        <v>6</v>
      </c>
      <c r="K593" s="132">
        <f t="shared" si="116"/>
        <v>0</v>
      </c>
      <c r="L593" s="133">
        <f t="shared" si="117"/>
        <v>0</v>
      </c>
    </row>
    <row r="594" spans="1:12" ht="29" x14ac:dyDescent="0.35">
      <c r="A594" s="291">
        <v>58</v>
      </c>
      <c r="B594" s="290" t="s">
        <v>1055</v>
      </c>
      <c r="C594" s="307">
        <v>1</v>
      </c>
      <c r="D594" s="308">
        <v>0</v>
      </c>
      <c r="E594" s="287">
        <f t="shared" si="114"/>
        <v>1</v>
      </c>
      <c r="F594" s="27" t="s">
        <v>18</v>
      </c>
      <c r="G594" s="131"/>
      <c r="H594" s="131"/>
      <c r="I594" s="132">
        <f t="shared" si="115"/>
        <v>0</v>
      </c>
      <c r="J594" s="113">
        <v>6</v>
      </c>
      <c r="K594" s="132">
        <f t="shared" si="116"/>
        <v>0</v>
      </c>
      <c r="L594" s="133">
        <f t="shared" si="117"/>
        <v>0</v>
      </c>
    </row>
    <row r="595" spans="1:12" ht="29" x14ac:dyDescent="0.35">
      <c r="A595" s="291">
        <v>59</v>
      </c>
      <c r="B595" s="290" t="s">
        <v>1056</v>
      </c>
      <c r="C595" s="307">
        <v>1</v>
      </c>
      <c r="D595" s="308">
        <v>0</v>
      </c>
      <c r="E595" s="287">
        <f t="shared" si="114"/>
        <v>1</v>
      </c>
      <c r="F595" s="27" t="s">
        <v>18</v>
      </c>
      <c r="G595" s="131"/>
      <c r="H595" s="131"/>
      <c r="I595" s="132">
        <f t="shared" si="115"/>
        <v>0</v>
      </c>
      <c r="J595" s="113">
        <v>6</v>
      </c>
      <c r="K595" s="132">
        <f t="shared" si="116"/>
        <v>0</v>
      </c>
      <c r="L595" s="133">
        <f t="shared" si="117"/>
        <v>0</v>
      </c>
    </row>
    <row r="596" spans="1:12" ht="29" x14ac:dyDescent="0.35">
      <c r="A596" s="291">
        <v>60</v>
      </c>
      <c r="B596" s="290" t="s">
        <v>1057</v>
      </c>
      <c r="C596" s="307">
        <v>1</v>
      </c>
      <c r="D596" s="308">
        <v>0</v>
      </c>
      <c r="E596" s="287">
        <f t="shared" si="114"/>
        <v>1</v>
      </c>
      <c r="F596" s="27" t="s">
        <v>18</v>
      </c>
      <c r="G596" s="131"/>
      <c r="H596" s="131"/>
      <c r="I596" s="132">
        <f t="shared" si="115"/>
        <v>0</v>
      </c>
      <c r="J596" s="113">
        <v>6</v>
      </c>
      <c r="K596" s="132">
        <f t="shared" si="116"/>
        <v>0</v>
      </c>
      <c r="L596" s="133">
        <f t="shared" si="117"/>
        <v>0</v>
      </c>
    </row>
    <row r="597" spans="1:12" ht="29" x14ac:dyDescent="0.35">
      <c r="A597" s="291">
        <v>61</v>
      </c>
      <c r="B597" s="290" t="s">
        <v>1058</v>
      </c>
      <c r="C597" s="307">
        <v>1</v>
      </c>
      <c r="D597" s="308">
        <v>0</v>
      </c>
      <c r="E597" s="287">
        <f t="shared" si="114"/>
        <v>1</v>
      </c>
      <c r="F597" s="27" t="s">
        <v>18</v>
      </c>
      <c r="G597" s="131"/>
      <c r="H597" s="131"/>
      <c r="I597" s="132">
        <f t="shared" si="115"/>
        <v>0</v>
      </c>
      <c r="J597" s="113">
        <v>6</v>
      </c>
      <c r="K597" s="132">
        <f t="shared" si="116"/>
        <v>0</v>
      </c>
      <c r="L597" s="133">
        <f t="shared" si="117"/>
        <v>0</v>
      </c>
    </row>
    <row r="598" spans="1:12" ht="29" x14ac:dyDescent="0.35">
      <c r="A598" s="291">
        <v>62</v>
      </c>
      <c r="B598" s="290" t="s">
        <v>1059</v>
      </c>
      <c r="C598" s="307">
        <v>1</v>
      </c>
      <c r="D598" s="308">
        <v>0</v>
      </c>
      <c r="E598" s="287">
        <f t="shared" si="114"/>
        <v>1</v>
      </c>
      <c r="F598" s="27" t="s">
        <v>18</v>
      </c>
      <c r="G598" s="131"/>
      <c r="H598" s="131"/>
      <c r="I598" s="132">
        <f t="shared" si="115"/>
        <v>0</v>
      </c>
      <c r="J598" s="113">
        <v>6</v>
      </c>
      <c r="K598" s="132">
        <f t="shared" si="116"/>
        <v>0</v>
      </c>
      <c r="L598" s="133">
        <f t="shared" si="117"/>
        <v>0</v>
      </c>
    </row>
    <row r="599" spans="1:12" ht="29" x14ac:dyDescent="0.35">
      <c r="A599" s="291">
        <v>63</v>
      </c>
      <c r="B599" s="290" t="s">
        <v>1060</v>
      </c>
      <c r="C599" s="307">
        <v>1</v>
      </c>
      <c r="D599" s="308">
        <v>0</v>
      </c>
      <c r="E599" s="287">
        <f t="shared" si="114"/>
        <v>1</v>
      </c>
      <c r="F599" s="27" t="s">
        <v>18</v>
      </c>
      <c r="G599" s="131"/>
      <c r="H599" s="131"/>
      <c r="I599" s="132">
        <f t="shared" si="115"/>
        <v>0</v>
      </c>
      <c r="J599" s="113">
        <v>6</v>
      </c>
      <c r="K599" s="132">
        <f t="shared" si="116"/>
        <v>0</v>
      </c>
      <c r="L599" s="133">
        <f t="shared" si="117"/>
        <v>0</v>
      </c>
    </row>
    <row r="600" spans="1:12" ht="29" x14ac:dyDescent="0.35">
      <c r="A600" s="291">
        <v>64</v>
      </c>
      <c r="B600" s="290" t="s">
        <v>1061</v>
      </c>
      <c r="C600" s="307">
        <v>1</v>
      </c>
      <c r="D600" s="308">
        <v>0</v>
      </c>
      <c r="E600" s="287">
        <f t="shared" si="114"/>
        <v>1</v>
      </c>
      <c r="F600" s="27" t="s">
        <v>18</v>
      </c>
      <c r="G600" s="131"/>
      <c r="H600" s="131"/>
      <c r="I600" s="132">
        <f t="shared" si="115"/>
        <v>0</v>
      </c>
      <c r="J600" s="113">
        <v>6</v>
      </c>
      <c r="K600" s="132">
        <f t="shared" si="116"/>
        <v>0</v>
      </c>
      <c r="L600" s="133">
        <f t="shared" si="117"/>
        <v>0</v>
      </c>
    </row>
    <row r="601" spans="1:12" ht="29" x14ac:dyDescent="0.35">
      <c r="A601" s="291">
        <v>65</v>
      </c>
      <c r="B601" s="290" t="s">
        <v>1062</v>
      </c>
      <c r="C601" s="307">
        <v>1</v>
      </c>
      <c r="D601" s="308">
        <v>0</v>
      </c>
      <c r="E601" s="287">
        <f t="shared" ref="E601:E640" si="118">C601*(1+D601)</f>
        <v>1</v>
      </c>
      <c r="F601" s="27" t="s">
        <v>18</v>
      </c>
      <c r="G601" s="131"/>
      <c r="H601" s="131"/>
      <c r="I601" s="132">
        <f t="shared" ref="I601:I640" si="119">L$4</f>
        <v>0</v>
      </c>
      <c r="J601" s="113">
        <v>6</v>
      </c>
      <c r="K601" s="132">
        <f t="shared" ref="K601:K640" si="120">J601*I601</f>
        <v>0</v>
      </c>
      <c r="L601" s="133">
        <f t="shared" ref="L601:L640" si="121">K601+H601</f>
        <v>0</v>
      </c>
    </row>
    <row r="602" spans="1:12" ht="29" x14ac:dyDescent="0.35">
      <c r="A602" s="291">
        <v>66</v>
      </c>
      <c r="B602" s="290" t="s">
        <v>1063</v>
      </c>
      <c r="C602" s="307">
        <v>1</v>
      </c>
      <c r="D602" s="308">
        <v>0</v>
      </c>
      <c r="E602" s="287">
        <f t="shared" si="118"/>
        <v>1</v>
      </c>
      <c r="F602" s="27" t="s">
        <v>18</v>
      </c>
      <c r="G602" s="131"/>
      <c r="H602" s="131"/>
      <c r="I602" s="132">
        <f t="shared" si="119"/>
        <v>0</v>
      </c>
      <c r="J602" s="113">
        <v>6</v>
      </c>
      <c r="K602" s="132">
        <f t="shared" si="120"/>
        <v>0</v>
      </c>
      <c r="L602" s="133">
        <f t="shared" si="121"/>
        <v>0</v>
      </c>
    </row>
    <row r="603" spans="1:12" ht="29" x14ac:dyDescent="0.35">
      <c r="A603" s="291">
        <v>67</v>
      </c>
      <c r="B603" s="290" t="s">
        <v>1064</v>
      </c>
      <c r="C603" s="307">
        <v>1</v>
      </c>
      <c r="D603" s="308">
        <v>0</v>
      </c>
      <c r="E603" s="287">
        <f t="shared" si="118"/>
        <v>1</v>
      </c>
      <c r="F603" s="27" t="s">
        <v>18</v>
      </c>
      <c r="G603" s="131"/>
      <c r="H603" s="131"/>
      <c r="I603" s="132">
        <f t="shared" si="119"/>
        <v>0</v>
      </c>
      <c r="J603" s="113">
        <v>6</v>
      </c>
      <c r="K603" s="132">
        <f t="shared" si="120"/>
        <v>0</v>
      </c>
      <c r="L603" s="133">
        <f t="shared" si="121"/>
        <v>0</v>
      </c>
    </row>
    <row r="604" spans="1:12" ht="29" x14ac:dyDescent="0.35">
      <c r="A604" s="291">
        <v>68</v>
      </c>
      <c r="B604" s="290" t="s">
        <v>1065</v>
      </c>
      <c r="C604" s="307">
        <v>1</v>
      </c>
      <c r="D604" s="308">
        <v>0</v>
      </c>
      <c r="E604" s="287">
        <f t="shared" si="118"/>
        <v>1</v>
      </c>
      <c r="F604" s="27" t="s">
        <v>18</v>
      </c>
      <c r="G604" s="131"/>
      <c r="H604" s="131"/>
      <c r="I604" s="132">
        <f t="shared" si="119"/>
        <v>0</v>
      </c>
      <c r="J604" s="113">
        <v>6</v>
      </c>
      <c r="K604" s="132">
        <f t="shared" si="120"/>
        <v>0</v>
      </c>
      <c r="L604" s="133">
        <f t="shared" si="121"/>
        <v>0</v>
      </c>
    </row>
    <row r="605" spans="1:12" ht="29" x14ac:dyDescent="0.35">
      <c r="A605" s="291">
        <v>69</v>
      </c>
      <c r="B605" s="290" t="s">
        <v>1066</v>
      </c>
      <c r="C605" s="307">
        <v>1</v>
      </c>
      <c r="D605" s="308">
        <v>0</v>
      </c>
      <c r="E605" s="287">
        <f t="shared" si="118"/>
        <v>1</v>
      </c>
      <c r="F605" s="27" t="s">
        <v>18</v>
      </c>
      <c r="G605" s="131"/>
      <c r="H605" s="131"/>
      <c r="I605" s="132">
        <f t="shared" si="119"/>
        <v>0</v>
      </c>
      <c r="J605" s="113">
        <v>6</v>
      </c>
      <c r="K605" s="132">
        <f t="shared" si="120"/>
        <v>0</v>
      </c>
      <c r="L605" s="133">
        <f t="shared" si="121"/>
        <v>0</v>
      </c>
    </row>
    <row r="606" spans="1:12" ht="29" x14ac:dyDescent="0.35">
      <c r="A606" s="291">
        <v>70</v>
      </c>
      <c r="B606" s="290" t="s">
        <v>1067</v>
      </c>
      <c r="C606" s="307">
        <v>1</v>
      </c>
      <c r="D606" s="308">
        <v>0</v>
      </c>
      <c r="E606" s="287">
        <f t="shared" si="118"/>
        <v>1</v>
      </c>
      <c r="F606" s="27" t="s">
        <v>18</v>
      </c>
      <c r="G606" s="131"/>
      <c r="H606" s="131"/>
      <c r="I606" s="132">
        <f t="shared" si="119"/>
        <v>0</v>
      </c>
      <c r="J606" s="113">
        <v>6</v>
      </c>
      <c r="K606" s="132">
        <f t="shared" si="120"/>
        <v>0</v>
      </c>
      <c r="L606" s="133">
        <f t="shared" si="121"/>
        <v>0</v>
      </c>
    </row>
    <row r="607" spans="1:12" ht="29" x14ac:dyDescent="0.35">
      <c r="A607" s="291">
        <v>71</v>
      </c>
      <c r="B607" s="290" t="s">
        <v>1068</v>
      </c>
      <c r="C607" s="307">
        <v>1</v>
      </c>
      <c r="D607" s="308">
        <v>0</v>
      </c>
      <c r="E607" s="287">
        <f t="shared" si="118"/>
        <v>1</v>
      </c>
      <c r="F607" s="27" t="s">
        <v>18</v>
      </c>
      <c r="G607" s="131"/>
      <c r="H607" s="131"/>
      <c r="I607" s="132">
        <f t="shared" si="119"/>
        <v>0</v>
      </c>
      <c r="J607" s="113">
        <v>6</v>
      </c>
      <c r="K607" s="132">
        <f t="shared" si="120"/>
        <v>0</v>
      </c>
      <c r="L607" s="133">
        <f t="shared" si="121"/>
        <v>0</v>
      </c>
    </row>
    <row r="608" spans="1:12" ht="29" x14ac:dyDescent="0.35">
      <c r="A608" s="291">
        <v>72</v>
      </c>
      <c r="B608" s="290" t="s">
        <v>1069</v>
      </c>
      <c r="C608" s="307">
        <v>1</v>
      </c>
      <c r="D608" s="308">
        <v>0</v>
      </c>
      <c r="E608" s="287">
        <f t="shared" si="118"/>
        <v>1</v>
      </c>
      <c r="F608" s="27" t="s">
        <v>18</v>
      </c>
      <c r="G608" s="131"/>
      <c r="H608" s="131"/>
      <c r="I608" s="132">
        <f t="shared" si="119"/>
        <v>0</v>
      </c>
      <c r="J608" s="113">
        <v>6</v>
      </c>
      <c r="K608" s="132">
        <f t="shared" si="120"/>
        <v>0</v>
      </c>
      <c r="L608" s="133">
        <f t="shared" si="121"/>
        <v>0</v>
      </c>
    </row>
    <row r="609" spans="1:12" ht="29" x14ac:dyDescent="0.35">
      <c r="A609" s="291">
        <v>73</v>
      </c>
      <c r="B609" s="290" t="s">
        <v>1070</v>
      </c>
      <c r="C609" s="307">
        <v>1</v>
      </c>
      <c r="D609" s="308">
        <v>0</v>
      </c>
      <c r="E609" s="287">
        <f t="shared" si="118"/>
        <v>1</v>
      </c>
      <c r="F609" s="27" t="s">
        <v>18</v>
      </c>
      <c r="G609" s="131"/>
      <c r="H609" s="131"/>
      <c r="I609" s="132">
        <f t="shared" si="119"/>
        <v>0</v>
      </c>
      <c r="J609" s="113">
        <v>6</v>
      </c>
      <c r="K609" s="132">
        <f t="shared" si="120"/>
        <v>0</v>
      </c>
      <c r="L609" s="133">
        <f t="shared" si="121"/>
        <v>0</v>
      </c>
    </row>
    <row r="610" spans="1:12" ht="29" x14ac:dyDescent="0.35">
      <c r="A610" s="291">
        <v>74</v>
      </c>
      <c r="B610" s="290" t="s">
        <v>1071</v>
      </c>
      <c r="C610" s="307">
        <v>1</v>
      </c>
      <c r="D610" s="308">
        <v>0</v>
      </c>
      <c r="E610" s="287">
        <f t="shared" si="118"/>
        <v>1</v>
      </c>
      <c r="F610" s="27" t="s">
        <v>18</v>
      </c>
      <c r="G610" s="131"/>
      <c r="H610" s="131"/>
      <c r="I610" s="132">
        <f t="shared" si="119"/>
        <v>0</v>
      </c>
      <c r="J610" s="113">
        <v>6</v>
      </c>
      <c r="K610" s="132">
        <f t="shared" si="120"/>
        <v>0</v>
      </c>
      <c r="L610" s="133">
        <f t="shared" si="121"/>
        <v>0</v>
      </c>
    </row>
    <row r="611" spans="1:12" ht="29" x14ac:dyDescent="0.35">
      <c r="A611" s="291">
        <v>75</v>
      </c>
      <c r="B611" s="290" t="s">
        <v>1072</v>
      </c>
      <c r="C611" s="307">
        <v>1</v>
      </c>
      <c r="D611" s="308">
        <v>0</v>
      </c>
      <c r="E611" s="287">
        <f t="shared" si="118"/>
        <v>1</v>
      </c>
      <c r="F611" s="27" t="s">
        <v>18</v>
      </c>
      <c r="G611" s="131"/>
      <c r="H611" s="131"/>
      <c r="I611" s="132">
        <f t="shared" si="119"/>
        <v>0</v>
      </c>
      <c r="J611" s="113">
        <v>6</v>
      </c>
      <c r="K611" s="132">
        <f t="shared" si="120"/>
        <v>0</v>
      </c>
      <c r="L611" s="133">
        <f t="shared" si="121"/>
        <v>0</v>
      </c>
    </row>
    <row r="612" spans="1:12" ht="29" x14ac:dyDescent="0.35">
      <c r="A612" s="291">
        <v>76</v>
      </c>
      <c r="B612" s="290" t="s">
        <v>1073</v>
      </c>
      <c r="C612" s="307">
        <v>1</v>
      </c>
      <c r="D612" s="308">
        <v>0</v>
      </c>
      <c r="E612" s="287">
        <f t="shared" si="118"/>
        <v>1</v>
      </c>
      <c r="F612" s="27" t="s">
        <v>18</v>
      </c>
      <c r="G612" s="131"/>
      <c r="H612" s="131"/>
      <c r="I612" s="132">
        <f t="shared" si="119"/>
        <v>0</v>
      </c>
      <c r="J612" s="113">
        <v>6</v>
      </c>
      <c r="K612" s="132">
        <f t="shared" si="120"/>
        <v>0</v>
      </c>
      <c r="L612" s="133">
        <f t="shared" si="121"/>
        <v>0</v>
      </c>
    </row>
    <row r="613" spans="1:12" ht="29" x14ac:dyDescent="0.35">
      <c r="A613" s="291">
        <v>77</v>
      </c>
      <c r="B613" s="290" t="s">
        <v>1074</v>
      </c>
      <c r="C613" s="307">
        <v>1</v>
      </c>
      <c r="D613" s="308">
        <v>0</v>
      </c>
      <c r="E613" s="287">
        <f t="shared" si="118"/>
        <v>1</v>
      </c>
      <c r="F613" s="27" t="s">
        <v>18</v>
      </c>
      <c r="G613" s="131"/>
      <c r="H613" s="131"/>
      <c r="I613" s="132">
        <f t="shared" si="119"/>
        <v>0</v>
      </c>
      <c r="J613" s="113">
        <v>6</v>
      </c>
      <c r="K613" s="132">
        <f t="shared" si="120"/>
        <v>0</v>
      </c>
      <c r="L613" s="133">
        <f t="shared" si="121"/>
        <v>0</v>
      </c>
    </row>
    <row r="614" spans="1:12" ht="29" x14ac:dyDescent="0.35">
      <c r="A614" s="291">
        <v>78</v>
      </c>
      <c r="B614" s="290" t="s">
        <v>1075</v>
      </c>
      <c r="C614" s="307">
        <v>1</v>
      </c>
      <c r="D614" s="308">
        <v>0</v>
      </c>
      <c r="E614" s="287">
        <f t="shared" si="118"/>
        <v>1</v>
      </c>
      <c r="F614" s="27" t="s">
        <v>18</v>
      </c>
      <c r="G614" s="131"/>
      <c r="H614" s="131"/>
      <c r="I614" s="132">
        <f t="shared" si="119"/>
        <v>0</v>
      </c>
      <c r="J614" s="113">
        <v>6</v>
      </c>
      <c r="K614" s="132">
        <f t="shared" si="120"/>
        <v>0</v>
      </c>
      <c r="L614" s="133">
        <f t="shared" si="121"/>
        <v>0</v>
      </c>
    </row>
    <row r="615" spans="1:12" ht="29" x14ac:dyDescent="0.35">
      <c r="A615" s="291">
        <v>79</v>
      </c>
      <c r="B615" s="290" t="s">
        <v>1076</v>
      </c>
      <c r="C615" s="307">
        <v>1</v>
      </c>
      <c r="D615" s="308">
        <v>0</v>
      </c>
      <c r="E615" s="287">
        <f t="shared" si="118"/>
        <v>1</v>
      </c>
      <c r="F615" s="27" t="s">
        <v>18</v>
      </c>
      <c r="G615" s="131"/>
      <c r="H615" s="131"/>
      <c r="I615" s="132">
        <f t="shared" si="119"/>
        <v>0</v>
      </c>
      <c r="J615" s="113">
        <v>6</v>
      </c>
      <c r="K615" s="132">
        <f t="shared" si="120"/>
        <v>0</v>
      </c>
      <c r="L615" s="133">
        <f t="shared" si="121"/>
        <v>0</v>
      </c>
    </row>
    <row r="616" spans="1:12" ht="29" x14ac:dyDescent="0.35">
      <c r="A616" s="291">
        <v>80</v>
      </c>
      <c r="B616" s="290" t="s">
        <v>1077</v>
      </c>
      <c r="C616" s="307">
        <v>1</v>
      </c>
      <c r="D616" s="308">
        <v>0</v>
      </c>
      <c r="E616" s="287">
        <f t="shared" si="118"/>
        <v>1</v>
      </c>
      <c r="F616" s="27" t="s">
        <v>18</v>
      </c>
      <c r="G616" s="131"/>
      <c r="H616" s="131"/>
      <c r="I616" s="132">
        <f t="shared" si="119"/>
        <v>0</v>
      </c>
      <c r="J616" s="113">
        <v>6</v>
      </c>
      <c r="K616" s="132">
        <f t="shared" si="120"/>
        <v>0</v>
      </c>
      <c r="L616" s="133">
        <f t="shared" si="121"/>
        <v>0</v>
      </c>
    </row>
    <row r="617" spans="1:12" ht="29" x14ac:dyDescent="0.35">
      <c r="A617" s="291">
        <v>81</v>
      </c>
      <c r="B617" s="290" t="s">
        <v>1078</v>
      </c>
      <c r="C617" s="307">
        <v>1</v>
      </c>
      <c r="D617" s="308">
        <v>0</v>
      </c>
      <c r="E617" s="287">
        <f t="shared" si="118"/>
        <v>1</v>
      </c>
      <c r="F617" s="27" t="s">
        <v>18</v>
      </c>
      <c r="G617" s="131"/>
      <c r="H617" s="131"/>
      <c r="I617" s="132">
        <f t="shared" si="119"/>
        <v>0</v>
      </c>
      <c r="J617" s="113">
        <v>6</v>
      </c>
      <c r="K617" s="132">
        <f t="shared" si="120"/>
        <v>0</v>
      </c>
      <c r="L617" s="133">
        <f t="shared" si="121"/>
        <v>0</v>
      </c>
    </row>
    <row r="618" spans="1:12" ht="29" x14ac:dyDescent="0.35">
      <c r="A618" s="291">
        <v>82</v>
      </c>
      <c r="B618" s="290" t="s">
        <v>1079</v>
      </c>
      <c r="C618" s="307">
        <v>1</v>
      </c>
      <c r="D618" s="308">
        <v>0</v>
      </c>
      <c r="E618" s="287">
        <f t="shared" si="118"/>
        <v>1</v>
      </c>
      <c r="F618" s="27" t="s">
        <v>18</v>
      </c>
      <c r="G618" s="131"/>
      <c r="H618" s="131"/>
      <c r="I618" s="132">
        <f t="shared" si="119"/>
        <v>0</v>
      </c>
      <c r="J618" s="113">
        <v>6</v>
      </c>
      <c r="K618" s="132">
        <f t="shared" si="120"/>
        <v>0</v>
      </c>
      <c r="L618" s="133">
        <f t="shared" si="121"/>
        <v>0</v>
      </c>
    </row>
    <row r="619" spans="1:12" ht="29" x14ac:dyDescent="0.35">
      <c r="A619" s="291">
        <v>83</v>
      </c>
      <c r="B619" s="290" t="s">
        <v>1080</v>
      </c>
      <c r="C619" s="307">
        <v>1</v>
      </c>
      <c r="D619" s="308">
        <v>0</v>
      </c>
      <c r="E619" s="287">
        <f t="shared" si="118"/>
        <v>1</v>
      </c>
      <c r="F619" s="27" t="s">
        <v>18</v>
      </c>
      <c r="G619" s="131"/>
      <c r="H619" s="131"/>
      <c r="I619" s="132">
        <f t="shared" si="119"/>
        <v>0</v>
      </c>
      <c r="J619" s="113">
        <v>6</v>
      </c>
      <c r="K619" s="132">
        <f t="shared" si="120"/>
        <v>0</v>
      </c>
      <c r="L619" s="133">
        <f t="shared" si="121"/>
        <v>0</v>
      </c>
    </row>
    <row r="620" spans="1:12" ht="29" x14ac:dyDescent="0.35">
      <c r="A620" s="291">
        <v>84</v>
      </c>
      <c r="B620" s="290" t="s">
        <v>1081</v>
      </c>
      <c r="C620" s="307">
        <v>1</v>
      </c>
      <c r="D620" s="308">
        <v>0</v>
      </c>
      <c r="E620" s="287">
        <f t="shared" si="118"/>
        <v>1</v>
      </c>
      <c r="F620" s="27" t="s">
        <v>18</v>
      </c>
      <c r="G620" s="131"/>
      <c r="H620" s="131"/>
      <c r="I620" s="132">
        <f t="shared" si="119"/>
        <v>0</v>
      </c>
      <c r="J620" s="113">
        <v>6</v>
      </c>
      <c r="K620" s="132">
        <f t="shared" si="120"/>
        <v>0</v>
      </c>
      <c r="L620" s="133">
        <f t="shared" si="121"/>
        <v>0</v>
      </c>
    </row>
    <row r="621" spans="1:12" ht="29" x14ac:dyDescent="0.35">
      <c r="A621" s="291">
        <v>85</v>
      </c>
      <c r="B621" s="290" t="s">
        <v>1082</v>
      </c>
      <c r="C621" s="307">
        <v>1</v>
      </c>
      <c r="D621" s="308">
        <v>0</v>
      </c>
      <c r="E621" s="287">
        <f t="shared" si="118"/>
        <v>1</v>
      </c>
      <c r="F621" s="27" t="s">
        <v>18</v>
      </c>
      <c r="G621" s="131"/>
      <c r="H621" s="131"/>
      <c r="I621" s="132">
        <f t="shared" si="119"/>
        <v>0</v>
      </c>
      <c r="J621" s="113">
        <v>6</v>
      </c>
      <c r="K621" s="132">
        <f t="shared" si="120"/>
        <v>0</v>
      </c>
      <c r="L621" s="133">
        <f t="shared" si="121"/>
        <v>0</v>
      </c>
    </row>
    <row r="622" spans="1:12" ht="29" x14ac:dyDescent="0.35">
      <c r="A622" s="291">
        <v>86</v>
      </c>
      <c r="B622" s="290" t="s">
        <v>1083</v>
      </c>
      <c r="C622" s="307">
        <v>1</v>
      </c>
      <c r="D622" s="308">
        <v>0</v>
      </c>
      <c r="E622" s="287">
        <f t="shared" si="118"/>
        <v>1</v>
      </c>
      <c r="F622" s="27" t="s">
        <v>18</v>
      </c>
      <c r="G622" s="131"/>
      <c r="H622" s="131"/>
      <c r="I622" s="132">
        <f t="shared" si="119"/>
        <v>0</v>
      </c>
      <c r="J622" s="113">
        <v>6</v>
      </c>
      <c r="K622" s="132">
        <f t="shared" si="120"/>
        <v>0</v>
      </c>
      <c r="L622" s="133">
        <f t="shared" si="121"/>
        <v>0</v>
      </c>
    </row>
    <row r="623" spans="1:12" ht="29" x14ac:dyDescent="0.35">
      <c r="A623" s="291">
        <v>87</v>
      </c>
      <c r="B623" s="290" t="s">
        <v>1084</v>
      </c>
      <c r="C623" s="307">
        <v>1</v>
      </c>
      <c r="D623" s="308">
        <v>0</v>
      </c>
      <c r="E623" s="287">
        <f t="shared" si="118"/>
        <v>1</v>
      </c>
      <c r="F623" s="27" t="s">
        <v>18</v>
      </c>
      <c r="G623" s="131"/>
      <c r="H623" s="131"/>
      <c r="I623" s="132">
        <f t="shared" si="119"/>
        <v>0</v>
      </c>
      <c r="J623" s="113">
        <v>6</v>
      </c>
      <c r="K623" s="132">
        <f t="shared" si="120"/>
        <v>0</v>
      </c>
      <c r="L623" s="133">
        <f t="shared" si="121"/>
        <v>0</v>
      </c>
    </row>
    <row r="624" spans="1:12" ht="29" x14ac:dyDescent="0.35">
      <c r="A624" s="291">
        <v>88</v>
      </c>
      <c r="B624" s="290" t="s">
        <v>1085</v>
      </c>
      <c r="C624" s="307">
        <v>1</v>
      </c>
      <c r="D624" s="308">
        <v>0</v>
      </c>
      <c r="E624" s="287">
        <f t="shared" si="118"/>
        <v>1</v>
      </c>
      <c r="F624" s="27" t="s">
        <v>18</v>
      </c>
      <c r="G624" s="131"/>
      <c r="H624" s="131"/>
      <c r="I624" s="132">
        <f t="shared" si="119"/>
        <v>0</v>
      </c>
      <c r="J624" s="113">
        <v>6</v>
      </c>
      <c r="K624" s="132">
        <f t="shared" si="120"/>
        <v>0</v>
      </c>
      <c r="L624" s="133">
        <f t="shared" si="121"/>
        <v>0</v>
      </c>
    </row>
    <row r="625" spans="1:12" ht="29" x14ac:dyDescent="0.35">
      <c r="A625" s="291">
        <v>89</v>
      </c>
      <c r="B625" s="290" t="s">
        <v>1086</v>
      </c>
      <c r="C625" s="307">
        <v>1</v>
      </c>
      <c r="D625" s="308">
        <v>0</v>
      </c>
      <c r="E625" s="287">
        <f t="shared" si="118"/>
        <v>1</v>
      </c>
      <c r="F625" s="27" t="s">
        <v>18</v>
      </c>
      <c r="G625" s="131"/>
      <c r="H625" s="131"/>
      <c r="I625" s="132">
        <f t="shared" si="119"/>
        <v>0</v>
      </c>
      <c r="J625" s="113">
        <v>6</v>
      </c>
      <c r="K625" s="132">
        <f t="shared" si="120"/>
        <v>0</v>
      </c>
      <c r="L625" s="133">
        <f t="shared" si="121"/>
        <v>0</v>
      </c>
    </row>
    <row r="626" spans="1:12" ht="29" x14ac:dyDescent="0.35">
      <c r="A626" s="291">
        <v>90</v>
      </c>
      <c r="B626" s="290" t="s">
        <v>1087</v>
      </c>
      <c r="C626" s="307">
        <v>1</v>
      </c>
      <c r="D626" s="308">
        <v>0</v>
      </c>
      <c r="E626" s="287">
        <f t="shared" si="118"/>
        <v>1</v>
      </c>
      <c r="F626" s="27" t="s">
        <v>18</v>
      </c>
      <c r="G626" s="131"/>
      <c r="H626" s="131"/>
      <c r="I626" s="132">
        <f t="shared" si="119"/>
        <v>0</v>
      </c>
      <c r="J626" s="113">
        <v>6</v>
      </c>
      <c r="K626" s="132">
        <f t="shared" si="120"/>
        <v>0</v>
      </c>
      <c r="L626" s="133">
        <f t="shared" si="121"/>
        <v>0</v>
      </c>
    </row>
    <row r="627" spans="1:12" ht="29" x14ac:dyDescent="0.35">
      <c r="A627" s="291">
        <v>91</v>
      </c>
      <c r="B627" s="290" t="s">
        <v>1088</v>
      </c>
      <c r="C627" s="307">
        <v>1</v>
      </c>
      <c r="D627" s="308">
        <v>0</v>
      </c>
      <c r="E627" s="287">
        <f t="shared" si="118"/>
        <v>1</v>
      </c>
      <c r="F627" s="27" t="s">
        <v>18</v>
      </c>
      <c r="G627" s="131"/>
      <c r="H627" s="131"/>
      <c r="I627" s="132">
        <f t="shared" si="119"/>
        <v>0</v>
      </c>
      <c r="J627" s="113">
        <v>6</v>
      </c>
      <c r="K627" s="132">
        <f t="shared" si="120"/>
        <v>0</v>
      </c>
      <c r="L627" s="133">
        <f t="shared" si="121"/>
        <v>0</v>
      </c>
    </row>
    <row r="628" spans="1:12" ht="29" x14ac:dyDescent="0.35">
      <c r="A628" s="291">
        <v>92</v>
      </c>
      <c r="B628" s="290" t="s">
        <v>1089</v>
      </c>
      <c r="C628" s="307">
        <v>1</v>
      </c>
      <c r="D628" s="308">
        <v>0</v>
      </c>
      <c r="E628" s="287">
        <f t="shared" si="118"/>
        <v>1</v>
      </c>
      <c r="F628" s="27" t="s">
        <v>18</v>
      </c>
      <c r="G628" s="131"/>
      <c r="H628" s="131"/>
      <c r="I628" s="132">
        <f t="shared" si="119"/>
        <v>0</v>
      </c>
      <c r="J628" s="113">
        <v>6</v>
      </c>
      <c r="K628" s="132">
        <f t="shared" si="120"/>
        <v>0</v>
      </c>
      <c r="L628" s="133">
        <f t="shared" si="121"/>
        <v>0</v>
      </c>
    </row>
    <row r="629" spans="1:12" ht="29" x14ac:dyDescent="0.35">
      <c r="A629" s="291">
        <v>93</v>
      </c>
      <c r="B629" s="290" t="s">
        <v>1090</v>
      </c>
      <c r="C629" s="307">
        <v>1</v>
      </c>
      <c r="D629" s="308">
        <v>0</v>
      </c>
      <c r="E629" s="287">
        <f t="shared" si="118"/>
        <v>1</v>
      </c>
      <c r="F629" s="27" t="s">
        <v>18</v>
      </c>
      <c r="G629" s="131"/>
      <c r="H629" s="131"/>
      <c r="I629" s="132">
        <f t="shared" si="119"/>
        <v>0</v>
      </c>
      <c r="J629" s="113">
        <v>6</v>
      </c>
      <c r="K629" s="132">
        <f t="shared" si="120"/>
        <v>0</v>
      </c>
      <c r="L629" s="133">
        <f t="shared" si="121"/>
        <v>0</v>
      </c>
    </row>
    <row r="630" spans="1:12" ht="29" x14ac:dyDescent="0.35">
      <c r="A630" s="291">
        <v>94</v>
      </c>
      <c r="B630" s="290" t="s">
        <v>1091</v>
      </c>
      <c r="C630" s="307">
        <v>1</v>
      </c>
      <c r="D630" s="308">
        <v>0</v>
      </c>
      <c r="E630" s="287">
        <f t="shared" si="118"/>
        <v>1</v>
      </c>
      <c r="F630" s="27" t="s">
        <v>18</v>
      </c>
      <c r="G630" s="131"/>
      <c r="H630" s="131"/>
      <c r="I630" s="132">
        <f t="shared" si="119"/>
        <v>0</v>
      </c>
      <c r="J630" s="113">
        <v>6</v>
      </c>
      <c r="K630" s="132">
        <f t="shared" si="120"/>
        <v>0</v>
      </c>
      <c r="L630" s="133">
        <f t="shared" si="121"/>
        <v>0</v>
      </c>
    </row>
    <row r="631" spans="1:12" ht="29" x14ac:dyDescent="0.35">
      <c r="A631" s="291">
        <v>95</v>
      </c>
      <c r="B631" s="290" t="s">
        <v>1092</v>
      </c>
      <c r="C631" s="307">
        <v>1</v>
      </c>
      <c r="D631" s="308">
        <v>0</v>
      </c>
      <c r="E631" s="287">
        <f t="shared" si="118"/>
        <v>1</v>
      </c>
      <c r="F631" s="27" t="s">
        <v>18</v>
      </c>
      <c r="G631" s="131"/>
      <c r="H631" s="131"/>
      <c r="I631" s="132">
        <f t="shared" si="119"/>
        <v>0</v>
      </c>
      <c r="J631" s="113">
        <v>6</v>
      </c>
      <c r="K631" s="132">
        <f t="shared" si="120"/>
        <v>0</v>
      </c>
      <c r="L631" s="133">
        <f t="shared" si="121"/>
        <v>0</v>
      </c>
    </row>
    <row r="632" spans="1:12" ht="29" x14ac:dyDescent="0.35">
      <c r="A632" s="291">
        <v>96</v>
      </c>
      <c r="B632" s="290" t="s">
        <v>1093</v>
      </c>
      <c r="C632" s="307">
        <v>1</v>
      </c>
      <c r="D632" s="308">
        <v>0</v>
      </c>
      <c r="E632" s="287">
        <f t="shared" si="118"/>
        <v>1</v>
      </c>
      <c r="F632" s="27" t="s">
        <v>18</v>
      </c>
      <c r="G632" s="131"/>
      <c r="H632" s="131"/>
      <c r="I632" s="132">
        <f t="shared" si="119"/>
        <v>0</v>
      </c>
      <c r="J632" s="113">
        <v>6</v>
      </c>
      <c r="K632" s="132">
        <f t="shared" si="120"/>
        <v>0</v>
      </c>
      <c r="L632" s="133">
        <f t="shared" si="121"/>
        <v>0</v>
      </c>
    </row>
    <row r="633" spans="1:12" ht="29" x14ac:dyDescent="0.35">
      <c r="A633" s="291">
        <v>97</v>
      </c>
      <c r="B633" s="290" t="s">
        <v>1094</v>
      </c>
      <c r="C633" s="307">
        <v>1</v>
      </c>
      <c r="D633" s="308">
        <v>0</v>
      </c>
      <c r="E633" s="287">
        <f t="shared" si="118"/>
        <v>1</v>
      </c>
      <c r="F633" s="27" t="s">
        <v>18</v>
      </c>
      <c r="G633" s="131"/>
      <c r="H633" s="131"/>
      <c r="I633" s="132">
        <f t="shared" si="119"/>
        <v>0</v>
      </c>
      <c r="J633" s="113">
        <v>6</v>
      </c>
      <c r="K633" s="132">
        <f t="shared" si="120"/>
        <v>0</v>
      </c>
      <c r="L633" s="133">
        <f t="shared" si="121"/>
        <v>0</v>
      </c>
    </row>
    <row r="634" spans="1:12" ht="29" x14ac:dyDescent="0.35">
      <c r="A634" s="291">
        <v>98</v>
      </c>
      <c r="B634" s="290" t="s">
        <v>1095</v>
      </c>
      <c r="C634" s="307">
        <v>1</v>
      </c>
      <c r="D634" s="308">
        <v>0</v>
      </c>
      <c r="E634" s="287">
        <f t="shared" si="118"/>
        <v>1</v>
      </c>
      <c r="F634" s="27" t="s">
        <v>18</v>
      </c>
      <c r="G634" s="131"/>
      <c r="H634" s="131"/>
      <c r="I634" s="132">
        <f t="shared" si="119"/>
        <v>0</v>
      </c>
      <c r="J634" s="113">
        <v>6</v>
      </c>
      <c r="K634" s="132">
        <f t="shared" si="120"/>
        <v>0</v>
      </c>
      <c r="L634" s="133">
        <f t="shared" si="121"/>
        <v>0</v>
      </c>
    </row>
    <row r="635" spans="1:12" ht="29" x14ac:dyDescent="0.35">
      <c r="A635" s="291">
        <v>99</v>
      </c>
      <c r="B635" s="290" t="s">
        <v>1096</v>
      </c>
      <c r="C635" s="307">
        <v>1</v>
      </c>
      <c r="D635" s="308">
        <v>0</v>
      </c>
      <c r="E635" s="287">
        <f t="shared" si="118"/>
        <v>1</v>
      </c>
      <c r="F635" s="27" t="s">
        <v>18</v>
      </c>
      <c r="G635" s="131"/>
      <c r="H635" s="131"/>
      <c r="I635" s="132">
        <f t="shared" si="119"/>
        <v>0</v>
      </c>
      <c r="J635" s="113">
        <v>6</v>
      </c>
      <c r="K635" s="132">
        <f t="shared" si="120"/>
        <v>0</v>
      </c>
      <c r="L635" s="133">
        <f t="shared" si="121"/>
        <v>0</v>
      </c>
    </row>
    <row r="636" spans="1:12" ht="29" x14ac:dyDescent="0.35">
      <c r="A636" s="291">
        <v>100</v>
      </c>
      <c r="B636" s="290" t="s">
        <v>1097</v>
      </c>
      <c r="C636" s="307">
        <v>1</v>
      </c>
      <c r="D636" s="308">
        <v>0</v>
      </c>
      <c r="E636" s="287">
        <f t="shared" si="118"/>
        <v>1</v>
      </c>
      <c r="F636" s="27" t="s">
        <v>18</v>
      </c>
      <c r="G636" s="131"/>
      <c r="H636" s="131"/>
      <c r="I636" s="132">
        <f t="shared" si="119"/>
        <v>0</v>
      </c>
      <c r="J636" s="113">
        <v>6</v>
      </c>
      <c r="K636" s="132">
        <f t="shared" si="120"/>
        <v>0</v>
      </c>
      <c r="L636" s="133">
        <f t="shared" si="121"/>
        <v>0</v>
      </c>
    </row>
    <row r="637" spans="1:12" ht="29" x14ac:dyDescent="0.35">
      <c r="A637" s="291">
        <v>101</v>
      </c>
      <c r="B637" s="290" t="s">
        <v>1098</v>
      </c>
      <c r="C637" s="307">
        <v>1</v>
      </c>
      <c r="D637" s="308">
        <v>0</v>
      </c>
      <c r="E637" s="287">
        <f t="shared" si="118"/>
        <v>1</v>
      </c>
      <c r="F637" s="27" t="s">
        <v>18</v>
      </c>
      <c r="G637" s="131"/>
      <c r="H637" s="131"/>
      <c r="I637" s="132">
        <f t="shared" si="119"/>
        <v>0</v>
      </c>
      <c r="J637" s="113">
        <v>6</v>
      </c>
      <c r="K637" s="132">
        <f t="shared" si="120"/>
        <v>0</v>
      </c>
      <c r="L637" s="133">
        <f t="shared" si="121"/>
        <v>0</v>
      </c>
    </row>
    <row r="638" spans="1:12" ht="29" x14ac:dyDescent="0.35">
      <c r="A638" s="291">
        <v>102</v>
      </c>
      <c r="B638" s="290" t="s">
        <v>1099</v>
      </c>
      <c r="C638" s="307">
        <v>1</v>
      </c>
      <c r="D638" s="308">
        <v>0</v>
      </c>
      <c r="E638" s="287">
        <f t="shared" si="118"/>
        <v>1</v>
      </c>
      <c r="F638" s="27" t="s">
        <v>18</v>
      </c>
      <c r="G638" s="131"/>
      <c r="H638" s="131"/>
      <c r="I638" s="132">
        <f t="shared" si="119"/>
        <v>0</v>
      </c>
      <c r="J638" s="113">
        <v>6</v>
      </c>
      <c r="K638" s="132">
        <f t="shared" si="120"/>
        <v>0</v>
      </c>
      <c r="L638" s="133">
        <f t="shared" si="121"/>
        <v>0</v>
      </c>
    </row>
    <row r="639" spans="1:12" ht="29" x14ac:dyDescent="0.35">
      <c r="A639" s="291">
        <v>103</v>
      </c>
      <c r="B639" s="290" t="s">
        <v>1100</v>
      </c>
      <c r="C639" s="307">
        <v>1</v>
      </c>
      <c r="D639" s="308">
        <v>0</v>
      </c>
      <c r="E639" s="287">
        <f t="shared" si="118"/>
        <v>1</v>
      </c>
      <c r="F639" s="27" t="s">
        <v>18</v>
      </c>
      <c r="G639" s="131"/>
      <c r="H639" s="131"/>
      <c r="I639" s="132">
        <f t="shared" si="119"/>
        <v>0</v>
      </c>
      <c r="J639" s="113">
        <v>6</v>
      </c>
      <c r="K639" s="132">
        <f t="shared" si="120"/>
        <v>0</v>
      </c>
      <c r="L639" s="133">
        <f t="shared" si="121"/>
        <v>0</v>
      </c>
    </row>
    <row r="640" spans="1:12" ht="29" x14ac:dyDescent="0.35">
      <c r="A640" s="291">
        <v>104</v>
      </c>
      <c r="B640" s="290" t="s">
        <v>1101</v>
      </c>
      <c r="C640" s="307">
        <v>1</v>
      </c>
      <c r="D640" s="308">
        <v>0</v>
      </c>
      <c r="E640" s="287">
        <f t="shared" si="118"/>
        <v>1</v>
      </c>
      <c r="F640" s="27" t="s">
        <v>18</v>
      </c>
      <c r="G640" s="131"/>
      <c r="H640" s="131"/>
      <c r="I640" s="132">
        <f t="shared" si="119"/>
        <v>0</v>
      </c>
      <c r="J640" s="113">
        <v>6</v>
      </c>
      <c r="K640" s="132">
        <f t="shared" si="120"/>
        <v>0</v>
      </c>
      <c r="L640" s="133">
        <f t="shared" si="121"/>
        <v>0</v>
      </c>
    </row>
    <row r="641" spans="1:12" ht="73" thickBot="1" x14ac:dyDescent="0.4">
      <c r="A641" s="291"/>
      <c r="B641" s="290" t="s">
        <v>1102</v>
      </c>
      <c r="C641" s="307"/>
      <c r="D641" s="308"/>
      <c r="E641" s="309"/>
      <c r="F641" s="307"/>
      <c r="G641" s="297"/>
      <c r="H641" s="297"/>
      <c r="I641" s="298"/>
      <c r="J641" s="86"/>
      <c r="K641" s="298"/>
      <c r="L641" s="299"/>
    </row>
    <row r="642" spans="1:12" ht="17.25" customHeight="1" thickBot="1" x14ac:dyDescent="0.4">
      <c r="A642" s="382" t="s">
        <v>862</v>
      </c>
      <c r="B642" s="383"/>
      <c r="C642" s="312"/>
      <c r="D642" s="308"/>
      <c r="E642" s="309"/>
      <c r="F642" s="307"/>
      <c r="G642" s="297"/>
      <c r="H642" s="297"/>
      <c r="I642" s="298"/>
      <c r="J642" s="86"/>
      <c r="K642" s="298"/>
      <c r="L642" s="299"/>
    </row>
    <row r="643" spans="1:12" ht="17.25" customHeight="1" x14ac:dyDescent="0.35">
      <c r="A643" s="313">
        <v>1</v>
      </c>
      <c r="B643" s="314" t="s">
        <v>310</v>
      </c>
      <c r="C643" s="307">
        <v>104</v>
      </c>
      <c r="D643" s="308">
        <v>0</v>
      </c>
      <c r="E643" s="287">
        <f t="shared" ref="E643:E645" si="122">C643*(1+D643)</f>
        <v>104</v>
      </c>
      <c r="F643" s="27" t="s">
        <v>18</v>
      </c>
      <c r="G643" s="131"/>
      <c r="H643" s="131"/>
      <c r="I643" s="132">
        <f t="shared" ref="I643:I645" si="123">L$4</f>
        <v>0</v>
      </c>
      <c r="J643" s="113">
        <v>36.4</v>
      </c>
      <c r="K643" s="132">
        <f t="shared" ref="K643:K645" si="124">J643*I643</f>
        <v>0</v>
      </c>
      <c r="L643" s="133">
        <f t="shared" ref="L643:L645" si="125">K643+H643</f>
        <v>0</v>
      </c>
    </row>
    <row r="644" spans="1:12" ht="17.25" customHeight="1" x14ac:dyDescent="0.35">
      <c r="A644" s="291">
        <v>2</v>
      </c>
      <c r="B644" s="290" t="s">
        <v>863</v>
      </c>
      <c r="C644" s="307">
        <v>3</v>
      </c>
      <c r="D644" s="308">
        <v>0</v>
      </c>
      <c r="E644" s="287">
        <f t="shared" si="122"/>
        <v>3</v>
      </c>
      <c r="F644" s="27" t="s">
        <v>18</v>
      </c>
      <c r="G644" s="131"/>
      <c r="H644" s="131"/>
      <c r="I644" s="132">
        <f t="shared" si="123"/>
        <v>0</v>
      </c>
      <c r="J644" s="113">
        <v>3</v>
      </c>
      <c r="K644" s="132">
        <f t="shared" si="124"/>
        <v>0</v>
      </c>
      <c r="L644" s="133">
        <f t="shared" si="125"/>
        <v>0</v>
      </c>
    </row>
    <row r="645" spans="1:12" ht="17.25" customHeight="1" x14ac:dyDescent="0.35">
      <c r="A645" s="291">
        <v>3</v>
      </c>
      <c r="B645" s="290" t="s">
        <v>1103</v>
      </c>
      <c r="C645" s="307">
        <v>1</v>
      </c>
      <c r="D645" s="308">
        <v>0</v>
      </c>
      <c r="E645" s="287">
        <f t="shared" si="122"/>
        <v>1</v>
      </c>
      <c r="F645" s="27" t="s">
        <v>18</v>
      </c>
      <c r="G645" s="131"/>
      <c r="H645" s="131"/>
      <c r="I645" s="132">
        <f t="shared" si="123"/>
        <v>0</v>
      </c>
      <c r="J645" s="113">
        <v>1</v>
      </c>
      <c r="K645" s="132">
        <f t="shared" si="124"/>
        <v>0</v>
      </c>
      <c r="L645" s="133">
        <f t="shared" si="125"/>
        <v>0</v>
      </c>
    </row>
    <row r="646" spans="1:12" ht="17.25" customHeight="1" thickBot="1" x14ac:dyDescent="0.4">
      <c r="A646" s="148"/>
      <c r="B646" s="149"/>
      <c r="C646" s="150"/>
      <c r="D646" s="151"/>
      <c r="E646" s="152"/>
      <c r="F646" s="153"/>
      <c r="G646" s="154"/>
      <c r="H646" s="154"/>
      <c r="I646" s="155"/>
      <c r="J646" s="156"/>
      <c r="K646" s="157"/>
      <c r="L646" s="158"/>
    </row>
    <row r="647" spans="1:12" ht="16" thickBot="1" x14ac:dyDescent="0.4">
      <c r="A647" s="386" t="s">
        <v>185</v>
      </c>
      <c r="B647" s="387"/>
      <c r="C647" s="387"/>
      <c r="D647" s="387"/>
      <c r="E647" s="387"/>
      <c r="F647" s="387"/>
      <c r="G647" s="387"/>
      <c r="H647" s="387"/>
      <c r="I647" s="387"/>
      <c r="J647" s="388"/>
      <c r="K647" s="389">
        <f>SUM(H7:H646)</f>
        <v>0</v>
      </c>
      <c r="L647" s="390"/>
    </row>
    <row r="648" spans="1:12" ht="16" thickBot="1" x14ac:dyDescent="0.4">
      <c r="A648" s="391" t="s">
        <v>186</v>
      </c>
      <c r="B648" s="392"/>
      <c r="C648" s="392"/>
      <c r="D648" s="392"/>
      <c r="E648" s="392"/>
      <c r="F648" s="392"/>
      <c r="G648" s="392"/>
      <c r="H648" s="392"/>
      <c r="I648" s="392"/>
      <c r="J648" s="393"/>
      <c r="K648" s="359">
        <f>SUM(K7:K535)</f>
        <v>0</v>
      </c>
      <c r="L648" s="360"/>
    </row>
    <row r="649" spans="1:12" ht="16" thickBot="1" x14ac:dyDescent="0.4">
      <c r="A649" s="391" t="s">
        <v>14</v>
      </c>
      <c r="B649" s="392"/>
      <c r="C649" s="392"/>
      <c r="D649" s="392"/>
      <c r="E649" s="392"/>
      <c r="F649" s="392"/>
      <c r="G649" s="392"/>
      <c r="H649" s="392"/>
      <c r="I649" s="392"/>
      <c r="J649" s="393"/>
      <c r="K649" s="359">
        <f>K647+K648</f>
        <v>0</v>
      </c>
      <c r="L649" s="360"/>
    </row>
    <row r="650" spans="1:12" ht="16" thickBot="1" x14ac:dyDescent="0.4">
      <c r="A650" s="391" t="s">
        <v>15</v>
      </c>
      <c r="B650" s="392"/>
      <c r="C650" s="392"/>
      <c r="D650" s="392"/>
      <c r="E650" s="392"/>
      <c r="F650" s="392"/>
      <c r="G650" s="392"/>
      <c r="H650" s="392"/>
      <c r="I650" s="392"/>
      <c r="J650" s="12">
        <v>0.25</v>
      </c>
      <c r="K650" s="359">
        <f>K649*J650</f>
        <v>0</v>
      </c>
      <c r="L650" s="360"/>
    </row>
    <row r="651" spans="1:12" ht="16" thickBot="1" x14ac:dyDescent="0.4">
      <c r="A651" s="391" t="s">
        <v>16</v>
      </c>
      <c r="B651" s="392"/>
      <c r="C651" s="392"/>
      <c r="D651" s="392"/>
      <c r="E651" s="392"/>
      <c r="F651" s="392"/>
      <c r="G651" s="392"/>
      <c r="H651" s="392"/>
      <c r="I651" s="392"/>
      <c r="J651" s="393"/>
      <c r="K651" s="359">
        <f>K650+K649</f>
        <v>0</v>
      </c>
      <c r="L651" s="360"/>
    </row>
  </sheetData>
  <mergeCells count="45">
    <mergeCell ref="A642:B642"/>
    <mergeCell ref="A647:J647"/>
    <mergeCell ref="K647:L647"/>
    <mergeCell ref="A648:J648"/>
    <mergeCell ref="K648:L648"/>
    <mergeCell ref="A649:J649"/>
    <mergeCell ref="K649:L649"/>
    <mergeCell ref="A650:I650"/>
    <mergeCell ref="K650:L650"/>
    <mergeCell ref="A651:J651"/>
    <mergeCell ref="K651:L651"/>
    <mergeCell ref="A367:B367"/>
    <mergeCell ref="A536:B536"/>
    <mergeCell ref="A399:B399"/>
    <mergeCell ref="A439:B439"/>
    <mergeCell ref="A465:B465"/>
    <mergeCell ref="A471:B471"/>
    <mergeCell ref="A483:B483"/>
    <mergeCell ref="A495:B495"/>
    <mergeCell ref="A500:B500"/>
    <mergeCell ref="A503:B503"/>
    <mergeCell ref="A507:B507"/>
    <mergeCell ref="A510:B510"/>
    <mergeCell ref="A521:B521"/>
    <mergeCell ref="C2:C3"/>
    <mergeCell ref="J4:K4"/>
    <mergeCell ref="A6:B6"/>
    <mergeCell ref="A71:B71"/>
    <mergeCell ref="A109:B109"/>
    <mergeCell ref="A125:B125"/>
    <mergeCell ref="A360:B360"/>
    <mergeCell ref="A363:B363"/>
    <mergeCell ref="A393:B393"/>
    <mergeCell ref="A396:B396"/>
    <mergeCell ref="A377:B377"/>
    <mergeCell ref="A188:B188"/>
    <mergeCell ref="A257:B257"/>
    <mergeCell ref="A281:B281"/>
    <mergeCell ref="A291:B291"/>
    <mergeCell ref="A312:B312"/>
    <mergeCell ref="A325:B325"/>
    <mergeCell ref="A334:B334"/>
    <mergeCell ref="A340:B340"/>
    <mergeCell ref="A355:B355"/>
    <mergeCell ref="A366:B366"/>
  </mergeCells>
  <pageMargins left="0.7" right="0.7" top="0.75" bottom="0.75" header="0.3" footer="0.3"/>
  <pageSetup paperSize="9" orientation="portrait"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4581AC-CB33-4A5B-A49C-A350E7E82015}">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Plumbing</vt:lpstr>
      <vt:lpstr>Electrical</vt:lpstr>
      <vt:lpstr>Fire Alarm</vt:lpstr>
      <vt:lpstr>Sprinkler System</vt:lpstr>
      <vt:lpstr>HVAC</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2023-03-17T13:40:31Z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{404581AC-CB33-4A5B-A49C-A350E7E82015}</vt:lpwstr>
  </property>
</Properties>
</file>