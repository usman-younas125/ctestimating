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ity\Desktop\Samples\"/>
    </mc:Choice>
  </mc:AlternateContent>
  <bookViews>
    <workbookView xWindow="0" yWindow="0" windowWidth="19200" windowHeight="8550" tabRatio="647" firstSheet="2" activeTab="2"/>
  </bookViews>
  <sheets>
    <sheet name="Chart1" sheetId="14" state="hidden" r:id="rId1"/>
    <sheet name="Sheet1" sheetId="15" state="hidden" r:id="rId2"/>
    <sheet name="Detailed Estimate IE" sheetId="16" r:id="rId3"/>
  </sheets>
  <definedNames>
    <definedName name="_xlnm._FilterDatabase" localSheetId="2" hidden="1">'Detailed Estimate IE'!$A$5:$J$86</definedName>
    <definedName name="_xlnm.Print_Area" localSheetId="2">'Detailed Estimate IE'!$A$1:$J$86</definedName>
  </definedNames>
  <calcPr calcId="162913"/>
</workbook>
</file>

<file path=xl/calcChain.xml><?xml version="1.0" encoding="utf-8"?>
<calcChain xmlns="http://schemas.openxmlformats.org/spreadsheetml/2006/main">
  <c r="F70" i="16" l="1"/>
  <c r="F71" i="16"/>
  <c r="F72" i="16"/>
  <c r="F73" i="16"/>
  <c r="F74" i="16"/>
  <c r="F75" i="16"/>
  <c r="F76" i="16"/>
  <c r="F77" i="16"/>
  <c r="F78" i="16"/>
  <c r="F79" i="16"/>
  <c r="F80" i="16"/>
  <c r="F81" i="16"/>
  <c r="F69" i="16"/>
  <c r="F65" i="16"/>
  <c r="F66" i="16"/>
  <c r="F64" i="16"/>
  <c r="F59" i="16"/>
  <c r="F60" i="16"/>
  <c r="F61" i="16"/>
  <c r="F58" i="16"/>
  <c r="F49" i="16"/>
  <c r="F50" i="16"/>
  <c r="F51" i="16"/>
  <c r="F52" i="16"/>
  <c r="F53" i="16"/>
  <c r="F54" i="16"/>
  <c r="F55" i="16"/>
  <c r="F48" i="16"/>
  <c r="F35" i="16"/>
  <c r="F36" i="16"/>
  <c r="F37" i="16"/>
  <c r="F38" i="16"/>
  <c r="F39" i="16"/>
  <c r="F40" i="16"/>
  <c r="F41" i="16"/>
  <c r="F42" i="16"/>
  <c r="F43" i="16"/>
  <c r="F44" i="16"/>
  <c r="F34" i="16"/>
  <c r="F25" i="16"/>
  <c r="F26" i="16"/>
  <c r="F27" i="16"/>
  <c r="F28" i="16"/>
  <c r="F29" i="16"/>
  <c r="F30" i="16"/>
  <c r="F24" i="16"/>
  <c r="F20" i="16"/>
  <c r="F19" i="16"/>
  <c r="F10" i="16"/>
  <c r="F11" i="16"/>
  <c r="F12" i="16"/>
  <c r="F13" i="16"/>
  <c r="F14" i="16"/>
  <c r="F15" i="16"/>
  <c r="F9" i="16"/>
  <c r="I10" i="16" l="1"/>
  <c r="I26" i="16"/>
  <c r="I39" i="16"/>
  <c r="I53" i="16"/>
  <c r="I59" i="16"/>
  <c r="I78" i="16"/>
  <c r="I70" i="16"/>
  <c r="I40" i="16"/>
  <c r="I54" i="16"/>
  <c r="I60" i="16"/>
  <c r="I79" i="16"/>
  <c r="I71" i="16"/>
  <c r="I12" i="16"/>
  <c r="I34" i="16"/>
  <c r="I37" i="16"/>
  <c r="I51" i="16"/>
  <c r="I61" i="16"/>
  <c r="I66" i="16"/>
  <c r="I80" i="16"/>
  <c r="I76" i="16"/>
  <c r="I72" i="16"/>
  <c r="I14" i="16"/>
  <c r="I30" i="16"/>
  <c r="I43" i="16"/>
  <c r="I35" i="16"/>
  <c r="I49" i="16"/>
  <c r="I69" i="16"/>
  <c r="I74" i="16"/>
  <c r="I15" i="16"/>
  <c r="I11" i="16"/>
  <c r="I24" i="16"/>
  <c r="I44" i="16"/>
  <c r="I36" i="16"/>
  <c r="I50" i="16"/>
  <c r="I65" i="16"/>
  <c r="I75" i="16"/>
  <c r="I9" i="16"/>
  <c r="A9" i="16"/>
  <c r="I20" i="16"/>
  <c r="I28" i="16"/>
  <c r="I41" i="16"/>
  <c r="I55" i="16"/>
  <c r="I13" i="16"/>
  <c r="I19" i="16"/>
  <c r="I29" i="16"/>
  <c r="I25" i="16"/>
  <c r="I42" i="16"/>
  <c r="I38" i="16"/>
  <c r="I48" i="16"/>
  <c r="I52" i="16"/>
  <c r="I58" i="16"/>
  <c r="I64" i="16"/>
  <c r="I81" i="16"/>
  <c r="I77" i="16"/>
  <c r="I73" i="16"/>
  <c r="A10" i="16" l="1"/>
  <c r="J84" i="16" l="1"/>
  <c r="J85" i="16" s="1"/>
  <c r="J86" i="16" s="1"/>
  <c r="A11" i="16"/>
  <c r="A12" i="16" s="1"/>
  <c r="A13" i="16" l="1"/>
  <c r="A14" i="16" s="1"/>
  <c r="A15" i="16" l="1"/>
  <c r="A19" i="16" s="1"/>
  <c r="A20" i="16" l="1"/>
  <c r="A24" i="16" s="1"/>
  <c r="A25" i="16" l="1"/>
  <c r="A26" i="16" s="1"/>
  <c r="A27" i="16" l="1"/>
  <c r="A28" i="16"/>
  <c r="A29" i="16" s="1"/>
  <c r="A30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8" i="16" s="1"/>
  <c r="A49" i="16" s="1"/>
  <c r="A50" i="16" s="1"/>
  <c r="A51" i="16" s="1"/>
  <c r="A52" i="16" s="1"/>
  <c r="A53" i="16" s="1"/>
  <c r="A54" i="16" s="1"/>
  <c r="A55" i="16" s="1"/>
  <c r="A58" i="16" s="1"/>
  <c r="A59" i="16" s="1"/>
  <c r="A60" i="16" s="1"/>
  <c r="A61" i="16" s="1"/>
  <c r="A64" i="16" l="1"/>
  <c r="A65" i="16" s="1"/>
  <c r="A66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</calcChain>
</file>

<file path=xl/sharedStrings.xml><?xml version="1.0" encoding="utf-8"?>
<sst xmlns="http://schemas.openxmlformats.org/spreadsheetml/2006/main" count="134" uniqueCount="82">
  <si>
    <t>DESCRIPTION</t>
  </si>
  <si>
    <t>UNIT COST</t>
  </si>
  <si>
    <t>SUB TOTAL</t>
  </si>
  <si>
    <t>SR #</t>
  </si>
  <si>
    <t>QUANTITY</t>
  </si>
  <si>
    <t>WASTAGE
(10%)</t>
  </si>
  <si>
    <t>QTY WITH
WASTAGE</t>
  </si>
  <si>
    <t>UNIT OF
MEASURMENT</t>
  </si>
  <si>
    <t>TOTAL ITEM
COST</t>
  </si>
  <si>
    <t>TOTAL TRADE
COST</t>
  </si>
  <si>
    <t>TOTAL BID</t>
  </si>
  <si>
    <t>OVERHEAD &amp; PROFIT (25%)</t>
  </si>
  <si>
    <t>CSI SECT</t>
  </si>
  <si>
    <t>PROJECT:</t>
  </si>
  <si>
    <t>ADDRESS:</t>
  </si>
  <si>
    <t>DATE</t>
  </si>
  <si>
    <t>SF</t>
  </si>
  <si>
    <t>LF</t>
  </si>
  <si>
    <t>EA</t>
  </si>
  <si>
    <t>EROSION CONTROL PLAN</t>
  </si>
  <si>
    <t>Protection of 8" High chain link fence</t>
  </si>
  <si>
    <t>Install drain inlet protection</t>
  </si>
  <si>
    <t>GRADING AND DRAINAGE PLAN</t>
  </si>
  <si>
    <t>4" SDR-35 PVC Pipe</t>
  </si>
  <si>
    <t>6" VCP Sewer Lateral</t>
  </si>
  <si>
    <t>Construct 6" wide trench drain zurn- Z883-SVF</t>
  </si>
  <si>
    <t>Sawcuts</t>
  </si>
  <si>
    <t>12"X12" pre-cast concrete box</t>
  </si>
  <si>
    <t>Construct 6" square area Drain</t>
  </si>
  <si>
    <t>IRRIGATION PLAN</t>
  </si>
  <si>
    <t>Schedule 40 PVC non- pressurized lateral line buried 12" min.deep</t>
  </si>
  <si>
    <t>1" Schdeule 40 PVC pressurized main line buried line min.18" deep</t>
  </si>
  <si>
    <t>High water use Hydrozone</t>
  </si>
  <si>
    <t>Mixed water use Hydrozone</t>
  </si>
  <si>
    <t>Moderate water use Hydrozone</t>
  </si>
  <si>
    <t>Rain Bird 100- PEB 1' Master valve</t>
  </si>
  <si>
    <t>Rain Bird BV050FP Ball valve</t>
  </si>
  <si>
    <t>Rain Bird check Valve- RWS-BCG 02 tree root watering system with 1402 Bubbler</t>
  </si>
  <si>
    <t>Rain Bird high flow shut-off valve</t>
  </si>
  <si>
    <t>Rain Bird standard valve box- VB-STD</t>
  </si>
  <si>
    <t>Wilkins- 975XL pressure back flow preventer</t>
  </si>
  <si>
    <t>3' Dia Copper Downspouts</t>
  </si>
  <si>
    <t>SITE PLAN</t>
  </si>
  <si>
    <t>42" min. high Railing</t>
  </si>
  <si>
    <t>Concrete Driveway</t>
  </si>
  <si>
    <t>Proposed Retaining Wall</t>
  </si>
  <si>
    <t>Gas Meter</t>
  </si>
  <si>
    <t>Trash Containers</t>
  </si>
  <si>
    <t>Water Meter</t>
  </si>
  <si>
    <t>Wood Gates</t>
  </si>
  <si>
    <t>TREES/ TREE LIKE SHRUBS</t>
  </si>
  <si>
    <t>bamboo palm- 8'-10" Height</t>
  </si>
  <si>
    <t>Little emperor japanese blueberry-6'-10' Height</t>
  </si>
  <si>
    <t>Sweet shade tree- 25'-40' Height</t>
  </si>
  <si>
    <t>Dwarf southern Magnolia- 20'-25' Height</t>
  </si>
  <si>
    <t>Fruiting Olive tree- 25'-30' Height</t>
  </si>
  <si>
    <t>Long leafed podocarpus - 25'-40' Height</t>
  </si>
  <si>
    <t>Icee blue yellow wood- 15'-25' Height</t>
  </si>
  <si>
    <t>GRASS LIKE</t>
  </si>
  <si>
    <t>Berkley sedge- 1'-2" Height</t>
  </si>
  <si>
    <t>Clarity Blue Dianella- 2'-3' Height</t>
  </si>
  <si>
    <t>Blue Flax Lily- 1'-2' Height</t>
  </si>
  <si>
    <t>New zealand Flax- 6' Height</t>
  </si>
  <si>
    <t>SUCCULENTS/ GROUND COVERS</t>
  </si>
  <si>
    <t>Blushing Aeonium - 2'-3' Height</t>
  </si>
  <si>
    <t>Vooden stone Crop- 1'-2' Height</t>
  </si>
  <si>
    <t>SHRUBS/ PERRENIALS</t>
  </si>
  <si>
    <t>Red Flowering Maple- 8'-12' Height</t>
  </si>
  <si>
    <t>Pink Japanease Aenomone- 2'-3' Height</t>
  </si>
  <si>
    <t>Fucshia Begonia- 2'-3' Height</t>
  </si>
  <si>
    <t>Diamond Heights caramel Creeper- 1' Height</t>
  </si>
  <si>
    <t>pink rockrose- 2'-3' Height</t>
  </si>
  <si>
    <t>Island snap dragon- 3'-4' Height</t>
  </si>
  <si>
    <t>Cranesbill- 1'-2' Height</t>
  </si>
  <si>
    <t>purple diamond frindge flower- 3'-4 Height</t>
  </si>
  <si>
    <t>peppermint scented geranium - 1'-2' Height</t>
  </si>
  <si>
    <t>Pink carpet groundcover rose- 2'-3' Height</t>
  </si>
  <si>
    <t>Allen chickering Sage- 4'-5' Height</t>
  </si>
  <si>
    <t>star Jasmine- 2'-6' Height</t>
  </si>
  <si>
    <t>coast Rosemary- 3'-4' Height</t>
  </si>
  <si>
    <t>Little ollie- 4'-6' Height</t>
  </si>
  <si>
    <t>Pink jade plant- 3;-5'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</si>
</sst>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6" formatCode="_(&quot;$&quot;* #,##0.0_);_(&quot;$&quot;* \(#,##0.0\);_(&quot;$&quot;* &quot;-&quot;??_);_(@_)"/>
    <numFmt numFmtId="167" formatCode="_([$$-409]* #,##0.00_);_([$$-409]* \(#,##0.00\);_([$$-409]* &quot;-&quot;??_);_(@_)"/>
  </numFmts>
  <fonts count="38" x14ac:knownFonts="1">
    <font>
      <sz val="12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2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.199999999999999"/>
      <color theme="10"/>
      <name val="Arial"/>
      <family val="2"/>
    </font>
    <font>
      <b/>
      <sz val="14"/>
      <color rgb="FF002060"/>
      <name val="Helvetica"/>
      <family val="2"/>
    </font>
    <font>
      <sz val="14"/>
      <color rgb="FF002060"/>
      <name val="Arial"/>
      <family val="2"/>
    </font>
    <font>
      <b/>
      <sz val="14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4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2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2" fillId="0" borderId="0"/>
    <xf numFmtId="0" fontId="21" fillId="0" borderId="0"/>
    <xf numFmtId="0" fontId="3" fillId="0" borderId="0"/>
    <xf numFmtId="0" fontId="22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4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3" fillId="0" borderId="10" xfId="0" applyFont="1" applyFill="1" applyBorder="1" applyAlignment="1">
      <alignment vertical="top"/>
    </xf>
    <xf numFmtId="164" fontId="23" fillId="0" borderId="10" xfId="0" applyNumberFormat="1" applyFont="1" applyFill="1" applyBorder="1" applyAlignment="1" applyProtection="1">
      <alignment horizontal="center" vertical="top"/>
    </xf>
    <xf numFmtId="0" fontId="23" fillId="0" borderId="10" xfId="0" applyFont="1" applyFill="1" applyBorder="1" applyAlignment="1">
      <alignment horizontal="center" vertical="top"/>
    </xf>
    <xf numFmtId="42" fontId="24" fillId="0" borderId="10" xfId="0" applyNumberFormat="1" applyFont="1" applyFill="1" applyBorder="1" applyAlignment="1">
      <alignment vertical="top"/>
    </xf>
    <xf numFmtId="0" fontId="25" fillId="0" borderId="0" xfId="0" applyFont="1"/>
    <xf numFmtId="0" fontId="24" fillId="0" borderId="11" xfId="0" applyFont="1" applyFill="1" applyBorder="1" applyAlignment="1">
      <alignment horizontal="left" vertical="top"/>
    </xf>
    <xf numFmtId="42" fontId="24" fillId="0" borderId="12" xfId="0" applyNumberFormat="1" applyFont="1" applyFill="1" applyBorder="1" applyAlignment="1">
      <alignment vertical="top"/>
    </xf>
    <xf numFmtId="0" fontId="26" fillId="0" borderId="0" xfId="0" applyFont="1" applyAlignment="1"/>
    <xf numFmtId="0" fontId="27" fillId="0" borderId="14" xfId="0" applyFont="1" applyBorder="1"/>
    <xf numFmtId="0" fontId="25" fillId="0" borderId="14" xfId="0" applyFont="1" applyBorder="1"/>
    <xf numFmtId="0" fontId="27" fillId="0" borderId="14" xfId="0" applyFont="1" applyBorder="1" applyAlignment="1">
      <alignment vertical="center"/>
    </xf>
    <xf numFmtId="9" fontId="27" fillId="0" borderId="14" xfId="0" applyNumberFormat="1" applyFont="1" applyBorder="1" applyAlignment="1">
      <alignment vertical="center"/>
    </xf>
    <xf numFmtId="1" fontId="27" fillId="0" borderId="14" xfId="0" applyNumberFormat="1" applyFont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165" fontId="27" fillId="0" borderId="14" xfId="0" applyNumberFormat="1" applyFont="1" applyBorder="1" applyAlignment="1">
      <alignment vertical="center"/>
    </xf>
    <xf numFmtId="0" fontId="27" fillId="0" borderId="13" xfId="0" applyFont="1" applyBorder="1"/>
    <xf numFmtId="1" fontId="23" fillId="0" borderId="13" xfId="0" applyNumberFormat="1" applyFont="1" applyFill="1" applyBorder="1" applyAlignment="1">
      <alignment horizontal="center" vertical="top"/>
    </xf>
    <xf numFmtId="0" fontId="25" fillId="24" borderId="15" xfId="0" applyFont="1" applyFill="1" applyBorder="1" applyAlignment="1">
      <alignment horizontal="center" vertical="center"/>
    </xf>
    <xf numFmtId="0" fontId="25" fillId="24" borderId="15" xfId="0" applyFont="1" applyFill="1" applyBorder="1" applyAlignment="1">
      <alignment horizontal="center" vertical="center" wrapText="1"/>
    </xf>
    <xf numFmtId="0" fontId="25" fillId="24" borderId="16" xfId="0" applyFont="1" applyFill="1" applyBorder="1" applyAlignment="1">
      <alignment horizontal="center" vertical="center"/>
    </xf>
    <xf numFmtId="1" fontId="27" fillId="0" borderId="17" xfId="0" applyNumberFormat="1" applyFont="1" applyFill="1" applyBorder="1" applyAlignment="1">
      <alignment horizontal="center" vertical="top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0" xfId="0" applyFont="1" applyFill="1" applyBorder="1" applyAlignment="1">
      <alignment horizontal="center" vertical="center"/>
    </xf>
    <xf numFmtId="0" fontId="25" fillId="24" borderId="21" xfId="0" applyFont="1" applyFill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166" fontId="27" fillId="0" borderId="14" xfId="91" applyNumberFormat="1" applyFont="1" applyBorder="1" applyAlignment="1">
      <alignment vertical="center"/>
    </xf>
    <xf numFmtId="166" fontId="23" fillId="0" borderId="10" xfId="91" applyNumberFormat="1" applyFont="1" applyFill="1" applyBorder="1" applyAlignment="1">
      <alignment vertical="top"/>
    </xf>
    <xf numFmtId="166" fontId="3" fillId="0" borderId="0" xfId="91" applyNumberFormat="1" applyFont="1"/>
    <xf numFmtId="0" fontId="27" fillId="0" borderId="17" xfId="0" applyFont="1" applyBorder="1"/>
    <xf numFmtId="0" fontId="27" fillId="0" borderId="0" xfId="0" applyFont="1" applyFill="1" applyBorder="1" applyAlignment="1">
      <alignment horizontal="justify" vertical="center"/>
    </xf>
    <xf numFmtId="41" fontId="27" fillId="0" borderId="0" xfId="0" applyNumberFormat="1" applyFont="1" applyFill="1" applyBorder="1" applyAlignment="1">
      <alignment horizontal="right" vertical="center"/>
    </xf>
    <xf numFmtId="9" fontId="27" fillId="0" borderId="0" xfId="0" applyNumberFormat="1" applyFont="1" applyBorder="1" applyAlignment="1">
      <alignment vertical="center"/>
    </xf>
    <xf numFmtId="1" fontId="27" fillId="0" borderId="0" xfId="0" applyNumberFormat="1" applyFont="1" applyBorder="1" applyAlignment="1">
      <alignment vertical="center"/>
    </xf>
    <xf numFmtId="166" fontId="27" fillId="0" borderId="0" xfId="91" applyNumberFormat="1" applyFont="1" applyBorder="1" applyAlignment="1">
      <alignment vertical="center"/>
    </xf>
    <xf numFmtId="165" fontId="27" fillId="0" borderId="19" xfId="0" applyNumberFormat="1" applyFont="1" applyBorder="1" applyAlignment="1">
      <alignment vertical="center"/>
    </xf>
    <xf numFmtId="0" fontId="27" fillId="0" borderId="19" xfId="0" applyFont="1" applyBorder="1"/>
    <xf numFmtId="9" fontId="24" fillId="0" borderId="10" xfId="92" applyFont="1" applyFill="1" applyBorder="1" applyAlignment="1">
      <alignment horizontal="center" vertical="top"/>
    </xf>
    <xf numFmtId="166" fontId="25" fillId="24" borderId="15" xfId="91" applyNumberFormat="1" applyFont="1" applyFill="1" applyBorder="1" applyAlignment="1">
      <alignment horizontal="center" vertical="center"/>
    </xf>
    <xf numFmtId="0" fontId="25" fillId="24" borderId="22" xfId="0" applyFont="1" applyFill="1" applyBorder="1" applyAlignment="1">
      <alignment horizontal="center" vertical="center"/>
    </xf>
    <xf numFmtId="0" fontId="0" fillId="24" borderId="22" xfId="0" applyFill="1" applyBorder="1"/>
    <xf numFmtId="0" fontId="25" fillId="24" borderId="23" xfId="0" applyFont="1" applyFill="1" applyBorder="1" applyAlignment="1">
      <alignment horizontal="justify" vertical="center"/>
    </xf>
    <xf numFmtId="0" fontId="30" fillId="0" borderId="0" xfId="0" applyFont="1" applyFill="1" applyBorder="1" applyAlignment="1">
      <alignment horizontal="right" vertical="center"/>
    </xf>
    <xf numFmtId="9" fontId="30" fillId="0" borderId="0" xfId="0" applyNumberFormat="1" applyFont="1" applyBorder="1" applyAlignment="1">
      <alignment vertical="center"/>
    </xf>
    <xf numFmtId="1" fontId="30" fillId="0" borderId="0" xfId="0" applyNumberFormat="1" applyFont="1" applyBorder="1" applyAlignment="1">
      <alignment vertical="center"/>
    </xf>
    <xf numFmtId="0" fontId="30" fillId="0" borderId="0" xfId="0" applyFont="1" applyFill="1" applyBorder="1" applyAlignment="1">
      <alignment horizontal="center" vertical="center"/>
    </xf>
    <xf numFmtId="44" fontId="0" fillId="0" borderId="0" xfId="91" applyFont="1" applyBorder="1"/>
    <xf numFmtId="167" fontId="30" fillId="0" borderId="19" xfId="0" applyNumberFormat="1" applyFont="1" applyBorder="1" applyAlignment="1">
      <alignment vertical="center"/>
    </xf>
    <xf numFmtId="0" fontId="31" fillId="0" borderId="19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27" fillId="0" borderId="0" xfId="0" applyNumberFormat="1" applyFont="1"/>
    <xf numFmtId="0" fontId="32" fillId="0" borderId="0" xfId="93" applyAlignment="1" applyProtection="1"/>
    <xf numFmtId="0" fontId="33" fillId="0" borderId="0" xfId="89" applyFont="1"/>
    <xf numFmtId="0" fontId="34" fillId="0" borderId="0" xfId="0" applyFont="1"/>
    <xf numFmtId="0" fontId="34" fillId="0" borderId="0" xfId="0" applyFont="1" applyAlignment="1">
      <alignment horizontal="center"/>
    </xf>
    <xf numFmtId="0" fontId="33" fillId="0" borderId="0" xfId="89" applyFont="1" applyAlignment="1">
      <alignment horizontal="left"/>
    </xf>
    <xf numFmtId="0" fontId="33" fillId="0" borderId="0" xfId="89" applyFont="1" applyAlignment="1"/>
    <xf numFmtId="0" fontId="33" fillId="0" borderId="0" xfId="89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89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/>
    <xf numFmtId="166" fontId="36" fillId="0" borderId="0" xfId="91" applyNumberFormat="1" applyFont="1"/>
    <xf numFmtId="0" fontId="36" fillId="0" borderId="0" xfId="0" applyFont="1"/>
    <xf numFmtId="14" fontId="35" fillId="0" borderId="0" xfId="0" applyNumberFormat="1" applyFont="1" applyAlignment="1">
      <alignment horizontal="left"/>
    </xf>
    <xf numFmtId="0" fontId="37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 wrapText="1"/>
    </xf>
  </cellXfs>
  <cellStyles count="94"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Comma 2" xfId="55"/>
    <cellStyle name="Comma 2 2" xfId="90"/>
    <cellStyle name="Currency" xfId="91" builtinId="4"/>
    <cellStyle name="Explanatory Text 2" xfId="56"/>
    <cellStyle name="Explanatory Text 3" xfId="57"/>
    <cellStyle name="Good 2" xfId="58"/>
    <cellStyle name="Good 3" xfId="59"/>
    <cellStyle name="Heading 1 2" xfId="60"/>
    <cellStyle name="Heading 1 3" xfId="61"/>
    <cellStyle name="Heading 2 2" xfId="62"/>
    <cellStyle name="Heading 2 3" xfId="63"/>
    <cellStyle name="Heading 3 2" xfId="64"/>
    <cellStyle name="Heading 3 3" xfId="65"/>
    <cellStyle name="Heading 4 2" xfId="66"/>
    <cellStyle name="Heading 4 3" xfId="67"/>
    <cellStyle name="Hyperlink" xfId="93" builtinId="8"/>
    <cellStyle name="Input 2" xfId="68"/>
    <cellStyle name="Input 3" xfId="69"/>
    <cellStyle name="Linked Cell 2" xfId="70"/>
    <cellStyle name="Linked Cell 3" xfId="71"/>
    <cellStyle name="Neutral 2" xfId="72"/>
    <cellStyle name="Neutral 3" xfId="73"/>
    <cellStyle name="Normal" xfId="0" builtinId="0"/>
    <cellStyle name="Normal 2" xfId="89"/>
    <cellStyle name="Normal 2 2" xfId="74"/>
    <cellStyle name="Normal 2 3" xfId="75"/>
    <cellStyle name="Normal 3" xfId="76"/>
    <cellStyle name="Normal 4" xfId="88"/>
    <cellStyle name="Normal 6" xfId="77"/>
    <cellStyle name="Note 2" xfId="78"/>
    <cellStyle name="Note 3" xfId="79"/>
    <cellStyle name="Output 2" xfId="80"/>
    <cellStyle name="Output 3" xfId="81"/>
    <cellStyle name="Percent" xfId="92" builtinId="5"/>
    <cellStyle name="Title 2" xfId="82"/>
    <cellStyle name="Title 3" xfId="83"/>
    <cellStyle name="Total 2" xfId="84"/>
    <cellStyle name="Total 3" xfId="85"/>
    <cellStyle name="Warning Text 2" xfId="86"/>
    <cellStyle name="Warning Text 3" xfId="87"/>
  </cellStyles>
  <dxfs count="0"/>
  <tableStyles count="0" defaultTableStyle="TableStyleMedium9" defaultPivotStyle="PivotStyleLight16"/>
  <colors>
    <mruColors>
      <color rgb="FFFFFFFF"/>
      <color rgb="FF6DD9FF"/>
      <color rgb="FF2DC8FF"/>
      <color rgb="FF48B8E0"/>
      <color rgb="FFD4F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B6F-46D7-B5D3-76438215FD91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856328"/>
        <c:axId val="332199920"/>
      </c:barChart>
      <c:catAx>
        <c:axId val="25285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332199920"/>
        <c:crosses val="autoZero"/>
        <c:auto val="1"/>
        <c:lblAlgn val="ctr"/>
        <c:lblOffset val="100"/>
        <c:noMultiLvlLbl val="0"/>
      </c:catAx>
      <c:valAx>
        <c:axId val="3321999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2528563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1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abSelected="1" view="pageBreakPreview" zoomScaleSheetLayoutView="100" workbookViewId="0">
      <pane ySplit="5" topLeftCell="A6" activePane="bottomLeft" state="frozen"/>
      <selection pane="bottomLeft"/>
    </sheetView>
  </sheetViews>
  <sheetFormatPr defaultRowHeight="15.5" x14ac:dyDescent="0.35"/>
  <cols>
    <col min="1" max="1" width="4.4609375" customWidth="1"/>
    <col min="2" max="2" width="10.07421875" customWidth="1"/>
    <col min="3" max="3" width="38" customWidth="1"/>
    <col min="4" max="4" width="8.07421875" customWidth="1"/>
    <col min="5" max="5" width="8.53515625" customWidth="1"/>
    <col min="6" max="6" width="9.3046875" customWidth="1"/>
    <col min="7" max="7" width="10.765625" customWidth="1"/>
    <col min="8" max="8" width="9.23046875" style="30" bestFit="1" customWidth="1"/>
    <col min="9" max="9" width="10.53515625" customWidth="1"/>
    <col min="10" max="10" width="11" customWidth="1"/>
  </cols>
  <sheetData>
    <row r="1" spans="1:11" ht="18.5" x14ac:dyDescent="0.45">
      <c r="A1" s="67"/>
      <c r="B1" s="55"/>
      <c r="C1" s="56"/>
      <c r="D1" s="57"/>
      <c r="E1" s="58"/>
      <c r="F1" s="62" t="s">
        <v>13</v>
      </c>
      <c r="G1" s="63"/>
      <c r="H1" s="64"/>
      <c r="I1" s="65"/>
      <c r="J1" s="65"/>
    </row>
    <row r="2" spans="1:11" ht="18" x14ac:dyDescent="0.4">
      <c r="A2" s="54"/>
      <c r="B2" s="55"/>
      <c r="C2" s="56"/>
      <c r="D2" s="59"/>
      <c r="E2" s="60"/>
      <c r="F2" s="68" t="s">
        <v>14</v>
      </c>
      <c r="G2" s="69"/>
      <c r="H2" s="69"/>
      <c r="I2" s="69"/>
      <c r="J2" s="69"/>
    </row>
    <row r="3" spans="1:11" ht="18" x14ac:dyDescent="0.4">
      <c r="A3" s="54"/>
      <c r="B3" s="55"/>
      <c r="C3" s="56"/>
      <c r="D3" s="59"/>
      <c r="E3" s="61"/>
      <c r="F3" s="68"/>
      <c r="G3" s="69"/>
      <c r="H3" s="69"/>
      <c r="I3" s="69"/>
      <c r="J3" s="69"/>
      <c r="K3" s="8"/>
    </row>
    <row r="4" spans="1:11" ht="18.5" x14ac:dyDescent="0.45">
      <c r="E4" s="26"/>
      <c r="F4" s="62" t="s">
        <v>15</v>
      </c>
      <c r="G4" s="66"/>
      <c r="H4" s="64"/>
      <c r="I4" s="65"/>
      <c r="J4" s="65"/>
    </row>
    <row r="5" spans="1:11" ht="58.9" customHeight="1" x14ac:dyDescent="0.35">
      <c r="A5" s="20" t="s">
        <v>3</v>
      </c>
      <c r="B5" s="23" t="s">
        <v>12</v>
      </c>
      <c r="C5" s="18" t="s">
        <v>0</v>
      </c>
      <c r="D5" s="18" t="s">
        <v>4</v>
      </c>
      <c r="E5" s="19" t="s">
        <v>5</v>
      </c>
      <c r="F5" s="19" t="s">
        <v>6</v>
      </c>
      <c r="G5" s="19" t="s">
        <v>7</v>
      </c>
      <c r="H5" s="40" t="s">
        <v>1</v>
      </c>
      <c r="I5" s="24" t="s">
        <v>8</v>
      </c>
      <c r="J5" s="22" t="s">
        <v>9</v>
      </c>
      <c r="K5" s="5"/>
    </row>
    <row r="6" spans="1:11" x14ac:dyDescent="0.35">
      <c r="A6" s="21"/>
      <c r="B6" s="31"/>
      <c r="C6" s="32"/>
      <c r="D6" s="33"/>
      <c r="E6" s="34"/>
      <c r="F6" s="35"/>
      <c r="G6" s="27"/>
      <c r="H6" s="36"/>
      <c r="I6" s="37"/>
      <c r="J6" s="38"/>
    </row>
    <row r="7" spans="1:11" ht="15" customHeight="1" x14ac:dyDescent="0.35">
      <c r="A7" s="41"/>
      <c r="B7" s="42"/>
      <c r="C7" s="43" t="s">
        <v>42</v>
      </c>
      <c r="D7" s="44"/>
      <c r="E7" s="45"/>
      <c r="F7" s="46"/>
      <c r="G7" s="47"/>
      <c r="H7" s="48"/>
      <c r="I7" s="49"/>
      <c r="J7" s="50"/>
      <c r="K7" s="53"/>
    </row>
    <row r="8" spans="1:11" x14ac:dyDescent="0.35">
      <c r="A8" s="21"/>
      <c r="B8" s="31"/>
      <c r="C8" s="25"/>
      <c r="D8" s="25"/>
      <c r="E8" s="34"/>
      <c r="F8" s="25"/>
      <c r="G8" s="27"/>
      <c r="H8" s="36"/>
      <c r="I8" s="37"/>
      <c r="J8" s="38"/>
    </row>
    <row r="9" spans="1:11" x14ac:dyDescent="0.35">
      <c r="A9" s="21">
        <f>IF(F9&lt;&gt;"",1+MAX($A$6:A8),"")</f>
        <v>1</v>
      </c>
      <c r="B9" s="31"/>
      <c r="C9" s="25" t="s">
        <v>43</v>
      </c>
      <c r="D9" s="25">
        <v>16</v>
      </c>
      <c r="E9" s="34">
        <v>0.1</v>
      </c>
      <c r="F9" s="52">
        <f t="shared" ref="F9:F15" si="0">D9*(1+E9)</f>
        <v>17.600000000000001</v>
      </c>
      <c r="G9" s="27" t="s">
        <v>17</v>
      </c>
      <c r="H9" s="36">
        <v>0</v>
      </c>
      <c r="I9" s="37">
        <f>H9*F9</f>
        <v>0</v>
      </c>
      <c r="J9" s="38"/>
    </row>
    <row r="10" spans="1:11" x14ac:dyDescent="0.35">
      <c r="A10" s="21">
        <f>IF(F10&lt;&gt;"",1+MAX($A$6:A9),"")</f>
        <v>2</v>
      </c>
      <c r="B10" s="31"/>
      <c r="C10" s="25" t="s">
        <v>44</v>
      </c>
      <c r="D10" s="25">
        <v>174</v>
      </c>
      <c r="E10" s="34">
        <v>0.1</v>
      </c>
      <c r="F10" s="52">
        <f t="shared" si="0"/>
        <v>191.4</v>
      </c>
      <c r="G10" s="27" t="s">
        <v>16</v>
      </c>
      <c r="H10" s="36">
        <v>0</v>
      </c>
      <c r="I10" s="37">
        <f t="shared" ref="I10:I15" si="1">H10*F10</f>
        <v>0</v>
      </c>
      <c r="J10" s="38"/>
    </row>
    <row r="11" spans="1:11" x14ac:dyDescent="0.35">
      <c r="A11" s="21">
        <f>IF(F11&lt;&gt;"",1+MAX($A$6:A10),"")</f>
        <v>3</v>
      </c>
      <c r="B11" s="31"/>
      <c r="C11" s="25" t="s">
        <v>45</v>
      </c>
      <c r="D11" s="25">
        <v>12</v>
      </c>
      <c r="E11" s="34">
        <v>0.1</v>
      </c>
      <c r="F11" s="52">
        <f t="shared" si="0"/>
        <v>13.200000000000001</v>
      </c>
      <c r="G11" s="27" t="s">
        <v>17</v>
      </c>
      <c r="H11" s="36">
        <v>0</v>
      </c>
      <c r="I11" s="37">
        <f t="shared" si="1"/>
        <v>0</v>
      </c>
      <c r="J11" s="38"/>
    </row>
    <row r="12" spans="1:11" x14ac:dyDescent="0.35">
      <c r="A12" s="21">
        <f>IF(F12&lt;&gt;"",1+MAX($A$6:A11),"")</f>
        <v>4</v>
      </c>
      <c r="B12" s="31"/>
      <c r="C12" s="25" t="s">
        <v>46</v>
      </c>
      <c r="D12" s="25">
        <v>1</v>
      </c>
      <c r="E12" s="34">
        <v>0</v>
      </c>
      <c r="F12" s="52">
        <f t="shared" si="0"/>
        <v>1</v>
      </c>
      <c r="G12" s="27" t="s">
        <v>18</v>
      </c>
      <c r="H12" s="36">
        <v>0</v>
      </c>
      <c r="I12" s="37">
        <f t="shared" si="1"/>
        <v>0</v>
      </c>
      <c r="J12" s="38"/>
    </row>
    <row r="13" spans="1:11" x14ac:dyDescent="0.35">
      <c r="A13" s="21">
        <f>IF(F13&lt;&gt;"",1+MAX($A$6:A12),"")</f>
        <v>5</v>
      </c>
      <c r="B13" s="31"/>
      <c r="C13" s="25" t="s">
        <v>47</v>
      </c>
      <c r="D13" s="25">
        <v>3</v>
      </c>
      <c r="E13" s="34">
        <v>0</v>
      </c>
      <c r="F13" s="52">
        <f t="shared" si="0"/>
        <v>3</v>
      </c>
      <c r="G13" s="27" t="s">
        <v>18</v>
      </c>
      <c r="H13" s="36">
        <v>0</v>
      </c>
      <c r="I13" s="37">
        <f t="shared" si="1"/>
        <v>0</v>
      </c>
      <c r="J13" s="38"/>
    </row>
    <row r="14" spans="1:11" x14ac:dyDescent="0.35">
      <c r="A14" s="21">
        <f>IF(F14&lt;&gt;"",1+MAX($A$6:A13),"")</f>
        <v>6</v>
      </c>
      <c r="B14" s="31"/>
      <c r="C14" s="25" t="s">
        <v>48</v>
      </c>
      <c r="D14" s="25">
        <v>2</v>
      </c>
      <c r="E14" s="34">
        <v>0</v>
      </c>
      <c r="F14" s="52">
        <f t="shared" si="0"/>
        <v>2</v>
      </c>
      <c r="G14" s="27" t="s">
        <v>18</v>
      </c>
      <c r="H14" s="36">
        <v>0</v>
      </c>
      <c r="I14" s="37">
        <f t="shared" si="1"/>
        <v>0</v>
      </c>
      <c r="J14" s="38"/>
    </row>
    <row r="15" spans="1:11" x14ac:dyDescent="0.35">
      <c r="A15" s="21">
        <f>IF(F15&lt;&gt;"",1+MAX($A$6:A14),"")</f>
        <v>7</v>
      </c>
      <c r="B15" s="31"/>
      <c r="C15" s="25" t="s">
        <v>49</v>
      </c>
      <c r="D15" s="25">
        <v>2</v>
      </c>
      <c r="E15" s="34">
        <v>0</v>
      </c>
      <c r="F15" s="52">
        <f t="shared" si="0"/>
        <v>2</v>
      </c>
      <c r="G15" s="27" t="s">
        <v>18</v>
      </c>
      <c r="H15" s="36">
        <v>0</v>
      </c>
      <c r="I15" s="37">
        <f t="shared" si="1"/>
        <v>0</v>
      </c>
      <c r="J15" s="38"/>
    </row>
    <row r="16" spans="1:11" x14ac:dyDescent="0.35">
      <c r="A16" s="21"/>
      <c r="B16" s="31"/>
      <c r="C16" s="25"/>
      <c r="D16" s="25"/>
      <c r="E16" s="34"/>
      <c r="F16" s="25"/>
      <c r="G16" s="27"/>
      <c r="H16" s="36"/>
      <c r="I16" s="37"/>
      <c r="J16" s="38"/>
    </row>
    <row r="17" spans="1:11" ht="15" customHeight="1" x14ac:dyDescent="0.35">
      <c r="A17" s="41"/>
      <c r="B17" s="42"/>
      <c r="C17" s="43" t="s">
        <v>19</v>
      </c>
      <c r="D17" s="44"/>
      <c r="E17" s="45"/>
      <c r="F17" s="46"/>
      <c r="G17" s="47"/>
      <c r="H17" s="48"/>
      <c r="I17" s="49"/>
      <c r="J17" s="50"/>
      <c r="K17" s="5"/>
    </row>
    <row r="18" spans="1:11" x14ac:dyDescent="0.35">
      <c r="A18" s="21"/>
      <c r="B18" s="31"/>
      <c r="C18" s="25"/>
      <c r="D18" s="25"/>
      <c r="E18" s="34"/>
      <c r="F18" s="25"/>
      <c r="G18" s="27"/>
      <c r="H18" s="36"/>
      <c r="I18" s="37"/>
      <c r="J18" s="38"/>
    </row>
    <row r="19" spans="1:11" x14ac:dyDescent="0.35">
      <c r="A19" s="21">
        <f>IF(F19&lt;&gt;"",1+MAX($A$6:A18),"")</f>
        <v>8</v>
      </c>
      <c r="B19" s="31"/>
      <c r="C19" s="25" t="s">
        <v>20</v>
      </c>
      <c r="D19" s="25">
        <v>312</v>
      </c>
      <c r="E19" s="34">
        <v>0.1</v>
      </c>
      <c r="F19" s="52">
        <f t="shared" ref="F19:F20" si="2">D19*(1+E19)</f>
        <v>343.20000000000005</v>
      </c>
      <c r="G19" s="27" t="s">
        <v>17</v>
      </c>
      <c r="H19" s="36">
        <v>0</v>
      </c>
      <c r="I19" s="37">
        <f>H19*F19</f>
        <v>0</v>
      </c>
      <c r="J19" s="38"/>
    </row>
    <row r="20" spans="1:11" x14ac:dyDescent="0.35">
      <c r="A20" s="21">
        <f>IF(F20&lt;&gt;"",1+MAX($A$6:A19),"")</f>
        <v>9</v>
      </c>
      <c r="B20" s="31"/>
      <c r="C20" s="25" t="s">
        <v>21</v>
      </c>
      <c r="D20" s="25">
        <v>19</v>
      </c>
      <c r="E20" s="34">
        <v>0.1</v>
      </c>
      <c r="F20" s="52">
        <f t="shared" si="2"/>
        <v>20.900000000000002</v>
      </c>
      <c r="G20" s="27" t="s">
        <v>18</v>
      </c>
      <c r="H20" s="36">
        <v>0</v>
      </c>
      <c r="I20" s="37">
        <f>H20*F20</f>
        <v>0</v>
      </c>
      <c r="J20" s="38"/>
    </row>
    <row r="21" spans="1:11" x14ac:dyDescent="0.35">
      <c r="A21" s="21"/>
      <c r="B21" s="31"/>
      <c r="C21" s="25"/>
      <c r="D21" s="25"/>
      <c r="E21" s="34"/>
      <c r="F21" s="25"/>
      <c r="G21" s="27"/>
      <c r="H21" s="36"/>
      <c r="I21" s="37"/>
      <c r="J21" s="38"/>
    </row>
    <row r="22" spans="1:11" ht="15" customHeight="1" x14ac:dyDescent="0.35">
      <c r="A22" s="41"/>
      <c r="B22" s="42"/>
      <c r="C22" s="43" t="s">
        <v>22</v>
      </c>
      <c r="D22" s="44"/>
      <c r="E22" s="45"/>
      <c r="F22" s="46"/>
      <c r="G22" s="47"/>
      <c r="H22" s="48"/>
      <c r="I22" s="49"/>
      <c r="J22" s="50"/>
      <c r="K22" s="5"/>
    </row>
    <row r="23" spans="1:11" x14ac:dyDescent="0.35">
      <c r="A23" s="21"/>
      <c r="B23" s="31"/>
      <c r="C23" s="25"/>
      <c r="D23" s="25"/>
      <c r="E23" s="34"/>
      <c r="F23" s="25"/>
      <c r="G23" s="27"/>
      <c r="H23" s="36"/>
      <c r="I23" s="37"/>
      <c r="J23" s="38"/>
    </row>
    <row r="24" spans="1:11" x14ac:dyDescent="0.35">
      <c r="A24" s="21">
        <f>IF(F24&lt;&gt;"",1+MAX($A$6:A23),"")</f>
        <v>10</v>
      </c>
      <c r="B24" s="31"/>
      <c r="C24" s="25" t="s">
        <v>23</v>
      </c>
      <c r="D24" s="25">
        <v>342</v>
      </c>
      <c r="E24" s="34">
        <v>0.1</v>
      </c>
      <c r="F24" s="52">
        <f t="shared" ref="F24:F30" si="3">D24*(1+E24)</f>
        <v>376.20000000000005</v>
      </c>
      <c r="G24" s="27" t="s">
        <v>17</v>
      </c>
      <c r="H24" s="36">
        <v>0</v>
      </c>
      <c r="I24" s="37">
        <f>H24*F24</f>
        <v>0</v>
      </c>
      <c r="J24" s="38"/>
    </row>
    <row r="25" spans="1:11" x14ac:dyDescent="0.35">
      <c r="A25" s="21">
        <f>IF(F25&lt;&gt;"",1+MAX($A$6:A24),"")</f>
        <v>11</v>
      </c>
      <c r="B25" s="31"/>
      <c r="C25" s="25" t="s">
        <v>24</v>
      </c>
      <c r="D25" s="25">
        <v>31</v>
      </c>
      <c r="E25" s="34">
        <v>0.1</v>
      </c>
      <c r="F25" s="52">
        <f t="shared" si="3"/>
        <v>34.1</v>
      </c>
      <c r="G25" s="27" t="s">
        <v>17</v>
      </c>
      <c r="H25" s="36">
        <v>0</v>
      </c>
      <c r="I25" s="37">
        <f t="shared" ref="I25:I26" si="4">H25*F25</f>
        <v>0</v>
      </c>
      <c r="J25" s="38"/>
    </row>
    <row r="26" spans="1:11" x14ac:dyDescent="0.35">
      <c r="A26" s="21">
        <f>IF(F26&lt;&gt;"",1+MAX($A$6:A25),"")</f>
        <v>12</v>
      </c>
      <c r="B26" s="31"/>
      <c r="C26" s="25" t="s">
        <v>25</v>
      </c>
      <c r="D26" s="25">
        <v>17</v>
      </c>
      <c r="E26" s="34">
        <v>0.1</v>
      </c>
      <c r="F26" s="52">
        <f t="shared" si="3"/>
        <v>18.700000000000003</v>
      </c>
      <c r="G26" s="27" t="s">
        <v>17</v>
      </c>
      <c r="H26" s="36">
        <v>0</v>
      </c>
      <c r="I26" s="37">
        <f t="shared" si="4"/>
        <v>0</v>
      </c>
      <c r="J26" s="38"/>
    </row>
    <row r="27" spans="1:11" x14ac:dyDescent="0.35">
      <c r="A27" s="21">
        <f>IF(F27&lt;&gt;"",1+MAX($A$6:A26),"")</f>
        <v>13</v>
      </c>
      <c r="B27" s="31"/>
      <c r="C27" s="25" t="s">
        <v>26</v>
      </c>
      <c r="D27" s="25">
        <v>42</v>
      </c>
      <c r="E27" s="34">
        <v>0.1</v>
      </c>
      <c r="F27" s="52">
        <f t="shared" si="3"/>
        <v>46.2</v>
      </c>
      <c r="G27" s="27" t="s">
        <v>17</v>
      </c>
      <c r="H27" s="36"/>
      <c r="I27" s="37"/>
      <c r="J27" s="38"/>
    </row>
    <row r="28" spans="1:11" x14ac:dyDescent="0.35">
      <c r="A28" s="21">
        <f>IF(F28&lt;&gt;"",1+MAX($A$6:A27),"")</f>
        <v>14</v>
      </c>
      <c r="B28" s="31"/>
      <c r="C28" s="25" t="s">
        <v>27</v>
      </c>
      <c r="D28" s="25">
        <v>2</v>
      </c>
      <c r="E28" s="34">
        <v>0</v>
      </c>
      <c r="F28" s="52">
        <f t="shared" si="3"/>
        <v>2</v>
      </c>
      <c r="G28" s="27" t="s">
        <v>18</v>
      </c>
      <c r="H28" s="36">
        <v>0</v>
      </c>
      <c r="I28" s="37">
        <f>H28*F28</f>
        <v>0</v>
      </c>
      <c r="J28" s="38"/>
    </row>
    <row r="29" spans="1:11" x14ac:dyDescent="0.35">
      <c r="A29" s="21">
        <f>IF(F29&lt;&gt;"",1+MAX($A$6:A28),"")</f>
        <v>15</v>
      </c>
      <c r="B29" s="31"/>
      <c r="C29" s="25" t="s">
        <v>28</v>
      </c>
      <c r="D29" s="25">
        <v>16</v>
      </c>
      <c r="E29" s="34">
        <v>0</v>
      </c>
      <c r="F29" s="52">
        <f t="shared" si="3"/>
        <v>16</v>
      </c>
      <c r="G29" s="27" t="s">
        <v>18</v>
      </c>
      <c r="H29" s="36">
        <v>0</v>
      </c>
      <c r="I29" s="37">
        <f t="shared" ref="I29:I30" si="5">H29*F29</f>
        <v>0</v>
      </c>
      <c r="J29" s="38"/>
    </row>
    <row r="30" spans="1:11" x14ac:dyDescent="0.35">
      <c r="A30" s="21">
        <f>IF(F30&lt;&gt;"",1+MAX($A$6:A29),"")</f>
        <v>16</v>
      </c>
      <c r="B30" s="31"/>
      <c r="C30" s="25" t="s">
        <v>41</v>
      </c>
      <c r="D30" s="25">
        <v>8</v>
      </c>
      <c r="E30" s="34">
        <v>0</v>
      </c>
      <c r="F30" s="52">
        <f t="shared" si="3"/>
        <v>8</v>
      </c>
      <c r="G30" s="27" t="s">
        <v>18</v>
      </c>
      <c r="H30" s="36">
        <v>0</v>
      </c>
      <c r="I30" s="37">
        <f t="shared" si="5"/>
        <v>0</v>
      </c>
      <c r="J30" s="38"/>
    </row>
    <row r="31" spans="1:11" x14ac:dyDescent="0.35">
      <c r="A31" s="21"/>
      <c r="B31" s="31"/>
      <c r="C31" s="25"/>
      <c r="D31" s="25"/>
      <c r="E31" s="34"/>
      <c r="F31" s="25"/>
      <c r="G31" s="27"/>
      <c r="H31" s="36"/>
      <c r="I31" s="37"/>
      <c r="J31" s="38"/>
    </row>
    <row r="32" spans="1:11" ht="15" customHeight="1" x14ac:dyDescent="0.35">
      <c r="A32" s="41"/>
      <c r="B32" s="42"/>
      <c r="C32" s="43" t="s">
        <v>29</v>
      </c>
      <c r="D32" s="44"/>
      <c r="E32" s="45"/>
      <c r="F32" s="46"/>
      <c r="G32" s="47"/>
      <c r="H32" s="48"/>
      <c r="I32" s="49"/>
      <c r="J32" s="50"/>
      <c r="K32" s="5"/>
    </row>
    <row r="33" spans="1:11" x14ac:dyDescent="0.35">
      <c r="A33" s="21"/>
      <c r="B33" s="31"/>
      <c r="C33" s="25"/>
      <c r="D33" s="25"/>
      <c r="E33" s="34"/>
      <c r="F33" s="25"/>
      <c r="G33" s="27"/>
      <c r="H33" s="36"/>
      <c r="I33" s="37"/>
      <c r="J33" s="38"/>
    </row>
    <row r="34" spans="1:11" ht="29" x14ac:dyDescent="0.35">
      <c r="A34" s="21">
        <f>IF(F34&lt;&gt;"",1+MAX($A$6:A33),"")</f>
        <v>17</v>
      </c>
      <c r="B34" s="31"/>
      <c r="C34" s="51" t="s">
        <v>30</v>
      </c>
      <c r="D34" s="25">
        <v>267</v>
      </c>
      <c r="E34" s="34">
        <v>0.1</v>
      </c>
      <c r="F34" s="52">
        <f t="shared" ref="F34:F44" si="6">D34*(1+E34)</f>
        <v>293.70000000000005</v>
      </c>
      <c r="G34" s="27" t="s">
        <v>17</v>
      </c>
      <c r="H34" s="36">
        <v>0</v>
      </c>
      <c r="I34" s="37">
        <f t="shared" ref="I34:I39" si="7">H34*F34</f>
        <v>0</v>
      </c>
      <c r="J34" s="38"/>
    </row>
    <row r="35" spans="1:11" ht="29" x14ac:dyDescent="0.35">
      <c r="A35" s="21">
        <f>IF(F35&lt;&gt;"",1+MAX($A$6:A34),"")</f>
        <v>18</v>
      </c>
      <c r="B35" s="31"/>
      <c r="C35" s="51" t="s">
        <v>31</v>
      </c>
      <c r="D35" s="25">
        <v>183</v>
      </c>
      <c r="E35" s="34">
        <v>0.1</v>
      </c>
      <c r="F35" s="52">
        <f t="shared" si="6"/>
        <v>201.3</v>
      </c>
      <c r="G35" s="27" t="s">
        <v>17</v>
      </c>
      <c r="H35" s="36">
        <v>0</v>
      </c>
      <c r="I35" s="37">
        <f t="shared" si="7"/>
        <v>0</v>
      </c>
      <c r="J35" s="38"/>
    </row>
    <row r="36" spans="1:11" x14ac:dyDescent="0.35">
      <c r="A36" s="21">
        <f>IF(F36&lt;&gt;"",1+MAX($A$6:A35),"")</f>
        <v>19</v>
      </c>
      <c r="B36" s="31"/>
      <c r="C36" s="25" t="s">
        <v>32</v>
      </c>
      <c r="D36" s="25">
        <v>98</v>
      </c>
      <c r="E36" s="34">
        <v>0.1</v>
      </c>
      <c r="F36" s="52">
        <f t="shared" si="6"/>
        <v>107.80000000000001</v>
      </c>
      <c r="G36" s="27" t="s">
        <v>16</v>
      </c>
      <c r="H36" s="36"/>
      <c r="I36" s="37">
        <f t="shared" si="7"/>
        <v>0</v>
      </c>
      <c r="J36" s="38"/>
    </row>
    <row r="37" spans="1:11" x14ac:dyDescent="0.35">
      <c r="A37" s="21">
        <f>IF(F37&lt;&gt;"",1+MAX($A$6:A36),"")</f>
        <v>20</v>
      </c>
      <c r="B37" s="31"/>
      <c r="C37" s="25" t="s">
        <v>33</v>
      </c>
      <c r="D37" s="25">
        <v>1201</v>
      </c>
      <c r="E37" s="34">
        <v>0.1</v>
      </c>
      <c r="F37" s="52">
        <f t="shared" si="6"/>
        <v>1321.1000000000001</v>
      </c>
      <c r="G37" s="27" t="s">
        <v>16</v>
      </c>
      <c r="H37" s="36"/>
      <c r="I37" s="37">
        <f t="shared" si="7"/>
        <v>0</v>
      </c>
      <c r="J37" s="38"/>
    </row>
    <row r="38" spans="1:11" x14ac:dyDescent="0.35">
      <c r="A38" s="21">
        <f>IF(F38&lt;&gt;"",1+MAX($A$6:A37),"")</f>
        <v>21</v>
      </c>
      <c r="B38" s="31"/>
      <c r="C38" s="25" t="s">
        <v>34</v>
      </c>
      <c r="D38" s="25">
        <v>149</v>
      </c>
      <c r="E38" s="34">
        <v>0.1</v>
      </c>
      <c r="F38" s="52">
        <f t="shared" si="6"/>
        <v>163.9</v>
      </c>
      <c r="G38" s="27" t="s">
        <v>16</v>
      </c>
      <c r="H38" s="36"/>
      <c r="I38" s="37">
        <f t="shared" si="7"/>
        <v>0</v>
      </c>
      <c r="J38" s="38"/>
    </row>
    <row r="39" spans="1:11" x14ac:dyDescent="0.35">
      <c r="A39" s="21">
        <f>IF(F39&lt;&gt;"",1+MAX($A$6:A38),"")</f>
        <v>22</v>
      </c>
      <c r="B39" s="31"/>
      <c r="C39" s="25" t="s">
        <v>35</v>
      </c>
      <c r="D39" s="25">
        <v>2</v>
      </c>
      <c r="E39" s="34">
        <v>0</v>
      </c>
      <c r="F39" s="52">
        <f t="shared" si="6"/>
        <v>2</v>
      </c>
      <c r="G39" s="27" t="s">
        <v>18</v>
      </c>
      <c r="H39" s="36">
        <v>0</v>
      </c>
      <c r="I39" s="37">
        <f t="shared" si="7"/>
        <v>0</v>
      </c>
      <c r="J39" s="38"/>
    </row>
    <row r="40" spans="1:11" x14ac:dyDescent="0.35">
      <c r="A40" s="21">
        <f>IF(F40&lt;&gt;"",1+MAX($A$6:A39),"")</f>
        <v>23</v>
      </c>
      <c r="B40" s="31"/>
      <c r="C40" s="25" t="s">
        <v>36</v>
      </c>
      <c r="D40" s="25">
        <v>2</v>
      </c>
      <c r="E40" s="34">
        <v>0</v>
      </c>
      <c r="F40" s="52">
        <f t="shared" si="6"/>
        <v>2</v>
      </c>
      <c r="G40" s="27" t="s">
        <v>18</v>
      </c>
      <c r="H40" s="36">
        <v>0</v>
      </c>
      <c r="I40" s="37">
        <f t="shared" ref="I40:I44" si="8">H40*F40</f>
        <v>0</v>
      </c>
      <c r="J40" s="38"/>
    </row>
    <row r="41" spans="1:11" ht="29" x14ac:dyDescent="0.35">
      <c r="A41" s="21">
        <f>IF(F41&lt;&gt;"",1+MAX($A$6:A40),"")</f>
        <v>24</v>
      </c>
      <c r="B41" s="31"/>
      <c r="C41" s="51" t="s">
        <v>37</v>
      </c>
      <c r="D41" s="25">
        <v>15</v>
      </c>
      <c r="E41" s="34">
        <v>0</v>
      </c>
      <c r="F41" s="52">
        <f t="shared" si="6"/>
        <v>15</v>
      </c>
      <c r="G41" s="27" t="s">
        <v>18</v>
      </c>
      <c r="H41" s="36">
        <v>0</v>
      </c>
      <c r="I41" s="37">
        <f t="shared" si="8"/>
        <v>0</v>
      </c>
      <c r="J41" s="38"/>
    </row>
    <row r="42" spans="1:11" x14ac:dyDescent="0.35">
      <c r="A42" s="21">
        <f>IF(F42&lt;&gt;"",1+MAX($A$6:A41),"")</f>
        <v>25</v>
      </c>
      <c r="B42" s="31"/>
      <c r="C42" s="25" t="s">
        <v>38</v>
      </c>
      <c r="D42" s="25">
        <v>2</v>
      </c>
      <c r="E42" s="34">
        <v>0</v>
      </c>
      <c r="F42" s="52">
        <f t="shared" si="6"/>
        <v>2</v>
      </c>
      <c r="G42" s="27" t="s">
        <v>18</v>
      </c>
      <c r="H42" s="36">
        <v>0</v>
      </c>
      <c r="I42" s="37">
        <f t="shared" si="8"/>
        <v>0</v>
      </c>
      <c r="J42" s="38"/>
    </row>
    <row r="43" spans="1:11" x14ac:dyDescent="0.35">
      <c r="A43" s="21">
        <f>IF(F43&lt;&gt;"",1+MAX($A$6:A42),"")</f>
        <v>26</v>
      </c>
      <c r="B43" s="31"/>
      <c r="C43" s="25" t="s">
        <v>39</v>
      </c>
      <c r="D43" s="25">
        <v>4</v>
      </c>
      <c r="E43" s="34">
        <v>0</v>
      </c>
      <c r="F43" s="52">
        <f t="shared" si="6"/>
        <v>4</v>
      </c>
      <c r="G43" s="27" t="s">
        <v>18</v>
      </c>
      <c r="H43" s="36">
        <v>0</v>
      </c>
      <c r="I43" s="37">
        <f t="shared" si="8"/>
        <v>0</v>
      </c>
      <c r="J43" s="38"/>
    </row>
    <row r="44" spans="1:11" x14ac:dyDescent="0.35">
      <c r="A44" s="21">
        <f>IF(F44&lt;&gt;"",1+MAX($A$6:A43),"")</f>
        <v>27</v>
      </c>
      <c r="B44" s="31"/>
      <c r="C44" s="25" t="s">
        <v>40</v>
      </c>
      <c r="D44" s="25">
        <v>2</v>
      </c>
      <c r="E44" s="34">
        <v>0</v>
      </c>
      <c r="F44" s="52">
        <f t="shared" si="6"/>
        <v>2</v>
      </c>
      <c r="G44" s="27" t="s">
        <v>18</v>
      </c>
      <c r="H44" s="36">
        <v>0</v>
      </c>
      <c r="I44" s="37">
        <f t="shared" si="8"/>
        <v>0</v>
      </c>
      <c r="J44" s="38"/>
    </row>
    <row r="45" spans="1:11" x14ac:dyDescent="0.35">
      <c r="A45" s="21"/>
      <c r="B45" s="31"/>
      <c r="C45" s="25"/>
      <c r="D45" s="25"/>
      <c r="E45" s="34"/>
      <c r="F45" s="25"/>
      <c r="G45" s="27"/>
      <c r="H45" s="36"/>
      <c r="I45" s="37"/>
      <c r="J45" s="38"/>
    </row>
    <row r="46" spans="1:11" ht="15" customHeight="1" x14ac:dyDescent="0.35">
      <c r="A46" s="41"/>
      <c r="B46" s="42"/>
      <c r="C46" s="43" t="s">
        <v>50</v>
      </c>
      <c r="D46" s="44"/>
      <c r="E46" s="45"/>
      <c r="F46" s="46"/>
      <c r="G46" s="47"/>
      <c r="H46" s="48"/>
      <c r="I46" s="49"/>
      <c r="J46" s="50"/>
      <c r="K46" s="5"/>
    </row>
    <row r="47" spans="1:11" x14ac:dyDescent="0.35">
      <c r="A47" s="21"/>
      <c r="B47" s="31"/>
      <c r="C47" s="25"/>
      <c r="D47" s="25"/>
      <c r="E47" s="34"/>
      <c r="F47" s="25"/>
      <c r="G47" s="27"/>
      <c r="H47" s="36"/>
      <c r="I47" s="37"/>
      <c r="J47" s="38"/>
    </row>
    <row r="48" spans="1:11" x14ac:dyDescent="0.35">
      <c r="A48" s="21">
        <f>IF(F48&lt;&gt;"",1+MAX($A$6:A47),"")</f>
        <v>28</v>
      </c>
      <c r="B48" s="31"/>
      <c r="C48" s="25" t="s">
        <v>51</v>
      </c>
      <c r="D48" s="25">
        <v>3</v>
      </c>
      <c r="E48" s="34">
        <v>0</v>
      </c>
      <c r="F48" s="52">
        <f t="shared" ref="F48:F55" si="9">D48*(1+E48)</f>
        <v>3</v>
      </c>
      <c r="G48" s="27" t="s">
        <v>18</v>
      </c>
      <c r="H48" s="36">
        <v>0</v>
      </c>
      <c r="I48" s="37">
        <f>H48*F48</f>
        <v>0</v>
      </c>
      <c r="J48" s="38"/>
    </row>
    <row r="49" spans="1:11" x14ac:dyDescent="0.35">
      <c r="A49" s="21">
        <f>IF(F49&lt;&gt;"",1+MAX($A$6:A48),"")</f>
        <v>29</v>
      </c>
      <c r="B49" s="31"/>
      <c r="C49" s="25" t="s">
        <v>52</v>
      </c>
      <c r="D49" s="25">
        <v>1</v>
      </c>
      <c r="E49" s="34">
        <v>0</v>
      </c>
      <c r="F49" s="52">
        <f t="shared" si="9"/>
        <v>1</v>
      </c>
      <c r="G49" s="27" t="s">
        <v>18</v>
      </c>
      <c r="H49" s="36">
        <v>0</v>
      </c>
      <c r="I49" s="37">
        <f t="shared" ref="I49:I55" si="10">H49*F49</f>
        <v>0</v>
      </c>
      <c r="J49" s="38"/>
    </row>
    <row r="50" spans="1:11" x14ac:dyDescent="0.35">
      <c r="A50" s="21">
        <f>IF(F50&lt;&gt;"",1+MAX($A$6:A49),"")</f>
        <v>30</v>
      </c>
      <c r="B50" s="31"/>
      <c r="C50" s="25" t="s">
        <v>53</v>
      </c>
      <c r="D50" s="25">
        <v>3</v>
      </c>
      <c r="E50" s="34">
        <v>0</v>
      </c>
      <c r="F50" s="52">
        <f t="shared" si="9"/>
        <v>3</v>
      </c>
      <c r="G50" s="27" t="s">
        <v>18</v>
      </c>
      <c r="H50" s="36">
        <v>0</v>
      </c>
      <c r="I50" s="37">
        <f t="shared" si="10"/>
        <v>0</v>
      </c>
      <c r="J50" s="38"/>
    </row>
    <row r="51" spans="1:11" x14ac:dyDescent="0.35">
      <c r="A51" s="21">
        <f>IF(F51&lt;&gt;"",1+MAX($A$6:A50),"")</f>
        <v>31</v>
      </c>
      <c r="B51" s="31"/>
      <c r="C51" s="25" t="s">
        <v>54</v>
      </c>
      <c r="D51" s="25">
        <v>1</v>
      </c>
      <c r="E51" s="34">
        <v>0</v>
      </c>
      <c r="F51" s="52">
        <f t="shared" si="9"/>
        <v>1</v>
      </c>
      <c r="G51" s="27" t="s">
        <v>18</v>
      </c>
      <c r="H51" s="36">
        <v>0</v>
      </c>
      <c r="I51" s="37">
        <f t="shared" si="10"/>
        <v>0</v>
      </c>
      <c r="J51" s="38"/>
    </row>
    <row r="52" spans="1:11" x14ac:dyDescent="0.35">
      <c r="A52" s="21">
        <f>IF(F52&lt;&gt;"",1+MAX($A$6:A51),"")</f>
        <v>32</v>
      </c>
      <c r="B52" s="31"/>
      <c r="C52" s="25" t="s">
        <v>55</v>
      </c>
      <c r="D52" s="25">
        <v>1</v>
      </c>
      <c r="E52" s="34">
        <v>0</v>
      </c>
      <c r="F52" s="52">
        <f t="shared" si="9"/>
        <v>1</v>
      </c>
      <c r="G52" s="27" t="s">
        <v>18</v>
      </c>
      <c r="H52" s="36">
        <v>0</v>
      </c>
      <c r="I52" s="37">
        <f t="shared" si="10"/>
        <v>0</v>
      </c>
      <c r="J52" s="38"/>
    </row>
    <row r="53" spans="1:11" x14ac:dyDescent="0.35">
      <c r="A53" s="21">
        <f>IF(F53&lt;&gt;"",1+MAX($A$6:A52),"")</f>
        <v>33</v>
      </c>
      <c r="B53" s="31"/>
      <c r="C53" s="25" t="s">
        <v>80</v>
      </c>
      <c r="D53" s="25">
        <v>3</v>
      </c>
      <c r="E53" s="34">
        <v>0</v>
      </c>
      <c r="F53" s="52">
        <f t="shared" si="9"/>
        <v>3</v>
      </c>
      <c r="G53" s="27" t="s">
        <v>18</v>
      </c>
      <c r="H53" s="36">
        <v>0</v>
      </c>
      <c r="I53" s="37">
        <f t="shared" si="10"/>
        <v>0</v>
      </c>
      <c r="J53" s="38"/>
    </row>
    <row r="54" spans="1:11" x14ac:dyDescent="0.35">
      <c r="A54" s="21">
        <f>IF(F54&lt;&gt;"",1+MAX($A$6:A53),"")</f>
        <v>34</v>
      </c>
      <c r="B54" s="31"/>
      <c r="C54" s="25" t="s">
        <v>56</v>
      </c>
      <c r="D54" s="25">
        <v>6</v>
      </c>
      <c r="E54" s="34">
        <v>0</v>
      </c>
      <c r="F54" s="52">
        <f t="shared" si="9"/>
        <v>6</v>
      </c>
      <c r="G54" s="27" t="s">
        <v>18</v>
      </c>
      <c r="H54" s="36">
        <v>0</v>
      </c>
      <c r="I54" s="37">
        <f t="shared" si="10"/>
        <v>0</v>
      </c>
      <c r="J54" s="38"/>
    </row>
    <row r="55" spans="1:11" x14ac:dyDescent="0.35">
      <c r="A55" s="21">
        <f>IF(F55&lt;&gt;"",1+MAX($A$6:A54),"")</f>
        <v>35</v>
      </c>
      <c r="B55" s="31"/>
      <c r="C55" s="25" t="s">
        <v>57</v>
      </c>
      <c r="D55" s="25">
        <v>5</v>
      </c>
      <c r="E55" s="34">
        <v>0</v>
      </c>
      <c r="F55" s="52">
        <f t="shared" si="9"/>
        <v>5</v>
      </c>
      <c r="G55" s="27" t="s">
        <v>18</v>
      </c>
      <c r="H55" s="36">
        <v>0</v>
      </c>
      <c r="I55" s="37">
        <f t="shared" si="10"/>
        <v>0</v>
      </c>
      <c r="J55" s="38"/>
    </row>
    <row r="56" spans="1:11" ht="15" customHeight="1" x14ac:dyDescent="0.35">
      <c r="A56" s="41"/>
      <c r="B56" s="42"/>
      <c r="C56" s="43" t="s">
        <v>58</v>
      </c>
      <c r="D56" s="44"/>
      <c r="E56" s="45"/>
      <c r="F56" s="46"/>
      <c r="G56" s="47"/>
      <c r="H56" s="48"/>
      <c r="I56" s="49"/>
      <c r="J56" s="50"/>
      <c r="K56" s="5"/>
    </row>
    <row r="57" spans="1:11" x14ac:dyDescent="0.35">
      <c r="A57" s="21"/>
      <c r="B57" s="31"/>
      <c r="C57" s="25"/>
      <c r="D57" s="25"/>
      <c r="E57" s="34"/>
      <c r="F57" s="25"/>
      <c r="G57" s="27"/>
      <c r="H57" s="36"/>
      <c r="I57" s="37"/>
      <c r="J57" s="38"/>
    </row>
    <row r="58" spans="1:11" x14ac:dyDescent="0.35">
      <c r="A58" s="21">
        <f>IF(F58&lt;&gt;"",1+MAX($A$6:A57),"")</f>
        <v>36</v>
      </c>
      <c r="B58" s="31"/>
      <c r="C58" s="25" t="s">
        <v>59</v>
      </c>
      <c r="D58" s="25">
        <v>11</v>
      </c>
      <c r="E58" s="34">
        <v>0</v>
      </c>
      <c r="F58" s="52">
        <f t="shared" ref="F58:F61" si="11">D58*(1+E58)</f>
        <v>11</v>
      </c>
      <c r="G58" s="27" t="s">
        <v>18</v>
      </c>
      <c r="H58" s="36">
        <v>0</v>
      </c>
      <c r="I58" s="37">
        <f>H58*F58</f>
        <v>0</v>
      </c>
      <c r="J58" s="38"/>
    </row>
    <row r="59" spans="1:11" x14ac:dyDescent="0.35">
      <c r="A59" s="21">
        <f>IF(F59&lt;&gt;"",1+MAX($A$6:A58),"")</f>
        <v>37</v>
      </c>
      <c r="B59" s="31"/>
      <c r="C59" s="25" t="s">
        <v>60</v>
      </c>
      <c r="D59" s="25">
        <v>2</v>
      </c>
      <c r="E59" s="34">
        <v>0</v>
      </c>
      <c r="F59" s="52">
        <f t="shared" si="11"/>
        <v>2</v>
      </c>
      <c r="G59" s="27" t="s">
        <v>18</v>
      </c>
      <c r="H59" s="36">
        <v>0</v>
      </c>
      <c r="I59" s="37">
        <f t="shared" ref="I59:I61" si="12">H59*F59</f>
        <v>0</v>
      </c>
      <c r="J59" s="38"/>
    </row>
    <row r="60" spans="1:11" x14ac:dyDescent="0.35">
      <c r="A60" s="21">
        <f>IF(F60&lt;&gt;"",1+MAX($A$6:A59),"")</f>
        <v>38</v>
      </c>
      <c r="B60" s="31"/>
      <c r="C60" s="25" t="s">
        <v>61</v>
      </c>
      <c r="D60" s="25">
        <v>1</v>
      </c>
      <c r="E60" s="34">
        <v>0</v>
      </c>
      <c r="F60" s="52">
        <f t="shared" si="11"/>
        <v>1</v>
      </c>
      <c r="G60" s="27" t="s">
        <v>18</v>
      </c>
      <c r="H60" s="36">
        <v>0</v>
      </c>
      <c r="I60" s="37">
        <f t="shared" si="12"/>
        <v>0</v>
      </c>
      <c r="J60" s="38"/>
    </row>
    <row r="61" spans="1:11" x14ac:dyDescent="0.35">
      <c r="A61" s="21">
        <f>IF(F61&lt;&gt;"",1+MAX($A$6:A60),"")</f>
        <v>39</v>
      </c>
      <c r="B61" s="31"/>
      <c r="C61" s="25" t="s">
        <v>62</v>
      </c>
      <c r="D61" s="25">
        <v>3</v>
      </c>
      <c r="E61" s="34">
        <v>0</v>
      </c>
      <c r="F61" s="52">
        <f t="shared" si="11"/>
        <v>3</v>
      </c>
      <c r="G61" s="27" t="s">
        <v>18</v>
      </c>
      <c r="H61" s="36">
        <v>0</v>
      </c>
      <c r="I61" s="37">
        <f t="shared" si="12"/>
        <v>0</v>
      </c>
      <c r="J61" s="38"/>
    </row>
    <row r="62" spans="1:11" ht="15" customHeight="1" x14ac:dyDescent="0.35">
      <c r="A62" s="41"/>
      <c r="B62" s="42"/>
      <c r="C62" s="43" t="s">
        <v>63</v>
      </c>
      <c r="D62" s="44"/>
      <c r="E62" s="45"/>
      <c r="F62" s="46"/>
      <c r="G62" s="47"/>
      <c r="H62" s="48"/>
      <c r="I62" s="49"/>
      <c r="J62" s="50"/>
      <c r="K62" s="5"/>
    </row>
    <row r="63" spans="1:11" x14ac:dyDescent="0.35">
      <c r="A63" s="21"/>
      <c r="B63" s="31"/>
      <c r="C63" s="25"/>
      <c r="D63" s="25"/>
      <c r="E63" s="34"/>
      <c r="F63" s="25"/>
      <c r="G63" s="27"/>
      <c r="H63" s="36"/>
      <c r="I63" s="37"/>
      <c r="J63" s="38"/>
    </row>
    <row r="64" spans="1:11" x14ac:dyDescent="0.35">
      <c r="A64" s="21">
        <f>IF(F64&lt;&gt;"",1+MAX($A$6:A63),"")</f>
        <v>40</v>
      </c>
      <c r="B64" s="31"/>
      <c r="C64" s="25" t="s">
        <v>64</v>
      </c>
      <c r="D64" s="25">
        <v>11</v>
      </c>
      <c r="E64" s="34">
        <v>0</v>
      </c>
      <c r="F64" s="52">
        <f t="shared" ref="F64:F66" si="13">D64*(1+E64)</f>
        <v>11</v>
      </c>
      <c r="G64" s="27" t="s">
        <v>18</v>
      </c>
      <c r="H64" s="36">
        <v>0</v>
      </c>
      <c r="I64" s="37">
        <f>H64*F64</f>
        <v>0</v>
      </c>
      <c r="J64" s="38"/>
    </row>
    <row r="65" spans="1:11" x14ac:dyDescent="0.35">
      <c r="A65" s="21">
        <f>IF(F65&lt;&gt;"",1+MAX($A$6:A64),"")</f>
        <v>41</v>
      </c>
      <c r="B65" s="31"/>
      <c r="C65" s="25" t="s">
        <v>81</v>
      </c>
      <c r="D65" s="25">
        <v>8</v>
      </c>
      <c r="E65" s="34">
        <v>0</v>
      </c>
      <c r="F65" s="52">
        <f t="shared" si="13"/>
        <v>8</v>
      </c>
      <c r="G65" s="27" t="s">
        <v>18</v>
      </c>
      <c r="H65" s="36">
        <v>0</v>
      </c>
      <c r="I65" s="37">
        <f t="shared" ref="I65:I66" si="14">H65*F65</f>
        <v>0</v>
      </c>
      <c r="J65" s="38"/>
    </row>
    <row r="66" spans="1:11" x14ac:dyDescent="0.35">
      <c r="A66" s="21">
        <f>IF(F66&lt;&gt;"",1+MAX($A$6:A65),"")</f>
        <v>42</v>
      </c>
      <c r="B66" s="31"/>
      <c r="C66" s="25" t="s">
        <v>65</v>
      </c>
      <c r="D66" s="25">
        <v>15</v>
      </c>
      <c r="E66" s="34">
        <v>0</v>
      </c>
      <c r="F66" s="52">
        <f t="shared" si="13"/>
        <v>15</v>
      </c>
      <c r="G66" s="27" t="s">
        <v>18</v>
      </c>
      <c r="H66" s="36">
        <v>0</v>
      </c>
      <c r="I66" s="37">
        <f t="shared" si="14"/>
        <v>0</v>
      </c>
      <c r="J66" s="38"/>
    </row>
    <row r="67" spans="1:11" ht="15" customHeight="1" x14ac:dyDescent="0.35">
      <c r="A67" s="41"/>
      <c r="B67" s="42"/>
      <c r="C67" s="43" t="s">
        <v>66</v>
      </c>
      <c r="D67" s="44"/>
      <c r="E67" s="45"/>
      <c r="F67" s="46"/>
      <c r="G67" s="47"/>
      <c r="H67" s="48"/>
      <c r="I67" s="49"/>
      <c r="J67" s="50"/>
      <c r="K67" s="5"/>
    </row>
    <row r="68" spans="1:11" x14ac:dyDescent="0.35">
      <c r="A68" s="21"/>
      <c r="B68" s="31"/>
      <c r="C68" s="25"/>
      <c r="D68" s="25"/>
      <c r="E68" s="34"/>
      <c r="F68" s="25"/>
      <c r="G68" s="27"/>
      <c r="H68" s="36"/>
      <c r="I68" s="37"/>
      <c r="J68" s="38"/>
    </row>
    <row r="69" spans="1:11" x14ac:dyDescent="0.35">
      <c r="A69" s="21">
        <f>IF(F69&lt;&gt;"",1+MAX($A$6:A68),"")</f>
        <v>43</v>
      </c>
      <c r="B69" s="31"/>
      <c r="C69" s="25" t="s">
        <v>67</v>
      </c>
      <c r="D69" s="25">
        <v>15</v>
      </c>
      <c r="E69" s="34">
        <v>0</v>
      </c>
      <c r="F69" s="52">
        <f t="shared" ref="F69:F81" si="15">D69*(1+E69)</f>
        <v>15</v>
      </c>
      <c r="G69" s="27" t="s">
        <v>18</v>
      </c>
      <c r="H69" s="36">
        <v>0</v>
      </c>
      <c r="I69" s="37">
        <f>H69*F69</f>
        <v>0</v>
      </c>
      <c r="J69" s="38"/>
    </row>
    <row r="70" spans="1:11" x14ac:dyDescent="0.35">
      <c r="A70" s="21">
        <f>IF(F70&lt;&gt;"",1+MAX($A$6:A69),"")</f>
        <v>44</v>
      </c>
      <c r="B70" s="31"/>
      <c r="C70" s="25" t="s">
        <v>68</v>
      </c>
      <c r="D70" s="25">
        <v>8</v>
      </c>
      <c r="E70" s="34">
        <v>0</v>
      </c>
      <c r="F70" s="52">
        <f t="shared" si="15"/>
        <v>8</v>
      </c>
      <c r="G70" s="27" t="s">
        <v>18</v>
      </c>
      <c r="H70" s="36">
        <v>0</v>
      </c>
      <c r="I70" s="37">
        <f t="shared" ref="I70:I81" si="16">H70*F70</f>
        <v>0</v>
      </c>
      <c r="J70" s="38"/>
    </row>
    <row r="71" spans="1:11" x14ac:dyDescent="0.35">
      <c r="A71" s="21">
        <f>IF(F71&lt;&gt;"",1+MAX($A$6:A70),"")</f>
        <v>45</v>
      </c>
      <c r="B71" s="31"/>
      <c r="C71" s="25" t="s">
        <v>69</v>
      </c>
      <c r="D71" s="25">
        <v>6</v>
      </c>
      <c r="E71" s="34">
        <v>0</v>
      </c>
      <c r="F71" s="52">
        <f t="shared" si="15"/>
        <v>6</v>
      </c>
      <c r="G71" s="27" t="s">
        <v>18</v>
      </c>
      <c r="H71" s="36">
        <v>0</v>
      </c>
      <c r="I71" s="37">
        <f t="shared" si="16"/>
        <v>0</v>
      </c>
      <c r="J71" s="38"/>
    </row>
    <row r="72" spans="1:11" x14ac:dyDescent="0.35">
      <c r="A72" s="21">
        <f>IF(F72&lt;&gt;"",1+MAX($A$6:A71),"")</f>
        <v>46</v>
      </c>
      <c r="B72" s="31"/>
      <c r="C72" s="25" t="s">
        <v>70</v>
      </c>
      <c r="D72" s="25">
        <v>13</v>
      </c>
      <c r="E72" s="34">
        <v>0</v>
      </c>
      <c r="F72" s="52">
        <f t="shared" si="15"/>
        <v>13</v>
      </c>
      <c r="G72" s="27" t="s">
        <v>18</v>
      </c>
      <c r="H72" s="36">
        <v>0</v>
      </c>
      <c r="I72" s="37">
        <f t="shared" si="16"/>
        <v>0</v>
      </c>
      <c r="J72" s="38"/>
    </row>
    <row r="73" spans="1:11" x14ac:dyDescent="0.35">
      <c r="A73" s="21">
        <f>IF(F73&lt;&gt;"",1+MAX($A$6:A72),"")</f>
        <v>47</v>
      </c>
      <c r="B73" s="31"/>
      <c r="C73" s="25" t="s">
        <v>71</v>
      </c>
      <c r="D73" s="25">
        <v>13</v>
      </c>
      <c r="E73" s="34">
        <v>0</v>
      </c>
      <c r="F73" s="52">
        <f t="shared" si="15"/>
        <v>13</v>
      </c>
      <c r="G73" s="27" t="s">
        <v>18</v>
      </c>
      <c r="H73" s="36">
        <v>0</v>
      </c>
      <c r="I73" s="37">
        <f t="shared" si="16"/>
        <v>0</v>
      </c>
      <c r="J73" s="38"/>
    </row>
    <row r="74" spans="1:11" x14ac:dyDescent="0.35">
      <c r="A74" s="21">
        <f>IF(F74&lt;&gt;"",1+MAX($A$6:A73),"")</f>
        <v>48</v>
      </c>
      <c r="B74" s="31"/>
      <c r="C74" s="25" t="s">
        <v>72</v>
      </c>
      <c r="D74" s="25">
        <v>3</v>
      </c>
      <c r="E74" s="34">
        <v>0</v>
      </c>
      <c r="F74" s="52">
        <f t="shared" si="15"/>
        <v>3</v>
      </c>
      <c r="G74" s="27" t="s">
        <v>18</v>
      </c>
      <c r="H74" s="36">
        <v>0</v>
      </c>
      <c r="I74" s="37">
        <f t="shared" si="16"/>
        <v>0</v>
      </c>
      <c r="J74" s="38"/>
    </row>
    <row r="75" spans="1:11" x14ac:dyDescent="0.35">
      <c r="A75" s="21">
        <f>IF(F75&lt;&gt;"",1+MAX($A$6:A74),"")</f>
        <v>49</v>
      </c>
      <c r="B75" s="31"/>
      <c r="C75" s="25" t="s">
        <v>73</v>
      </c>
      <c r="D75" s="25">
        <v>12</v>
      </c>
      <c r="E75" s="34">
        <v>0</v>
      </c>
      <c r="F75" s="52">
        <f t="shared" si="15"/>
        <v>12</v>
      </c>
      <c r="G75" s="27" t="s">
        <v>18</v>
      </c>
      <c r="H75" s="36">
        <v>0</v>
      </c>
      <c r="I75" s="37">
        <f t="shared" si="16"/>
        <v>0</v>
      </c>
      <c r="J75" s="38"/>
    </row>
    <row r="76" spans="1:11" x14ac:dyDescent="0.35">
      <c r="A76" s="21">
        <f>IF(F76&lt;&gt;"",1+MAX($A$6:A75),"")</f>
        <v>50</v>
      </c>
      <c r="B76" s="31"/>
      <c r="C76" s="25" t="s">
        <v>74</v>
      </c>
      <c r="D76" s="25">
        <v>1</v>
      </c>
      <c r="E76" s="34">
        <v>0</v>
      </c>
      <c r="F76" s="52">
        <f t="shared" si="15"/>
        <v>1</v>
      </c>
      <c r="G76" s="27" t="s">
        <v>18</v>
      </c>
      <c r="H76" s="36">
        <v>0</v>
      </c>
      <c r="I76" s="37">
        <f t="shared" si="16"/>
        <v>0</v>
      </c>
      <c r="J76" s="38"/>
    </row>
    <row r="77" spans="1:11" x14ac:dyDescent="0.35">
      <c r="A77" s="21">
        <f>IF(F77&lt;&gt;"",1+MAX($A$6:A76),"")</f>
        <v>51</v>
      </c>
      <c r="B77" s="31"/>
      <c r="C77" s="25" t="s">
        <v>75</v>
      </c>
      <c r="D77" s="25">
        <v>11</v>
      </c>
      <c r="E77" s="34">
        <v>0</v>
      </c>
      <c r="F77" s="52">
        <f t="shared" si="15"/>
        <v>11</v>
      </c>
      <c r="G77" s="27" t="s">
        <v>18</v>
      </c>
      <c r="H77" s="36">
        <v>0</v>
      </c>
      <c r="I77" s="37">
        <f t="shared" si="16"/>
        <v>0</v>
      </c>
      <c r="J77" s="38"/>
    </row>
    <row r="78" spans="1:11" x14ac:dyDescent="0.35">
      <c r="A78" s="21">
        <f>IF(F78&lt;&gt;"",1+MAX($A$6:A77),"")</f>
        <v>52</v>
      </c>
      <c r="B78" s="31"/>
      <c r="C78" s="25" t="s">
        <v>76</v>
      </c>
      <c r="D78" s="25">
        <v>11</v>
      </c>
      <c r="E78" s="34">
        <v>0</v>
      </c>
      <c r="F78" s="52">
        <f t="shared" si="15"/>
        <v>11</v>
      </c>
      <c r="G78" s="27" t="s">
        <v>18</v>
      </c>
      <c r="H78" s="36">
        <v>0</v>
      </c>
      <c r="I78" s="37">
        <f t="shared" si="16"/>
        <v>0</v>
      </c>
      <c r="J78" s="38"/>
    </row>
    <row r="79" spans="1:11" x14ac:dyDescent="0.35">
      <c r="A79" s="21">
        <f>IF(F79&lt;&gt;"",1+MAX($A$6:A78),"")</f>
        <v>53</v>
      </c>
      <c r="B79" s="31"/>
      <c r="C79" s="25" t="s">
        <v>77</v>
      </c>
      <c r="D79" s="25">
        <v>4</v>
      </c>
      <c r="E79" s="34">
        <v>0</v>
      </c>
      <c r="F79" s="52">
        <f t="shared" si="15"/>
        <v>4</v>
      </c>
      <c r="G79" s="27" t="s">
        <v>18</v>
      </c>
      <c r="H79" s="36">
        <v>0</v>
      </c>
      <c r="I79" s="37">
        <f t="shared" si="16"/>
        <v>0</v>
      </c>
      <c r="J79" s="38"/>
    </row>
    <row r="80" spans="1:11" x14ac:dyDescent="0.35">
      <c r="A80" s="21">
        <f>IF(F80&lt;&gt;"",1+MAX($A$6:A79),"")</f>
        <v>54</v>
      </c>
      <c r="B80" s="31"/>
      <c r="C80" s="25" t="s">
        <v>78</v>
      </c>
      <c r="D80" s="25">
        <v>15</v>
      </c>
      <c r="E80" s="34">
        <v>0</v>
      </c>
      <c r="F80" s="52">
        <f t="shared" si="15"/>
        <v>15</v>
      </c>
      <c r="G80" s="27" t="s">
        <v>18</v>
      </c>
      <c r="H80" s="36">
        <v>0</v>
      </c>
      <c r="I80" s="37">
        <f t="shared" si="16"/>
        <v>0</v>
      </c>
      <c r="J80" s="38"/>
    </row>
    <row r="81" spans="1:10" x14ac:dyDescent="0.35">
      <c r="A81" s="21">
        <f>IF(F81&lt;&gt;"",1+MAX($A$6:A80),"")</f>
        <v>55</v>
      </c>
      <c r="B81" s="31"/>
      <c r="C81" s="25" t="s">
        <v>79</v>
      </c>
      <c r="D81" s="25">
        <v>11</v>
      </c>
      <c r="E81" s="34">
        <v>0</v>
      </c>
      <c r="F81" s="52">
        <f t="shared" si="15"/>
        <v>11</v>
      </c>
      <c r="G81" s="27" t="s">
        <v>18</v>
      </c>
      <c r="H81" s="36">
        <v>0</v>
      </c>
      <c r="I81" s="37">
        <f t="shared" si="16"/>
        <v>0</v>
      </c>
      <c r="J81" s="38"/>
    </row>
    <row r="82" spans="1:10" x14ac:dyDescent="0.35">
      <c r="A82" s="21"/>
      <c r="B82" s="31"/>
      <c r="C82" s="25"/>
      <c r="D82" s="25"/>
      <c r="E82" s="34"/>
      <c r="F82" s="25"/>
      <c r="G82" s="27"/>
      <c r="H82" s="36"/>
      <c r="I82" s="37"/>
      <c r="J82" s="38"/>
    </row>
    <row r="83" spans="1:10" ht="16" thickBot="1" x14ac:dyDescent="0.4">
      <c r="A83" s="17"/>
      <c r="B83" s="9"/>
      <c r="C83" s="10"/>
      <c r="D83" s="11"/>
      <c r="E83" s="12"/>
      <c r="F83" s="13"/>
      <c r="G83" s="14"/>
      <c r="H83" s="28"/>
      <c r="I83" s="15"/>
      <c r="J83" s="16"/>
    </row>
    <row r="84" spans="1:10" ht="16" thickBot="1" x14ac:dyDescent="0.4">
      <c r="A84" s="6" t="s">
        <v>2</v>
      </c>
      <c r="B84" s="1"/>
      <c r="C84" s="1"/>
      <c r="D84" s="2"/>
      <c r="E84" s="2"/>
      <c r="F84" s="2"/>
      <c r="G84" s="3"/>
      <c r="H84" s="29"/>
      <c r="I84" s="4"/>
      <c r="J84" s="7">
        <f>SUM(J6:J83)</f>
        <v>0</v>
      </c>
    </row>
    <row r="85" spans="1:10" ht="16" thickBot="1" x14ac:dyDescent="0.4">
      <c r="A85" s="6" t="s">
        <v>11</v>
      </c>
      <c r="B85" s="1"/>
      <c r="C85" s="1"/>
      <c r="D85" s="2"/>
      <c r="E85" s="2"/>
      <c r="F85" s="2"/>
      <c r="G85" s="3"/>
      <c r="H85" s="39">
        <v>0.25</v>
      </c>
      <c r="I85" s="4"/>
      <c r="J85" s="7">
        <f>H85*J84</f>
        <v>0</v>
      </c>
    </row>
    <row r="86" spans="1:10" ht="16" thickBot="1" x14ac:dyDescent="0.4">
      <c r="A86" s="6" t="s">
        <v>10</v>
      </c>
      <c r="B86" s="1"/>
      <c r="C86" s="1"/>
      <c r="D86" s="2"/>
      <c r="E86" s="2"/>
      <c r="F86" s="2"/>
      <c r="G86" s="3"/>
      <c r="H86" s="29"/>
      <c r="I86" s="4"/>
      <c r="J86" s="7">
        <f>SUM(J84:J85)</f>
        <v>0</v>
      </c>
    </row>
  </sheetData>
  <mergeCells count="2">
    <mergeCell ref="F2:F3"/>
    <mergeCell ref="G2:J3"/>
  </mergeCells>
  <printOptions horizontalCentered="1"/>
  <pageMargins left="0.7" right="0.7" top="0.75" bottom="0.75" header="0.3" footer="0.3"/>
  <pageSetup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Detailed Estimate IE</vt:lpstr>
      <vt:lpstr>Chart1</vt:lpstr>
      <vt:lpstr>'Detailed Estimate IE'!Print_Area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Marks</dc:creator>
  <cp:lastModifiedBy>City</cp:lastModifiedBy>
  <cp:lastPrinted>2017-06-06T08:25:24Z</cp:lastPrinted>
  <dcterms:created xsi:type="dcterms:W3CDTF">2004-05-05T14:08:18Z</dcterms:created>
  <dcterms:modified xsi:type="dcterms:W3CDTF">2023-03-17T13:46:16Z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