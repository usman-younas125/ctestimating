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 activeTab="1"/>
  </bookViews>
  <sheets>
    <sheet name="General Summary" sheetId="4" r:id="rId1"/>
    <sheet name="Base Bid" sheetId="1" r:id="rId2"/>
    <sheet name="Add Alternate" sheetId="7" r:id="rId3"/>
    <sheet name="LABOR SHEET" sheetId="6" r:id="rId4"/>
  </sheets>
  <definedNames>
    <definedName name="_xlnm._FilterDatabase" localSheetId="2" hidden="1">'Add Alternate'!$A$6:$Q$57</definedName>
    <definedName name="_xlnm._FilterDatabase" localSheetId="1" hidden="1">'Base Bid'!$A$6:$Q$464</definedName>
    <definedName name="_xlnm.Print_Area" localSheetId="2">'Add Alternate'!$A$2:$Q$57</definedName>
    <definedName name="_xlnm.Print_Area" localSheetId="1">'Base Bid'!$A$2:$Q$464</definedName>
    <definedName name="_xlnm.Print_Area" localSheetId="0">'General Summary'!$A$1:$N$31</definedName>
    <definedName name="_xlnm.Print_Titles" localSheetId="2">'Add Alternate'!$1:$6</definedName>
    <definedName name="_xlnm.Print_Titles" localSheetId="1">'Base Bid'!$1:$6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<sst xmlns="http://schemas.openxmlformats.org/spreadsheetml/2006/main" count="973" uniqueCount="460">
  <si>
    <t>GENERAL SUMMARY (BASE BID)</t>
  </si>
  <si>
    <t>DIVISION NO.</t>
  </si>
  <si>
    <t>DESCRIPTION</t>
  </si>
  <si>
    <t>TOTAL DIV. COST</t>
  </si>
  <si>
    <t>General Requirments</t>
  </si>
  <si>
    <t>Electrical</t>
  </si>
  <si>
    <t>Telecommunication</t>
  </si>
  <si>
    <t>Electronic &amp; Safety Security</t>
  </si>
  <si>
    <t>TOTAL COST</t>
  </si>
  <si>
    <t>CONTIGENCIES (5%)</t>
  </si>
  <si>
    <t>MATERIAL MARKUPS (20%)</t>
  </si>
  <si>
    <t>LABOR MARKUPS (31%)</t>
  </si>
  <si>
    <t>OVERHEAD (10%)</t>
  </si>
  <si>
    <t>PROFIT (10%)</t>
  </si>
  <si>
    <t>TAX (9.2%)</t>
  </si>
  <si>
    <t>PERFORMANCE AND PAYMENT BONDS</t>
  </si>
  <si>
    <t>TOTAL BASEBID</t>
  </si>
  <si>
    <t>GENERAL SUMMARY (ADD ALTERNATE)</t>
  </si>
  <si>
    <t>Pedestrain Gate Card Reader</t>
  </si>
  <si>
    <t>DETAILED BREAKDOWN OF ITEMS</t>
  </si>
  <si>
    <t>Project Name</t>
  </si>
  <si>
    <t>Joint Public Safety Facility</t>
  </si>
  <si>
    <t>Project Address</t>
  </si>
  <si>
    <t>2100 w edgewood dr. port angeles, wa 98363</t>
  </si>
  <si>
    <t>Scope:</t>
  </si>
  <si>
    <t>S#</t>
  </si>
  <si>
    <t>Dwg.</t>
  </si>
  <si>
    <t>CSI NO</t>
  </si>
  <si>
    <t>QTY.</t>
  </si>
  <si>
    <t>Wastage</t>
  </si>
  <si>
    <t>Qty w/ Waste</t>
  </si>
  <si>
    <t>UNIT</t>
  </si>
  <si>
    <t>UNIT LABOR HOUR</t>
  </si>
  <si>
    <t>TOTAL LABOR HOUR</t>
  </si>
  <si>
    <t>LABOR WAGE/ HOUR</t>
  </si>
  <si>
    <t>UNIT LABOR COST</t>
  </si>
  <si>
    <t>TOTAL LABOR COST</t>
  </si>
  <si>
    <t>UNIT MATERIAL  COST</t>
  </si>
  <si>
    <t>TOTAL MATERIAL COST</t>
  </si>
  <si>
    <t>UNIT PRICE (Labor &amp; Material)</t>
  </si>
  <si>
    <t>TRADE TOTAL</t>
  </si>
  <si>
    <t>DIVISION 01-GENERAL REQUIREMENTS</t>
  </si>
  <si>
    <t>Permits</t>
  </si>
  <si>
    <t>LS</t>
  </si>
  <si>
    <t>Supervision and Coordination</t>
  </si>
  <si>
    <t>Submittals and Shop drawings</t>
  </si>
  <si>
    <t>Final Cleaning</t>
  </si>
  <si>
    <t>Mobilization Costs</t>
  </si>
  <si>
    <t>Temporary Control &amp; Facilities</t>
  </si>
  <si>
    <t>Scaffolding</t>
  </si>
  <si>
    <t>SUBTOTAL</t>
  </si>
  <si>
    <t>DIVISION 26- ELECTRICAL</t>
  </si>
  <si>
    <t>DISTRIBUTION</t>
  </si>
  <si>
    <t>FEEDERS</t>
  </si>
  <si>
    <t>CONDUITS</t>
  </si>
  <si>
    <t>4"C EMT</t>
  </si>
  <si>
    <t>LF</t>
  </si>
  <si>
    <t>4"C PVC</t>
  </si>
  <si>
    <t>3"C EMT</t>
  </si>
  <si>
    <t>2"C EMT</t>
  </si>
  <si>
    <t>1 1/2"C EMT</t>
  </si>
  <si>
    <t>PULLSTRING</t>
  </si>
  <si>
    <t>CONDUTORS</t>
  </si>
  <si>
    <t>#600 THHN</t>
  </si>
  <si>
    <t>#350 THHN</t>
  </si>
  <si>
    <t>#4/0 THHN</t>
  </si>
  <si>
    <t>#3/0 THHN</t>
  </si>
  <si>
    <t>#2 THHN</t>
  </si>
  <si>
    <t>#8 THHN</t>
  </si>
  <si>
    <t>GROUNDING</t>
  </si>
  <si>
    <t>#3/0 CU GROUND WIRE</t>
  </si>
  <si>
    <t>#6 CU GROUND WIRE</t>
  </si>
  <si>
    <t>5/8"X10' GROUND ROD</t>
  </si>
  <si>
    <t>EA</t>
  </si>
  <si>
    <t>EXOTHERMIC WELD</t>
  </si>
  <si>
    <t>GROUND BUS BAR</t>
  </si>
  <si>
    <t>DISCONNECT SWITCHES</t>
  </si>
  <si>
    <t>60A/3P DISCONNECT SWITCH NEMA 1</t>
  </si>
  <si>
    <t>100A/3P DISCONNECT SWITCH NEMA 3R</t>
  </si>
  <si>
    <t>CIRCUIT BREAKERS</t>
  </si>
  <si>
    <t>20A/1P CIRCUIT BREAKER</t>
  </si>
  <si>
    <t>20A/2P CIRCUIT BREAKER</t>
  </si>
  <si>
    <t>30A/2P CIRCUIT BREAKER</t>
  </si>
  <si>
    <t>30A/3P CIRCUIT BREAKER</t>
  </si>
  <si>
    <t>40A/2P CIRCUIT BREAKER</t>
  </si>
  <si>
    <t>40A/3P CIRCUIT BREAKER</t>
  </si>
  <si>
    <t>50A/2P CIRCUIT BREAKER</t>
  </si>
  <si>
    <t>50A/3P CIRCUIT BREAKER</t>
  </si>
  <si>
    <t>60A/3P CIRCUIT BREAKER</t>
  </si>
  <si>
    <t>80A/3P CIRCUIT BREAKER</t>
  </si>
  <si>
    <t>90A/3P CIRCUIT BREAKER</t>
  </si>
  <si>
    <t>100A MAIN CIRCUIT BREAKER</t>
  </si>
  <si>
    <t>100A/3P CIRCUIT BREAKER</t>
  </si>
  <si>
    <t>400A MAIN CIRCUIT BREAKER</t>
  </si>
  <si>
    <t>400A/3P CIRCUIT BREAKER</t>
  </si>
  <si>
    <t>1200A MAIN CIRCUIT BREAKER</t>
  </si>
  <si>
    <t>1200A/3P CIRCUIT BREAKER</t>
  </si>
  <si>
    <t>1600A MAIN CIRCUIT BREAKER</t>
  </si>
  <si>
    <t>2500A MAIN CIRCUIT BREAKER</t>
  </si>
  <si>
    <t>PANELS</t>
  </si>
  <si>
    <t>PANEL GSS,
1600A MCB, 208V, 3PH, 4W, 10KAIC, SURFACE MOUNTED, NEMA 1</t>
  </si>
  <si>
    <t>PANEL MSS,
2500A MCB, 208V, 3PH, 4W, 65KAIC, SURFACE MOUNTED, NEMA 1</t>
  </si>
  <si>
    <t>PANEL SL1,
1200A MCB, 208V, 3PH, 4W, 65KAIC, SURFACE MOUNTED, NEMA 1</t>
  </si>
  <si>
    <t>PANEL SL2,
400A MCB, 208V, 3PH, 4W, 65KAIC, SURFACE MOUNTED, NEMA 1</t>
  </si>
  <si>
    <t>PANEL SL3,
400A MCB, 208V, 3PH, 4W, 65KAIC, SURFACE MOUNTED, NEMA 1</t>
  </si>
  <si>
    <t>PANEL SL4,
400A MCB, 208V, 3PH, 4W, 65KAIC, SURFACE MOUNTED, NEMA 1</t>
  </si>
  <si>
    <t>PANEL UPSA,
100A MCB, 208V, 3PH, 4W, 10KAIC, SURFACE MOUNTED, NEMA 1</t>
  </si>
  <si>
    <t>PANEL UPSB,
100A MCB, 208V, 3PH, 4W, 10KAIC, SURFACE MOUNTED, NEMA 1</t>
  </si>
  <si>
    <t>PANEL XL1,
1200A MCB, 208V, 3PH, 4W, 65KAIC, SURFACE MOUNTED, NEMA 1</t>
  </si>
  <si>
    <t>PANEL XL2,
400A MCB, 208V, 3PH, 4W, 65KAIC, SURFACE MOUNTED, NEMA 1</t>
  </si>
  <si>
    <t>PANEL XL3,
400A MCB, 208V, 3PH, 4W, 65KAIC, SURFACE MOUNTED, NEMA 1</t>
  </si>
  <si>
    <t>PANEL XL4,
100A MCB, 208V, 3PH, 4W, 10KAIC, SURFACE MOUNTED, NEMA 1</t>
  </si>
  <si>
    <t>PANEL XL5,
100A MCB, 208V, 3PH, 4W, 10KAIC, SURFACE MOUNTED, NEMA 1</t>
  </si>
  <si>
    <t>EQUIPMENTS</t>
  </si>
  <si>
    <t>ATS-S,
AUTO TRANSFER SWITCH,
1200A-4P, NEMA 1</t>
  </si>
  <si>
    <t>ATS-X,
AUTO TRANSFER SWITCH,
1200A-4P, NEMA 1</t>
  </si>
  <si>
    <t>DUAL EV CHARGING STATION (DEV) (2) EATON GMEV48CMC1-WC SERIES HARGING STATION MOUNTED TO EATON GMEV-DPED SERIES DUAL PORT PEDESTAL</t>
  </si>
  <si>
    <t>EATON 93PM SERIES UPS OR EQUAL WITH MAINTENANCE BYPASS CABINET (MBCh REMOTE MONITORING, AND 15-MINUTE BATTERY RUNTIME</t>
  </si>
  <si>
    <t>EATON CHARGING NETWORK MANAGEMENT (CNM) SOFTWARE PLATFORM</t>
  </si>
  <si>
    <t>ENERGY METERING CONTROL PANEL</t>
  </si>
  <si>
    <t>GENERATOR,
400KW/500KVA PAD MOUNTED, NEMA 3R WITH 
(1) 1600A/3P CIRCUIT BREAKER</t>
  </si>
  <si>
    <t>MTS,
MANUAL TRANSFER SWITCH,
1600A/3P, 208Y/120V, NEMA 3R</t>
  </si>
  <si>
    <t>SPD,
SURGE PROTECTIVE DEVICE</t>
  </si>
  <si>
    <t>SUPER CRITICAL GRADE SOUND ATTENUATED ACOUSTICAL ENCLOSURE WITH 24-HOUR SKID MOUNT DIESEL FUEL TANK</t>
  </si>
  <si>
    <r>
      <rPr>
        <sz val="12"/>
        <color theme="1"/>
        <rFont val="Calibri"/>
        <charset val="134"/>
      </rPr>
      <t>UTILITY PRODUCTION METER (</t>
    </r>
    <r>
      <rPr>
        <sz val="12"/>
        <color rgb="FFFF0000"/>
        <rFont val="Calibri"/>
        <charset val="134"/>
      </rPr>
      <t>BY UTILITY</t>
    </r>
    <r>
      <rPr>
        <sz val="12"/>
        <color theme="1"/>
        <rFont val="Calibri"/>
        <charset val="134"/>
      </rPr>
      <t>)</t>
    </r>
  </si>
  <si>
    <t>EQUIPMENT CONNECTIONS</t>
  </si>
  <si>
    <t>CONNECTION FOR BATTERY CHARGER</t>
  </si>
  <si>
    <t>CONNECTION FOR BC</t>
  </si>
  <si>
    <t>CONNECTION FOR BLOCK HEATER</t>
  </si>
  <si>
    <t>CONNECTION FOR CARD READER</t>
  </si>
  <si>
    <t>CONNECTION FOR CENTURION ALARM</t>
  </si>
  <si>
    <t>CONNECTION FOR CP</t>
  </si>
  <si>
    <t>CONNECTION FOR CU</t>
  </si>
  <si>
    <t>CONNECTION FOR DEV</t>
  </si>
  <si>
    <t>CONNECTION FOR DLC</t>
  </si>
  <si>
    <t>CONNECTION FOR EF</t>
  </si>
  <si>
    <t>CONNECTION FOR ERV</t>
  </si>
  <si>
    <t>CONNECTION FOR EWH</t>
  </si>
  <si>
    <t>CONNECTION FOR FAA</t>
  </si>
  <si>
    <t>CONNECTION FOR FCU</t>
  </si>
  <si>
    <t>CONNECTION FOR GATE CONTROLLER</t>
  </si>
  <si>
    <t>CONNECTION FOR HWHP</t>
  </si>
  <si>
    <t>CONNECTION FOR IRRIGATION CONTROLLER</t>
  </si>
  <si>
    <t>CONNECTION FOR ITM</t>
  </si>
  <si>
    <t>CONNECTION FOR LED SCREEN PANEL</t>
  </si>
  <si>
    <t>CONNECTION FOR LIGHTING/RECEPTACLE CONTROLLER</t>
  </si>
  <si>
    <t>CONNECTION FOR RADIO TOWER</t>
  </si>
  <si>
    <t>CONNECTION FOR SECURITY CONTROL PANEL</t>
  </si>
  <si>
    <t>CONNECTION FOR TPS</t>
  </si>
  <si>
    <t>MISCELLANEOUS</t>
  </si>
  <si>
    <t>17"X10" DUCTBANK</t>
  </si>
  <si>
    <t>17"X17" DUCT BANK</t>
  </si>
  <si>
    <t>PAD FOR 400KW GENERATOR</t>
  </si>
  <si>
    <t>PAD FOR UTILITY XFMR</t>
  </si>
  <si>
    <t>TRENCHING AND BACKFILLING</t>
  </si>
  <si>
    <t>WARNING TAPE</t>
  </si>
  <si>
    <t>BRANCH WIRING</t>
  </si>
  <si>
    <t>LIGHTING CIRCUITS</t>
  </si>
  <si>
    <t>1"C PVC</t>
  </si>
  <si>
    <t>3/4"C EMT</t>
  </si>
  <si>
    <t>#10 THHN SOLID</t>
  </si>
  <si>
    <t>#12 THHN SOLID</t>
  </si>
  <si>
    <t>#14 THHN SOLID</t>
  </si>
  <si>
    <t>POWER CIRCUITS</t>
  </si>
  <si>
    <t>1 1/4"C EMT</t>
  </si>
  <si>
    <t>1 1/4"C RGS</t>
  </si>
  <si>
    <t>1 1/4"C LFMC</t>
  </si>
  <si>
    <t>1 1/4"C PVC</t>
  </si>
  <si>
    <t>1"C EMT</t>
  </si>
  <si>
    <t>1"C LFMC</t>
  </si>
  <si>
    <t>3/4"C FLEX S</t>
  </si>
  <si>
    <t>3/4"C RGS</t>
  </si>
  <si>
    <t>3/4"C LFMC</t>
  </si>
  <si>
    <t>1/2"C EMT</t>
  </si>
  <si>
    <t>#3 THHN</t>
  </si>
  <si>
    <t>#6 THHN</t>
  </si>
  <si>
    <t>POWER DEVICES</t>
  </si>
  <si>
    <t>20A/1P HRS (HAND RESET SWITCH)</t>
  </si>
  <si>
    <t>20A/2P HRS (HAND RESET SWITCH)</t>
  </si>
  <si>
    <t>20A/2P HRS (HAND RESET SWITCH) WP</t>
  </si>
  <si>
    <t>30A/2P HRS (HAND RESET SWITCH)</t>
  </si>
  <si>
    <t>30A/2P HRS (HAND RESET SWITCH) WP</t>
  </si>
  <si>
    <t>3000 SERIES WIREMOLD</t>
  </si>
  <si>
    <t>DUPLEX RECEPTACLE</t>
  </si>
  <si>
    <t>DUPLEX RECEPTACLE GFCI</t>
  </si>
  <si>
    <t>DUPLEX RECEPTACLE GFCI WP</t>
  </si>
  <si>
    <t>FLOOR BOX WITH (1) DUPLEX RECEPTACLE AND (1) COMMUNICATION OUTLET</t>
  </si>
  <si>
    <t>FLOOR BOX WITH (1) QUAD RECEPTACLE AND (1) COMMUNICATION OUTLET</t>
  </si>
  <si>
    <t>FLOOR BOX WITH (1) QUAD RECEPTACLE, (1) DUPLEX RECEPTACLE  AND (1) COMMUNICATION OUTLET</t>
  </si>
  <si>
    <t>GUTTER TO SERVE EV CHARGING STATIONS</t>
  </si>
  <si>
    <t>P1,
4'-8"X7'X7' PRIMARY JUNCTION VAULT</t>
  </si>
  <si>
    <t>POWER PEDESTAL WITH 
(3) CIRCUIT BREAKER
(1) DUPLEX RECEPTACLE GFCI WP NEMA 5-20R
(1) SPECIAL PURPOSE RECEPTACLE WP 14-50R
(1) SPECIAL PURPOSE RECEPTACLE WP 5-30R
(1) COMMUNICATION OUTLET  
EATON CHU1N9G4NPLTZ</t>
  </si>
  <si>
    <t>QUAD RECEPTACLE</t>
  </si>
  <si>
    <t>QUAD RECEPTACLE NEMA L5-20R</t>
  </si>
  <si>
    <t>R,
CONTROLLED RECEPTACLE RELAY</t>
  </si>
  <si>
    <t>SMR (12'5")</t>
  </si>
  <si>
    <t>SPECIAL PURPOSE RECEPTACLE L6-30R</t>
  </si>
  <si>
    <t>SPECIAL PURPOSE RECEPTACLE L14-50R</t>
  </si>
  <si>
    <t>LIGHTING</t>
  </si>
  <si>
    <t>LIGHT FIXTURES</t>
  </si>
  <si>
    <t>DA1,
3" DIAMETER RECESSED LED DOWNLIGHT,
LIGHTHEADED, #"OPUS" SERIES</t>
  </si>
  <si>
    <t>DA1 EM,
3" DIAMETER RECESSED LED DOWNLIGHT,
LIGHTHEADED, #"OPUS" SERIES</t>
  </si>
  <si>
    <t>DA2,
3" DIAMETER RECESSED LED DOWNLIGHT,
LIGHTHEADED, #"OPUS" SERIES</t>
  </si>
  <si>
    <t>DA2 EM,
3" DIAMETER RECESSED LED DOWNLIGHT,
LIGHTHEADED, #"OPUS" SERIES</t>
  </si>
  <si>
    <t>DA3,
3" DIAMETER RECESSED LED DOWNLIGHT,
LIGHTHEADED, #"OPUS" SERIES</t>
  </si>
  <si>
    <t>DB1,
3" SQUARE RECESSED LED DOWNLIGHT,
LIGHTHEADED, #"OPUS" SERIES</t>
  </si>
  <si>
    <t>DB1 EM,
3" SQUARE RECESSED LED DOWNLIGHT,
LIGHTHEADED, #"OPUS" SERIES</t>
  </si>
  <si>
    <t>DB2,
3'' SQUARE RECESSED LED DOWNLIGHT,
LIGHTHEADED, #"OPUS" SERIES</t>
  </si>
  <si>
    <t>DC1,
3" SQUARE RECESSED LED WALL WASH DOWNLIGHT
LIGHTHEADED, #"OPUS" SERIES</t>
  </si>
  <si>
    <t>DD1,
3" DIAMETER RECESSED LENSED LED DOWNLIGHT (SHOWER),
LIGHTHEADED, #"OPUS" SERIES</t>
  </si>
  <si>
    <t>EA,
EDGELIT LED EXIT SIGN,
EMERGI-LITE, "PRESTIGE EDGE-LIT" SERIES</t>
  </si>
  <si>
    <t>EB1,
SURFACE MOUNTED DUAL HEAD EM LIGHTING,
SURE-LITES, 'SELDWA29' SERIES</t>
  </si>
  <si>
    <t>EC1,
SURFACE MOUNTED DUAL HEAD EM LIGHTING,
SURE-LITES, 'SELDWA50' SERIES</t>
  </si>
  <si>
    <t>HA1,
4'-0" SUSPENDED LINEAR LED UTILITY LUMINAIRE,
METALUX, #SNX LENSED' SERIES</t>
  </si>
  <si>
    <t>HD1,
4'H 4" DIA. SUSPENDED LED DECORATIVE PENDANT,
SPI, #•PAVO 4 INCH* SERIES</t>
  </si>
  <si>
    <t>HF1,
34'-0" PENDANT MOUNTED DIRECT/ INDIRECT LINEAR LED,
PINNACLE, 'CHUTE" SERIES</t>
  </si>
  <si>
    <t>HF2,
34'-0" PENDANT MOUNTED DIRECT/ INDIRECT LINEAR LED,
PINNACLE, 'CHUTE" SERIES</t>
  </si>
  <si>
    <t>RB1,
2'X4' LED LAY-IN LENSED TROFFER,
AXIS, DIA SERIES</t>
  </si>
  <si>
    <t>RC1,
16'-0" RECESSED LED LINEAR FOR GRID CEILING,
EXTANT, HTG-3R-LP' SERIES</t>
  </si>
  <si>
    <t>RD1,
8-0" RECESSED LED LINEAR FOR WOOD CEILING,
BETA CALCO, LE LOUVRE SERIES</t>
  </si>
  <si>
    <t>RF1 12',
12'-0" RECESSED LED LINEAR FOR WOOD CEILING,
BETA CALCO, LE LOUVRE SERIES</t>
  </si>
  <si>
    <t>RG1 7'3",
APERTURE RECESSED LED PERIMETER WALL SLOT,
PINNALE, 'EDGE EV4DPM" SERIES</t>
  </si>
  <si>
    <t>RG1 8'2",
APERTURE RECESSED LED PERIMETER WALL SLOT,
PINNALE, 'EDGE EV4DPM" SERIES</t>
  </si>
  <si>
    <t>RG1 11'3",
APERTURE RECESSED LED PERIMETER WALL SLOT,
PINNALE, 'EDGE EV4DPM" SERIES</t>
  </si>
  <si>
    <t>RG1 12',
APERTURE RECESSED LED PERIMETER WALL SLOT,
PINNALE, 'EDGE EV4DPM" SERIES</t>
  </si>
  <si>
    <t>RG1 13'7",
APERTURE RECESSED LED PERIMETER WALL SLOT,
PINNALE, 'EDGE EV4DPM" SERIES</t>
  </si>
  <si>
    <t>RG1 16',
APERTURE RECESSED LED PERIMETER WALL SLOT,
PINNALE, 'EDGE EV4DPM" SERIES</t>
  </si>
  <si>
    <t>SA1,
13'-0'X 2"x2" MULLION MOUNTED LED LINEAR INDIRECT,
AXIS, "EXTEND 2" SERIES</t>
  </si>
  <si>
    <t>SA2,
28'-9"  2"x2" MULLION MOUNTED LED LINEAR INDIRECT,
AXIS, "EXTEND 2" SERIES</t>
  </si>
  <si>
    <t>SA3,
17' 2"x2" MULLION MOUNTED LED LINEAR INDIRECT,
AXIS, "EXTEND 2" SERIES</t>
  </si>
  <si>
    <t>SB1,
9'-4" LENGTH- 6 "X6"  LED LINEAR MOUNTED IN MILLWORK,
LUMINI, "BOSCA" SERIES</t>
  </si>
  <si>
    <t>SG1,
3" DIAMETER SURFACE MOUNTED ADJUSTABLE LUMINAIRE,
LIGHTHEADED, PIPE SERIES</t>
  </si>
  <si>
    <t>UA1 11'5",
LED UNDERCABINET LIGHT,
LUMINII, "KENDO S STATIC WHITE' SERIES</t>
  </si>
  <si>
    <t>UA1 13'7",
LED UNDERCABINET LIGHT,
LUMINII, "KENDO S STATIC WHITE' SERIES</t>
  </si>
  <si>
    <t>WB1,
36" DIA. SURFACE MOUNTED DECORATIVE,
TMS, "JOOPI" SERIES</t>
  </si>
  <si>
    <t>WC1,
40" DIA. SURFACE MOUNTED DECORATIVE,
TMS, "JOOPI" SERIES</t>
  </si>
  <si>
    <t>WD1 EM,
7-3/32"L X 2-11/64"H X 3-17/64D WALL MOUNTED LED LUMINAIRE,
HEPER, "DOGO 8" SERIES</t>
  </si>
  <si>
    <t>WF1,
13'-0" LENGTH 2"x2" MULLION MOUNTED LED LINEAR INDIRECT,
AXIS, "EXTEND 2" SERIES</t>
  </si>
  <si>
    <t>WF2,
14'-0" LENGTH 2"x2" MULLION MOUNTED LED LINEAR INDIRECT,
AXIS, "EXTEND 2" SERIES</t>
  </si>
  <si>
    <t>WF3,
14'-0" LENGTH 2"x2" MULLION MOUNTED LED LINEAR INDIRECT,
AXIS, "EXTEND 2" SERIES</t>
  </si>
  <si>
    <t>WF4,
17'-0" LENGTH 2"x2" MULLION MOUNTED LED LINEAR INDIRECT,
AXIS, "EXTEND 2" SERIES</t>
  </si>
  <si>
    <t>WF5,
5'-3" LENGTH 2"x2" MULLION MOUNTED LED LINEAR INDIRECT,
AXIS, "EXTEND 2" SERIES</t>
  </si>
  <si>
    <t>SITE LIGHT FIXTURES</t>
  </si>
  <si>
    <t>BA1,
36" HEIGHT - LED BOLLARD LUMINAIRE,
HEPER, "DRAGO" SERIES</t>
  </si>
  <si>
    <t>GA1,
IN-GRADE LED LUMINAIRE FLAG UPLIGHT,
VISTA PRO, "1185" SERIES</t>
  </si>
  <si>
    <t>GB1,
8-13/32" DIAMETER IN-GRADE SURFACE MOUNTED LED LUMINAIRE FLAG UPLIGHT,
VISTA PRO, "1185SE" SERIES</t>
  </si>
  <si>
    <t>PA1,
20'-0" POLE MOUNTED LED AREA LUMINAIRE - SINGLE HEAD,
RAGNI, 'DOMITIENNE V2 SERIES</t>
  </si>
  <si>
    <t>PA2,
20'-0" POLE MOUNTED LED AREA LUMINAIRE - SINGLE HEAD,
RAGNI, 'DOMITIENNE V2 SERIES</t>
  </si>
  <si>
    <t>SC1,
LINEAR FLOODLIGHT FOR MONUMENT SIGN,
VISTA PRO, "MODEL 1050KM' SERIES</t>
  </si>
  <si>
    <t>SD1 (11'),
UNDER BENCH LED TAPE MOUNTED IN EXTRUSION POURED IN CONCRETE BENCH,
BEALUX, "FLORENCE' SERIES</t>
  </si>
  <si>
    <t>SD1 (13'),
UNDER BENCH LED TAPE MOUNTED IN EXTRUSION POURED IN CONCRETE BENCH,
BEALUX, "FLORENCE' SERIES</t>
  </si>
  <si>
    <t>SITE LIGHT POLES</t>
  </si>
  <si>
    <t>8'X2' SITE LIGHT LIGHTING POLE BASE</t>
  </si>
  <si>
    <t>SINGLE HEAD SITE LIGHT LIGHTING POLE (20')</t>
  </si>
  <si>
    <t>LIGHTING CONTROLS</t>
  </si>
  <si>
    <t>L,
DAYLIGHT SENSOR</t>
  </si>
  <si>
    <t>LCP, LIGHTING CONTROL PANEL</t>
  </si>
  <si>
    <t>OS,
CEILING MOUNTED DUAL TECHNOLOGY OCCUPANCY SENSOR</t>
  </si>
  <si>
    <t>S OSD,
WALL MOUNTED OCCUPANCY SENSOR DIMMER SWITCH</t>
  </si>
  <si>
    <t>S,
SINGLE POLE SWITCH</t>
  </si>
  <si>
    <t>S3,
THREE WAY SWITCH</t>
  </si>
  <si>
    <t>SC-1,
SCENE CONTROL STATION WITH SINGLE BUTTON</t>
  </si>
  <si>
    <t>SC-2,
SCENE CONTROL STATION WITH SINGLE BUTTON</t>
  </si>
  <si>
    <t>SC-3,
SCENE CONTROL STATION WITH SINGLE BUTTON WITH RAISE/LOWER</t>
  </si>
  <si>
    <t>SC-4,
SCENE CONTROL STATION WITH SINGLE BUTTON</t>
  </si>
  <si>
    <t>SC-5,
SCENE CONTROL STATION WITH SINGLE BUTTON WITH RAISE/LOWER</t>
  </si>
  <si>
    <t>SC-6,
SCENE CONTROL STATION WITH SINGLE BUTTON WITH RAISE/LOWER</t>
  </si>
  <si>
    <t>SC-7,
SCENE CONTROL STATION WITH SINGLE BUTTON</t>
  </si>
  <si>
    <t>SC-8,
SCENE CONTROL STATION WITH SINGLE BUTTON WITH RAISE/LOWER</t>
  </si>
  <si>
    <t>SC-9,
SCENE CONTROL STATION WITH SINGLE BUTTON WITH RAISE/LOWER</t>
  </si>
  <si>
    <t>SC-10,
SCENE CONTROL STATION WITH SINGLE BUTTON</t>
  </si>
  <si>
    <t>SC-11,
SCENE CONTROL STATION WITH SINGLE BUTTON WITH RAISE/LOWER</t>
  </si>
  <si>
    <t>SC-12,
SCENE CONTROL STATION WITH SINGLE BUTTON</t>
  </si>
  <si>
    <t>SC-13,
SCENE CONTROL STATION WITH SINGLE BUTTON WITH RAISE/LOWER</t>
  </si>
  <si>
    <t>SC-14,
SCENE CONTROL STATION WITH SINGLE BUTTON WITH RAISE/LOWER</t>
  </si>
  <si>
    <t>SC-15,
SCENE CONTROL STATION WITH SINGLE BUTTON WITH RAISE/LOWER</t>
  </si>
  <si>
    <t>SD,
DIMMER SWITCH</t>
  </si>
  <si>
    <t>SOS,
WALL MOUNTED OCCUPANCY SENSOR SWITCH</t>
  </si>
  <si>
    <t>WALL MOUNTED OCCUPANCY SENSOR SWITCH</t>
  </si>
  <si>
    <t>LIGHTING SUPPORTS</t>
  </si>
  <si>
    <t>AIRCRAFT CABLES</t>
  </si>
  <si>
    <t>CLIPS</t>
  </si>
  <si>
    <t>JUNCTION BOX FOR LIGHTS</t>
  </si>
  <si>
    <t>DIVISION 26- TELECOMMUNICATION</t>
  </si>
  <si>
    <t>LOW VOLTAGE</t>
  </si>
  <si>
    <t>CONDIUTS</t>
  </si>
  <si>
    <t>CONDUCTORS</t>
  </si>
  <si>
    <t>5 PORTS OF CATO PLENUM RATED TIE CABLE</t>
  </si>
  <si>
    <t>CAT5E 25-PAIR PLENUM RATED CABLE</t>
  </si>
  <si>
    <t>24 STRAND ARMORED PLENUM RATED OS2 SINGLE-MODE FIBER OPTIC CABLE</t>
  </si>
  <si>
    <t>CAT 6</t>
  </si>
  <si>
    <t>DEVICES</t>
  </si>
  <si>
    <t>1U HORIZONTAL CABLE MANAGER</t>
  </si>
  <si>
    <t>1 2" TELCO STYLE CABLE TRAY RUNWAY 12'</t>
  </si>
  <si>
    <t>1 8" TELCO STYLE CABLE RUNWAY</t>
  </si>
  <si>
    <t>1 EZ-PATH SERIES 44 PATHWAY PNPZD44 FIRESTOP</t>
  </si>
  <si>
    <t>2U FIBER ENCLOSURE</t>
  </si>
  <si>
    <t>2X2X2 HANDHOLE</t>
  </si>
  <si>
    <t>3/4" FIRE RATED PLYWOOD</t>
  </si>
  <si>
    <t>SF</t>
  </si>
  <si>
    <t>4" CONDUIT SLEEVE</t>
  </si>
  <si>
    <t>6" VERTICAL WIRE MANAGER</t>
  </si>
  <si>
    <t>10" VERTICAL WIRE MANAGER</t>
  </si>
  <si>
    <t>12' WIDE X 6" HIGH METAL CHANNEL WITH LID</t>
  </si>
  <si>
    <t>18" WIDE CABLE TRAY</t>
  </si>
  <si>
    <t>24 PORT CAT5E PATCH PANEL</t>
  </si>
  <si>
    <t>24 PORT CAT6 PATCH PANEL</t>
  </si>
  <si>
    <t>25' SERVICE LOOP</t>
  </si>
  <si>
    <t>45RU 4-POST 19" OPEN FRAME RACK</t>
  </si>
  <si>
    <t>48 PORT CAT6 PATCH PANEL</t>
  </si>
  <si>
    <t>C1,
3'X5'X3' COMMUNICATIONS VAULT</t>
  </si>
  <si>
    <t>CEILING MOUNTED WIRELESS ACCESS POINT</t>
  </si>
  <si>
    <t>COMMUNICATION OUTLET</t>
  </si>
  <si>
    <t>EXTERIOR COMMUNICATON OUTLET</t>
  </si>
  <si>
    <t>LC DUPLEX TERMINATION WITH PORT COUNT</t>
  </si>
  <si>
    <t>PORT COUNT</t>
  </si>
  <si>
    <t>PULL BOX (8'W X 12"D X MIN.)</t>
  </si>
  <si>
    <t>RACK MOUNT CAT5E 24 PORT PATCH PANEL</t>
  </si>
  <si>
    <t>RACK MOUNTED COMMUNICATION OUTLET</t>
  </si>
  <si>
    <t>SYSTEM DISPATCH FURNITURE COMMUNICATON OUTLET</t>
  </si>
  <si>
    <t>T TYPE ELBOW</t>
  </si>
  <si>
    <t>T,
(DETAIL NOT GIVEN)</t>
  </si>
  <si>
    <t>WALL MOUNT 110-BLOCK</t>
  </si>
  <si>
    <t>WALL MOUNTED WIRELESS ACCESS POINT</t>
  </si>
  <si>
    <t>WIRELESS EXTENDER OUTLET</t>
  </si>
  <si>
    <t>2 GANG BACKBOX</t>
  </si>
  <si>
    <t>4"X4" BACKBOX</t>
  </si>
  <si>
    <t>TELECOM RADIO INSTALLATION</t>
  </si>
  <si>
    <t>#2 BARE CU GROUND WIRE</t>
  </si>
  <si>
    <t>#2 SOLID TIN COATED COPPER CONDUCTOR</t>
  </si>
  <si>
    <t>#4/0 BAR TIN COATED BARE COPPER CONDUCTOR</t>
  </si>
  <si>
    <t>7/8" COAX CABLE</t>
  </si>
  <si>
    <t>COPPER GROUND STRAPS</t>
  </si>
  <si>
    <t>(2) BOLT ASSEMBLY 5/3' X 1-3/4"</t>
  </si>
  <si>
    <t>(4) BOLT ASSEMBLY 5/3' X 1-3/4"</t>
  </si>
  <si>
    <t>3/4" CONDUIT SLEEVE</t>
  </si>
  <si>
    <t>AHAB</t>
  </si>
  <si>
    <t>ARES,
DIAMOND ANTENNA, F142</t>
  </si>
  <si>
    <t>ARES,
DIAMOND ANTENNA, X-30A</t>
  </si>
  <si>
    <t>ARES,
DIEX, DXM60</t>
  </si>
  <si>
    <t>ARES,
DIEX, DXM80</t>
  </si>
  <si>
    <t>ARES,
M2 ANTENNA SYSTEMS, 6M3</t>
  </si>
  <si>
    <t>ARES,
MOSLEY, PRO-57-B-40</t>
  </si>
  <si>
    <t>CABLE GROUNDING KIT,
L-COM, HT-GK400</t>
  </si>
  <si>
    <t>CAP PLATE CP4A</t>
  </si>
  <si>
    <t>CONCRETE BASE 5'X5'X2'</t>
  </si>
  <si>
    <t>CONNECTOR, N-TYPE</t>
  </si>
  <si>
    <t>EGB,
EXTERIOR GROUND BUS BAR</t>
  </si>
  <si>
    <t>FENCE GROUND BUS</t>
  </si>
  <si>
    <t>GROUND ROD</t>
  </si>
  <si>
    <t>HOOD ENTRY KIT
ANDREW .(COM M SCOPE)
MODEL MT-365G
OAE</t>
  </si>
  <si>
    <t>JOINT BOLT KIT 65JBK</t>
  </si>
  <si>
    <t>PBB,
PRIMARY BONDING BUSBAR</t>
  </si>
  <si>
    <t>PENDOT,
TELEWAVE.IO, ANT150D3</t>
  </si>
  <si>
    <t>PENDOT,
TELEWAVE.IO, ANT450D3</t>
  </si>
  <si>
    <t>RADIO TOWER (65')</t>
  </si>
  <si>
    <t>ROTATOR,
HY-GAIN, HAM-VII</t>
  </si>
  <si>
    <t>SAGE</t>
  </si>
  <si>
    <t>SURGE PROTECTION DEVICE,
POLYPHASER, IS-50NX-C0</t>
  </si>
  <si>
    <t>SURGE PROTECTION DEVICE,
POLYPHASER, IS-RCT</t>
  </si>
  <si>
    <t>TGB,
TELECOMMUNICATION GROUND BUS BAR</t>
  </si>
  <si>
    <t>WASHDOT</t>
  </si>
  <si>
    <t>DIVISION 28- ELECTRONIC SAFETY &amp; SECUIRITY</t>
  </si>
  <si>
    <t>SECURITY</t>
  </si>
  <si>
    <t>8" X 8" X 4" JUNCTION BOX WITH HINGED COVER</t>
  </si>
  <si>
    <t>24X24X6 WEATHERPROOF, LOCKABLE, PAD-MOUNTED SECURITY INTERFACE BOX WITH CAMERA, CARD READER AND VEDIO INTERCOM</t>
  </si>
  <si>
    <t>180 DEGREE IP SECURITY CAMERA</t>
  </si>
  <si>
    <t>270 DEGREE SECURITY CAMERA WP</t>
  </si>
  <si>
    <t>CR,
CARD READER</t>
  </si>
  <si>
    <t>DC,
DOOR CONTACTOR</t>
  </si>
  <si>
    <t>POLE MOUNTED CAMERA WP</t>
  </si>
  <si>
    <t>SECURITY CONTROL PANEL</t>
  </si>
  <si>
    <t>SINGLE SENSOR IP SECURITY CAMERA</t>
  </si>
  <si>
    <t>VI,
VEDIO INTERCOM</t>
  </si>
  <si>
    <t>VM,
VEDIO INTERCOM MASTER STATION</t>
  </si>
  <si>
    <t>4"X4" BACKBOX WP</t>
  </si>
  <si>
    <t>AUDIO VISUAL SYSTEM</t>
  </si>
  <si>
    <t>CAT 6 CABLE</t>
  </si>
  <si>
    <t>HDMI CABLE</t>
  </si>
  <si>
    <t>#18/2C CONTROL CABLE</t>
  </si>
  <si>
    <t>S70 CABLE</t>
  </si>
  <si>
    <t>AA,
ALS ANTENNA</t>
  </si>
  <si>
    <t>AV1,
A/V I/O PANEL</t>
  </si>
  <si>
    <t>AV3,
A/V I/O PANEL</t>
  </si>
  <si>
    <t>AV4,
AN I/O PANEL - TYPE 4</t>
  </si>
  <si>
    <t>CAM1,
PTZ CAMERA - TYPE 1</t>
  </si>
  <si>
    <t>CM1,
CEILING MICROPHONE</t>
  </si>
  <si>
    <t>DV1,
DIRECT VIEW LED DISPLAY - TYPE 1</t>
  </si>
  <si>
    <t>FP1,
FLAT PANEL DISPLAY</t>
  </si>
  <si>
    <t>FP2,
FLAT PANEL DISPLAY</t>
  </si>
  <si>
    <t>FP3,
FLAT PANEL DISPLAY</t>
  </si>
  <si>
    <t>IC1,
CEILING LOUDSPEAKER</t>
  </si>
  <si>
    <t>MA,
WIRELESS MIC ANTENNA</t>
  </si>
  <si>
    <t>P1,
PENDANT LOUDSPEAKER</t>
  </si>
  <si>
    <t>PM1,
PENDANT MICROPHONE</t>
  </si>
  <si>
    <t>RK1,
EQUIPMENT RACK</t>
  </si>
  <si>
    <t>RK2,
EQUIPMENT RACK</t>
  </si>
  <si>
    <t>TP1,
CONTROL TOUCH PANEL - TYPE 1</t>
  </si>
  <si>
    <t>VB1,
VIDEO BAR - TYPE 1</t>
  </si>
  <si>
    <t>WB1,
WALL BOX - TYPE 1</t>
  </si>
  <si>
    <t>FIRE ALARM</t>
  </si>
  <si>
    <t>CLEAN AGENT FIRE ALARM CONTROL AND ANNUNCIATION PANEL WITH INTELLIGENT RELEASING MODULES OR MULTIPLE INDIVIDUAL RELEASING CONTROL PANELS</t>
  </si>
  <si>
    <t>FA REMOTE ANNUNCIATOR</t>
  </si>
  <si>
    <t>FACP,
FIRE ALARM CONTROL PANEL</t>
  </si>
  <si>
    <t>NOTE</t>
  </si>
  <si>
    <t>PRIMARY CONDUIT SIZE AND QUANTITY FOR THE UTILITY TRANSFORMER ARE NOT INDICATED IN THE DRAWINGS. THEREFORE, 6 SETS OF 4" CONDUITS HAVE BEEN ASSUMED FOR ESTIMATION PURPOSES.</t>
  </si>
  <si>
    <t>TOTAL LABOR HOURS</t>
  </si>
  <si>
    <t>TOTAL AMOUNT</t>
  </si>
  <si>
    <t>MATERIAL MARKUPS</t>
  </si>
  <si>
    <t>LABOR MARKUPS</t>
  </si>
  <si>
    <t>ADD ALTERNATE (PEDESTRIAN GATE CARD READER)</t>
  </si>
  <si>
    <t>EQUIPMENT CONNECTION</t>
  </si>
  <si>
    <t>CONNECTION FOR PEDESTRIAN GATE CARD READER</t>
  </si>
  <si>
    <t>CARD READER FOR PEDESTRIAN SECURITY GATE WP</t>
  </si>
  <si>
    <t>Labor Type</t>
  </si>
  <si>
    <t>Labor Rate</t>
  </si>
  <si>
    <t>Elec</t>
  </si>
  <si>
    <t>Each/Count</t>
  </si>
  <si>
    <t>Linear Footage</t>
  </si>
  <si>
    <t>Square Footage</t>
  </si>
  <si>
    <t>Square Yard</t>
  </si>
  <si>
    <t>SY</t>
  </si>
  <si>
    <t>Cubic Yard</t>
  </si>
  <si>
    <t>CY</t>
  </si>
  <si>
    <t>Lumpsum</t>
  </si>
  <si>
    <t>Survery</t>
  </si>
  <si>
    <t>Survey</t>
  </si>
  <si>
    <t>Stair Riser</t>
  </si>
  <si>
    <t>RISER</t>
  </si>
  <si>
    <t>Blocks Count</t>
  </si>
  <si>
    <t>BLOCKS</t>
  </si>
  <si>
    <t>Bags of Pre-Mix Mortar</t>
  </si>
  <si>
    <t>BAGS</t>
  </si>
  <si>
    <t>Linear Footage of Wall</t>
  </si>
  <si>
    <t>LF.Wall</t>
  </si>
  <si>
    <t>Pounds</t>
  </si>
  <si>
    <t>LBS</t>
  </si>
  <si>
    <t>Pieces</t>
  </si>
  <si>
    <t>PCs</t>
  </si>
  <si>
    <t>Location</t>
  </si>
  <si>
    <t>LOC</t>
  </si>
  <si>
    <t>Bundle</t>
  </si>
  <si>
    <t>Rolls</t>
  </si>
  <si>
    <t>ROLLS</t>
  </si>
  <si>
    <t>Boxes</t>
  </si>
  <si>
    <t>BOX</t>
  </si>
  <si>
    <t>Holeses</t>
  </si>
  <si>
    <t>Holes</t>
  </si>
  <si>
    <t>PC</t>
  </si>
  <si>
    <t>Tubes</t>
  </si>
  <si>
    <t>Tube</t>
  </si>
  <si>
    <t>Gallons</t>
  </si>
  <si>
    <t>GA</t>
  </si>
  <si>
    <t>Square of Roofing</t>
  </si>
  <si>
    <t>SQ</t>
  </si>
  <si>
    <t>N/A</t>
  </si>
  <si>
    <t>NOTE:</t>
  </si>
  <si>
    <t>Prevailing wages have been included in this estimate in compliance with the Davis-Bacon Act.</t>
  </si>
  <si>
    <t>Material pricing is based on current market rates sourced from reputable online platforms and suppliers.</t>
  </si>
  <si>
    <t>Please note that actual costs may vary depending on site-specific conditions, unforeseen circumstances, or changes in market conditions.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</si>
</sst>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3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(&quot;$&quot;* #,##0_);_(&quot;$&quot;* \(#,##0\);_(&quot;$&quot;* &quot;-&quot;??_);_(@_)"/>
    <numFmt numFmtId="179" formatCode="000000"/>
    <numFmt numFmtId="180" formatCode="0.000"/>
    <numFmt numFmtId="181" formatCode="0.0"/>
    <numFmt numFmtId="182" formatCode="_(&quot;$&quot;* #,##0.0_);_(&quot;$&quot;* \(#,##0.0\);_(&quot;$&quot;* &quot;-&quot;??_);_(@_)"/>
    <numFmt numFmtId="183" formatCode="0.0%"/>
    <numFmt numFmtId="184" formatCode="_-* #,##0.00_-;\-* #,##0.00_-;_-* &quot;-&quot;??_-;_-@_-"/>
    <numFmt numFmtId="185" formatCode="[$-409]d/mmm/yy;@"/>
    <numFmt numFmtId="186" formatCode="_-[$$-409]* #,##0_ ;_-[$$-409]* \-#,##0\ ;_-[$$-409]* &quot;-&quot;??_ ;_-@_ "/>
  </numFmts>
  <fonts count="64">
    <font>
      <sz val="11"/>
      <color theme="1"/>
      <name val="Tw Cen MT"/>
      <charset val="134"/>
      <scheme val="minor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b/>
      <i/>
      <sz val="11"/>
      <color theme="1"/>
      <name val="Calibri"/>
      <charset val="134"/>
    </font>
    <font>
      <b/>
      <i/>
      <sz val="12"/>
      <color theme="1"/>
      <name val="Calibri"/>
      <charset val="134"/>
    </font>
    <font>
      <b/>
      <sz val="10"/>
      <color rgb="FFFF0000"/>
      <name val="Calibri"/>
      <charset val="134"/>
    </font>
    <font>
      <sz val="10"/>
      <color theme="1"/>
      <name val="Calibri"/>
      <charset val="134"/>
    </font>
    <font>
      <sz val="12"/>
      <color theme="1"/>
      <name val="Calibri"/>
      <charset val="134"/>
    </font>
    <font>
      <sz val="12"/>
      <color theme="1"/>
      <name val="Calibri"/>
      <charset val="134"/>
    </font>
    <font>
      <sz val="12"/>
      <color indexed="8"/>
      <name val="Calibri"/>
      <charset val="134"/>
    </font>
    <font>
      <sz val="12"/>
      <color rgb="FF000000"/>
      <name val="Calibri"/>
      <charset val="134"/>
    </font>
    <font>
      <b/>
      <sz val="14"/>
      <color theme="0"/>
      <name val="Calibri"/>
      <charset val="134"/>
    </font>
    <font>
      <b/>
      <sz val="14"/>
      <color theme="1"/>
      <name val="Calibri"/>
      <charset val="134"/>
    </font>
    <font>
      <sz val="12"/>
      <name val="Calibri"/>
      <charset val="134"/>
    </font>
    <font>
      <b/>
      <sz val="12"/>
      <color theme="1"/>
      <name val="Calibri"/>
      <charset val="134"/>
    </font>
    <font>
      <b/>
      <sz val="14"/>
      <name val="Calibri"/>
      <charset val="134"/>
    </font>
    <font>
      <b/>
      <sz val="12"/>
      <color rgb="FF009A88"/>
      <name val="Calibri"/>
      <charset val="134"/>
    </font>
    <font>
      <sz val="12"/>
      <color rgb="FFFFFFFF"/>
      <name val="Calibri"/>
      <charset val="134"/>
    </font>
    <font>
      <b/>
      <sz val="12"/>
      <color rgb="FFFFFFFF"/>
      <name val="Calibri"/>
      <charset val="134"/>
    </font>
    <font>
      <sz val="12"/>
      <color indexed="9"/>
      <name val="Calibri"/>
      <charset val="134"/>
    </font>
    <font>
      <b/>
      <sz val="12"/>
      <color indexed="9"/>
      <name val="Calibri"/>
      <charset val="134"/>
    </font>
    <font>
      <sz val="12"/>
      <name val="Calibri"/>
      <charset val="134"/>
    </font>
    <font>
      <b/>
      <sz val="12"/>
      <color theme="1"/>
      <name val="Calibri"/>
      <charset val="134"/>
    </font>
    <font>
      <b/>
      <sz val="12"/>
      <color indexed="8"/>
      <name val="Calibri"/>
      <charset val="134"/>
    </font>
    <font>
      <sz val="12"/>
      <color rgb="FF0C0C0C"/>
      <name val="Calibri"/>
      <charset val="134"/>
    </font>
    <font>
      <b/>
      <sz val="12"/>
      <name val="Calibri"/>
      <charset val="134"/>
    </font>
    <font>
      <b/>
      <sz val="12"/>
      <color rgb="FF000000"/>
      <name val="Calibri"/>
      <charset val="134"/>
    </font>
    <font>
      <b/>
      <sz val="12"/>
      <color rgb="FF0C0C0C"/>
      <name val="Calibri"/>
      <charset val="134"/>
    </font>
    <font>
      <b/>
      <sz val="12"/>
      <color theme="6"/>
      <name val="Calibri"/>
      <charset val="134"/>
    </font>
    <font>
      <b/>
      <sz val="12"/>
      <name val="Calibri"/>
      <charset val="134"/>
    </font>
    <font>
      <b/>
      <sz val="16"/>
      <color rgb="FFFFFFFF"/>
      <name val="Calibri"/>
      <charset val="134"/>
    </font>
    <font>
      <b/>
      <sz val="12"/>
      <color rgb="FFFF0000"/>
      <name val="Calibri"/>
      <charset val="134"/>
    </font>
    <font>
      <sz val="11"/>
      <color theme="1"/>
      <name val="Times New Roman"/>
      <charset val="134"/>
    </font>
    <font>
      <sz val="16"/>
      <color rgb="FFFFFFFF"/>
      <name val="Times New Roman"/>
      <charset val="134"/>
    </font>
    <font>
      <sz val="14"/>
      <color rgb="FFFFFFFF"/>
      <name val="Times New Roman"/>
      <charset val="134"/>
    </font>
    <font>
      <b/>
      <sz val="12"/>
      <name val="Times New Roman"/>
      <charset val="134"/>
    </font>
    <font>
      <sz val="12"/>
      <name val="Times New Roman"/>
      <charset val="134"/>
    </font>
    <font>
      <sz val="12"/>
      <color theme="1"/>
      <name val="Times New Roman"/>
      <charset val="134"/>
    </font>
    <font>
      <b/>
      <sz val="12"/>
      <color theme="1"/>
      <name val="Times New Roman"/>
      <charset val="134"/>
    </font>
    <font>
      <b/>
      <sz val="12"/>
      <color rgb="FF000000"/>
      <name val="Times New Roman"/>
      <charset val="134"/>
    </font>
    <font>
      <b/>
      <sz val="14"/>
      <color rgb="FF000000"/>
      <name val="Times New Roman"/>
      <charset val="134"/>
    </font>
    <font>
      <u/>
      <sz val="11"/>
      <color rgb="FF0000FF"/>
      <name val="Tw Cen MT"/>
      <charset val="0"/>
      <scheme val="minor"/>
    </font>
    <font>
      <u/>
      <sz val="11"/>
      <color rgb="FF800080"/>
      <name val="Tw Cen MT"/>
      <charset val="0"/>
      <scheme val="minor"/>
    </font>
    <font>
      <sz val="11"/>
      <color rgb="FFFF0000"/>
      <name val="Tw Cen MT"/>
      <charset val="0"/>
      <scheme val="minor"/>
    </font>
    <font>
      <b/>
      <sz val="18"/>
      <color theme="3"/>
      <name val="Tw Cen MT"/>
      <charset val="134"/>
      <scheme val="minor"/>
    </font>
    <font>
      <i/>
      <sz val="11"/>
      <color rgb="FF7F7F7F"/>
      <name val="Tw Cen MT"/>
      <charset val="0"/>
      <scheme val="minor"/>
    </font>
    <font>
      <b/>
      <sz val="15"/>
      <color theme="3"/>
      <name val="Tw Cen MT"/>
      <charset val="134"/>
      <scheme val="minor"/>
    </font>
    <font>
      <b/>
      <sz val="13"/>
      <color theme="3"/>
      <name val="Tw Cen MT"/>
      <charset val="134"/>
      <scheme val="minor"/>
    </font>
    <font>
      <b/>
      <sz val="11"/>
      <color theme="3"/>
      <name val="Tw Cen MT"/>
      <charset val="134"/>
      <scheme val="minor"/>
    </font>
    <font>
      <sz val="11"/>
      <color rgb="FF3F3F76"/>
      <name val="Tw Cen MT"/>
      <charset val="0"/>
      <scheme val="minor"/>
    </font>
    <font>
      <b/>
      <sz val="11"/>
      <color rgb="FF3F3F3F"/>
      <name val="Tw Cen MT"/>
      <charset val="0"/>
      <scheme val="minor"/>
    </font>
    <font>
      <b/>
      <sz val="11"/>
      <color rgb="FFFA7D00"/>
      <name val="Tw Cen MT"/>
      <charset val="0"/>
      <scheme val="minor"/>
    </font>
    <font>
      <b/>
      <sz val="11"/>
      <color rgb="FFFFFFFF"/>
      <name val="Tw Cen MT"/>
      <charset val="0"/>
      <scheme val="minor"/>
    </font>
    <font>
      <sz val="11"/>
      <color rgb="FFFA7D00"/>
      <name val="Tw Cen MT"/>
      <charset val="0"/>
      <scheme val="minor"/>
    </font>
    <font>
      <b/>
      <sz val="11"/>
      <color theme="1"/>
      <name val="Tw Cen MT"/>
      <charset val="0"/>
      <scheme val="minor"/>
    </font>
    <font>
      <sz val="11"/>
      <color rgb="FF006100"/>
      <name val="Tw Cen MT"/>
      <charset val="0"/>
      <scheme val="minor"/>
    </font>
    <font>
      <sz val="11"/>
      <color rgb="FF9C0006"/>
      <name val="Tw Cen MT"/>
      <charset val="0"/>
      <scheme val="minor"/>
    </font>
    <font>
      <sz val="11"/>
      <color rgb="FF9C6500"/>
      <name val="Tw Cen MT"/>
      <charset val="0"/>
      <scheme val="minor"/>
    </font>
    <font>
      <sz val="11"/>
      <color theme="0"/>
      <name val="Tw Cen MT"/>
      <charset val="0"/>
      <scheme val="minor"/>
    </font>
    <font>
      <sz val="11"/>
      <color theme="1"/>
      <name val="Tw Cen MT"/>
      <charset val="0"/>
      <scheme val="minor"/>
    </font>
    <font>
      <sz val="12"/>
      <name val="Arial"/>
      <charset val="134"/>
    </font>
    <font>
      <sz val="11"/>
      <color rgb="FF000000"/>
      <name val="Calibri"/>
      <charset val="134"/>
    </font>
    <font>
      <b/>
      <sz val="12"/>
      <color theme="1"/>
      <name val="Tw Cen MT"/>
      <charset val="134"/>
      <scheme val="minor"/>
    </font>
    <font>
      <sz val="12"/>
      <color rgb="FFFF0000"/>
      <name val="Calibri"/>
      <charset val="134"/>
    </font>
  </fonts>
  <fills count="4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2065187536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14548173467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496A"/>
        <bgColor indexed="64"/>
      </patternFill>
    </fill>
    <fill>
      <patternFill patternType="solid">
        <fgColor rgb="FF366092"/>
        <bgColor rgb="FF366092"/>
      </patternFill>
    </fill>
    <fill>
      <patternFill patternType="solid">
        <fgColor rgb="FF366092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DAEEF3"/>
        <bgColor rgb="FFDAEEF3"/>
      </patternFill>
    </fill>
    <fill>
      <patternFill patternType="solid">
        <fgColor rgb="FFB6DDE8"/>
        <bgColor rgb="FFB6DDE8"/>
      </patternFill>
    </fill>
    <fill>
      <patternFill patternType="solid">
        <fgColor rgb="FF92CDDC"/>
        <bgColor rgb="FF92CDDC"/>
      </patternFill>
    </fill>
    <fill>
      <patternFill patternType="solid">
        <fgColor rgb="FFDAEEF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8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0" fillId="17" borderId="40" applyNumberFormat="0" applyFont="0" applyAlignment="0" applyProtection="0"/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7" fillId="0" borderId="41" applyNumberFormat="0" applyFill="0" applyAlignment="0" applyProtection="0">
      <alignment vertical="center"/>
    </xf>
    <xf numFmtId="0" fontId="48" fillId="0" borderId="42" applyNumberFormat="0" applyFill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18" borderId="43" applyNumberFormat="0" applyAlignment="0" applyProtection="0">
      <alignment vertical="center"/>
    </xf>
    <xf numFmtId="0" fontId="50" fillId="19" borderId="44" applyNumberFormat="0" applyAlignment="0" applyProtection="0">
      <alignment vertical="center"/>
    </xf>
    <xf numFmtId="0" fontId="51" fillId="19" borderId="43" applyNumberFormat="0" applyAlignment="0" applyProtection="0">
      <alignment vertical="center"/>
    </xf>
    <xf numFmtId="0" fontId="52" fillId="20" borderId="45" applyNumberFormat="0" applyAlignment="0" applyProtection="0">
      <alignment vertical="center"/>
    </xf>
    <xf numFmtId="0" fontId="53" fillId="0" borderId="46" applyNumberFormat="0" applyFill="0" applyAlignment="0" applyProtection="0">
      <alignment vertical="center"/>
    </xf>
    <xf numFmtId="0" fontId="54" fillId="0" borderId="47" applyNumberFormat="0" applyFill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6" fillId="22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9" fillId="29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9" fillId="33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8" fillId="35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59" fillId="37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8" fillId="39" borderId="0" applyNumberFormat="0" applyBorder="0" applyAlignment="0" applyProtection="0">
      <alignment vertical="center"/>
    </xf>
    <xf numFmtId="0" fontId="58" fillId="40" borderId="0" applyNumberFormat="0" applyBorder="0" applyAlignment="0" applyProtection="0">
      <alignment vertical="center"/>
    </xf>
    <xf numFmtId="0" fontId="59" fillId="41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58" fillId="43" borderId="0" applyNumberFormat="0" applyBorder="0" applyAlignment="0" applyProtection="0">
      <alignment vertical="center"/>
    </xf>
    <xf numFmtId="0" fontId="58" fillId="44" borderId="0" applyNumberFormat="0" applyBorder="0" applyAlignment="0" applyProtection="0">
      <alignment vertical="center"/>
    </xf>
    <xf numFmtId="0" fontId="59" fillId="45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44" fontId="0" fillId="0" borderId="0" applyFont="0" applyFill="0" applyBorder="0" applyAlignment="0" applyProtection="0"/>
    <xf numFmtId="44" fontId="60" fillId="0" borderId="0" applyFont="0" applyFill="0" applyBorder="0" applyAlignment="0" applyProtection="0"/>
    <xf numFmtId="44" fontId="0" fillId="0" borderId="0" applyFont="0" applyFill="0" applyBorder="0" applyAlignment="0" applyProtection="0"/>
    <xf numFmtId="0" fontId="0" fillId="0" borderId="0"/>
    <xf numFmtId="0" fontId="60" fillId="0" borderId="0"/>
    <xf numFmtId="0" fontId="61" fillId="0" borderId="0">
      <protection locked="0"/>
    </xf>
    <xf numFmtId="9" fontId="60" fillId="0" borderId="0" applyFont="0" applyFill="0" applyBorder="0" applyAlignment="0" applyProtection="0"/>
    <xf numFmtId="9" fontId="0" fillId="0" borderId="0" applyFont="0" applyFill="0" applyBorder="0" applyAlignment="0" applyProtection="0"/>
    <xf numFmtId="1" fontId="62" fillId="2" borderId="15">
      <alignment horizontal="center" vertical="center"/>
    </xf>
  </cellStyleXfs>
  <cellXfs count="251">
    <xf numFmtId="0" fontId="0" fillId="0" borderId="0" xfId="0"/>
    <xf numFmtId="0" fontId="1" fillId="2" borderId="0" xfId="52" applyFont="1" applyFill="1"/>
    <xf numFmtId="0" fontId="2" fillId="2" borderId="0" xfId="52" applyFont="1" applyFill="1"/>
    <xf numFmtId="0" fontId="3" fillId="2" borderId="0" xfId="52" applyFont="1" applyFill="1"/>
    <xf numFmtId="0" fontId="4" fillId="3" borderId="1" xfId="52" applyFont="1" applyFill="1" applyBorder="1" applyAlignment="1">
      <alignment horizontal="center"/>
    </xf>
    <xf numFmtId="0" fontId="4" fillId="3" borderId="2" xfId="52" applyFont="1" applyFill="1" applyBorder="1" applyAlignment="1">
      <alignment horizontal="center"/>
    </xf>
    <xf numFmtId="0" fontId="3" fillId="4" borderId="3" xfId="52" applyFont="1" applyFill="1" applyBorder="1" applyAlignment="1">
      <alignment horizontal="right"/>
    </xf>
    <xf numFmtId="0" fontId="4" fillId="4" borderId="4" xfId="52" applyFont="1" applyFill="1" applyBorder="1"/>
    <xf numFmtId="44" fontId="4" fillId="4" borderId="5" xfId="51" applyFont="1" applyFill="1" applyBorder="1"/>
    <xf numFmtId="0" fontId="3" fillId="4" borderId="6" xfId="52" applyFont="1" applyFill="1" applyBorder="1" applyAlignment="1">
      <alignment horizontal="right"/>
    </xf>
    <xf numFmtId="0" fontId="4" fillId="4" borderId="0" xfId="52" applyFont="1" applyFill="1"/>
    <xf numFmtId="44" fontId="4" fillId="4" borderId="7" xfId="51" applyFont="1" applyFill="1" applyBorder="1"/>
    <xf numFmtId="0" fontId="3" fillId="4" borderId="8" xfId="52" applyFont="1" applyFill="1" applyBorder="1" applyAlignment="1">
      <alignment horizontal="right"/>
    </xf>
    <xf numFmtId="0" fontId="4" fillId="4" borderId="9" xfId="52" applyFont="1" applyFill="1" applyBorder="1"/>
    <xf numFmtId="178" fontId="4" fillId="4" borderId="10" xfId="51" applyNumberFormat="1" applyFont="1" applyFill="1" applyBorder="1"/>
    <xf numFmtId="0" fontId="4" fillId="3" borderId="3" xfId="52" applyFont="1" applyFill="1" applyBorder="1" applyAlignment="1">
      <alignment horizontal="center"/>
    </xf>
    <xf numFmtId="0" fontId="4" fillId="3" borderId="5" xfId="52" applyFont="1" applyFill="1" applyBorder="1" applyAlignment="1">
      <alignment horizontal="center"/>
    </xf>
    <xf numFmtId="0" fontId="4" fillId="5" borderId="3" xfId="52" applyFont="1" applyFill="1" applyBorder="1" applyAlignment="1">
      <alignment horizontal="right"/>
    </xf>
    <xf numFmtId="0" fontId="4" fillId="5" borderId="4" xfId="52" applyFont="1" applyFill="1" applyBorder="1"/>
    <xf numFmtId="9" fontId="4" fillId="5" borderId="5" xfId="56" applyFont="1" applyFill="1" applyBorder="1"/>
    <xf numFmtId="0" fontId="4" fillId="5" borderId="6" xfId="52" applyFont="1" applyFill="1" applyBorder="1"/>
    <xf numFmtId="0" fontId="4" fillId="5" borderId="0" xfId="52" applyFont="1" applyFill="1"/>
    <xf numFmtId="9" fontId="4" fillId="5" borderId="7" xfId="56" applyFont="1" applyFill="1" applyBorder="1"/>
    <xf numFmtId="0" fontId="4" fillId="5" borderId="8" xfId="52" applyFont="1" applyFill="1" applyBorder="1"/>
    <xf numFmtId="0" fontId="4" fillId="5" borderId="9" xfId="52" applyFont="1" applyFill="1" applyBorder="1"/>
    <xf numFmtId="9" fontId="4" fillId="5" borderId="10" xfId="56" applyFont="1" applyFill="1" applyBorder="1"/>
    <xf numFmtId="0" fontId="5" fillId="2" borderId="0" xfId="52" applyFont="1" applyFill="1"/>
    <xf numFmtId="0" fontId="6" fillId="2" borderId="0" xfId="52" applyFont="1" applyFill="1"/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wrapText="1"/>
    </xf>
    <xf numFmtId="0" fontId="8" fillId="2" borderId="0" xfId="0" applyFont="1" applyFill="1" applyAlignment="1">
      <alignment vertical="center" wrapText="1"/>
    </xf>
    <xf numFmtId="0" fontId="9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7" fillId="2" borderId="0" xfId="0" applyFont="1" applyFill="1" applyAlignment="1">
      <alignment vertical="center"/>
    </xf>
    <xf numFmtId="0" fontId="7" fillId="2" borderId="0" xfId="0" applyFont="1" applyFill="1" applyAlignment="1">
      <alignment vertical="center" wrapText="1"/>
    </xf>
    <xf numFmtId="0" fontId="7" fillId="2" borderId="0" xfId="0" applyFont="1" applyFill="1" applyAlignment="1">
      <alignment horizontal="center" vertical="center"/>
    </xf>
    <xf numFmtId="0" fontId="7" fillId="6" borderId="3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/>
    </xf>
    <xf numFmtId="0" fontId="11" fillId="7" borderId="11" xfId="0" applyFont="1" applyFill="1" applyBorder="1" applyAlignment="1">
      <alignment horizontal="center" vertical="center"/>
    </xf>
    <xf numFmtId="0" fontId="11" fillId="7" borderId="11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vertical="center"/>
    </xf>
    <xf numFmtId="0" fontId="12" fillId="0" borderId="4" xfId="0" applyFont="1" applyBorder="1" applyAlignment="1">
      <alignment horizontal="left" wrapText="1"/>
    </xf>
    <xf numFmtId="0" fontId="13" fillId="2" borderId="0" xfId="0" applyFont="1" applyFill="1" applyAlignment="1">
      <alignment horizontal="center" vertical="center"/>
    </xf>
    <xf numFmtId="0" fontId="14" fillId="0" borderId="0" xfId="0" applyFont="1" applyAlignment="1">
      <alignment vertical="center"/>
    </xf>
    <xf numFmtId="3" fontId="12" fillId="2" borderId="0" xfId="0" applyNumberFormat="1" applyFont="1" applyFill="1" applyAlignment="1">
      <alignment horizontal="left"/>
    </xf>
    <xf numFmtId="0" fontId="7" fillId="0" borderId="0" xfId="0" applyFont="1" applyAlignment="1">
      <alignment horizontal="center" vertical="center"/>
    </xf>
    <xf numFmtId="0" fontId="13" fillId="2" borderId="0" xfId="0" applyFont="1" applyFill="1" applyAlignment="1">
      <alignment horizontal="left" vertical="center" wrapText="1"/>
    </xf>
    <xf numFmtId="0" fontId="15" fillId="2" borderId="0" xfId="0" applyFont="1" applyFill="1" applyAlignment="1">
      <alignment horizontal="left" vertical="center"/>
    </xf>
    <xf numFmtId="3" fontId="16" fillId="2" borderId="0" xfId="0" applyNumberFormat="1" applyFont="1" applyFill="1" applyAlignment="1">
      <alignment horizontal="left" vertical="center" wrapText="1"/>
    </xf>
    <xf numFmtId="179" fontId="17" fillId="8" borderId="12" xfId="0" applyNumberFormat="1" applyFont="1" applyFill="1" applyBorder="1" applyAlignment="1">
      <alignment horizontal="center" vertical="center" wrapText="1"/>
    </xf>
    <xf numFmtId="179" fontId="17" fillId="8" borderId="13" xfId="0" applyNumberFormat="1" applyFont="1" applyFill="1" applyBorder="1" applyAlignment="1">
      <alignment horizontal="center" vertical="center" wrapText="1"/>
    </xf>
    <xf numFmtId="0" fontId="18" fillId="8" borderId="13" xfId="0" applyFont="1" applyFill="1" applyBorder="1" applyAlignment="1">
      <alignment horizontal="center" vertical="center" wrapText="1"/>
    </xf>
    <xf numFmtId="179" fontId="19" fillId="9" borderId="14" xfId="0" applyNumberFormat="1" applyFont="1" applyFill="1" applyBorder="1" applyAlignment="1">
      <alignment horizontal="center" vertical="center" wrapText="1"/>
    </xf>
    <xf numFmtId="179" fontId="19" fillId="9" borderId="15" xfId="0" applyNumberFormat="1" applyFont="1" applyFill="1" applyBorder="1" applyAlignment="1">
      <alignment horizontal="center" vertical="center" wrapText="1"/>
    </xf>
    <xf numFmtId="179" fontId="17" fillId="8" borderId="15" xfId="0" applyNumberFormat="1" applyFont="1" applyFill="1" applyBorder="1" applyAlignment="1">
      <alignment horizontal="center" vertical="center" wrapText="1"/>
    </xf>
    <xf numFmtId="0" fontId="20" fillId="9" borderId="15" xfId="0" applyFont="1" applyFill="1" applyBorder="1" applyAlignment="1">
      <alignment horizontal="left" vertical="center" wrapText="1"/>
    </xf>
    <xf numFmtId="1" fontId="21" fillId="2" borderId="12" xfId="8" applyNumberFormat="1" applyFont="1" applyFill="1" applyBorder="1" applyAlignment="1">
      <alignment horizontal="center" vertical="center" wrapText="1"/>
    </xf>
    <xf numFmtId="1" fontId="21" fillId="2" borderId="16" xfId="8" applyNumberFormat="1" applyFont="1" applyFill="1" applyBorder="1" applyAlignment="1">
      <alignment horizontal="center" vertical="center" wrapText="1"/>
    </xf>
    <xf numFmtId="0" fontId="8" fillId="0" borderId="13" xfId="0" applyFont="1" applyBorder="1" applyAlignment="1">
      <alignment horizontal="left" vertical="center" wrapText="1"/>
    </xf>
    <xf numFmtId="0" fontId="8" fillId="0" borderId="13" xfId="0" applyFont="1" applyBorder="1" applyAlignment="1">
      <alignment horizontal="center" vertical="center" wrapText="1"/>
    </xf>
    <xf numFmtId="9" fontId="8" fillId="0" borderId="13" xfId="0" applyNumberFormat="1" applyFont="1" applyBorder="1" applyAlignment="1">
      <alignment horizontal="center" vertical="center" wrapText="1"/>
    </xf>
    <xf numFmtId="1" fontId="8" fillId="0" borderId="13" xfId="0" applyNumberFormat="1" applyFont="1" applyBorder="1" applyAlignment="1">
      <alignment horizontal="center" vertical="center" wrapText="1"/>
    </xf>
    <xf numFmtId="1" fontId="21" fillId="2" borderId="14" xfId="8" applyNumberFormat="1" applyFont="1" applyFill="1" applyBorder="1" applyAlignment="1">
      <alignment horizontal="center" vertical="center" wrapText="1"/>
    </xf>
    <xf numFmtId="1" fontId="21" fillId="2" borderId="17" xfId="8" applyNumberFormat="1" applyFont="1" applyFill="1" applyBorder="1" applyAlignment="1">
      <alignment horizontal="center" vertical="center" wrapText="1"/>
    </xf>
    <xf numFmtId="0" fontId="8" fillId="0" borderId="15" xfId="0" applyFont="1" applyBorder="1" applyAlignment="1">
      <alignment horizontal="left" vertical="center" wrapText="1"/>
    </xf>
    <xf numFmtId="0" fontId="8" fillId="0" borderId="15" xfId="0" applyFont="1" applyBorder="1" applyAlignment="1">
      <alignment horizontal="center" vertical="center" wrapText="1"/>
    </xf>
    <xf numFmtId="9" fontId="8" fillId="0" borderId="15" xfId="0" applyNumberFormat="1" applyFont="1" applyBorder="1" applyAlignment="1">
      <alignment horizontal="center" vertical="center" wrapText="1"/>
    </xf>
    <xf numFmtId="1" fontId="8" fillId="0" borderId="15" xfId="0" applyNumberFormat="1" applyFont="1" applyBorder="1" applyAlignment="1">
      <alignment horizontal="center" vertical="center" wrapText="1"/>
    </xf>
    <xf numFmtId="1" fontId="21" fillId="2" borderId="18" xfId="8" applyNumberFormat="1" applyFont="1" applyFill="1" applyBorder="1" applyAlignment="1">
      <alignment horizontal="center" vertical="center" wrapText="1"/>
    </xf>
    <xf numFmtId="1" fontId="21" fillId="2" borderId="15" xfId="8" applyNumberFormat="1" applyFont="1" applyFill="1" applyBorder="1" applyAlignment="1">
      <alignment horizontal="center" vertical="center" wrapText="1"/>
    </xf>
    <xf numFmtId="0" fontId="8" fillId="0" borderId="19" xfId="0" applyFont="1" applyBorder="1" applyAlignment="1">
      <alignment horizontal="left" vertical="center" wrapText="1"/>
    </xf>
    <xf numFmtId="0" fontId="8" fillId="0" borderId="19" xfId="0" applyFont="1" applyBorder="1" applyAlignment="1">
      <alignment horizontal="center" vertical="center" wrapText="1"/>
    </xf>
    <xf numFmtId="9" fontId="8" fillId="0" borderId="19" xfId="0" applyNumberFormat="1" applyFont="1" applyBorder="1" applyAlignment="1">
      <alignment horizontal="center" vertical="center" wrapText="1"/>
    </xf>
    <xf numFmtId="1" fontId="8" fillId="0" borderId="19" xfId="0" applyNumberFormat="1" applyFont="1" applyBorder="1" applyAlignment="1">
      <alignment horizontal="center" vertical="center" wrapText="1"/>
    </xf>
    <xf numFmtId="0" fontId="22" fillId="0" borderId="18" xfId="0" applyFont="1" applyBorder="1" applyAlignment="1">
      <alignment vertical="center" wrapText="1"/>
    </xf>
    <xf numFmtId="0" fontId="22" fillId="0" borderId="15" xfId="0" applyFont="1" applyBorder="1" applyAlignment="1">
      <alignment vertical="center" wrapText="1"/>
    </xf>
    <xf numFmtId="0" fontId="22" fillId="0" borderId="20" xfId="0" applyFont="1" applyBorder="1" applyAlignment="1">
      <alignment vertical="center" wrapText="1"/>
    </xf>
    <xf numFmtId="0" fontId="23" fillId="0" borderId="21" xfId="0" applyFont="1" applyBorder="1" applyAlignment="1">
      <alignment horizontal="right" vertical="center" wrapText="1"/>
    </xf>
    <xf numFmtId="0" fontId="22" fillId="0" borderId="22" xfId="0" applyFont="1" applyBorder="1" applyAlignment="1">
      <alignment vertical="center" wrapText="1"/>
    </xf>
    <xf numFmtId="0" fontId="22" fillId="0" borderId="23" xfId="0" applyFont="1" applyBorder="1" applyAlignment="1">
      <alignment vertical="center" wrapText="1"/>
    </xf>
    <xf numFmtId="179" fontId="19" fillId="9" borderId="18" xfId="0" applyNumberFormat="1" applyFont="1" applyFill="1" applyBorder="1" applyAlignment="1">
      <alignment horizontal="center" vertical="center" wrapText="1"/>
    </xf>
    <xf numFmtId="179" fontId="19" fillId="9" borderId="17" xfId="0" applyNumberFormat="1" applyFont="1" applyFill="1" applyBorder="1" applyAlignment="1">
      <alignment horizontal="center" vertical="center" wrapText="1"/>
    </xf>
    <xf numFmtId="1" fontId="21" fillId="0" borderId="18" xfId="8" applyNumberFormat="1" applyFont="1" applyFill="1" applyBorder="1" applyAlignment="1">
      <alignment horizontal="center" vertical="center" wrapText="1"/>
    </xf>
    <xf numFmtId="1" fontId="21" fillId="0" borderId="15" xfId="8" applyNumberFormat="1" applyFont="1" applyFill="1" applyBorder="1" applyAlignment="1">
      <alignment vertical="center" wrapText="1"/>
    </xf>
    <xf numFmtId="1" fontId="21" fillId="0" borderId="20" xfId="8" applyNumberFormat="1" applyFont="1" applyFill="1" applyBorder="1" applyAlignment="1">
      <alignment horizontal="center" vertical="center" wrapText="1"/>
    </xf>
    <xf numFmtId="0" fontId="23" fillId="10" borderId="15" xfId="0" applyFont="1" applyFill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1" fontId="21" fillId="2" borderId="24" xfId="8" applyNumberFormat="1" applyFont="1" applyFill="1" applyBorder="1" applyAlignment="1">
      <alignment horizontal="center" vertical="center" wrapText="1"/>
    </xf>
    <xf numFmtId="1" fontId="21" fillId="2" borderId="20" xfId="8" applyNumberFormat="1" applyFont="1" applyFill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 wrapText="1"/>
    </xf>
    <xf numFmtId="0" fontId="9" fillId="0" borderId="15" xfId="0" applyFont="1" applyBorder="1" applyAlignment="1">
      <alignment vertical="center" wrapText="1"/>
    </xf>
    <xf numFmtId="1" fontId="8" fillId="0" borderId="17" xfId="0" applyNumberFormat="1" applyFont="1" applyBorder="1" applyAlignment="1">
      <alignment horizontal="center" vertical="center" wrapText="1"/>
    </xf>
    <xf numFmtId="9" fontId="24" fillId="0" borderId="15" xfId="0" applyNumberFormat="1" applyFont="1" applyBorder="1" applyAlignment="1">
      <alignment horizontal="center" vertical="center" wrapText="1"/>
    </xf>
    <xf numFmtId="1" fontId="24" fillId="0" borderId="15" xfId="0" applyNumberFormat="1" applyFont="1" applyBorder="1" applyAlignment="1">
      <alignment horizontal="center" vertical="center" wrapText="1"/>
    </xf>
    <xf numFmtId="0" fontId="22" fillId="0" borderId="15" xfId="0" applyFont="1" applyBorder="1" applyAlignment="1">
      <alignment horizontal="left" vertical="center" wrapText="1"/>
    </xf>
    <xf numFmtId="0" fontId="21" fillId="0" borderId="24" xfId="0" applyFont="1" applyBorder="1" applyAlignment="1">
      <alignment vertical="center" wrapText="1"/>
    </xf>
    <xf numFmtId="0" fontId="21" fillId="0" borderId="15" xfId="0" applyFont="1" applyBorder="1" applyAlignment="1">
      <alignment vertical="center" wrapText="1"/>
    </xf>
    <xf numFmtId="0" fontId="21" fillId="0" borderId="23" xfId="0" applyFont="1" applyBorder="1" applyAlignment="1">
      <alignment vertical="center" wrapText="1"/>
    </xf>
    <xf numFmtId="0" fontId="21" fillId="0" borderId="0" xfId="0" applyFont="1" applyAlignment="1">
      <alignment vertical="center" wrapText="1"/>
    </xf>
    <xf numFmtId="0" fontId="21" fillId="0" borderId="15" xfId="0" applyFont="1" applyBorder="1" applyAlignment="1">
      <alignment horizontal="center" vertical="center" wrapText="1"/>
    </xf>
    <xf numFmtId="0" fontId="21" fillId="0" borderId="17" xfId="0" applyFont="1" applyBorder="1" applyAlignment="1">
      <alignment horizontal="center" vertical="center" wrapText="1"/>
    </xf>
    <xf numFmtId="0" fontId="21" fillId="0" borderId="25" xfId="0" applyFont="1" applyBorder="1" applyAlignment="1">
      <alignment horizontal="center" vertical="center" wrapText="1"/>
    </xf>
    <xf numFmtId="0" fontId="25" fillId="11" borderId="15" xfId="0" applyFont="1" applyFill="1" applyBorder="1" applyAlignment="1">
      <alignment horizontal="center" vertical="center" wrapText="1"/>
    </xf>
    <xf numFmtId="0" fontId="26" fillId="12" borderId="18" xfId="0" applyFont="1" applyFill="1" applyBorder="1" applyAlignment="1">
      <alignment horizontal="left" vertical="center" wrapText="1"/>
    </xf>
    <xf numFmtId="0" fontId="10" fillId="12" borderId="15" xfId="0" applyFont="1" applyFill="1" applyBorder="1" applyAlignment="1">
      <alignment horizontal="center" vertical="center" wrapText="1"/>
    </xf>
    <xf numFmtId="0" fontId="26" fillId="12" borderId="17" xfId="0" applyFont="1" applyFill="1" applyBorder="1" applyAlignment="1">
      <alignment horizontal="center" vertical="center" wrapText="1"/>
    </xf>
    <xf numFmtId="0" fontId="26" fillId="12" borderId="15" xfId="0" applyFont="1" applyFill="1" applyBorder="1" applyAlignment="1">
      <alignment horizontal="left" vertical="center" wrapText="1"/>
    </xf>
    <xf numFmtId="0" fontId="27" fillId="12" borderId="15" xfId="0" applyFont="1" applyFill="1" applyBorder="1" applyAlignment="1">
      <alignment horizontal="center" vertical="center" wrapText="1"/>
    </xf>
    <xf numFmtId="1" fontId="27" fillId="12" borderId="15" xfId="0" applyNumberFormat="1" applyFont="1" applyFill="1" applyBorder="1" applyAlignment="1">
      <alignment horizontal="center" vertical="center" wrapText="1"/>
    </xf>
    <xf numFmtId="0" fontId="27" fillId="12" borderId="13" xfId="0" applyFont="1" applyFill="1" applyBorder="1" applyAlignment="1">
      <alignment horizontal="center" vertical="center" wrapText="1"/>
    </xf>
    <xf numFmtId="0" fontId="26" fillId="12" borderId="14" xfId="0" applyFont="1" applyFill="1" applyBorder="1" applyAlignment="1">
      <alignment horizontal="left" vertical="center" wrapText="1"/>
    </xf>
    <xf numFmtId="0" fontId="26" fillId="12" borderId="15" xfId="0" applyFont="1" applyFill="1" applyBorder="1" applyAlignment="1">
      <alignment horizontal="center" wrapText="1"/>
    </xf>
    <xf numFmtId="0" fontId="26" fillId="12" borderId="15" xfId="0" applyFont="1" applyFill="1" applyBorder="1" applyAlignment="1">
      <alignment horizontal="left" wrapText="1"/>
    </xf>
    <xf numFmtId="1" fontId="26" fillId="12" borderId="15" xfId="0" applyNumberFormat="1" applyFont="1" applyFill="1" applyBorder="1" applyAlignment="1">
      <alignment horizontal="center" vertical="center" wrapText="1"/>
    </xf>
    <xf numFmtId="0" fontId="26" fillId="12" borderId="15" xfId="0" applyFont="1" applyFill="1" applyBorder="1" applyAlignment="1">
      <alignment horizontal="center" vertical="center" wrapText="1"/>
    </xf>
    <xf numFmtId="0" fontId="26" fillId="13" borderId="14" xfId="0" applyFont="1" applyFill="1" applyBorder="1" applyAlignment="1">
      <alignment horizontal="left" vertical="center" wrapText="1"/>
    </xf>
    <xf numFmtId="0" fontId="10" fillId="13" borderId="15" xfId="0" applyFont="1" applyFill="1" applyBorder="1" applyAlignment="1">
      <alignment horizontal="center" vertical="center" wrapText="1"/>
    </xf>
    <xf numFmtId="0" fontId="26" fillId="13" borderId="15" xfId="0" applyFont="1" applyFill="1" applyBorder="1" applyAlignment="1">
      <alignment horizontal="center" wrapText="1"/>
    </xf>
    <xf numFmtId="0" fontId="26" fillId="13" borderId="15" xfId="0" applyFont="1" applyFill="1" applyBorder="1" applyAlignment="1">
      <alignment horizontal="left" wrapText="1"/>
    </xf>
    <xf numFmtId="1" fontId="26" fillId="13" borderId="15" xfId="0" applyNumberFormat="1" applyFont="1" applyFill="1" applyBorder="1" applyAlignment="1">
      <alignment horizontal="center" vertical="center" wrapText="1"/>
    </xf>
    <xf numFmtId="0" fontId="26" fillId="13" borderId="15" xfId="0" applyFont="1" applyFill="1" applyBorder="1" applyAlignment="1">
      <alignment horizontal="center" vertical="center" wrapText="1"/>
    </xf>
    <xf numFmtId="0" fontId="26" fillId="14" borderId="14" xfId="0" applyFont="1" applyFill="1" applyBorder="1" applyAlignment="1">
      <alignment horizontal="left" vertical="center" wrapText="1"/>
    </xf>
    <xf numFmtId="0" fontId="10" fillId="14" borderId="15" xfId="0" applyFont="1" applyFill="1" applyBorder="1" applyAlignment="1">
      <alignment horizontal="center" vertical="center" wrapText="1"/>
    </xf>
    <xf numFmtId="0" fontId="26" fillId="14" borderId="15" xfId="0" applyFont="1" applyFill="1" applyBorder="1" applyAlignment="1">
      <alignment horizontal="center" wrapText="1"/>
    </xf>
    <xf numFmtId="0" fontId="26" fillId="14" borderId="15" xfId="0" applyFont="1" applyFill="1" applyBorder="1" applyAlignment="1">
      <alignment horizontal="left" wrapText="1"/>
    </xf>
    <xf numFmtId="1" fontId="26" fillId="14" borderId="15" xfId="0" applyNumberFormat="1" applyFont="1" applyFill="1" applyBorder="1" applyAlignment="1">
      <alignment horizontal="center" vertical="center" wrapText="1"/>
    </xf>
    <xf numFmtId="0" fontId="26" fillId="14" borderId="15" xfId="0" applyFont="1" applyFill="1" applyBorder="1" applyAlignment="1">
      <alignment horizontal="center" vertical="center" wrapText="1"/>
    </xf>
    <xf numFmtId="0" fontId="26" fillId="14" borderId="26" xfId="0" applyFont="1" applyFill="1" applyBorder="1" applyAlignment="1">
      <alignment horizontal="left" vertical="center" wrapText="1"/>
    </xf>
    <xf numFmtId="0" fontId="10" fillId="14" borderId="27" xfId="0" applyFont="1" applyFill="1" applyBorder="1" applyAlignment="1">
      <alignment horizontal="center" vertical="center" wrapText="1"/>
    </xf>
    <xf numFmtId="179" fontId="26" fillId="14" borderId="27" xfId="0" applyNumberFormat="1" applyFont="1" applyFill="1" applyBorder="1" applyAlignment="1">
      <alignment horizontal="center" vertical="center" wrapText="1"/>
    </xf>
    <xf numFmtId="0" fontId="26" fillId="14" borderId="27" xfId="0" applyFont="1" applyFill="1" applyBorder="1" applyAlignment="1">
      <alignment horizontal="left" vertical="center" wrapText="1"/>
    </xf>
    <xf numFmtId="0" fontId="27" fillId="14" borderId="27" xfId="0" applyFont="1" applyFill="1" applyBorder="1" applyAlignment="1">
      <alignment horizontal="center" vertical="center" wrapText="1"/>
    </xf>
    <xf numFmtId="1" fontId="27" fillId="14" borderId="27" xfId="0" applyNumberFormat="1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horizontal="left" vertical="center"/>
    </xf>
    <xf numFmtId="0" fontId="29" fillId="2" borderId="0" xfId="0" applyFont="1" applyFill="1" applyAlignment="1">
      <alignment horizontal="right" vertical="center"/>
    </xf>
    <xf numFmtId="0" fontId="28" fillId="2" borderId="0" xfId="0" applyFont="1" applyFill="1" applyAlignment="1">
      <alignment horizontal="center" vertical="center"/>
    </xf>
    <xf numFmtId="0" fontId="28" fillId="2" borderId="0" xfId="0" applyFont="1" applyFill="1" applyAlignment="1">
      <alignment horizontal="left" vertical="center"/>
    </xf>
    <xf numFmtId="180" fontId="10" fillId="0" borderId="15" xfId="0" applyNumberFormat="1" applyFont="1" applyBorder="1" applyAlignment="1">
      <alignment horizontal="center" vertical="center" wrapText="1"/>
    </xf>
    <xf numFmtId="181" fontId="10" fillId="0" borderId="15" xfId="0" applyNumberFormat="1" applyFont="1" applyBorder="1" applyAlignment="1">
      <alignment horizontal="center" vertical="center" wrapText="1"/>
    </xf>
    <xf numFmtId="44" fontId="8" fillId="0" borderId="15" xfId="2" applyFont="1" applyBorder="1" applyAlignment="1" applyProtection="1">
      <alignment horizontal="center" vertical="center" wrapText="1"/>
    </xf>
    <xf numFmtId="182" fontId="8" fillId="0" borderId="15" xfId="0" applyNumberFormat="1" applyFont="1" applyBorder="1" applyAlignment="1">
      <alignment horizontal="left" vertical="center" wrapText="1"/>
    </xf>
    <xf numFmtId="180" fontId="10" fillId="0" borderId="19" xfId="0" applyNumberFormat="1" applyFont="1" applyBorder="1" applyAlignment="1">
      <alignment horizontal="center" vertical="center" wrapText="1"/>
    </xf>
    <xf numFmtId="181" fontId="10" fillId="0" borderId="19" xfId="0" applyNumberFormat="1" applyFont="1" applyBorder="1" applyAlignment="1">
      <alignment horizontal="center" vertical="center" wrapText="1"/>
    </xf>
    <xf numFmtId="44" fontId="8" fillId="0" borderId="19" xfId="2" applyFont="1" applyBorder="1" applyAlignment="1" applyProtection="1">
      <alignment horizontal="center" vertical="center" wrapText="1"/>
    </xf>
    <xf numFmtId="182" fontId="8" fillId="0" borderId="19" xfId="0" applyNumberFormat="1" applyFont="1" applyBorder="1" applyAlignment="1">
      <alignment horizontal="left" vertical="center" wrapText="1"/>
    </xf>
    <xf numFmtId="44" fontId="22" fillId="0" borderId="22" xfId="2" applyFont="1" applyFill="1" applyBorder="1" applyAlignment="1">
      <alignment horizontal="right" vertical="center" wrapText="1"/>
    </xf>
    <xf numFmtId="44" fontId="8" fillId="0" borderId="15" xfId="2" applyFont="1" applyFill="1" applyBorder="1" applyAlignment="1">
      <alignment horizontal="center" vertical="center" wrapText="1"/>
    </xf>
    <xf numFmtId="0" fontId="8" fillId="0" borderId="22" xfId="0" applyFont="1" applyBorder="1" applyAlignment="1">
      <alignment vertical="center" wrapText="1"/>
    </xf>
    <xf numFmtId="1" fontId="25" fillId="11" borderId="15" xfId="0" applyNumberFormat="1" applyFont="1" applyFill="1" applyBorder="1" applyAlignment="1">
      <alignment horizontal="center" vertical="center" wrapText="1"/>
    </xf>
    <xf numFmtId="0" fontId="25" fillId="4" borderId="15" xfId="0" applyFont="1" applyFill="1" applyBorder="1" applyAlignment="1">
      <alignment horizontal="center" vertical="center" wrapText="1"/>
    </xf>
    <xf numFmtId="178" fontId="25" fillId="4" borderId="15" xfId="0" applyNumberFormat="1" applyFont="1" applyFill="1" applyBorder="1" applyAlignment="1">
      <alignment horizontal="center" vertical="center" wrapText="1"/>
    </xf>
    <xf numFmtId="0" fontId="25" fillId="5" borderId="15" xfId="0" applyFont="1" applyFill="1" applyBorder="1" applyAlignment="1">
      <alignment horizontal="center" vertical="center" wrapText="1"/>
    </xf>
    <xf numFmtId="178" fontId="25" fillId="5" borderId="15" xfId="0" applyNumberFormat="1" applyFont="1" applyFill="1" applyBorder="1" applyAlignment="1">
      <alignment horizontal="center" vertical="center" wrapText="1"/>
    </xf>
    <xf numFmtId="44" fontId="27" fillId="12" borderId="13" xfId="0" applyNumberFormat="1" applyFont="1" applyFill="1" applyBorder="1" applyAlignment="1">
      <alignment horizontal="left" vertical="center" wrapText="1"/>
    </xf>
    <xf numFmtId="44" fontId="27" fillId="12" borderId="15" xfId="0" applyNumberFormat="1" applyFont="1" applyFill="1" applyBorder="1" applyAlignment="1">
      <alignment horizontal="left" vertical="center" wrapText="1"/>
    </xf>
    <xf numFmtId="9" fontId="26" fillId="12" borderId="15" xfId="0" applyNumberFormat="1" applyFont="1" applyFill="1" applyBorder="1" applyAlignment="1">
      <alignment horizontal="left" vertical="center" wrapText="1"/>
    </xf>
    <xf numFmtId="9" fontId="26" fillId="13" borderId="15" xfId="0" applyNumberFormat="1" applyFont="1" applyFill="1" applyBorder="1" applyAlignment="1">
      <alignment horizontal="left" vertical="center" wrapText="1"/>
    </xf>
    <xf numFmtId="9" fontId="26" fillId="14" borderId="15" xfId="0" applyNumberFormat="1" applyFont="1" applyFill="1" applyBorder="1" applyAlignment="1">
      <alignment horizontal="left" vertical="center" wrapText="1"/>
    </xf>
    <xf numFmtId="10" fontId="26" fillId="14" borderId="15" xfId="0" applyNumberFormat="1" applyFont="1" applyFill="1" applyBorder="1" applyAlignment="1">
      <alignment horizontal="left" vertical="center" wrapText="1"/>
    </xf>
    <xf numFmtId="183" fontId="26" fillId="14" borderId="15" xfId="0" applyNumberFormat="1" applyFont="1" applyFill="1" applyBorder="1" applyAlignment="1">
      <alignment horizontal="left" vertical="center" wrapText="1"/>
    </xf>
    <xf numFmtId="44" fontId="27" fillId="14" borderId="27" xfId="0" applyNumberFormat="1" applyFont="1" applyFill="1" applyBorder="1" applyAlignment="1">
      <alignment horizontal="left" vertical="center" wrapText="1"/>
    </xf>
    <xf numFmtId="184" fontId="7" fillId="2" borderId="0" xfId="0" applyNumberFormat="1" applyFont="1" applyFill="1" applyAlignment="1">
      <alignment vertical="center"/>
    </xf>
    <xf numFmtId="0" fontId="11" fillId="7" borderId="2" xfId="0" applyFont="1" applyFill="1" applyBorder="1" applyAlignment="1">
      <alignment horizontal="center" vertical="center"/>
    </xf>
    <xf numFmtId="185" fontId="15" fillId="2" borderId="7" xfId="0" applyNumberFormat="1" applyFont="1" applyFill="1" applyBorder="1" applyAlignment="1">
      <alignment horizontal="center" vertical="center" wrapText="1"/>
    </xf>
    <xf numFmtId="179" fontId="17" fillId="8" borderId="28" xfId="0" applyNumberFormat="1" applyFont="1" applyFill="1" applyBorder="1" applyAlignment="1">
      <alignment horizontal="center" vertical="center" wrapText="1"/>
    </xf>
    <xf numFmtId="179" fontId="19" fillId="9" borderId="29" xfId="0" applyNumberFormat="1" applyFont="1" applyFill="1" applyBorder="1" applyAlignment="1">
      <alignment horizontal="center" vertical="center" wrapText="1"/>
    </xf>
    <xf numFmtId="44" fontId="8" fillId="0" borderId="30" xfId="0" applyNumberFormat="1" applyFont="1" applyBorder="1" applyAlignment="1">
      <alignment horizontal="center" vertical="center" wrapText="1"/>
    </xf>
    <xf numFmtId="44" fontId="8" fillId="2" borderId="0" xfId="0" applyNumberFormat="1" applyFont="1" applyFill="1" applyAlignment="1">
      <alignment vertical="center" wrapText="1"/>
    </xf>
    <xf numFmtId="44" fontId="8" fillId="0" borderId="31" xfId="0" applyNumberFormat="1" applyFont="1" applyBorder="1" applyAlignment="1">
      <alignment horizontal="center" vertical="center" wrapText="1"/>
    </xf>
    <xf numFmtId="44" fontId="8" fillId="0" borderId="32" xfId="0" applyNumberFormat="1" applyFont="1" applyBorder="1" applyAlignment="1">
      <alignment horizontal="center" vertical="center" wrapText="1"/>
    </xf>
    <xf numFmtId="178" fontId="23" fillId="15" borderId="33" xfId="0" applyNumberFormat="1" applyFont="1" applyFill="1" applyBorder="1" applyAlignment="1">
      <alignment horizontal="center" vertical="center" wrapText="1"/>
    </xf>
    <xf numFmtId="44" fontId="8" fillId="0" borderId="0" xfId="0" applyNumberFormat="1" applyFont="1" applyAlignment="1">
      <alignment vertical="center" wrapText="1"/>
    </xf>
    <xf numFmtId="0" fontId="22" fillId="0" borderId="34" xfId="0" applyFont="1" applyBorder="1" applyAlignment="1">
      <alignment vertical="center" wrapText="1"/>
    </xf>
    <xf numFmtId="0" fontId="9" fillId="0" borderId="0" xfId="0" applyFont="1" applyAlignment="1">
      <alignment horizontal="left" wrapText="1"/>
    </xf>
    <xf numFmtId="44" fontId="8" fillId="0" borderId="29" xfId="0" applyNumberFormat="1" applyFont="1" applyBorder="1" applyAlignment="1">
      <alignment horizontal="center" vertical="center" wrapText="1"/>
    </xf>
    <xf numFmtId="178" fontId="8" fillId="0" borderId="28" xfId="0" applyNumberFormat="1" applyFont="1" applyBorder="1" applyAlignment="1">
      <alignment horizontal="center" vertical="center" wrapText="1"/>
    </xf>
    <xf numFmtId="178" fontId="8" fillId="0" borderId="29" xfId="0" applyNumberFormat="1" applyFont="1" applyBorder="1" applyAlignment="1">
      <alignment horizontal="center" vertical="center" wrapText="1"/>
    </xf>
    <xf numFmtId="178" fontId="8" fillId="0" borderId="30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left" wrapText="1"/>
    </xf>
    <xf numFmtId="178" fontId="21" fillId="0" borderId="34" xfId="0" applyNumberFormat="1" applyFont="1" applyBorder="1" applyAlignment="1">
      <alignment vertical="center" wrapText="1"/>
    </xf>
    <xf numFmtId="182" fontId="8" fillId="0" borderId="29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left" wrapText="1"/>
    </xf>
    <xf numFmtId="178" fontId="26" fillId="12" borderId="29" xfId="0" applyNumberFormat="1" applyFont="1" applyFill="1" applyBorder="1" applyAlignment="1">
      <alignment horizontal="left" vertical="center" wrapText="1"/>
    </xf>
    <xf numFmtId="0" fontId="26" fillId="0" borderId="0" xfId="0" applyFont="1" applyAlignment="1">
      <alignment wrapText="1"/>
    </xf>
    <xf numFmtId="178" fontId="26" fillId="13" borderId="29" xfId="0" applyNumberFormat="1" applyFont="1" applyFill="1" applyBorder="1" applyAlignment="1">
      <alignment horizontal="left" vertical="center" wrapText="1"/>
    </xf>
    <xf numFmtId="178" fontId="26" fillId="14" borderId="29" xfId="0" applyNumberFormat="1" applyFont="1" applyFill="1" applyBorder="1" applyAlignment="1">
      <alignment horizontal="left" vertical="center" wrapText="1"/>
    </xf>
    <xf numFmtId="178" fontId="26" fillId="14" borderId="35" xfId="0" applyNumberFormat="1" applyFont="1" applyFill="1" applyBorder="1" applyAlignment="1">
      <alignment horizontal="left" vertical="center" wrapText="1"/>
    </xf>
    <xf numFmtId="0" fontId="30" fillId="8" borderId="13" xfId="0" applyFont="1" applyFill="1" applyBorder="1" applyAlignment="1">
      <alignment horizontal="center" vertical="center" wrapText="1"/>
    </xf>
    <xf numFmtId="178" fontId="19" fillId="9" borderId="29" xfId="0" applyNumberFormat="1" applyFont="1" applyFill="1" applyBorder="1" applyAlignment="1">
      <alignment horizontal="center" vertical="center" wrapText="1"/>
    </xf>
    <xf numFmtId="182" fontId="8" fillId="16" borderId="15" xfId="0" applyNumberFormat="1" applyFont="1" applyFill="1" applyBorder="1" applyAlignment="1">
      <alignment horizontal="left" vertical="center" wrapText="1"/>
    </xf>
    <xf numFmtId="0" fontId="9" fillId="0" borderId="17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1" fontId="9" fillId="0" borderId="22" xfId="0" applyNumberFormat="1" applyFont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left" vertical="center" wrapText="1"/>
    </xf>
    <xf numFmtId="1" fontId="8" fillId="2" borderId="15" xfId="0" applyNumberFormat="1" applyFont="1" applyFill="1" applyBorder="1" applyAlignment="1">
      <alignment horizontal="center" vertical="center" wrapText="1"/>
    </xf>
    <xf numFmtId="9" fontId="8" fillId="2" borderId="15" xfId="0" applyNumberFormat="1" applyFont="1" applyFill="1" applyBorder="1" applyAlignment="1">
      <alignment horizontal="center" vertical="center" wrapText="1"/>
    </xf>
    <xf numFmtId="1" fontId="8" fillId="2" borderId="13" xfId="0" applyNumberFormat="1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23" fillId="0" borderId="22" xfId="0" applyFont="1" applyBorder="1" applyAlignment="1">
      <alignment vertical="center" wrapText="1"/>
    </xf>
    <xf numFmtId="178" fontId="23" fillId="0" borderId="22" xfId="0" applyNumberFormat="1" applyFont="1" applyBorder="1" applyAlignment="1">
      <alignment horizontal="center" vertical="center" wrapText="1"/>
    </xf>
    <xf numFmtId="182" fontId="23" fillId="0" borderId="22" xfId="0" applyNumberFormat="1" applyFont="1" applyBorder="1" applyAlignment="1">
      <alignment vertical="center" wrapText="1"/>
    </xf>
    <xf numFmtId="182" fontId="9" fillId="0" borderId="22" xfId="0" applyNumberFormat="1" applyFont="1" applyBorder="1" applyAlignment="1">
      <alignment horizontal="center" vertical="center" wrapText="1"/>
    </xf>
    <xf numFmtId="1" fontId="8" fillId="0" borderId="16" xfId="0" applyNumberFormat="1" applyFont="1" applyBorder="1" applyAlignment="1">
      <alignment horizontal="center" vertical="center" wrapText="1"/>
    </xf>
    <xf numFmtId="0" fontId="8" fillId="0" borderId="36" xfId="0" applyFont="1" applyBorder="1" applyAlignment="1">
      <alignment horizontal="left" vertical="center" wrapText="1"/>
    </xf>
    <xf numFmtId="1" fontId="8" fillId="0" borderId="37" xfId="0" applyNumberFormat="1" applyFont="1" applyBorder="1" applyAlignment="1">
      <alignment horizontal="center" vertical="center" wrapText="1"/>
    </xf>
    <xf numFmtId="9" fontId="24" fillId="0" borderId="37" xfId="0" applyNumberFormat="1" applyFont="1" applyBorder="1" applyAlignment="1">
      <alignment horizontal="center" vertical="center" wrapText="1"/>
    </xf>
    <xf numFmtId="1" fontId="24" fillId="0" borderId="37" xfId="0" applyNumberFormat="1" applyFont="1" applyBorder="1" applyAlignment="1">
      <alignment horizontal="center" vertical="center" wrapText="1"/>
    </xf>
    <xf numFmtId="0" fontId="8" fillId="0" borderId="37" xfId="0" applyFont="1" applyBorder="1" applyAlignment="1">
      <alignment horizontal="center" vertical="center" wrapText="1"/>
    </xf>
    <xf numFmtId="0" fontId="31" fillId="0" borderId="15" xfId="0" applyFont="1" applyBorder="1" applyAlignment="1">
      <alignment horizontal="left" vertical="center" wrapText="1"/>
    </xf>
    <xf numFmtId="180" fontId="10" fillId="0" borderId="37" xfId="0" applyNumberFormat="1" applyFont="1" applyBorder="1" applyAlignment="1">
      <alignment horizontal="center" vertical="center" wrapText="1"/>
    </xf>
    <xf numFmtId="181" fontId="10" fillId="0" borderId="37" xfId="0" applyNumberFormat="1" applyFont="1" applyBorder="1" applyAlignment="1">
      <alignment horizontal="center" vertical="center" wrapText="1"/>
    </xf>
    <xf numFmtId="44" fontId="8" fillId="0" borderId="37" xfId="2" applyFont="1" applyBorder="1" applyAlignment="1" applyProtection="1">
      <alignment horizontal="center" vertical="center" wrapText="1"/>
    </xf>
    <xf numFmtId="182" fontId="8" fillId="0" borderId="37" xfId="0" applyNumberFormat="1" applyFont="1" applyBorder="1" applyAlignment="1">
      <alignment horizontal="left" vertical="center" wrapText="1"/>
    </xf>
    <xf numFmtId="182" fontId="8" fillId="0" borderId="38" xfId="0" applyNumberFormat="1" applyFont="1" applyBorder="1" applyAlignment="1">
      <alignment horizontal="left" vertical="center" wrapText="1"/>
    </xf>
    <xf numFmtId="178" fontId="8" fillId="0" borderId="31" xfId="0" applyNumberFormat="1" applyFont="1" applyBorder="1" applyAlignment="1">
      <alignment horizontal="center" vertical="center" wrapText="1"/>
    </xf>
    <xf numFmtId="0" fontId="32" fillId="2" borderId="0" xfId="0" applyFont="1" applyFill="1"/>
    <xf numFmtId="178" fontId="32" fillId="2" borderId="0" xfId="0" applyNumberFormat="1" applyFont="1" applyFill="1"/>
    <xf numFmtId="179" fontId="33" fillId="8" borderId="24" xfId="0" applyNumberFormat="1" applyFont="1" applyFill="1" applyBorder="1" applyAlignment="1">
      <alignment horizontal="center" vertical="center" wrapText="1"/>
    </xf>
    <xf numFmtId="179" fontId="33" fillId="8" borderId="23" xfId="0" applyNumberFormat="1" applyFont="1" applyFill="1" applyBorder="1" applyAlignment="1">
      <alignment horizontal="center" vertical="center" wrapText="1"/>
    </xf>
    <xf numFmtId="179" fontId="34" fillId="8" borderId="15" xfId="0" applyNumberFormat="1" applyFont="1" applyFill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/>
    </xf>
    <xf numFmtId="0" fontId="36" fillId="0" borderId="37" xfId="0" applyFont="1" applyBorder="1" applyAlignment="1">
      <alignment vertical="center"/>
    </xf>
    <xf numFmtId="178" fontId="37" fillId="0" borderId="28" xfId="0" applyNumberFormat="1" applyFont="1" applyBorder="1"/>
    <xf numFmtId="0" fontId="35" fillId="0" borderId="14" xfId="0" applyFont="1" applyBorder="1" applyAlignment="1">
      <alignment horizontal="center" vertical="center"/>
    </xf>
    <xf numFmtId="0" fontId="36" fillId="0" borderId="19" xfId="0" applyFont="1" applyBorder="1" applyAlignment="1">
      <alignment vertical="center"/>
    </xf>
    <xf numFmtId="178" fontId="37" fillId="0" borderId="29" xfId="0" applyNumberFormat="1" applyFont="1" applyBorder="1"/>
    <xf numFmtId="0" fontId="38" fillId="0" borderId="39" xfId="0" applyFont="1" applyBorder="1" applyAlignment="1">
      <alignment horizontal="center" vertical="center"/>
    </xf>
    <xf numFmtId="178" fontId="38" fillId="0" borderId="39" xfId="49" applyNumberFormat="1" applyFont="1" applyFill="1" applyBorder="1" applyAlignment="1">
      <alignment vertical="center"/>
    </xf>
    <xf numFmtId="44" fontId="32" fillId="2" borderId="0" xfId="0" applyNumberFormat="1" applyFont="1" applyFill="1"/>
    <xf numFmtId="49" fontId="35" fillId="0" borderId="39" xfId="0" applyNumberFormat="1" applyFont="1" applyBorder="1" applyAlignment="1">
      <alignment horizontal="center" vertical="center"/>
    </xf>
    <xf numFmtId="0" fontId="39" fillId="12" borderId="14" xfId="0" applyFont="1" applyFill="1" applyBorder="1" applyAlignment="1">
      <alignment horizontal="center" vertical="center"/>
    </xf>
    <xf numFmtId="9" fontId="39" fillId="12" borderId="14" xfId="3" applyFont="1" applyFill="1" applyBorder="1" applyAlignment="1">
      <alignment horizontal="center" vertical="center"/>
    </xf>
    <xf numFmtId="186" fontId="39" fillId="12" borderId="14" xfId="0" applyNumberFormat="1" applyFont="1" applyFill="1" applyBorder="1" applyAlignment="1">
      <alignment horizontal="left" vertical="center"/>
    </xf>
    <xf numFmtId="0" fontId="39" fillId="13" borderId="14" xfId="0" applyFont="1" applyFill="1" applyBorder="1" applyAlignment="1">
      <alignment horizontal="center" vertical="center"/>
    </xf>
    <xf numFmtId="183" fontId="39" fillId="13" borderId="14" xfId="3" applyNumberFormat="1" applyFont="1" applyFill="1" applyBorder="1" applyAlignment="1">
      <alignment horizontal="center" vertical="center"/>
    </xf>
    <xf numFmtId="186" fontId="39" fillId="13" borderId="14" xfId="0" applyNumberFormat="1" applyFont="1" applyFill="1" applyBorder="1" applyAlignment="1">
      <alignment horizontal="left" vertical="center"/>
    </xf>
    <xf numFmtId="0" fontId="39" fillId="14" borderId="14" xfId="0" applyFont="1" applyFill="1" applyBorder="1" applyAlignment="1">
      <alignment horizontal="center" vertical="center"/>
    </xf>
    <xf numFmtId="183" fontId="39" fillId="14" borderId="14" xfId="3" applyNumberFormat="1" applyFont="1" applyFill="1" applyBorder="1" applyAlignment="1">
      <alignment horizontal="center" vertical="center"/>
    </xf>
    <xf numFmtId="186" fontId="39" fillId="14" borderId="14" xfId="0" applyNumberFormat="1" applyFont="1" applyFill="1" applyBorder="1" applyAlignment="1">
      <alignment horizontal="left" vertical="center"/>
    </xf>
    <xf numFmtId="0" fontId="40" fillId="14" borderId="14" xfId="0" applyFont="1" applyFill="1" applyBorder="1" applyAlignment="1">
      <alignment horizontal="center" vertical="center"/>
    </xf>
    <xf numFmtId="183" fontId="40" fillId="14" borderId="14" xfId="3" applyNumberFormat="1" applyFont="1" applyFill="1" applyBorder="1" applyAlignment="1">
      <alignment horizontal="center" vertical="center"/>
    </xf>
    <xf numFmtId="186" fontId="40" fillId="14" borderId="14" xfId="0" applyNumberFormat="1" applyFont="1" applyFill="1" applyBorder="1" applyAlignment="1">
      <alignment horizontal="left" vertical="center"/>
    </xf>
    <xf numFmtId="184" fontId="32" fillId="2" borderId="9" xfId="0" applyNumberFormat="1" applyFont="1" applyFill="1" applyBorder="1"/>
    <xf numFmtId="0" fontId="32" fillId="2" borderId="9" xfId="0" applyFont="1" applyFill="1" applyBorder="1"/>
    <xf numFmtId="186" fontId="32" fillId="2" borderId="0" xfId="0" applyNumberFormat="1" applyFont="1" applyFill="1"/>
    <xf numFmtId="179" fontId="33" fillId="8" borderId="16" xfId="0" applyNumberFormat="1" applyFont="1" applyFill="1" applyBorder="1" applyAlignment="1">
      <alignment horizontal="center" vertical="center" wrapText="1"/>
    </xf>
    <xf numFmtId="0" fontId="32" fillId="2" borderId="7" xfId="0" applyFont="1" applyFill="1" applyBorder="1"/>
    <xf numFmtId="0" fontId="32" fillId="2" borderId="10" xfId="0" applyFont="1" applyFill="1" applyBorder="1"/>
  </cellXfs>
  <cellStyles count="58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urrency 2" xfId="49"/>
    <cellStyle name="Currency 3" xfId="50"/>
    <cellStyle name="Currency 4" xfId="51"/>
    <cellStyle name="Normal 2" xfId="52"/>
    <cellStyle name="Normal 2 3" xfId="53"/>
    <cellStyle name="Normal 4" xfId="54"/>
    <cellStyle name="Percent 2" xfId="55"/>
    <cellStyle name="Percent 3" xfId="56"/>
    <cellStyle name="Style 1" xfId="57"/>
  </cellStyles>
  <tableStyles count="0" defaultTableStyle="TableStyleMedium9" defaultPivotStyle="PivotStyleLight16"/>
  <colors>
    <mruColors>
      <color rgb="0000496A"/>
      <color rgb="004A4C4C"/>
      <color rgb="00013554"/>
      <color rgb="00001521"/>
      <color rgb="0000A6A5"/>
      <color rgb="0000C8C3"/>
      <color rgb="0000A8A4"/>
      <color rgb="0000DED9"/>
      <color rgb="0000BCB8"/>
      <color rgb="0000DAD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'General Summary'!$B$3:$B$6</c:f>
              <c:strCache>
                <c:ptCount val="4"/>
                <c:pt idx="0">
                  <c:v>General Requirments</c:v>
                </c:pt>
                <c:pt idx="1">
                  <c:v>Electrical</c:v>
                </c:pt>
                <c:pt idx="2">
                  <c:v>Telecommunication</c:v>
                </c:pt>
                <c:pt idx="3">
                  <c:v>Electronic &amp; Safety Security</c:v>
                </c:pt>
              </c:strCache>
            </c:strRef>
          </c:cat>
          <c:val>
            <c:numRef>
              <c:f>'General Summary'!$C$3:$C$6</c:f>
              <c:numCache>
                <c:formatCode>_("$"* #,##0_);_("$"* \(#,##0\);_("$"* "-"??_);_(@_)</c:formatCode>
                <c:ptCount val="4"/>
                <c:pt idx="0">
                  <c:v>184000</c:v>
                </c:pt>
                <c:pt idx="1">
                  <c:v>2090736.68845995</c:v>
                </c:pt>
                <c:pt idx="2">
                  <c:v>295042.386391</c:v>
                </c:pt>
                <c:pt idx="3">
                  <c:v>251546.674059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525215184"/>
        <c:axId val="525188976"/>
      </c:barChart>
      <c:catAx>
        <c:axId val="52521518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5188976"/>
        <c:crosses val="autoZero"/>
        <c:auto val="1"/>
        <c:lblAlgn val="ctr"/>
        <c:lblOffset val="100"/>
        <c:noMultiLvlLbl val="0"/>
      </c:catAx>
      <c:valAx>
        <c:axId val="52518897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5215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cb594af-0e31-408f-9841-f6998af29eb4}"/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'General Summary'!$B$20:$B$21</c:f>
              <c:strCache>
                <c:ptCount val="2"/>
                <c:pt idx="0">
                  <c:v>General Requirments</c:v>
                </c:pt>
                <c:pt idx="1">
                  <c:v>Pedestrain Gate Card Reader</c:v>
                </c:pt>
              </c:strCache>
            </c:strRef>
          </c:cat>
          <c:val>
            <c:numRef>
              <c:f>'General Summary'!$C$20:$C$21</c:f>
              <c:numCache>
                <c:formatCode>_("$"* #,##0_);_("$"* \(#,##0\);_("$"* "-"??_);_(@_)</c:formatCode>
                <c:ptCount val="2"/>
                <c:pt idx="0">
                  <c:v>1500</c:v>
                </c:pt>
                <c:pt idx="1">
                  <c:v>10338.2460995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525215184"/>
        <c:axId val="525188976"/>
      </c:barChart>
      <c:catAx>
        <c:axId val="52521518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5188976"/>
        <c:crosses val="autoZero"/>
        <c:auto val="1"/>
        <c:lblAlgn val="ctr"/>
        <c:lblOffset val="100"/>
        <c:noMultiLvlLbl val="0"/>
      </c:catAx>
      <c:valAx>
        <c:axId val="52518897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5215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cb594af-0e31-408f-9841-f6998af29eb4}"/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1294130</xdr:colOff>
      <xdr:row>1</xdr:row>
      <xdr:rowOff>10795</xdr:rowOff>
    </xdr:from>
    <xdr:to>
      <xdr:col>14</xdr:col>
      <xdr:colOff>1905</xdr:colOff>
      <xdr:row>16</xdr:row>
      <xdr:rowOff>18415</xdr:rowOff>
    </xdr:to>
    <xdr:graphicFrame>
      <xdr:nvGraphicFramePr>
        <xdr:cNvPr id="2" name="Chart 1"/>
        <xdr:cNvGraphicFramePr/>
      </xdr:nvGraphicFramePr>
      <xdr:xfrm>
        <a:off x="9323705" y="267970"/>
        <a:ext cx="7585075" cy="33604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31750</xdr:colOff>
      <xdr:row>18</xdr:row>
      <xdr:rowOff>10795</xdr:rowOff>
    </xdr:from>
    <xdr:to>
      <xdr:col>14</xdr:col>
      <xdr:colOff>1905</xdr:colOff>
      <xdr:row>30</xdr:row>
      <xdr:rowOff>232410</xdr:rowOff>
    </xdr:to>
    <xdr:graphicFrame>
      <xdr:nvGraphicFramePr>
        <xdr:cNvPr id="3" name="Chart 2"/>
        <xdr:cNvGraphicFramePr/>
      </xdr:nvGraphicFramePr>
      <xdr:xfrm>
        <a:off x="9394825" y="4068445"/>
        <a:ext cx="7513955" cy="29267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457200</xdr:colOff>
      <xdr:row>1</xdr:row>
      <xdr:rowOff>0</xdr:rowOff>
    </xdr:from>
    <xdr:ext cx="184731" cy="295040"/>
    <xdr:sp>
      <xdr:nvSpPr>
        <xdr:cNvPr id="3" name="TextBox 2"/>
        <xdr:cNvSpPr txBox="1"/>
      </xdr:nvSpPr>
      <xdr:spPr>
        <a:xfrm>
          <a:off x="2200275" y="0"/>
          <a:ext cx="184150" cy="2946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0</xdr:colOff>
      <xdr:row>1</xdr:row>
      <xdr:rowOff>0</xdr:rowOff>
    </xdr:from>
    <xdr:ext cx="184731" cy="295040"/>
    <xdr:sp>
      <xdr:nvSpPr>
        <xdr:cNvPr id="5" name="TextBox 4"/>
        <xdr:cNvSpPr txBox="1"/>
      </xdr:nvSpPr>
      <xdr:spPr>
        <a:xfrm>
          <a:off x="1743075" y="0"/>
          <a:ext cx="184150" cy="2946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457200</xdr:colOff>
      <xdr:row>1</xdr:row>
      <xdr:rowOff>0</xdr:rowOff>
    </xdr:from>
    <xdr:ext cx="184731" cy="295040"/>
    <xdr:sp>
      <xdr:nvSpPr>
        <xdr:cNvPr id="2" name="TextBox 1"/>
        <xdr:cNvSpPr txBox="1"/>
      </xdr:nvSpPr>
      <xdr:spPr>
        <a:xfrm>
          <a:off x="2200275" y="0"/>
          <a:ext cx="184150" cy="2946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0</xdr:colOff>
      <xdr:row>1</xdr:row>
      <xdr:rowOff>0</xdr:rowOff>
    </xdr:from>
    <xdr:ext cx="184731" cy="295040"/>
    <xdr:sp>
      <xdr:nvSpPr>
        <xdr:cNvPr id="3" name="TextBox 2"/>
        <xdr:cNvSpPr txBox="1"/>
      </xdr:nvSpPr>
      <xdr:spPr>
        <a:xfrm>
          <a:off x="1743075" y="0"/>
          <a:ext cx="184150" cy="2946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Integral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Integral">
      <a:majorFont>
        <a:latin typeface="Tw Cen MT Condensed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tile tx="0" ty="0" sx="40000" sy="40000" flip="none" algn="tl"/>
        </a:blip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/>
  </sheetPr>
  <dimension ref="A1:N40"/>
  <sheetViews>
    <sheetView view="pageBreakPreview" zoomScale="70" zoomScaleNormal="100" workbookViewId="0">
      <selection activeCell="C35" sqref="C35"/>
    </sheetView>
  </sheetViews>
  <sheetFormatPr defaultColWidth="9" defaultRowHeight="15"/>
  <cols>
    <col min="1" max="1" width="42.25" style="218" customWidth="1"/>
    <col min="2" max="2" width="63.125" style="218" customWidth="1"/>
    <col min="3" max="3" width="17.5" style="219" customWidth="1"/>
    <col min="4" max="16384" width="9" style="218"/>
  </cols>
  <sheetData>
    <row r="1" ht="20.25" spans="1:14">
      <c r="A1" s="220" t="s">
        <v>0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48"/>
    </row>
    <row r="2" ht="37.5" spans="1:14">
      <c r="A2" s="222" t="s">
        <v>1</v>
      </c>
      <c r="B2" s="222" t="s">
        <v>2</v>
      </c>
      <c r="C2" s="222" t="s">
        <v>3</v>
      </c>
      <c r="N2" s="249"/>
    </row>
    <row r="3" ht="15.75" spans="1:14">
      <c r="A3" s="223">
        <v>1000</v>
      </c>
      <c r="B3" s="224" t="s">
        <v>4</v>
      </c>
      <c r="C3" s="225">
        <f>'Base Bid'!Q15</f>
        <v>184000</v>
      </c>
      <c r="N3" s="249"/>
    </row>
    <row r="4" ht="15.75" spans="1:14">
      <c r="A4" s="226">
        <v>26000</v>
      </c>
      <c r="B4" s="227" t="s">
        <v>5</v>
      </c>
      <c r="C4" s="228">
        <f>'Base Bid'!Q277</f>
        <v>2090736.68845995</v>
      </c>
      <c r="N4" s="249"/>
    </row>
    <row r="5" ht="15.75" spans="1:14">
      <c r="A5" s="226">
        <v>26000</v>
      </c>
      <c r="B5" s="227" t="s">
        <v>6</v>
      </c>
      <c r="C5" s="228">
        <f>'Base Bid'!Q376</f>
        <v>295042.386391</v>
      </c>
      <c r="N5" s="249"/>
    </row>
    <row r="6" ht="16.5" spans="1:14">
      <c r="A6" s="226">
        <v>26000</v>
      </c>
      <c r="B6" s="227" t="s">
        <v>7</v>
      </c>
      <c r="C6" s="228">
        <f>'Base Bid'!Q453</f>
        <v>251546.674059</v>
      </c>
      <c r="N6" s="249"/>
    </row>
    <row r="7" ht="16.5" spans="1:14">
      <c r="A7" s="229" t="s">
        <v>8</v>
      </c>
      <c r="B7" s="229"/>
      <c r="C7" s="230">
        <f>SUM(C3:C6)</f>
        <v>2821325.74890995</v>
      </c>
      <c r="E7" s="231"/>
      <c r="N7" s="249"/>
    </row>
    <row r="8" ht="16.5" spans="1:14">
      <c r="A8" s="232"/>
      <c r="B8" s="232"/>
      <c r="C8" s="232"/>
      <c r="N8" s="249"/>
    </row>
    <row r="9" ht="15.75" spans="1:14">
      <c r="A9" s="233" t="s">
        <v>9</v>
      </c>
      <c r="B9" s="234">
        <v>0.05</v>
      </c>
      <c r="C9" s="235">
        <f>C7*B9</f>
        <v>141066.287445498</v>
      </c>
      <c r="D9" s="231"/>
      <c r="E9" s="231"/>
      <c r="N9" s="249"/>
    </row>
    <row r="10" ht="15.75" spans="1:14">
      <c r="A10" s="233" t="s">
        <v>10</v>
      </c>
      <c r="B10" s="234">
        <v>0.2</v>
      </c>
      <c r="C10" s="235">
        <f>B10*SUM('Base Bid'!O17:O454)</f>
        <v>312193.46193559</v>
      </c>
      <c r="D10" s="231"/>
      <c r="E10" s="231"/>
      <c r="N10" s="249"/>
    </row>
    <row r="11" ht="15.75" spans="1:14">
      <c r="A11" s="233" t="s">
        <v>11</v>
      </c>
      <c r="B11" s="234">
        <v>0.31</v>
      </c>
      <c r="C11" s="235">
        <f>B11*SUM('Base Bid'!M17:M454)</f>
        <v>333671.11616192</v>
      </c>
      <c r="N11" s="249"/>
    </row>
    <row r="12" ht="15.75" spans="1:14">
      <c r="A12" s="233" t="s">
        <v>12</v>
      </c>
      <c r="B12" s="234">
        <v>0.1</v>
      </c>
      <c r="C12" s="235">
        <f>C7*B12</f>
        <v>282132.574890995</v>
      </c>
      <c r="N12" s="249"/>
    </row>
    <row r="13" ht="15.75" spans="1:14">
      <c r="A13" s="233" t="s">
        <v>13</v>
      </c>
      <c r="B13" s="234">
        <v>0.1</v>
      </c>
      <c r="C13" s="235">
        <f>C7*B13</f>
        <v>282132.574890995</v>
      </c>
      <c r="N13" s="249"/>
    </row>
    <row r="14" ht="15.75" spans="1:14">
      <c r="A14" s="236" t="s">
        <v>14</v>
      </c>
      <c r="B14" s="237">
        <v>0.092</v>
      </c>
      <c r="C14" s="238">
        <f>C7*B14</f>
        <v>259561.968899715</v>
      </c>
      <c r="N14" s="249"/>
    </row>
    <row r="15" ht="15.75" spans="1:14">
      <c r="A15" s="239" t="s">
        <v>15</v>
      </c>
      <c r="B15" s="240">
        <v>0.015</v>
      </c>
      <c r="C15" s="241">
        <f>C7*B15</f>
        <v>42319.8862336493</v>
      </c>
      <c r="N15" s="249"/>
    </row>
    <row r="16" ht="19.5" spans="1:14">
      <c r="A16" s="242" t="s">
        <v>16</v>
      </c>
      <c r="B16" s="243"/>
      <c r="C16" s="244">
        <f>SUM(C7,C9:C15)</f>
        <v>4474403.61936831</v>
      </c>
      <c r="D16" s="245"/>
      <c r="E16" s="246"/>
      <c r="F16" s="246"/>
      <c r="G16" s="246"/>
      <c r="H16" s="246"/>
      <c r="I16" s="246"/>
      <c r="J16" s="246"/>
      <c r="K16" s="246"/>
      <c r="L16" s="246"/>
      <c r="M16" s="246"/>
      <c r="N16" s="250"/>
    </row>
    <row r="18" ht="20.25" spans="1:14">
      <c r="A18" s="220" t="s">
        <v>17</v>
      </c>
      <c r="B18" s="221"/>
      <c r="C18" s="221"/>
      <c r="D18" s="221"/>
      <c r="E18" s="221"/>
      <c r="F18" s="221"/>
      <c r="G18" s="221"/>
      <c r="H18" s="221"/>
      <c r="I18" s="221"/>
      <c r="J18" s="221"/>
      <c r="K18" s="221"/>
      <c r="L18" s="221"/>
      <c r="M18" s="221"/>
      <c r="N18" s="248"/>
    </row>
    <row r="19" ht="37.5" spans="1:14">
      <c r="A19" s="222" t="s">
        <v>1</v>
      </c>
      <c r="B19" s="222" t="s">
        <v>2</v>
      </c>
      <c r="C19" s="222" t="s">
        <v>3</v>
      </c>
      <c r="N19" s="249"/>
    </row>
    <row r="20" ht="15.75" spans="1:14">
      <c r="A20" s="223">
        <v>1000</v>
      </c>
      <c r="B20" s="224" t="s">
        <v>4</v>
      </c>
      <c r="C20" s="225">
        <f>'Add Alternate'!Q15</f>
        <v>1500</v>
      </c>
      <c r="N20" s="249"/>
    </row>
    <row r="21" ht="16.5" spans="1:14">
      <c r="A21" s="226">
        <v>26000</v>
      </c>
      <c r="B21" s="227" t="s">
        <v>18</v>
      </c>
      <c r="C21" s="228">
        <f>'Add Alternate'!Q46</f>
        <v>10338.2460995</v>
      </c>
      <c r="N21" s="249"/>
    </row>
    <row r="22" ht="16.5" spans="1:14">
      <c r="A22" s="229" t="s">
        <v>8</v>
      </c>
      <c r="B22" s="229"/>
      <c r="C22" s="230">
        <f>SUM(C20:C21)</f>
        <v>11838.2460995</v>
      </c>
      <c r="E22" s="231"/>
      <c r="N22" s="249"/>
    </row>
    <row r="23" ht="16.5" spans="1:14">
      <c r="A23" s="232"/>
      <c r="B23" s="232"/>
      <c r="C23" s="232"/>
      <c r="N23" s="249"/>
    </row>
    <row r="24" ht="15.75" spans="1:14">
      <c r="A24" s="233" t="s">
        <v>9</v>
      </c>
      <c r="B24" s="234">
        <v>0.05</v>
      </c>
      <c r="C24" s="235">
        <f>C22*B24</f>
        <v>591.912304975</v>
      </c>
      <c r="D24" s="231"/>
      <c r="E24" s="231"/>
      <c r="N24" s="249"/>
    </row>
    <row r="25" ht="15.75" spans="1:14">
      <c r="A25" s="233" t="s">
        <v>10</v>
      </c>
      <c r="B25" s="234">
        <v>0.2</v>
      </c>
      <c r="C25" s="235">
        <f>B25*SUM('Add Alternate'!O17:O46)</f>
        <v>639.9292967</v>
      </c>
      <c r="D25" s="231"/>
      <c r="E25" s="231"/>
      <c r="N25" s="249"/>
    </row>
    <row r="26" ht="15.75" spans="1:14">
      <c r="A26" s="233" t="s">
        <v>11</v>
      </c>
      <c r="B26" s="234">
        <v>0.31</v>
      </c>
      <c r="C26" s="235">
        <f>B26*SUM('Add Alternate'!M17:M46)</f>
        <v>2212.96588096</v>
      </c>
      <c r="N26" s="249"/>
    </row>
    <row r="27" ht="15.75" spans="1:14">
      <c r="A27" s="233" t="s">
        <v>12</v>
      </c>
      <c r="B27" s="234">
        <v>0.1</v>
      </c>
      <c r="C27" s="235">
        <f>C22*B27</f>
        <v>1183.82460995</v>
      </c>
      <c r="N27" s="249"/>
    </row>
    <row r="28" ht="15.75" spans="1:14">
      <c r="A28" s="233" t="s">
        <v>13</v>
      </c>
      <c r="B28" s="234">
        <v>0.1</v>
      </c>
      <c r="C28" s="235">
        <f>C22*B28</f>
        <v>1183.82460995</v>
      </c>
      <c r="N28" s="249"/>
    </row>
    <row r="29" ht="15.75" spans="1:14">
      <c r="A29" s="236" t="s">
        <v>14</v>
      </c>
      <c r="B29" s="237">
        <v>0.092</v>
      </c>
      <c r="C29" s="238">
        <f>C22*B29</f>
        <v>1089.118641154</v>
      </c>
      <c r="N29" s="249"/>
    </row>
    <row r="30" ht="15.75" spans="1:14">
      <c r="A30" s="239" t="s">
        <v>15</v>
      </c>
      <c r="B30" s="240">
        <v>0.015</v>
      </c>
      <c r="C30" s="241">
        <f>C22*B30</f>
        <v>177.5736914925</v>
      </c>
      <c r="N30" s="249"/>
    </row>
    <row r="31" ht="19.5" spans="1:14">
      <c r="A31" s="242" t="s">
        <v>16</v>
      </c>
      <c r="B31" s="243"/>
      <c r="C31" s="244">
        <f>SUM(C22,C24:C30)</f>
        <v>18917.3951346815</v>
      </c>
      <c r="D31" s="245"/>
      <c r="E31" s="246"/>
      <c r="F31" s="246"/>
      <c r="G31" s="246"/>
      <c r="H31" s="246"/>
      <c r="I31" s="246"/>
      <c r="J31" s="246"/>
      <c r="K31" s="246"/>
      <c r="L31" s="246"/>
      <c r="M31" s="246"/>
      <c r="N31" s="250"/>
    </row>
    <row r="40" spans="2:2">
      <c r="B40" s="247"/>
    </row>
  </sheetData>
  <mergeCells count="6">
    <mergeCell ref="A1:N1"/>
    <mergeCell ref="A7:B7"/>
    <mergeCell ref="A8:C8"/>
    <mergeCell ref="A18:N18"/>
    <mergeCell ref="A22:B22"/>
    <mergeCell ref="A23:C23"/>
  </mergeCells>
  <pageMargins left="0.7" right="0.7" top="0.75" bottom="0.75" header="0.3" footer="0.3"/>
  <pageSetup paperSize="1" scale="50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70C0"/>
    <pageSetUpPr fitToPage="1"/>
  </sheetPr>
  <dimension ref="A1:AJ467"/>
  <sheetViews>
    <sheetView showGridLines="0" tabSelected="1" zoomScale="55" zoomScaleNormal="55" zoomScaleSheetLayoutView="85" workbookViewId="0">
      <pane ySplit="6" topLeftCell="A7" activePane="bottomLeft" state="frozen"/>
      <selection/>
      <selection pane="bottomLeft" activeCell="D6" sqref="D6"/>
    </sheetView>
  </sheetViews>
  <sheetFormatPr defaultColWidth="9" defaultRowHeight="15.75"/>
  <cols>
    <col min="1" max="1" width="4.125" style="34" customWidth="1"/>
    <col min="2" max="2" width="9.25" style="34" customWidth="1"/>
    <col min="3" max="3" width="9.5" style="34" customWidth="1"/>
    <col min="4" max="4" width="75.125" style="35" customWidth="1"/>
    <col min="5" max="6" width="11.5" style="36" customWidth="1"/>
    <col min="7" max="7" width="14" style="36" customWidth="1"/>
    <col min="8" max="8" width="10.5" style="34" customWidth="1"/>
    <col min="9" max="10" width="14" style="36" customWidth="1"/>
    <col min="11" max="12" width="12.5" style="34" customWidth="1"/>
    <col min="13" max="13" width="14.5" style="34" customWidth="1"/>
    <col min="14" max="14" width="19.125" style="34" customWidth="1"/>
    <col min="15" max="15" width="14.625" style="34" customWidth="1"/>
    <col min="16" max="16" width="12.5" style="34" customWidth="1"/>
    <col min="17" max="17" width="15.25" style="35" customWidth="1"/>
    <col min="18" max="16384" width="9" style="34"/>
  </cols>
  <sheetData>
    <row r="1" s="28" customFormat="1" ht="15" hidden="1" customHeight="1" spans="1:17">
      <c r="A1" s="37"/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</row>
    <row r="2" ht="19.5" spans="1:17">
      <c r="A2" s="39" t="s">
        <v>19</v>
      </c>
      <c r="B2" s="40"/>
      <c r="C2" s="40"/>
      <c r="D2" s="41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165"/>
    </row>
    <row r="3" ht="17.45" customHeight="1" spans="1:17">
      <c r="A3" s="42"/>
      <c r="B3" s="43" t="s">
        <v>20</v>
      </c>
      <c r="C3" s="43"/>
      <c r="D3" s="35" t="s">
        <v>21</v>
      </c>
      <c r="E3" s="44"/>
      <c r="F3" s="44"/>
      <c r="G3" s="45"/>
      <c r="H3" s="45"/>
      <c r="I3" s="45"/>
      <c r="J3" s="45"/>
      <c r="K3" s="45"/>
      <c r="L3" s="45"/>
      <c r="M3" s="45"/>
      <c r="N3" s="45"/>
      <c r="O3" s="135"/>
      <c r="P3" s="136"/>
      <c r="Q3" s="166"/>
    </row>
    <row r="4" ht="18" customHeight="1" spans="1:17">
      <c r="A4" s="42"/>
      <c r="B4" s="46" t="s">
        <v>22</v>
      </c>
      <c r="C4" s="46"/>
      <c r="D4" s="35" t="s">
        <v>23</v>
      </c>
      <c r="E4" s="47"/>
      <c r="F4" s="47"/>
      <c r="G4" s="47"/>
      <c r="H4" s="48"/>
      <c r="I4" s="47"/>
      <c r="J4" s="47"/>
      <c r="K4" s="45"/>
      <c r="L4" s="45"/>
      <c r="M4" s="45"/>
      <c r="N4" s="45"/>
      <c r="O4" s="135"/>
      <c r="P4" s="136"/>
      <c r="Q4" s="166"/>
    </row>
    <row r="5" ht="24" customHeight="1" spans="1:17">
      <c r="A5" s="42"/>
      <c r="B5" s="49" t="s">
        <v>24</v>
      </c>
      <c r="C5" s="49"/>
      <c r="D5" s="35" t="s">
        <v>5</v>
      </c>
      <c r="E5" s="50"/>
      <c r="F5" s="47"/>
      <c r="G5" s="47"/>
      <c r="H5" s="50"/>
      <c r="I5" s="47"/>
      <c r="J5" s="47"/>
      <c r="K5" s="137"/>
      <c r="L5" s="137"/>
      <c r="M5" s="137"/>
      <c r="N5" s="137"/>
      <c r="O5" s="138"/>
      <c r="P5" s="139"/>
      <c r="Q5" s="166"/>
    </row>
    <row r="6" s="29" customFormat="1" ht="47.25" spans="1:17">
      <c r="A6" s="51" t="s">
        <v>25</v>
      </c>
      <c r="B6" s="52" t="s">
        <v>26</v>
      </c>
      <c r="C6" s="52" t="s">
        <v>27</v>
      </c>
      <c r="D6" s="190" t="s">
        <v>2</v>
      </c>
      <c r="E6" s="52" t="s">
        <v>28</v>
      </c>
      <c r="F6" s="52" t="s">
        <v>29</v>
      </c>
      <c r="G6" s="52" t="s">
        <v>30</v>
      </c>
      <c r="H6" s="52" t="s">
        <v>31</v>
      </c>
      <c r="I6" s="52" t="s">
        <v>32</v>
      </c>
      <c r="J6" s="52" t="s">
        <v>33</v>
      </c>
      <c r="K6" s="52" t="s">
        <v>34</v>
      </c>
      <c r="L6" s="52" t="s">
        <v>35</v>
      </c>
      <c r="M6" s="52" t="s">
        <v>36</v>
      </c>
      <c r="N6" s="52" t="s">
        <v>37</v>
      </c>
      <c r="O6" s="52" t="s">
        <v>38</v>
      </c>
      <c r="P6" s="52" t="s">
        <v>39</v>
      </c>
      <c r="Q6" s="167" t="s">
        <v>40</v>
      </c>
    </row>
    <row r="7" s="30" customFormat="1" spans="1:17">
      <c r="A7" s="54"/>
      <c r="B7" s="55"/>
      <c r="C7" s="56">
        <v>1</v>
      </c>
      <c r="D7" s="57" t="s">
        <v>41</v>
      </c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168"/>
    </row>
    <row r="8" s="31" customFormat="1" spans="1:18">
      <c r="A8" s="58">
        <f>IF(F8&lt;&gt;"",1+MAX($A$2:A7),"")</f>
        <v>1</v>
      </c>
      <c r="B8" s="59"/>
      <c r="C8" s="59"/>
      <c r="D8" s="60" t="s">
        <v>42</v>
      </c>
      <c r="E8" s="61">
        <v>1</v>
      </c>
      <c r="F8" s="62">
        <v>0</v>
      </c>
      <c r="G8" s="63">
        <f t="shared" ref="G8:G14" si="0">(F8*E8)+E8</f>
        <v>1</v>
      </c>
      <c r="H8" s="61" t="s">
        <v>43</v>
      </c>
      <c r="I8" s="140">
        <v>0</v>
      </c>
      <c r="J8" s="141">
        <f t="shared" ref="J8:J14" si="1">+I8*G8</f>
        <v>0</v>
      </c>
      <c r="K8" s="142">
        <v>0</v>
      </c>
      <c r="L8" s="143">
        <f t="shared" ref="L8:L14" si="2">I8*K8</f>
        <v>0</v>
      </c>
      <c r="M8" s="143">
        <f t="shared" ref="M8:M14" si="3">K8*J8</f>
        <v>0</v>
      </c>
      <c r="N8" s="143">
        <v>0</v>
      </c>
      <c r="O8" s="143">
        <f t="shared" ref="O8:O14" si="4">N8*G8</f>
        <v>0</v>
      </c>
      <c r="P8" s="143">
        <f>(I8*K8)+N8</f>
        <v>0</v>
      </c>
      <c r="Q8" s="169">
        <v>184000</v>
      </c>
      <c r="R8" s="170"/>
    </row>
    <row r="9" s="31" customFormat="1" spans="1:18">
      <c r="A9" s="64">
        <f>IF(F9&lt;&gt;"",1+MAX($A$2:A8),"")</f>
        <v>2</v>
      </c>
      <c r="B9" s="65"/>
      <c r="C9" s="65"/>
      <c r="D9" s="66" t="s">
        <v>44</v>
      </c>
      <c r="E9" s="67">
        <v>1</v>
      </c>
      <c r="F9" s="68">
        <v>0</v>
      </c>
      <c r="G9" s="69">
        <f t="shared" si="0"/>
        <v>1</v>
      </c>
      <c r="H9" s="67" t="s">
        <v>43</v>
      </c>
      <c r="I9" s="140">
        <v>0</v>
      </c>
      <c r="J9" s="141">
        <f t="shared" si="1"/>
        <v>0</v>
      </c>
      <c r="K9" s="142">
        <v>0</v>
      </c>
      <c r="L9" s="143">
        <f t="shared" si="2"/>
        <v>0</v>
      </c>
      <c r="M9" s="143">
        <f t="shared" si="3"/>
        <v>0</v>
      </c>
      <c r="N9" s="143">
        <v>0</v>
      </c>
      <c r="O9" s="143">
        <f t="shared" si="4"/>
        <v>0</v>
      </c>
      <c r="P9" s="143">
        <f t="shared" ref="P9:P14" si="5">(I9*K9)+N9</f>
        <v>0</v>
      </c>
      <c r="Q9" s="171"/>
      <c r="R9" s="170"/>
    </row>
    <row r="10" s="31" customFormat="1" spans="1:18">
      <c r="A10" s="64">
        <f>IF(F10&lt;&gt;"",1+MAX($A$2:A9),"")</f>
        <v>3</v>
      </c>
      <c r="B10" s="65"/>
      <c r="C10" s="65"/>
      <c r="D10" s="66" t="s">
        <v>45</v>
      </c>
      <c r="E10" s="67">
        <v>1</v>
      </c>
      <c r="F10" s="68">
        <v>0</v>
      </c>
      <c r="G10" s="69">
        <f t="shared" si="0"/>
        <v>1</v>
      </c>
      <c r="H10" s="67" t="s">
        <v>43</v>
      </c>
      <c r="I10" s="140">
        <v>0</v>
      </c>
      <c r="J10" s="141">
        <f t="shared" si="1"/>
        <v>0</v>
      </c>
      <c r="K10" s="142">
        <v>0</v>
      </c>
      <c r="L10" s="143">
        <f t="shared" si="2"/>
        <v>0</v>
      </c>
      <c r="M10" s="143">
        <f t="shared" si="3"/>
        <v>0</v>
      </c>
      <c r="N10" s="143">
        <v>0</v>
      </c>
      <c r="O10" s="143">
        <f t="shared" si="4"/>
        <v>0</v>
      </c>
      <c r="P10" s="143">
        <f t="shared" si="5"/>
        <v>0</v>
      </c>
      <c r="Q10" s="171"/>
      <c r="R10" s="170"/>
    </row>
    <row r="11" s="31" customFormat="1" spans="1:18">
      <c r="A11" s="64">
        <f>IF(F11&lt;&gt;"",1+MAX($A$2:A10),"")</f>
        <v>4</v>
      </c>
      <c r="B11" s="65"/>
      <c r="C11" s="65"/>
      <c r="D11" s="66" t="s">
        <v>46</v>
      </c>
      <c r="E11" s="67">
        <v>1</v>
      </c>
      <c r="F11" s="68">
        <v>0</v>
      </c>
      <c r="G11" s="69">
        <f t="shared" si="0"/>
        <v>1</v>
      </c>
      <c r="H11" s="67" t="s">
        <v>43</v>
      </c>
      <c r="I11" s="140">
        <v>0</v>
      </c>
      <c r="J11" s="141">
        <f t="shared" si="1"/>
        <v>0</v>
      </c>
      <c r="K11" s="142">
        <v>0</v>
      </c>
      <c r="L11" s="143">
        <f t="shared" si="2"/>
        <v>0</v>
      </c>
      <c r="M11" s="143">
        <f t="shared" si="3"/>
        <v>0</v>
      </c>
      <c r="N11" s="143">
        <v>0</v>
      </c>
      <c r="O11" s="143">
        <f t="shared" si="4"/>
        <v>0</v>
      </c>
      <c r="P11" s="143">
        <f t="shared" si="5"/>
        <v>0</v>
      </c>
      <c r="Q11" s="171"/>
      <c r="R11" s="170"/>
    </row>
    <row r="12" s="31" customFormat="1" spans="1:18">
      <c r="A12" s="70">
        <f>IF(F12&lt;&gt;"",1+MAX($A$2:A11),"")</f>
        <v>5</v>
      </c>
      <c r="B12" s="71"/>
      <c r="C12" s="65"/>
      <c r="D12" s="66" t="s">
        <v>47</v>
      </c>
      <c r="E12" s="67">
        <v>1</v>
      </c>
      <c r="F12" s="68">
        <v>0</v>
      </c>
      <c r="G12" s="69">
        <f t="shared" si="0"/>
        <v>1</v>
      </c>
      <c r="H12" s="67" t="s">
        <v>43</v>
      </c>
      <c r="I12" s="140">
        <v>0</v>
      </c>
      <c r="J12" s="141">
        <f t="shared" si="1"/>
        <v>0</v>
      </c>
      <c r="K12" s="142">
        <v>0</v>
      </c>
      <c r="L12" s="143">
        <f t="shared" si="2"/>
        <v>0</v>
      </c>
      <c r="M12" s="143">
        <f t="shared" si="3"/>
        <v>0</v>
      </c>
      <c r="N12" s="143">
        <v>0</v>
      </c>
      <c r="O12" s="143">
        <f t="shared" si="4"/>
        <v>0</v>
      </c>
      <c r="P12" s="143">
        <f t="shared" si="5"/>
        <v>0</v>
      </c>
      <c r="Q12" s="171"/>
      <c r="R12" s="170"/>
    </row>
    <row r="13" s="31" customFormat="1" spans="1:18">
      <c r="A13" s="70">
        <f>IF(F13&lt;&gt;"",1+MAX($A$2:A12),"")</f>
        <v>6</v>
      </c>
      <c r="B13" s="71"/>
      <c r="C13" s="65"/>
      <c r="D13" s="66" t="s">
        <v>48</v>
      </c>
      <c r="E13" s="67">
        <v>1</v>
      </c>
      <c r="F13" s="68">
        <v>0</v>
      </c>
      <c r="G13" s="69">
        <f t="shared" si="0"/>
        <v>1</v>
      </c>
      <c r="H13" s="67" t="s">
        <v>43</v>
      </c>
      <c r="I13" s="140">
        <v>0</v>
      </c>
      <c r="J13" s="141">
        <f t="shared" si="1"/>
        <v>0</v>
      </c>
      <c r="K13" s="142">
        <v>0</v>
      </c>
      <c r="L13" s="143">
        <f t="shared" si="2"/>
        <v>0</v>
      </c>
      <c r="M13" s="143">
        <f t="shared" si="3"/>
        <v>0</v>
      </c>
      <c r="N13" s="143">
        <v>0</v>
      </c>
      <c r="O13" s="143">
        <f t="shared" si="4"/>
        <v>0</v>
      </c>
      <c r="P13" s="143">
        <f t="shared" si="5"/>
        <v>0</v>
      </c>
      <c r="Q13" s="171"/>
      <c r="R13" s="170"/>
    </row>
    <row r="14" s="31" customFormat="1" ht="16.5" spans="1:18">
      <c r="A14" s="70">
        <f>IF(F14&lt;&gt;"",1+MAX($A$2:A13),"")</f>
        <v>7</v>
      </c>
      <c r="B14" s="71"/>
      <c r="C14" s="65"/>
      <c r="D14" s="72" t="s">
        <v>49</v>
      </c>
      <c r="E14" s="73">
        <v>1</v>
      </c>
      <c r="F14" s="74">
        <v>0</v>
      </c>
      <c r="G14" s="75">
        <f t="shared" si="0"/>
        <v>1</v>
      </c>
      <c r="H14" s="73" t="s">
        <v>43</v>
      </c>
      <c r="I14" s="144">
        <v>0</v>
      </c>
      <c r="J14" s="145">
        <f t="shared" si="1"/>
        <v>0</v>
      </c>
      <c r="K14" s="146">
        <v>0</v>
      </c>
      <c r="L14" s="147">
        <f t="shared" si="2"/>
        <v>0</v>
      </c>
      <c r="M14" s="147">
        <f t="shared" si="3"/>
        <v>0</v>
      </c>
      <c r="N14" s="147">
        <v>0</v>
      </c>
      <c r="O14" s="147">
        <f t="shared" si="4"/>
        <v>0</v>
      </c>
      <c r="P14" s="143">
        <f t="shared" si="5"/>
        <v>0</v>
      </c>
      <c r="Q14" s="172"/>
      <c r="R14" s="170"/>
    </row>
    <row r="15" s="29" customFormat="1" ht="16.5" spans="1:18">
      <c r="A15" s="76" t="str">
        <f>IF(F15&lt;&gt;"",1+MAX($A$2:A14),"")</f>
        <v/>
      </c>
      <c r="B15" s="77"/>
      <c r="C15" s="78"/>
      <c r="D15" s="79" t="s">
        <v>50</v>
      </c>
      <c r="E15" s="80"/>
      <c r="F15" s="80"/>
      <c r="G15" s="80"/>
      <c r="H15" s="80"/>
      <c r="I15" s="80"/>
      <c r="J15" s="80"/>
      <c r="K15" s="148"/>
      <c r="L15" s="148"/>
      <c r="M15" s="148"/>
      <c r="N15" s="148"/>
      <c r="O15" s="148"/>
      <c r="P15" s="148"/>
      <c r="Q15" s="173">
        <f>SUM(Q8:Q14)</f>
        <v>184000</v>
      </c>
      <c r="R15" s="174"/>
    </row>
    <row r="16" s="29" customFormat="1" spans="1:18">
      <c r="A16" s="76" t="str">
        <f>IF(F16&lt;&gt;"",1+MAX($A$2:A15),"")</f>
        <v/>
      </c>
      <c r="B16" s="77"/>
      <c r="C16" s="78"/>
      <c r="D16" s="81"/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175"/>
      <c r="R16" s="174"/>
    </row>
    <row r="17" s="32" customFormat="1" spans="1:19">
      <c r="A17" s="82" t="str">
        <f>IF(F17&lt;&gt;"",1+MAX($A$2:A16),"")</f>
        <v/>
      </c>
      <c r="B17" s="55"/>
      <c r="C17" s="83">
        <v>26</v>
      </c>
      <c r="D17" s="57" t="s">
        <v>51</v>
      </c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191"/>
      <c r="S17" s="176"/>
    </row>
    <row r="18" s="32" customFormat="1" spans="1:36">
      <c r="A18" s="91" t="str">
        <f>IF(F18&lt;&gt;"",1+MAX($A$2:A17),"")</f>
        <v/>
      </c>
      <c r="B18" s="92"/>
      <c r="C18" s="93"/>
      <c r="D18" s="57" t="s">
        <v>52</v>
      </c>
      <c r="E18" s="69"/>
      <c r="F18" s="94"/>
      <c r="G18" s="95"/>
      <c r="H18" s="67"/>
      <c r="I18" s="140"/>
      <c r="J18" s="141"/>
      <c r="K18" s="142"/>
      <c r="L18" s="143"/>
      <c r="M18" s="143"/>
      <c r="N18" s="143"/>
      <c r="O18" s="143"/>
      <c r="P18" s="143"/>
      <c r="Q18" s="179"/>
      <c r="R18" s="181"/>
      <c r="S18" s="181"/>
      <c r="T18" s="181"/>
      <c r="U18" s="181"/>
      <c r="V18" s="181"/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81"/>
      <c r="AI18" s="181"/>
      <c r="AJ18" s="181"/>
    </row>
    <row r="19" s="32" customFormat="1" spans="1:36">
      <c r="A19" s="91" t="str">
        <f>IF(F19&lt;&gt;"",1+MAX($A$2:A18),"")</f>
        <v/>
      </c>
      <c r="B19" s="92"/>
      <c r="C19" s="93"/>
      <c r="D19" s="87" t="s">
        <v>53</v>
      </c>
      <c r="E19" s="69"/>
      <c r="F19" s="94"/>
      <c r="G19" s="95"/>
      <c r="H19" s="67"/>
      <c r="I19" s="140"/>
      <c r="J19" s="141"/>
      <c r="K19" s="142"/>
      <c r="L19" s="143"/>
      <c r="M19" s="143"/>
      <c r="N19" s="143"/>
      <c r="O19" s="143"/>
      <c r="P19" s="143"/>
      <c r="Q19" s="179"/>
      <c r="R19" s="181"/>
      <c r="S19" s="181"/>
      <c r="T19" s="181"/>
      <c r="U19" s="181"/>
      <c r="V19" s="181"/>
      <c r="W19" s="181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81"/>
      <c r="AI19" s="181"/>
      <c r="AJ19" s="181"/>
    </row>
    <row r="20" s="32" customFormat="1" spans="1:36">
      <c r="A20" s="91" t="str">
        <f>IF(F20&lt;&gt;"",1+MAX($A$2:A19),"")</f>
        <v/>
      </c>
      <c r="B20" s="92"/>
      <c r="C20" s="93"/>
      <c r="D20" s="96" t="s">
        <v>54</v>
      </c>
      <c r="E20" s="69"/>
      <c r="F20" s="94"/>
      <c r="G20" s="95"/>
      <c r="H20" s="67"/>
      <c r="I20" s="140"/>
      <c r="J20" s="141"/>
      <c r="K20" s="142"/>
      <c r="L20" s="143"/>
      <c r="M20" s="143"/>
      <c r="N20" s="143"/>
      <c r="O20" s="143"/>
      <c r="P20" s="143"/>
      <c r="Q20" s="179"/>
      <c r="R20" s="181"/>
      <c r="S20" s="181"/>
      <c r="T20" s="181"/>
      <c r="U20" s="181"/>
      <c r="V20" s="181"/>
      <c r="W20" s="181"/>
      <c r="X20" s="181"/>
      <c r="Y20" s="181"/>
      <c r="Z20" s="181"/>
      <c r="AA20" s="181"/>
      <c r="AB20" s="181"/>
      <c r="AC20" s="181"/>
      <c r="AD20" s="181"/>
      <c r="AE20" s="181"/>
      <c r="AF20" s="181"/>
      <c r="AG20" s="181"/>
      <c r="AH20" s="181"/>
      <c r="AI20" s="181"/>
      <c r="AJ20" s="181"/>
    </row>
    <row r="21" s="32" customFormat="1" spans="1:36">
      <c r="A21" s="91">
        <f>IF(F21&lt;&gt;"",1+MAX($A$2:A20),"")</f>
        <v>8</v>
      </c>
      <c r="B21" s="92"/>
      <c r="C21" s="93"/>
      <c r="D21" s="66" t="s">
        <v>55</v>
      </c>
      <c r="E21" s="69">
        <v>169.8</v>
      </c>
      <c r="F21" s="68">
        <v>0.05</v>
      </c>
      <c r="G21" s="63">
        <f t="shared" ref="G21:G26" si="6">(F21*E21)+E21</f>
        <v>178.29</v>
      </c>
      <c r="H21" s="67" t="s">
        <v>56</v>
      </c>
      <c r="I21" s="140">
        <v>0.146</v>
      </c>
      <c r="J21" s="141">
        <f t="shared" ref="J21:J22" si="7">+I21*G21</f>
        <v>26.03034</v>
      </c>
      <c r="K21" s="142">
        <f>'LABOR SHEET'!C$3</f>
        <v>128</v>
      </c>
      <c r="L21" s="143">
        <f t="shared" ref="L21:L22" si="8">I21*K21</f>
        <v>18.688</v>
      </c>
      <c r="M21" s="143">
        <f t="shared" ref="M21:M22" si="9">K21*J21</f>
        <v>3331.88352</v>
      </c>
      <c r="N21" s="143">
        <f>138.78/10+1</f>
        <v>14.878</v>
      </c>
      <c r="O21" s="143">
        <f t="shared" ref="O21:O22" si="10">N21*G21</f>
        <v>2652.59862</v>
      </c>
      <c r="P21" s="143">
        <f t="shared" ref="P21:P22" si="11">(I21*K21)+N21</f>
        <v>33.566</v>
      </c>
      <c r="Q21" s="178">
        <f t="shared" ref="Q21:Q22" si="12">P21*G21</f>
        <v>5984.48214</v>
      </c>
      <c r="R21" s="181"/>
      <c r="S21" s="181"/>
      <c r="T21" s="181"/>
      <c r="U21" s="181"/>
      <c r="V21" s="181"/>
      <c r="W21" s="181"/>
      <c r="X21" s="181"/>
      <c r="Y21" s="181"/>
      <c r="Z21" s="181"/>
      <c r="AA21" s="181"/>
      <c r="AB21" s="181"/>
      <c r="AC21" s="181"/>
      <c r="AD21" s="181"/>
      <c r="AE21" s="181"/>
      <c r="AF21" s="181"/>
      <c r="AG21" s="181"/>
      <c r="AH21" s="181"/>
      <c r="AI21" s="181"/>
      <c r="AJ21" s="181"/>
    </row>
    <row r="22" s="32" customFormat="1" spans="1:36">
      <c r="A22" s="91">
        <f>IF(F22&lt;&gt;"",1+MAX($A$2:A21),"")</f>
        <v>9</v>
      </c>
      <c r="B22" s="92"/>
      <c r="C22" s="93"/>
      <c r="D22" s="66" t="s">
        <v>57</v>
      </c>
      <c r="E22" s="69">
        <v>3840.06</v>
      </c>
      <c r="F22" s="68">
        <v>0.05</v>
      </c>
      <c r="G22" s="63">
        <f t="shared" si="6"/>
        <v>4032.063</v>
      </c>
      <c r="H22" s="67" t="s">
        <v>56</v>
      </c>
      <c r="I22" s="140">
        <v>0.115</v>
      </c>
      <c r="J22" s="141">
        <f t="shared" si="7"/>
        <v>463.687245</v>
      </c>
      <c r="K22" s="142">
        <f>'LABOR SHEET'!C$3</f>
        <v>128</v>
      </c>
      <c r="L22" s="143">
        <f t="shared" si="8"/>
        <v>14.72</v>
      </c>
      <c r="M22" s="143">
        <f t="shared" si="9"/>
        <v>59351.96736</v>
      </c>
      <c r="N22" s="143">
        <v>9.27</v>
      </c>
      <c r="O22" s="143">
        <f t="shared" si="10"/>
        <v>37377.22401</v>
      </c>
      <c r="P22" s="143">
        <f t="shared" si="11"/>
        <v>23.99</v>
      </c>
      <c r="Q22" s="178">
        <f t="shared" si="12"/>
        <v>96729.19137</v>
      </c>
      <c r="R22" s="181"/>
      <c r="S22" s="181"/>
      <c r="T22" s="181"/>
      <c r="U22" s="181"/>
      <c r="V22" s="181"/>
      <c r="W22" s="181"/>
      <c r="X22" s="181"/>
      <c r="Y22" s="181"/>
      <c r="Z22" s="181"/>
      <c r="AA22" s="181"/>
      <c r="AB22" s="181"/>
      <c r="AC22" s="181"/>
      <c r="AD22" s="181"/>
      <c r="AE22" s="181"/>
      <c r="AF22" s="181"/>
      <c r="AG22" s="181"/>
      <c r="AH22" s="181"/>
      <c r="AI22" s="181"/>
      <c r="AJ22" s="181"/>
    </row>
    <row r="23" s="32" customFormat="1" spans="1:36">
      <c r="A23" s="91">
        <f>IF(F23&lt;&gt;"",1+MAX($A$2:A22),"")</f>
        <v>10</v>
      </c>
      <c r="B23" s="92"/>
      <c r="C23" s="93"/>
      <c r="D23" s="66" t="s">
        <v>58</v>
      </c>
      <c r="E23" s="69">
        <v>1079.76</v>
      </c>
      <c r="F23" s="68">
        <v>0.05</v>
      </c>
      <c r="G23" s="63">
        <f t="shared" si="6"/>
        <v>1133.748</v>
      </c>
      <c r="H23" s="67" t="s">
        <v>56</v>
      </c>
      <c r="I23" s="140">
        <v>0.138</v>
      </c>
      <c r="J23" s="141">
        <f t="shared" ref="J23:J26" si="13">+I23*G23</f>
        <v>156.457224</v>
      </c>
      <c r="K23" s="142">
        <f>'LABOR SHEET'!C$3</f>
        <v>128</v>
      </c>
      <c r="L23" s="143">
        <f t="shared" ref="L23:L26" si="14">I23*K23</f>
        <v>17.664</v>
      </c>
      <c r="M23" s="143">
        <f t="shared" ref="M23:M26" si="15">K23*J23</f>
        <v>20026.524672</v>
      </c>
      <c r="N23" s="143">
        <f>103.68/10+0.85</f>
        <v>11.218</v>
      </c>
      <c r="O23" s="143">
        <f t="shared" ref="O23:O26" si="16">N23*G23</f>
        <v>12718.385064</v>
      </c>
      <c r="P23" s="143">
        <f t="shared" ref="P23:P26" si="17">(I23*K23)+N23</f>
        <v>28.882</v>
      </c>
      <c r="Q23" s="178">
        <f t="shared" ref="Q23:Q26" si="18">P23*G23</f>
        <v>32744.909736</v>
      </c>
      <c r="R23" s="181"/>
      <c r="S23" s="181"/>
      <c r="T23" s="181"/>
      <c r="U23" s="181"/>
      <c r="V23" s="181"/>
      <c r="W23" s="181"/>
      <c r="X23" s="181"/>
      <c r="Y23" s="181"/>
      <c r="Z23" s="181"/>
      <c r="AA23" s="181"/>
      <c r="AB23" s="181"/>
      <c r="AC23" s="181"/>
      <c r="AD23" s="181"/>
      <c r="AE23" s="181"/>
      <c r="AF23" s="181"/>
      <c r="AG23" s="181"/>
      <c r="AH23" s="181"/>
      <c r="AI23" s="181"/>
      <c r="AJ23" s="181"/>
    </row>
    <row r="24" s="32" customFormat="1" spans="1:36">
      <c r="A24" s="91">
        <f>IF(F24&lt;&gt;"",1+MAX($A$2:A23),"")</f>
        <v>11</v>
      </c>
      <c r="B24" s="92"/>
      <c r="C24" s="93"/>
      <c r="D24" s="66" t="s">
        <v>59</v>
      </c>
      <c r="E24" s="69">
        <v>234.75</v>
      </c>
      <c r="F24" s="68">
        <v>0.05</v>
      </c>
      <c r="G24" s="63">
        <f t="shared" si="6"/>
        <v>246.4875</v>
      </c>
      <c r="H24" s="67" t="s">
        <v>56</v>
      </c>
      <c r="I24" s="140">
        <v>0.11</v>
      </c>
      <c r="J24" s="141">
        <f t="shared" si="13"/>
        <v>27.113625</v>
      </c>
      <c r="K24" s="142">
        <f>'LABOR SHEET'!C$3</f>
        <v>128</v>
      </c>
      <c r="L24" s="143">
        <f t="shared" si="14"/>
        <v>14.08</v>
      </c>
      <c r="M24" s="143">
        <f t="shared" si="15"/>
        <v>3470.544</v>
      </c>
      <c r="N24" s="143">
        <f>40.48/10+0.55</f>
        <v>4.598</v>
      </c>
      <c r="O24" s="143">
        <f t="shared" si="16"/>
        <v>1133.349525</v>
      </c>
      <c r="P24" s="143">
        <f t="shared" si="17"/>
        <v>18.678</v>
      </c>
      <c r="Q24" s="178">
        <f t="shared" si="18"/>
        <v>4603.893525</v>
      </c>
      <c r="R24" s="181"/>
      <c r="S24" s="181"/>
      <c r="T24" s="181"/>
      <c r="U24" s="181"/>
      <c r="V24" s="181"/>
      <c r="W24" s="181"/>
      <c r="X24" s="181"/>
      <c r="Y24" s="181"/>
      <c r="Z24" s="181"/>
      <c r="AA24" s="181"/>
      <c r="AB24" s="181"/>
      <c r="AC24" s="181"/>
      <c r="AD24" s="181"/>
      <c r="AE24" s="181"/>
      <c r="AF24" s="181"/>
      <c r="AG24" s="181"/>
      <c r="AH24" s="181"/>
      <c r="AI24" s="181"/>
      <c r="AJ24" s="181"/>
    </row>
    <row r="25" s="32" customFormat="1" spans="1:36">
      <c r="A25" s="91">
        <f>IF(F25&lt;&gt;"",1+MAX($A$2:A24),"")</f>
        <v>12</v>
      </c>
      <c r="B25" s="92"/>
      <c r="C25" s="93"/>
      <c r="D25" s="66" t="s">
        <v>60</v>
      </c>
      <c r="E25" s="69">
        <v>601.29</v>
      </c>
      <c r="F25" s="68">
        <v>0.05</v>
      </c>
      <c r="G25" s="63">
        <f t="shared" si="6"/>
        <v>631.3545</v>
      </c>
      <c r="H25" s="67" t="s">
        <v>56</v>
      </c>
      <c r="I25" s="140">
        <v>0.1</v>
      </c>
      <c r="J25" s="141">
        <f t="shared" si="13"/>
        <v>63.13545</v>
      </c>
      <c r="K25" s="142">
        <f>'LABOR SHEET'!C$3</f>
        <v>128</v>
      </c>
      <c r="L25" s="143">
        <f t="shared" si="14"/>
        <v>12.8</v>
      </c>
      <c r="M25" s="143">
        <f t="shared" si="15"/>
        <v>8081.3376</v>
      </c>
      <c r="N25" s="143">
        <f>34/10+0.35</f>
        <v>3.75</v>
      </c>
      <c r="O25" s="143">
        <f t="shared" si="16"/>
        <v>2367.579375</v>
      </c>
      <c r="P25" s="143">
        <f t="shared" si="17"/>
        <v>16.55</v>
      </c>
      <c r="Q25" s="178">
        <f t="shared" si="18"/>
        <v>10448.916975</v>
      </c>
      <c r="R25" s="181"/>
      <c r="S25" s="181"/>
      <c r="T25" s="181"/>
      <c r="U25" s="181"/>
      <c r="V25" s="181"/>
      <c r="W25" s="181"/>
      <c r="X25" s="181"/>
      <c r="Y25" s="181"/>
      <c r="Z25" s="181"/>
      <c r="AA25" s="181"/>
      <c r="AB25" s="181"/>
      <c r="AC25" s="181"/>
      <c r="AD25" s="181"/>
      <c r="AE25" s="181"/>
      <c r="AF25" s="181"/>
      <c r="AG25" s="181"/>
      <c r="AH25" s="181"/>
      <c r="AI25" s="181"/>
      <c r="AJ25" s="181"/>
    </row>
    <row r="26" s="32" customFormat="1" spans="1:36">
      <c r="A26" s="91">
        <f>IF(F26&lt;&gt;"",1+MAX($A$2:A25),"")</f>
        <v>13</v>
      </c>
      <c r="B26" s="92"/>
      <c r="C26" s="93"/>
      <c r="D26" s="66" t="s">
        <v>61</v>
      </c>
      <c r="E26" s="69">
        <v>3357.45</v>
      </c>
      <c r="F26" s="68">
        <v>0.05</v>
      </c>
      <c r="G26" s="63">
        <f t="shared" si="6"/>
        <v>3525.3225</v>
      </c>
      <c r="H26" s="67" t="s">
        <v>56</v>
      </c>
      <c r="I26" s="140">
        <v>0.01</v>
      </c>
      <c r="J26" s="141">
        <f t="shared" si="13"/>
        <v>35.253225</v>
      </c>
      <c r="K26" s="142">
        <f>'LABOR SHEET'!C$3</f>
        <v>128</v>
      </c>
      <c r="L26" s="143">
        <f t="shared" si="14"/>
        <v>1.28</v>
      </c>
      <c r="M26" s="143">
        <f t="shared" si="15"/>
        <v>4512.4128</v>
      </c>
      <c r="N26" s="143">
        <v>0.35</v>
      </c>
      <c r="O26" s="143">
        <f t="shared" si="16"/>
        <v>1233.862875</v>
      </c>
      <c r="P26" s="143">
        <f t="shared" si="17"/>
        <v>1.63</v>
      </c>
      <c r="Q26" s="178">
        <f t="shared" si="18"/>
        <v>5746.275675</v>
      </c>
      <c r="R26" s="181"/>
      <c r="S26" s="181"/>
      <c r="T26" s="181"/>
      <c r="U26" s="181"/>
      <c r="V26" s="181"/>
      <c r="W26" s="181"/>
      <c r="X26" s="181"/>
      <c r="Y26" s="181"/>
      <c r="Z26" s="181"/>
      <c r="AA26" s="181"/>
      <c r="AB26" s="181"/>
      <c r="AC26" s="181"/>
      <c r="AD26" s="181"/>
      <c r="AE26" s="181"/>
      <c r="AF26" s="181"/>
      <c r="AG26" s="181"/>
      <c r="AH26" s="181"/>
      <c r="AI26" s="181"/>
      <c r="AJ26" s="181"/>
    </row>
    <row r="27" s="32" customFormat="1" spans="1:36">
      <c r="A27" s="91" t="str">
        <f>IF(F27&lt;&gt;"",1+MAX($A$2:A26),"")</f>
        <v/>
      </c>
      <c r="B27" s="92"/>
      <c r="C27" s="93"/>
      <c r="D27" s="66"/>
      <c r="E27" s="69"/>
      <c r="F27" s="94"/>
      <c r="G27" s="95"/>
      <c r="H27" s="67"/>
      <c r="I27" s="140"/>
      <c r="J27" s="141"/>
      <c r="K27" s="142"/>
      <c r="L27" s="143"/>
      <c r="M27" s="143"/>
      <c r="N27" s="143"/>
      <c r="O27" s="143"/>
      <c r="P27" s="143"/>
      <c r="Q27" s="179"/>
      <c r="R27" s="181"/>
      <c r="S27" s="181"/>
      <c r="T27" s="181"/>
      <c r="U27" s="181"/>
      <c r="V27" s="181"/>
      <c r="W27" s="181"/>
      <c r="X27" s="181"/>
      <c r="Y27" s="181"/>
      <c r="Z27" s="181"/>
      <c r="AA27" s="181"/>
      <c r="AB27" s="181"/>
      <c r="AC27" s="181"/>
      <c r="AD27" s="181"/>
      <c r="AE27" s="181"/>
      <c r="AF27" s="181"/>
      <c r="AG27" s="181"/>
      <c r="AH27" s="181"/>
      <c r="AI27" s="181"/>
      <c r="AJ27" s="181"/>
    </row>
    <row r="28" s="32" customFormat="1" spans="1:36">
      <c r="A28" s="91" t="str">
        <f>IF(F28&lt;&gt;"",1+MAX($A$2:A27),"")</f>
        <v/>
      </c>
      <c r="B28" s="92"/>
      <c r="C28" s="93"/>
      <c r="D28" s="96" t="s">
        <v>62</v>
      </c>
      <c r="E28" s="69"/>
      <c r="F28" s="94"/>
      <c r="G28" s="95"/>
      <c r="H28" s="67"/>
      <c r="I28" s="140"/>
      <c r="J28" s="141"/>
      <c r="K28" s="142"/>
      <c r="L28" s="143"/>
      <c r="M28" s="143"/>
      <c r="N28" s="143"/>
      <c r="O28" s="143"/>
      <c r="P28" s="143"/>
      <c r="Q28" s="179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81"/>
      <c r="AJ28" s="181"/>
    </row>
    <row r="29" s="32" customFormat="1" spans="1:36">
      <c r="A29" s="91">
        <f>IF(F29&lt;&gt;"",1+MAX($A$2:A28),"")</f>
        <v>14</v>
      </c>
      <c r="B29" s="92"/>
      <c r="C29" s="93"/>
      <c r="D29" s="66" t="s">
        <v>63</v>
      </c>
      <c r="E29" s="69">
        <v>3548.64</v>
      </c>
      <c r="F29" s="68">
        <v>0.05</v>
      </c>
      <c r="G29" s="63">
        <f t="shared" ref="G29:G34" si="19">(F29*E29)+E29</f>
        <v>3726.072</v>
      </c>
      <c r="H29" s="67" t="s">
        <v>56</v>
      </c>
      <c r="I29" s="140">
        <v>0.1</v>
      </c>
      <c r="J29" s="141">
        <f t="shared" ref="J29:J34" si="20">+I29*G29</f>
        <v>372.6072</v>
      </c>
      <c r="K29" s="142">
        <f>'LABOR SHEET'!C$3</f>
        <v>128</v>
      </c>
      <c r="L29" s="143">
        <f t="shared" ref="L29:L34" si="21">I29*K29</f>
        <v>12.8</v>
      </c>
      <c r="M29" s="143">
        <f t="shared" ref="M29:M34" si="22">K29*J29</f>
        <v>47693.7216</v>
      </c>
      <c r="N29" s="143">
        <v>22.57</v>
      </c>
      <c r="O29" s="143">
        <f t="shared" ref="O29:O34" si="23">N29*G29</f>
        <v>84097.44504</v>
      </c>
      <c r="P29" s="143">
        <f t="shared" ref="P29:P34" si="24">(I29*K29)+N29</f>
        <v>35.37</v>
      </c>
      <c r="Q29" s="178">
        <f t="shared" ref="Q29:Q34" si="25">P29*G29</f>
        <v>131791.16664</v>
      </c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81"/>
      <c r="AJ29" s="181"/>
    </row>
    <row r="30" s="32" customFormat="1" spans="1:36">
      <c r="A30" s="91">
        <f>IF(F30&lt;&gt;"",1+MAX($A$2:A29),"")</f>
        <v>15</v>
      </c>
      <c r="B30" s="92"/>
      <c r="C30" s="93"/>
      <c r="D30" s="66" t="s">
        <v>64</v>
      </c>
      <c r="E30" s="69">
        <v>4319.04</v>
      </c>
      <c r="F30" s="68">
        <v>0.05</v>
      </c>
      <c r="G30" s="63">
        <f t="shared" si="19"/>
        <v>4534.992</v>
      </c>
      <c r="H30" s="67" t="s">
        <v>56</v>
      </c>
      <c r="I30" s="140">
        <v>0.07</v>
      </c>
      <c r="J30" s="141">
        <f t="shared" si="20"/>
        <v>317.44944</v>
      </c>
      <c r="K30" s="142">
        <f>'LABOR SHEET'!C$3</f>
        <v>128</v>
      </c>
      <c r="L30" s="143">
        <f t="shared" si="21"/>
        <v>8.96</v>
      </c>
      <c r="M30" s="143">
        <f t="shared" si="22"/>
        <v>40633.52832</v>
      </c>
      <c r="N30" s="143">
        <v>13.24</v>
      </c>
      <c r="O30" s="143">
        <f t="shared" si="23"/>
        <v>60043.29408</v>
      </c>
      <c r="P30" s="143">
        <f t="shared" si="24"/>
        <v>22.2</v>
      </c>
      <c r="Q30" s="178">
        <f t="shared" si="25"/>
        <v>100676.8224</v>
      </c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81"/>
      <c r="AJ30" s="181"/>
    </row>
    <row r="31" s="32" customFormat="1" spans="1:36">
      <c r="A31" s="91">
        <f>IF(F31&lt;&gt;"",1+MAX($A$2:A30),"")</f>
        <v>16</v>
      </c>
      <c r="B31" s="92"/>
      <c r="C31" s="93"/>
      <c r="D31" s="66" t="s">
        <v>65</v>
      </c>
      <c r="E31" s="69">
        <v>451.56</v>
      </c>
      <c r="F31" s="68">
        <v>0.05</v>
      </c>
      <c r="G31" s="63">
        <f t="shared" si="19"/>
        <v>474.138</v>
      </c>
      <c r="H31" s="67" t="s">
        <v>56</v>
      </c>
      <c r="I31" s="140">
        <v>0.066</v>
      </c>
      <c r="J31" s="141">
        <f t="shared" si="20"/>
        <v>31.293108</v>
      </c>
      <c r="K31" s="142">
        <f>'LABOR SHEET'!C$3</f>
        <v>128</v>
      </c>
      <c r="L31" s="143">
        <f t="shared" si="21"/>
        <v>8.448</v>
      </c>
      <c r="M31" s="143">
        <f t="shared" si="22"/>
        <v>4005.517824</v>
      </c>
      <c r="N31" s="143">
        <v>7.78</v>
      </c>
      <c r="O31" s="143">
        <f t="shared" si="23"/>
        <v>3688.79364</v>
      </c>
      <c r="P31" s="143">
        <f t="shared" si="24"/>
        <v>16.228</v>
      </c>
      <c r="Q31" s="178">
        <f t="shared" si="25"/>
        <v>7694.311464</v>
      </c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81"/>
      <c r="AJ31" s="181"/>
    </row>
    <row r="32" s="32" customFormat="1" spans="1:36">
      <c r="A32" s="91">
        <f>IF(F32&lt;&gt;"",1+MAX($A$2:A31),"")</f>
        <v>17</v>
      </c>
      <c r="B32" s="92"/>
      <c r="C32" s="93"/>
      <c r="D32" s="66" t="s">
        <v>66</v>
      </c>
      <c r="E32" s="69">
        <v>1079.76</v>
      </c>
      <c r="F32" s="68">
        <v>0.05</v>
      </c>
      <c r="G32" s="63">
        <f t="shared" si="19"/>
        <v>1133.748</v>
      </c>
      <c r="H32" s="67" t="s">
        <v>56</v>
      </c>
      <c r="I32" s="140">
        <v>0.06</v>
      </c>
      <c r="J32" s="141">
        <f t="shared" si="20"/>
        <v>68.02488</v>
      </c>
      <c r="K32" s="142">
        <f>'LABOR SHEET'!C$3</f>
        <v>128</v>
      </c>
      <c r="L32" s="143">
        <f t="shared" si="21"/>
        <v>7.68</v>
      </c>
      <c r="M32" s="143">
        <f t="shared" si="22"/>
        <v>8707.18464</v>
      </c>
      <c r="N32" s="143">
        <v>6.33</v>
      </c>
      <c r="O32" s="143">
        <f t="shared" si="23"/>
        <v>7176.62484</v>
      </c>
      <c r="P32" s="143">
        <f t="shared" si="24"/>
        <v>14.01</v>
      </c>
      <c r="Q32" s="178">
        <f t="shared" si="25"/>
        <v>15883.80948</v>
      </c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81"/>
      <c r="AJ32" s="181"/>
    </row>
    <row r="33" s="32" customFormat="1" spans="1:36">
      <c r="A33" s="91">
        <f>IF(F33&lt;&gt;"",1+MAX($A$2:A32),"")</f>
        <v>18</v>
      </c>
      <c r="B33" s="92"/>
      <c r="C33" s="93"/>
      <c r="D33" s="66" t="s">
        <v>67</v>
      </c>
      <c r="E33" s="69">
        <v>2523.72</v>
      </c>
      <c r="F33" s="68">
        <v>0.05</v>
      </c>
      <c r="G33" s="63">
        <f t="shared" si="19"/>
        <v>2649.906</v>
      </c>
      <c r="H33" s="67" t="s">
        <v>56</v>
      </c>
      <c r="I33" s="140">
        <v>0.025</v>
      </c>
      <c r="J33" s="141">
        <f t="shared" si="20"/>
        <v>66.24765</v>
      </c>
      <c r="K33" s="142">
        <f>'LABOR SHEET'!C$3</f>
        <v>128</v>
      </c>
      <c r="L33" s="143">
        <f t="shared" si="21"/>
        <v>3.2</v>
      </c>
      <c r="M33" s="143">
        <f t="shared" si="22"/>
        <v>8479.6992</v>
      </c>
      <c r="N33" s="143">
        <v>2.97</v>
      </c>
      <c r="O33" s="143">
        <f t="shared" si="23"/>
        <v>7870.22082</v>
      </c>
      <c r="P33" s="143">
        <f t="shared" si="24"/>
        <v>6.17</v>
      </c>
      <c r="Q33" s="178">
        <f t="shared" si="25"/>
        <v>16349.92002</v>
      </c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81"/>
      <c r="AJ33" s="181"/>
    </row>
    <row r="34" s="32" customFormat="1" spans="1:36">
      <c r="A34" s="91">
        <f>IF(F34&lt;&gt;"",1+MAX($A$2:A33),"")</f>
        <v>19</v>
      </c>
      <c r="B34" s="92"/>
      <c r="C34" s="93"/>
      <c r="D34" s="66" t="s">
        <v>68</v>
      </c>
      <c r="E34" s="69">
        <v>601.29</v>
      </c>
      <c r="F34" s="68">
        <v>0.05</v>
      </c>
      <c r="G34" s="63">
        <f t="shared" si="19"/>
        <v>631.3545</v>
      </c>
      <c r="H34" s="67" t="s">
        <v>56</v>
      </c>
      <c r="I34" s="140">
        <v>0.012</v>
      </c>
      <c r="J34" s="141">
        <f t="shared" si="20"/>
        <v>7.576254</v>
      </c>
      <c r="K34" s="142">
        <f>'LABOR SHEET'!C$3</f>
        <v>128</v>
      </c>
      <c r="L34" s="143">
        <f t="shared" si="21"/>
        <v>1.536</v>
      </c>
      <c r="M34" s="143">
        <f t="shared" si="22"/>
        <v>969.760512</v>
      </c>
      <c r="N34" s="143">
        <v>0.82</v>
      </c>
      <c r="O34" s="143">
        <f t="shared" si="23"/>
        <v>517.71069</v>
      </c>
      <c r="P34" s="143">
        <f t="shared" si="24"/>
        <v>2.356</v>
      </c>
      <c r="Q34" s="178">
        <f t="shared" si="25"/>
        <v>1487.471202</v>
      </c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81"/>
      <c r="AJ34" s="181"/>
    </row>
    <row r="35" s="32" customFormat="1" spans="1:36">
      <c r="A35" s="91" t="str">
        <f>IF(F35&lt;&gt;"",1+MAX($A$2:A34),"")</f>
        <v/>
      </c>
      <c r="B35" s="92"/>
      <c r="C35" s="93"/>
      <c r="D35" s="66"/>
      <c r="E35" s="69"/>
      <c r="F35" s="94"/>
      <c r="G35" s="95"/>
      <c r="H35" s="67"/>
      <c r="I35" s="140"/>
      <c r="J35" s="141"/>
      <c r="K35" s="142"/>
      <c r="L35" s="143"/>
      <c r="M35" s="143"/>
      <c r="N35" s="143"/>
      <c r="O35" s="143"/>
      <c r="P35" s="143"/>
      <c r="Q35" s="179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81"/>
      <c r="AJ35" s="181"/>
    </row>
    <row r="36" s="32" customFormat="1" spans="1:36">
      <c r="A36" s="91" t="str">
        <f>IF(F36&lt;&gt;"",1+MAX($A$2:A35),"")</f>
        <v/>
      </c>
      <c r="B36" s="92"/>
      <c r="C36" s="93"/>
      <c r="D36" s="87" t="s">
        <v>69</v>
      </c>
      <c r="E36" s="69"/>
      <c r="F36" s="94"/>
      <c r="G36" s="95"/>
      <c r="H36" s="67"/>
      <c r="I36" s="140"/>
      <c r="J36" s="141"/>
      <c r="K36" s="142"/>
      <c r="L36" s="143"/>
      <c r="M36" s="143"/>
      <c r="N36" s="143"/>
      <c r="O36" s="143"/>
      <c r="P36" s="143"/>
      <c r="Q36" s="179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81"/>
      <c r="AJ36" s="181"/>
    </row>
    <row r="37" s="32" customFormat="1" spans="1:36">
      <c r="A37" s="91">
        <f>IF(F37&lt;&gt;"",1+MAX($A$2:A36),"")</f>
        <v>20</v>
      </c>
      <c r="B37" s="92"/>
      <c r="C37" s="93"/>
      <c r="D37" s="66" t="s">
        <v>70</v>
      </c>
      <c r="E37" s="69">
        <v>40</v>
      </c>
      <c r="F37" s="68">
        <v>0</v>
      </c>
      <c r="G37" s="63">
        <f t="shared" ref="G37:G41" si="26">(F37*E37)+E37</f>
        <v>40</v>
      </c>
      <c r="H37" s="67" t="s">
        <v>56</v>
      </c>
      <c r="I37" s="140">
        <v>0.03</v>
      </c>
      <c r="J37" s="141">
        <f t="shared" ref="J37:J41" si="27">+I37*G37</f>
        <v>1.2</v>
      </c>
      <c r="K37" s="142">
        <f>'LABOR SHEET'!C$3</f>
        <v>128</v>
      </c>
      <c r="L37" s="143">
        <f t="shared" ref="L37:L41" si="28">I37*K37</f>
        <v>3.84</v>
      </c>
      <c r="M37" s="143">
        <f t="shared" ref="M37:M41" si="29">K37*J37</f>
        <v>153.6</v>
      </c>
      <c r="N37" s="143">
        <v>5.54</v>
      </c>
      <c r="O37" s="143">
        <f t="shared" ref="O37:O41" si="30">N37*G37</f>
        <v>221.6</v>
      </c>
      <c r="P37" s="143">
        <f t="shared" ref="P37:P41" si="31">(I37*K37)+N37</f>
        <v>9.38</v>
      </c>
      <c r="Q37" s="178">
        <f t="shared" ref="Q37:Q41" si="32">P37*G37</f>
        <v>375.2</v>
      </c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81"/>
      <c r="AJ37" s="181"/>
    </row>
    <row r="38" s="32" customFormat="1" spans="1:36">
      <c r="A38" s="91">
        <f>IF(F38&lt;&gt;"",1+MAX($A$2:A37),"")</f>
        <v>21</v>
      </c>
      <c r="B38" s="92"/>
      <c r="C38" s="93"/>
      <c r="D38" s="66" t="s">
        <v>71</v>
      </c>
      <c r="E38" s="69">
        <v>100</v>
      </c>
      <c r="F38" s="68">
        <v>0</v>
      </c>
      <c r="G38" s="63">
        <f t="shared" si="26"/>
        <v>100</v>
      </c>
      <c r="H38" s="67" t="s">
        <v>56</v>
      </c>
      <c r="I38" s="140">
        <v>0.015</v>
      </c>
      <c r="J38" s="141">
        <f t="shared" si="27"/>
        <v>1.5</v>
      </c>
      <c r="K38" s="142">
        <f>'LABOR SHEET'!C$3</f>
        <v>128</v>
      </c>
      <c r="L38" s="143">
        <f t="shared" si="28"/>
        <v>1.92</v>
      </c>
      <c r="M38" s="143">
        <f t="shared" si="29"/>
        <v>192</v>
      </c>
      <c r="N38" s="143">
        <v>1.05</v>
      </c>
      <c r="O38" s="143">
        <f t="shared" si="30"/>
        <v>105</v>
      </c>
      <c r="P38" s="143">
        <f t="shared" si="31"/>
        <v>2.97</v>
      </c>
      <c r="Q38" s="178">
        <f t="shared" si="32"/>
        <v>297</v>
      </c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81"/>
      <c r="AJ38" s="181"/>
    </row>
    <row r="39" s="32" customFormat="1" spans="1:36">
      <c r="A39" s="91">
        <f>IF(F39&lt;&gt;"",1+MAX($A$2:A38),"")</f>
        <v>22</v>
      </c>
      <c r="B39" s="92"/>
      <c r="C39" s="93"/>
      <c r="D39" s="66" t="s">
        <v>72</v>
      </c>
      <c r="E39" s="69">
        <v>10</v>
      </c>
      <c r="F39" s="68">
        <v>0.05</v>
      </c>
      <c r="G39" s="63">
        <f t="shared" si="26"/>
        <v>10.5</v>
      </c>
      <c r="H39" s="67" t="s">
        <v>73</v>
      </c>
      <c r="I39" s="140">
        <v>0.6</v>
      </c>
      <c r="J39" s="141">
        <f t="shared" si="27"/>
        <v>6.3</v>
      </c>
      <c r="K39" s="142">
        <f>'LABOR SHEET'!C$3</f>
        <v>128</v>
      </c>
      <c r="L39" s="143">
        <f t="shared" si="28"/>
        <v>76.8</v>
      </c>
      <c r="M39" s="143">
        <f t="shared" si="29"/>
        <v>806.4</v>
      </c>
      <c r="N39" s="143">
        <v>49.99</v>
      </c>
      <c r="O39" s="143">
        <f t="shared" si="30"/>
        <v>524.895</v>
      </c>
      <c r="P39" s="143">
        <f t="shared" si="31"/>
        <v>126.79</v>
      </c>
      <c r="Q39" s="178">
        <f t="shared" si="32"/>
        <v>1331.295</v>
      </c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81"/>
      <c r="AJ39" s="181"/>
    </row>
    <row r="40" s="32" customFormat="1" spans="1:36">
      <c r="A40" s="91">
        <f>IF(F40&lt;&gt;"",1+MAX($A$2:A39),"")</f>
        <v>23</v>
      </c>
      <c r="B40" s="92"/>
      <c r="C40" s="93"/>
      <c r="D40" s="66" t="s">
        <v>74</v>
      </c>
      <c r="E40" s="69">
        <v>12</v>
      </c>
      <c r="F40" s="68">
        <v>0.05</v>
      </c>
      <c r="G40" s="63">
        <f t="shared" si="26"/>
        <v>12.6</v>
      </c>
      <c r="H40" s="67" t="s">
        <v>73</v>
      </c>
      <c r="I40" s="140">
        <v>0.25</v>
      </c>
      <c r="J40" s="141">
        <f t="shared" si="27"/>
        <v>3.15</v>
      </c>
      <c r="K40" s="142">
        <f>'LABOR SHEET'!C$3</f>
        <v>128</v>
      </c>
      <c r="L40" s="143">
        <f t="shared" si="28"/>
        <v>32</v>
      </c>
      <c r="M40" s="143">
        <f t="shared" si="29"/>
        <v>403.2</v>
      </c>
      <c r="N40" s="143">
        <v>18</v>
      </c>
      <c r="O40" s="143">
        <f t="shared" si="30"/>
        <v>226.8</v>
      </c>
      <c r="P40" s="143">
        <f t="shared" si="31"/>
        <v>50</v>
      </c>
      <c r="Q40" s="178">
        <f t="shared" si="32"/>
        <v>630</v>
      </c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81"/>
      <c r="AJ40" s="181"/>
    </row>
    <row r="41" s="32" customFormat="1" spans="1:36">
      <c r="A41" s="91">
        <f>IF(F41&lt;&gt;"",1+MAX($A$2:A40),"")</f>
        <v>24</v>
      </c>
      <c r="B41" s="92"/>
      <c r="C41" s="93"/>
      <c r="D41" s="66" t="s">
        <v>75</v>
      </c>
      <c r="E41" s="69">
        <v>2</v>
      </c>
      <c r="F41" s="68">
        <v>0.05</v>
      </c>
      <c r="G41" s="63">
        <f t="shared" si="26"/>
        <v>2.1</v>
      </c>
      <c r="H41" s="67" t="s">
        <v>73</v>
      </c>
      <c r="I41" s="140">
        <v>1.22</v>
      </c>
      <c r="J41" s="141">
        <f t="shared" si="27"/>
        <v>2.562</v>
      </c>
      <c r="K41" s="142">
        <f>'LABOR SHEET'!C$3</f>
        <v>128</v>
      </c>
      <c r="L41" s="143">
        <f t="shared" si="28"/>
        <v>156.16</v>
      </c>
      <c r="M41" s="143">
        <f t="shared" si="29"/>
        <v>327.936</v>
      </c>
      <c r="N41" s="143">
        <v>225</v>
      </c>
      <c r="O41" s="143">
        <f t="shared" si="30"/>
        <v>472.5</v>
      </c>
      <c r="P41" s="143">
        <f t="shared" si="31"/>
        <v>381.16</v>
      </c>
      <c r="Q41" s="178">
        <f t="shared" si="32"/>
        <v>800.436</v>
      </c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81"/>
      <c r="AJ41" s="181"/>
    </row>
    <row r="42" s="32" customFormat="1" spans="1:36">
      <c r="A42" s="91" t="str">
        <f>IF(F42&lt;&gt;"",1+MAX($A$2:A41),"")</f>
        <v/>
      </c>
      <c r="B42" s="92"/>
      <c r="C42" s="93"/>
      <c r="D42" s="66"/>
      <c r="E42" s="69"/>
      <c r="F42" s="94"/>
      <c r="G42" s="95"/>
      <c r="H42" s="67"/>
      <c r="I42" s="140"/>
      <c r="J42" s="141"/>
      <c r="K42" s="142"/>
      <c r="L42" s="143"/>
      <c r="M42" s="143"/>
      <c r="N42" s="143"/>
      <c r="O42" s="143"/>
      <c r="P42" s="143"/>
      <c r="Q42" s="179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81"/>
      <c r="AJ42" s="181"/>
    </row>
    <row r="43" s="32" customFormat="1" spans="1:36">
      <c r="A43" s="91" t="str">
        <f>IF(F43&lt;&gt;"",1+MAX($A$2:A42),"")</f>
        <v/>
      </c>
      <c r="B43" s="92"/>
      <c r="C43" s="93"/>
      <c r="D43" s="87" t="s">
        <v>76</v>
      </c>
      <c r="E43" s="69"/>
      <c r="F43" s="94"/>
      <c r="G43" s="95"/>
      <c r="H43" s="67"/>
      <c r="I43" s="140"/>
      <c r="J43" s="141"/>
      <c r="K43" s="142"/>
      <c r="L43" s="143"/>
      <c r="M43" s="143"/>
      <c r="N43" s="143"/>
      <c r="O43" s="143"/>
      <c r="P43" s="143"/>
      <c r="Q43" s="179"/>
      <c r="R43" s="181"/>
      <c r="S43" s="181"/>
      <c r="T43" s="181"/>
      <c r="U43" s="181"/>
      <c r="V43" s="181"/>
      <c r="W43" s="181"/>
      <c r="X43" s="181"/>
      <c r="Y43" s="181"/>
      <c r="Z43" s="181"/>
      <c r="AA43" s="181"/>
      <c r="AB43" s="181"/>
      <c r="AC43" s="181"/>
      <c r="AD43" s="181"/>
      <c r="AE43" s="181"/>
      <c r="AF43" s="181"/>
      <c r="AG43" s="181"/>
      <c r="AH43" s="181"/>
      <c r="AI43" s="181"/>
      <c r="AJ43" s="181"/>
    </row>
    <row r="44" s="32" customFormat="1" spans="1:36">
      <c r="A44" s="91">
        <f>IF(F44&lt;&gt;"",1+MAX($A$2:A43),"")</f>
        <v>25</v>
      </c>
      <c r="B44" s="92"/>
      <c r="C44" s="93"/>
      <c r="D44" s="66" t="s">
        <v>77</v>
      </c>
      <c r="E44" s="69">
        <v>2</v>
      </c>
      <c r="F44" s="68">
        <v>0</v>
      </c>
      <c r="G44" s="63">
        <f t="shared" ref="G44:G66" si="33">(F44*E44)+E44</f>
        <v>2</v>
      </c>
      <c r="H44" s="67" t="s">
        <v>73</v>
      </c>
      <c r="I44" s="140">
        <v>2</v>
      </c>
      <c r="J44" s="141">
        <f t="shared" ref="J44:J45" si="34">+I44*G44</f>
        <v>4</v>
      </c>
      <c r="K44" s="142">
        <f>'LABOR SHEET'!C$3</f>
        <v>128</v>
      </c>
      <c r="L44" s="143">
        <f t="shared" ref="L44:L45" si="35">I44*K44</f>
        <v>256</v>
      </c>
      <c r="M44" s="143">
        <f t="shared" ref="M44:M45" si="36">K44*J44</f>
        <v>512</v>
      </c>
      <c r="N44" s="143">
        <v>326</v>
      </c>
      <c r="O44" s="143">
        <f t="shared" ref="O44:O45" si="37">N44*G44</f>
        <v>652</v>
      </c>
      <c r="P44" s="143">
        <f t="shared" ref="P44:P45" si="38">(I44*K44)+N44</f>
        <v>582</v>
      </c>
      <c r="Q44" s="178">
        <f t="shared" ref="Q44:Q45" si="39">P44*G44</f>
        <v>1164</v>
      </c>
      <c r="R44" s="181"/>
      <c r="S44" s="181"/>
      <c r="T44" s="181"/>
      <c r="U44" s="181"/>
      <c r="V44" s="181"/>
      <c r="W44" s="181"/>
      <c r="X44" s="181"/>
      <c r="Y44" s="181"/>
      <c r="Z44" s="181"/>
      <c r="AA44" s="181"/>
      <c r="AB44" s="181"/>
      <c r="AC44" s="181"/>
      <c r="AD44" s="181"/>
      <c r="AE44" s="181"/>
      <c r="AF44" s="181"/>
      <c r="AG44" s="181"/>
      <c r="AH44" s="181"/>
      <c r="AI44" s="181"/>
      <c r="AJ44" s="181"/>
    </row>
    <row r="45" s="32" customFormat="1" spans="1:36">
      <c r="A45" s="91">
        <f>IF(F45&lt;&gt;"",1+MAX($A$2:A44),"")</f>
        <v>26</v>
      </c>
      <c r="B45" s="92"/>
      <c r="C45" s="93"/>
      <c r="D45" s="66" t="s">
        <v>78</v>
      </c>
      <c r="E45" s="69">
        <v>2</v>
      </c>
      <c r="F45" s="68">
        <v>0</v>
      </c>
      <c r="G45" s="63">
        <f t="shared" si="33"/>
        <v>2</v>
      </c>
      <c r="H45" s="67" t="s">
        <v>73</v>
      </c>
      <c r="I45" s="140">
        <v>3.5</v>
      </c>
      <c r="J45" s="141">
        <f t="shared" si="34"/>
        <v>7</v>
      </c>
      <c r="K45" s="142">
        <f>'LABOR SHEET'!C$3</f>
        <v>128</v>
      </c>
      <c r="L45" s="143">
        <f t="shared" si="35"/>
        <v>448</v>
      </c>
      <c r="M45" s="143">
        <f t="shared" si="36"/>
        <v>896</v>
      </c>
      <c r="N45" s="143">
        <v>599.17</v>
      </c>
      <c r="O45" s="143">
        <f t="shared" si="37"/>
        <v>1198.34</v>
      </c>
      <c r="P45" s="143">
        <f t="shared" si="38"/>
        <v>1047.17</v>
      </c>
      <c r="Q45" s="178">
        <f t="shared" si="39"/>
        <v>2094.34</v>
      </c>
      <c r="R45" s="181"/>
      <c r="S45" s="181"/>
      <c r="T45" s="181"/>
      <c r="U45" s="181"/>
      <c r="V45" s="181"/>
      <c r="W45" s="181"/>
      <c r="X45" s="181"/>
      <c r="Y45" s="181"/>
      <c r="Z45" s="181"/>
      <c r="AA45" s="181"/>
      <c r="AB45" s="181"/>
      <c r="AC45" s="181"/>
      <c r="AD45" s="181"/>
      <c r="AE45" s="181"/>
      <c r="AF45" s="181"/>
      <c r="AG45" s="181"/>
      <c r="AH45" s="181"/>
      <c r="AI45" s="181"/>
      <c r="AJ45" s="181"/>
    </row>
    <row r="46" s="32" customFormat="1" spans="1:36">
      <c r="A46" s="91" t="str">
        <f>IF(F46&lt;&gt;"",1+MAX($A$2:A45),"")</f>
        <v/>
      </c>
      <c r="B46" s="92"/>
      <c r="C46" s="93"/>
      <c r="D46" s="66"/>
      <c r="E46" s="69"/>
      <c r="F46" s="94"/>
      <c r="G46" s="95"/>
      <c r="H46" s="67"/>
      <c r="I46" s="140"/>
      <c r="J46" s="141"/>
      <c r="K46" s="142"/>
      <c r="L46" s="143"/>
      <c r="M46" s="143"/>
      <c r="N46" s="143"/>
      <c r="O46" s="143"/>
      <c r="P46" s="143"/>
      <c r="Q46" s="179"/>
      <c r="R46" s="181"/>
      <c r="S46" s="181"/>
      <c r="T46" s="181"/>
      <c r="U46" s="181"/>
      <c r="V46" s="181"/>
      <c r="W46" s="181"/>
      <c r="X46" s="181"/>
      <c r="Y46" s="181"/>
      <c r="Z46" s="181"/>
      <c r="AA46" s="181"/>
      <c r="AB46" s="181"/>
      <c r="AC46" s="181"/>
      <c r="AD46" s="181"/>
      <c r="AE46" s="181"/>
      <c r="AF46" s="181"/>
      <c r="AG46" s="181"/>
      <c r="AH46" s="181"/>
      <c r="AI46" s="181"/>
      <c r="AJ46" s="181"/>
    </row>
    <row r="47" s="32" customFormat="1" spans="1:36">
      <c r="A47" s="91" t="str">
        <f>IF(F47&lt;&gt;"",1+MAX($A$2:A46),"")</f>
        <v/>
      </c>
      <c r="B47" s="92"/>
      <c r="C47" s="93"/>
      <c r="D47" s="87" t="s">
        <v>79</v>
      </c>
      <c r="E47" s="69"/>
      <c r="F47" s="94"/>
      <c r="G47" s="95"/>
      <c r="H47" s="67"/>
      <c r="I47" s="140"/>
      <c r="J47" s="141"/>
      <c r="K47" s="142"/>
      <c r="L47" s="143"/>
      <c r="M47" s="143"/>
      <c r="N47" s="143"/>
      <c r="O47" s="143"/>
      <c r="P47" s="143"/>
      <c r="Q47" s="179"/>
      <c r="R47" s="181"/>
      <c r="S47" s="181"/>
      <c r="T47" s="181"/>
      <c r="U47" s="181"/>
      <c r="V47" s="181"/>
      <c r="W47" s="181"/>
      <c r="X47" s="181"/>
      <c r="Y47" s="181"/>
      <c r="Z47" s="181"/>
      <c r="AA47" s="181"/>
      <c r="AB47" s="181"/>
      <c r="AC47" s="181"/>
      <c r="AD47" s="181"/>
      <c r="AE47" s="181"/>
      <c r="AF47" s="181"/>
      <c r="AG47" s="181"/>
      <c r="AH47" s="181"/>
      <c r="AI47" s="181"/>
      <c r="AJ47" s="181"/>
    </row>
    <row r="48" s="32" customFormat="1" spans="1:36">
      <c r="A48" s="91">
        <f>IF(F48&lt;&gt;"",1+MAX($A$2:A47),"")</f>
        <v>27</v>
      </c>
      <c r="B48" s="92"/>
      <c r="C48" s="93"/>
      <c r="D48" s="66" t="s">
        <v>80</v>
      </c>
      <c r="E48" s="69">
        <v>196</v>
      </c>
      <c r="F48" s="68">
        <v>0</v>
      </c>
      <c r="G48" s="63">
        <f t="shared" si="33"/>
        <v>196</v>
      </c>
      <c r="H48" s="67" t="s">
        <v>73</v>
      </c>
      <c r="I48" s="140">
        <v>0.25</v>
      </c>
      <c r="J48" s="141">
        <f t="shared" ref="J48:J66" si="40">+I48*G48</f>
        <v>49</v>
      </c>
      <c r="K48" s="142">
        <f>'LABOR SHEET'!C$3</f>
        <v>128</v>
      </c>
      <c r="L48" s="143">
        <f t="shared" ref="L48:L66" si="41">I48*K48</f>
        <v>32</v>
      </c>
      <c r="M48" s="143">
        <f t="shared" ref="M48:M66" si="42">K48*J48</f>
        <v>6272</v>
      </c>
      <c r="N48" s="143">
        <v>16.98</v>
      </c>
      <c r="O48" s="143">
        <f t="shared" ref="O48:O66" si="43">N48*G48</f>
        <v>3328.08</v>
      </c>
      <c r="P48" s="143">
        <f t="shared" ref="P48:P66" si="44">(I48*K48)+N48</f>
        <v>48.98</v>
      </c>
      <c r="Q48" s="178">
        <f t="shared" ref="Q48:Q66" si="45">P48*G48</f>
        <v>9600.08</v>
      </c>
      <c r="R48" s="181"/>
      <c r="S48" s="181"/>
      <c r="T48" s="181"/>
      <c r="U48" s="181"/>
      <c r="V48" s="181"/>
      <c r="W48" s="181"/>
      <c r="X48" s="181"/>
      <c r="Y48" s="181"/>
      <c r="Z48" s="181"/>
      <c r="AA48" s="181"/>
      <c r="AB48" s="181"/>
      <c r="AC48" s="181"/>
      <c r="AD48" s="181"/>
      <c r="AE48" s="181"/>
      <c r="AF48" s="181"/>
      <c r="AG48" s="181"/>
      <c r="AH48" s="181"/>
      <c r="AI48" s="181"/>
      <c r="AJ48" s="181"/>
    </row>
    <row r="49" s="32" customFormat="1" spans="1:36">
      <c r="A49" s="91">
        <f>IF(F49&lt;&gt;"",1+MAX($A$2:A48),"")</f>
        <v>28</v>
      </c>
      <c r="B49" s="92"/>
      <c r="C49" s="93"/>
      <c r="D49" s="66" t="s">
        <v>81</v>
      </c>
      <c r="E49" s="69">
        <v>8</v>
      </c>
      <c r="F49" s="68">
        <v>0</v>
      </c>
      <c r="G49" s="63">
        <f t="shared" si="33"/>
        <v>8</v>
      </c>
      <c r="H49" s="67" t="s">
        <v>73</v>
      </c>
      <c r="I49" s="140">
        <v>0.4</v>
      </c>
      <c r="J49" s="141">
        <f t="shared" si="40"/>
        <v>3.2</v>
      </c>
      <c r="K49" s="142">
        <f>'LABOR SHEET'!C$3</f>
        <v>128</v>
      </c>
      <c r="L49" s="143">
        <f t="shared" si="41"/>
        <v>51.2</v>
      </c>
      <c r="M49" s="143">
        <f t="shared" si="42"/>
        <v>409.6</v>
      </c>
      <c r="N49" s="143">
        <v>22.4</v>
      </c>
      <c r="O49" s="143">
        <f t="shared" si="43"/>
        <v>179.2</v>
      </c>
      <c r="P49" s="143">
        <f t="shared" si="44"/>
        <v>73.6</v>
      </c>
      <c r="Q49" s="178">
        <f t="shared" si="45"/>
        <v>588.8</v>
      </c>
      <c r="R49" s="181"/>
      <c r="S49" s="181"/>
      <c r="T49" s="181"/>
      <c r="U49" s="181"/>
      <c r="V49" s="181"/>
      <c r="W49" s="181"/>
      <c r="X49" s="181"/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1"/>
      <c r="AJ49" s="181"/>
    </row>
    <row r="50" s="32" customFormat="1" spans="1:36">
      <c r="A50" s="91">
        <f>IF(F50&lt;&gt;"",1+MAX($A$2:A49),"")</f>
        <v>29</v>
      </c>
      <c r="B50" s="92"/>
      <c r="C50" s="93"/>
      <c r="D50" s="66" t="s">
        <v>82</v>
      </c>
      <c r="E50" s="69">
        <v>16</v>
      </c>
      <c r="F50" s="68">
        <v>0</v>
      </c>
      <c r="G50" s="63">
        <f t="shared" si="33"/>
        <v>16</v>
      </c>
      <c r="H50" s="67" t="s">
        <v>73</v>
      </c>
      <c r="I50" s="140">
        <v>0.4</v>
      </c>
      <c r="J50" s="141">
        <f t="shared" si="40"/>
        <v>6.4</v>
      </c>
      <c r="K50" s="142">
        <f>'LABOR SHEET'!C$3</f>
        <v>128</v>
      </c>
      <c r="L50" s="143">
        <f t="shared" si="41"/>
        <v>51.2</v>
      </c>
      <c r="M50" s="143">
        <f t="shared" si="42"/>
        <v>819.2</v>
      </c>
      <c r="N50" s="143">
        <v>28.5</v>
      </c>
      <c r="O50" s="143">
        <f t="shared" si="43"/>
        <v>456</v>
      </c>
      <c r="P50" s="143">
        <f t="shared" si="44"/>
        <v>79.7</v>
      </c>
      <c r="Q50" s="178">
        <f t="shared" si="45"/>
        <v>1275.2</v>
      </c>
      <c r="R50" s="181"/>
      <c r="S50" s="181"/>
      <c r="T50" s="181"/>
      <c r="U50" s="181"/>
      <c r="V50" s="181"/>
      <c r="W50" s="181"/>
      <c r="X50" s="181"/>
      <c r="Y50" s="181"/>
      <c r="Z50" s="181"/>
      <c r="AA50" s="181"/>
      <c r="AB50" s="181"/>
      <c r="AC50" s="181"/>
      <c r="AD50" s="181"/>
      <c r="AE50" s="181"/>
      <c r="AF50" s="181"/>
      <c r="AG50" s="181"/>
      <c r="AH50" s="181"/>
      <c r="AI50" s="181"/>
      <c r="AJ50" s="181"/>
    </row>
    <row r="51" s="32" customFormat="1" spans="1:36">
      <c r="A51" s="91">
        <f>IF(F51&lt;&gt;"",1+MAX($A$2:A50),"")</f>
        <v>30</v>
      </c>
      <c r="B51" s="92"/>
      <c r="C51" s="93"/>
      <c r="D51" s="66" t="s">
        <v>83</v>
      </c>
      <c r="E51" s="69">
        <v>11</v>
      </c>
      <c r="F51" s="68">
        <v>0</v>
      </c>
      <c r="G51" s="63">
        <f t="shared" si="33"/>
        <v>11</v>
      </c>
      <c r="H51" s="67" t="s">
        <v>73</v>
      </c>
      <c r="I51" s="140">
        <v>0.5</v>
      </c>
      <c r="J51" s="141">
        <f t="shared" si="40"/>
        <v>5.5</v>
      </c>
      <c r="K51" s="142">
        <f>'LABOR SHEET'!C$3</f>
        <v>128</v>
      </c>
      <c r="L51" s="143">
        <f t="shared" si="41"/>
        <v>64</v>
      </c>
      <c r="M51" s="143">
        <f t="shared" si="42"/>
        <v>704</v>
      </c>
      <c r="N51" s="143">
        <f>3.44*30</f>
        <v>103.2</v>
      </c>
      <c r="O51" s="143">
        <f t="shared" si="43"/>
        <v>1135.2</v>
      </c>
      <c r="P51" s="143">
        <f t="shared" si="44"/>
        <v>167.2</v>
      </c>
      <c r="Q51" s="178">
        <f t="shared" si="45"/>
        <v>1839.2</v>
      </c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81"/>
      <c r="AJ51" s="181"/>
    </row>
    <row r="52" s="32" customFormat="1" spans="1:36">
      <c r="A52" s="91">
        <f>IF(F52&lt;&gt;"",1+MAX($A$2:A51),"")</f>
        <v>31</v>
      </c>
      <c r="B52" s="92"/>
      <c r="C52" s="93"/>
      <c r="D52" s="66" t="s">
        <v>84</v>
      </c>
      <c r="E52" s="69">
        <v>4</v>
      </c>
      <c r="F52" s="68">
        <v>0</v>
      </c>
      <c r="G52" s="63">
        <f t="shared" si="33"/>
        <v>4</v>
      </c>
      <c r="H52" s="67" t="s">
        <v>73</v>
      </c>
      <c r="I52" s="140">
        <v>0.4</v>
      </c>
      <c r="J52" s="141">
        <f t="shared" si="40"/>
        <v>1.6</v>
      </c>
      <c r="K52" s="142">
        <f>'LABOR SHEET'!C$3</f>
        <v>128</v>
      </c>
      <c r="L52" s="143">
        <f t="shared" si="41"/>
        <v>51.2</v>
      </c>
      <c r="M52" s="143">
        <f t="shared" si="42"/>
        <v>204.8</v>
      </c>
      <c r="N52" s="143">
        <v>36.63</v>
      </c>
      <c r="O52" s="143">
        <f t="shared" si="43"/>
        <v>146.52</v>
      </c>
      <c r="P52" s="143">
        <f t="shared" si="44"/>
        <v>87.83</v>
      </c>
      <c r="Q52" s="178">
        <f t="shared" si="45"/>
        <v>351.32</v>
      </c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81"/>
      <c r="AJ52" s="181"/>
    </row>
    <row r="53" s="32" customFormat="1" spans="1:36">
      <c r="A53" s="91">
        <f>IF(F53&lt;&gt;"",1+MAX($A$2:A52),"")</f>
        <v>32</v>
      </c>
      <c r="B53" s="92"/>
      <c r="C53" s="93"/>
      <c r="D53" s="66" t="s">
        <v>85</v>
      </c>
      <c r="E53" s="69">
        <v>1</v>
      </c>
      <c r="F53" s="68">
        <v>0</v>
      </c>
      <c r="G53" s="63">
        <f t="shared" si="33"/>
        <v>1</v>
      </c>
      <c r="H53" s="67" t="s">
        <v>73</v>
      </c>
      <c r="I53" s="140">
        <v>0.5</v>
      </c>
      <c r="J53" s="141">
        <f t="shared" si="40"/>
        <v>0.5</v>
      </c>
      <c r="K53" s="142">
        <f>'LABOR SHEET'!C$3</f>
        <v>128</v>
      </c>
      <c r="L53" s="143">
        <f t="shared" si="41"/>
        <v>64</v>
      </c>
      <c r="M53" s="143">
        <f t="shared" si="42"/>
        <v>64</v>
      </c>
      <c r="N53" s="143">
        <f>3.44*40</f>
        <v>137.6</v>
      </c>
      <c r="O53" s="143">
        <f t="shared" si="43"/>
        <v>137.6</v>
      </c>
      <c r="P53" s="143">
        <f t="shared" si="44"/>
        <v>201.6</v>
      </c>
      <c r="Q53" s="178">
        <f t="shared" si="45"/>
        <v>201.6</v>
      </c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81"/>
      <c r="AJ53" s="181"/>
    </row>
    <row r="54" s="32" customFormat="1" spans="1:36">
      <c r="A54" s="91">
        <f>IF(F54&lt;&gt;"",1+MAX($A$2:A53),"")</f>
        <v>33</v>
      </c>
      <c r="B54" s="92"/>
      <c r="C54" s="93"/>
      <c r="D54" s="66" t="s">
        <v>86</v>
      </c>
      <c r="E54" s="69">
        <v>1</v>
      </c>
      <c r="F54" s="68">
        <v>0</v>
      </c>
      <c r="G54" s="63">
        <f t="shared" si="33"/>
        <v>1</v>
      </c>
      <c r="H54" s="67" t="s">
        <v>73</v>
      </c>
      <c r="I54" s="140">
        <v>0.4</v>
      </c>
      <c r="J54" s="141">
        <f t="shared" si="40"/>
        <v>0.4</v>
      </c>
      <c r="K54" s="142">
        <f>'LABOR SHEET'!C$3</f>
        <v>128</v>
      </c>
      <c r="L54" s="143">
        <f t="shared" si="41"/>
        <v>51.2</v>
      </c>
      <c r="M54" s="143">
        <f t="shared" si="42"/>
        <v>51.2</v>
      </c>
      <c r="N54" s="143">
        <v>55</v>
      </c>
      <c r="O54" s="143">
        <f t="shared" si="43"/>
        <v>55</v>
      </c>
      <c r="P54" s="143">
        <f t="shared" si="44"/>
        <v>106.2</v>
      </c>
      <c r="Q54" s="178">
        <f t="shared" si="45"/>
        <v>106.2</v>
      </c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81"/>
      <c r="AJ54" s="181"/>
    </row>
    <row r="55" s="32" customFormat="1" spans="1:36">
      <c r="A55" s="91">
        <f>IF(F55&lt;&gt;"",1+MAX($A$2:A54),"")</f>
        <v>34</v>
      </c>
      <c r="B55" s="92"/>
      <c r="C55" s="93"/>
      <c r="D55" s="66" t="s">
        <v>87</v>
      </c>
      <c r="E55" s="69">
        <v>2</v>
      </c>
      <c r="F55" s="68">
        <v>0</v>
      </c>
      <c r="G55" s="63">
        <f t="shared" si="33"/>
        <v>2</v>
      </c>
      <c r="H55" s="67" t="s">
        <v>73</v>
      </c>
      <c r="I55" s="140">
        <v>0.55</v>
      </c>
      <c r="J55" s="141">
        <f t="shared" si="40"/>
        <v>1.1</v>
      </c>
      <c r="K55" s="142">
        <f>'LABOR SHEET'!C$3</f>
        <v>128</v>
      </c>
      <c r="L55" s="143">
        <f t="shared" si="41"/>
        <v>70.4</v>
      </c>
      <c r="M55" s="143">
        <f t="shared" si="42"/>
        <v>140.8</v>
      </c>
      <c r="N55" s="143">
        <f>3.44*50</f>
        <v>172</v>
      </c>
      <c r="O55" s="143">
        <f t="shared" si="43"/>
        <v>344</v>
      </c>
      <c r="P55" s="143">
        <f t="shared" si="44"/>
        <v>242.4</v>
      </c>
      <c r="Q55" s="178">
        <f t="shared" si="45"/>
        <v>484.8</v>
      </c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81"/>
      <c r="AJ55" s="181"/>
    </row>
    <row r="56" s="32" customFormat="1" spans="1:36">
      <c r="A56" s="91">
        <f>IF(F56&lt;&gt;"",1+MAX($A$2:A55),"")</f>
        <v>35</v>
      </c>
      <c r="B56" s="92"/>
      <c r="C56" s="93"/>
      <c r="D56" s="66" t="s">
        <v>88</v>
      </c>
      <c r="E56" s="69">
        <v>1</v>
      </c>
      <c r="F56" s="68">
        <v>0</v>
      </c>
      <c r="G56" s="63">
        <f t="shared" si="33"/>
        <v>1</v>
      </c>
      <c r="H56" s="67" t="s">
        <v>73</v>
      </c>
      <c r="I56" s="140">
        <v>0.55</v>
      </c>
      <c r="J56" s="141">
        <f t="shared" si="40"/>
        <v>0.55</v>
      </c>
      <c r="K56" s="142">
        <f>'LABOR SHEET'!C$3</f>
        <v>128</v>
      </c>
      <c r="L56" s="143">
        <f t="shared" si="41"/>
        <v>70.4</v>
      </c>
      <c r="M56" s="143">
        <f t="shared" si="42"/>
        <v>70.4</v>
      </c>
      <c r="N56" s="143">
        <f>3.44*60</f>
        <v>206.4</v>
      </c>
      <c r="O56" s="143">
        <f t="shared" si="43"/>
        <v>206.4</v>
      </c>
      <c r="P56" s="143">
        <f t="shared" si="44"/>
        <v>276.8</v>
      </c>
      <c r="Q56" s="178">
        <f t="shared" si="45"/>
        <v>276.8</v>
      </c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81"/>
      <c r="AJ56" s="181"/>
    </row>
    <row r="57" s="32" customFormat="1" spans="1:36">
      <c r="A57" s="91">
        <f>IF(F57&lt;&gt;"",1+MAX($A$2:A56),"")</f>
        <v>36</v>
      </c>
      <c r="B57" s="92"/>
      <c r="C57" s="93"/>
      <c r="D57" s="66" t="s">
        <v>89</v>
      </c>
      <c r="E57" s="69">
        <v>1</v>
      </c>
      <c r="F57" s="68">
        <v>0</v>
      </c>
      <c r="G57" s="63">
        <f t="shared" si="33"/>
        <v>1</v>
      </c>
      <c r="H57" s="67" t="s">
        <v>73</v>
      </c>
      <c r="I57" s="140">
        <v>0.6</v>
      </c>
      <c r="J57" s="141">
        <f t="shared" si="40"/>
        <v>0.6</v>
      </c>
      <c r="K57" s="142">
        <f>'LABOR SHEET'!C$3</f>
        <v>128</v>
      </c>
      <c r="L57" s="143">
        <f t="shared" si="41"/>
        <v>76.8</v>
      </c>
      <c r="M57" s="143">
        <f t="shared" si="42"/>
        <v>76.8</v>
      </c>
      <c r="N57" s="143">
        <f>3.44*80</f>
        <v>275.2</v>
      </c>
      <c r="O57" s="143">
        <f t="shared" si="43"/>
        <v>275.2</v>
      </c>
      <c r="P57" s="143">
        <f t="shared" si="44"/>
        <v>352</v>
      </c>
      <c r="Q57" s="178">
        <f t="shared" si="45"/>
        <v>352</v>
      </c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81"/>
      <c r="AJ57" s="181"/>
    </row>
    <row r="58" s="32" customFormat="1" spans="1:36">
      <c r="A58" s="91">
        <f>IF(F58&lt;&gt;"",1+MAX($A$2:A57),"")</f>
        <v>37</v>
      </c>
      <c r="B58" s="92"/>
      <c r="C58" s="93"/>
      <c r="D58" s="66" t="s">
        <v>90</v>
      </c>
      <c r="E58" s="69">
        <v>1</v>
      </c>
      <c r="F58" s="68">
        <v>0</v>
      </c>
      <c r="G58" s="63">
        <f t="shared" si="33"/>
        <v>1</v>
      </c>
      <c r="H58" s="67" t="s">
        <v>73</v>
      </c>
      <c r="I58" s="140">
        <v>0.7</v>
      </c>
      <c r="J58" s="141">
        <f t="shared" si="40"/>
        <v>0.7</v>
      </c>
      <c r="K58" s="142">
        <f>'LABOR SHEET'!C$3</f>
        <v>128</v>
      </c>
      <c r="L58" s="143">
        <f t="shared" si="41"/>
        <v>89.6</v>
      </c>
      <c r="M58" s="143">
        <f t="shared" si="42"/>
        <v>89.6</v>
      </c>
      <c r="N58" s="143">
        <f>3.44*90</f>
        <v>309.6</v>
      </c>
      <c r="O58" s="143">
        <f t="shared" si="43"/>
        <v>309.6</v>
      </c>
      <c r="P58" s="143">
        <f t="shared" si="44"/>
        <v>399.2</v>
      </c>
      <c r="Q58" s="178">
        <f t="shared" si="45"/>
        <v>399.2</v>
      </c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81"/>
      <c r="AJ58" s="181"/>
    </row>
    <row r="59" s="32" customFormat="1" spans="1:36">
      <c r="A59" s="91">
        <f>IF(F59&lt;&gt;"",1+MAX($A$2:A58),"")</f>
        <v>38</v>
      </c>
      <c r="B59" s="92"/>
      <c r="C59" s="93"/>
      <c r="D59" s="66" t="s">
        <v>91</v>
      </c>
      <c r="E59" s="69">
        <v>4</v>
      </c>
      <c r="F59" s="68">
        <v>0</v>
      </c>
      <c r="G59" s="63">
        <f t="shared" si="33"/>
        <v>4</v>
      </c>
      <c r="H59" s="67" t="s">
        <v>73</v>
      </c>
      <c r="I59" s="140">
        <v>1</v>
      </c>
      <c r="J59" s="141">
        <f t="shared" si="40"/>
        <v>4</v>
      </c>
      <c r="K59" s="142">
        <f>'LABOR SHEET'!C$3</f>
        <v>128</v>
      </c>
      <c r="L59" s="143">
        <f t="shared" si="41"/>
        <v>128</v>
      </c>
      <c r="M59" s="143">
        <f t="shared" si="42"/>
        <v>512</v>
      </c>
      <c r="N59" s="143">
        <v>344.8</v>
      </c>
      <c r="O59" s="143">
        <f t="shared" si="43"/>
        <v>1379.2</v>
      </c>
      <c r="P59" s="143">
        <f t="shared" si="44"/>
        <v>472.8</v>
      </c>
      <c r="Q59" s="178">
        <f t="shared" si="45"/>
        <v>1891.2</v>
      </c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81"/>
      <c r="AJ59" s="181"/>
    </row>
    <row r="60" s="32" customFormat="1" spans="1:36">
      <c r="A60" s="91">
        <f>IF(F60&lt;&gt;"",1+MAX($A$2:A59),"")</f>
        <v>39</v>
      </c>
      <c r="B60" s="92"/>
      <c r="C60" s="93"/>
      <c r="D60" s="66" t="s">
        <v>92</v>
      </c>
      <c r="E60" s="69">
        <v>12</v>
      </c>
      <c r="F60" s="68">
        <v>0</v>
      </c>
      <c r="G60" s="63">
        <f t="shared" si="33"/>
        <v>12</v>
      </c>
      <c r="H60" s="67" t="s">
        <v>73</v>
      </c>
      <c r="I60" s="140">
        <v>1</v>
      </c>
      <c r="J60" s="141">
        <f t="shared" si="40"/>
        <v>12</v>
      </c>
      <c r="K60" s="142">
        <f>'LABOR SHEET'!C$3</f>
        <v>128</v>
      </c>
      <c r="L60" s="143">
        <f t="shared" si="41"/>
        <v>128</v>
      </c>
      <c r="M60" s="143">
        <f t="shared" si="42"/>
        <v>1536</v>
      </c>
      <c r="N60" s="143">
        <v>344.8</v>
      </c>
      <c r="O60" s="143">
        <f t="shared" si="43"/>
        <v>4137.6</v>
      </c>
      <c r="P60" s="143">
        <f t="shared" si="44"/>
        <v>472.8</v>
      </c>
      <c r="Q60" s="178">
        <f t="shared" si="45"/>
        <v>5673.6</v>
      </c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81"/>
      <c r="AJ60" s="181"/>
    </row>
    <row r="61" s="32" customFormat="1" spans="1:36">
      <c r="A61" s="91">
        <f>IF(F61&lt;&gt;"",1+MAX($A$2:A60),"")</f>
        <v>40</v>
      </c>
      <c r="B61" s="92"/>
      <c r="C61" s="93"/>
      <c r="D61" s="66" t="s">
        <v>93</v>
      </c>
      <c r="E61" s="69">
        <v>4</v>
      </c>
      <c r="F61" s="68">
        <v>0</v>
      </c>
      <c r="G61" s="63">
        <f t="shared" si="33"/>
        <v>4</v>
      </c>
      <c r="H61" s="67" t="s">
        <v>73</v>
      </c>
      <c r="I61" s="140">
        <v>2.85</v>
      </c>
      <c r="J61" s="141">
        <f t="shared" si="40"/>
        <v>11.4</v>
      </c>
      <c r="K61" s="142">
        <f>'LABOR SHEET'!C$3</f>
        <v>128</v>
      </c>
      <c r="L61" s="143">
        <f t="shared" si="41"/>
        <v>364.8</v>
      </c>
      <c r="M61" s="143">
        <f t="shared" si="42"/>
        <v>1459.2</v>
      </c>
      <c r="N61" s="143">
        <v>1726.92</v>
      </c>
      <c r="O61" s="143">
        <f t="shared" si="43"/>
        <v>6907.68</v>
      </c>
      <c r="P61" s="143">
        <f t="shared" si="44"/>
        <v>2091.72</v>
      </c>
      <c r="Q61" s="178">
        <f t="shared" si="45"/>
        <v>8366.88</v>
      </c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81"/>
      <c r="AJ61" s="181"/>
    </row>
    <row r="62" s="32" customFormat="1" spans="1:36">
      <c r="A62" s="91">
        <f>IF(F62&lt;&gt;"",1+MAX($A$2:A61),"")</f>
        <v>41</v>
      </c>
      <c r="B62" s="92"/>
      <c r="C62" s="93"/>
      <c r="D62" s="66" t="s">
        <v>94</v>
      </c>
      <c r="E62" s="69">
        <v>10</v>
      </c>
      <c r="F62" s="68">
        <v>0</v>
      </c>
      <c r="G62" s="63">
        <f t="shared" si="33"/>
        <v>10</v>
      </c>
      <c r="H62" s="67" t="s">
        <v>73</v>
      </c>
      <c r="I62" s="140">
        <v>2.85</v>
      </c>
      <c r="J62" s="141">
        <f t="shared" si="40"/>
        <v>28.5</v>
      </c>
      <c r="K62" s="142">
        <f>'LABOR SHEET'!C$3</f>
        <v>128</v>
      </c>
      <c r="L62" s="143">
        <f t="shared" si="41"/>
        <v>364.8</v>
      </c>
      <c r="M62" s="143">
        <f t="shared" si="42"/>
        <v>3648</v>
      </c>
      <c r="N62" s="143">
        <v>1726.92</v>
      </c>
      <c r="O62" s="143">
        <f t="shared" si="43"/>
        <v>17269.2</v>
      </c>
      <c r="P62" s="143">
        <f t="shared" si="44"/>
        <v>2091.72</v>
      </c>
      <c r="Q62" s="178">
        <f t="shared" si="45"/>
        <v>20917.2</v>
      </c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81"/>
      <c r="AJ62" s="181"/>
    </row>
    <row r="63" s="32" customFormat="1" spans="1:36">
      <c r="A63" s="91">
        <f>IF(F63&lt;&gt;"",1+MAX($A$2:A62),"")</f>
        <v>42</v>
      </c>
      <c r="B63" s="92"/>
      <c r="C63" s="93"/>
      <c r="D63" s="66" t="s">
        <v>95</v>
      </c>
      <c r="E63" s="69">
        <v>2</v>
      </c>
      <c r="F63" s="68">
        <v>0</v>
      </c>
      <c r="G63" s="63">
        <f t="shared" si="33"/>
        <v>2</v>
      </c>
      <c r="H63" s="67" t="s">
        <v>73</v>
      </c>
      <c r="I63" s="140">
        <v>5.5</v>
      </c>
      <c r="J63" s="141">
        <f t="shared" si="40"/>
        <v>11</v>
      </c>
      <c r="K63" s="142">
        <f>'LABOR SHEET'!C$3</f>
        <v>128</v>
      </c>
      <c r="L63" s="143">
        <f t="shared" si="41"/>
        <v>704</v>
      </c>
      <c r="M63" s="143">
        <f t="shared" si="42"/>
        <v>1408</v>
      </c>
      <c r="N63" s="143">
        <v>5308.35</v>
      </c>
      <c r="O63" s="143">
        <f t="shared" si="43"/>
        <v>10616.7</v>
      </c>
      <c r="P63" s="143">
        <f t="shared" si="44"/>
        <v>6012.35</v>
      </c>
      <c r="Q63" s="178">
        <f t="shared" si="45"/>
        <v>12024.7</v>
      </c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81"/>
      <c r="AJ63" s="181"/>
    </row>
    <row r="64" s="32" customFormat="1" spans="1:36">
      <c r="A64" s="91">
        <f>IF(F64&lt;&gt;"",1+MAX($A$2:A63),"")</f>
        <v>43</v>
      </c>
      <c r="B64" s="92"/>
      <c r="C64" s="93"/>
      <c r="D64" s="66" t="s">
        <v>96</v>
      </c>
      <c r="E64" s="69">
        <v>4</v>
      </c>
      <c r="F64" s="68">
        <v>0</v>
      </c>
      <c r="G64" s="63">
        <f t="shared" si="33"/>
        <v>4</v>
      </c>
      <c r="H64" s="67" t="s">
        <v>73</v>
      </c>
      <c r="I64" s="140">
        <v>5.5</v>
      </c>
      <c r="J64" s="141">
        <f t="shared" si="40"/>
        <v>22</v>
      </c>
      <c r="K64" s="142">
        <f>'LABOR SHEET'!C$3</f>
        <v>128</v>
      </c>
      <c r="L64" s="143">
        <f t="shared" si="41"/>
        <v>704</v>
      </c>
      <c r="M64" s="143">
        <f t="shared" si="42"/>
        <v>2816</v>
      </c>
      <c r="N64" s="143">
        <v>5308.35</v>
      </c>
      <c r="O64" s="143">
        <f t="shared" si="43"/>
        <v>21233.4</v>
      </c>
      <c r="P64" s="143">
        <f t="shared" si="44"/>
        <v>6012.35</v>
      </c>
      <c r="Q64" s="178">
        <f t="shared" si="45"/>
        <v>24049.4</v>
      </c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81"/>
      <c r="AJ64" s="181"/>
    </row>
    <row r="65" s="32" customFormat="1" spans="1:36">
      <c r="A65" s="91">
        <f>IF(F65&lt;&gt;"",1+MAX($A$2:A64),"")</f>
        <v>44</v>
      </c>
      <c r="B65" s="92"/>
      <c r="C65" s="93"/>
      <c r="D65" s="66" t="s">
        <v>97</v>
      </c>
      <c r="E65" s="69">
        <v>1</v>
      </c>
      <c r="F65" s="68">
        <v>0</v>
      </c>
      <c r="G65" s="63">
        <f t="shared" si="33"/>
        <v>1</v>
      </c>
      <c r="H65" s="67" t="s">
        <v>73</v>
      </c>
      <c r="I65" s="140">
        <v>6.6</v>
      </c>
      <c r="J65" s="141">
        <f t="shared" si="40"/>
        <v>6.6</v>
      </c>
      <c r="K65" s="142">
        <f>'LABOR SHEET'!C$3</f>
        <v>128</v>
      </c>
      <c r="L65" s="143">
        <f t="shared" si="41"/>
        <v>844.8</v>
      </c>
      <c r="M65" s="143">
        <f t="shared" si="42"/>
        <v>844.8</v>
      </c>
      <c r="N65" s="143">
        <v>11600</v>
      </c>
      <c r="O65" s="143">
        <f t="shared" si="43"/>
        <v>11600</v>
      </c>
      <c r="P65" s="143">
        <f t="shared" si="44"/>
        <v>12444.8</v>
      </c>
      <c r="Q65" s="178">
        <f t="shared" si="45"/>
        <v>12444.8</v>
      </c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81"/>
      <c r="AJ65" s="181"/>
    </row>
    <row r="66" s="32" customFormat="1" spans="1:36">
      <c r="A66" s="91">
        <f>IF(F66&lt;&gt;"",1+MAX($A$2:A65),"")</f>
        <v>45</v>
      </c>
      <c r="B66" s="92"/>
      <c r="C66" s="93"/>
      <c r="D66" s="66" t="s">
        <v>98</v>
      </c>
      <c r="E66" s="69">
        <v>1</v>
      </c>
      <c r="F66" s="68">
        <v>0</v>
      </c>
      <c r="G66" s="63">
        <f t="shared" si="33"/>
        <v>1</v>
      </c>
      <c r="H66" s="67" t="s">
        <v>73</v>
      </c>
      <c r="I66" s="140">
        <v>8.5</v>
      </c>
      <c r="J66" s="141">
        <f t="shared" si="40"/>
        <v>8.5</v>
      </c>
      <c r="K66" s="142">
        <f>'LABOR SHEET'!C$3</f>
        <v>128</v>
      </c>
      <c r="L66" s="143">
        <f t="shared" si="41"/>
        <v>1088</v>
      </c>
      <c r="M66" s="143">
        <f t="shared" si="42"/>
        <v>1088</v>
      </c>
      <c r="N66" s="143">
        <v>16260.86</v>
      </c>
      <c r="O66" s="143">
        <f t="shared" si="43"/>
        <v>16260.86</v>
      </c>
      <c r="P66" s="143">
        <f t="shared" si="44"/>
        <v>17348.86</v>
      </c>
      <c r="Q66" s="178">
        <f t="shared" si="45"/>
        <v>17348.86</v>
      </c>
      <c r="R66" s="181"/>
      <c r="S66" s="181"/>
      <c r="T66" s="181"/>
      <c r="U66" s="181"/>
      <c r="V66" s="181"/>
      <c r="W66" s="181"/>
      <c r="X66" s="181"/>
      <c r="Y66" s="181"/>
      <c r="Z66" s="181"/>
      <c r="AA66" s="181"/>
      <c r="AB66" s="181"/>
      <c r="AC66" s="181"/>
      <c r="AD66" s="181"/>
      <c r="AE66" s="181"/>
      <c r="AF66" s="181"/>
      <c r="AG66" s="181"/>
      <c r="AH66" s="181"/>
      <c r="AI66" s="181"/>
      <c r="AJ66" s="181"/>
    </row>
    <row r="67" s="32" customFormat="1" spans="1:36">
      <c r="A67" s="91" t="str">
        <f>IF(F67&lt;&gt;"",1+MAX($A$2:A66),"")</f>
        <v/>
      </c>
      <c r="B67" s="92"/>
      <c r="C67" s="93"/>
      <c r="D67" s="66"/>
      <c r="E67" s="69"/>
      <c r="F67" s="94"/>
      <c r="G67" s="95"/>
      <c r="H67" s="67"/>
      <c r="I67" s="140"/>
      <c r="J67" s="141"/>
      <c r="K67" s="142"/>
      <c r="L67" s="143"/>
      <c r="M67" s="143"/>
      <c r="N67" s="143"/>
      <c r="O67" s="143"/>
      <c r="P67" s="143"/>
      <c r="Q67" s="179"/>
      <c r="R67" s="181"/>
      <c r="S67" s="181"/>
      <c r="T67" s="181"/>
      <c r="U67" s="181"/>
      <c r="V67" s="181"/>
      <c r="W67" s="181"/>
      <c r="X67" s="181"/>
      <c r="Y67" s="181"/>
      <c r="Z67" s="181"/>
      <c r="AA67" s="181"/>
      <c r="AB67" s="181"/>
      <c r="AC67" s="181"/>
      <c r="AD67" s="181"/>
      <c r="AE67" s="181"/>
      <c r="AF67" s="181"/>
      <c r="AG67" s="181"/>
      <c r="AH67" s="181"/>
      <c r="AI67" s="181"/>
      <c r="AJ67" s="181"/>
    </row>
    <row r="68" s="32" customFormat="1" spans="1:36">
      <c r="A68" s="91" t="str">
        <f>IF(F68&lt;&gt;"",1+MAX($A$2:A67),"")</f>
        <v/>
      </c>
      <c r="B68" s="92"/>
      <c r="C68" s="93"/>
      <c r="D68" s="87" t="s">
        <v>99</v>
      </c>
      <c r="E68" s="69"/>
      <c r="F68" s="94"/>
      <c r="G68" s="95"/>
      <c r="H68" s="67"/>
      <c r="I68" s="140"/>
      <c r="J68" s="141"/>
      <c r="K68" s="142"/>
      <c r="L68" s="143"/>
      <c r="M68" s="143"/>
      <c r="N68" s="143"/>
      <c r="O68" s="143"/>
      <c r="P68" s="143"/>
      <c r="Q68" s="179"/>
      <c r="R68" s="181"/>
      <c r="S68" s="181"/>
      <c r="T68" s="181"/>
      <c r="U68" s="181"/>
      <c r="V68" s="181"/>
      <c r="W68" s="181"/>
      <c r="X68" s="181"/>
      <c r="Y68" s="181"/>
      <c r="Z68" s="181"/>
      <c r="AA68" s="181"/>
      <c r="AB68" s="181"/>
      <c r="AC68" s="181"/>
      <c r="AD68" s="181"/>
      <c r="AE68" s="181"/>
      <c r="AF68" s="181"/>
      <c r="AG68" s="181"/>
      <c r="AH68" s="181"/>
      <c r="AI68" s="181"/>
      <c r="AJ68" s="181"/>
    </row>
    <row r="69" s="32" customFormat="1" ht="31.5" spans="1:36">
      <c r="A69" s="91">
        <f>IF(F69&lt;&gt;"",1+MAX($A$2:A68),"")</f>
        <v>46</v>
      </c>
      <c r="B69" s="92"/>
      <c r="C69" s="93"/>
      <c r="D69" s="66" t="s">
        <v>100</v>
      </c>
      <c r="E69" s="69">
        <v>1</v>
      </c>
      <c r="F69" s="68">
        <v>0</v>
      </c>
      <c r="G69" s="63">
        <f t="shared" ref="G69:G81" si="46">(F69*E69)+E69</f>
        <v>1</v>
      </c>
      <c r="H69" s="67" t="s">
        <v>73</v>
      </c>
      <c r="I69" s="140">
        <v>40</v>
      </c>
      <c r="J69" s="141">
        <f t="shared" ref="J69:J75" si="47">+I69*G69</f>
        <v>40</v>
      </c>
      <c r="K69" s="142">
        <f>'LABOR SHEET'!C$3</f>
        <v>128</v>
      </c>
      <c r="L69" s="143">
        <f t="shared" ref="L69:L75" si="48">I69*K69</f>
        <v>5120</v>
      </c>
      <c r="M69" s="143">
        <f t="shared" ref="M69:M75" si="49">K69*J69</f>
        <v>5120</v>
      </c>
      <c r="N69" s="143">
        <v>19440</v>
      </c>
      <c r="O69" s="143">
        <f t="shared" ref="O69:O75" si="50">N69*G69</f>
        <v>19440</v>
      </c>
      <c r="P69" s="143">
        <f t="shared" ref="P69:P75" si="51">(I69*K69)+N69</f>
        <v>24560</v>
      </c>
      <c r="Q69" s="178">
        <f t="shared" ref="Q69:Q75" si="52">P69*G69</f>
        <v>24560</v>
      </c>
      <c r="R69" s="181"/>
      <c r="S69" s="181"/>
      <c r="T69" s="181"/>
      <c r="U69" s="181"/>
      <c r="V69" s="181"/>
      <c r="W69" s="181"/>
      <c r="X69" s="181"/>
      <c r="Y69" s="181"/>
      <c r="Z69" s="181"/>
      <c r="AA69" s="181"/>
      <c r="AB69" s="181"/>
      <c r="AC69" s="181"/>
      <c r="AD69" s="181"/>
      <c r="AE69" s="181"/>
      <c r="AF69" s="181"/>
      <c r="AG69" s="181"/>
      <c r="AH69" s="181"/>
      <c r="AI69" s="181"/>
      <c r="AJ69" s="181"/>
    </row>
    <row r="70" s="32" customFormat="1" ht="31.5" spans="1:36">
      <c r="A70" s="91">
        <f>IF(F70&lt;&gt;"",1+MAX($A$2:A69),"")</f>
        <v>47</v>
      </c>
      <c r="B70" s="92"/>
      <c r="C70" s="93"/>
      <c r="D70" s="66" t="s">
        <v>101</v>
      </c>
      <c r="E70" s="69">
        <v>1</v>
      </c>
      <c r="F70" s="68">
        <v>0</v>
      </c>
      <c r="G70" s="63">
        <f t="shared" si="46"/>
        <v>1</v>
      </c>
      <c r="H70" s="67" t="s">
        <v>73</v>
      </c>
      <c r="I70" s="140">
        <v>55</v>
      </c>
      <c r="J70" s="141">
        <f t="shared" si="47"/>
        <v>55</v>
      </c>
      <c r="K70" s="142">
        <f>'LABOR SHEET'!C$3</f>
        <v>128</v>
      </c>
      <c r="L70" s="143">
        <f t="shared" si="48"/>
        <v>7040</v>
      </c>
      <c r="M70" s="143">
        <f t="shared" si="49"/>
        <v>7040</v>
      </c>
      <c r="N70" s="143">
        <v>35280</v>
      </c>
      <c r="O70" s="143">
        <f t="shared" si="50"/>
        <v>35280</v>
      </c>
      <c r="P70" s="143">
        <f t="shared" si="51"/>
        <v>42320</v>
      </c>
      <c r="Q70" s="178">
        <f t="shared" si="52"/>
        <v>42320</v>
      </c>
      <c r="R70" s="181"/>
      <c r="S70" s="181"/>
      <c r="T70" s="181"/>
      <c r="U70" s="181"/>
      <c r="V70" s="181"/>
      <c r="W70" s="181"/>
      <c r="X70" s="181"/>
      <c r="Y70" s="181"/>
      <c r="Z70" s="181"/>
      <c r="AA70" s="181"/>
      <c r="AB70" s="181"/>
      <c r="AC70" s="181"/>
      <c r="AD70" s="181"/>
      <c r="AE70" s="181"/>
      <c r="AF70" s="181"/>
      <c r="AG70" s="181"/>
      <c r="AH70" s="181"/>
      <c r="AI70" s="181"/>
      <c r="AJ70" s="181"/>
    </row>
    <row r="71" s="32" customFormat="1" ht="31.5" spans="1:36">
      <c r="A71" s="91">
        <f>IF(F71&lt;&gt;"",1+MAX($A$2:A70),"")</f>
        <v>48</v>
      </c>
      <c r="B71" s="92"/>
      <c r="C71" s="93"/>
      <c r="D71" s="66" t="s">
        <v>102</v>
      </c>
      <c r="E71" s="69">
        <v>1</v>
      </c>
      <c r="F71" s="68">
        <v>0</v>
      </c>
      <c r="G71" s="63">
        <f t="shared" si="46"/>
        <v>1</v>
      </c>
      <c r="H71" s="67" t="s">
        <v>73</v>
      </c>
      <c r="I71" s="140">
        <v>35</v>
      </c>
      <c r="J71" s="141">
        <f t="shared" si="47"/>
        <v>35</v>
      </c>
      <c r="K71" s="142">
        <f>'LABOR SHEET'!C$3</f>
        <v>128</v>
      </c>
      <c r="L71" s="143">
        <f t="shared" si="48"/>
        <v>4480</v>
      </c>
      <c r="M71" s="143">
        <f t="shared" si="49"/>
        <v>4480</v>
      </c>
      <c r="N71" s="143">
        <v>12600.45</v>
      </c>
      <c r="O71" s="143">
        <f t="shared" si="50"/>
        <v>12600.45</v>
      </c>
      <c r="P71" s="143">
        <f t="shared" si="51"/>
        <v>17080.45</v>
      </c>
      <c r="Q71" s="178">
        <f t="shared" si="52"/>
        <v>17080.45</v>
      </c>
      <c r="R71" s="181"/>
      <c r="S71" s="181"/>
      <c r="T71" s="181"/>
      <c r="U71" s="181"/>
      <c r="V71" s="181"/>
      <c r="W71" s="181"/>
      <c r="X71" s="181"/>
      <c r="Y71" s="181"/>
      <c r="Z71" s="181"/>
      <c r="AA71" s="181"/>
      <c r="AB71" s="181"/>
      <c r="AC71" s="181"/>
      <c r="AD71" s="181"/>
      <c r="AE71" s="181"/>
      <c r="AF71" s="181"/>
      <c r="AG71" s="181"/>
      <c r="AH71" s="181"/>
      <c r="AI71" s="181"/>
      <c r="AJ71" s="181"/>
    </row>
    <row r="72" s="32" customFormat="1" ht="31.5" spans="1:36">
      <c r="A72" s="91">
        <f>IF(F72&lt;&gt;"",1+MAX($A$2:A71),"")</f>
        <v>49</v>
      </c>
      <c r="B72" s="92"/>
      <c r="C72" s="93"/>
      <c r="D72" s="66" t="s">
        <v>103</v>
      </c>
      <c r="E72" s="69">
        <v>1</v>
      </c>
      <c r="F72" s="68">
        <v>0</v>
      </c>
      <c r="G72" s="63">
        <f t="shared" si="46"/>
        <v>1</v>
      </c>
      <c r="H72" s="67" t="s">
        <v>73</v>
      </c>
      <c r="I72" s="140">
        <v>15</v>
      </c>
      <c r="J72" s="141">
        <f t="shared" si="47"/>
        <v>15</v>
      </c>
      <c r="K72" s="142">
        <f>'LABOR SHEET'!C$3</f>
        <v>128</v>
      </c>
      <c r="L72" s="143">
        <f t="shared" si="48"/>
        <v>1920</v>
      </c>
      <c r="M72" s="143">
        <f t="shared" si="49"/>
        <v>1920</v>
      </c>
      <c r="N72" s="143">
        <v>5630.7</v>
      </c>
      <c r="O72" s="143">
        <f t="shared" si="50"/>
        <v>5630.7</v>
      </c>
      <c r="P72" s="143">
        <f t="shared" si="51"/>
        <v>7550.7</v>
      </c>
      <c r="Q72" s="178">
        <f t="shared" si="52"/>
        <v>7550.7</v>
      </c>
      <c r="R72" s="181"/>
      <c r="S72" s="181"/>
      <c r="T72" s="181"/>
      <c r="U72" s="181"/>
      <c r="V72" s="181"/>
      <c r="W72" s="181"/>
      <c r="X72" s="181"/>
      <c r="Y72" s="181"/>
      <c r="Z72" s="181"/>
      <c r="AA72" s="181"/>
      <c r="AB72" s="181"/>
      <c r="AC72" s="181"/>
      <c r="AD72" s="181"/>
      <c r="AE72" s="181"/>
      <c r="AF72" s="181"/>
      <c r="AG72" s="181"/>
      <c r="AH72" s="181"/>
      <c r="AI72" s="181"/>
      <c r="AJ72" s="181"/>
    </row>
    <row r="73" s="32" customFormat="1" ht="31.5" spans="1:36">
      <c r="A73" s="91">
        <f>IF(F73&lt;&gt;"",1+MAX($A$2:A72),"")</f>
        <v>50</v>
      </c>
      <c r="B73" s="92"/>
      <c r="C73" s="93"/>
      <c r="D73" s="66" t="s">
        <v>104</v>
      </c>
      <c r="E73" s="69">
        <v>1</v>
      </c>
      <c r="F73" s="68">
        <v>0</v>
      </c>
      <c r="G73" s="63">
        <f t="shared" si="46"/>
        <v>1</v>
      </c>
      <c r="H73" s="67" t="s">
        <v>73</v>
      </c>
      <c r="I73" s="140">
        <v>15</v>
      </c>
      <c r="J73" s="141">
        <f t="shared" ref="J73:J74" si="53">+I73*G73</f>
        <v>15</v>
      </c>
      <c r="K73" s="142">
        <f>'LABOR SHEET'!C$3</f>
        <v>128</v>
      </c>
      <c r="L73" s="143">
        <f t="shared" ref="L73:L74" si="54">I73*K73</f>
        <v>1920</v>
      </c>
      <c r="M73" s="143">
        <f t="shared" ref="M73:M74" si="55">K73*J73</f>
        <v>1920</v>
      </c>
      <c r="N73" s="143">
        <v>5630.7</v>
      </c>
      <c r="O73" s="143">
        <f t="shared" ref="O73:O74" si="56">N73*G73</f>
        <v>5630.7</v>
      </c>
      <c r="P73" s="143">
        <f t="shared" ref="P73:P74" si="57">(I73*K73)+N73</f>
        <v>7550.7</v>
      </c>
      <c r="Q73" s="178">
        <f t="shared" ref="Q73:Q74" si="58">P73*G73</f>
        <v>7550.7</v>
      </c>
      <c r="R73" s="181"/>
      <c r="S73" s="181"/>
      <c r="T73" s="181"/>
      <c r="U73" s="181"/>
      <c r="V73" s="181"/>
      <c r="W73" s="181"/>
      <c r="X73" s="181"/>
      <c r="Y73" s="181"/>
      <c r="Z73" s="181"/>
      <c r="AA73" s="181"/>
      <c r="AB73" s="181"/>
      <c r="AC73" s="181"/>
      <c r="AD73" s="181"/>
      <c r="AE73" s="181"/>
      <c r="AF73" s="181"/>
      <c r="AG73" s="181"/>
      <c r="AH73" s="181"/>
      <c r="AI73" s="181"/>
      <c r="AJ73" s="181"/>
    </row>
    <row r="74" s="32" customFormat="1" ht="31.5" spans="1:36">
      <c r="A74" s="91">
        <f>IF(F74&lt;&gt;"",1+MAX($A$2:A73),"")</f>
        <v>51</v>
      </c>
      <c r="B74" s="92"/>
      <c r="C74" s="93"/>
      <c r="D74" s="66" t="s">
        <v>105</v>
      </c>
      <c r="E74" s="69">
        <v>1</v>
      </c>
      <c r="F74" s="68">
        <v>0</v>
      </c>
      <c r="G74" s="63">
        <f t="shared" si="46"/>
        <v>1</v>
      </c>
      <c r="H74" s="67" t="s">
        <v>73</v>
      </c>
      <c r="I74" s="140">
        <v>15</v>
      </c>
      <c r="J74" s="141">
        <f t="shared" si="53"/>
        <v>15</v>
      </c>
      <c r="K74" s="142">
        <f>'LABOR SHEET'!C$3</f>
        <v>128</v>
      </c>
      <c r="L74" s="143">
        <f t="shared" si="54"/>
        <v>1920</v>
      </c>
      <c r="M74" s="143">
        <f t="shared" si="55"/>
        <v>1920</v>
      </c>
      <c r="N74" s="143">
        <v>5630.7</v>
      </c>
      <c r="O74" s="143">
        <f t="shared" si="56"/>
        <v>5630.7</v>
      </c>
      <c r="P74" s="143">
        <f t="shared" si="57"/>
        <v>7550.7</v>
      </c>
      <c r="Q74" s="178">
        <f t="shared" si="58"/>
        <v>7550.7</v>
      </c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81"/>
      <c r="AJ74" s="181"/>
    </row>
    <row r="75" s="32" customFormat="1" ht="31.5" spans="1:36">
      <c r="A75" s="91">
        <f>IF(F75&lt;&gt;"",1+MAX($A$2:A74),"")</f>
        <v>52</v>
      </c>
      <c r="B75" s="92"/>
      <c r="C75" s="93"/>
      <c r="D75" s="66" t="s">
        <v>106</v>
      </c>
      <c r="E75" s="69">
        <v>1</v>
      </c>
      <c r="F75" s="68">
        <v>0</v>
      </c>
      <c r="G75" s="63">
        <f t="shared" si="46"/>
        <v>1</v>
      </c>
      <c r="H75" s="67" t="s">
        <v>73</v>
      </c>
      <c r="I75" s="140">
        <v>8.5</v>
      </c>
      <c r="J75" s="141">
        <f t="shared" si="47"/>
        <v>8.5</v>
      </c>
      <c r="K75" s="142">
        <f>'LABOR SHEET'!C$3</f>
        <v>128</v>
      </c>
      <c r="L75" s="143">
        <f t="shared" si="48"/>
        <v>1088</v>
      </c>
      <c r="M75" s="143">
        <f t="shared" si="49"/>
        <v>1088</v>
      </c>
      <c r="N75" s="143">
        <v>1076.44</v>
      </c>
      <c r="O75" s="143">
        <f t="shared" si="50"/>
        <v>1076.44</v>
      </c>
      <c r="P75" s="143">
        <f t="shared" si="51"/>
        <v>2164.44</v>
      </c>
      <c r="Q75" s="178">
        <f t="shared" si="52"/>
        <v>2164.44</v>
      </c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81"/>
      <c r="AJ75" s="181"/>
    </row>
    <row r="76" s="32" customFormat="1" ht="31.5" spans="1:36">
      <c r="A76" s="91">
        <f>IF(F76&lt;&gt;"",1+MAX($A$2:A75),"")</f>
        <v>53</v>
      </c>
      <c r="B76" s="92"/>
      <c r="C76" s="93"/>
      <c r="D76" s="66" t="s">
        <v>107</v>
      </c>
      <c r="E76" s="69">
        <v>1</v>
      </c>
      <c r="F76" s="68">
        <v>0</v>
      </c>
      <c r="G76" s="63">
        <f t="shared" si="46"/>
        <v>1</v>
      </c>
      <c r="H76" s="67" t="s">
        <v>73</v>
      </c>
      <c r="I76" s="140">
        <v>8.5</v>
      </c>
      <c r="J76" s="141">
        <f t="shared" ref="J76:J77" si="59">+I76*G76</f>
        <v>8.5</v>
      </c>
      <c r="K76" s="142">
        <f>'LABOR SHEET'!C$3</f>
        <v>128</v>
      </c>
      <c r="L76" s="143">
        <f t="shared" ref="L76:L77" si="60">I76*K76</f>
        <v>1088</v>
      </c>
      <c r="M76" s="143">
        <f t="shared" ref="M76:M77" si="61">K76*J76</f>
        <v>1088</v>
      </c>
      <c r="N76" s="143">
        <v>1076.44</v>
      </c>
      <c r="O76" s="143">
        <f t="shared" ref="O76:O77" si="62">N76*G76</f>
        <v>1076.44</v>
      </c>
      <c r="P76" s="143">
        <f t="shared" ref="P76:P77" si="63">(I76*K76)+N76</f>
        <v>2164.44</v>
      </c>
      <c r="Q76" s="178">
        <f t="shared" ref="Q76:Q77" si="64">P76*G76</f>
        <v>2164.44</v>
      </c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81"/>
      <c r="AJ76" s="181"/>
    </row>
    <row r="77" s="32" customFormat="1" ht="31.5" spans="1:36">
      <c r="A77" s="91">
        <f>IF(F77&lt;&gt;"",1+MAX($A$2:A76),"")</f>
        <v>54</v>
      </c>
      <c r="B77" s="92"/>
      <c r="C77" s="93"/>
      <c r="D77" s="66" t="s">
        <v>108</v>
      </c>
      <c r="E77" s="69">
        <v>1</v>
      </c>
      <c r="F77" s="68">
        <v>0</v>
      </c>
      <c r="G77" s="63">
        <f t="shared" si="46"/>
        <v>1</v>
      </c>
      <c r="H77" s="67" t="s">
        <v>73</v>
      </c>
      <c r="I77" s="140">
        <v>35</v>
      </c>
      <c r="J77" s="141">
        <f t="shared" si="59"/>
        <v>35</v>
      </c>
      <c r="K77" s="142">
        <f>'LABOR SHEET'!C$3</f>
        <v>128</v>
      </c>
      <c r="L77" s="143">
        <f t="shared" si="60"/>
        <v>4480</v>
      </c>
      <c r="M77" s="143">
        <f t="shared" si="61"/>
        <v>4480</v>
      </c>
      <c r="N77" s="143">
        <v>12600.45</v>
      </c>
      <c r="O77" s="143">
        <f t="shared" si="62"/>
        <v>12600.45</v>
      </c>
      <c r="P77" s="143">
        <f t="shared" si="63"/>
        <v>17080.45</v>
      </c>
      <c r="Q77" s="178">
        <f t="shared" si="64"/>
        <v>17080.45</v>
      </c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81"/>
      <c r="AJ77" s="181"/>
    </row>
    <row r="78" s="32" customFormat="1" ht="31.5" spans="1:36">
      <c r="A78" s="91">
        <f>IF(F78&lt;&gt;"",1+MAX($A$2:A77),"")</f>
        <v>55</v>
      </c>
      <c r="B78" s="92"/>
      <c r="C78" s="93"/>
      <c r="D78" s="66" t="s">
        <v>109</v>
      </c>
      <c r="E78" s="69">
        <v>1</v>
      </c>
      <c r="F78" s="68">
        <v>0</v>
      </c>
      <c r="G78" s="63">
        <f t="shared" si="46"/>
        <v>1</v>
      </c>
      <c r="H78" s="67" t="s">
        <v>73</v>
      </c>
      <c r="I78" s="140">
        <v>15</v>
      </c>
      <c r="J78" s="141">
        <f t="shared" ref="J78:J81" si="65">+I78*G78</f>
        <v>15</v>
      </c>
      <c r="K78" s="142">
        <f>'LABOR SHEET'!C$3</f>
        <v>128</v>
      </c>
      <c r="L78" s="143">
        <f t="shared" ref="L78:L81" si="66">I78*K78</f>
        <v>1920</v>
      </c>
      <c r="M78" s="143">
        <f t="shared" ref="M78:M81" si="67">K78*J78</f>
        <v>1920</v>
      </c>
      <c r="N78" s="143">
        <v>5630.7</v>
      </c>
      <c r="O78" s="143">
        <f t="shared" ref="O78:O81" si="68">N78*G78</f>
        <v>5630.7</v>
      </c>
      <c r="P78" s="143">
        <f t="shared" ref="P78:P81" si="69">(I78*K78)+N78</f>
        <v>7550.7</v>
      </c>
      <c r="Q78" s="178">
        <f t="shared" ref="Q78:Q81" si="70">P78*G78</f>
        <v>7550.7</v>
      </c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81"/>
      <c r="AJ78" s="181"/>
    </row>
    <row r="79" s="32" customFormat="1" ht="31.5" spans="1:36">
      <c r="A79" s="91">
        <f>IF(F79&lt;&gt;"",1+MAX($A$2:A78),"")</f>
        <v>56</v>
      </c>
      <c r="B79" s="92"/>
      <c r="C79" s="93"/>
      <c r="D79" s="66" t="s">
        <v>110</v>
      </c>
      <c r="E79" s="69">
        <v>1</v>
      </c>
      <c r="F79" s="68">
        <v>0</v>
      </c>
      <c r="G79" s="63">
        <f t="shared" si="46"/>
        <v>1</v>
      </c>
      <c r="H79" s="67" t="s">
        <v>73</v>
      </c>
      <c r="I79" s="140">
        <v>15</v>
      </c>
      <c r="J79" s="141">
        <f t="shared" si="65"/>
        <v>15</v>
      </c>
      <c r="K79" s="142">
        <f>'LABOR SHEET'!C$3</f>
        <v>128</v>
      </c>
      <c r="L79" s="143">
        <f t="shared" si="66"/>
        <v>1920</v>
      </c>
      <c r="M79" s="143">
        <f t="shared" si="67"/>
        <v>1920</v>
      </c>
      <c r="N79" s="143">
        <v>5630.7</v>
      </c>
      <c r="O79" s="143">
        <f t="shared" si="68"/>
        <v>5630.7</v>
      </c>
      <c r="P79" s="143">
        <f t="shared" si="69"/>
        <v>7550.7</v>
      </c>
      <c r="Q79" s="178">
        <f t="shared" si="70"/>
        <v>7550.7</v>
      </c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81"/>
      <c r="AJ79" s="181"/>
    </row>
    <row r="80" s="32" customFormat="1" ht="31.5" spans="1:36">
      <c r="A80" s="91">
        <f>IF(F80&lt;&gt;"",1+MAX($A$2:A79),"")</f>
        <v>57</v>
      </c>
      <c r="B80" s="92"/>
      <c r="C80" s="93"/>
      <c r="D80" s="66" t="s">
        <v>111</v>
      </c>
      <c r="E80" s="69">
        <v>1</v>
      </c>
      <c r="F80" s="68">
        <v>0</v>
      </c>
      <c r="G80" s="63">
        <f t="shared" si="46"/>
        <v>1</v>
      </c>
      <c r="H80" s="67" t="s">
        <v>73</v>
      </c>
      <c r="I80" s="140">
        <v>8.5</v>
      </c>
      <c r="J80" s="141">
        <f t="shared" si="65"/>
        <v>8.5</v>
      </c>
      <c r="K80" s="142">
        <f>'LABOR SHEET'!C$3</f>
        <v>128</v>
      </c>
      <c r="L80" s="143">
        <f t="shared" si="66"/>
        <v>1088</v>
      </c>
      <c r="M80" s="143">
        <f t="shared" si="67"/>
        <v>1088</v>
      </c>
      <c r="N80" s="143">
        <v>1076.44</v>
      </c>
      <c r="O80" s="143">
        <f t="shared" si="68"/>
        <v>1076.44</v>
      </c>
      <c r="P80" s="143">
        <f t="shared" si="69"/>
        <v>2164.44</v>
      </c>
      <c r="Q80" s="178">
        <f t="shared" si="70"/>
        <v>2164.44</v>
      </c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81"/>
      <c r="AJ80" s="181"/>
    </row>
    <row r="81" s="32" customFormat="1" ht="31.5" spans="1:36">
      <c r="A81" s="91">
        <f>IF(F81&lt;&gt;"",1+MAX($A$2:A80),"")</f>
        <v>58</v>
      </c>
      <c r="B81" s="92"/>
      <c r="C81" s="93"/>
      <c r="D81" s="66" t="s">
        <v>112</v>
      </c>
      <c r="E81" s="69">
        <v>1</v>
      </c>
      <c r="F81" s="68">
        <v>0</v>
      </c>
      <c r="G81" s="63">
        <f t="shared" si="46"/>
        <v>1</v>
      </c>
      <c r="H81" s="67" t="s">
        <v>73</v>
      </c>
      <c r="I81" s="140">
        <v>8.5</v>
      </c>
      <c r="J81" s="141">
        <f t="shared" si="65"/>
        <v>8.5</v>
      </c>
      <c r="K81" s="142">
        <f>'LABOR SHEET'!C$3</f>
        <v>128</v>
      </c>
      <c r="L81" s="143">
        <f t="shared" si="66"/>
        <v>1088</v>
      </c>
      <c r="M81" s="143">
        <f t="shared" si="67"/>
        <v>1088</v>
      </c>
      <c r="N81" s="143">
        <v>1076.44</v>
      </c>
      <c r="O81" s="143">
        <f t="shared" si="68"/>
        <v>1076.44</v>
      </c>
      <c r="P81" s="143">
        <f t="shared" si="69"/>
        <v>2164.44</v>
      </c>
      <c r="Q81" s="178">
        <f t="shared" si="70"/>
        <v>2164.44</v>
      </c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81"/>
      <c r="AJ81" s="181"/>
    </row>
    <row r="82" s="32" customFormat="1" spans="1:36">
      <c r="A82" s="91" t="str">
        <f>IF(F82&lt;&gt;"",1+MAX($A$2:A81),"")</f>
        <v/>
      </c>
      <c r="B82" s="92"/>
      <c r="C82" s="93"/>
      <c r="D82" s="66"/>
      <c r="E82" s="69"/>
      <c r="F82" s="94"/>
      <c r="G82" s="95"/>
      <c r="H82" s="67"/>
      <c r="I82" s="140"/>
      <c r="J82" s="141"/>
      <c r="K82" s="142"/>
      <c r="L82" s="143"/>
      <c r="M82" s="143"/>
      <c r="N82" s="143"/>
      <c r="O82" s="143"/>
      <c r="P82" s="143"/>
      <c r="Q82" s="179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81"/>
      <c r="AJ82" s="181"/>
    </row>
    <row r="83" s="32" customFormat="1" spans="1:36">
      <c r="A83" s="91" t="str">
        <f>IF(F83&lt;&gt;"",1+MAX($A$2:A82),"")</f>
        <v/>
      </c>
      <c r="B83" s="92"/>
      <c r="C83" s="93"/>
      <c r="D83" s="87" t="s">
        <v>113</v>
      </c>
      <c r="E83" s="69"/>
      <c r="F83" s="94"/>
      <c r="G83" s="95"/>
      <c r="H83" s="67"/>
      <c r="I83" s="140"/>
      <c r="J83" s="141"/>
      <c r="K83" s="142"/>
      <c r="L83" s="143"/>
      <c r="M83" s="143"/>
      <c r="N83" s="143"/>
      <c r="O83" s="143"/>
      <c r="P83" s="143"/>
      <c r="Q83" s="179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81"/>
      <c r="AJ83" s="181"/>
    </row>
    <row r="84" s="32" customFormat="1" ht="47.25" spans="1:36">
      <c r="A84" s="91">
        <f>IF(F84&lt;&gt;"",1+MAX($A$2:A83),"")</f>
        <v>59</v>
      </c>
      <c r="B84" s="92"/>
      <c r="C84" s="93"/>
      <c r="D84" s="66" t="s">
        <v>114</v>
      </c>
      <c r="E84" s="69">
        <v>1</v>
      </c>
      <c r="F84" s="68">
        <v>0</v>
      </c>
      <c r="G84" s="63">
        <f t="shared" ref="G84:G94" si="71">(F84*E84)+E84</f>
        <v>1</v>
      </c>
      <c r="H84" s="67" t="s">
        <v>73</v>
      </c>
      <c r="I84" s="140">
        <v>10</v>
      </c>
      <c r="J84" s="141">
        <f t="shared" ref="J84:J94" si="72">+I84*G84</f>
        <v>10</v>
      </c>
      <c r="K84" s="142">
        <f>'LABOR SHEET'!C$3</f>
        <v>128</v>
      </c>
      <c r="L84" s="143">
        <f t="shared" ref="L84:L94" si="73">I84*K84</f>
        <v>1280</v>
      </c>
      <c r="M84" s="143">
        <f t="shared" ref="M84:M94" si="74">K84*J84</f>
        <v>1280</v>
      </c>
      <c r="N84" s="143">
        <v>15408</v>
      </c>
      <c r="O84" s="143">
        <f t="shared" ref="O84:O94" si="75">N84*G84</f>
        <v>15408</v>
      </c>
      <c r="P84" s="143">
        <f t="shared" ref="P84:P94" si="76">(I84*K84)+N84</f>
        <v>16688</v>
      </c>
      <c r="Q84" s="178">
        <f t="shared" ref="Q84:Q94" si="77">P84*G84</f>
        <v>16688</v>
      </c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81"/>
      <c r="AJ84" s="181"/>
    </row>
    <row r="85" s="32" customFormat="1" ht="47.25" spans="1:36">
      <c r="A85" s="91">
        <f>IF(F85&lt;&gt;"",1+MAX($A$2:A84),"")</f>
        <v>60</v>
      </c>
      <c r="B85" s="92"/>
      <c r="C85" s="93"/>
      <c r="D85" s="66" t="s">
        <v>115</v>
      </c>
      <c r="E85" s="69">
        <v>1</v>
      </c>
      <c r="F85" s="68">
        <v>0</v>
      </c>
      <c r="G85" s="63">
        <f t="shared" si="71"/>
        <v>1</v>
      </c>
      <c r="H85" s="67" t="s">
        <v>73</v>
      </c>
      <c r="I85" s="140">
        <v>10</v>
      </c>
      <c r="J85" s="141">
        <f t="shared" ref="J85" si="78">+I85*G85</f>
        <v>10</v>
      </c>
      <c r="K85" s="142">
        <f>'LABOR SHEET'!C$3</f>
        <v>128</v>
      </c>
      <c r="L85" s="143">
        <f t="shared" ref="L85" si="79">I85*K85</f>
        <v>1280</v>
      </c>
      <c r="M85" s="143">
        <f t="shared" ref="M85" si="80">K85*J85</f>
        <v>1280</v>
      </c>
      <c r="N85" s="143">
        <v>15408</v>
      </c>
      <c r="O85" s="143">
        <f t="shared" ref="O85" si="81">N85*G85</f>
        <v>15408</v>
      </c>
      <c r="P85" s="143">
        <f t="shared" ref="P85" si="82">(I85*K85)+N85</f>
        <v>16688</v>
      </c>
      <c r="Q85" s="178">
        <f t="shared" ref="Q85" si="83">P85*G85</f>
        <v>16688</v>
      </c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81"/>
      <c r="AJ85" s="181"/>
    </row>
    <row r="86" s="32" customFormat="1" ht="31.5" spans="1:36">
      <c r="A86" s="91">
        <f>IF(F86&lt;&gt;"",1+MAX($A$2:A85),"")</f>
        <v>61</v>
      </c>
      <c r="B86" s="92"/>
      <c r="C86" s="93"/>
      <c r="D86" s="66" t="s">
        <v>116</v>
      </c>
      <c r="E86" s="69">
        <v>2</v>
      </c>
      <c r="F86" s="68">
        <v>0</v>
      </c>
      <c r="G86" s="63">
        <f t="shared" si="71"/>
        <v>2</v>
      </c>
      <c r="H86" s="67" t="s">
        <v>73</v>
      </c>
      <c r="I86" s="140">
        <v>20</v>
      </c>
      <c r="J86" s="141">
        <f t="shared" si="72"/>
        <v>40</v>
      </c>
      <c r="K86" s="142">
        <f>'LABOR SHEET'!C$3</f>
        <v>128</v>
      </c>
      <c r="L86" s="143">
        <f t="shared" si="73"/>
        <v>2560</v>
      </c>
      <c r="M86" s="143">
        <f t="shared" si="74"/>
        <v>5120</v>
      </c>
      <c r="N86" s="143">
        <f>3656.86+1992</f>
        <v>5648.86</v>
      </c>
      <c r="O86" s="143">
        <f t="shared" si="75"/>
        <v>11297.72</v>
      </c>
      <c r="P86" s="143">
        <f t="shared" si="76"/>
        <v>8208.86</v>
      </c>
      <c r="Q86" s="178">
        <f t="shared" si="77"/>
        <v>16417.72</v>
      </c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81"/>
      <c r="AJ86" s="181"/>
    </row>
    <row r="87" s="32" customFormat="1" ht="31.5" spans="1:36">
      <c r="A87" s="91">
        <f>IF(F87&lt;&gt;"",1+MAX($A$2:A86),"")</f>
        <v>62</v>
      </c>
      <c r="B87" s="92"/>
      <c r="C87" s="93"/>
      <c r="D87" s="66" t="s">
        <v>117</v>
      </c>
      <c r="E87" s="69">
        <v>2</v>
      </c>
      <c r="F87" s="68">
        <v>0</v>
      </c>
      <c r="G87" s="63">
        <f t="shared" si="71"/>
        <v>2</v>
      </c>
      <c r="H87" s="67" t="s">
        <v>73</v>
      </c>
      <c r="I87" s="140">
        <v>100</v>
      </c>
      <c r="J87" s="141">
        <f t="shared" si="72"/>
        <v>200</v>
      </c>
      <c r="K87" s="142">
        <f>'LABOR SHEET'!C$3</f>
        <v>128</v>
      </c>
      <c r="L87" s="143">
        <f t="shared" si="73"/>
        <v>12800</v>
      </c>
      <c r="M87" s="143">
        <f t="shared" si="74"/>
        <v>25600</v>
      </c>
      <c r="N87" s="143">
        <f>21784.99+49903+4252.99</f>
        <v>75940.98</v>
      </c>
      <c r="O87" s="143">
        <f t="shared" si="75"/>
        <v>151881.96</v>
      </c>
      <c r="P87" s="143">
        <f t="shared" si="76"/>
        <v>88740.98</v>
      </c>
      <c r="Q87" s="178">
        <f t="shared" si="77"/>
        <v>177481.96</v>
      </c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81"/>
      <c r="AJ87" s="181"/>
    </row>
    <row r="88" s="32" customFormat="1" spans="1:36">
      <c r="A88" s="91">
        <f>IF(F88&lt;&gt;"",1+MAX($A$2:A87),"")</f>
        <v>63</v>
      </c>
      <c r="B88" s="92"/>
      <c r="C88" s="93"/>
      <c r="D88" s="66" t="s">
        <v>118</v>
      </c>
      <c r="E88" s="69">
        <v>2</v>
      </c>
      <c r="F88" s="68">
        <v>0</v>
      </c>
      <c r="G88" s="63">
        <f t="shared" si="71"/>
        <v>2</v>
      </c>
      <c r="H88" s="67" t="s">
        <v>73</v>
      </c>
      <c r="I88" s="140">
        <v>10</v>
      </c>
      <c r="J88" s="141">
        <f t="shared" si="72"/>
        <v>20</v>
      </c>
      <c r="K88" s="142">
        <f>'LABOR SHEET'!C$3</f>
        <v>128</v>
      </c>
      <c r="L88" s="143">
        <f t="shared" si="73"/>
        <v>1280</v>
      </c>
      <c r="M88" s="143">
        <f t="shared" si="74"/>
        <v>2560</v>
      </c>
      <c r="N88" s="143">
        <v>3496.3</v>
      </c>
      <c r="O88" s="143">
        <f t="shared" si="75"/>
        <v>6992.6</v>
      </c>
      <c r="P88" s="143">
        <f t="shared" si="76"/>
        <v>4776.3</v>
      </c>
      <c r="Q88" s="178">
        <f t="shared" si="77"/>
        <v>9552.6</v>
      </c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81"/>
      <c r="AJ88" s="181"/>
    </row>
    <row r="89" s="32" customFormat="1" spans="1:36">
      <c r="A89" s="91">
        <f>IF(F89&lt;&gt;"",1+MAX($A$2:A88),"")</f>
        <v>64</v>
      </c>
      <c r="B89" s="92"/>
      <c r="C89" s="93"/>
      <c r="D89" s="66" t="s">
        <v>119</v>
      </c>
      <c r="E89" s="69">
        <v>1</v>
      </c>
      <c r="F89" s="68">
        <v>0</v>
      </c>
      <c r="G89" s="63">
        <f t="shared" si="71"/>
        <v>1</v>
      </c>
      <c r="H89" s="67" t="s">
        <v>73</v>
      </c>
      <c r="I89" s="140">
        <v>10</v>
      </c>
      <c r="J89" s="141">
        <f t="shared" si="72"/>
        <v>10</v>
      </c>
      <c r="K89" s="142">
        <f>'LABOR SHEET'!C$3</f>
        <v>128</v>
      </c>
      <c r="L89" s="143">
        <f t="shared" si="73"/>
        <v>1280</v>
      </c>
      <c r="M89" s="143">
        <f t="shared" si="74"/>
        <v>1280</v>
      </c>
      <c r="N89" s="143">
        <v>2550</v>
      </c>
      <c r="O89" s="143">
        <f t="shared" si="75"/>
        <v>2550</v>
      </c>
      <c r="P89" s="143">
        <f t="shared" si="76"/>
        <v>3830</v>
      </c>
      <c r="Q89" s="178">
        <f t="shared" si="77"/>
        <v>3830</v>
      </c>
      <c r="R89" s="181"/>
      <c r="S89" s="181"/>
      <c r="T89" s="181"/>
      <c r="U89" s="181"/>
      <c r="V89" s="181"/>
      <c r="W89" s="181"/>
      <c r="X89" s="181"/>
      <c r="Y89" s="181"/>
      <c r="Z89" s="181"/>
      <c r="AA89" s="181"/>
      <c r="AB89" s="181"/>
      <c r="AC89" s="181"/>
      <c r="AD89" s="181"/>
      <c r="AE89" s="181"/>
      <c r="AF89" s="181"/>
      <c r="AG89" s="181"/>
      <c r="AH89" s="181"/>
      <c r="AI89" s="181"/>
      <c r="AJ89" s="181"/>
    </row>
    <row r="90" s="32" customFormat="1" ht="47.25" spans="1:36">
      <c r="A90" s="91">
        <f>IF(F90&lt;&gt;"",1+MAX($A$2:A89),"")</f>
        <v>65</v>
      </c>
      <c r="B90" s="92"/>
      <c r="C90" s="93"/>
      <c r="D90" s="66" t="s">
        <v>120</v>
      </c>
      <c r="E90" s="69">
        <v>1</v>
      </c>
      <c r="F90" s="68">
        <v>0</v>
      </c>
      <c r="G90" s="63">
        <f t="shared" si="71"/>
        <v>1</v>
      </c>
      <c r="H90" s="67" t="s">
        <v>73</v>
      </c>
      <c r="I90" s="140">
        <f>(110)+(6.6*1)</f>
        <v>116.6</v>
      </c>
      <c r="J90" s="141">
        <f t="shared" si="72"/>
        <v>116.6</v>
      </c>
      <c r="K90" s="142">
        <f>'LABOR SHEET'!C$3</f>
        <v>128</v>
      </c>
      <c r="L90" s="143">
        <f t="shared" si="73"/>
        <v>14924.8</v>
      </c>
      <c r="M90" s="143">
        <f t="shared" si="74"/>
        <v>14924.8</v>
      </c>
      <c r="N90" s="143">
        <f>(86981.59)+(11600*1)</f>
        <v>98581.59</v>
      </c>
      <c r="O90" s="143">
        <f t="shared" si="75"/>
        <v>98581.59</v>
      </c>
      <c r="P90" s="143">
        <f t="shared" si="76"/>
        <v>113506.39</v>
      </c>
      <c r="Q90" s="178">
        <f t="shared" si="77"/>
        <v>113506.39</v>
      </c>
      <c r="R90" s="181"/>
      <c r="S90" s="181"/>
      <c r="T90" s="181"/>
      <c r="U90" s="181"/>
      <c r="V90" s="181"/>
      <c r="W90" s="181"/>
      <c r="X90" s="181"/>
      <c r="Y90" s="181"/>
      <c r="Z90" s="181"/>
      <c r="AA90" s="181"/>
      <c r="AB90" s="181"/>
      <c r="AC90" s="181"/>
      <c r="AD90" s="181"/>
      <c r="AE90" s="181"/>
      <c r="AF90" s="181"/>
      <c r="AG90" s="181"/>
      <c r="AH90" s="181"/>
      <c r="AI90" s="181"/>
      <c r="AJ90" s="181"/>
    </row>
    <row r="91" s="32" customFormat="1" ht="47.25" spans="1:36">
      <c r="A91" s="91">
        <f>IF(F91&lt;&gt;"",1+MAX($A$2:A90),"")</f>
        <v>66</v>
      </c>
      <c r="B91" s="92"/>
      <c r="C91" s="93"/>
      <c r="D91" s="66" t="s">
        <v>121</v>
      </c>
      <c r="E91" s="69">
        <v>1</v>
      </c>
      <c r="F91" s="68">
        <v>0</v>
      </c>
      <c r="G91" s="63">
        <f t="shared" si="71"/>
        <v>1</v>
      </c>
      <c r="H91" s="67" t="s">
        <v>73</v>
      </c>
      <c r="I91" s="140">
        <v>8.5</v>
      </c>
      <c r="J91" s="141">
        <f t="shared" si="72"/>
        <v>8.5</v>
      </c>
      <c r="K91" s="142">
        <f>'LABOR SHEET'!C$3</f>
        <v>128</v>
      </c>
      <c r="L91" s="143">
        <f t="shared" si="73"/>
        <v>1088</v>
      </c>
      <c r="M91" s="143">
        <f t="shared" si="74"/>
        <v>1088</v>
      </c>
      <c r="N91" s="143">
        <v>6444.9</v>
      </c>
      <c r="O91" s="143">
        <f t="shared" si="75"/>
        <v>6444.9</v>
      </c>
      <c r="P91" s="143">
        <f t="shared" si="76"/>
        <v>7532.9</v>
      </c>
      <c r="Q91" s="178">
        <f t="shared" si="77"/>
        <v>7532.9</v>
      </c>
      <c r="R91" s="181"/>
      <c r="S91" s="181"/>
      <c r="T91" s="181"/>
      <c r="U91" s="181"/>
      <c r="V91" s="181"/>
      <c r="W91" s="181"/>
      <c r="X91" s="181"/>
      <c r="Y91" s="181"/>
      <c r="Z91" s="181"/>
      <c r="AA91" s="181"/>
      <c r="AB91" s="181"/>
      <c r="AC91" s="181"/>
      <c r="AD91" s="181"/>
      <c r="AE91" s="181"/>
      <c r="AF91" s="181"/>
      <c r="AG91" s="181"/>
      <c r="AH91" s="181"/>
      <c r="AI91" s="181"/>
      <c r="AJ91" s="181"/>
    </row>
    <row r="92" s="32" customFormat="1" ht="31.5" spans="1:36">
      <c r="A92" s="91">
        <f>IF(F92&lt;&gt;"",1+MAX($A$2:A91),"")</f>
        <v>67</v>
      </c>
      <c r="B92" s="92"/>
      <c r="C92" s="93"/>
      <c r="D92" s="66" t="s">
        <v>122</v>
      </c>
      <c r="E92" s="69">
        <v>10</v>
      </c>
      <c r="F92" s="68">
        <v>0</v>
      </c>
      <c r="G92" s="63">
        <f t="shared" si="71"/>
        <v>10</v>
      </c>
      <c r="H92" s="67" t="s">
        <v>73</v>
      </c>
      <c r="I92" s="140">
        <v>1.5</v>
      </c>
      <c r="J92" s="141">
        <f t="shared" si="72"/>
        <v>15</v>
      </c>
      <c r="K92" s="142">
        <f>'LABOR SHEET'!C$3</f>
        <v>128</v>
      </c>
      <c r="L92" s="143">
        <f t="shared" si="73"/>
        <v>192</v>
      </c>
      <c r="M92" s="143">
        <f t="shared" si="74"/>
        <v>1920</v>
      </c>
      <c r="N92" s="143">
        <v>738.89</v>
      </c>
      <c r="O92" s="143">
        <f t="shared" si="75"/>
        <v>7388.9</v>
      </c>
      <c r="P92" s="143">
        <f t="shared" si="76"/>
        <v>930.89</v>
      </c>
      <c r="Q92" s="178">
        <f t="shared" si="77"/>
        <v>9308.9</v>
      </c>
      <c r="R92" s="181"/>
      <c r="S92" s="181"/>
      <c r="T92" s="181"/>
      <c r="U92" s="181"/>
      <c r="V92" s="181"/>
      <c r="W92" s="181"/>
      <c r="X92" s="181"/>
      <c r="Y92" s="181"/>
      <c r="Z92" s="181"/>
      <c r="AA92" s="181"/>
      <c r="AB92" s="181"/>
      <c r="AC92" s="181"/>
      <c r="AD92" s="181"/>
      <c r="AE92" s="181"/>
      <c r="AF92" s="181"/>
      <c r="AG92" s="181"/>
      <c r="AH92" s="181"/>
      <c r="AI92" s="181"/>
      <c r="AJ92" s="181"/>
    </row>
    <row r="93" s="32" customFormat="1" ht="31.5" spans="1:36">
      <c r="A93" s="91">
        <f>IF(F93&lt;&gt;"",1+MAX($A$2:A92),"")</f>
        <v>68</v>
      </c>
      <c r="B93" s="92"/>
      <c r="C93" s="93"/>
      <c r="D93" s="66" t="s">
        <v>123</v>
      </c>
      <c r="E93" s="69">
        <v>1</v>
      </c>
      <c r="F93" s="68">
        <v>0</v>
      </c>
      <c r="G93" s="63">
        <f t="shared" si="71"/>
        <v>1</v>
      </c>
      <c r="H93" s="67" t="s">
        <v>73</v>
      </c>
      <c r="I93" s="140">
        <v>60</v>
      </c>
      <c r="J93" s="141">
        <f t="shared" si="72"/>
        <v>60</v>
      </c>
      <c r="K93" s="142">
        <f>'LABOR SHEET'!C$3</f>
        <v>128</v>
      </c>
      <c r="L93" s="143">
        <f t="shared" si="73"/>
        <v>7680</v>
      </c>
      <c r="M93" s="143">
        <f t="shared" si="74"/>
        <v>7680</v>
      </c>
      <c r="N93" s="143">
        <v>30000</v>
      </c>
      <c r="O93" s="143">
        <f t="shared" si="75"/>
        <v>30000</v>
      </c>
      <c r="P93" s="143">
        <f t="shared" si="76"/>
        <v>37680</v>
      </c>
      <c r="Q93" s="178">
        <f t="shared" si="77"/>
        <v>37680</v>
      </c>
      <c r="R93" s="181"/>
      <c r="S93" s="181"/>
      <c r="T93" s="181"/>
      <c r="U93" s="181"/>
      <c r="V93" s="181"/>
      <c r="W93" s="181"/>
      <c r="X93" s="181"/>
      <c r="Y93" s="181"/>
      <c r="Z93" s="181"/>
      <c r="AA93" s="181"/>
      <c r="AB93" s="181"/>
      <c r="AC93" s="181"/>
      <c r="AD93" s="181"/>
      <c r="AE93" s="181"/>
      <c r="AF93" s="181"/>
      <c r="AG93" s="181"/>
      <c r="AH93" s="181"/>
      <c r="AI93" s="181"/>
      <c r="AJ93" s="181"/>
    </row>
    <row r="94" s="32" customFormat="1" spans="1:36">
      <c r="A94" s="91">
        <f>IF(F94&lt;&gt;"",1+MAX($A$2:A93),"")</f>
        <v>69</v>
      </c>
      <c r="B94" s="92"/>
      <c r="C94" s="93"/>
      <c r="D94" s="66" t="s">
        <v>124</v>
      </c>
      <c r="E94" s="69">
        <v>1</v>
      </c>
      <c r="F94" s="68">
        <v>0</v>
      </c>
      <c r="G94" s="63">
        <f t="shared" si="71"/>
        <v>1</v>
      </c>
      <c r="H94" s="67" t="s">
        <v>73</v>
      </c>
      <c r="I94" s="140">
        <v>5</v>
      </c>
      <c r="J94" s="141">
        <f t="shared" si="72"/>
        <v>5</v>
      </c>
      <c r="K94" s="142">
        <f>'LABOR SHEET'!C$3</f>
        <v>128</v>
      </c>
      <c r="L94" s="143">
        <f t="shared" si="73"/>
        <v>640</v>
      </c>
      <c r="M94" s="143">
        <f t="shared" si="74"/>
        <v>640</v>
      </c>
      <c r="N94" s="192">
        <v>0</v>
      </c>
      <c r="O94" s="192">
        <f t="shared" si="75"/>
        <v>0</v>
      </c>
      <c r="P94" s="143">
        <f t="shared" si="76"/>
        <v>640</v>
      </c>
      <c r="Q94" s="178">
        <f t="shared" si="77"/>
        <v>640</v>
      </c>
      <c r="R94" s="181"/>
      <c r="S94" s="181"/>
      <c r="T94" s="181"/>
      <c r="U94" s="181"/>
      <c r="V94" s="181"/>
      <c r="W94" s="181"/>
      <c r="X94" s="181"/>
      <c r="Y94" s="181"/>
      <c r="Z94" s="181"/>
      <c r="AA94" s="181"/>
      <c r="AB94" s="181"/>
      <c r="AC94" s="181"/>
      <c r="AD94" s="181"/>
      <c r="AE94" s="181"/>
      <c r="AF94" s="181"/>
      <c r="AG94" s="181"/>
      <c r="AH94" s="181"/>
      <c r="AI94" s="181"/>
      <c r="AJ94" s="181"/>
    </row>
    <row r="95" s="32" customFormat="1" spans="1:36">
      <c r="A95" s="91" t="str">
        <f>IF(F95&lt;&gt;"",1+MAX($A$2:A94),"")</f>
        <v/>
      </c>
      <c r="B95" s="92"/>
      <c r="C95" s="93"/>
      <c r="D95" s="66"/>
      <c r="E95" s="69"/>
      <c r="F95" s="94"/>
      <c r="G95" s="95"/>
      <c r="H95" s="67"/>
      <c r="I95" s="140"/>
      <c r="J95" s="141"/>
      <c r="K95" s="142"/>
      <c r="L95" s="143"/>
      <c r="M95" s="143"/>
      <c r="N95" s="143"/>
      <c r="O95" s="143"/>
      <c r="P95" s="143"/>
      <c r="Q95" s="179"/>
      <c r="R95" s="181"/>
      <c r="S95" s="181"/>
      <c r="T95" s="181"/>
      <c r="U95" s="181"/>
      <c r="V95" s="181"/>
      <c r="W95" s="181"/>
      <c r="X95" s="181"/>
      <c r="Y95" s="181"/>
      <c r="Z95" s="181"/>
      <c r="AA95" s="181"/>
      <c r="AB95" s="181"/>
      <c r="AC95" s="181"/>
      <c r="AD95" s="181"/>
      <c r="AE95" s="181"/>
      <c r="AF95" s="181"/>
      <c r="AG95" s="181"/>
      <c r="AH95" s="181"/>
      <c r="AI95" s="181"/>
      <c r="AJ95" s="181"/>
    </row>
    <row r="96" s="32" customFormat="1" spans="1:36">
      <c r="A96" s="91" t="str">
        <f>IF(F96&lt;&gt;"",1+MAX($A$2:A95),"")</f>
        <v/>
      </c>
      <c r="B96" s="92"/>
      <c r="C96" s="93"/>
      <c r="D96" s="87" t="s">
        <v>125</v>
      </c>
      <c r="E96" s="69"/>
      <c r="F96" s="94"/>
      <c r="G96" s="95"/>
      <c r="H96" s="67"/>
      <c r="I96" s="140"/>
      <c r="J96" s="141"/>
      <c r="K96" s="142"/>
      <c r="L96" s="143"/>
      <c r="M96" s="143"/>
      <c r="N96" s="143"/>
      <c r="O96" s="143"/>
      <c r="P96" s="143"/>
      <c r="Q96" s="179"/>
      <c r="R96" s="181"/>
      <c r="S96" s="181"/>
      <c r="T96" s="181"/>
      <c r="U96" s="181"/>
      <c r="V96" s="181"/>
      <c r="W96" s="181"/>
      <c r="X96" s="181"/>
      <c r="Y96" s="181"/>
      <c r="Z96" s="181"/>
      <c r="AA96" s="181"/>
      <c r="AB96" s="181"/>
      <c r="AC96" s="181"/>
      <c r="AD96" s="181"/>
      <c r="AE96" s="181"/>
      <c r="AF96" s="181"/>
      <c r="AG96" s="181"/>
      <c r="AH96" s="181"/>
      <c r="AI96" s="181"/>
      <c r="AJ96" s="181"/>
    </row>
    <row r="97" s="32" customFormat="1" spans="1:36">
      <c r="A97" s="91">
        <f>IF(F97&lt;&gt;"",1+MAX($A$2:A96),"")</f>
        <v>70</v>
      </c>
      <c r="B97" s="92"/>
      <c r="C97" s="93"/>
      <c r="D97" s="66" t="s">
        <v>126</v>
      </c>
      <c r="E97" s="69">
        <v>1</v>
      </c>
      <c r="F97" s="68">
        <v>0</v>
      </c>
      <c r="G97" s="63">
        <f t="shared" ref="G97:G119" si="84">(F97*E97)+E97</f>
        <v>1</v>
      </c>
      <c r="H97" s="67" t="s">
        <v>73</v>
      </c>
      <c r="I97" s="140">
        <v>0.3</v>
      </c>
      <c r="J97" s="141">
        <f t="shared" ref="J97:J98" si="85">+I97*G97</f>
        <v>0.3</v>
      </c>
      <c r="K97" s="142">
        <f>'LABOR SHEET'!C$3</f>
        <v>128</v>
      </c>
      <c r="L97" s="143">
        <f t="shared" ref="L97:L98" si="86">I97*K97</f>
        <v>38.4</v>
      </c>
      <c r="M97" s="143">
        <f t="shared" ref="M97:M98" si="87">K97*J97</f>
        <v>38.4</v>
      </c>
      <c r="N97" s="143">
        <v>22</v>
      </c>
      <c r="O97" s="143">
        <f t="shared" ref="O97:O98" si="88">N97*G97</f>
        <v>22</v>
      </c>
      <c r="P97" s="143">
        <f t="shared" ref="P97:P98" si="89">(I97*K97)+N97</f>
        <v>60.4</v>
      </c>
      <c r="Q97" s="178">
        <f t="shared" ref="Q97:Q98" si="90">P97*G97</f>
        <v>60.4</v>
      </c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81"/>
      <c r="AJ97" s="181"/>
    </row>
    <row r="98" s="32" customFormat="1" spans="1:36">
      <c r="A98" s="91">
        <f>IF(F98&lt;&gt;"",1+MAX($A$2:A97),"")</f>
        <v>71</v>
      </c>
      <c r="B98" s="92"/>
      <c r="C98" s="93"/>
      <c r="D98" s="66" t="s">
        <v>127</v>
      </c>
      <c r="E98" s="69">
        <v>3</v>
      </c>
      <c r="F98" s="68">
        <v>0</v>
      </c>
      <c r="G98" s="63">
        <f t="shared" si="84"/>
        <v>3</v>
      </c>
      <c r="H98" s="67" t="s">
        <v>73</v>
      </c>
      <c r="I98" s="140">
        <v>0.25</v>
      </c>
      <c r="J98" s="141">
        <f t="shared" si="85"/>
        <v>0.75</v>
      </c>
      <c r="K98" s="142">
        <f>'LABOR SHEET'!C$3</f>
        <v>128</v>
      </c>
      <c r="L98" s="143">
        <f t="shared" si="86"/>
        <v>32</v>
      </c>
      <c r="M98" s="143">
        <f t="shared" si="87"/>
        <v>96</v>
      </c>
      <c r="N98" s="143">
        <v>18</v>
      </c>
      <c r="O98" s="143">
        <f t="shared" si="88"/>
        <v>54</v>
      </c>
      <c r="P98" s="143">
        <f t="shared" si="89"/>
        <v>50</v>
      </c>
      <c r="Q98" s="178">
        <f t="shared" si="90"/>
        <v>150</v>
      </c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81"/>
      <c r="AJ98" s="181"/>
    </row>
    <row r="99" s="32" customFormat="1" spans="1:36">
      <c r="A99" s="91">
        <f>IF(F99&lt;&gt;"",1+MAX($A$2:A98),"")</f>
        <v>72</v>
      </c>
      <c r="B99" s="92"/>
      <c r="C99" s="93"/>
      <c r="D99" s="66" t="s">
        <v>128</v>
      </c>
      <c r="E99" s="69">
        <v>1</v>
      </c>
      <c r="F99" s="68">
        <v>0</v>
      </c>
      <c r="G99" s="63">
        <f t="shared" si="84"/>
        <v>1</v>
      </c>
      <c r="H99" s="67" t="s">
        <v>73</v>
      </c>
      <c r="I99" s="140">
        <v>0.3</v>
      </c>
      <c r="J99" s="141">
        <f t="shared" ref="J99:J118" si="91">+I99*G99</f>
        <v>0.3</v>
      </c>
      <c r="K99" s="142">
        <f>'LABOR SHEET'!C$3</f>
        <v>128</v>
      </c>
      <c r="L99" s="143">
        <f t="shared" ref="L99:L118" si="92">I99*K99</f>
        <v>38.4</v>
      </c>
      <c r="M99" s="143">
        <f t="shared" ref="M99:M118" si="93">K99*J99</f>
        <v>38.4</v>
      </c>
      <c r="N99" s="143">
        <v>22</v>
      </c>
      <c r="O99" s="143">
        <f t="shared" ref="O99:O118" si="94">N99*G99</f>
        <v>22</v>
      </c>
      <c r="P99" s="143">
        <f t="shared" ref="P99:P118" si="95">(I99*K99)+N99</f>
        <v>60.4</v>
      </c>
      <c r="Q99" s="178">
        <f t="shared" ref="Q99:Q118" si="96">P99*G99</f>
        <v>60.4</v>
      </c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81"/>
      <c r="AJ99" s="181"/>
    </row>
    <row r="100" s="32" customFormat="1" spans="1:36">
      <c r="A100" s="91">
        <f>IF(F100&lt;&gt;"",1+MAX($A$2:A99),"")</f>
        <v>73</v>
      </c>
      <c r="B100" s="92"/>
      <c r="C100" s="93"/>
      <c r="D100" s="66" t="s">
        <v>129</v>
      </c>
      <c r="E100" s="69">
        <v>2</v>
      </c>
      <c r="F100" s="68">
        <v>0</v>
      </c>
      <c r="G100" s="63">
        <f t="shared" si="84"/>
        <v>2</v>
      </c>
      <c r="H100" s="67" t="s">
        <v>73</v>
      </c>
      <c r="I100" s="140">
        <v>0.25</v>
      </c>
      <c r="J100" s="141">
        <f t="shared" si="91"/>
        <v>0.5</v>
      </c>
      <c r="K100" s="142">
        <f>'LABOR SHEET'!C$3</f>
        <v>128</v>
      </c>
      <c r="L100" s="143">
        <f t="shared" si="92"/>
        <v>32</v>
      </c>
      <c r="M100" s="143">
        <f t="shared" si="93"/>
        <v>64</v>
      </c>
      <c r="N100" s="143">
        <v>18</v>
      </c>
      <c r="O100" s="143">
        <f t="shared" si="94"/>
        <v>36</v>
      </c>
      <c r="P100" s="143">
        <f t="shared" si="95"/>
        <v>50</v>
      </c>
      <c r="Q100" s="178">
        <f t="shared" si="96"/>
        <v>100</v>
      </c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81"/>
      <c r="AJ100" s="181"/>
    </row>
    <row r="101" s="32" customFormat="1" spans="1:36">
      <c r="A101" s="91">
        <f>IF(F101&lt;&gt;"",1+MAX($A$2:A100),"")</f>
        <v>74</v>
      </c>
      <c r="B101" s="92"/>
      <c r="C101" s="93"/>
      <c r="D101" s="66" t="s">
        <v>130</v>
      </c>
      <c r="E101" s="69">
        <v>1</v>
      </c>
      <c r="F101" s="68">
        <v>0</v>
      </c>
      <c r="G101" s="63">
        <f t="shared" si="84"/>
        <v>1</v>
      </c>
      <c r="H101" s="67" t="s">
        <v>73</v>
      </c>
      <c r="I101" s="140">
        <v>0.3</v>
      </c>
      <c r="J101" s="141">
        <f t="shared" si="91"/>
        <v>0.3</v>
      </c>
      <c r="K101" s="142">
        <f>'LABOR SHEET'!C$3</f>
        <v>128</v>
      </c>
      <c r="L101" s="143">
        <f t="shared" si="92"/>
        <v>38.4</v>
      </c>
      <c r="M101" s="143">
        <f t="shared" si="93"/>
        <v>38.4</v>
      </c>
      <c r="N101" s="143">
        <v>22</v>
      </c>
      <c r="O101" s="143">
        <f t="shared" si="94"/>
        <v>22</v>
      </c>
      <c r="P101" s="143">
        <f t="shared" si="95"/>
        <v>60.4</v>
      </c>
      <c r="Q101" s="178">
        <f t="shared" si="96"/>
        <v>60.4</v>
      </c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81"/>
      <c r="AJ101" s="181"/>
    </row>
    <row r="102" s="32" customFormat="1" spans="1:36">
      <c r="A102" s="91">
        <f>IF(F102&lt;&gt;"",1+MAX($A$2:A101),"")</f>
        <v>75</v>
      </c>
      <c r="B102" s="92"/>
      <c r="C102" s="93"/>
      <c r="D102" s="66" t="s">
        <v>131</v>
      </c>
      <c r="E102" s="69">
        <v>1</v>
      </c>
      <c r="F102" s="68">
        <v>0</v>
      </c>
      <c r="G102" s="63">
        <f t="shared" si="84"/>
        <v>1</v>
      </c>
      <c r="H102" s="67" t="s">
        <v>73</v>
      </c>
      <c r="I102" s="140">
        <v>0.25</v>
      </c>
      <c r="J102" s="141">
        <f t="shared" si="91"/>
        <v>0.25</v>
      </c>
      <c r="K102" s="142">
        <f>'LABOR SHEET'!C$3</f>
        <v>128</v>
      </c>
      <c r="L102" s="143">
        <f t="shared" si="92"/>
        <v>32</v>
      </c>
      <c r="M102" s="143">
        <f t="shared" si="93"/>
        <v>32</v>
      </c>
      <c r="N102" s="143">
        <v>18</v>
      </c>
      <c r="O102" s="143">
        <f t="shared" si="94"/>
        <v>18</v>
      </c>
      <c r="P102" s="143">
        <f t="shared" si="95"/>
        <v>50</v>
      </c>
      <c r="Q102" s="178">
        <f t="shared" si="96"/>
        <v>50</v>
      </c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81"/>
      <c r="AJ102" s="181"/>
    </row>
    <row r="103" s="32" customFormat="1" spans="1:36">
      <c r="A103" s="91">
        <f>IF(F103&lt;&gt;"",1+MAX($A$2:A102),"")</f>
        <v>76</v>
      </c>
      <c r="B103" s="92"/>
      <c r="C103" s="93"/>
      <c r="D103" s="66" t="s">
        <v>132</v>
      </c>
      <c r="E103" s="69">
        <v>6</v>
      </c>
      <c r="F103" s="68">
        <v>0</v>
      </c>
      <c r="G103" s="63">
        <f t="shared" si="84"/>
        <v>6</v>
      </c>
      <c r="H103" s="67" t="s">
        <v>73</v>
      </c>
      <c r="I103" s="140">
        <v>0.3</v>
      </c>
      <c r="J103" s="141">
        <f t="shared" si="91"/>
        <v>1.8</v>
      </c>
      <c r="K103" s="142">
        <f>'LABOR SHEET'!C$3</f>
        <v>128</v>
      </c>
      <c r="L103" s="143">
        <f t="shared" si="92"/>
        <v>38.4</v>
      </c>
      <c r="M103" s="143">
        <f t="shared" si="93"/>
        <v>230.4</v>
      </c>
      <c r="N103" s="143">
        <v>22</v>
      </c>
      <c r="O103" s="143">
        <f t="shared" si="94"/>
        <v>132</v>
      </c>
      <c r="P103" s="143">
        <f t="shared" si="95"/>
        <v>60.4</v>
      </c>
      <c r="Q103" s="178">
        <f t="shared" si="96"/>
        <v>362.4</v>
      </c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81"/>
      <c r="AJ103" s="181"/>
    </row>
    <row r="104" s="32" customFormat="1" spans="1:36">
      <c r="A104" s="91">
        <f>IF(F104&lt;&gt;"",1+MAX($A$2:A103),"")</f>
        <v>77</v>
      </c>
      <c r="B104" s="92"/>
      <c r="C104" s="93"/>
      <c r="D104" s="66" t="s">
        <v>133</v>
      </c>
      <c r="E104" s="69">
        <v>2</v>
      </c>
      <c r="F104" s="68">
        <v>0</v>
      </c>
      <c r="G104" s="63">
        <f t="shared" si="84"/>
        <v>2</v>
      </c>
      <c r="H104" s="67" t="s">
        <v>73</v>
      </c>
      <c r="I104" s="140">
        <v>0.25</v>
      </c>
      <c r="J104" s="141">
        <f t="shared" si="91"/>
        <v>0.5</v>
      </c>
      <c r="K104" s="142">
        <f>'LABOR SHEET'!C$3</f>
        <v>128</v>
      </c>
      <c r="L104" s="143">
        <f t="shared" si="92"/>
        <v>32</v>
      </c>
      <c r="M104" s="143">
        <f t="shared" si="93"/>
        <v>64</v>
      </c>
      <c r="N104" s="143">
        <v>18</v>
      </c>
      <c r="O104" s="143">
        <f t="shared" si="94"/>
        <v>36</v>
      </c>
      <c r="P104" s="143">
        <f t="shared" si="95"/>
        <v>50</v>
      </c>
      <c r="Q104" s="178">
        <f t="shared" si="96"/>
        <v>100</v>
      </c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81"/>
      <c r="AJ104" s="181"/>
    </row>
    <row r="105" s="32" customFormat="1" spans="1:36">
      <c r="A105" s="91">
        <f>IF(F105&lt;&gt;"",1+MAX($A$2:A104),"")</f>
        <v>78</v>
      </c>
      <c r="B105" s="92"/>
      <c r="C105" s="93"/>
      <c r="D105" s="66" t="s">
        <v>134</v>
      </c>
      <c r="E105" s="69">
        <v>22</v>
      </c>
      <c r="F105" s="68">
        <v>0</v>
      </c>
      <c r="G105" s="63">
        <f t="shared" si="84"/>
        <v>22</v>
      </c>
      <c r="H105" s="67" t="s">
        <v>73</v>
      </c>
      <c r="I105" s="140">
        <v>0.3</v>
      </c>
      <c r="J105" s="141">
        <f t="shared" si="91"/>
        <v>6.6</v>
      </c>
      <c r="K105" s="142">
        <f>'LABOR SHEET'!C$3</f>
        <v>128</v>
      </c>
      <c r="L105" s="143">
        <f t="shared" si="92"/>
        <v>38.4</v>
      </c>
      <c r="M105" s="143">
        <f t="shared" si="93"/>
        <v>844.8</v>
      </c>
      <c r="N105" s="143">
        <v>22</v>
      </c>
      <c r="O105" s="143">
        <f t="shared" si="94"/>
        <v>484</v>
      </c>
      <c r="P105" s="143">
        <f t="shared" si="95"/>
        <v>60.4</v>
      </c>
      <c r="Q105" s="178">
        <f t="shared" si="96"/>
        <v>1328.8</v>
      </c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81"/>
      <c r="AJ105" s="181"/>
    </row>
    <row r="106" s="32" customFormat="1" spans="1:36">
      <c r="A106" s="91">
        <f>IF(F106&lt;&gt;"",1+MAX($A$2:A105),"")</f>
        <v>79</v>
      </c>
      <c r="B106" s="92"/>
      <c r="C106" s="93"/>
      <c r="D106" s="66" t="s">
        <v>135</v>
      </c>
      <c r="E106" s="69">
        <v>2</v>
      </c>
      <c r="F106" s="68">
        <v>0</v>
      </c>
      <c r="G106" s="63">
        <f t="shared" si="84"/>
        <v>2</v>
      </c>
      <c r="H106" s="67" t="s">
        <v>73</v>
      </c>
      <c r="I106" s="140">
        <v>0.25</v>
      </c>
      <c r="J106" s="141">
        <f t="shared" si="91"/>
        <v>0.5</v>
      </c>
      <c r="K106" s="142">
        <f>'LABOR SHEET'!C$3</f>
        <v>128</v>
      </c>
      <c r="L106" s="143">
        <f t="shared" si="92"/>
        <v>32</v>
      </c>
      <c r="M106" s="143">
        <f t="shared" si="93"/>
        <v>64</v>
      </c>
      <c r="N106" s="143">
        <v>18</v>
      </c>
      <c r="O106" s="143">
        <f t="shared" si="94"/>
        <v>36</v>
      </c>
      <c r="P106" s="143">
        <f t="shared" si="95"/>
        <v>50</v>
      </c>
      <c r="Q106" s="178">
        <f t="shared" si="96"/>
        <v>100</v>
      </c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81"/>
      <c r="AJ106" s="181"/>
    </row>
    <row r="107" s="32" customFormat="1" spans="1:36">
      <c r="A107" s="91">
        <f>IF(F107&lt;&gt;"",1+MAX($A$2:A106),"")</f>
        <v>80</v>
      </c>
      <c r="B107" s="92"/>
      <c r="C107" s="93"/>
      <c r="D107" s="66" t="s">
        <v>136</v>
      </c>
      <c r="E107" s="69">
        <v>1</v>
      </c>
      <c r="F107" s="68">
        <v>0</v>
      </c>
      <c r="G107" s="63">
        <f t="shared" si="84"/>
        <v>1</v>
      </c>
      <c r="H107" s="67" t="s">
        <v>73</v>
      </c>
      <c r="I107" s="140">
        <v>0.3</v>
      </c>
      <c r="J107" s="141">
        <f t="shared" si="91"/>
        <v>0.3</v>
      </c>
      <c r="K107" s="142">
        <f>'LABOR SHEET'!C$3</f>
        <v>128</v>
      </c>
      <c r="L107" s="143">
        <f t="shared" si="92"/>
        <v>38.4</v>
      </c>
      <c r="M107" s="143">
        <f t="shared" si="93"/>
        <v>38.4</v>
      </c>
      <c r="N107" s="143">
        <v>22</v>
      </c>
      <c r="O107" s="143">
        <f t="shared" si="94"/>
        <v>22</v>
      </c>
      <c r="P107" s="143">
        <f t="shared" si="95"/>
        <v>60.4</v>
      </c>
      <c r="Q107" s="178">
        <f t="shared" si="96"/>
        <v>60.4</v>
      </c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81"/>
      <c r="AJ107" s="181"/>
    </row>
    <row r="108" s="32" customFormat="1" spans="1:36">
      <c r="A108" s="91">
        <f>IF(F108&lt;&gt;"",1+MAX($A$2:A107),"")</f>
        <v>81</v>
      </c>
      <c r="B108" s="92"/>
      <c r="C108" s="93"/>
      <c r="D108" s="66" t="s">
        <v>137</v>
      </c>
      <c r="E108" s="69">
        <v>1</v>
      </c>
      <c r="F108" s="68">
        <v>0</v>
      </c>
      <c r="G108" s="63">
        <f t="shared" si="84"/>
        <v>1</v>
      </c>
      <c r="H108" s="67" t="s">
        <v>73</v>
      </c>
      <c r="I108" s="140">
        <v>0.25</v>
      </c>
      <c r="J108" s="141">
        <f t="shared" si="91"/>
        <v>0.25</v>
      </c>
      <c r="K108" s="142">
        <f>'LABOR SHEET'!C$3</f>
        <v>128</v>
      </c>
      <c r="L108" s="143">
        <f t="shared" si="92"/>
        <v>32</v>
      </c>
      <c r="M108" s="143">
        <f t="shared" si="93"/>
        <v>32</v>
      </c>
      <c r="N108" s="143">
        <v>18</v>
      </c>
      <c r="O108" s="143">
        <f t="shared" si="94"/>
        <v>18</v>
      </c>
      <c r="P108" s="143">
        <f t="shared" si="95"/>
        <v>50</v>
      </c>
      <c r="Q108" s="178">
        <f t="shared" si="96"/>
        <v>50</v>
      </c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81"/>
      <c r="AJ108" s="181"/>
    </row>
    <row r="109" s="32" customFormat="1" spans="1:36">
      <c r="A109" s="91">
        <f>IF(F109&lt;&gt;"",1+MAX($A$2:A108),"")</f>
        <v>82</v>
      </c>
      <c r="B109" s="92"/>
      <c r="C109" s="93"/>
      <c r="D109" s="66" t="s">
        <v>138</v>
      </c>
      <c r="E109" s="69">
        <v>1</v>
      </c>
      <c r="F109" s="68">
        <v>0</v>
      </c>
      <c r="G109" s="63">
        <f t="shared" si="84"/>
        <v>1</v>
      </c>
      <c r="H109" s="67" t="s">
        <v>73</v>
      </c>
      <c r="I109" s="140">
        <v>0.3</v>
      </c>
      <c r="J109" s="141">
        <f t="shared" si="91"/>
        <v>0.3</v>
      </c>
      <c r="K109" s="142">
        <f>'LABOR SHEET'!C$3</f>
        <v>128</v>
      </c>
      <c r="L109" s="143">
        <f t="shared" si="92"/>
        <v>38.4</v>
      </c>
      <c r="M109" s="143">
        <f t="shared" si="93"/>
        <v>38.4</v>
      </c>
      <c r="N109" s="143">
        <v>22</v>
      </c>
      <c r="O109" s="143">
        <f t="shared" si="94"/>
        <v>22</v>
      </c>
      <c r="P109" s="143">
        <f t="shared" si="95"/>
        <v>60.4</v>
      </c>
      <c r="Q109" s="178">
        <f t="shared" si="96"/>
        <v>60.4</v>
      </c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81"/>
      <c r="AJ109" s="181"/>
    </row>
    <row r="110" s="32" customFormat="1" spans="1:36">
      <c r="A110" s="91">
        <f>IF(F110&lt;&gt;"",1+MAX($A$2:A109),"")</f>
        <v>83</v>
      </c>
      <c r="B110" s="92"/>
      <c r="C110" s="93"/>
      <c r="D110" s="66" t="s">
        <v>139</v>
      </c>
      <c r="E110" s="69">
        <v>22</v>
      </c>
      <c r="F110" s="68">
        <v>0</v>
      </c>
      <c r="G110" s="63">
        <f t="shared" si="84"/>
        <v>22</v>
      </c>
      <c r="H110" s="67" t="s">
        <v>73</v>
      </c>
      <c r="I110" s="140">
        <v>0.25</v>
      </c>
      <c r="J110" s="141">
        <f t="shared" si="91"/>
        <v>5.5</v>
      </c>
      <c r="K110" s="142">
        <f>'LABOR SHEET'!C$3</f>
        <v>128</v>
      </c>
      <c r="L110" s="143">
        <f t="shared" si="92"/>
        <v>32</v>
      </c>
      <c r="M110" s="143">
        <f t="shared" si="93"/>
        <v>704</v>
      </c>
      <c r="N110" s="143">
        <v>18</v>
      </c>
      <c r="O110" s="143">
        <f t="shared" si="94"/>
        <v>396</v>
      </c>
      <c r="P110" s="143">
        <f t="shared" si="95"/>
        <v>50</v>
      </c>
      <c r="Q110" s="178">
        <f t="shared" si="96"/>
        <v>1100</v>
      </c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81"/>
      <c r="AJ110" s="181"/>
    </row>
    <row r="111" s="32" customFormat="1" spans="1:36">
      <c r="A111" s="91">
        <f>IF(F111&lt;&gt;"",1+MAX($A$2:A110),"")</f>
        <v>84</v>
      </c>
      <c r="B111" s="92"/>
      <c r="C111" s="93"/>
      <c r="D111" s="66" t="s">
        <v>140</v>
      </c>
      <c r="E111" s="69">
        <v>2</v>
      </c>
      <c r="F111" s="68">
        <v>0</v>
      </c>
      <c r="G111" s="63">
        <f t="shared" si="84"/>
        <v>2</v>
      </c>
      <c r="H111" s="67" t="s">
        <v>73</v>
      </c>
      <c r="I111" s="140">
        <v>0.3</v>
      </c>
      <c r="J111" s="141">
        <f t="shared" si="91"/>
        <v>0.6</v>
      </c>
      <c r="K111" s="142">
        <f>'LABOR SHEET'!C$3</f>
        <v>128</v>
      </c>
      <c r="L111" s="143">
        <f t="shared" si="92"/>
        <v>38.4</v>
      </c>
      <c r="M111" s="143">
        <f t="shared" si="93"/>
        <v>76.8</v>
      </c>
      <c r="N111" s="143">
        <v>22</v>
      </c>
      <c r="O111" s="143">
        <f t="shared" si="94"/>
        <v>44</v>
      </c>
      <c r="P111" s="143">
        <f t="shared" si="95"/>
        <v>60.4</v>
      </c>
      <c r="Q111" s="178">
        <f t="shared" si="96"/>
        <v>120.8</v>
      </c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81"/>
      <c r="AJ111" s="181"/>
    </row>
    <row r="112" s="32" customFormat="1" spans="1:36">
      <c r="A112" s="91">
        <f>IF(F112&lt;&gt;"",1+MAX($A$2:A111),"")</f>
        <v>85</v>
      </c>
      <c r="B112" s="92"/>
      <c r="C112" s="93"/>
      <c r="D112" s="66" t="s">
        <v>141</v>
      </c>
      <c r="E112" s="69">
        <v>2</v>
      </c>
      <c r="F112" s="68">
        <v>0</v>
      </c>
      <c r="G112" s="63">
        <f t="shared" si="84"/>
        <v>2</v>
      </c>
      <c r="H112" s="67" t="s">
        <v>73</v>
      </c>
      <c r="I112" s="140">
        <v>0.25</v>
      </c>
      <c r="J112" s="141">
        <f t="shared" si="91"/>
        <v>0.5</v>
      </c>
      <c r="K112" s="142">
        <f>'LABOR SHEET'!C$3</f>
        <v>128</v>
      </c>
      <c r="L112" s="143">
        <f t="shared" si="92"/>
        <v>32</v>
      </c>
      <c r="M112" s="143">
        <f t="shared" si="93"/>
        <v>64</v>
      </c>
      <c r="N112" s="143">
        <v>18</v>
      </c>
      <c r="O112" s="143">
        <f t="shared" si="94"/>
        <v>36</v>
      </c>
      <c r="P112" s="143">
        <f t="shared" si="95"/>
        <v>50</v>
      </c>
      <c r="Q112" s="178">
        <f t="shared" si="96"/>
        <v>100</v>
      </c>
      <c r="R112" s="181"/>
      <c r="S112" s="181"/>
      <c r="T112" s="181"/>
      <c r="U112" s="181"/>
      <c r="V112" s="181"/>
      <c r="W112" s="181"/>
      <c r="X112" s="181"/>
      <c r="Y112" s="181"/>
      <c r="Z112" s="181"/>
      <c r="AA112" s="181"/>
      <c r="AB112" s="181"/>
      <c r="AC112" s="181"/>
      <c r="AD112" s="181"/>
      <c r="AE112" s="181"/>
      <c r="AF112" s="181"/>
      <c r="AG112" s="181"/>
      <c r="AH112" s="181"/>
      <c r="AI112" s="181"/>
      <c r="AJ112" s="181"/>
    </row>
    <row r="113" s="32" customFormat="1" spans="1:36">
      <c r="A113" s="91">
        <f>IF(F113&lt;&gt;"",1+MAX($A$2:A112),"")</f>
        <v>86</v>
      </c>
      <c r="B113" s="92"/>
      <c r="C113" s="93"/>
      <c r="D113" s="66" t="s">
        <v>142</v>
      </c>
      <c r="E113" s="69">
        <v>1</v>
      </c>
      <c r="F113" s="68">
        <v>0</v>
      </c>
      <c r="G113" s="63">
        <f t="shared" si="84"/>
        <v>1</v>
      </c>
      <c r="H113" s="67" t="s">
        <v>73</v>
      </c>
      <c r="I113" s="140">
        <v>0.3</v>
      </c>
      <c r="J113" s="141">
        <f t="shared" si="91"/>
        <v>0.3</v>
      </c>
      <c r="K113" s="142">
        <f>'LABOR SHEET'!C$3</f>
        <v>128</v>
      </c>
      <c r="L113" s="143">
        <f t="shared" si="92"/>
        <v>38.4</v>
      </c>
      <c r="M113" s="143">
        <f t="shared" si="93"/>
        <v>38.4</v>
      </c>
      <c r="N113" s="143">
        <v>22</v>
      </c>
      <c r="O113" s="143">
        <f t="shared" si="94"/>
        <v>22</v>
      </c>
      <c r="P113" s="143">
        <f t="shared" si="95"/>
        <v>60.4</v>
      </c>
      <c r="Q113" s="178">
        <f t="shared" si="96"/>
        <v>60.4</v>
      </c>
      <c r="R113" s="181"/>
      <c r="S113" s="181"/>
      <c r="T113" s="181"/>
      <c r="U113" s="181"/>
      <c r="V113" s="181"/>
      <c r="W113" s="181"/>
      <c r="X113" s="181"/>
      <c r="Y113" s="181"/>
      <c r="Z113" s="181"/>
      <c r="AA113" s="181"/>
      <c r="AB113" s="181"/>
      <c r="AC113" s="181"/>
      <c r="AD113" s="181"/>
      <c r="AE113" s="181"/>
      <c r="AF113" s="181"/>
      <c r="AG113" s="181"/>
      <c r="AH113" s="181"/>
      <c r="AI113" s="181"/>
      <c r="AJ113" s="181"/>
    </row>
    <row r="114" s="32" customFormat="1" spans="1:36">
      <c r="A114" s="91">
        <f>IF(F114&lt;&gt;"",1+MAX($A$2:A113),"")</f>
        <v>87</v>
      </c>
      <c r="B114" s="92"/>
      <c r="C114" s="93"/>
      <c r="D114" s="66" t="s">
        <v>143</v>
      </c>
      <c r="E114" s="69">
        <v>1</v>
      </c>
      <c r="F114" s="68">
        <v>0</v>
      </c>
      <c r="G114" s="63">
        <f t="shared" si="84"/>
        <v>1</v>
      </c>
      <c r="H114" s="67" t="s">
        <v>73</v>
      </c>
      <c r="I114" s="140">
        <v>0.25</v>
      </c>
      <c r="J114" s="141">
        <f t="shared" si="91"/>
        <v>0.25</v>
      </c>
      <c r="K114" s="142">
        <f>'LABOR SHEET'!C$3</f>
        <v>128</v>
      </c>
      <c r="L114" s="143">
        <f t="shared" si="92"/>
        <v>32</v>
      </c>
      <c r="M114" s="143">
        <f t="shared" si="93"/>
        <v>32</v>
      </c>
      <c r="N114" s="143">
        <v>18</v>
      </c>
      <c r="O114" s="143">
        <f t="shared" si="94"/>
        <v>18</v>
      </c>
      <c r="P114" s="143">
        <f t="shared" si="95"/>
        <v>50</v>
      </c>
      <c r="Q114" s="178">
        <f t="shared" si="96"/>
        <v>50</v>
      </c>
      <c r="R114" s="181"/>
      <c r="S114" s="181"/>
      <c r="T114" s="181"/>
      <c r="U114" s="181"/>
      <c r="V114" s="181"/>
      <c r="W114" s="181"/>
      <c r="X114" s="181"/>
      <c r="Y114" s="181"/>
      <c r="Z114" s="181"/>
      <c r="AA114" s="181"/>
      <c r="AB114" s="181"/>
      <c r="AC114" s="181"/>
      <c r="AD114" s="181"/>
      <c r="AE114" s="181"/>
      <c r="AF114" s="181"/>
      <c r="AG114" s="181"/>
      <c r="AH114" s="181"/>
      <c r="AI114" s="181"/>
      <c r="AJ114" s="181"/>
    </row>
    <row r="115" s="32" customFormat="1" spans="1:36">
      <c r="A115" s="91">
        <f>IF(F115&lt;&gt;"",1+MAX($A$2:A114),"")</f>
        <v>88</v>
      </c>
      <c r="B115" s="92"/>
      <c r="C115" s="93"/>
      <c r="D115" s="66" t="s">
        <v>144</v>
      </c>
      <c r="E115" s="69">
        <v>3</v>
      </c>
      <c r="F115" s="68">
        <v>0</v>
      </c>
      <c r="G115" s="63">
        <f t="shared" si="84"/>
        <v>3</v>
      </c>
      <c r="H115" s="67" t="s">
        <v>73</v>
      </c>
      <c r="I115" s="140">
        <v>0.3</v>
      </c>
      <c r="J115" s="141">
        <f t="shared" si="91"/>
        <v>0.9</v>
      </c>
      <c r="K115" s="142">
        <f>'LABOR SHEET'!C$3</f>
        <v>128</v>
      </c>
      <c r="L115" s="143">
        <f t="shared" si="92"/>
        <v>38.4</v>
      </c>
      <c r="M115" s="143">
        <f t="shared" si="93"/>
        <v>115.2</v>
      </c>
      <c r="N115" s="143">
        <v>22</v>
      </c>
      <c r="O115" s="143">
        <f t="shared" si="94"/>
        <v>66</v>
      </c>
      <c r="P115" s="143">
        <f t="shared" si="95"/>
        <v>60.4</v>
      </c>
      <c r="Q115" s="178">
        <f t="shared" si="96"/>
        <v>181.2</v>
      </c>
      <c r="R115" s="181"/>
      <c r="S115" s="181"/>
      <c r="T115" s="181"/>
      <c r="U115" s="181"/>
      <c r="V115" s="181"/>
      <c r="W115" s="181"/>
      <c r="X115" s="181"/>
      <c r="Y115" s="181"/>
      <c r="Z115" s="181"/>
      <c r="AA115" s="181"/>
      <c r="AB115" s="181"/>
      <c r="AC115" s="181"/>
      <c r="AD115" s="181"/>
      <c r="AE115" s="181"/>
      <c r="AF115" s="181"/>
      <c r="AG115" s="181"/>
      <c r="AH115" s="181"/>
      <c r="AI115" s="181"/>
      <c r="AJ115" s="181"/>
    </row>
    <row r="116" s="32" customFormat="1" spans="1:36">
      <c r="A116" s="91">
        <f>IF(F116&lt;&gt;"",1+MAX($A$2:A115),"")</f>
        <v>89</v>
      </c>
      <c r="B116" s="92"/>
      <c r="C116" s="93"/>
      <c r="D116" s="66" t="s">
        <v>145</v>
      </c>
      <c r="E116" s="69">
        <v>1</v>
      </c>
      <c r="F116" s="68">
        <v>0</v>
      </c>
      <c r="G116" s="63">
        <f t="shared" si="84"/>
        <v>1</v>
      </c>
      <c r="H116" s="67" t="s">
        <v>73</v>
      </c>
      <c r="I116" s="140">
        <v>0.25</v>
      </c>
      <c r="J116" s="141">
        <f t="shared" si="91"/>
        <v>0.25</v>
      </c>
      <c r="K116" s="142">
        <f>'LABOR SHEET'!C$3</f>
        <v>128</v>
      </c>
      <c r="L116" s="143">
        <f t="shared" si="92"/>
        <v>32</v>
      </c>
      <c r="M116" s="143">
        <f t="shared" si="93"/>
        <v>32</v>
      </c>
      <c r="N116" s="143">
        <v>18</v>
      </c>
      <c r="O116" s="143">
        <f t="shared" si="94"/>
        <v>18</v>
      </c>
      <c r="P116" s="143">
        <f t="shared" si="95"/>
        <v>50</v>
      </c>
      <c r="Q116" s="178">
        <f t="shared" si="96"/>
        <v>50</v>
      </c>
      <c r="R116" s="181"/>
      <c r="S116" s="181"/>
      <c r="T116" s="181"/>
      <c r="U116" s="181"/>
      <c r="V116" s="181"/>
      <c r="W116" s="181"/>
      <c r="X116" s="181"/>
      <c r="Y116" s="181"/>
      <c r="Z116" s="181"/>
      <c r="AA116" s="181"/>
      <c r="AB116" s="181"/>
      <c r="AC116" s="181"/>
      <c r="AD116" s="181"/>
      <c r="AE116" s="181"/>
      <c r="AF116" s="181"/>
      <c r="AG116" s="181"/>
      <c r="AH116" s="181"/>
      <c r="AI116" s="181"/>
      <c r="AJ116" s="181"/>
    </row>
    <row r="117" s="32" customFormat="1" spans="1:36">
      <c r="A117" s="91">
        <f>IF(F117&lt;&gt;"",1+MAX($A$2:A116),"")</f>
        <v>90</v>
      </c>
      <c r="B117" s="92"/>
      <c r="C117" s="93"/>
      <c r="D117" s="66" t="s">
        <v>146</v>
      </c>
      <c r="E117" s="69">
        <v>1</v>
      </c>
      <c r="F117" s="68">
        <v>0</v>
      </c>
      <c r="G117" s="63">
        <f t="shared" si="84"/>
        <v>1</v>
      </c>
      <c r="H117" s="67" t="s">
        <v>73</v>
      </c>
      <c r="I117" s="140">
        <v>0.3</v>
      </c>
      <c r="J117" s="141">
        <f t="shared" si="91"/>
        <v>0.3</v>
      </c>
      <c r="K117" s="142">
        <f>'LABOR SHEET'!C$3</f>
        <v>128</v>
      </c>
      <c r="L117" s="143">
        <f t="shared" si="92"/>
        <v>38.4</v>
      </c>
      <c r="M117" s="143">
        <f t="shared" si="93"/>
        <v>38.4</v>
      </c>
      <c r="N117" s="143">
        <v>22</v>
      </c>
      <c r="O117" s="143">
        <f t="shared" si="94"/>
        <v>22</v>
      </c>
      <c r="P117" s="143">
        <f t="shared" si="95"/>
        <v>60.4</v>
      </c>
      <c r="Q117" s="178">
        <f t="shared" si="96"/>
        <v>60.4</v>
      </c>
      <c r="R117" s="181"/>
      <c r="S117" s="181"/>
      <c r="T117" s="181"/>
      <c r="U117" s="181"/>
      <c r="V117" s="181"/>
      <c r="W117" s="181"/>
      <c r="X117" s="181"/>
      <c r="Y117" s="181"/>
      <c r="Z117" s="181"/>
      <c r="AA117" s="181"/>
      <c r="AB117" s="181"/>
      <c r="AC117" s="181"/>
      <c r="AD117" s="181"/>
      <c r="AE117" s="181"/>
      <c r="AF117" s="181"/>
      <c r="AG117" s="181"/>
      <c r="AH117" s="181"/>
      <c r="AI117" s="181"/>
      <c r="AJ117" s="181"/>
    </row>
    <row r="118" s="32" customFormat="1" spans="1:36">
      <c r="A118" s="91">
        <f>IF(F118&lt;&gt;"",1+MAX($A$2:A117),"")</f>
        <v>91</v>
      </c>
      <c r="B118" s="92"/>
      <c r="C118" s="93"/>
      <c r="D118" s="66" t="s">
        <v>147</v>
      </c>
      <c r="E118" s="69">
        <v>2</v>
      </c>
      <c r="F118" s="68">
        <v>0</v>
      </c>
      <c r="G118" s="63">
        <f t="shared" si="84"/>
        <v>2</v>
      </c>
      <c r="H118" s="67" t="s">
        <v>73</v>
      </c>
      <c r="I118" s="140">
        <v>0.25</v>
      </c>
      <c r="J118" s="141">
        <f t="shared" si="91"/>
        <v>0.5</v>
      </c>
      <c r="K118" s="142">
        <f>'LABOR SHEET'!C$3</f>
        <v>128</v>
      </c>
      <c r="L118" s="143">
        <f t="shared" si="92"/>
        <v>32</v>
      </c>
      <c r="M118" s="143">
        <f t="shared" si="93"/>
        <v>64</v>
      </c>
      <c r="N118" s="143">
        <v>18</v>
      </c>
      <c r="O118" s="143">
        <f t="shared" si="94"/>
        <v>36</v>
      </c>
      <c r="P118" s="143">
        <f t="shared" si="95"/>
        <v>50</v>
      </c>
      <c r="Q118" s="178">
        <f t="shared" si="96"/>
        <v>100</v>
      </c>
      <c r="R118" s="181"/>
      <c r="S118" s="181"/>
      <c r="T118" s="181"/>
      <c r="U118" s="181"/>
      <c r="V118" s="181"/>
      <c r="W118" s="181"/>
      <c r="X118" s="181"/>
      <c r="Y118" s="181"/>
      <c r="Z118" s="181"/>
      <c r="AA118" s="181"/>
      <c r="AB118" s="181"/>
      <c r="AC118" s="181"/>
      <c r="AD118" s="181"/>
      <c r="AE118" s="181"/>
      <c r="AF118" s="181"/>
      <c r="AG118" s="181"/>
      <c r="AH118" s="181"/>
      <c r="AI118" s="181"/>
      <c r="AJ118" s="181"/>
    </row>
    <row r="119" s="32" customFormat="1" spans="1:36">
      <c r="A119" s="91">
        <f>IF(F119&lt;&gt;"",1+MAX($A$2:A118),"")</f>
        <v>92</v>
      </c>
      <c r="B119" s="92"/>
      <c r="C119" s="93"/>
      <c r="D119" s="66" t="s">
        <v>148</v>
      </c>
      <c r="E119" s="69">
        <v>3</v>
      </c>
      <c r="F119" s="68">
        <v>0</v>
      </c>
      <c r="G119" s="63">
        <f t="shared" si="84"/>
        <v>3</v>
      </c>
      <c r="H119" s="67" t="s">
        <v>73</v>
      </c>
      <c r="I119" s="140">
        <v>0.3</v>
      </c>
      <c r="J119" s="141">
        <f t="shared" ref="J119" si="97">+I119*G119</f>
        <v>0.9</v>
      </c>
      <c r="K119" s="142">
        <f>'LABOR SHEET'!C$3</f>
        <v>128</v>
      </c>
      <c r="L119" s="143">
        <f t="shared" ref="L119" si="98">I119*K119</f>
        <v>38.4</v>
      </c>
      <c r="M119" s="143">
        <f t="shared" ref="M119" si="99">K119*J119</f>
        <v>115.2</v>
      </c>
      <c r="N119" s="143">
        <v>22</v>
      </c>
      <c r="O119" s="143">
        <f t="shared" ref="O119" si="100">N119*G119</f>
        <v>66</v>
      </c>
      <c r="P119" s="143">
        <f t="shared" ref="P119" si="101">(I119*K119)+N119</f>
        <v>60.4</v>
      </c>
      <c r="Q119" s="178">
        <f t="shared" ref="Q119" si="102">P119*G119</f>
        <v>181.2</v>
      </c>
      <c r="R119" s="181"/>
      <c r="S119" s="181"/>
      <c r="T119" s="181"/>
      <c r="U119" s="181"/>
      <c r="V119" s="181"/>
      <c r="W119" s="181"/>
      <c r="X119" s="181"/>
      <c r="Y119" s="181"/>
      <c r="Z119" s="181"/>
      <c r="AA119" s="181"/>
      <c r="AB119" s="181"/>
      <c r="AC119" s="181"/>
      <c r="AD119" s="181"/>
      <c r="AE119" s="181"/>
      <c r="AF119" s="181"/>
      <c r="AG119" s="181"/>
      <c r="AH119" s="181"/>
      <c r="AI119" s="181"/>
      <c r="AJ119" s="181"/>
    </row>
    <row r="120" s="32" customFormat="1" spans="1:36">
      <c r="A120" s="91" t="str">
        <f>IF(F120&lt;&gt;"",1+MAX($A$2:A119),"")</f>
        <v/>
      </c>
      <c r="B120" s="92"/>
      <c r="C120" s="93"/>
      <c r="D120" s="66"/>
      <c r="E120" s="69"/>
      <c r="F120" s="94"/>
      <c r="G120" s="95"/>
      <c r="H120" s="67"/>
      <c r="I120" s="140"/>
      <c r="J120" s="141"/>
      <c r="K120" s="142"/>
      <c r="L120" s="143"/>
      <c r="M120" s="143"/>
      <c r="N120" s="143"/>
      <c r="O120" s="143"/>
      <c r="P120" s="143"/>
      <c r="Q120" s="179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81"/>
      <c r="AJ120" s="181"/>
    </row>
    <row r="121" s="32" customFormat="1" spans="1:36">
      <c r="A121" s="91" t="str">
        <f>IF(F121&lt;&gt;"",1+MAX($A$2:A120),"")</f>
        <v/>
      </c>
      <c r="B121" s="92"/>
      <c r="C121" s="93"/>
      <c r="D121" s="87" t="s">
        <v>149</v>
      </c>
      <c r="E121" s="69"/>
      <c r="F121" s="94"/>
      <c r="G121" s="95"/>
      <c r="H121" s="67"/>
      <c r="I121" s="140"/>
      <c r="J121" s="141"/>
      <c r="K121" s="142"/>
      <c r="L121" s="143"/>
      <c r="M121" s="143"/>
      <c r="N121" s="143"/>
      <c r="O121" s="143"/>
      <c r="P121" s="143"/>
      <c r="Q121" s="179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81"/>
      <c r="AJ121" s="181"/>
    </row>
    <row r="122" s="32" customFormat="1" spans="1:36">
      <c r="A122" s="91">
        <f>IF(F122&lt;&gt;"",1+MAX($A$2:A121),"")</f>
        <v>93</v>
      </c>
      <c r="B122" s="92"/>
      <c r="C122" s="93"/>
      <c r="D122" s="66" t="s">
        <v>150</v>
      </c>
      <c r="E122" s="69">
        <v>193.31</v>
      </c>
      <c r="F122" s="68">
        <v>0</v>
      </c>
      <c r="G122" s="63">
        <f t="shared" ref="G122:G127" si="103">(F122*E122)+E122</f>
        <v>193.31</v>
      </c>
      <c r="H122" s="67" t="s">
        <v>56</v>
      </c>
      <c r="I122" s="140">
        <v>1.1</v>
      </c>
      <c r="J122" s="141">
        <f t="shared" ref="J122:J127" si="104">+I122*G122</f>
        <v>212.641</v>
      </c>
      <c r="K122" s="142">
        <f>'LABOR SHEET'!C$3</f>
        <v>128</v>
      </c>
      <c r="L122" s="143">
        <f t="shared" ref="L122:L127" si="105">I122*K122</f>
        <v>140.8</v>
      </c>
      <c r="M122" s="143">
        <f t="shared" ref="M122:M127" si="106">K122*J122</f>
        <v>27218.048</v>
      </c>
      <c r="N122" s="143">
        <v>163</v>
      </c>
      <c r="O122" s="143">
        <f t="shared" ref="O122:O127" si="107">N122*G122</f>
        <v>31509.53</v>
      </c>
      <c r="P122" s="143">
        <f t="shared" ref="P122:P127" si="108">(I122*K122)+N122</f>
        <v>303.8</v>
      </c>
      <c r="Q122" s="178">
        <f t="shared" ref="Q122:Q127" si="109">P122*G122</f>
        <v>58727.578</v>
      </c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81"/>
      <c r="AJ122" s="181"/>
    </row>
    <row r="123" s="32" customFormat="1" spans="1:36">
      <c r="A123" s="91">
        <f>IF(F123&lt;&gt;"",1+MAX($A$2:A122),"")</f>
        <v>94</v>
      </c>
      <c r="B123" s="92"/>
      <c r="C123" s="93"/>
      <c r="D123" s="66" t="s">
        <v>151</v>
      </c>
      <c r="E123" s="69">
        <v>235.88</v>
      </c>
      <c r="F123" s="68">
        <v>0</v>
      </c>
      <c r="G123" s="63">
        <f t="shared" si="103"/>
        <v>235.88</v>
      </c>
      <c r="H123" s="67" t="s">
        <v>56</v>
      </c>
      <c r="I123" s="140">
        <v>1.5</v>
      </c>
      <c r="J123" s="141">
        <f t="shared" si="104"/>
        <v>353.82</v>
      </c>
      <c r="K123" s="142">
        <f>'LABOR SHEET'!C$3</f>
        <v>128</v>
      </c>
      <c r="L123" s="143">
        <f t="shared" si="105"/>
        <v>192</v>
      </c>
      <c r="M123" s="143">
        <f t="shared" si="106"/>
        <v>45288.96</v>
      </c>
      <c r="N123" s="143">
        <v>250</v>
      </c>
      <c r="O123" s="143">
        <f t="shared" si="107"/>
        <v>58970</v>
      </c>
      <c r="P123" s="143">
        <f t="shared" si="108"/>
        <v>442</v>
      </c>
      <c r="Q123" s="178">
        <f t="shared" si="109"/>
        <v>104258.96</v>
      </c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81"/>
      <c r="AJ123" s="181"/>
    </row>
    <row r="124" s="32" customFormat="1" spans="1:36">
      <c r="A124" s="91">
        <f>IF(F124&lt;&gt;"",1+MAX($A$2:A123),"")</f>
        <v>95</v>
      </c>
      <c r="B124" s="92"/>
      <c r="C124" s="93"/>
      <c r="D124" s="66" t="s">
        <v>152</v>
      </c>
      <c r="E124" s="69">
        <v>1</v>
      </c>
      <c r="F124" s="68">
        <v>0</v>
      </c>
      <c r="G124" s="63">
        <f t="shared" si="103"/>
        <v>1</v>
      </c>
      <c r="H124" s="67" t="s">
        <v>73</v>
      </c>
      <c r="I124" s="140">
        <v>4</v>
      </c>
      <c r="J124" s="141">
        <f t="shared" si="104"/>
        <v>4</v>
      </c>
      <c r="K124" s="142">
        <f>'LABOR SHEET'!C$3</f>
        <v>128</v>
      </c>
      <c r="L124" s="143">
        <f t="shared" si="105"/>
        <v>512</v>
      </c>
      <c r="M124" s="143">
        <f t="shared" si="106"/>
        <v>512</v>
      </c>
      <c r="N124" s="143">
        <v>822.85</v>
      </c>
      <c r="O124" s="143">
        <f t="shared" si="107"/>
        <v>822.85</v>
      </c>
      <c r="P124" s="143">
        <f t="shared" si="108"/>
        <v>1334.85</v>
      </c>
      <c r="Q124" s="178">
        <f t="shared" si="109"/>
        <v>1334.85</v>
      </c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81"/>
      <c r="AJ124" s="181"/>
    </row>
    <row r="125" s="32" customFormat="1" spans="1:36">
      <c r="A125" s="91">
        <f>IF(F125&lt;&gt;"",1+MAX($A$2:A124),"")</f>
        <v>96</v>
      </c>
      <c r="B125" s="92"/>
      <c r="C125" s="93"/>
      <c r="D125" s="66" t="s">
        <v>153</v>
      </c>
      <c r="E125" s="69">
        <v>1</v>
      </c>
      <c r="F125" s="68">
        <v>0</v>
      </c>
      <c r="G125" s="63">
        <f t="shared" si="103"/>
        <v>1</v>
      </c>
      <c r="H125" s="67" t="s">
        <v>73</v>
      </c>
      <c r="I125" s="140">
        <v>3.5</v>
      </c>
      <c r="J125" s="141">
        <f t="shared" si="104"/>
        <v>3.5</v>
      </c>
      <c r="K125" s="142">
        <f>'LABOR SHEET'!C$3</f>
        <v>128</v>
      </c>
      <c r="L125" s="143">
        <f t="shared" si="105"/>
        <v>448</v>
      </c>
      <c r="M125" s="143">
        <f t="shared" si="106"/>
        <v>448</v>
      </c>
      <c r="N125" s="143">
        <v>606</v>
      </c>
      <c r="O125" s="143">
        <f t="shared" si="107"/>
        <v>606</v>
      </c>
      <c r="P125" s="143">
        <f t="shared" si="108"/>
        <v>1054</v>
      </c>
      <c r="Q125" s="178">
        <f t="shared" si="109"/>
        <v>1054</v>
      </c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81"/>
      <c r="AJ125" s="181"/>
    </row>
    <row r="126" s="32" customFormat="1" spans="1:36">
      <c r="A126" s="91">
        <f>IF(F126&lt;&gt;"",1+MAX($A$2:A125),"")</f>
        <v>97</v>
      </c>
      <c r="B126" s="92"/>
      <c r="C126" s="93"/>
      <c r="D126" s="66" t="s">
        <v>154</v>
      </c>
      <c r="E126" s="69">
        <v>2859.26</v>
      </c>
      <c r="F126" s="68">
        <v>0</v>
      </c>
      <c r="G126" s="63">
        <f t="shared" si="103"/>
        <v>2859.26</v>
      </c>
      <c r="H126" s="67" t="s">
        <v>56</v>
      </c>
      <c r="I126" s="140">
        <v>0.045</v>
      </c>
      <c r="J126" s="141">
        <f t="shared" si="104"/>
        <v>128.6667</v>
      </c>
      <c r="K126" s="142">
        <f>'LABOR SHEET'!C$3</f>
        <v>128</v>
      </c>
      <c r="L126" s="143">
        <f t="shared" si="105"/>
        <v>5.76</v>
      </c>
      <c r="M126" s="143">
        <f t="shared" si="106"/>
        <v>16469.3376</v>
      </c>
      <c r="N126" s="143">
        <v>1.2</v>
      </c>
      <c r="O126" s="143">
        <f t="shared" si="107"/>
        <v>3431.112</v>
      </c>
      <c r="P126" s="143">
        <f t="shared" si="108"/>
        <v>6.96</v>
      </c>
      <c r="Q126" s="178">
        <f t="shared" si="109"/>
        <v>19900.4496</v>
      </c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81"/>
      <c r="AJ126" s="181"/>
    </row>
    <row r="127" s="32" customFormat="1" spans="1:36">
      <c r="A127" s="91">
        <f>IF(F127&lt;&gt;"",1+MAX($A$2:A126),"")</f>
        <v>98</v>
      </c>
      <c r="B127" s="92"/>
      <c r="C127" s="93"/>
      <c r="D127" s="66" t="s">
        <v>155</v>
      </c>
      <c r="E127" s="69">
        <v>429.18</v>
      </c>
      <c r="F127" s="68">
        <v>0</v>
      </c>
      <c r="G127" s="63">
        <f t="shared" si="103"/>
        <v>429.18</v>
      </c>
      <c r="H127" s="67" t="s">
        <v>56</v>
      </c>
      <c r="I127" s="140">
        <v>0.02</v>
      </c>
      <c r="J127" s="141">
        <f t="shared" si="104"/>
        <v>8.5836</v>
      </c>
      <c r="K127" s="142">
        <f>'LABOR SHEET'!C$3</f>
        <v>128</v>
      </c>
      <c r="L127" s="143">
        <f t="shared" si="105"/>
        <v>2.56</v>
      </c>
      <c r="M127" s="143">
        <f t="shared" si="106"/>
        <v>1098.7008</v>
      </c>
      <c r="N127" s="143">
        <v>1.5</v>
      </c>
      <c r="O127" s="143">
        <f t="shared" si="107"/>
        <v>643.77</v>
      </c>
      <c r="P127" s="143">
        <f t="shared" si="108"/>
        <v>4.06</v>
      </c>
      <c r="Q127" s="178">
        <f t="shared" si="109"/>
        <v>1742.4708</v>
      </c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81"/>
      <c r="AJ127" s="181"/>
    </row>
    <row r="128" s="32" customFormat="1" spans="1:36">
      <c r="A128" s="91" t="str">
        <f>IF(F128&lt;&gt;"",1+MAX($A$2:A127),"")</f>
        <v/>
      </c>
      <c r="B128" s="92"/>
      <c r="C128" s="93"/>
      <c r="D128" s="66"/>
      <c r="E128" s="69"/>
      <c r="F128" s="94"/>
      <c r="G128" s="95"/>
      <c r="H128" s="67"/>
      <c r="I128" s="140"/>
      <c r="J128" s="141"/>
      <c r="K128" s="142"/>
      <c r="L128" s="143"/>
      <c r="M128" s="143"/>
      <c r="N128" s="143"/>
      <c r="O128" s="143"/>
      <c r="P128" s="143"/>
      <c r="Q128" s="179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81"/>
      <c r="AJ128" s="181"/>
    </row>
    <row r="129" s="32" customFormat="1" spans="1:36">
      <c r="A129" s="91" t="str">
        <f>IF(F129&lt;&gt;"",1+MAX($A$2:A128),"")</f>
        <v/>
      </c>
      <c r="B129" s="92"/>
      <c r="C129" s="93"/>
      <c r="D129" s="57" t="s">
        <v>156</v>
      </c>
      <c r="E129" s="69"/>
      <c r="F129" s="94"/>
      <c r="G129" s="95"/>
      <c r="H129" s="67"/>
      <c r="I129" s="140"/>
      <c r="J129" s="141"/>
      <c r="K129" s="142"/>
      <c r="L129" s="143"/>
      <c r="M129" s="143"/>
      <c r="N129" s="143"/>
      <c r="O129" s="143"/>
      <c r="P129" s="143"/>
      <c r="Q129" s="179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81"/>
      <c r="AJ129" s="181"/>
    </row>
    <row r="130" s="32" customFormat="1" spans="1:36">
      <c r="A130" s="91" t="str">
        <f>IF(F130&lt;&gt;"",1+MAX($A$2:A129),"")</f>
        <v/>
      </c>
      <c r="B130" s="92"/>
      <c r="C130" s="93"/>
      <c r="D130" s="87" t="s">
        <v>157</v>
      </c>
      <c r="E130" s="69"/>
      <c r="F130" s="94"/>
      <c r="G130" s="95"/>
      <c r="H130" s="67"/>
      <c r="I130" s="140"/>
      <c r="J130" s="141"/>
      <c r="K130" s="142"/>
      <c r="L130" s="143"/>
      <c r="M130" s="143"/>
      <c r="N130" s="143"/>
      <c r="O130" s="143"/>
      <c r="P130" s="143"/>
      <c r="Q130" s="179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81"/>
      <c r="AJ130" s="181"/>
    </row>
    <row r="131" s="32" customFormat="1" spans="1:36">
      <c r="A131" s="91" t="str">
        <f>IF(F131&lt;&gt;"",1+MAX($A$2:A130),"")</f>
        <v/>
      </c>
      <c r="B131" s="92"/>
      <c r="C131" s="93"/>
      <c r="D131" s="96" t="s">
        <v>54</v>
      </c>
      <c r="E131" s="69"/>
      <c r="F131" s="94"/>
      <c r="G131" s="95"/>
      <c r="H131" s="67"/>
      <c r="I131" s="140"/>
      <c r="J131" s="141"/>
      <c r="K131" s="142"/>
      <c r="L131" s="143"/>
      <c r="M131" s="143"/>
      <c r="N131" s="143"/>
      <c r="O131" s="143"/>
      <c r="P131" s="143"/>
      <c r="Q131" s="179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81"/>
      <c r="AJ131" s="181"/>
    </row>
    <row r="132" s="32" customFormat="1" spans="1:36">
      <c r="A132" s="91">
        <f>IF(F132&lt;&gt;"",1+MAX($A$2:A131),"")</f>
        <v>99</v>
      </c>
      <c r="B132" s="92"/>
      <c r="C132" s="93"/>
      <c r="D132" s="66" t="s">
        <v>158</v>
      </c>
      <c r="E132" s="69">
        <v>2332.85</v>
      </c>
      <c r="F132" s="68">
        <v>0.05</v>
      </c>
      <c r="G132" s="63">
        <f t="shared" ref="G132:G139" si="110">(F132*E132)+E132</f>
        <v>2449.4925</v>
      </c>
      <c r="H132" s="67" t="s">
        <v>56</v>
      </c>
      <c r="I132" s="140">
        <v>0.05</v>
      </c>
      <c r="J132" s="141">
        <f t="shared" ref="J132" si="111">+I132*G132</f>
        <v>122.474625</v>
      </c>
      <c r="K132" s="142">
        <f>'LABOR SHEET'!C$3</f>
        <v>128</v>
      </c>
      <c r="L132" s="143">
        <f t="shared" ref="L132" si="112">I132*K132</f>
        <v>6.4</v>
      </c>
      <c r="M132" s="143">
        <f t="shared" ref="M132" si="113">K132*J132</f>
        <v>15676.752</v>
      </c>
      <c r="N132" s="143">
        <f>11.46/10+0.25</f>
        <v>1.396</v>
      </c>
      <c r="O132" s="143">
        <f t="shared" ref="O132" si="114">N132*G132</f>
        <v>3419.49153</v>
      </c>
      <c r="P132" s="143">
        <f t="shared" ref="P132" si="115">(I132*K132)+N132</f>
        <v>7.796</v>
      </c>
      <c r="Q132" s="178">
        <f t="shared" ref="Q132" si="116">P132*G132</f>
        <v>19096.24353</v>
      </c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81"/>
      <c r="AJ132" s="181"/>
    </row>
    <row r="133" s="32" customFormat="1" spans="1:36">
      <c r="A133" s="91">
        <f>IF(F133&lt;&gt;"",1+MAX($A$2:A132),"")</f>
        <v>100</v>
      </c>
      <c r="B133" s="92"/>
      <c r="C133" s="93"/>
      <c r="D133" s="66" t="s">
        <v>159</v>
      </c>
      <c r="E133" s="69">
        <v>4559.06</v>
      </c>
      <c r="F133" s="68">
        <v>0.05</v>
      </c>
      <c r="G133" s="63">
        <f t="shared" si="110"/>
        <v>4787.013</v>
      </c>
      <c r="H133" s="67" t="s">
        <v>56</v>
      </c>
      <c r="I133" s="140">
        <v>0.035</v>
      </c>
      <c r="J133" s="141">
        <f t="shared" ref="J133" si="117">+I133*G133</f>
        <v>167.545455</v>
      </c>
      <c r="K133" s="142">
        <f>'LABOR SHEET'!C$3</f>
        <v>128</v>
      </c>
      <c r="L133" s="143">
        <f t="shared" ref="L133" si="118">I133*K133</f>
        <v>4.48</v>
      </c>
      <c r="M133" s="143">
        <f t="shared" ref="M133" si="119">K133*J133</f>
        <v>21445.81824</v>
      </c>
      <c r="N133" s="143">
        <f>9.68/10+0.35</f>
        <v>1.318</v>
      </c>
      <c r="O133" s="143">
        <f t="shared" ref="O133" si="120">N133*G133</f>
        <v>6309.283134</v>
      </c>
      <c r="P133" s="143">
        <f t="shared" ref="P133" si="121">(I133*K133)+N133</f>
        <v>5.798</v>
      </c>
      <c r="Q133" s="178">
        <f t="shared" ref="Q133" si="122">P133*G133</f>
        <v>27755.101374</v>
      </c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81"/>
      <c r="AJ133" s="181"/>
    </row>
    <row r="134" s="32" customFormat="1" spans="1:36">
      <c r="A134" s="91" t="str">
        <f>IF(F134&lt;&gt;"",1+MAX($A$2:A133),"")</f>
        <v/>
      </c>
      <c r="B134" s="92"/>
      <c r="C134" s="93"/>
      <c r="D134" s="66"/>
      <c r="E134" s="69"/>
      <c r="F134" s="94"/>
      <c r="G134" s="95"/>
      <c r="H134" s="67"/>
      <c r="I134" s="140"/>
      <c r="J134" s="141"/>
      <c r="K134" s="142"/>
      <c r="L134" s="143"/>
      <c r="M134" s="143"/>
      <c r="N134" s="143"/>
      <c r="O134" s="143"/>
      <c r="P134" s="143"/>
      <c r="Q134" s="179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81"/>
      <c r="AJ134" s="181"/>
    </row>
    <row r="135" s="32" customFormat="1" spans="1:36">
      <c r="A135" s="91" t="str">
        <f>IF(F135&lt;&gt;"",1+MAX($A$2:A134),"")</f>
        <v/>
      </c>
      <c r="B135" s="92"/>
      <c r="C135" s="93"/>
      <c r="D135" s="96" t="s">
        <v>62</v>
      </c>
      <c r="E135" s="69"/>
      <c r="F135" s="94"/>
      <c r="G135" s="95"/>
      <c r="H135" s="67"/>
      <c r="I135" s="140"/>
      <c r="J135" s="141"/>
      <c r="K135" s="142"/>
      <c r="L135" s="143"/>
      <c r="M135" s="143"/>
      <c r="N135" s="143"/>
      <c r="O135" s="143"/>
      <c r="P135" s="143"/>
      <c r="Q135" s="179"/>
      <c r="R135" s="181"/>
      <c r="S135" s="181"/>
      <c r="T135" s="181"/>
      <c r="U135" s="181"/>
      <c r="V135" s="181"/>
      <c r="W135" s="181"/>
      <c r="X135" s="181"/>
      <c r="Y135" s="181"/>
      <c r="Z135" s="181"/>
      <c r="AA135" s="181"/>
      <c r="AB135" s="181"/>
      <c r="AC135" s="181"/>
      <c r="AD135" s="181"/>
      <c r="AE135" s="181"/>
      <c r="AF135" s="181"/>
      <c r="AG135" s="181"/>
      <c r="AH135" s="181"/>
      <c r="AI135" s="181"/>
      <c r="AJ135" s="181"/>
    </row>
    <row r="136" s="32" customFormat="1" spans="1:36">
      <c r="A136" s="91">
        <f>IF(F136&lt;&gt;"",1+MAX($A$2:A135),"")</f>
        <v>101</v>
      </c>
      <c r="B136" s="92"/>
      <c r="C136" s="93"/>
      <c r="D136" s="66" t="s">
        <v>68</v>
      </c>
      <c r="E136" s="69">
        <v>3672.22</v>
      </c>
      <c r="F136" s="68">
        <v>0.05</v>
      </c>
      <c r="G136" s="63">
        <f t="shared" si="110"/>
        <v>3855.831</v>
      </c>
      <c r="H136" s="67" t="s">
        <v>56</v>
      </c>
      <c r="I136" s="140">
        <v>0.012</v>
      </c>
      <c r="J136" s="141">
        <f t="shared" ref="J136:J139" si="123">+I136*G136</f>
        <v>46.269972</v>
      </c>
      <c r="K136" s="142">
        <f>'LABOR SHEET'!C$3</f>
        <v>128</v>
      </c>
      <c r="L136" s="143">
        <f t="shared" ref="L136:L139" si="124">I136*K136</f>
        <v>1.536</v>
      </c>
      <c r="M136" s="143">
        <f t="shared" ref="M136:M139" si="125">K136*J136</f>
        <v>5922.556416</v>
      </c>
      <c r="N136" s="143">
        <v>0.82</v>
      </c>
      <c r="O136" s="143">
        <f t="shared" ref="O136:O139" si="126">N136*G136</f>
        <v>3161.78142</v>
      </c>
      <c r="P136" s="143">
        <f t="shared" ref="P136:P139" si="127">(I136*K136)+N136</f>
        <v>2.356</v>
      </c>
      <c r="Q136" s="178">
        <f t="shared" ref="Q136:Q139" si="128">P136*G136</f>
        <v>9084.337836</v>
      </c>
      <c r="R136" s="181"/>
      <c r="S136" s="181"/>
      <c r="T136" s="181"/>
      <c r="U136" s="181"/>
      <c r="V136" s="181"/>
      <c r="W136" s="181"/>
      <c r="X136" s="181"/>
      <c r="Y136" s="181"/>
      <c r="Z136" s="181"/>
      <c r="AA136" s="181"/>
      <c r="AB136" s="181"/>
      <c r="AC136" s="181"/>
      <c r="AD136" s="181"/>
      <c r="AE136" s="181"/>
      <c r="AF136" s="181"/>
      <c r="AG136" s="181"/>
      <c r="AH136" s="181"/>
      <c r="AI136" s="181"/>
      <c r="AJ136" s="181"/>
    </row>
    <row r="137" s="32" customFormat="1" spans="1:36">
      <c r="A137" s="91">
        <f>IF(F137&lt;&gt;"",1+MAX($A$2:A136),"")</f>
        <v>102</v>
      </c>
      <c r="B137" s="92"/>
      <c r="C137" s="93"/>
      <c r="D137" s="66" t="s">
        <v>160</v>
      </c>
      <c r="E137" s="69">
        <v>8829.35</v>
      </c>
      <c r="F137" s="68">
        <v>0.05</v>
      </c>
      <c r="G137" s="63">
        <f t="shared" si="110"/>
        <v>9270.8175</v>
      </c>
      <c r="H137" s="67" t="s">
        <v>56</v>
      </c>
      <c r="I137" s="140">
        <v>0.01</v>
      </c>
      <c r="J137" s="141">
        <f t="shared" si="123"/>
        <v>92.708175</v>
      </c>
      <c r="K137" s="142">
        <f>'LABOR SHEET'!C$3</f>
        <v>128</v>
      </c>
      <c r="L137" s="143">
        <f t="shared" si="124"/>
        <v>1.28</v>
      </c>
      <c r="M137" s="143">
        <f t="shared" si="125"/>
        <v>11866.6464</v>
      </c>
      <c r="N137" s="143">
        <v>0.38</v>
      </c>
      <c r="O137" s="143">
        <f t="shared" si="126"/>
        <v>3522.91065</v>
      </c>
      <c r="P137" s="143">
        <f t="shared" si="127"/>
        <v>1.66</v>
      </c>
      <c r="Q137" s="178">
        <f t="shared" si="128"/>
        <v>15389.55705</v>
      </c>
      <c r="R137" s="181"/>
      <c r="S137" s="181"/>
      <c r="T137" s="181"/>
      <c r="U137" s="181"/>
      <c r="V137" s="181"/>
      <c r="W137" s="181"/>
      <c r="X137" s="181"/>
      <c r="Y137" s="181"/>
      <c r="Z137" s="181"/>
      <c r="AA137" s="181"/>
      <c r="AB137" s="181"/>
      <c r="AC137" s="181"/>
      <c r="AD137" s="181"/>
      <c r="AE137" s="181"/>
      <c r="AF137" s="181"/>
      <c r="AG137" s="181"/>
      <c r="AH137" s="181"/>
      <c r="AI137" s="181"/>
      <c r="AJ137" s="181"/>
    </row>
    <row r="138" s="32" customFormat="1" spans="1:36">
      <c r="A138" s="91">
        <f>IF(F138&lt;&gt;"",1+MAX($A$2:A137),"")</f>
        <v>103</v>
      </c>
      <c r="B138" s="92"/>
      <c r="C138" s="93"/>
      <c r="D138" s="66" t="s">
        <v>161</v>
      </c>
      <c r="E138" s="69">
        <v>8842.35</v>
      </c>
      <c r="F138" s="68">
        <v>0.05</v>
      </c>
      <c r="G138" s="63">
        <f t="shared" si="110"/>
        <v>9284.4675</v>
      </c>
      <c r="H138" s="67" t="s">
        <v>56</v>
      </c>
      <c r="I138" s="140">
        <v>0.009</v>
      </c>
      <c r="J138" s="141">
        <f t="shared" si="123"/>
        <v>83.5602075</v>
      </c>
      <c r="K138" s="142">
        <f>'LABOR SHEET'!C$3</f>
        <v>128</v>
      </c>
      <c r="L138" s="143">
        <f t="shared" si="124"/>
        <v>1.152</v>
      </c>
      <c r="M138" s="143">
        <f t="shared" si="125"/>
        <v>10695.70656</v>
      </c>
      <c r="N138" s="143">
        <v>0.28</v>
      </c>
      <c r="O138" s="143">
        <f t="shared" si="126"/>
        <v>2599.6509</v>
      </c>
      <c r="P138" s="143">
        <f t="shared" si="127"/>
        <v>1.432</v>
      </c>
      <c r="Q138" s="178">
        <f t="shared" si="128"/>
        <v>13295.35746</v>
      </c>
      <c r="R138" s="181"/>
      <c r="S138" s="181"/>
      <c r="T138" s="181"/>
      <c r="U138" s="181"/>
      <c r="V138" s="181"/>
      <c r="W138" s="181"/>
      <c r="X138" s="181"/>
      <c r="Y138" s="181"/>
      <c r="Z138" s="181"/>
      <c r="AA138" s="181"/>
      <c r="AB138" s="181"/>
      <c r="AC138" s="181"/>
      <c r="AD138" s="181"/>
      <c r="AE138" s="181"/>
      <c r="AF138" s="181"/>
      <c r="AG138" s="181"/>
      <c r="AH138" s="181"/>
      <c r="AI138" s="181"/>
      <c r="AJ138" s="181"/>
    </row>
    <row r="139" s="32" customFormat="1" spans="1:36">
      <c r="A139" s="91">
        <f>IF(F139&lt;&gt;"",1+MAX($A$2:A138),"")</f>
        <v>104</v>
      </c>
      <c r="B139" s="92"/>
      <c r="C139" s="93"/>
      <c r="D139" s="66" t="s">
        <v>162</v>
      </c>
      <c r="E139" s="69">
        <v>2295.16</v>
      </c>
      <c r="F139" s="68">
        <v>0.05</v>
      </c>
      <c r="G139" s="63">
        <f t="shared" si="110"/>
        <v>2409.918</v>
      </c>
      <c r="H139" s="67" t="s">
        <v>56</v>
      </c>
      <c r="I139" s="140">
        <v>0.008</v>
      </c>
      <c r="J139" s="141">
        <f t="shared" si="123"/>
        <v>19.279344</v>
      </c>
      <c r="K139" s="142">
        <f>'LABOR SHEET'!C$3</f>
        <v>128</v>
      </c>
      <c r="L139" s="143">
        <f t="shared" si="124"/>
        <v>1.024</v>
      </c>
      <c r="M139" s="143">
        <f t="shared" si="125"/>
        <v>2467.756032</v>
      </c>
      <c r="N139" s="143">
        <f>90/500</f>
        <v>0.18</v>
      </c>
      <c r="O139" s="143">
        <f t="shared" si="126"/>
        <v>433.78524</v>
      </c>
      <c r="P139" s="143">
        <f t="shared" si="127"/>
        <v>1.204</v>
      </c>
      <c r="Q139" s="178">
        <f t="shared" si="128"/>
        <v>2901.541272</v>
      </c>
      <c r="R139" s="181"/>
      <c r="S139" s="181"/>
      <c r="T139" s="181"/>
      <c r="U139" s="181"/>
      <c r="V139" s="181"/>
      <c r="W139" s="181"/>
      <c r="X139" s="181"/>
      <c r="Y139" s="181"/>
      <c r="Z139" s="181"/>
      <c r="AA139" s="181"/>
      <c r="AB139" s="181"/>
      <c r="AC139" s="181"/>
      <c r="AD139" s="181"/>
      <c r="AE139" s="181"/>
      <c r="AF139" s="181"/>
      <c r="AG139" s="181"/>
      <c r="AH139" s="181"/>
      <c r="AI139" s="181"/>
      <c r="AJ139" s="181"/>
    </row>
    <row r="140" s="32" customFormat="1" spans="1:36">
      <c r="A140" s="91" t="str">
        <f>IF(F140&lt;&gt;"",1+MAX($A$2:A139),"")</f>
        <v/>
      </c>
      <c r="B140" s="92"/>
      <c r="C140" s="93"/>
      <c r="D140" s="66"/>
      <c r="E140" s="69"/>
      <c r="F140" s="94"/>
      <c r="G140" s="95"/>
      <c r="H140" s="67"/>
      <c r="I140" s="140"/>
      <c r="J140" s="141"/>
      <c r="K140" s="142"/>
      <c r="L140" s="143"/>
      <c r="M140" s="143"/>
      <c r="N140" s="143"/>
      <c r="O140" s="143"/>
      <c r="P140" s="143"/>
      <c r="Q140" s="179"/>
      <c r="R140" s="181"/>
      <c r="S140" s="181"/>
      <c r="T140" s="181"/>
      <c r="U140" s="181"/>
      <c r="V140" s="181"/>
      <c r="W140" s="181"/>
      <c r="X140" s="181"/>
      <c r="Y140" s="181"/>
      <c r="Z140" s="181"/>
      <c r="AA140" s="181"/>
      <c r="AB140" s="181"/>
      <c r="AC140" s="181"/>
      <c r="AD140" s="181"/>
      <c r="AE140" s="181"/>
      <c r="AF140" s="181"/>
      <c r="AG140" s="181"/>
      <c r="AH140" s="181"/>
      <c r="AI140" s="181"/>
      <c r="AJ140" s="181"/>
    </row>
    <row r="141" s="32" customFormat="1" spans="1:36">
      <c r="A141" s="91" t="str">
        <f>IF(F141&lt;&gt;"",1+MAX($A$2:A140),"")</f>
        <v/>
      </c>
      <c r="B141" s="92"/>
      <c r="C141" s="93"/>
      <c r="D141" s="87" t="s">
        <v>163</v>
      </c>
      <c r="E141" s="69"/>
      <c r="F141" s="94"/>
      <c r="G141" s="95"/>
      <c r="H141" s="67"/>
      <c r="I141" s="140"/>
      <c r="J141" s="141"/>
      <c r="K141" s="142"/>
      <c r="L141" s="143"/>
      <c r="M141" s="143"/>
      <c r="N141" s="143"/>
      <c r="O141" s="143"/>
      <c r="P141" s="143"/>
      <c r="Q141" s="179"/>
      <c r="R141" s="181"/>
      <c r="S141" s="181"/>
      <c r="T141" s="181"/>
      <c r="U141" s="181"/>
      <c r="V141" s="181"/>
      <c r="W141" s="181"/>
      <c r="X141" s="181"/>
      <c r="Y141" s="181"/>
      <c r="Z141" s="181"/>
      <c r="AA141" s="181"/>
      <c r="AB141" s="181"/>
      <c r="AC141" s="181"/>
      <c r="AD141" s="181"/>
      <c r="AE141" s="181"/>
      <c r="AF141" s="181"/>
      <c r="AG141" s="181"/>
      <c r="AH141" s="181"/>
      <c r="AI141" s="181"/>
      <c r="AJ141" s="181"/>
    </row>
    <row r="142" s="32" customFormat="1" spans="1:36">
      <c r="A142" s="91" t="str">
        <f>IF(F142&lt;&gt;"",1+MAX($A$2:A141),"")</f>
        <v/>
      </c>
      <c r="B142" s="92"/>
      <c r="C142" s="93"/>
      <c r="D142" s="96" t="s">
        <v>54</v>
      </c>
      <c r="E142" s="69"/>
      <c r="F142" s="94"/>
      <c r="G142" s="95"/>
      <c r="H142" s="67"/>
      <c r="I142" s="140"/>
      <c r="J142" s="141"/>
      <c r="K142" s="142"/>
      <c r="L142" s="143"/>
      <c r="M142" s="143"/>
      <c r="N142" s="143"/>
      <c r="O142" s="143"/>
      <c r="P142" s="143"/>
      <c r="Q142" s="179"/>
      <c r="R142" s="181"/>
      <c r="S142" s="181"/>
      <c r="T142" s="181"/>
      <c r="U142" s="181"/>
      <c r="V142" s="181"/>
      <c r="W142" s="181"/>
      <c r="X142" s="181"/>
      <c r="Y142" s="181"/>
      <c r="Z142" s="181"/>
      <c r="AA142" s="181"/>
      <c r="AB142" s="181"/>
      <c r="AC142" s="181"/>
      <c r="AD142" s="181"/>
      <c r="AE142" s="181"/>
      <c r="AF142" s="181"/>
      <c r="AG142" s="181"/>
      <c r="AH142" s="181"/>
      <c r="AI142" s="181"/>
      <c r="AJ142" s="181"/>
    </row>
    <row r="143" s="32" customFormat="1" spans="1:36">
      <c r="A143" s="91">
        <f>IF(F143&lt;&gt;"",1+MAX($A$2:A142),"")</f>
        <v>105</v>
      </c>
      <c r="B143" s="92"/>
      <c r="C143" s="93"/>
      <c r="D143" s="66" t="s">
        <v>164</v>
      </c>
      <c r="E143" s="69">
        <v>323.13</v>
      </c>
      <c r="F143" s="68">
        <v>0.05</v>
      </c>
      <c r="G143" s="63">
        <f t="shared" ref="G143:G154" si="129">(F143*E143)+E143</f>
        <v>339.2865</v>
      </c>
      <c r="H143" s="67" t="s">
        <v>56</v>
      </c>
      <c r="I143" s="140">
        <v>0.07</v>
      </c>
      <c r="J143" s="141">
        <f t="shared" ref="J143:J154" si="130">+I143*G143</f>
        <v>23.750055</v>
      </c>
      <c r="K143" s="142">
        <f>'LABOR SHEET'!C$3</f>
        <v>128</v>
      </c>
      <c r="L143" s="143">
        <f t="shared" ref="L143:L154" si="131">I143*K143</f>
        <v>8.96</v>
      </c>
      <c r="M143" s="143">
        <f t="shared" ref="M143:M154" si="132">K143*J143</f>
        <v>3040.00704</v>
      </c>
      <c r="N143" s="143">
        <f>28.95/10+0.4</f>
        <v>3.295</v>
      </c>
      <c r="O143" s="143">
        <f t="shared" ref="O143:O154" si="133">N143*G143</f>
        <v>1117.9490175</v>
      </c>
      <c r="P143" s="143">
        <f t="shared" ref="P143:P154" si="134">(I143*K143)+N143</f>
        <v>12.255</v>
      </c>
      <c r="Q143" s="178">
        <f t="shared" ref="Q143:Q154" si="135">P143*G143</f>
        <v>4157.9560575</v>
      </c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81"/>
      <c r="AJ143" s="181"/>
    </row>
    <row r="144" s="32" customFormat="1" spans="1:36">
      <c r="A144" s="91">
        <f>IF(F144&lt;&gt;"",1+MAX($A$2:A143),"")</f>
        <v>106</v>
      </c>
      <c r="B144" s="92"/>
      <c r="C144" s="93"/>
      <c r="D144" s="66" t="s">
        <v>165</v>
      </c>
      <c r="E144" s="69">
        <v>10</v>
      </c>
      <c r="F144" s="68">
        <v>0.05</v>
      </c>
      <c r="G144" s="63">
        <f t="shared" si="129"/>
        <v>10.5</v>
      </c>
      <c r="H144" s="67" t="s">
        <v>56</v>
      </c>
      <c r="I144" s="140">
        <v>0.112</v>
      </c>
      <c r="J144" s="141">
        <f t="shared" si="130"/>
        <v>1.176</v>
      </c>
      <c r="K144" s="142">
        <f>'LABOR SHEET'!C$3</f>
        <v>128</v>
      </c>
      <c r="L144" s="143">
        <f t="shared" si="131"/>
        <v>14.336</v>
      </c>
      <c r="M144" s="143">
        <f t="shared" si="132"/>
        <v>150.528</v>
      </c>
      <c r="N144" s="143">
        <f>73.48/10</f>
        <v>7.348</v>
      </c>
      <c r="O144" s="143">
        <f t="shared" si="133"/>
        <v>77.154</v>
      </c>
      <c r="P144" s="143">
        <f t="shared" si="134"/>
        <v>21.684</v>
      </c>
      <c r="Q144" s="178">
        <f t="shared" si="135"/>
        <v>227.682</v>
      </c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81"/>
      <c r="AJ144" s="181"/>
    </row>
    <row r="145" s="32" customFormat="1" spans="1:36">
      <c r="A145" s="91">
        <f>IF(F145&lt;&gt;"",1+MAX($A$2:A144),"")</f>
        <v>107</v>
      </c>
      <c r="B145" s="92"/>
      <c r="C145" s="93"/>
      <c r="D145" s="66" t="s">
        <v>166</v>
      </c>
      <c r="E145" s="69">
        <v>10</v>
      </c>
      <c r="F145" s="68">
        <v>0.05</v>
      </c>
      <c r="G145" s="63">
        <f t="shared" si="129"/>
        <v>10.5</v>
      </c>
      <c r="H145" s="67" t="s">
        <v>56</v>
      </c>
      <c r="I145" s="140">
        <v>0.16</v>
      </c>
      <c r="J145" s="141">
        <f t="shared" si="130"/>
        <v>1.68</v>
      </c>
      <c r="K145" s="142">
        <f>'LABOR SHEET'!C$3</f>
        <v>128</v>
      </c>
      <c r="L145" s="143">
        <f t="shared" si="131"/>
        <v>20.48</v>
      </c>
      <c r="M145" s="143">
        <f t="shared" si="132"/>
        <v>215.04</v>
      </c>
      <c r="N145" s="143">
        <f>253.33/50+2</f>
        <v>7.0666</v>
      </c>
      <c r="O145" s="143">
        <f t="shared" si="133"/>
        <v>74.1993</v>
      </c>
      <c r="P145" s="143">
        <f t="shared" si="134"/>
        <v>27.5466</v>
      </c>
      <c r="Q145" s="178">
        <f t="shared" si="135"/>
        <v>289.2393</v>
      </c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81"/>
      <c r="AJ145" s="181"/>
    </row>
    <row r="146" s="32" customFormat="1" spans="1:36">
      <c r="A146" s="91">
        <f>IF(F146&lt;&gt;"",1+MAX($A$2:A145),"")</f>
        <v>108</v>
      </c>
      <c r="B146" s="92"/>
      <c r="C146" s="93"/>
      <c r="D146" s="66" t="s">
        <v>167</v>
      </c>
      <c r="E146" s="69">
        <v>338.35</v>
      </c>
      <c r="F146" s="68">
        <v>0.05</v>
      </c>
      <c r="G146" s="63">
        <f t="shared" si="129"/>
        <v>355.2675</v>
      </c>
      <c r="H146" s="67" t="s">
        <v>56</v>
      </c>
      <c r="I146" s="140">
        <v>0.08</v>
      </c>
      <c r="J146" s="141">
        <f t="shared" si="130"/>
        <v>28.4214</v>
      </c>
      <c r="K146" s="142">
        <f>'LABOR SHEET'!C$3</f>
        <v>128</v>
      </c>
      <c r="L146" s="143">
        <f t="shared" si="131"/>
        <v>10.24</v>
      </c>
      <c r="M146" s="143">
        <f t="shared" si="132"/>
        <v>3637.9392</v>
      </c>
      <c r="N146" s="143">
        <f>18.98/10+0.3</f>
        <v>2.198</v>
      </c>
      <c r="O146" s="143">
        <f t="shared" si="133"/>
        <v>780.877965</v>
      </c>
      <c r="P146" s="143">
        <f t="shared" si="134"/>
        <v>12.438</v>
      </c>
      <c r="Q146" s="178">
        <f t="shared" si="135"/>
        <v>4418.817165</v>
      </c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81"/>
      <c r="AJ146" s="181"/>
    </row>
    <row r="147" s="32" customFormat="1" spans="1:36">
      <c r="A147" s="91">
        <f>IF(F147&lt;&gt;"",1+MAX($A$2:A146),"")</f>
        <v>109</v>
      </c>
      <c r="B147" s="92"/>
      <c r="C147" s="93"/>
      <c r="D147" s="66" t="s">
        <v>168</v>
      </c>
      <c r="E147" s="69">
        <v>10.55</v>
      </c>
      <c r="F147" s="68">
        <v>0.05</v>
      </c>
      <c r="G147" s="63">
        <f t="shared" si="129"/>
        <v>11.0775</v>
      </c>
      <c r="H147" s="67" t="s">
        <v>56</v>
      </c>
      <c r="I147" s="140">
        <v>0.064</v>
      </c>
      <c r="J147" s="141">
        <f t="shared" si="130"/>
        <v>0.70896</v>
      </c>
      <c r="K147" s="142">
        <f>'LABOR SHEET'!C$3</f>
        <v>128</v>
      </c>
      <c r="L147" s="143">
        <f t="shared" si="131"/>
        <v>8.192</v>
      </c>
      <c r="M147" s="143">
        <f t="shared" si="132"/>
        <v>90.74688</v>
      </c>
      <c r="N147" s="143">
        <f>17.58/10+0.4</f>
        <v>2.158</v>
      </c>
      <c r="O147" s="143">
        <f t="shared" si="133"/>
        <v>23.905245</v>
      </c>
      <c r="P147" s="143">
        <f t="shared" si="134"/>
        <v>10.35</v>
      </c>
      <c r="Q147" s="178">
        <f t="shared" si="135"/>
        <v>114.652125</v>
      </c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81"/>
      <c r="AJ147" s="181"/>
    </row>
    <row r="148" s="32" customFormat="1" spans="1:36">
      <c r="A148" s="91">
        <f>IF(F148&lt;&gt;"",1+MAX($A$2:A147),"")</f>
        <v>110</v>
      </c>
      <c r="B148" s="92"/>
      <c r="C148" s="93"/>
      <c r="D148" s="66" t="s">
        <v>169</v>
      </c>
      <c r="E148" s="69">
        <v>11.11</v>
      </c>
      <c r="F148" s="68">
        <v>0.05</v>
      </c>
      <c r="G148" s="63">
        <f t="shared" si="129"/>
        <v>11.6655</v>
      </c>
      <c r="H148" s="67" t="s">
        <v>56</v>
      </c>
      <c r="I148" s="140">
        <v>0.133</v>
      </c>
      <c r="J148" s="141">
        <f t="shared" si="130"/>
        <v>1.5515115</v>
      </c>
      <c r="K148" s="142">
        <f>'LABOR SHEET'!C$3</f>
        <v>128</v>
      </c>
      <c r="L148" s="143">
        <f t="shared" si="131"/>
        <v>17.024</v>
      </c>
      <c r="M148" s="143">
        <f t="shared" si="132"/>
        <v>198.593472</v>
      </c>
      <c r="N148" s="143">
        <f>429.47/100+0.7</f>
        <v>4.9947</v>
      </c>
      <c r="O148" s="143">
        <f t="shared" si="133"/>
        <v>58.26567285</v>
      </c>
      <c r="P148" s="143">
        <f t="shared" si="134"/>
        <v>22.0187</v>
      </c>
      <c r="Q148" s="178">
        <f t="shared" si="135"/>
        <v>256.85914485</v>
      </c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81"/>
      <c r="AJ148" s="181"/>
    </row>
    <row r="149" s="32" customFormat="1" spans="1:36">
      <c r="A149" s="91">
        <f>IF(F149&lt;&gt;"",1+MAX($A$2:A148),"")</f>
        <v>111</v>
      </c>
      <c r="B149" s="92"/>
      <c r="C149" s="93"/>
      <c r="D149" s="66" t="s">
        <v>158</v>
      </c>
      <c r="E149" s="69">
        <v>2209.52</v>
      </c>
      <c r="F149" s="68">
        <v>0.05</v>
      </c>
      <c r="G149" s="63">
        <f t="shared" si="129"/>
        <v>2319.996</v>
      </c>
      <c r="H149" s="67" t="s">
        <v>56</v>
      </c>
      <c r="I149" s="140">
        <v>0.05</v>
      </c>
      <c r="J149" s="141">
        <f t="shared" si="130"/>
        <v>115.9998</v>
      </c>
      <c r="K149" s="142">
        <f>'LABOR SHEET'!C$3</f>
        <v>128</v>
      </c>
      <c r="L149" s="143">
        <f t="shared" si="131"/>
        <v>6.4</v>
      </c>
      <c r="M149" s="143">
        <f t="shared" si="132"/>
        <v>14847.9744</v>
      </c>
      <c r="N149" s="143">
        <f>11.46/10+0.25</f>
        <v>1.396</v>
      </c>
      <c r="O149" s="143">
        <f t="shared" si="133"/>
        <v>3238.714416</v>
      </c>
      <c r="P149" s="143">
        <f t="shared" si="134"/>
        <v>7.796</v>
      </c>
      <c r="Q149" s="178">
        <f t="shared" si="135"/>
        <v>18086.688816</v>
      </c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81"/>
      <c r="AJ149" s="181"/>
    </row>
    <row r="150" s="32" customFormat="1" spans="1:36">
      <c r="A150" s="91">
        <f>IF(F150&lt;&gt;"",1+MAX($A$2:A149),"")</f>
        <v>112</v>
      </c>
      <c r="B150" s="92"/>
      <c r="C150" s="93"/>
      <c r="D150" s="66" t="s">
        <v>159</v>
      </c>
      <c r="E150" s="69">
        <v>16419.41</v>
      </c>
      <c r="F150" s="68">
        <v>0.05</v>
      </c>
      <c r="G150" s="63">
        <f t="shared" si="129"/>
        <v>17240.3805</v>
      </c>
      <c r="H150" s="67" t="s">
        <v>56</v>
      </c>
      <c r="I150" s="140">
        <v>0.035</v>
      </c>
      <c r="J150" s="141">
        <f t="shared" si="130"/>
        <v>603.4133175</v>
      </c>
      <c r="K150" s="142">
        <f>'LABOR SHEET'!C$3</f>
        <v>128</v>
      </c>
      <c r="L150" s="143">
        <f t="shared" si="131"/>
        <v>4.48</v>
      </c>
      <c r="M150" s="143">
        <f t="shared" si="132"/>
        <v>77236.90464</v>
      </c>
      <c r="N150" s="143">
        <f>9.68/10+0.35</f>
        <v>1.318</v>
      </c>
      <c r="O150" s="143">
        <f t="shared" si="133"/>
        <v>22722.821499</v>
      </c>
      <c r="P150" s="143">
        <f t="shared" si="134"/>
        <v>5.798</v>
      </c>
      <c r="Q150" s="178">
        <f t="shared" si="135"/>
        <v>99959.726139</v>
      </c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81"/>
      <c r="AJ150" s="181"/>
    </row>
    <row r="151" s="32" customFormat="1" spans="1:36">
      <c r="A151" s="91">
        <f>IF(F151&lt;&gt;"",1+MAX($A$2:A150),"")</f>
        <v>113</v>
      </c>
      <c r="B151" s="92"/>
      <c r="C151" s="93"/>
      <c r="D151" s="66" t="s">
        <v>170</v>
      </c>
      <c r="E151" s="69">
        <v>292.57</v>
      </c>
      <c r="F151" s="68">
        <v>0.05</v>
      </c>
      <c r="G151" s="63">
        <f t="shared" si="129"/>
        <v>307.1985</v>
      </c>
      <c r="H151" s="67" t="s">
        <v>56</v>
      </c>
      <c r="I151" s="140">
        <v>0.1</v>
      </c>
      <c r="J151" s="141">
        <f t="shared" si="130"/>
        <v>30.71985</v>
      </c>
      <c r="K151" s="142">
        <f>'LABOR SHEET'!C$3</f>
        <v>128</v>
      </c>
      <c r="L151" s="143">
        <f t="shared" si="131"/>
        <v>12.8</v>
      </c>
      <c r="M151" s="143">
        <f t="shared" si="132"/>
        <v>3932.1408</v>
      </c>
      <c r="N151" s="143">
        <v>2.26</v>
      </c>
      <c r="O151" s="143">
        <f t="shared" si="133"/>
        <v>694.26861</v>
      </c>
      <c r="P151" s="143">
        <f t="shared" si="134"/>
        <v>15.06</v>
      </c>
      <c r="Q151" s="178">
        <f t="shared" si="135"/>
        <v>4626.40941</v>
      </c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81"/>
      <c r="AJ151" s="181"/>
    </row>
    <row r="152" s="32" customFormat="1" spans="1:36">
      <c r="A152" s="91">
        <f>IF(F152&lt;&gt;"",1+MAX($A$2:A151),"")</f>
        <v>114</v>
      </c>
      <c r="B152" s="92"/>
      <c r="C152" s="93"/>
      <c r="D152" s="66" t="s">
        <v>171</v>
      </c>
      <c r="E152" s="69">
        <v>86.42</v>
      </c>
      <c r="F152" s="68">
        <v>0.05</v>
      </c>
      <c r="G152" s="63">
        <f t="shared" si="129"/>
        <v>90.741</v>
      </c>
      <c r="H152" s="67" t="s">
        <v>56</v>
      </c>
      <c r="I152" s="140">
        <v>0.067</v>
      </c>
      <c r="J152" s="141">
        <f t="shared" si="130"/>
        <v>6.079647</v>
      </c>
      <c r="K152" s="142">
        <f>'LABOR SHEET'!C$3</f>
        <v>128</v>
      </c>
      <c r="L152" s="143">
        <f t="shared" si="131"/>
        <v>8.576</v>
      </c>
      <c r="M152" s="143">
        <f t="shared" si="132"/>
        <v>778.194816</v>
      </c>
      <c r="N152" s="143">
        <f>29.67/10+0.35</f>
        <v>3.317</v>
      </c>
      <c r="O152" s="143">
        <f t="shared" si="133"/>
        <v>300.987897</v>
      </c>
      <c r="P152" s="143">
        <f t="shared" si="134"/>
        <v>11.893</v>
      </c>
      <c r="Q152" s="178">
        <f t="shared" si="135"/>
        <v>1079.182713</v>
      </c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81"/>
      <c r="AJ152" s="181"/>
    </row>
    <row r="153" s="32" customFormat="1" spans="1:36">
      <c r="A153" s="91">
        <f>IF(F153&lt;&gt;"",1+MAX($A$2:A152),"")</f>
        <v>115</v>
      </c>
      <c r="B153" s="92"/>
      <c r="C153" s="93"/>
      <c r="D153" s="66" t="s">
        <v>172</v>
      </c>
      <c r="E153" s="69">
        <v>66.37</v>
      </c>
      <c r="F153" s="68">
        <v>0.05</v>
      </c>
      <c r="G153" s="63">
        <f t="shared" si="129"/>
        <v>69.6885</v>
      </c>
      <c r="H153" s="67" t="s">
        <v>56</v>
      </c>
      <c r="I153" s="140">
        <v>0.1</v>
      </c>
      <c r="J153" s="141">
        <f t="shared" si="130"/>
        <v>6.96885</v>
      </c>
      <c r="K153" s="142">
        <f>'LABOR SHEET'!C$3</f>
        <v>128</v>
      </c>
      <c r="L153" s="143">
        <f t="shared" si="131"/>
        <v>12.8</v>
      </c>
      <c r="M153" s="143">
        <f t="shared" si="132"/>
        <v>892.0128</v>
      </c>
      <c r="N153" s="143">
        <f>244.56/100+0.3</f>
        <v>2.7456</v>
      </c>
      <c r="O153" s="143">
        <f t="shared" si="133"/>
        <v>191.3367456</v>
      </c>
      <c r="P153" s="143">
        <f t="shared" si="134"/>
        <v>15.5456</v>
      </c>
      <c r="Q153" s="178">
        <f t="shared" si="135"/>
        <v>1083.3495456</v>
      </c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81"/>
      <c r="AJ153" s="181"/>
    </row>
    <row r="154" s="32" customFormat="1" spans="1:36">
      <c r="A154" s="91">
        <f>IF(F154&lt;&gt;"",1+MAX($A$2:A153),"")</f>
        <v>116</v>
      </c>
      <c r="B154" s="92"/>
      <c r="C154" s="93"/>
      <c r="D154" s="66" t="s">
        <v>173</v>
      </c>
      <c r="E154" s="69">
        <v>252.56</v>
      </c>
      <c r="F154" s="68">
        <v>0.05</v>
      </c>
      <c r="G154" s="63">
        <f t="shared" si="129"/>
        <v>265.188</v>
      </c>
      <c r="H154" s="67" t="s">
        <v>56</v>
      </c>
      <c r="I154" s="140">
        <v>0.03</v>
      </c>
      <c r="J154" s="141">
        <f t="shared" si="130"/>
        <v>7.95564</v>
      </c>
      <c r="K154" s="142">
        <f>'LABOR SHEET'!C$3</f>
        <v>128</v>
      </c>
      <c r="L154" s="143">
        <f t="shared" si="131"/>
        <v>3.84</v>
      </c>
      <c r="M154" s="143">
        <f t="shared" si="132"/>
        <v>1018.32192</v>
      </c>
      <c r="N154" s="143">
        <f>5.98/10+0.35</f>
        <v>0.948</v>
      </c>
      <c r="O154" s="143">
        <f t="shared" si="133"/>
        <v>251.398224</v>
      </c>
      <c r="P154" s="143">
        <f t="shared" si="134"/>
        <v>4.788</v>
      </c>
      <c r="Q154" s="178">
        <f t="shared" si="135"/>
        <v>1269.720144</v>
      </c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81"/>
      <c r="AJ154" s="181"/>
    </row>
    <row r="155" s="32" customFormat="1" spans="1:36">
      <c r="A155" s="91" t="str">
        <f>IF(F155&lt;&gt;"",1+MAX($A$2:A154),"")</f>
        <v/>
      </c>
      <c r="B155" s="92"/>
      <c r="C155" s="93"/>
      <c r="D155" s="66"/>
      <c r="E155" s="69"/>
      <c r="F155" s="94"/>
      <c r="G155" s="95"/>
      <c r="H155" s="67"/>
      <c r="I155" s="140"/>
      <c r="J155" s="141"/>
      <c r="K155" s="142"/>
      <c r="L155" s="143"/>
      <c r="M155" s="143"/>
      <c r="N155" s="143"/>
      <c r="O155" s="143"/>
      <c r="P155" s="143"/>
      <c r="Q155" s="179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81"/>
      <c r="AJ155" s="181"/>
    </row>
    <row r="156" s="32" customFormat="1" spans="1:36">
      <c r="A156" s="91" t="str">
        <f>IF(F156&lt;&gt;"",1+MAX($A$2:A155),"")</f>
        <v/>
      </c>
      <c r="B156" s="92"/>
      <c r="C156" s="93"/>
      <c r="D156" s="96" t="s">
        <v>62</v>
      </c>
      <c r="E156" s="69"/>
      <c r="F156" s="94"/>
      <c r="G156" s="95"/>
      <c r="H156" s="67"/>
      <c r="I156" s="140"/>
      <c r="J156" s="141"/>
      <c r="K156" s="142"/>
      <c r="L156" s="143"/>
      <c r="M156" s="143"/>
      <c r="N156" s="143"/>
      <c r="O156" s="143"/>
      <c r="P156" s="143"/>
      <c r="Q156" s="179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81"/>
      <c r="AJ156" s="181"/>
    </row>
    <row r="157" s="32" customFormat="1" spans="1:36">
      <c r="A157" s="91">
        <f>IF(F157&lt;&gt;"",1+MAX($A$2:A156),"")</f>
        <v>117</v>
      </c>
      <c r="B157" s="92"/>
      <c r="C157" s="93"/>
      <c r="D157" s="66" t="s">
        <v>67</v>
      </c>
      <c r="E157" s="69">
        <v>1913.32</v>
      </c>
      <c r="F157" s="68">
        <v>0.05</v>
      </c>
      <c r="G157" s="63">
        <f t="shared" ref="G157:G162" si="136">(F157*E157)+E157</f>
        <v>2008.986</v>
      </c>
      <c r="H157" s="67" t="s">
        <v>56</v>
      </c>
      <c r="I157" s="140">
        <v>0.025</v>
      </c>
      <c r="J157" s="141">
        <f t="shared" ref="J157" si="137">+I157*G157</f>
        <v>50.22465</v>
      </c>
      <c r="K157" s="142">
        <f>'LABOR SHEET'!C$3</f>
        <v>128</v>
      </c>
      <c r="L157" s="143">
        <f t="shared" ref="L157" si="138">I157*K157</f>
        <v>3.2</v>
      </c>
      <c r="M157" s="143">
        <f t="shared" ref="M157" si="139">K157*J157</f>
        <v>6428.7552</v>
      </c>
      <c r="N157" s="143">
        <v>2.97</v>
      </c>
      <c r="O157" s="143">
        <f t="shared" ref="O157" si="140">N157*G157</f>
        <v>5966.68842</v>
      </c>
      <c r="P157" s="143">
        <f t="shared" ref="P157" si="141">(I157*K157)+N157</f>
        <v>6.17</v>
      </c>
      <c r="Q157" s="178">
        <f t="shared" ref="Q157" si="142">P157*G157</f>
        <v>12395.44362</v>
      </c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81"/>
      <c r="AJ157" s="181"/>
    </row>
    <row r="158" s="32" customFormat="1" spans="1:36">
      <c r="A158" s="91">
        <f>IF(F158&lt;&gt;"",1+MAX($A$2:A157),"")</f>
        <v>118</v>
      </c>
      <c r="B158" s="92"/>
      <c r="C158" s="93"/>
      <c r="D158" s="66" t="s">
        <v>174</v>
      </c>
      <c r="E158" s="69">
        <v>484.47</v>
      </c>
      <c r="F158" s="68">
        <v>0.05</v>
      </c>
      <c r="G158" s="63">
        <f t="shared" si="136"/>
        <v>508.6935</v>
      </c>
      <c r="H158" s="67" t="s">
        <v>56</v>
      </c>
      <c r="I158" s="140">
        <v>0.02</v>
      </c>
      <c r="J158" s="141">
        <f t="shared" ref="J158:J162" si="143">+I158*G158</f>
        <v>10.17387</v>
      </c>
      <c r="K158" s="142">
        <f>'LABOR SHEET'!C$3</f>
        <v>128</v>
      </c>
      <c r="L158" s="143">
        <f t="shared" ref="L158:L162" si="144">I158*K158</f>
        <v>2.56</v>
      </c>
      <c r="M158" s="143">
        <f t="shared" ref="M158:M162" si="145">K158*J158</f>
        <v>1302.25536</v>
      </c>
      <c r="N158" s="143">
        <v>2.33</v>
      </c>
      <c r="O158" s="143">
        <f t="shared" ref="O158:O162" si="146">N158*G158</f>
        <v>1185.255855</v>
      </c>
      <c r="P158" s="143">
        <f t="shared" ref="P158:P162" si="147">(I158*K158)+N158</f>
        <v>4.89</v>
      </c>
      <c r="Q158" s="178">
        <f t="shared" ref="Q158:Q162" si="148">P158*G158</f>
        <v>2487.511215</v>
      </c>
      <c r="R158" s="181"/>
      <c r="S158" s="181"/>
      <c r="T158" s="181"/>
      <c r="U158" s="181"/>
      <c r="V158" s="181"/>
      <c r="W158" s="181"/>
      <c r="X158" s="181"/>
      <c r="Y158" s="181"/>
      <c r="Z158" s="181"/>
      <c r="AA158" s="181"/>
      <c r="AB158" s="181"/>
      <c r="AC158" s="181"/>
      <c r="AD158" s="181"/>
      <c r="AE158" s="181"/>
      <c r="AF158" s="181"/>
      <c r="AG158" s="181"/>
      <c r="AH158" s="181"/>
      <c r="AI158" s="181"/>
      <c r="AJ158" s="181"/>
    </row>
    <row r="159" s="32" customFormat="1" spans="1:36">
      <c r="A159" s="91">
        <f>IF(F159&lt;&gt;"",1+MAX($A$2:A158),"")</f>
        <v>119</v>
      </c>
      <c r="B159" s="92"/>
      <c r="C159" s="93"/>
      <c r="D159" s="66" t="s">
        <v>175</v>
      </c>
      <c r="E159" s="69">
        <v>2854.1</v>
      </c>
      <c r="F159" s="68">
        <v>0.05</v>
      </c>
      <c r="G159" s="63">
        <f t="shared" si="136"/>
        <v>2996.805</v>
      </c>
      <c r="H159" s="67" t="s">
        <v>56</v>
      </c>
      <c r="I159" s="140">
        <v>0.015</v>
      </c>
      <c r="J159" s="141">
        <f t="shared" si="143"/>
        <v>44.952075</v>
      </c>
      <c r="K159" s="142">
        <f>'LABOR SHEET'!C$3</f>
        <v>128</v>
      </c>
      <c r="L159" s="143">
        <f t="shared" si="144"/>
        <v>1.92</v>
      </c>
      <c r="M159" s="143">
        <f t="shared" si="145"/>
        <v>5753.8656</v>
      </c>
      <c r="N159" s="143">
        <v>1.24</v>
      </c>
      <c r="O159" s="143">
        <f t="shared" si="146"/>
        <v>3716.0382</v>
      </c>
      <c r="P159" s="143">
        <f t="shared" si="147"/>
        <v>3.16</v>
      </c>
      <c r="Q159" s="178">
        <f t="shared" si="148"/>
        <v>9469.9038</v>
      </c>
      <c r="R159" s="181"/>
      <c r="S159" s="181"/>
      <c r="T159" s="181"/>
      <c r="U159" s="181"/>
      <c r="V159" s="181"/>
      <c r="W159" s="181"/>
      <c r="X159" s="181"/>
      <c r="Y159" s="181"/>
      <c r="Z159" s="181"/>
      <c r="AA159" s="181"/>
      <c r="AB159" s="181"/>
      <c r="AC159" s="181"/>
      <c r="AD159" s="181"/>
      <c r="AE159" s="181"/>
      <c r="AF159" s="181"/>
      <c r="AG159" s="181"/>
      <c r="AH159" s="181"/>
      <c r="AI159" s="181"/>
      <c r="AJ159" s="181"/>
    </row>
    <row r="160" s="32" customFormat="1" spans="1:36">
      <c r="A160" s="91">
        <f>IF(F160&lt;&gt;"",1+MAX($A$2:A159),"")</f>
        <v>120</v>
      </c>
      <c r="B160" s="92"/>
      <c r="C160" s="93"/>
      <c r="D160" s="66" t="s">
        <v>68</v>
      </c>
      <c r="E160" s="69">
        <v>7214.28</v>
      </c>
      <c r="F160" s="68">
        <v>0.05</v>
      </c>
      <c r="G160" s="63">
        <f t="shared" si="136"/>
        <v>7574.994</v>
      </c>
      <c r="H160" s="67" t="s">
        <v>56</v>
      </c>
      <c r="I160" s="140">
        <v>0.012</v>
      </c>
      <c r="J160" s="141">
        <f t="shared" si="143"/>
        <v>90.899928</v>
      </c>
      <c r="K160" s="142">
        <f>'LABOR SHEET'!C$3</f>
        <v>128</v>
      </c>
      <c r="L160" s="143">
        <f t="shared" si="144"/>
        <v>1.536</v>
      </c>
      <c r="M160" s="143">
        <f t="shared" si="145"/>
        <v>11635.190784</v>
      </c>
      <c r="N160" s="143">
        <v>0.82</v>
      </c>
      <c r="O160" s="143">
        <f t="shared" si="146"/>
        <v>6211.49508</v>
      </c>
      <c r="P160" s="143">
        <f t="shared" si="147"/>
        <v>2.356</v>
      </c>
      <c r="Q160" s="178">
        <f t="shared" si="148"/>
        <v>17846.685864</v>
      </c>
      <c r="R160" s="181"/>
      <c r="S160" s="181"/>
      <c r="T160" s="181"/>
      <c r="U160" s="181"/>
      <c r="V160" s="181"/>
      <c r="W160" s="181"/>
      <c r="X160" s="181"/>
      <c r="Y160" s="181"/>
      <c r="Z160" s="181"/>
      <c r="AA160" s="181"/>
      <c r="AB160" s="181"/>
      <c r="AC160" s="181"/>
      <c r="AD160" s="181"/>
      <c r="AE160" s="181"/>
      <c r="AF160" s="181"/>
      <c r="AG160" s="181"/>
      <c r="AH160" s="181"/>
      <c r="AI160" s="181"/>
      <c r="AJ160" s="181"/>
    </row>
    <row r="161" s="32" customFormat="1" spans="1:36">
      <c r="A161" s="91">
        <f>IF(F161&lt;&gt;"",1+MAX($A$2:A160),"")</f>
        <v>121</v>
      </c>
      <c r="B161" s="92"/>
      <c r="C161" s="93"/>
      <c r="D161" s="66" t="s">
        <v>160</v>
      </c>
      <c r="E161" s="69">
        <v>25076.9</v>
      </c>
      <c r="F161" s="68">
        <v>0.05</v>
      </c>
      <c r="G161" s="63">
        <f t="shared" si="136"/>
        <v>26330.745</v>
      </c>
      <c r="H161" s="67" t="s">
        <v>56</v>
      </c>
      <c r="I161" s="140">
        <v>0.01</v>
      </c>
      <c r="J161" s="141">
        <f t="shared" si="143"/>
        <v>263.30745</v>
      </c>
      <c r="K161" s="142">
        <f>'LABOR SHEET'!C$3</f>
        <v>128</v>
      </c>
      <c r="L161" s="143">
        <f t="shared" si="144"/>
        <v>1.28</v>
      </c>
      <c r="M161" s="143">
        <f t="shared" si="145"/>
        <v>33703.3536</v>
      </c>
      <c r="N161" s="143">
        <v>0.38</v>
      </c>
      <c r="O161" s="143">
        <f t="shared" si="146"/>
        <v>10005.6831</v>
      </c>
      <c r="P161" s="143">
        <f t="shared" si="147"/>
        <v>1.66</v>
      </c>
      <c r="Q161" s="178">
        <f t="shared" si="148"/>
        <v>43709.0367</v>
      </c>
      <c r="R161" s="181"/>
      <c r="S161" s="181"/>
      <c r="T161" s="181"/>
      <c r="U161" s="181"/>
      <c r="V161" s="181"/>
      <c r="W161" s="181"/>
      <c r="X161" s="181"/>
      <c r="Y161" s="181"/>
      <c r="Z161" s="181"/>
      <c r="AA161" s="181"/>
      <c r="AB161" s="181"/>
      <c r="AC161" s="181"/>
      <c r="AD161" s="181"/>
      <c r="AE161" s="181"/>
      <c r="AF161" s="181"/>
      <c r="AG161" s="181"/>
      <c r="AH161" s="181"/>
      <c r="AI161" s="181"/>
      <c r="AJ161" s="181"/>
    </row>
    <row r="162" s="32" customFormat="1" spans="1:36">
      <c r="A162" s="91">
        <f>IF(F162&lt;&gt;"",1+MAX($A$2:A161),"")</f>
        <v>122</v>
      </c>
      <c r="B162" s="92"/>
      <c r="C162" s="93"/>
      <c r="D162" s="66" t="s">
        <v>161</v>
      </c>
      <c r="E162" s="69">
        <v>25276.32</v>
      </c>
      <c r="F162" s="68">
        <v>0.05</v>
      </c>
      <c r="G162" s="63">
        <f t="shared" si="136"/>
        <v>26540.136</v>
      </c>
      <c r="H162" s="67" t="s">
        <v>56</v>
      </c>
      <c r="I162" s="140">
        <v>0.009</v>
      </c>
      <c r="J162" s="141">
        <f t="shared" si="143"/>
        <v>238.861224</v>
      </c>
      <c r="K162" s="142">
        <f>'LABOR SHEET'!C$3</f>
        <v>128</v>
      </c>
      <c r="L162" s="143">
        <f t="shared" si="144"/>
        <v>1.152</v>
      </c>
      <c r="M162" s="143">
        <f t="shared" si="145"/>
        <v>30574.236672</v>
      </c>
      <c r="N162" s="143">
        <v>0.28</v>
      </c>
      <c r="O162" s="143">
        <f t="shared" si="146"/>
        <v>7431.23808</v>
      </c>
      <c r="P162" s="143">
        <f t="shared" si="147"/>
        <v>1.432</v>
      </c>
      <c r="Q162" s="178">
        <f t="shared" si="148"/>
        <v>38005.474752</v>
      </c>
      <c r="R162" s="181"/>
      <c r="S162" s="181"/>
      <c r="T162" s="181"/>
      <c r="U162" s="181"/>
      <c r="V162" s="181"/>
      <c r="W162" s="181"/>
      <c r="X162" s="181"/>
      <c r="Y162" s="181"/>
      <c r="Z162" s="181"/>
      <c r="AA162" s="181"/>
      <c r="AB162" s="181"/>
      <c r="AC162" s="181"/>
      <c r="AD162" s="181"/>
      <c r="AE162" s="181"/>
      <c r="AF162" s="181"/>
      <c r="AG162" s="181"/>
      <c r="AH162" s="181"/>
      <c r="AI162" s="181"/>
      <c r="AJ162" s="181"/>
    </row>
    <row r="163" s="32" customFormat="1" spans="1:36">
      <c r="A163" s="91" t="str">
        <f>IF(F163&lt;&gt;"",1+MAX($A$2:A162),"")</f>
        <v/>
      </c>
      <c r="B163" s="92"/>
      <c r="C163" s="93"/>
      <c r="D163" s="66"/>
      <c r="E163" s="69"/>
      <c r="F163" s="94"/>
      <c r="G163" s="95"/>
      <c r="H163" s="67"/>
      <c r="I163" s="140"/>
      <c r="J163" s="141"/>
      <c r="K163" s="142"/>
      <c r="L163" s="143"/>
      <c r="M163" s="143"/>
      <c r="N163" s="143"/>
      <c r="O163" s="143"/>
      <c r="P163" s="143"/>
      <c r="Q163" s="179"/>
      <c r="R163" s="181"/>
      <c r="S163" s="181"/>
      <c r="T163" s="181"/>
      <c r="U163" s="181"/>
      <c r="V163" s="181"/>
      <c r="W163" s="181"/>
      <c r="X163" s="181"/>
      <c r="Y163" s="181"/>
      <c r="Z163" s="181"/>
      <c r="AA163" s="181"/>
      <c r="AB163" s="181"/>
      <c r="AC163" s="181"/>
      <c r="AD163" s="181"/>
      <c r="AE163" s="181"/>
      <c r="AF163" s="181"/>
      <c r="AG163" s="181"/>
      <c r="AH163" s="181"/>
      <c r="AI163" s="181"/>
      <c r="AJ163" s="181"/>
    </row>
    <row r="164" s="32" customFormat="1" spans="1:36">
      <c r="A164" s="91" t="str">
        <f>IF(F164&lt;&gt;"",1+MAX($A$2:A163),"")</f>
        <v/>
      </c>
      <c r="B164" s="92"/>
      <c r="C164" s="93"/>
      <c r="D164" s="57" t="s">
        <v>176</v>
      </c>
      <c r="E164" s="69"/>
      <c r="F164" s="94"/>
      <c r="G164" s="95"/>
      <c r="H164" s="67"/>
      <c r="I164" s="140"/>
      <c r="J164" s="141"/>
      <c r="K164" s="142"/>
      <c r="L164" s="143"/>
      <c r="M164" s="143"/>
      <c r="N164" s="143"/>
      <c r="O164" s="143"/>
      <c r="P164" s="143"/>
      <c r="Q164" s="179"/>
      <c r="R164" s="181"/>
      <c r="S164" s="181"/>
      <c r="T164" s="181"/>
      <c r="U164" s="181"/>
      <c r="V164" s="181"/>
      <c r="W164" s="181"/>
      <c r="X164" s="181"/>
      <c r="Y164" s="181"/>
      <c r="Z164" s="181"/>
      <c r="AA164" s="181"/>
      <c r="AB164" s="181"/>
      <c r="AC164" s="181"/>
      <c r="AD164" s="181"/>
      <c r="AE164" s="181"/>
      <c r="AF164" s="181"/>
      <c r="AG164" s="181"/>
      <c r="AH164" s="181"/>
      <c r="AI164" s="181"/>
      <c r="AJ164" s="181"/>
    </row>
    <row r="165" s="32" customFormat="1" spans="1:36">
      <c r="A165" s="91">
        <f>IF(F165&lt;&gt;"",1+MAX($A$2:A164),"")</f>
        <v>123</v>
      </c>
      <c r="B165" s="92"/>
      <c r="C165" s="93"/>
      <c r="D165" s="66" t="s">
        <v>177</v>
      </c>
      <c r="E165" s="69">
        <v>5</v>
      </c>
      <c r="F165" s="68">
        <v>0</v>
      </c>
      <c r="G165" s="63">
        <f t="shared" ref="G165:G185" si="149">(F165*E165)+E165</f>
        <v>5</v>
      </c>
      <c r="H165" s="67" t="s">
        <v>73</v>
      </c>
      <c r="I165" s="140">
        <v>0.5</v>
      </c>
      <c r="J165" s="141">
        <f t="shared" ref="J165:J185" si="150">+I165*G165</f>
        <v>2.5</v>
      </c>
      <c r="K165" s="142">
        <f>'LABOR SHEET'!C$3</f>
        <v>128</v>
      </c>
      <c r="L165" s="143">
        <f t="shared" ref="L165:L185" si="151">I165*K165</f>
        <v>64</v>
      </c>
      <c r="M165" s="143">
        <f t="shared" ref="M165:M185" si="152">K165*J165</f>
        <v>320</v>
      </c>
      <c r="N165" s="143">
        <v>24.1</v>
      </c>
      <c r="O165" s="143">
        <f t="shared" ref="O165:O185" si="153">N165*G165</f>
        <v>120.5</v>
      </c>
      <c r="P165" s="143">
        <f t="shared" ref="P165:P185" si="154">(I165*K165)+N165</f>
        <v>88.1</v>
      </c>
      <c r="Q165" s="178">
        <f t="shared" ref="Q165:Q185" si="155">P165*G165</f>
        <v>440.5</v>
      </c>
      <c r="R165" s="181"/>
      <c r="S165" s="181"/>
      <c r="T165" s="181"/>
      <c r="U165" s="181"/>
      <c r="V165" s="181"/>
      <c r="W165" s="181"/>
      <c r="X165" s="181"/>
      <c r="Y165" s="181"/>
      <c r="Z165" s="181"/>
      <c r="AA165" s="181"/>
      <c r="AB165" s="181"/>
      <c r="AC165" s="181"/>
      <c r="AD165" s="181"/>
      <c r="AE165" s="181"/>
      <c r="AF165" s="181"/>
      <c r="AG165" s="181"/>
      <c r="AH165" s="181"/>
      <c r="AI165" s="181"/>
      <c r="AJ165" s="181"/>
    </row>
    <row r="166" s="32" customFormat="1" spans="1:36">
      <c r="A166" s="91">
        <f>IF(F166&lt;&gt;"",1+MAX($A$2:A165),"")</f>
        <v>124</v>
      </c>
      <c r="B166" s="92"/>
      <c r="C166" s="93"/>
      <c r="D166" s="66" t="s">
        <v>178</v>
      </c>
      <c r="E166" s="69">
        <v>23</v>
      </c>
      <c r="F166" s="68">
        <v>0</v>
      </c>
      <c r="G166" s="63">
        <f t="shared" si="149"/>
        <v>23</v>
      </c>
      <c r="H166" s="67" t="s">
        <v>73</v>
      </c>
      <c r="I166" s="140">
        <v>0.6</v>
      </c>
      <c r="J166" s="141">
        <f t="shared" si="150"/>
        <v>13.8</v>
      </c>
      <c r="K166" s="142">
        <f>'LABOR SHEET'!C$3</f>
        <v>128</v>
      </c>
      <c r="L166" s="143">
        <f t="shared" si="151"/>
        <v>76.8</v>
      </c>
      <c r="M166" s="143">
        <f t="shared" si="152"/>
        <v>1766.4</v>
      </c>
      <c r="N166" s="143">
        <v>36.6</v>
      </c>
      <c r="O166" s="143">
        <f t="shared" si="153"/>
        <v>841.8</v>
      </c>
      <c r="P166" s="143">
        <f t="shared" si="154"/>
        <v>113.4</v>
      </c>
      <c r="Q166" s="178">
        <f t="shared" si="155"/>
        <v>2608.2</v>
      </c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81"/>
      <c r="AJ166" s="181"/>
    </row>
    <row r="167" s="32" customFormat="1" spans="1:36">
      <c r="A167" s="91">
        <f>IF(F167&lt;&gt;"",1+MAX($A$2:A166),"")</f>
        <v>125</v>
      </c>
      <c r="B167" s="92"/>
      <c r="C167" s="93"/>
      <c r="D167" s="66" t="s">
        <v>179</v>
      </c>
      <c r="E167" s="69">
        <v>2</v>
      </c>
      <c r="F167" s="68">
        <v>0</v>
      </c>
      <c r="G167" s="63">
        <f t="shared" si="149"/>
        <v>2</v>
      </c>
      <c r="H167" s="67" t="s">
        <v>73</v>
      </c>
      <c r="I167" s="140">
        <v>0.7</v>
      </c>
      <c r="J167" s="141">
        <f t="shared" si="150"/>
        <v>1.4</v>
      </c>
      <c r="K167" s="142">
        <f>'LABOR SHEET'!C$3</f>
        <v>128</v>
      </c>
      <c r="L167" s="143">
        <f t="shared" si="151"/>
        <v>89.6</v>
      </c>
      <c r="M167" s="143">
        <f t="shared" si="152"/>
        <v>179.2</v>
      </c>
      <c r="N167" s="143">
        <v>55</v>
      </c>
      <c r="O167" s="143">
        <f t="shared" si="153"/>
        <v>110</v>
      </c>
      <c r="P167" s="143">
        <f t="shared" si="154"/>
        <v>144.6</v>
      </c>
      <c r="Q167" s="178">
        <f t="shared" si="155"/>
        <v>289.2</v>
      </c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81"/>
      <c r="AJ167" s="181"/>
    </row>
    <row r="168" s="32" customFormat="1" spans="1:36">
      <c r="A168" s="91">
        <f>IF(F168&lt;&gt;"",1+MAX($A$2:A167),"")</f>
        <v>126</v>
      </c>
      <c r="B168" s="92"/>
      <c r="C168" s="93"/>
      <c r="D168" s="66" t="s">
        <v>180</v>
      </c>
      <c r="E168" s="69">
        <v>4</v>
      </c>
      <c r="F168" s="68">
        <v>0</v>
      </c>
      <c r="G168" s="63">
        <f t="shared" si="149"/>
        <v>4</v>
      </c>
      <c r="H168" s="67" t="s">
        <v>73</v>
      </c>
      <c r="I168" s="140">
        <v>0.65</v>
      </c>
      <c r="J168" s="141">
        <f t="shared" si="150"/>
        <v>2.6</v>
      </c>
      <c r="K168" s="142">
        <f>'LABOR SHEET'!C$3</f>
        <v>128</v>
      </c>
      <c r="L168" s="143">
        <f t="shared" si="151"/>
        <v>83.2</v>
      </c>
      <c r="M168" s="143">
        <f t="shared" si="152"/>
        <v>332.8</v>
      </c>
      <c r="N168" s="143">
        <v>42</v>
      </c>
      <c r="O168" s="143">
        <f t="shared" si="153"/>
        <v>168</v>
      </c>
      <c r="P168" s="143">
        <f t="shared" si="154"/>
        <v>125.2</v>
      </c>
      <c r="Q168" s="178">
        <f t="shared" si="155"/>
        <v>500.8</v>
      </c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81"/>
      <c r="AJ168" s="181"/>
    </row>
    <row r="169" s="32" customFormat="1" spans="1:36">
      <c r="A169" s="91">
        <f>IF(F169&lt;&gt;"",1+MAX($A$2:A168),"")</f>
        <v>127</v>
      </c>
      <c r="B169" s="92"/>
      <c r="C169" s="93"/>
      <c r="D169" s="66" t="s">
        <v>181</v>
      </c>
      <c r="E169" s="69">
        <v>4</v>
      </c>
      <c r="F169" s="68">
        <v>0</v>
      </c>
      <c r="G169" s="63">
        <f t="shared" si="149"/>
        <v>4</v>
      </c>
      <c r="H169" s="67" t="s">
        <v>73</v>
      </c>
      <c r="I169" s="140">
        <v>0.8</v>
      </c>
      <c r="J169" s="141">
        <f t="shared" si="150"/>
        <v>3.2</v>
      </c>
      <c r="K169" s="142">
        <f>'LABOR SHEET'!C$3</f>
        <v>128</v>
      </c>
      <c r="L169" s="143">
        <f t="shared" si="151"/>
        <v>102.4</v>
      </c>
      <c r="M169" s="143">
        <f t="shared" si="152"/>
        <v>409.6</v>
      </c>
      <c r="N169" s="143">
        <v>62</v>
      </c>
      <c r="O169" s="143">
        <f t="shared" si="153"/>
        <v>248</v>
      </c>
      <c r="P169" s="143">
        <f t="shared" si="154"/>
        <v>164.4</v>
      </c>
      <c r="Q169" s="178">
        <f t="shared" si="155"/>
        <v>657.6</v>
      </c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81"/>
      <c r="AJ169" s="181"/>
    </row>
    <row r="170" s="32" customFormat="1" spans="1:36">
      <c r="A170" s="91">
        <f>IF(F170&lt;&gt;"",1+MAX($A$2:A169),"")</f>
        <v>128</v>
      </c>
      <c r="B170" s="92"/>
      <c r="C170" s="93"/>
      <c r="D170" s="66" t="s">
        <v>182</v>
      </c>
      <c r="E170" s="69">
        <v>12.53</v>
      </c>
      <c r="F170" s="68">
        <v>0.05</v>
      </c>
      <c r="G170" s="63">
        <f t="shared" si="149"/>
        <v>13.1565</v>
      </c>
      <c r="H170" s="67" t="s">
        <v>56</v>
      </c>
      <c r="I170" s="140">
        <v>0.1</v>
      </c>
      <c r="J170" s="141">
        <f t="shared" si="150"/>
        <v>1.31565</v>
      </c>
      <c r="K170" s="142">
        <f>'LABOR SHEET'!C$3</f>
        <v>128</v>
      </c>
      <c r="L170" s="143">
        <f t="shared" si="151"/>
        <v>12.8</v>
      </c>
      <c r="M170" s="143">
        <f t="shared" si="152"/>
        <v>168.4032</v>
      </c>
      <c r="N170" s="143">
        <v>12.4</v>
      </c>
      <c r="O170" s="143">
        <f t="shared" si="153"/>
        <v>163.1406</v>
      </c>
      <c r="P170" s="143">
        <f t="shared" si="154"/>
        <v>25.2</v>
      </c>
      <c r="Q170" s="178">
        <f t="shared" si="155"/>
        <v>331.5438</v>
      </c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81"/>
      <c r="AJ170" s="181"/>
    </row>
    <row r="171" s="32" customFormat="1" spans="1:36">
      <c r="A171" s="91">
        <f>IF(F171&lt;&gt;"",1+MAX($A$2:A170),"")</f>
        <v>129</v>
      </c>
      <c r="B171" s="92"/>
      <c r="C171" s="93"/>
      <c r="D171" s="66" t="s">
        <v>183</v>
      </c>
      <c r="E171" s="69">
        <v>112</v>
      </c>
      <c r="F171" s="68">
        <v>0</v>
      </c>
      <c r="G171" s="63">
        <f t="shared" si="149"/>
        <v>112</v>
      </c>
      <c r="H171" s="67" t="s">
        <v>73</v>
      </c>
      <c r="I171" s="140">
        <v>0.2</v>
      </c>
      <c r="J171" s="141">
        <f t="shared" si="150"/>
        <v>22.4</v>
      </c>
      <c r="K171" s="142">
        <f>'LABOR SHEET'!C$3</f>
        <v>128</v>
      </c>
      <c r="L171" s="143">
        <f t="shared" si="151"/>
        <v>25.6</v>
      </c>
      <c r="M171" s="143">
        <f t="shared" si="152"/>
        <v>2867.2</v>
      </c>
      <c r="N171" s="143">
        <v>24.1</v>
      </c>
      <c r="O171" s="143">
        <f t="shared" si="153"/>
        <v>2699.2</v>
      </c>
      <c r="P171" s="143">
        <f t="shared" si="154"/>
        <v>49.7</v>
      </c>
      <c r="Q171" s="178">
        <f t="shared" si="155"/>
        <v>5566.4</v>
      </c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81"/>
      <c r="AJ171" s="181"/>
    </row>
    <row r="172" s="32" customFormat="1" spans="1:36">
      <c r="A172" s="91">
        <f>IF(F172&lt;&gt;"",1+MAX($A$2:A171),"")</f>
        <v>130</v>
      </c>
      <c r="B172" s="92"/>
      <c r="C172" s="93"/>
      <c r="D172" s="66" t="s">
        <v>184</v>
      </c>
      <c r="E172" s="69">
        <v>12</v>
      </c>
      <c r="F172" s="68">
        <v>0</v>
      </c>
      <c r="G172" s="63">
        <f t="shared" si="149"/>
        <v>12</v>
      </c>
      <c r="H172" s="67" t="s">
        <v>73</v>
      </c>
      <c r="I172" s="140">
        <v>0.25</v>
      </c>
      <c r="J172" s="141">
        <f t="shared" si="150"/>
        <v>3</v>
      </c>
      <c r="K172" s="142">
        <f>'LABOR SHEET'!C$3</f>
        <v>128</v>
      </c>
      <c r="L172" s="143">
        <f t="shared" si="151"/>
        <v>32</v>
      </c>
      <c r="M172" s="143">
        <f t="shared" si="152"/>
        <v>384</v>
      </c>
      <c r="N172" s="143">
        <v>28.5</v>
      </c>
      <c r="O172" s="143">
        <f t="shared" si="153"/>
        <v>342</v>
      </c>
      <c r="P172" s="143">
        <f t="shared" si="154"/>
        <v>60.5</v>
      </c>
      <c r="Q172" s="178">
        <f t="shared" si="155"/>
        <v>726</v>
      </c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81"/>
      <c r="AJ172" s="181"/>
    </row>
    <row r="173" s="32" customFormat="1" spans="1:36">
      <c r="A173" s="91">
        <f>IF(F173&lt;&gt;"",1+MAX($A$2:A172),"")</f>
        <v>131</v>
      </c>
      <c r="B173" s="92"/>
      <c r="C173" s="93"/>
      <c r="D173" s="66" t="s">
        <v>185</v>
      </c>
      <c r="E173" s="69">
        <v>11</v>
      </c>
      <c r="F173" s="68">
        <v>0</v>
      </c>
      <c r="G173" s="63">
        <f t="shared" si="149"/>
        <v>11</v>
      </c>
      <c r="H173" s="67" t="s">
        <v>73</v>
      </c>
      <c r="I173" s="140">
        <v>0.28</v>
      </c>
      <c r="J173" s="141">
        <f t="shared" si="150"/>
        <v>3.08</v>
      </c>
      <c r="K173" s="142">
        <f>'LABOR SHEET'!C$3</f>
        <v>128</v>
      </c>
      <c r="L173" s="143">
        <f t="shared" si="151"/>
        <v>35.84</v>
      </c>
      <c r="M173" s="143">
        <f t="shared" si="152"/>
        <v>394.24</v>
      </c>
      <c r="N173" s="143">
        <v>32</v>
      </c>
      <c r="O173" s="143">
        <f t="shared" si="153"/>
        <v>352</v>
      </c>
      <c r="P173" s="143">
        <f t="shared" si="154"/>
        <v>67.84</v>
      </c>
      <c r="Q173" s="178">
        <f t="shared" si="155"/>
        <v>746.24</v>
      </c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81"/>
      <c r="AJ173" s="181"/>
    </row>
    <row r="174" s="32" customFormat="1" spans="1:36">
      <c r="A174" s="91">
        <f>IF(F174&lt;&gt;"",1+MAX($A$2:A173),"")</f>
        <v>132</v>
      </c>
      <c r="B174" s="92"/>
      <c r="C174" s="93"/>
      <c r="D174" s="66" t="s">
        <v>186</v>
      </c>
      <c r="E174" s="69">
        <v>9</v>
      </c>
      <c r="F174" s="68">
        <v>0</v>
      </c>
      <c r="G174" s="63">
        <f t="shared" si="149"/>
        <v>9</v>
      </c>
      <c r="H174" s="67" t="s">
        <v>73</v>
      </c>
      <c r="I174" s="140">
        <f>0.3+0.2+0.38</f>
        <v>0.88</v>
      </c>
      <c r="J174" s="141">
        <f t="shared" si="150"/>
        <v>7.92</v>
      </c>
      <c r="K174" s="142">
        <f>'LABOR SHEET'!C$3</f>
        <v>128</v>
      </c>
      <c r="L174" s="143">
        <f t="shared" si="151"/>
        <v>112.64</v>
      </c>
      <c r="M174" s="143">
        <f t="shared" si="152"/>
        <v>1013.76</v>
      </c>
      <c r="N174" s="143">
        <f>40+24.1+38</f>
        <v>102.1</v>
      </c>
      <c r="O174" s="143">
        <f t="shared" si="153"/>
        <v>918.9</v>
      </c>
      <c r="P174" s="143">
        <f t="shared" si="154"/>
        <v>214.74</v>
      </c>
      <c r="Q174" s="178">
        <f t="shared" si="155"/>
        <v>1932.66</v>
      </c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81"/>
      <c r="AJ174" s="181"/>
    </row>
    <row r="175" s="32" customFormat="1" spans="1:36">
      <c r="A175" s="91">
        <f>IF(F175&lt;&gt;"",1+MAX($A$2:A174),"")</f>
        <v>133</v>
      </c>
      <c r="B175" s="92"/>
      <c r="C175" s="93"/>
      <c r="D175" s="66" t="s">
        <v>187</v>
      </c>
      <c r="E175" s="69">
        <v>21</v>
      </c>
      <c r="F175" s="68">
        <v>0</v>
      </c>
      <c r="G175" s="63">
        <f t="shared" si="149"/>
        <v>21</v>
      </c>
      <c r="H175" s="67" t="s">
        <v>73</v>
      </c>
      <c r="I175" s="140">
        <f>0.3+0.42+0.38</f>
        <v>1.1</v>
      </c>
      <c r="J175" s="141">
        <f t="shared" si="150"/>
        <v>23.1</v>
      </c>
      <c r="K175" s="142">
        <f>'LABOR SHEET'!C$3</f>
        <v>128</v>
      </c>
      <c r="L175" s="143">
        <f t="shared" si="151"/>
        <v>140.8</v>
      </c>
      <c r="M175" s="143">
        <f t="shared" si="152"/>
        <v>2956.8</v>
      </c>
      <c r="N175" s="143">
        <f>40+42+38</f>
        <v>120</v>
      </c>
      <c r="O175" s="143">
        <f t="shared" si="153"/>
        <v>2520</v>
      </c>
      <c r="P175" s="143">
        <f t="shared" si="154"/>
        <v>260.8</v>
      </c>
      <c r="Q175" s="178">
        <f t="shared" si="155"/>
        <v>5476.8</v>
      </c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81"/>
      <c r="AJ175" s="181"/>
    </row>
    <row r="176" s="32" customFormat="1" ht="31.5" spans="1:36">
      <c r="A176" s="91">
        <f>IF(F176&lt;&gt;"",1+MAX($A$2:A175),"")</f>
        <v>134</v>
      </c>
      <c r="B176" s="92"/>
      <c r="C176" s="93"/>
      <c r="D176" s="66" t="s">
        <v>188</v>
      </c>
      <c r="E176" s="69">
        <v>9</v>
      </c>
      <c r="F176" s="68">
        <v>0</v>
      </c>
      <c r="G176" s="63">
        <f t="shared" si="149"/>
        <v>9</v>
      </c>
      <c r="H176" s="67" t="s">
        <v>73</v>
      </c>
      <c r="I176" s="140">
        <f>0.3+0.42+0.2+0.38</f>
        <v>1.3</v>
      </c>
      <c r="J176" s="141">
        <f t="shared" si="150"/>
        <v>11.7</v>
      </c>
      <c r="K176" s="142">
        <f>'LABOR SHEET'!C$3</f>
        <v>128</v>
      </c>
      <c r="L176" s="143">
        <f t="shared" si="151"/>
        <v>166.4</v>
      </c>
      <c r="M176" s="143">
        <f t="shared" si="152"/>
        <v>1497.6</v>
      </c>
      <c r="N176" s="143">
        <f>30+42+24.1+38</f>
        <v>134.1</v>
      </c>
      <c r="O176" s="143">
        <f t="shared" si="153"/>
        <v>1206.9</v>
      </c>
      <c r="P176" s="143">
        <f t="shared" si="154"/>
        <v>300.5</v>
      </c>
      <c r="Q176" s="178">
        <f t="shared" si="155"/>
        <v>2704.5</v>
      </c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81"/>
      <c r="AJ176" s="181"/>
    </row>
    <row r="177" s="32" customFormat="1" spans="1:36">
      <c r="A177" s="91">
        <f>IF(F177&lt;&gt;"",1+MAX($A$2:A176),"")</f>
        <v>135</v>
      </c>
      <c r="B177" s="92"/>
      <c r="C177" s="93"/>
      <c r="D177" s="66" t="s">
        <v>189</v>
      </c>
      <c r="E177" s="69">
        <v>1</v>
      </c>
      <c r="F177" s="68">
        <v>0</v>
      </c>
      <c r="G177" s="63">
        <f t="shared" si="149"/>
        <v>1</v>
      </c>
      <c r="H177" s="67" t="s">
        <v>73</v>
      </c>
      <c r="I177" s="140">
        <v>1</v>
      </c>
      <c r="J177" s="141">
        <f t="shared" si="150"/>
        <v>1</v>
      </c>
      <c r="K177" s="142">
        <f>'LABOR SHEET'!C$3</f>
        <v>128</v>
      </c>
      <c r="L177" s="143">
        <f t="shared" si="151"/>
        <v>128</v>
      </c>
      <c r="M177" s="143">
        <f t="shared" si="152"/>
        <v>128</v>
      </c>
      <c r="N177" s="143">
        <v>161.5</v>
      </c>
      <c r="O177" s="143">
        <f t="shared" si="153"/>
        <v>161.5</v>
      </c>
      <c r="P177" s="143">
        <f t="shared" si="154"/>
        <v>289.5</v>
      </c>
      <c r="Q177" s="178">
        <f t="shared" si="155"/>
        <v>289.5</v>
      </c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81"/>
      <c r="AJ177" s="181"/>
    </row>
    <row r="178" s="32" customFormat="1" ht="31.5" spans="1:36">
      <c r="A178" s="91">
        <f>IF(F178&lt;&gt;"",1+MAX($A$2:A177),"")</f>
        <v>136</v>
      </c>
      <c r="B178" s="92"/>
      <c r="C178" s="93"/>
      <c r="D178" s="66" t="s">
        <v>190</v>
      </c>
      <c r="E178" s="69">
        <v>3</v>
      </c>
      <c r="F178" s="68">
        <v>0</v>
      </c>
      <c r="G178" s="63">
        <f t="shared" si="149"/>
        <v>3</v>
      </c>
      <c r="H178" s="67" t="s">
        <v>73</v>
      </c>
      <c r="I178" s="140">
        <v>25</v>
      </c>
      <c r="J178" s="141">
        <f t="shared" si="150"/>
        <v>75</v>
      </c>
      <c r="K178" s="142">
        <f>'LABOR SHEET'!C$3</f>
        <v>128</v>
      </c>
      <c r="L178" s="143">
        <f t="shared" si="151"/>
        <v>3200</v>
      </c>
      <c r="M178" s="143">
        <f t="shared" si="152"/>
        <v>9600</v>
      </c>
      <c r="N178" s="143">
        <v>14950</v>
      </c>
      <c r="O178" s="143">
        <f t="shared" si="153"/>
        <v>44850</v>
      </c>
      <c r="P178" s="143">
        <f t="shared" si="154"/>
        <v>18150</v>
      </c>
      <c r="Q178" s="178">
        <f t="shared" si="155"/>
        <v>54450</v>
      </c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81"/>
      <c r="AJ178" s="181"/>
    </row>
    <row r="179" s="32" customFormat="1" ht="110.25" spans="1:36">
      <c r="A179" s="91">
        <f>IF(F179&lt;&gt;"",1+MAX($A$2:A178),"")</f>
        <v>137</v>
      </c>
      <c r="B179" s="92"/>
      <c r="C179" s="93"/>
      <c r="D179" s="66" t="s">
        <v>191</v>
      </c>
      <c r="E179" s="69">
        <v>4</v>
      </c>
      <c r="F179" s="68">
        <v>0</v>
      </c>
      <c r="G179" s="63">
        <f t="shared" si="149"/>
        <v>4</v>
      </c>
      <c r="H179" s="67" t="s">
        <v>73</v>
      </c>
      <c r="I179" s="140">
        <f>(1.5*3)+(0.35)+(0.55)+(0.6)+(0.45)+(2.5)</f>
        <v>8.95</v>
      </c>
      <c r="J179" s="141">
        <f t="shared" si="150"/>
        <v>35.8</v>
      </c>
      <c r="K179" s="142">
        <f>'LABOR SHEET'!C$3</f>
        <v>128</v>
      </c>
      <c r="L179" s="143">
        <f t="shared" si="151"/>
        <v>1145.6</v>
      </c>
      <c r="M179" s="143">
        <f t="shared" si="152"/>
        <v>4582.4</v>
      </c>
      <c r="N179" s="143">
        <f>(344.8*3)+(56.36)+(86)+(99)+(38)+(1107.77)</f>
        <v>2421.53</v>
      </c>
      <c r="O179" s="143">
        <f t="shared" si="153"/>
        <v>9686.12</v>
      </c>
      <c r="P179" s="143">
        <f t="shared" si="154"/>
        <v>3567.13</v>
      </c>
      <c r="Q179" s="178">
        <f t="shared" si="155"/>
        <v>14268.52</v>
      </c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81"/>
      <c r="AJ179" s="181"/>
    </row>
    <row r="180" s="32" customFormat="1" spans="1:36">
      <c r="A180" s="91">
        <f>IF(F180&lt;&gt;"",1+MAX($A$2:A179),"")</f>
        <v>138</v>
      </c>
      <c r="B180" s="92"/>
      <c r="C180" s="93"/>
      <c r="D180" s="66" t="s">
        <v>192</v>
      </c>
      <c r="E180" s="69">
        <v>16</v>
      </c>
      <c r="F180" s="68">
        <v>0</v>
      </c>
      <c r="G180" s="63">
        <f t="shared" si="149"/>
        <v>16</v>
      </c>
      <c r="H180" s="67" t="s">
        <v>73</v>
      </c>
      <c r="I180" s="140">
        <v>0.4</v>
      </c>
      <c r="J180" s="141">
        <f t="shared" si="150"/>
        <v>6.4</v>
      </c>
      <c r="K180" s="142">
        <f>'LABOR SHEET'!C$3</f>
        <v>128</v>
      </c>
      <c r="L180" s="143">
        <f t="shared" si="151"/>
        <v>51.2</v>
      </c>
      <c r="M180" s="143">
        <f t="shared" si="152"/>
        <v>819.2</v>
      </c>
      <c r="N180" s="143">
        <v>48</v>
      </c>
      <c r="O180" s="143">
        <f t="shared" si="153"/>
        <v>768</v>
      </c>
      <c r="P180" s="143">
        <f t="shared" si="154"/>
        <v>99.2</v>
      </c>
      <c r="Q180" s="178">
        <f t="shared" si="155"/>
        <v>1587.2</v>
      </c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81"/>
      <c r="AJ180" s="181"/>
    </row>
    <row r="181" s="32" customFormat="1" spans="1:36">
      <c r="A181" s="91">
        <f>IF(F181&lt;&gt;"",1+MAX($A$2:A180),"")</f>
        <v>139</v>
      </c>
      <c r="B181" s="92"/>
      <c r="C181" s="93"/>
      <c r="D181" s="66" t="s">
        <v>193</v>
      </c>
      <c r="E181" s="69">
        <v>2</v>
      </c>
      <c r="F181" s="68">
        <v>0</v>
      </c>
      <c r="G181" s="63">
        <f t="shared" si="149"/>
        <v>2</v>
      </c>
      <c r="H181" s="67" t="s">
        <v>73</v>
      </c>
      <c r="I181" s="140">
        <v>0.55</v>
      </c>
      <c r="J181" s="141">
        <f t="shared" si="150"/>
        <v>1.1</v>
      </c>
      <c r="K181" s="142">
        <f>'LABOR SHEET'!C$3</f>
        <v>128</v>
      </c>
      <c r="L181" s="143">
        <f t="shared" si="151"/>
        <v>70.4</v>
      </c>
      <c r="M181" s="143">
        <f t="shared" si="152"/>
        <v>140.8</v>
      </c>
      <c r="N181" s="143">
        <v>55</v>
      </c>
      <c r="O181" s="143">
        <f t="shared" si="153"/>
        <v>110</v>
      </c>
      <c r="P181" s="143">
        <f t="shared" si="154"/>
        <v>125.4</v>
      </c>
      <c r="Q181" s="178">
        <f t="shared" si="155"/>
        <v>250.8</v>
      </c>
      <c r="R181" s="181"/>
      <c r="S181" s="181"/>
      <c r="T181" s="181"/>
      <c r="U181" s="181"/>
      <c r="V181" s="181"/>
      <c r="W181" s="181"/>
      <c r="X181" s="181"/>
      <c r="Y181" s="181"/>
      <c r="Z181" s="181"/>
      <c r="AA181" s="181"/>
      <c r="AB181" s="181"/>
      <c r="AC181" s="181"/>
      <c r="AD181" s="181"/>
      <c r="AE181" s="181"/>
      <c r="AF181" s="181"/>
      <c r="AG181" s="181"/>
      <c r="AH181" s="181"/>
      <c r="AI181" s="181"/>
      <c r="AJ181" s="181"/>
    </row>
    <row r="182" s="32" customFormat="1" ht="31.5" spans="1:36">
      <c r="A182" s="91">
        <f>IF(F182&lt;&gt;"",1+MAX($A$2:A181),"")</f>
        <v>140</v>
      </c>
      <c r="B182" s="92"/>
      <c r="C182" s="93"/>
      <c r="D182" s="66" t="s">
        <v>194</v>
      </c>
      <c r="E182" s="69">
        <v>20</v>
      </c>
      <c r="F182" s="68">
        <v>0</v>
      </c>
      <c r="G182" s="63">
        <f t="shared" si="149"/>
        <v>20</v>
      </c>
      <c r="H182" s="67" t="s">
        <v>73</v>
      </c>
      <c r="I182" s="140">
        <v>0.35</v>
      </c>
      <c r="J182" s="141">
        <f t="shared" si="150"/>
        <v>7</v>
      </c>
      <c r="K182" s="142">
        <f>'LABOR SHEET'!C$3</f>
        <v>128</v>
      </c>
      <c r="L182" s="143">
        <f t="shared" si="151"/>
        <v>44.8</v>
      </c>
      <c r="M182" s="143">
        <f t="shared" si="152"/>
        <v>896</v>
      </c>
      <c r="N182" s="143">
        <v>37.8</v>
      </c>
      <c r="O182" s="143">
        <f t="shared" si="153"/>
        <v>756</v>
      </c>
      <c r="P182" s="143">
        <f t="shared" si="154"/>
        <v>82.6</v>
      </c>
      <c r="Q182" s="178">
        <f t="shared" si="155"/>
        <v>1652</v>
      </c>
      <c r="R182" s="181"/>
      <c r="S182" s="181"/>
      <c r="T182" s="181"/>
      <c r="U182" s="181"/>
      <c r="V182" s="181"/>
      <c r="W182" s="181"/>
      <c r="X182" s="181"/>
      <c r="Y182" s="181"/>
      <c r="Z182" s="181"/>
      <c r="AA182" s="181"/>
      <c r="AB182" s="181"/>
      <c r="AC182" s="181"/>
      <c r="AD182" s="181"/>
      <c r="AE182" s="181"/>
      <c r="AF182" s="181"/>
      <c r="AG182" s="181"/>
      <c r="AH182" s="181"/>
      <c r="AI182" s="181"/>
      <c r="AJ182" s="181"/>
    </row>
    <row r="183" s="32" customFormat="1" spans="1:36">
      <c r="A183" s="91">
        <f>IF(F183&lt;&gt;"",1+MAX($A$2:A182),"")</f>
        <v>141</v>
      </c>
      <c r="B183" s="92"/>
      <c r="C183" s="93"/>
      <c r="D183" s="66" t="s">
        <v>195</v>
      </c>
      <c r="E183" s="69">
        <v>2</v>
      </c>
      <c r="F183" s="68">
        <v>0</v>
      </c>
      <c r="G183" s="63">
        <f t="shared" si="149"/>
        <v>2</v>
      </c>
      <c r="H183" s="67" t="s">
        <v>73</v>
      </c>
      <c r="I183" s="140">
        <v>2</v>
      </c>
      <c r="J183" s="141">
        <f t="shared" ref="J183" si="156">+I183*G183</f>
        <v>4</v>
      </c>
      <c r="K183" s="142">
        <f>'LABOR SHEET'!C$3</f>
        <v>128</v>
      </c>
      <c r="L183" s="143">
        <f t="shared" ref="L183" si="157">I183*K183</f>
        <v>256</v>
      </c>
      <c r="M183" s="143">
        <f t="shared" ref="M183" si="158">K183*J183</f>
        <v>512</v>
      </c>
      <c r="N183" s="143">
        <v>206.78</v>
      </c>
      <c r="O183" s="143">
        <f t="shared" ref="O183" si="159">N183*G183</f>
        <v>413.56</v>
      </c>
      <c r="P183" s="143">
        <f t="shared" ref="P183" si="160">(I183*K183)+N183</f>
        <v>462.78</v>
      </c>
      <c r="Q183" s="178">
        <f t="shared" ref="Q183" si="161">P183*G183</f>
        <v>925.56</v>
      </c>
      <c r="R183" s="181"/>
      <c r="S183" s="181"/>
      <c r="T183" s="181"/>
      <c r="U183" s="181"/>
      <c r="V183" s="181"/>
      <c r="W183" s="181"/>
      <c r="X183" s="181"/>
      <c r="Y183" s="181"/>
      <c r="Z183" s="181"/>
      <c r="AA183" s="181"/>
      <c r="AB183" s="181"/>
      <c r="AC183" s="181"/>
      <c r="AD183" s="181"/>
      <c r="AE183" s="181"/>
      <c r="AF183" s="181"/>
      <c r="AG183" s="181"/>
      <c r="AH183" s="181"/>
      <c r="AI183" s="181"/>
      <c r="AJ183" s="181"/>
    </row>
    <row r="184" s="32" customFormat="1" spans="1:36">
      <c r="A184" s="91">
        <f>IF(F184&lt;&gt;"",1+MAX($A$2:A183),"")</f>
        <v>142</v>
      </c>
      <c r="B184" s="92"/>
      <c r="C184" s="93"/>
      <c r="D184" s="66" t="s">
        <v>196</v>
      </c>
      <c r="E184" s="69">
        <v>12</v>
      </c>
      <c r="F184" s="68">
        <v>0</v>
      </c>
      <c r="G184" s="63">
        <f t="shared" si="149"/>
        <v>12</v>
      </c>
      <c r="H184" s="67" t="s">
        <v>73</v>
      </c>
      <c r="I184" s="140">
        <v>0.6</v>
      </c>
      <c r="J184" s="141">
        <f t="shared" si="150"/>
        <v>7.2</v>
      </c>
      <c r="K184" s="142">
        <f>'LABOR SHEET'!C$3</f>
        <v>128</v>
      </c>
      <c r="L184" s="143">
        <f t="shared" si="151"/>
        <v>76.8</v>
      </c>
      <c r="M184" s="143">
        <f t="shared" si="152"/>
        <v>921.6</v>
      </c>
      <c r="N184" s="143">
        <v>66</v>
      </c>
      <c r="O184" s="143">
        <f t="shared" si="153"/>
        <v>792</v>
      </c>
      <c r="P184" s="143">
        <f t="shared" si="154"/>
        <v>142.8</v>
      </c>
      <c r="Q184" s="178">
        <f t="shared" si="155"/>
        <v>1713.6</v>
      </c>
      <c r="R184" s="181"/>
      <c r="S184" s="181"/>
      <c r="T184" s="181"/>
      <c r="U184" s="181"/>
      <c r="V184" s="181"/>
      <c r="W184" s="181"/>
      <c r="X184" s="181"/>
      <c r="Y184" s="181"/>
      <c r="Z184" s="181"/>
      <c r="AA184" s="181"/>
      <c r="AB184" s="181"/>
      <c r="AC184" s="181"/>
      <c r="AD184" s="181"/>
      <c r="AE184" s="181"/>
      <c r="AF184" s="181"/>
      <c r="AG184" s="181"/>
      <c r="AH184" s="181"/>
      <c r="AI184" s="181"/>
      <c r="AJ184" s="181"/>
    </row>
    <row r="185" s="32" customFormat="1" spans="1:36">
      <c r="A185" s="91">
        <f>IF(F185&lt;&gt;"",1+MAX($A$2:A184),"")</f>
        <v>143</v>
      </c>
      <c r="B185" s="92"/>
      <c r="C185" s="93"/>
      <c r="D185" s="66" t="s">
        <v>197</v>
      </c>
      <c r="E185" s="69">
        <v>1</v>
      </c>
      <c r="F185" s="68">
        <v>0</v>
      </c>
      <c r="G185" s="63">
        <f t="shared" si="149"/>
        <v>1</v>
      </c>
      <c r="H185" s="67" t="s">
        <v>73</v>
      </c>
      <c r="I185" s="140">
        <v>0.7</v>
      </c>
      <c r="J185" s="141">
        <f t="shared" si="150"/>
        <v>0.7</v>
      </c>
      <c r="K185" s="142">
        <f>'LABOR SHEET'!C$3</f>
        <v>128</v>
      </c>
      <c r="L185" s="143">
        <f t="shared" si="151"/>
        <v>89.6</v>
      </c>
      <c r="M185" s="143">
        <f t="shared" si="152"/>
        <v>89.6</v>
      </c>
      <c r="N185" s="143">
        <v>72.5</v>
      </c>
      <c r="O185" s="143">
        <f t="shared" si="153"/>
        <v>72.5</v>
      </c>
      <c r="P185" s="143">
        <f t="shared" si="154"/>
        <v>162.1</v>
      </c>
      <c r="Q185" s="178">
        <f t="shared" si="155"/>
        <v>162.1</v>
      </c>
      <c r="R185" s="181"/>
      <c r="S185" s="181"/>
      <c r="T185" s="181"/>
      <c r="U185" s="181"/>
      <c r="V185" s="181"/>
      <c r="W185" s="181"/>
      <c r="X185" s="181"/>
      <c r="Y185" s="181"/>
      <c r="Z185" s="181"/>
      <c r="AA185" s="181"/>
      <c r="AB185" s="181"/>
      <c r="AC185" s="181"/>
      <c r="AD185" s="181"/>
      <c r="AE185" s="181"/>
      <c r="AF185" s="181"/>
      <c r="AG185" s="181"/>
      <c r="AH185" s="181"/>
      <c r="AI185" s="181"/>
      <c r="AJ185" s="181"/>
    </row>
    <row r="186" s="32" customFormat="1" spans="1:36">
      <c r="A186" s="91" t="str">
        <f>IF(F186&lt;&gt;"",1+MAX($A$2:A185),"")</f>
        <v/>
      </c>
      <c r="B186" s="92"/>
      <c r="C186" s="93"/>
      <c r="D186" s="66"/>
      <c r="E186" s="69"/>
      <c r="F186" s="94"/>
      <c r="G186" s="95"/>
      <c r="H186" s="67"/>
      <c r="I186" s="140"/>
      <c r="J186" s="141"/>
      <c r="K186" s="142"/>
      <c r="L186" s="143"/>
      <c r="M186" s="143"/>
      <c r="N186" s="143"/>
      <c r="O186" s="143"/>
      <c r="P186" s="143"/>
      <c r="Q186" s="179"/>
      <c r="R186" s="181"/>
      <c r="S186" s="181"/>
      <c r="T186" s="181"/>
      <c r="U186" s="181"/>
      <c r="V186" s="181"/>
      <c r="W186" s="181"/>
      <c r="X186" s="181"/>
      <c r="Y186" s="181"/>
      <c r="Z186" s="181"/>
      <c r="AA186" s="181"/>
      <c r="AB186" s="181"/>
      <c r="AC186" s="181"/>
      <c r="AD186" s="181"/>
      <c r="AE186" s="181"/>
      <c r="AF186" s="181"/>
      <c r="AG186" s="181"/>
      <c r="AH186" s="181"/>
      <c r="AI186" s="181"/>
      <c r="AJ186" s="181"/>
    </row>
    <row r="187" s="32" customFormat="1" spans="1:36">
      <c r="A187" s="91" t="str">
        <f>IF(F187&lt;&gt;"",1+MAX($A$2:A186),"")</f>
        <v/>
      </c>
      <c r="B187" s="92"/>
      <c r="C187" s="93"/>
      <c r="D187" s="57" t="s">
        <v>198</v>
      </c>
      <c r="E187" s="69"/>
      <c r="F187" s="94"/>
      <c r="G187" s="95"/>
      <c r="H187" s="67"/>
      <c r="I187" s="140"/>
      <c r="J187" s="141"/>
      <c r="K187" s="142"/>
      <c r="L187" s="143"/>
      <c r="M187" s="143"/>
      <c r="N187" s="143"/>
      <c r="O187" s="143"/>
      <c r="P187" s="143"/>
      <c r="Q187" s="179"/>
      <c r="R187" s="181"/>
      <c r="S187" s="181"/>
      <c r="T187" s="181"/>
      <c r="U187" s="181"/>
      <c r="V187" s="181"/>
      <c r="W187" s="181"/>
      <c r="X187" s="181"/>
      <c r="Y187" s="181"/>
      <c r="Z187" s="181"/>
      <c r="AA187" s="181"/>
      <c r="AB187" s="181"/>
      <c r="AC187" s="181"/>
      <c r="AD187" s="181"/>
      <c r="AE187" s="181"/>
      <c r="AF187" s="181"/>
      <c r="AG187" s="181"/>
      <c r="AH187" s="181"/>
      <c r="AI187" s="181"/>
      <c r="AJ187" s="181"/>
    </row>
    <row r="188" s="32" customFormat="1" spans="1:36">
      <c r="A188" s="91" t="str">
        <f>IF(F188&lt;&gt;"",1+MAX($A$2:A187),"")</f>
        <v/>
      </c>
      <c r="B188" s="92"/>
      <c r="C188" s="93"/>
      <c r="D188" s="87" t="s">
        <v>199</v>
      </c>
      <c r="E188" s="69"/>
      <c r="F188" s="94"/>
      <c r="G188" s="95"/>
      <c r="H188" s="67"/>
      <c r="I188" s="140"/>
      <c r="J188" s="141"/>
      <c r="K188" s="142"/>
      <c r="L188" s="143"/>
      <c r="M188" s="143"/>
      <c r="N188" s="143"/>
      <c r="O188" s="143"/>
      <c r="P188" s="143"/>
      <c r="Q188" s="179"/>
      <c r="R188" s="181"/>
      <c r="S188" s="181"/>
      <c r="T188" s="181"/>
      <c r="U188" s="181"/>
      <c r="V188" s="181"/>
      <c r="W188" s="181"/>
      <c r="X188" s="181"/>
      <c r="Y188" s="181"/>
      <c r="Z188" s="181"/>
      <c r="AA188" s="181"/>
      <c r="AB188" s="181"/>
      <c r="AC188" s="181"/>
      <c r="AD188" s="181"/>
      <c r="AE188" s="181"/>
      <c r="AF188" s="181"/>
      <c r="AG188" s="181"/>
      <c r="AH188" s="181"/>
      <c r="AI188" s="181"/>
      <c r="AJ188" s="181"/>
    </row>
    <row r="189" s="32" customFormat="1" ht="47.25" spans="1:36">
      <c r="A189" s="91">
        <f>IF(F189&lt;&gt;"",1+MAX($A$2:A188),"")</f>
        <v>144</v>
      </c>
      <c r="B189" s="92"/>
      <c r="C189" s="93"/>
      <c r="D189" s="66" t="s">
        <v>200</v>
      </c>
      <c r="E189" s="69">
        <v>5</v>
      </c>
      <c r="F189" s="68">
        <v>0</v>
      </c>
      <c r="G189" s="63">
        <f t="shared" ref="G189:G230" si="162">(F189*E189)+E189</f>
        <v>5</v>
      </c>
      <c r="H189" s="67" t="s">
        <v>73</v>
      </c>
      <c r="I189" s="140">
        <v>0.7</v>
      </c>
      <c r="J189" s="141">
        <f t="shared" ref="J189:J230" si="163">+I189*G189</f>
        <v>3.5</v>
      </c>
      <c r="K189" s="142">
        <f>'LABOR SHEET'!C$3</f>
        <v>128</v>
      </c>
      <c r="L189" s="143">
        <f t="shared" ref="L189:L230" si="164">I189*K189</f>
        <v>89.6</v>
      </c>
      <c r="M189" s="143">
        <f t="shared" ref="M189:M230" si="165">K189*J189</f>
        <v>448</v>
      </c>
      <c r="N189" s="143">
        <v>117.6</v>
      </c>
      <c r="O189" s="143">
        <f t="shared" ref="O189:O230" si="166">N189*G189</f>
        <v>588</v>
      </c>
      <c r="P189" s="143">
        <f t="shared" ref="P189:P230" si="167">(I189*K189)+N189</f>
        <v>207.2</v>
      </c>
      <c r="Q189" s="178">
        <f t="shared" ref="Q189:Q230" si="168">P189*G189</f>
        <v>1036</v>
      </c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81"/>
      <c r="AJ189" s="181"/>
    </row>
    <row r="190" s="32" customFormat="1" ht="47.25" spans="1:36">
      <c r="A190" s="91">
        <f>IF(F190&lt;&gt;"",1+MAX($A$2:A189),"")</f>
        <v>145</v>
      </c>
      <c r="B190" s="92"/>
      <c r="C190" s="93"/>
      <c r="D190" s="66" t="s">
        <v>201</v>
      </c>
      <c r="E190" s="69">
        <v>3</v>
      </c>
      <c r="F190" s="68">
        <v>0</v>
      </c>
      <c r="G190" s="63">
        <f t="shared" si="162"/>
        <v>3</v>
      </c>
      <c r="H190" s="67" t="s">
        <v>73</v>
      </c>
      <c r="I190" s="140">
        <v>0.7</v>
      </c>
      <c r="J190" s="141">
        <f t="shared" ref="J190:J193" si="169">+I190*G190</f>
        <v>2.1</v>
      </c>
      <c r="K190" s="142">
        <f>'LABOR SHEET'!C$3</f>
        <v>128</v>
      </c>
      <c r="L190" s="143">
        <f t="shared" ref="L190:L193" si="170">I190*K190</f>
        <v>89.6</v>
      </c>
      <c r="M190" s="143">
        <f t="shared" ref="M190:M193" si="171">K190*J190</f>
        <v>268.8</v>
      </c>
      <c r="N190" s="143">
        <v>117.6</v>
      </c>
      <c r="O190" s="143">
        <f t="shared" ref="O190:O193" si="172">N190*G190</f>
        <v>352.8</v>
      </c>
      <c r="P190" s="143">
        <f t="shared" ref="P190:P193" si="173">(I190*K190)+N190</f>
        <v>207.2</v>
      </c>
      <c r="Q190" s="178">
        <f t="shared" ref="Q190:Q193" si="174">P190*G190</f>
        <v>621.6</v>
      </c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81"/>
      <c r="AJ190" s="181"/>
    </row>
    <row r="191" s="32" customFormat="1" ht="47.25" spans="1:36">
      <c r="A191" s="91">
        <f>IF(F191&lt;&gt;"",1+MAX($A$2:A190),"")</f>
        <v>146</v>
      </c>
      <c r="B191" s="92"/>
      <c r="C191" s="93"/>
      <c r="D191" s="66" t="s">
        <v>202</v>
      </c>
      <c r="E191" s="69">
        <v>4</v>
      </c>
      <c r="F191" s="68">
        <v>0</v>
      </c>
      <c r="G191" s="63">
        <f t="shared" si="162"/>
        <v>4</v>
      </c>
      <c r="H191" s="67" t="s">
        <v>73</v>
      </c>
      <c r="I191" s="140">
        <v>0.7</v>
      </c>
      <c r="J191" s="141">
        <f t="shared" si="169"/>
        <v>2.8</v>
      </c>
      <c r="K191" s="142">
        <f>'LABOR SHEET'!C$3</f>
        <v>128</v>
      </c>
      <c r="L191" s="143">
        <f t="shared" si="170"/>
        <v>89.6</v>
      </c>
      <c r="M191" s="143">
        <f t="shared" si="171"/>
        <v>358.4</v>
      </c>
      <c r="N191" s="143">
        <v>117.6</v>
      </c>
      <c r="O191" s="143">
        <f t="shared" si="172"/>
        <v>470.4</v>
      </c>
      <c r="P191" s="143">
        <f t="shared" si="173"/>
        <v>207.2</v>
      </c>
      <c r="Q191" s="178">
        <f t="shared" si="174"/>
        <v>828.8</v>
      </c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81"/>
      <c r="AJ191" s="181"/>
    </row>
    <row r="192" s="32" customFormat="1" ht="47.25" spans="1:36">
      <c r="A192" s="91">
        <f>IF(F192&lt;&gt;"",1+MAX($A$2:A191),"")</f>
        <v>147</v>
      </c>
      <c r="B192" s="92"/>
      <c r="C192" s="93"/>
      <c r="D192" s="66" t="s">
        <v>203</v>
      </c>
      <c r="E192" s="69">
        <v>2</v>
      </c>
      <c r="F192" s="68">
        <v>0</v>
      </c>
      <c r="G192" s="63">
        <f t="shared" si="162"/>
        <v>2</v>
      </c>
      <c r="H192" s="67" t="s">
        <v>73</v>
      </c>
      <c r="I192" s="140">
        <v>0.7</v>
      </c>
      <c r="J192" s="141">
        <f t="shared" si="169"/>
        <v>1.4</v>
      </c>
      <c r="K192" s="142">
        <f>'LABOR SHEET'!C$3</f>
        <v>128</v>
      </c>
      <c r="L192" s="143">
        <f t="shared" si="170"/>
        <v>89.6</v>
      </c>
      <c r="M192" s="143">
        <f t="shared" si="171"/>
        <v>179.2</v>
      </c>
      <c r="N192" s="143">
        <v>117.6</v>
      </c>
      <c r="O192" s="143">
        <f t="shared" si="172"/>
        <v>235.2</v>
      </c>
      <c r="P192" s="143">
        <f t="shared" si="173"/>
        <v>207.2</v>
      </c>
      <c r="Q192" s="178">
        <f t="shared" si="174"/>
        <v>414.4</v>
      </c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81"/>
      <c r="AJ192" s="181"/>
    </row>
    <row r="193" s="32" customFormat="1" ht="47.25" spans="1:36">
      <c r="A193" s="91">
        <f>IF(F193&lt;&gt;"",1+MAX($A$2:A192),"")</f>
        <v>148</v>
      </c>
      <c r="B193" s="92"/>
      <c r="C193" s="93"/>
      <c r="D193" s="66" t="s">
        <v>204</v>
      </c>
      <c r="E193" s="69">
        <v>4</v>
      </c>
      <c r="F193" s="68">
        <v>0</v>
      </c>
      <c r="G193" s="63">
        <f t="shared" si="162"/>
        <v>4</v>
      </c>
      <c r="H193" s="67" t="s">
        <v>73</v>
      </c>
      <c r="I193" s="140">
        <v>0.7</v>
      </c>
      <c r="J193" s="141">
        <f t="shared" si="169"/>
        <v>2.8</v>
      </c>
      <c r="K193" s="142">
        <f>'LABOR SHEET'!C$3</f>
        <v>128</v>
      </c>
      <c r="L193" s="143">
        <f t="shared" si="170"/>
        <v>89.6</v>
      </c>
      <c r="M193" s="143">
        <f t="shared" si="171"/>
        <v>358.4</v>
      </c>
      <c r="N193" s="143">
        <v>117.6</v>
      </c>
      <c r="O193" s="143">
        <f t="shared" si="172"/>
        <v>470.4</v>
      </c>
      <c r="P193" s="143">
        <f t="shared" si="173"/>
        <v>207.2</v>
      </c>
      <c r="Q193" s="178">
        <f t="shared" si="174"/>
        <v>828.8</v>
      </c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81"/>
      <c r="AJ193" s="181"/>
    </row>
    <row r="194" s="32" customFormat="1" ht="47.25" spans="1:36">
      <c r="A194" s="91">
        <f>IF(F194&lt;&gt;"",1+MAX($A$2:A193),"")</f>
        <v>149</v>
      </c>
      <c r="B194" s="92"/>
      <c r="C194" s="93"/>
      <c r="D194" s="66" t="s">
        <v>205</v>
      </c>
      <c r="E194" s="69">
        <v>1</v>
      </c>
      <c r="F194" s="68">
        <v>0</v>
      </c>
      <c r="G194" s="63">
        <f t="shared" si="162"/>
        <v>1</v>
      </c>
      <c r="H194" s="67" t="s">
        <v>73</v>
      </c>
      <c r="I194" s="140">
        <v>0.7</v>
      </c>
      <c r="J194" s="141">
        <f t="shared" si="163"/>
        <v>0.7</v>
      </c>
      <c r="K194" s="142">
        <f>'LABOR SHEET'!C$3</f>
        <v>128</v>
      </c>
      <c r="L194" s="143">
        <f t="shared" si="164"/>
        <v>89.6</v>
      </c>
      <c r="M194" s="143">
        <f t="shared" si="165"/>
        <v>89.6</v>
      </c>
      <c r="N194" s="143">
        <v>138</v>
      </c>
      <c r="O194" s="143">
        <f t="shared" si="166"/>
        <v>138</v>
      </c>
      <c r="P194" s="143">
        <f t="shared" si="167"/>
        <v>227.6</v>
      </c>
      <c r="Q194" s="178">
        <f t="shared" si="168"/>
        <v>227.6</v>
      </c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81"/>
      <c r="AJ194" s="181"/>
    </row>
    <row r="195" s="32" customFormat="1" ht="47.25" spans="1:36">
      <c r="A195" s="91">
        <f>IF(F195&lt;&gt;"",1+MAX($A$2:A194),"")</f>
        <v>150</v>
      </c>
      <c r="B195" s="92"/>
      <c r="C195" s="93"/>
      <c r="D195" s="66" t="s">
        <v>206</v>
      </c>
      <c r="E195" s="69">
        <v>2</v>
      </c>
      <c r="F195" s="68">
        <v>0</v>
      </c>
      <c r="G195" s="63">
        <f t="shared" si="162"/>
        <v>2</v>
      </c>
      <c r="H195" s="67" t="s">
        <v>73</v>
      </c>
      <c r="I195" s="140">
        <v>0.7</v>
      </c>
      <c r="J195" s="141">
        <f t="shared" ref="J195" si="175">+I195*G195</f>
        <v>1.4</v>
      </c>
      <c r="K195" s="142">
        <f>'LABOR SHEET'!C$3</f>
        <v>128</v>
      </c>
      <c r="L195" s="143">
        <f t="shared" ref="L195" si="176">I195*K195</f>
        <v>89.6</v>
      </c>
      <c r="M195" s="143">
        <f t="shared" ref="M195" si="177">K195*J195</f>
        <v>179.2</v>
      </c>
      <c r="N195" s="143">
        <v>138</v>
      </c>
      <c r="O195" s="143">
        <f t="shared" ref="O195" si="178">N195*G195</f>
        <v>276</v>
      </c>
      <c r="P195" s="143">
        <f t="shared" ref="P195" si="179">(I195*K195)+N195</f>
        <v>227.6</v>
      </c>
      <c r="Q195" s="178">
        <f t="shared" ref="Q195" si="180">P195*G195</f>
        <v>455.2</v>
      </c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81"/>
      <c r="AJ195" s="181"/>
    </row>
    <row r="196" s="32" customFormat="1" ht="47.25" spans="1:36">
      <c r="A196" s="91">
        <f>IF(F196&lt;&gt;"",1+MAX($A$2:A195),"")</f>
        <v>151</v>
      </c>
      <c r="B196" s="92"/>
      <c r="C196" s="93"/>
      <c r="D196" s="66" t="s">
        <v>207</v>
      </c>
      <c r="E196" s="69">
        <v>14</v>
      </c>
      <c r="F196" s="68">
        <v>0</v>
      </c>
      <c r="G196" s="63">
        <f t="shared" si="162"/>
        <v>14</v>
      </c>
      <c r="H196" s="67" t="s">
        <v>73</v>
      </c>
      <c r="I196" s="140">
        <v>0.7</v>
      </c>
      <c r="J196" s="141">
        <f t="shared" si="163"/>
        <v>9.8</v>
      </c>
      <c r="K196" s="142">
        <f>'LABOR SHEET'!C$3</f>
        <v>128</v>
      </c>
      <c r="L196" s="143">
        <f t="shared" si="164"/>
        <v>89.6</v>
      </c>
      <c r="M196" s="143">
        <f t="shared" si="165"/>
        <v>1254.4</v>
      </c>
      <c r="N196" s="143">
        <v>117.6</v>
      </c>
      <c r="O196" s="143">
        <f t="shared" si="166"/>
        <v>1646.4</v>
      </c>
      <c r="P196" s="143">
        <f t="shared" si="167"/>
        <v>207.2</v>
      </c>
      <c r="Q196" s="178">
        <f t="shared" si="168"/>
        <v>2900.8</v>
      </c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81"/>
      <c r="AJ196" s="181"/>
    </row>
    <row r="197" s="32" customFormat="1" ht="47.25" spans="1:36">
      <c r="A197" s="91">
        <f>IF(F197&lt;&gt;"",1+MAX($A$2:A196),"")</f>
        <v>152</v>
      </c>
      <c r="B197" s="92"/>
      <c r="C197" s="93"/>
      <c r="D197" s="66" t="s">
        <v>208</v>
      </c>
      <c r="E197" s="69">
        <v>3</v>
      </c>
      <c r="F197" s="68">
        <v>0</v>
      </c>
      <c r="G197" s="63">
        <f t="shared" si="162"/>
        <v>3</v>
      </c>
      <c r="H197" s="67" t="s">
        <v>73</v>
      </c>
      <c r="I197" s="140">
        <v>0.7</v>
      </c>
      <c r="J197" s="141">
        <f t="shared" si="163"/>
        <v>2.1</v>
      </c>
      <c r="K197" s="142">
        <f>'LABOR SHEET'!C$3</f>
        <v>128</v>
      </c>
      <c r="L197" s="143">
        <f t="shared" si="164"/>
        <v>89.6</v>
      </c>
      <c r="M197" s="143">
        <f t="shared" si="165"/>
        <v>268.8</v>
      </c>
      <c r="N197" s="143">
        <v>117.6</v>
      </c>
      <c r="O197" s="143">
        <f t="shared" si="166"/>
        <v>352.8</v>
      </c>
      <c r="P197" s="143">
        <f t="shared" si="167"/>
        <v>207.2</v>
      </c>
      <c r="Q197" s="178">
        <f t="shared" si="168"/>
        <v>621.6</v>
      </c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81"/>
      <c r="AJ197" s="181"/>
    </row>
    <row r="198" s="32" customFormat="1" ht="47.25" spans="1:36">
      <c r="A198" s="91">
        <f>IF(F198&lt;&gt;"",1+MAX($A$2:A197),"")</f>
        <v>153</v>
      </c>
      <c r="B198" s="92"/>
      <c r="C198" s="93"/>
      <c r="D198" s="66" t="s">
        <v>209</v>
      </c>
      <c r="E198" s="69">
        <v>1</v>
      </c>
      <c r="F198" s="68">
        <v>0</v>
      </c>
      <c r="G198" s="63">
        <f t="shared" si="162"/>
        <v>1</v>
      </c>
      <c r="H198" s="67" t="s">
        <v>73</v>
      </c>
      <c r="I198" s="140">
        <v>0.7</v>
      </c>
      <c r="J198" s="141">
        <f t="shared" si="163"/>
        <v>0.7</v>
      </c>
      <c r="K198" s="142">
        <f>'LABOR SHEET'!C$3</f>
        <v>128</v>
      </c>
      <c r="L198" s="143">
        <f t="shared" si="164"/>
        <v>89.6</v>
      </c>
      <c r="M198" s="143">
        <f t="shared" si="165"/>
        <v>89.6</v>
      </c>
      <c r="N198" s="143">
        <v>117.6</v>
      </c>
      <c r="O198" s="143">
        <f t="shared" si="166"/>
        <v>117.6</v>
      </c>
      <c r="P198" s="143">
        <f t="shared" si="167"/>
        <v>207.2</v>
      </c>
      <c r="Q198" s="178">
        <f t="shared" si="168"/>
        <v>207.2</v>
      </c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81"/>
      <c r="AJ198" s="181"/>
    </row>
    <row r="199" s="32" customFormat="1" ht="47.25" spans="1:36">
      <c r="A199" s="91">
        <f>IF(F199&lt;&gt;"",1+MAX($A$2:A198),"")</f>
        <v>154</v>
      </c>
      <c r="B199" s="92"/>
      <c r="C199" s="93"/>
      <c r="D199" s="66" t="s">
        <v>210</v>
      </c>
      <c r="E199" s="69">
        <v>16</v>
      </c>
      <c r="F199" s="68">
        <v>0</v>
      </c>
      <c r="G199" s="63">
        <f t="shared" si="162"/>
        <v>16</v>
      </c>
      <c r="H199" s="67" t="s">
        <v>73</v>
      </c>
      <c r="I199" s="140">
        <v>1</v>
      </c>
      <c r="J199" s="141">
        <f t="shared" si="163"/>
        <v>16</v>
      </c>
      <c r="K199" s="142">
        <f>'LABOR SHEET'!C$3</f>
        <v>128</v>
      </c>
      <c r="L199" s="143">
        <f t="shared" si="164"/>
        <v>128</v>
      </c>
      <c r="M199" s="143">
        <f t="shared" si="165"/>
        <v>2048</v>
      </c>
      <c r="N199" s="143">
        <v>305.25</v>
      </c>
      <c r="O199" s="143">
        <f t="shared" si="166"/>
        <v>4884</v>
      </c>
      <c r="P199" s="143">
        <f t="shared" si="167"/>
        <v>433.25</v>
      </c>
      <c r="Q199" s="178">
        <f t="shared" si="168"/>
        <v>6932</v>
      </c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81"/>
      <c r="AJ199" s="181"/>
    </row>
    <row r="200" s="32" customFormat="1" ht="47.25" spans="1:36">
      <c r="A200" s="91">
        <f>IF(F200&lt;&gt;"",1+MAX($A$2:A199),"")</f>
        <v>155</v>
      </c>
      <c r="B200" s="92"/>
      <c r="C200" s="93"/>
      <c r="D200" s="66" t="s">
        <v>211</v>
      </c>
      <c r="E200" s="69">
        <v>5</v>
      </c>
      <c r="F200" s="68">
        <v>0</v>
      </c>
      <c r="G200" s="63">
        <f t="shared" si="162"/>
        <v>5</v>
      </c>
      <c r="H200" s="67" t="s">
        <v>73</v>
      </c>
      <c r="I200" s="140">
        <v>1</v>
      </c>
      <c r="J200" s="141">
        <f t="shared" si="163"/>
        <v>5</v>
      </c>
      <c r="K200" s="142">
        <f>'LABOR SHEET'!C$3</f>
        <v>128</v>
      </c>
      <c r="L200" s="143">
        <f t="shared" si="164"/>
        <v>128</v>
      </c>
      <c r="M200" s="143">
        <f t="shared" si="165"/>
        <v>640</v>
      </c>
      <c r="N200" s="143">
        <v>203.21</v>
      </c>
      <c r="O200" s="143">
        <f t="shared" si="166"/>
        <v>1016.05</v>
      </c>
      <c r="P200" s="143">
        <f t="shared" si="167"/>
        <v>331.21</v>
      </c>
      <c r="Q200" s="178">
        <f t="shared" si="168"/>
        <v>1656.05</v>
      </c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81"/>
      <c r="AJ200" s="181"/>
    </row>
    <row r="201" s="32" customFormat="1" ht="47.25" spans="1:36">
      <c r="A201" s="91">
        <f>IF(F201&lt;&gt;"",1+MAX($A$2:A200),"")</f>
        <v>156</v>
      </c>
      <c r="B201" s="92"/>
      <c r="C201" s="93"/>
      <c r="D201" s="66" t="s">
        <v>212</v>
      </c>
      <c r="E201" s="69">
        <v>12</v>
      </c>
      <c r="F201" s="68">
        <v>0</v>
      </c>
      <c r="G201" s="63">
        <f t="shared" si="162"/>
        <v>12</v>
      </c>
      <c r="H201" s="67" t="s">
        <v>73</v>
      </c>
      <c r="I201" s="140">
        <v>1.25</v>
      </c>
      <c r="J201" s="141">
        <f t="shared" si="163"/>
        <v>15</v>
      </c>
      <c r="K201" s="142">
        <f>'LABOR SHEET'!C$3</f>
        <v>128</v>
      </c>
      <c r="L201" s="143">
        <f t="shared" si="164"/>
        <v>160</v>
      </c>
      <c r="M201" s="143">
        <f t="shared" si="165"/>
        <v>1920</v>
      </c>
      <c r="N201" s="143">
        <v>347.19</v>
      </c>
      <c r="O201" s="143">
        <f t="shared" si="166"/>
        <v>4166.28</v>
      </c>
      <c r="P201" s="143">
        <f t="shared" si="167"/>
        <v>507.19</v>
      </c>
      <c r="Q201" s="178">
        <f t="shared" si="168"/>
        <v>6086.28</v>
      </c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81"/>
      <c r="AJ201" s="181"/>
    </row>
    <row r="202" s="32" customFormat="1" ht="47.25" spans="1:36">
      <c r="A202" s="91">
        <f>IF(F202&lt;&gt;"",1+MAX($A$2:A201),"")</f>
        <v>157</v>
      </c>
      <c r="B202" s="92"/>
      <c r="C202" s="93"/>
      <c r="D202" s="66" t="s">
        <v>213</v>
      </c>
      <c r="E202" s="69">
        <v>17</v>
      </c>
      <c r="F202" s="68">
        <v>0</v>
      </c>
      <c r="G202" s="63">
        <f t="shared" si="162"/>
        <v>17</v>
      </c>
      <c r="H202" s="67" t="s">
        <v>73</v>
      </c>
      <c r="I202" s="140">
        <v>1</v>
      </c>
      <c r="J202" s="141">
        <f t="shared" si="163"/>
        <v>17</v>
      </c>
      <c r="K202" s="142">
        <f>'LABOR SHEET'!C$3</f>
        <v>128</v>
      </c>
      <c r="L202" s="143">
        <f t="shared" si="164"/>
        <v>128</v>
      </c>
      <c r="M202" s="143">
        <f t="shared" si="165"/>
        <v>2176</v>
      </c>
      <c r="N202" s="143">
        <v>148.54</v>
      </c>
      <c r="O202" s="143">
        <f t="shared" si="166"/>
        <v>2525.18</v>
      </c>
      <c r="P202" s="143">
        <f t="shared" si="167"/>
        <v>276.54</v>
      </c>
      <c r="Q202" s="178">
        <f t="shared" si="168"/>
        <v>4701.18</v>
      </c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81"/>
      <c r="AJ202" s="181"/>
    </row>
    <row r="203" s="32" customFormat="1" ht="47.25" spans="1:36">
      <c r="A203" s="91">
        <f>IF(F203&lt;&gt;"",1+MAX($A$2:A202),"")</f>
        <v>158</v>
      </c>
      <c r="B203" s="92"/>
      <c r="C203" s="93"/>
      <c r="D203" s="66" t="s">
        <v>214</v>
      </c>
      <c r="E203" s="69">
        <v>11</v>
      </c>
      <c r="F203" s="68">
        <v>0</v>
      </c>
      <c r="G203" s="63">
        <f t="shared" si="162"/>
        <v>11</v>
      </c>
      <c r="H203" s="67" t="s">
        <v>73</v>
      </c>
      <c r="I203" s="140">
        <v>2</v>
      </c>
      <c r="J203" s="141">
        <f t="shared" si="163"/>
        <v>22</v>
      </c>
      <c r="K203" s="142">
        <f>'LABOR SHEET'!C$3</f>
        <v>128</v>
      </c>
      <c r="L203" s="143">
        <f t="shared" si="164"/>
        <v>256</v>
      </c>
      <c r="M203" s="143">
        <f t="shared" si="165"/>
        <v>2816</v>
      </c>
      <c r="N203" s="143">
        <v>532</v>
      </c>
      <c r="O203" s="143">
        <f t="shared" si="166"/>
        <v>5852</v>
      </c>
      <c r="P203" s="143">
        <f t="shared" si="167"/>
        <v>788</v>
      </c>
      <c r="Q203" s="178">
        <f t="shared" si="168"/>
        <v>8668</v>
      </c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81"/>
      <c r="AJ203" s="181"/>
    </row>
    <row r="204" s="32" customFormat="1" ht="47.25" spans="1:36">
      <c r="A204" s="91">
        <f>IF(F204&lt;&gt;"",1+MAX($A$2:A203),"")</f>
        <v>159</v>
      </c>
      <c r="B204" s="92"/>
      <c r="C204" s="93"/>
      <c r="D204" s="66" t="s">
        <v>215</v>
      </c>
      <c r="E204" s="69">
        <v>6</v>
      </c>
      <c r="F204" s="68">
        <v>0</v>
      </c>
      <c r="G204" s="63">
        <f t="shared" si="162"/>
        <v>6</v>
      </c>
      <c r="H204" s="67" t="s">
        <v>73</v>
      </c>
      <c r="I204" s="140">
        <f>0.3*34</f>
        <v>10.2</v>
      </c>
      <c r="J204" s="141">
        <f t="shared" si="163"/>
        <v>61.2</v>
      </c>
      <c r="K204" s="142">
        <f>'LABOR SHEET'!C$3</f>
        <v>128</v>
      </c>
      <c r="L204" s="143">
        <f t="shared" si="164"/>
        <v>1305.6</v>
      </c>
      <c r="M204" s="143">
        <f t="shared" si="165"/>
        <v>7833.6</v>
      </c>
      <c r="N204" s="143">
        <f>122.5*34</f>
        <v>4165</v>
      </c>
      <c r="O204" s="143">
        <f t="shared" si="166"/>
        <v>24990</v>
      </c>
      <c r="P204" s="143">
        <f t="shared" si="167"/>
        <v>5470.6</v>
      </c>
      <c r="Q204" s="178">
        <f t="shared" si="168"/>
        <v>32823.6</v>
      </c>
      <c r="R204" s="181"/>
      <c r="S204" s="181"/>
      <c r="T204" s="181"/>
      <c r="U204" s="181"/>
      <c r="V204" s="181"/>
      <c r="W204" s="181"/>
      <c r="X204" s="181"/>
      <c r="Y204" s="181"/>
      <c r="Z204" s="181"/>
      <c r="AA204" s="181"/>
      <c r="AB204" s="181"/>
      <c r="AC204" s="181"/>
      <c r="AD204" s="181"/>
      <c r="AE204" s="181"/>
      <c r="AF204" s="181"/>
      <c r="AG204" s="181"/>
      <c r="AH204" s="181"/>
      <c r="AI204" s="181"/>
      <c r="AJ204" s="181"/>
    </row>
    <row r="205" s="32" customFormat="1" ht="47.25" spans="1:36">
      <c r="A205" s="91">
        <f>IF(F205&lt;&gt;"",1+MAX($A$2:A204),"")</f>
        <v>160</v>
      </c>
      <c r="B205" s="92"/>
      <c r="C205" s="93"/>
      <c r="D205" s="66" t="s">
        <v>216</v>
      </c>
      <c r="E205" s="69">
        <v>4</v>
      </c>
      <c r="F205" s="68">
        <v>0</v>
      </c>
      <c r="G205" s="63">
        <f t="shared" si="162"/>
        <v>4</v>
      </c>
      <c r="H205" s="67" t="s">
        <v>73</v>
      </c>
      <c r="I205" s="140">
        <f>0.3*34</f>
        <v>10.2</v>
      </c>
      <c r="J205" s="141">
        <f t="shared" si="163"/>
        <v>40.8</v>
      </c>
      <c r="K205" s="142">
        <f>'LABOR SHEET'!C$3</f>
        <v>128</v>
      </c>
      <c r="L205" s="143">
        <f t="shared" si="164"/>
        <v>1305.6</v>
      </c>
      <c r="M205" s="143">
        <f t="shared" si="165"/>
        <v>5222.4</v>
      </c>
      <c r="N205" s="143">
        <f>122.5*34</f>
        <v>4165</v>
      </c>
      <c r="O205" s="143">
        <f t="shared" si="166"/>
        <v>16660</v>
      </c>
      <c r="P205" s="143">
        <f t="shared" si="167"/>
        <v>5470.6</v>
      </c>
      <c r="Q205" s="178">
        <f t="shared" si="168"/>
        <v>21882.4</v>
      </c>
      <c r="R205" s="181"/>
      <c r="S205" s="181"/>
      <c r="T205" s="181"/>
      <c r="U205" s="181"/>
      <c r="V205" s="181"/>
      <c r="W205" s="181"/>
      <c r="X205" s="181"/>
      <c r="Y205" s="181"/>
      <c r="Z205" s="181"/>
      <c r="AA205" s="181"/>
      <c r="AB205" s="181"/>
      <c r="AC205" s="181"/>
      <c r="AD205" s="181"/>
      <c r="AE205" s="181"/>
      <c r="AF205" s="181"/>
      <c r="AG205" s="181"/>
      <c r="AH205" s="181"/>
      <c r="AI205" s="181"/>
      <c r="AJ205" s="181"/>
    </row>
    <row r="206" s="32" customFormat="1" ht="47.25" spans="1:36">
      <c r="A206" s="91">
        <f>IF(F206&lt;&gt;"",1+MAX($A$2:A205),"")</f>
        <v>161</v>
      </c>
      <c r="B206" s="92"/>
      <c r="C206" s="93"/>
      <c r="D206" s="66" t="s">
        <v>217</v>
      </c>
      <c r="E206" s="69">
        <v>55</v>
      </c>
      <c r="F206" s="68">
        <v>0</v>
      </c>
      <c r="G206" s="63">
        <f t="shared" si="162"/>
        <v>55</v>
      </c>
      <c r="H206" s="67" t="s">
        <v>73</v>
      </c>
      <c r="I206" s="140">
        <v>0.7</v>
      </c>
      <c r="J206" s="141">
        <f t="shared" si="163"/>
        <v>38.5</v>
      </c>
      <c r="K206" s="142">
        <f>'LABOR SHEET'!C$3</f>
        <v>128</v>
      </c>
      <c r="L206" s="143">
        <f t="shared" si="164"/>
        <v>89.6</v>
      </c>
      <c r="M206" s="143">
        <f t="shared" si="165"/>
        <v>4928</v>
      </c>
      <c r="N206" s="143">
        <v>166.62</v>
      </c>
      <c r="O206" s="143">
        <f t="shared" si="166"/>
        <v>9164.1</v>
      </c>
      <c r="P206" s="143">
        <f t="shared" si="167"/>
        <v>256.22</v>
      </c>
      <c r="Q206" s="178">
        <f t="shared" si="168"/>
        <v>14092.1</v>
      </c>
      <c r="R206" s="181"/>
      <c r="S206" s="181"/>
      <c r="T206" s="181"/>
      <c r="U206" s="181"/>
      <c r="V206" s="181"/>
      <c r="W206" s="181"/>
      <c r="X206" s="181"/>
      <c r="Y206" s="181"/>
      <c r="Z206" s="181"/>
      <c r="AA206" s="181"/>
      <c r="AB206" s="181"/>
      <c r="AC206" s="181"/>
      <c r="AD206" s="181"/>
      <c r="AE206" s="181"/>
      <c r="AF206" s="181"/>
      <c r="AG206" s="181"/>
      <c r="AH206" s="181"/>
      <c r="AI206" s="181"/>
      <c r="AJ206" s="181"/>
    </row>
    <row r="207" s="32" customFormat="1" ht="47.25" spans="1:36">
      <c r="A207" s="91">
        <f>IF(F207&lt;&gt;"",1+MAX($A$2:A206),"")</f>
        <v>162</v>
      </c>
      <c r="B207" s="92"/>
      <c r="C207" s="93"/>
      <c r="D207" s="66" t="s">
        <v>218</v>
      </c>
      <c r="E207" s="69">
        <v>10</v>
      </c>
      <c r="F207" s="68">
        <v>0</v>
      </c>
      <c r="G207" s="63">
        <f t="shared" si="162"/>
        <v>10</v>
      </c>
      <c r="H207" s="67" t="s">
        <v>73</v>
      </c>
      <c r="I207" s="140">
        <f>0.25*16</f>
        <v>4</v>
      </c>
      <c r="J207" s="141">
        <f t="shared" si="163"/>
        <v>40</v>
      </c>
      <c r="K207" s="142">
        <f>'LABOR SHEET'!C$3</f>
        <v>128</v>
      </c>
      <c r="L207" s="143">
        <f t="shared" si="164"/>
        <v>512</v>
      </c>
      <c r="M207" s="143">
        <f t="shared" si="165"/>
        <v>5120</v>
      </c>
      <c r="N207" s="143">
        <f>90*16</f>
        <v>1440</v>
      </c>
      <c r="O207" s="143">
        <f t="shared" si="166"/>
        <v>14400</v>
      </c>
      <c r="P207" s="143">
        <f t="shared" si="167"/>
        <v>1952</v>
      </c>
      <c r="Q207" s="178">
        <f t="shared" si="168"/>
        <v>19520</v>
      </c>
      <c r="R207" s="181"/>
      <c r="S207" s="181"/>
      <c r="T207" s="181"/>
      <c r="U207" s="181"/>
      <c r="V207" s="181"/>
      <c r="W207" s="181"/>
      <c r="X207" s="181"/>
      <c r="Y207" s="181"/>
      <c r="Z207" s="181"/>
      <c r="AA207" s="181"/>
      <c r="AB207" s="181"/>
      <c r="AC207" s="181"/>
      <c r="AD207" s="181"/>
      <c r="AE207" s="181"/>
      <c r="AF207" s="181"/>
      <c r="AG207" s="181"/>
      <c r="AH207" s="181"/>
      <c r="AI207" s="181"/>
      <c r="AJ207" s="181"/>
    </row>
    <row r="208" s="32" customFormat="1" ht="47.25" spans="1:36">
      <c r="A208" s="91">
        <f>IF(F208&lt;&gt;"",1+MAX($A$2:A207),"")</f>
        <v>163</v>
      </c>
      <c r="B208" s="92"/>
      <c r="C208" s="93"/>
      <c r="D208" s="66" t="s">
        <v>219</v>
      </c>
      <c r="E208" s="69">
        <v>1</v>
      </c>
      <c r="F208" s="68">
        <v>0</v>
      </c>
      <c r="G208" s="63">
        <f t="shared" si="162"/>
        <v>1</v>
      </c>
      <c r="H208" s="67" t="s">
        <v>73</v>
      </c>
      <c r="I208" s="140">
        <f>0.25*8</f>
        <v>2</v>
      </c>
      <c r="J208" s="141">
        <f t="shared" si="163"/>
        <v>2</v>
      </c>
      <c r="K208" s="142">
        <f>'LABOR SHEET'!C$3</f>
        <v>128</v>
      </c>
      <c r="L208" s="143">
        <f t="shared" si="164"/>
        <v>256</v>
      </c>
      <c r="M208" s="143">
        <f t="shared" si="165"/>
        <v>256</v>
      </c>
      <c r="N208" s="143">
        <f>90*8</f>
        <v>720</v>
      </c>
      <c r="O208" s="143">
        <f t="shared" si="166"/>
        <v>720</v>
      </c>
      <c r="P208" s="143">
        <f t="shared" si="167"/>
        <v>976</v>
      </c>
      <c r="Q208" s="178">
        <f t="shared" si="168"/>
        <v>976</v>
      </c>
      <c r="R208" s="181"/>
      <c r="S208" s="181"/>
      <c r="T208" s="181"/>
      <c r="U208" s="181"/>
      <c r="V208" s="181"/>
      <c r="W208" s="181"/>
      <c r="X208" s="181"/>
      <c r="Y208" s="181"/>
      <c r="Z208" s="181"/>
      <c r="AA208" s="181"/>
      <c r="AB208" s="181"/>
      <c r="AC208" s="181"/>
      <c r="AD208" s="181"/>
      <c r="AE208" s="181"/>
      <c r="AF208" s="181"/>
      <c r="AG208" s="181"/>
      <c r="AH208" s="181"/>
      <c r="AI208" s="181"/>
      <c r="AJ208" s="181"/>
    </row>
    <row r="209" s="32" customFormat="1" ht="47.25" spans="1:36">
      <c r="A209" s="91">
        <f>IF(F209&lt;&gt;"",1+MAX($A$2:A208),"")</f>
        <v>164</v>
      </c>
      <c r="B209" s="92"/>
      <c r="C209" s="93"/>
      <c r="D209" s="66" t="s">
        <v>220</v>
      </c>
      <c r="E209" s="69">
        <v>1</v>
      </c>
      <c r="F209" s="68">
        <v>0</v>
      </c>
      <c r="G209" s="63">
        <f t="shared" si="162"/>
        <v>1</v>
      </c>
      <c r="H209" s="67" t="s">
        <v>73</v>
      </c>
      <c r="I209" s="140">
        <f>0.25*12</f>
        <v>3</v>
      </c>
      <c r="J209" s="141">
        <f t="shared" si="163"/>
        <v>3</v>
      </c>
      <c r="K209" s="142">
        <f>'LABOR SHEET'!C$3</f>
        <v>128</v>
      </c>
      <c r="L209" s="143">
        <f t="shared" si="164"/>
        <v>384</v>
      </c>
      <c r="M209" s="143">
        <f t="shared" si="165"/>
        <v>384</v>
      </c>
      <c r="N209" s="143">
        <f>90*12</f>
        <v>1080</v>
      </c>
      <c r="O209" s="143">
        <f t="shared" si="166"/>
        <v>1080</v>
      </c>
      <c r="P209" s="143">
        <f t="shared" si="167"/>
        <v>1464</v>
      </c>
      <c r="Q209" s="178">
        <f t="shared" si="168"/>
        <v>1464</v>
      </c>
      <c r="R209" s="181"/>
      <c r="S209" s="181"/>
      <c r="T209" s="181"/>
      <c r="U209" s="181"/>
      <c r="V209" s="181"/>
      <c r="W209" s="181"/>
      <c r="X209" s="181"/>
      <c r="Y209" s="181"/>
      <c r="Z209" s="181"/>
      <c r="AA209" s="181"/>
      <c r="AB209" s="181"/>
      <c r="AC209" s="181"/>
      <c r="AD209" s="181"/>
      <c r="AE209" s="181"/>
      <c r="AF209" s="181"/>
      <c r="AG209" s="181"/>
      <c r="AH209" s="181"/>
      <c r="AI209" s="181"/>
      <c r="AJ209" s="181"/>
    </row>
    <row r="210" s="32" customFormat="1" ht="47.25" spans="1:36">
      <c r="A210" s="91">
        <f>IF(F210&lt;&gt;"",1+MAX($A$2:A209),"")</f>
        <v>165</v>
      </c>
      <c r="B210" s="92"/>
      <c r="C210" s="93"/>
      <c r="D210" s="66" t="s">
        <v>221</v>
      </c>
      <c r="E210" s="69">
        <v>1</v>
      </c>
      <c r="F210" s="68">
        <v>0</v>
      </c>
      <c r="G210" s="63">
        <f t="shared" si="162"/>
        <v>1</v>
      </c>
      <c r="H210" s="67" t="s">
        <v>73</v>
      </c>
      <c r="I210" s="140">
        <f>0.25*7.25</f>
        <v>1.8125</v>
      </c>
      <c r="J210" s="141">
        <f t="shared" si="163"/>
        <v>1.8125</v>
      </c>
      <c r="K210" s="142">
        <f>'LABOR SHEET'!C$3</f>
        <v>128</v>
      </c>
      <c r="L210" s="143">
        <f t="shared" si="164"/>
        <v>232</v>
      </c>
      <c r="M210" s="143">
        <f t="shared" si="165"/>
        <v>232</v>
      </c>
      <c r="N210" s="143">
        <f>60*7.25</f>
        <v>435</v>
      </c>
      <c r="O210" s="143">
        <f t="shared" si="166"/>
        <v>435</v>
      </c>
      <c r="P210" s="143">
        <f t="shared" si="167"/>
        <v>667</v>
      </c>
      <c r="Q210" s="178">
        <f t="shared" si="168"/>
        <v>667</v>
      </c>
      <c r="R210" s="181"/>
      <c r="S210" s="181"/>
      <c r="T210" s="181"/>
      <c r="U210" s="181"/>
      <c r="V210" s="181"/>
      <c r="W210" s="181"/>
      <c r="X210" s="181"/>
      <c r="Y210" s="181"/>
      <c r="Z210" s="181"/>
      <c r="AA210" s="181"/>
      <c r="AB210" s="181"/>
      <c r="AC210" s="181"/>
      <c r="AD210" s="181"/>
      <c r="AE210" s="181"/>
      <c r="AF210" s="181"/>
      <c r="AG210" s="181"/>
      <c r="AH210" s="181"/>
      <c r="AI210" s="181"/>
      <c r="AJ210" s="181"/>
    </row>
    <row r="211" s="32" customFormat="1" ht="47.25" spans="1:36">
      <c r="A211" s="91">
        <f>IF(F211&lt;&gt;"",1+MAX($A$2:A210),"")</f>
        <v>166</v>
      </c>
      <c r="B211" s="92"/>
      <c r="C211" s="93"/>
      <c r="D211" s="66" t="s">
        <v>222</v>
      </c>
      <c r="E211" s="69">
        <v>1</v>
      </c>
      <c r="F211" s="68">
        <v>0</v>
      </c>
      <c r="G211" s="63">
        <f t="shared" si="162"/>
        <v>1</v>
      </c>
      <c r="H211" s="67" t="s">
        <v>73</v>
      </c>
      <c r="I211" s="140">
        <f>0.25*8.17</f>
        <v>2.0425</v>
      </c>
      <c r="J211" s="141">
        <f t="shared" si="163"/>
        <v>2.0425</v>
      </c>
      <c r="K211" s="142">
        <f>'LABOR SHEET'!C$3</f>
        <v>128</v>
      </c>
      <c r="L211" s="143">
        <f t="shared" si="164"/>
        <v>261.44</v>
      </c>
      <c r="M211" s="143">
        <f t="shared" si="165"/>
        <v>261.44</v>
      </c>
      <c r="N211" s="143">
        <f>60*8.17</f>
        <v>490.2</v>
      </c>
      <c r="O211" s="143">
        <f t="shared" si="166"/>
        <v>490.2</v>
      </c>
      <c r="P211" s="143">
        <f t="shared" si="167"/>
        <v>751.64</v>
      </c>
      <c r="Q211" s="178">
        <f t="shared" si="168"/>
        <v>751.64</v>
      </c>
      <c r="R211" s="181"/>
      <c r="S211" s="181"/>
      <c r="T211" s="181"/>
      <c r="U211" s="181"/>
      <c r="V211" s="181"/>
      <c r="W211" s="181"/>
      <c r="X211" s="181"/>
      <c r="Y211" s="181"/>
      <c r="Z211" s="181"/>
      <c r="AA211" s="181"/>
      <c r="AB211" s="181"/>
      <c r="AC211" s="181"/>
      <c r="AD211" s="181"/>
      <c r="AE211" s="181"/>
      <c r="AF211" s="181"/>
      <c r="AG211" s="181"/>
      <c r="AH211" s="181"/>
      <c r="AI211" s="181"/>
      <c r="AJ211" s="181"/>
    </row>
    <row r="212" s="32" customFormat="1" ht="47.25" spans="1:36">
      <c r="A212" s="91">
        <f>IF(F212&lt;&gt;"",1+MAX($A$2:A211),"")</f>
        <v>167</v>
      </c>
      <c r="B212" s="92"/>
      <c r="C212" s="93"/>
      <c r="D212" s="66" t="s">
        <v>223</v>
      </c>
      <c r="E212" s="69">
        <v>1</v>
      </c>
      <c r="F212" s="68">
        <v>0</v>
      </c>
      <c r="G212" s="63">
        <f t="shared" si="162"/>
        <v>1</v>
      </c>
      <c r="H212" s="67" t="s">
        <v>73</v>
      </c>
      <c r="I212" s="140">
        <f>0.25*11.25</f>
        <v>2.8125</v>
      </c>
      <c r="J212" s="141">
        <f t="shared" si="163"/>
        <v>2.8125</v>
      </c>
      <c r="K212" s="142">
        <f>'LABOR SHEET'!C$3</f>
        <v>128</v>
      </c>
      <c r="L212" s="143">
        <f t="shared" si="164"/>
        <v>360</v>
      </c>
      <c r="M212" s="143">
        <f t="shared" si="165"/>
        <v>360</v>
      </c>
      <c r="N212" s="143">
        <f>60*11.25</f>
        <v>675</v>
      </c>
      <c r="O212" s="143">
        <f t="shared" si="166"/>
        <v>675</v>
      </c>
      <c r="P212" s="143">
        <f t="shared" si="167"/>
        <v>1035</v>
      </c>
      <c r="Q212" s="178">
        <f t="shared" si="168"/>
        <v>1035</v>
      </c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81"/>
      <c r="AJ212" s="181"/>
    </row>
    <row r="213" s="32" customFormat="1" ht="47.25" spans="1:36">
      <c r="A213" s="91">
        <f>IF(F213&lt;&gt;"",1+MAX($A$2:A212),"")</f>
        <v>168</v>
      </c>
      <c r="B213" s="92"/>
      <c r="C213" s="93"/>
      <c r="D213" s="66" t="s">
        <v>224</v>
      </c>
      <c r="E213" s="69">
        <v>1</v>
      </c>
      <c r="F213" s="68">
        <v>0</v>
      </c>
      <c r="G213" s="63">
        <f t="shared" si="162"/>
        <v>1</v>
      </c>
      <c r="H213" s="67" t="s">
        <v>73</v>
      </c>
      <c r="I213" s="140">
        <f>0.25*12</f>
        <v>3</v>
      </c>
      <c r="J213" s="141">
        <f t="shared" si="163"/>
        <v>3</v>
      </c>
      <c r="K213" s="142">
        <f>'LABOR SHEET'!C$3</f>
        <v>128</v>
      </c>
      <c r="L213" s="143">
        <f t="shared" si="164"/>
        <v>384</v>
      </c>
      <c r="M213" s="143">
        <f t="shared" si="165"/>
        <v>384</v>
      </c>
      <c r="N213" s="143">
        <f>60*12</f>
        <v>720</v>
      </c>
      <c r="O213" s="143">
        <f t="shared" si="166"/>
        <v>720</v>
      </c>
      <c r="P213" s="143">
        <f t="shared" si="167"/>
        <v>1104</v>
      </c>
      <c r="Q213" s="178">
        <f t="shared" si="168"/>
        <v>1104</v>
      </c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81"/>
      <c r="AJ213" s="181"/>
    </row>
    <row r="214" s="32" customFormat="1" ht="47.25" spans="1:36">
      <c r="A214" s="91">
        <f>IF(F214&lt;&gt;"",1+MAX($A$2:A213),"")</f>
        <v>169</v>
      </c>
      <c r="B214" s="92"/>
      <c r="C214" s="93"/>
      <c r="D214" s="66" t="s">
        <v>225</v>
      </c>
      <c r="E214" s="69">
        <v>1</v>
      </c>
      <c r="F214" s="68">
        <v>0</v>
      </c>
      <c r="G214" s="63">
        <f t="shared" si="162"/>
        <v>1</v>
      </c>
      <c r="H214" s="67" t="s">
        <v>73</v>
      </c>
      <c r="I214" s="140">
        <f>0.25*13.58</f>
        <v>3.395</v>
      </c>
      <c r="J214" s="141">
        <f t="shared" si="163"/>
        <v>3.395</v>
      </c>
      <c r="K214" s="142">
        <f>'LABOR SHEET'!C$3</f>
        <v>128</v>
      </c>
      <c r="L214" s="143">
        <f t="shared" si="164"/>
        <v>434.56</v>
      </c>
      <c r="M214" s="143">
        <f t="shared" si="165"/>
        <v>434.56</v>
      </c>
      <c r="N214" s="143">
        <f>60*13.58</f>
        <v>814.8</v>
      </c>
      <c r="O214" s="143">
        <f t="shared" si="166"/>
        <v>814.8</v>
      </c>
      <c r="P214" s="143">
        <f t="shared" si="167"/>
        <v>1249.36</v>
      </c>
      <c r="Q214" s="178">
        <f t="shared" si="168"/>
        <v>1249.36</v>
      </c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81"/>
      <c r="AJ214" s="181"/>
    </row>
    <row r="215" s="32" customFormat="1" ht="47.25" spans="1:36">
      <c r="A215" s="91">
        <f>IF(F215&lt;&gt;"",1+MAX($A$2:A214),"")</f>
        <v>170</v>
      </c>
      <c r="B215" s="92"/>
      <c r="C215" s="93"/>
      <c r="D215" s="66" t="s">
        <v>226</v>
      </c>
      <c r="E215" s="69">
        <v>1</v>
      </c>
      <c r="F215" s="68">
        <v>0</v>
      </c>
      <c r="G215" s="63">
        <f t="shared" si="162"/>
        <v>1</v>
      </c>
      <c r="H215" s="67" t="s">
        <v>73</v>
      </c>
      <c r="I215" s="140">
        <f>0.25*16</f>
        <v>4</v>
      </c>
      <c r="J215" s="141">
        <f t="shared" si="163"/>
        <v>4</v>
      </c>
      <c r="K215" s="142">
        <f>'LABOR SHEET'!C$3</f>
        <v>128</v>
      </c>
      <c r="L215" s="143">
        <f t="shared" si="164"/>
        <v>512</v>
      </c>
      <c r="M215" s="143">
        <f t="shared" si="165"/>
        <v>512</v>
      </c>
      <c r="N215" s="143">
        <f>60*16</f>
        <v>960</v>
      </c>
      <c r="O215" s="143">
        <f t="shared" si="166"/>
        <v>960</v>
      </c>
      <c r="P215" s="143">
        <f t="shared" si="167"/>
        <v>1472</v>
      </c>
      <c r="Q215" s="178">
        <f t="shared" si="168"/>
        <v>1472</v>
      </c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81"/>
      <c r="AJ215" s="181"/>
    </row>
    <row r="216" s="32" customFormat="1" ht="47.25" spans="1:36">
      <c r="A216" s="91">
        <f>IF(F216&lt;&gt;"",1+MAX($A$2:A215),"")</f>
        <v>171</v>
      </c>
      <c r="B216" s="92"/>
      <c r="C216" s="93"/>
      <c r="D216" s="66" t="s">
        <v>227</v>
      </c>
      <c r="E216" s="69">
        <v>2</v>
      </c>
      <c r="F216" s="68">
        <v>0</v>
      </c>
      <c r="G216" s="63">
        <f t="shared" si="162"/>
        <v>2</v>
      </c>
      <c r="H216" s="67" t="s">
        <v>73</v>
      </c>
      <c r="I216" s="140">
        <f>0.3*13</f>
        <v>3.9</v>
      </c>
      <c r="J216" s="141">
        <f t="shared" si="163"/>
        <v>7.8</v>
      </c>
      <c r="K216" s="142">
        <f>'LABOR SHEET'!C$3</f>
        <v>128</v>
      </c>
      <c r="L216" s="143">
        <f t="shared" si="164"/>
        <v>499.2</v>
      </c>
      <c r="M216" s="143">
        <f t="shared" si="165"/>
        <v>998.4</v>
      </c>
      <c r="N216" s="143">
        <f>136.88*13</f>
        <v>1779.44</v>
      </c>
      <c r="O216" s="143">
        <f t="shared" si="166"/>
        <v>3558.88</v>
      </c>
      <c r="P216" s="143">
        <f t="shared" si="167"/>
        <v>2278.64</v>
      </c>
      <c r="Q216" s="178">
        <f t="shared" si="168"/>
        <v>4557.28</v>
      </c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81"/>
      <c r="AJ216" s="181"/>
    </row>
    <row r="217" s="32" customFormat="1" ht="47.25" spans="1:36">
      <c r="A217" s="91">
        <f>IF(F217&lt;&gt;"",1+MAX($A$2:A216),"")</f>
        <v>172</v>
      </c>
      <c r="B217" s="92"/>
      <c r="C217" s="93"/>
      <c r="D217" s="66" t="s">
        <v>228</v>
      </c>
      <c r="E217" s="69">
        <v>1</v>
      </c>
      <c r="F217" s="68">
        <v>0</v>
      </c>
      <c r="G217" s="63">
        <f t="shared" si="162"/>
        <v>1</v>
      </c>
      <c r="H217" s="67" t="s">
        <v>73</v>
      </c>
      <c r="I217" s="140">
        <f>0.3*28.75</f>
        <v>8.625</v>
      </c>
      <c r="J217" s="141">
        <f t="shared" si="163"/>
        <v>8.625</v>
      </c>
      <c r="K217" s="142">
        <f>'LABOR SHEET'!C$3</f>
        <v>128</v>
      </c>
      <c r="L217" s="143">
        <f t="shared" si="164"/>
        <v>1104</v>
      </c>
      <c r="M217" s="143">
        <f t="shared" si="165"/>
        <v>1104</v>
      </c>
      <c r="N217" s="143">
        <f>136.88*28.75</f>
        <v>3935.3</v>
      </c>
      <c r="O217" s="143">
        <f t="shared" si="166"/>
        <v>3935.3</v>
      </c>
      <c r="P217" s="143">
        <f t="shared" si="167"/>
        <v>5039.3</v>
      </c>
      <c r="Q217" s="178">
        <f t="shared" si="168"/>
        <v>5039.3</v>
      </c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81"/>
      <c r="AJ217" s="181"/>
    </row>
    <row r="218" s="32" customFormat="1" ht="47.25" spans="1:36">
      <c r="A218" s="91">
        <f>IF(F218&lt;&gt;"",1+MAX($A$2:A217),"")</f>
        <v>173</v>
      </c>
      <c r="B218" s="92"/>
      <c r="C218" s="93"/>
      <c r="D218" s="66" t="s">
        <v>229</v>
      </c>
      <c r="E218" s="69">
        <v>1</v>
      </c>
      <c r="F218" s="68">
        <v>0</v>
      </c>
      <c r="G218" s="63">
        <f t="shared" si="162"/>
        <v>1</v>
      </c>
      <c r="H218" s="67" t="s">
        <v>73</v>
      </c>
      <c r="I218" s="140">
        <f>0.3*17</f>
        <v>5.1</v>
      </c>
      <c r="J218" s="141">
        <f t="shared" si="163"/>
        <v>5.1</v>
      </c>
      <c r="K218" s="142">
        <f>'LABOR SHEET'!C$3</f>
        <v>128</v>
      </c>
      <c r="L218" s="143">
        <f t="shared" si="164"/>
        <v>652.8</v>
      </c>
      <c r="M218" s="143">
        <f t="shared" si="165"/>
        <v>652.8</v>
      </c>
      <c r="N218" s="143">
        <f>136.88*17</f>
        <v>2326.96</v>
      </c>
      <c r="O218" s="143">
        <f t="shared" si="166"/>
        <v>2326.96</v>
      </c>
      <c r="P218" s="143">
        <f t="shared" si="167"/>
        <v>2979.76</v>
      </c>
      <c r="Q218" s="178">
        <f t="shared" si="168"/>
        <v>2979.76</v>
      </c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81"/>
      <c r="AJ218" s="181"/>
    </row>
    <row r="219" s="32" customFormat="1" ht="47.25" spans="1:36">
      <c r="A219" s="91">
        <f>IF(F219&lt;&gt;"",1+MAX($A$2:A218),"")</f>
        <v>174</v>
      </c>
      <c r="B219" s="92"/>
      <c r="C219" s="93"/>
      <c r="D219" s="66" t="s">
        <v>230</v>
      </c>
      <c r="E219" s="69">
        <v>28</v>
      </c>
      <c r="F219" s="68">
        <v>0</v>
      </c>
      <c r="G219" s="63">
        <f t="shared" si="162"/>
        <v>28</v>
      </c>
      <c r="H219" s="67" t="s">
        <v>73</v>
      </c>
      <c r="I219" s="140">
        <v>2</v>
      </c>
      <c r="J219" s="141">
        <f t="shared" si="163"/>
        <v>56</v>
      </c>
      <c r="K219" s="142">
        <f>'LABOR SHEET'!C$3</f>
        <v>128</v>
      </c>
      <c r="L219" s="143">
        <f t="shared" si="164"/>
        <v>256</v>
      </c>
      <c r="M219" s="143">
        <f t="shared" si="165"/>
        <v>7168</v>
      </c>
      <c r="N219" s="143">
        <v>428.95</v>
      </c>
      <c r="O219" s="143">
        <f t="shared" si="166"/>
        <v>12010.6</v>
      </c>
      <c r="P219" s="143">
        <f t="shared" si="167"/>
        <v>684.95</v>
      </c>
      <c r="Q219" s="178">
        <f t="shared" si="168"/>
        <v>19178.6</v>
      </c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81"/>
      <c r="AJ219" s="181"/>
    </row>
    <row r="220" s="32" customFormat="1" ht="47.25" spans="1:36">
      <c r="A220" s="91">
        <f>IF(F220&lt;&gt;"",1+MAX($A$2:A219),"")</f>
        <v>175</v>
      </c>
      <c r="B220" s="92"/>
      <c r="C220" s="93"/>
      <c r="D220" s="66" t="s">
        <v>231</v>
      </c>
      <c r="E220" s="69">
        <v>3</v>
      </c>
      <c r="F220" s="68">
        <v>0</v>
      </c>
      <c r="G220" s="63">
        <f t="shared" si="162"/>
        <v>3</v>
      </c>
      <c r="H220" s="67" t="s">
        <v>73</v>
      </c>
      <c r="I220" s="140">
        <v>0.7</v>
      </c>
      <c r="J220" s="141">
        <f t="shared" ref="J220" si="181">+I220*G220</f>
        <v>2.1</v>
      </c>
      <c r="K220" s="142">
        <f>'LABOR SHEET'!C$3</f>
        <v>128</v>
      </c>
      <c r="L220" s="143">
        <f t="shared" ref="L220" si="182">I220*K220</f>
        <v>89.6</v>
      </c>
      <c r="M220" s="143">
        <f t="shared" ref="M220" si="183">K220*J220</f>
        <v>268.8</v>
      </c>
      <c r="N220" s="143">
        <v>166.62</v>
      </c>
      <c r="O220" s="143">
        <f t="shared" ref="O220" si="184">N220*G220</f>
        <v>499.86</v>
      </c>
      <c r="P220" s="143">
        <f t="shared" ref="P220" si="185">(I220*K220)+N220</f>
        <v>256.22</v>
      </c>
      <c r="Q220" s="178">
        <f t="shared" ref="Q220" si="186">P220*G220</f>
        <v>768.66</v>
      </c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81"/>
      <c r="AJ220" s="181"/>
    </row>
    <row r="221" s="32" customFormat="1" ht="47.25" spans="1:36">
      <c r="A221" s="91">
        <f>IF(F221&lt;&gt;"",1+MAX($A$2:A220),"")</f>
        <v>176</v>
      </c>
      <c r="B221" s="92"/>
      <c r="C221" s="93"/>
      <c r="D221" s="66" t="s">
        <v>232</v>
      </c>
      <c r="E221" s="69">
        <v>1</v>
      </c>
      <c r="F221" s="68">
        <v>0</v>
      </c>
      <c r="G221" s="63">
        <f t="shared" si="162"/>
        <v>1</v>
      </c>
      <c r="H221" s="67" t="s">
        <v>73</v>
      </c>
      <c r="I221" s="140">
        <f>0.2*11.417</f>
        <v>2.2834</v>
      </c>
      <c r="J221" s="141">
        <f t="shared" si="163"/>
        <v>2.2834</v>
      </c>
      <c r="K221" s="142">
        <f>'LABOR SHEET'!C$3</f>
        <v>128</v>
      </c>
      <c r="L221" s="143">
        <f t="shared" si="164"/>
        <v>292.2752</v>
      </c>
      <c r="M221" s="143">
        <f t="shared" si="165"/>
        <v>292.2752</v>
      </c>
      <c r="N221" s="143">
        <f>132*11.417</f>
        <v>1507.044</v>
      </c>
      <c r="O221" s="143">
        <f t="shared" si="166"/>
        <v>1507.044</v>
      </c>
      <c r="P221" s="143">
        <f t="shared" si="167"/>
        <v>1799.3192</v>
      </c>
      <c r="Q221" s="178">
        <f t="shared" si="168"/>
        <v>1799.3192</v>
      </c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81"/>
      <c r="AJ221" s="181"/>
    </row>
    <row r="222" s="32" customFormat="1" ht="47.25" spans="1:36">
      <c r="A222" s="91">
        <f>IF(F222&lt;&gt;"",1+MAX($A$2:A221),"")</f>
        <v>177</v>
      </c>
      <c r="B222" s="92"/>
      <c r="C222" s="93"/>
      <c r="D222" s="66" t="s">
        <v>233</v>
      </c>
      <c r="E222" s="69">
        <v>2</v>
      </c>
      <c r="F222" s="68">
        <v>0</v>
      </c>
      <c r="G222" s="63">
        <f t="shared" si="162"/>
        <v>2</v>
      </c>
      <c r="H222" s="67" t="s">
        <v>73</v>
      </c>
      <c r="I222" s="140">
        <f>0.2*13.417</f>
        <v>2.6834</v>
      </c>
      <c r="J222" s="141">
        <f t="shared" si="163"/>
        <v>5.3668</v>
      </c>
      <c r="K222" s="142">
        <f>'LABOR SHEET'!C$3</f>
        <v>128</v>
      </c>
      <c r="L222" s="143">
        <f t="shared" si="164"/>
        <v>343.4752</v>
      </c>
      <c r="M222" s="143">
        <f t="shared" si="165"/>
        <v>686.9504</v>
      </c>
      <c r="N222" s="143">
        <f>132*13.417</f>
        <v>1771.044</v>
      </c>
      <c r="O222" s="143">
        <f t="shared" si="166"/>
        <v>3542.088</v>
      </c>
      <c r="P222" s="143">
        <f t="shared" si="167"/>
        <v>2114.5192</v>
      </c>
      <c r="Q222" s="178">
        <f t="shared" si="168"/>
        <v>4229.0384</v>
      </c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81"/>
      <c r="AJ222" s="181"/>
    </row>
    <row r="223" s="32" customFormat="1" ht="47.25" spans="1:36">
      <c r="A223" s="91">
        <f>IF(F223&lt;&gt;"",1+MAX($A$2:A222),"")</f>
        <v>178</v>
      </c>
      <c r="B223" s="92"/>
      <c r="C223" s="93"/>
      <c r="D223" s="66" t="s">
        <v>234</v>
      </c>
      <c r="E223" s="69">
        <v>3</v>
      </c>
      <c r="F223" s="68">
        <v>0</v>
      </c>
      <c r="G223" s="63">
        <f t="shared" si="162"/>
        <v>3</v>
      </c>
      <c r="H223" s="67" t="s">
        <v>73</v>
      </c>
      <c r="I223" s="140">
        <v>5</v>
      </c>
      <c r="J223" s="141">
        <f t="shared" si="163"/>
        <v>15</v>
      </c>
      <c r="K223" s="142">
        <f>'LABOR SHEET'!C$3</f>
        <v>128</v>
      </c>
      <c r="L223" s="143">
        <f t="shared" si="164"/>
        <v>640</v>
      </c>
      <c r="M223" s="143">
        <f t="shared" si="165"/>
        <v>1920</v>
      </c>
      <c r="N223" s="143">
        <v>2500</v>
      </c>
      <c r="O223" s="143">
        <f t="shared" si="166"/>
        <v>7500</v>
      </c>
      <c r="P223" s="143">
        <f t="shared" si="167"/>
        <v>3140</v>
      </c>
      <c r="Q223" s="178">
        <f t="shared" si="168"/>
        <v>9420</v>
      </c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81"/>
      <c r="AJ223" s="181"/>
    </row>
    <row r="224" s="32" customFormat="1" ht="47.25" spans="1:36">
      <c r="A224" s="91">
        <f>IF(F224&lt;&gt;"",1+MAX($A$2:A223),"")</f>
        <v>179</v>
      </c>
      <c r="B224" s="92"/>
      <c r="C224" s="93"/>
      <c r="D224" s="66" t="s">
        <v>235</v>
      </c>
      <c r="E224" s="69">
        <v>1</v>
      </c>
      <c r="F224" s="68">
        <v>0</v>
      </c>
      <c r="G224" s="63">
        <f t="shared" si="162"/>
        <v>1</v>
      </c>
      <c r="H224" s="67" t="s">
        <v>73</v>
      </c>
      <c r="I224" s="140">
        <v>5.5</v>
      </c>
      <c r="J224" s="141">
        <f t="shared" si="163"/>
        <v>5.5</v>
      </c>
      <c r="K224" s="142">
        <f>'LABOR SHEET'!C$3</f>
        <v>128</v>
      </c>
      <c r="L224" s="143">
        <f t="shared" si="164"/>
        <v>704</v>
      </c>
      <c r="M224" s="143">
        <f t="shared" si="165"/>
        <v>704</v>
      </c>
      <c r="N224" s="143">
        <v>3250</v>
      </c>
      <c r="O224" s="143">
        <f t="shared" si="166"/>
        <v>3250</v>
      </c>
      <c r="P224" s="143">
        <f t="shared" si="167"/>
        <v>3954</v>
      </c>
      <c r="Q224" s="178">
        <f t="shared" si="168"/>
        <v>3954</v>
      </c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81"/>
      <c r="AJ224" s="181"/>
    </row>
    <row r="225" s="32" customFormat="1" ht="47.25" spans="1:36">
      <c r="A225" s="91">
        <f>IF(F225&lt;&gt;"",1+MAX($A$2:A224),"")</f>
        <v>180</v>
      </c>
      <c r="B225" s="92"/>
      <c r="C225" s="93"/>
      <c r="D225" s="66" t="s">
        <v>236</v>
      </c>
      <c r="E225" s="69">
        <v>6</v>
      </c>
      <c r="F225" s="68">
        <v>0</v>
      </c>
      <c r="G225" s="63">
        <f t="shared" si="162"/>
        <v>6</v>
      </c>
      <c r="H225" s="67" t="s">
        <v>73</v>
      </c>
      <c r="I225" s="140">
        <v>2.5</v>
      </c>
      <c r="J225" s="141">
        <f t="shared" si="163"/>
        <v>15</v>
      </c>
      <c r="K225" s="142">
        <f>'LABOR SHEET'!C$3</f>
        <v>128</v>
      </c>
      <c r="L225" s="143">
        <f t="shared" si="164"/>
        <v>320</v>
      </c>
      <c r="M225" s="143">
        <f t="shared" si="165"/>
        <v>1920</v>
      </c>
      <c r="N225" s="143">
        <v>463</v>
      </c>
      <c r="O225" s="143">
        <f t="shared" si="166"/>
        <v>2778</v>
      </c>
      <c r="P225" s="143">
        <f t="shared" si="167"/>
        <v>783</v>
      </c>
      <c r="Q225" s="178">
        <f t="shared" si="168"/>
        <v>4698</v>
      </c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81"/>
      <c r="AJ225" s="181"/>
    </row>
    <row r="226" s="32" customFormat="1" ht="47.25" spans="1:36">
      <c r="A226" s="91">
        <f>IF(F226&lt;&gt;"",1+MAX($A$2:A225),"")</f>
        <v>181</v>
      </c>
      <c r="B226" s="92"/>
      <c r="C226" s="93"/>
      <c r="D226" s="66" t="s">
        <v>237</v>
      </c>
      <c r="E226" s="69">
        <v>1</v>
      </c>
      <c r="F226" s="68">
        <v>0</v>
      </c>
      <c r="G226" s="63">
        <f t="shared" si="162"/>
        <v>1</v>
      </c>
      <c r="H226" s="67" t="s">
        <v>73</v>
      </c>
      <c r="I226" s="140">
        <f>0.25*13</f>
        <v>3.25</v>
      </c>
      <c r="J226" s="141">
        <f t="shared" si="163"/>
        <v>3.25</v>
      </c>
      <c r="K226" s="142">
        <f>'LABOR SHEET'!C$3</f>
        <v>128</v>
      </c>
      <c r="L226" s="143">
        <f t="shared" si="164"/>
        <v>416</v>
      </c>
      <c r="M226" s="143">
        <f t="shared" si="165"/>
        <v>416</v>
      </c>
      <c r="N226" s="143">
        <f>140*13</f>
        <v>1820</v>
      </c>
      <c r="O226" s="143">
        <f t="shared" si="166"/>
        <v>1820</v>
      </c>
      <c r="P226" s="143">
        <f t="shared" si="167"/>
        <v>2236</v>
      </c>
      <c r="Q226" s="178">
        <f t="shared" si="168"/>
        <v>2236</v>
      </c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81"/>
      <c r="AJ226" s="181"/>
    </row>
    <row r="227" s="32" customFormat="1" ht="47.25" spans="1:36">
      <c r="A227" s="91">
        <f>IF(F227&lt;&gt;"",1+MAX($A$2:A226),"")</f>
        <v>182</v>
      </c>
      <c r="B227" s="92"/>
      <c r="C227" s="93"/>
      <c r="D227" s="66" t="s">
        <v>238</v>
      </c>
      <c r="E227" s="69">
        <v>1</v>
      </c>
      <c r="F227" s="68">
        <v>0</v>
      </c>
      <c r="G227" s="63">
        <f t="shared" si="162"/>
        <v>1</v>
      </c>
      <c r="H227" s="67" t="s">
        <v>73</v>
      </c>
      <c r="I227" s="140">
        <f>0.25*14</f>
        <v>3.5</v>
      </c>
      <c r="J227" s="141">
        <f t="shared" si="163"/>
        <v>3.5</v>
      </c>
      <c r="K227" s="142">
        <f>'LABOR SHEET'!C$3</f>
        <v>128</v>
      </c>
      <c r="L227" s="143">
        <f t="shared" si="164"/>
        <v>448</v>
      </c>
      <c r="M227" s="143">
        <f t="shared" si="165"/>
        <v>448</v>
      </c>
      <c r="N227" s="143">
        <f>140*14</f>
        <v>1960</v>
      </c>
      <c r="O227" s="143">
        <f t="shared" si="166"/>
        <v>1960</v>
      </c>
      <c r="P227" s="143">
        <f t="shared" si="167"/>
        <v>2408</v>
      </c>
      <c r="Q227" s="178">
        <f t="shared" si="168"/>
        <v>2408</v>
      </c>
      <c r="R227" s="181"/>
      <c r="S227" s="181"/>
      <c r="T227" s="181"/>
      <c r="U227" s="181"/>
      <c r="V227" s="181"/>
      <c r="W227" s="181"/>
      <c r="X227" s="181"/>
      <c r="Y227" s="181"/>
      <c r="Z227" s="181"/>
      <c r="AA227" s="181"/>
      <c r="AB227" s="181"/>
      <c r="AC227" s="181"/>
      <c r="AD227" s="181"/>
      <c r="AE227" s="181"/>
      <c r="AF227" s="181"/>
      <c r="AG227" s="181"/>
      <c r="AH227" s="181"/>
      <c r="AI227" s="181"/>
      <c r="AJ227" s="181"/>
    </row>
    <row r="228" s="32" customFormat="1" ht="47.25" spans="1:36">
      <c r="A228" s="91">
        <f>IF(F228&lt;&gt;"",1+MAX($A$2:A227),"")</f>
        <v>183</v>
      </c>
      <c r="B228" s="92"/>
      <c r="C228" s="93"/>
      <c r="D228" s="66" t="s">
        <v>239</v>
      </c>
      <c r="E228" s="69">
        <v>1</v>
      </c>
      <c r="F228" s="68">
        <v>0</v>
      </c>
      <c r="G228" s="63">
        <f t="shared" si="162"/>
        <v>1</v>
      </c>
      <c r="H228" s="67" t="s">
        <v>73</v>
      </c>
      <c r="I228" s="140">
        <f>0.25*14</f>
        <v>3.5</v>
      </c>
      <c r="J228" s="141">
        <f t="shared" si="163"/>
        <v>3.5</v>
      </c>
      <c r="K228" s="142">
        <f>'LABOR SHEET'!C$3</f>
        <v>128</v>
      </c>
      <c r="L228" s="143">
        <f t="shared" si="164"/>
        <v>448</v>
      </c>
      <c r="M228" s="143">
        <f t="shared" si="165"/>
        <v>448</v>
      </c>
      <c r="N228" s="143">
        <f>140*14</f>
        <v>1960</v>
      </c>
      <c r="O228" s="143">
        <f t="shared" si="166"/>
        <v>1960</v>
      </c>
      <c r="P228" s="143">
        <f t="shared" si="167"/>
        <v>2408</v>
      </c>
      <c r="Q228" s="178">
        <f t="shared" si="168"/>
        <v>2408</v>
      </c>
      <c r="R228" s="181"/>
      <c r="S228" s="181"/>
      <c r="T228" s="181"/>
      <c r="U228" s="181"/>
      <c r="V228" s="181"/>
      <c r="W228" s="181"/>
      <c r="X228" s="181"/>
      <c r="Y228" s="181"/>
      <c r="Z228" s="181"/>
      <c r="AA228" s="181"/>
      <c r="AB228" s="181"/>
      <c r="AC228" s="181"/>
      <c r="AD228" s="181"/>
      <c r="AE228" s="181"/>
      <c r="AF228" s="181"/>
      <c r="AG228" s="181"/>
      <c r="AH228" s="181"/>
      <c r="AI228" s="181"/>
      <c r="AJ228" s="181"/>
    </row>
    <row r="229" s="32" customFormat="1" ht="47.25" spans="1:36">
      <c r="A229" s="91">
        <f>IF(F229&lt;&gt;"",1+MAX($A$2:A228),"")</f>
        <v>184</v>
      </c>
      <c r="B229" s="92"/>
      <c r="C229" s="93"/>
      <c r="D229" s="66" t="s">
        <v>240</v>
      </c>
      <c r="E229" s="69">
        <v>1</v>
      </c>
      <c r="F229" s="68">
        <v>0</v>
      </c>
      <c r="G229" s="63">
        <f t="shared" si="162"/>
        <v>1</v>
      </c>
      <c r="H229" s="67" t="s">
        <v>73</v>
      </c>
      <c r="I229" s="140">
        <f>0.25*17</f>
        <v>4.25</v>
      </c>
      <c r="J229" s="141">
        <f t="shared" si="163"/>
        <v>4.25</v>
      </c>
      <c r="K229" s="142">
        <f>'LABOR SHEET'!C$3</f>
        <v>128</v>
      </c>
      <c r="L229" s="143">
        <f t="shared" si="164"/>
        <v>544</v>
      </c>
      <c r="M229" s="143">
        <f t="shared" si="165"/>
        <v>544</v>
      </c>
      <c r="N229" s="143">
        <f>140*17</f>
        <v>2380</v>
      </c>
      <c r="O229" s="143">
        <f t="shared" si="166"/>
        <v>2380</v>
      </c>
      <c r="P229" s="143">
        <f t="shared" si="167"/>
        <v>2924</v>
      </c>
      <c r="Q229" s="178">
        <f t="shared" si="168"/>
        <v>2924</v>
      </c>
      <c r="R229" s="181"/>
      <c r="S229" s="181"/>
      <c r="T229" s="181"/>
      <c r="U229" s="181"/>
      <c r="V229" s="181"/>
      <c r="W229" s="181"/>
      <c r="X229" s="181"/>
      <c r="Y229" s="181"/>
      <c r="Z229" s="181"/>
      <c r="AA229" s="181"/>
      <c r="AB229" s="181"/>
      <c r="AC229" s="181"/>
      <c r="AD229" s="181"/>
      <c r="AE229" s="181"/>
      <c r="AF229" s="181"/>
      <c r="AG229" s="181"/>
      <c r="AH229" s="181"/>
      <c r="AI229" s="181"/>
      <c r="AJ229" s="181"/>
    </row>
    <row r="230" s="32" customFormat="1" ht="47.25" spans="1:36">
      <c r="A230" s="91">
        <f>IF(F230&lt;&gt;"",1+MAX($A$2:A229),"")</f>
        <v>185</v>
      </c>
      <c r="B230" s="92"/>
      <c r="C230" s="93"/>
      <c r="D230" s="66" t="s">
        <v>241</v>
      </c>
      <c r="E230" s="69">
        <v>1</v>
      </c>
      <c r="F230" s="68">
        <v>0</v>
      </c>
      <c r="G230" s="63">
        <f t="shared" si="162"/>
        <v>1</v>
      </c>
      <c r="H230" s="67" t="s">
        <v>73</v>
      </c>
      <c r="I230" s="140">
        <f>0.25*5.25</f>
        <v>1.3125</v>
      </c>
      <c r="J230" s="141">
        <f t="shared" si="163"/>
        <v>1.3125</v>
      </c>
      <c r="K230" s="142">
        <f>'LABOR SHEET'!C$3</f>
        <v>128</v>
      </c>
      <c r="L230" s="143">
        <f t="shared" si="164"/>
        <v>168</v>
      </c>
      <c r="M230" s="143">
        <f t="shared" si="165"/>
        <v>168</v>
      </c>
      <c r="N230" s="143">
        <f>140*5.25</f>
        <v>735</v>
      </c>
      <c r="O230" s="143">
        <f t="shared" si="166"/>
        <v>735</v>
      </c>
      <c r="P230" s="143">
        <f t="shared" si="167"/>
        <v>903</v>
      </c>
      <c r="Q230" s="178">
        <f t="shared" si="168"/>
        <v>903</v>
      </c>
      <c r="R230" s="181"/>
      <c r="S230" s="181"/>
      <c r="T230" s="181"/>
      <c r="U230" s="181"/>
      <c r="V230" s="181"/>
      <c r="W230" s="181"/>
      <c r="X230" s="181"/>
      <c r="Y230" s="181"/>
      <c r="Z230" s="181"/>
      <c r="AA230" s="181"/>
      <c r="AB230" s="181"/>
      <c r="AC230" s="181"/>
      <c r="AD230" s="181"/>
      <c r="AE230" s="181"/>
      <c r="AF230" s="181"/>
      <c r="AG230" s="181"/>
      <c r="AH230" s="181"/>
      <c r="AI230" s="181"/>
      <c r="AJ230" s="181"/>
    </row>
    <row r="231" s="32" customFormat="1" spans="1:36">
      <c r="A231" s="91" t="str">
        <f>IF(F231&lt;&gt;"",1+MAX($A$2:A230),"")</f>
        <v/>
      </c>
      <c r="B231" s="92"/>
      <c r="C231" s="93"/>
      <c r="D231" s="66"/>
      <c r="E231" s="69"/>
      <c r="F231" s="94"/>
      <c r="G231" s="95"/>
      <c r="H231" s="67"/>
      <c r="I231" s="140"/>
      <c r="J231" s="141"/>
      <c r="K231" s="142"/>
      <c r="L231" s="143"/>
      <c r="M231" s="143"/>
      <c r="N231" s="143"/>
      <c r="O231" s="143"/>
      <c r="P231" s="143"/>
      <c r="Q231" s="179"/>
      <c r="R231" s="181"/>
      <c r="S231" s="181"/>
      <c r="T231" s="181"/>
      <c r="U231" s="181"/>
      <c r="V231" s="181"/>
      <c r="W231" s="181"/>
      <c r="X231" s="181"/>
      <c r="Y231" s="181"/>
      <c r="Z231" s="181"/>
      <c r="AA231" s="181"/>
      <c r="AB231" s="181"/>
      <c r="AC231" s="181"/>
      <c r="AD231" s="181"/>
      <c r="AE231" s="181"/>
      <c r="AF231" s="181"/>
      <c r="AG231" s="181"/>
      <c r="AH231" s="181"/>
      <c r="AI231" s="181"/>
      <c r="AJ231" s="181"/>
    </row>
    <row r="232" s="32" customFormat="1" spans="1:36">
      <c r="A232" s="91" t="str">
        <f>IF(F232&lt;&gt;"",1+MAX($A$2:A231),"")</f>
        <v/>
      </c>
      <c r="B232" s="92"/>
      <c r="C232" s="93"/>
      <c r="D232" s="87" t="s">
        <v>242</v>
      </c>
      <c r="E232" s="69"/>
      <c r="F232" s="94"/>
      <c r="G232" s="95"/>
      <c r="H232" s="67"/>
      <c r="I232" s="140"/>
      <c r="J232" s="141"/>
      <c r="K232" s="142"/>
      <c r="L232" s="143"/>
      <c r="M232" s="143"/>
      <c r="N232" s="143"/>
      <c r="O232" s="143"/>
      <c r="P232" s="143"/>
      <c r="Q232" s="179"/>
      <c r="R232" s="181"/>
      <c r="S232" s="181"/>
      <c r="T232" s="181"/>
      <c r="U232" s="181"/>
      <c r="V232" s="181"/>
      <c r="W232" s="181"/>
      <c r="X232" s="181"/>
      <c r="Y232" s="181"/>
      <c r="Z232" s="181"/>
      <c r="AA232" s="181"/>
      <c r="AB232" s="181"/>
      <c r="AC232" s="181"/>
      <c r="AD232" s="181"/>
      <c r="AE232" s="181"/>
      <c r="AF232" s="181"/>
      <c r="AG232" s="181"/>
      <c r="AH232" s="181"/>
      <c r="AI232" s="181"/>
      <c r="AJ232" s="181"/>
    </row>
    <row r="233" s="32" customFormat="1" ht="47.25" spans="1:36">
      <c r="A233" s="91">
        <f>IF(F233&lt;&gt;"",1+MAX($A$2:A232),"")</f>
        <v>186</v>
      </c>
      <c r="B233" s="92"/>
      <c r="C233" s="93"/>
      <c r="D233" s="66" t="s">
        <v>243</v>
      </c>
      <c r="E233" s="69">
        <v>19</v>
      </c>
      <c r="F233" s="68">
        <v>0</v>
      </c>
      <c r="G233" s="63">
        <f t="shared" ref="G233:G240" si="187">(F233*E233)+E233</f>
        <v>19</v>
      </c>
      <c r="H233" s="67" t="s">
        <v>73</v>
      </c>
      <c r="I233" s="140">
        <v>5</v>
      </c>
      <c r="J233" s="141">
        <f t="shared" ref="J233:J240" si="188">+I233*G233</f>
        <v>95</v>
      </c>
      <c r="K233" s="142">
        <f>'LABOR SHEET'!C$3</f>
        <v>128</v>
      </c>
      <c r="L233" s="143">
        <f t="shared" ref="L233:L240" si="189">I233*K233</f>
        <v>640</v>
      </c>
      <c r="M233" s="143">
        <f t="shared" ref="M233:M240" si="190">K233*J233</f>
        <v>12160</v>
      </c>
      <c r="N233" s="143">
        <v>1450</v>
      </c>
      <c r="O233" s="143">
        <f t="shared" ref="O233:O240" si="191">N233*G233</f>
        <v>27550</v>
      </c>
      <c r="P233" s="143">
        <f t="shared" ref="P233:P240" si="192">(I233*K233)+N233</f>
        <v>2090</v>
      </c>
      <c r="Q233" s="178">
        <f t="shared" ref="Q233:Q240" si="193">P233*G233</f>
        <v>39710</v>
      </c>
      <c r="R233" s="181"/>
      <c r="S233" s="181"/>
      <c r="T233" s="181"/>
      <c r="U233" s="181"/>
      <c r="V233" s="181"/>
      <c r="W233" s="181"/>
      <c r="X233" s="181"/>
      <c r="Y233" s="181"/>
      <c r="Z233" s="181"/>
      <c r="AA233" s="181"/>
      <c r="AB233" s="181"/>
      <c r="AC233" s="181"/>
      <c r="AD233" s="181"/>
      <c r="AE233" s="181"/>
      <c r="AF233" s="181"/>
      <c r="AG233" s="181"/>
      <c r="AH233" s="181"/>
      <c r="AI233" s="181"/>
      <c r="AJ233" s="181"/>
    </row>
    <row r="234" s="32" customFormat="1" ht="47.25" spans="1:36">
      <c r="A234" s="91">
        <f>IF(F234&lt;&gt;"",1+MAX($A$2:A233),"")</f>
        <v>187</v>
      </c>
      <c r="B234" s="92"/>
      <c r="C234" s="93"/>
      <c r="D234" s="66" t="s">
        <v>244</v>
      </c>
      <c r="E234" s="69">
        <v>2</v>
      </c>
      <c r="F234" s="68">
        <v>0</v>
      </c>
      <c r="G234" s="63">
        <f t="shared" si="187"/>
        <v>2</v>
      </c>
      <c r="H234" s="67" t="s">
        <v>73</v>
      </c>
      <c r="I234" s="140">
        <v>1</v>
      </c>
      <c r="J234" s="141">
        <f t="shared" si="188"/>
        <v>2</v>
      </c>
      <c r="K234" s="142">
        <f>'LABOR SHEET'!C$3</f>
        <v>128</v>
      </c>
      <c r="L234" s="143">
        <f t="shared" si="189"/>
        <v>128</v>
      </c>
      <c r="M234" s="143">
        <f t="shared" si="190"/>
        <v>256</v>
      </c>
      <c r="N234" s="143">
        <v>169.78</v>
      </c>
      <c r="O234" s="143">
        <f t="shared" si="191"/>
        <v>339.56</v>
      </c>
      <c r="P234" s="143">
        <f t="shared" si="192"/>
        <v>297.78</v>
      </c>
      <c r="Q234" s="178">
        <f t="shared" si="193"/>
        <v>595.56</v>
      </c>
      <c r="R234" s="181"/>
      <c r="S234" s="181"/>
      <c r="T234" s="181"/>
      <c r="U234" s="181"/>
      <c r="V234" s="181"/>
      <c r="W234" s="181"/>
      <c r="X234" s="181"/>
      <c r="Y234" s="181"/>
      <c r="Z234" s="181"/>
      <c r="AA234" s="181"/>
      <c r="AB234" s="181"/>
      <c r="AC234" s="181"/>
      <c r="AD234" s="181"/>
      <c r="AE234" s="181"/>
      <c r="AF234" s="181"/>
      <c r="AG234" s="181"/>
      <c r="AH234" s="181"/>
      <c r="AI234" s="181"/>
      <c r="AJ234" s="181"/>
    </row>
    <row r="235" s="32" customFormat="1" ht="47.25" spans="1:36">
      <c r="A235" s="91">
        <f>IF(F235&lt;&gt;"",1+MAX($A$2:A234),"")</f>
        <v>188</v>
      </c>
      <c r="B235" s="92"/>
      <c r="C235" s="93"/>
      <c r="D235" s="66" t="s">
        <v>245</v>
      </c>
      <c r="E235" s="69">
        <v>1</v>
      </c>
      <c r="F235" s="68">
        <v>0</v>
      </c>
      <c r="G235" s="63">
        <f t="shared" si="187"/>
        <v>1</v>
      </c>
      <c r="H235" s="67" t="s">
        <v>73</v>
      </c>
      <c r="I235" s="140">
        <v>2</v>
      </c>
      <c r="J235" s="141">
        <f t="shared" si="188"/>
        <v>2</v>
      </c>
      <c r="K235" s="142">
        <f>'LABOR SHEET'!C$3</f>
        <v>128</v>
      </c>
      <c r="L235" s="143">
        <f t="shared" si="189"/>
        <v>256</v>
      </c>
      <c r="M235" s="143">
        <f t="shared" si="190"/>
        <v>256</v>
      </c>
      <c r="N235" s="143">
        <v>1150</v>
      </c>
      <c r="O235" s="143">
        <f t="shared" si="191"/>
        <v>1150</v>
      </c>
      <c r="P235" s="143">
        <f t="shared" si="192"/>
        <v>1406</v>
      </c>
      <c r="Q235" s="178">
        <f t="shared" si="193"/>
        <v>1406</v>
      </c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81"/>
      <c r="AJ235" s="181"/>
    </row>
    <row r="236" s="32" customFormat="1" ht="47.25" spans="1:36">
      <c r="A236" s="91">
        <f>IF(F236&lt;&gt;"",1+MAX($A$2:A235),"")</f>
        <v>189</v>
      </c>
      <c r="B236" s="92"/>
      <c r="C236" s="93"/>
      <c r="D236" s="66" t="s">
        <v>246</v>
      </c>
      <c r="E236" s="69">
        <v>2</v>
      </c>
      <c r="F236" s="68">
        <v>0</v>
      </c>
      <c r="G236" s="63">
        <f t="shared" si="187"/>
        <v>2</v>
      </c>
      <c r="H236" s="67" t="s">
        <v>73</v>
      </c>
      <c r="I236" s="140">
        <v>4.5</v>
      </c>
      <c r="J236" s="141">
        <f t="shared" si="188"/>
        <v>9</v>
      </c>
      <c r="K236" s="142">
        <f>'LABOR SHEET'!C$3</f>
        <v>128</v>
      </c>
      <c r="L236" s="143">
        <f t="shared" si="189"/>
        <v>576</v>
      </c>
      <c r="M236" s="143">
        <f t="shared" si="190"/>
        <v>1152</v>
      </c>
      <c r="N236" s="143">
        <v>1142</v>
      </c>
      <c r="O236" s="143">
        <f t="shared" si="191"/>
        <v>2284</v>
      </c>
      <c r="P236" s="143">
        <f t="shared" si="192"/>
        <v>1718</v>
      </c>
      <c r="Q236" s="178">
        <f t="shared" si="193"/>
        <v>3436</v>
      </c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81"/>
      <c r="AJ236" s="181"/>
    </row>
    <row r="237" s="32" customFormat="1" ht="47.25" spans="1:36">
      <c r="A237" s="91">
        <f>IF(F237&lt;&gt;"",1+MAX($A$2:A236),"")</f>
        <v>190</v>
      </c>
      <c r="B237" s="92"/>
      <c r="C237" s="93"/>
      <c r="D237" s="66" t="s">
        <v>247</v>
      </c>
      <c r="E237" s="69">
        <v>8</v>
      </c>
      <c r="F237" s="68">
        <v>0</v>
      </c>
      <c r="G237" s="63">
        <f t="shared" si="187"/>
        <v>8</v>
      </c>
      <c r="H237" s="67" t="s">
        <v>73</v>
      </c>
      <c r="I237" s="140">
        <v>4.5</v>
      </c>
      <c r="J237" s="141">
        <f t="shared" si="188"/>
        <v>36</v>
      </c>
      <c r="K237" s="142">
        <f>'LABOR SHEET'!C$3</f>
        <v>128</v>
      </c>
      <c r="L237" s="143">
        <f t="shared" si="189"/>
        <v>576</v>
      </c>
      <c r="M237" s="143">
        <f t="shared" si="190"/>
        <v>4608</v>
      </c>
      <c r="N237" s="143">
        <v>1142</v>
      </c>
      <c r="O237" s="143">
        <f t="shared" si="191"/>
        <v>9136</v>
      </c>
      <c r="P237" s="143">
        <f t="shared" si="192"/>
        <v>1718</v>
      </c>
      <c r="Q237" s="178">
        <f t="shared" si="193"/>
        <v>13744</v>
      </c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81"/>
      <c r="AJ237" s="181"/>
    </row>
    <row r="238" s="32" customFormat="1" ht="47.25" spans="1:36">
      <c r="A238" s="91">
        <f>IF(F238&lt;&gt;"",1+MAX($A$2:A237),"")</f>
        <v>191</v>
      </c>
      <c r="B238" s="92"/>
      <c r="C238" s="93"/>
      <c r="D238" s="66" t="s">
        <v>248</v>
      </c>
      <c r="E238" s="69">
        <v>2</v>
      </c>
      <c r="F238" s="68">
        <v>0</v>
      </c>
      <c r="G238" s="63">
        <f t="shared" si="187"/>
        <v>2</v>
      </c>
      <c r="H238" s="67" t="s">
        <v>73</v>
      </c>
      <c r="I238" s="140">
        <v>3.2</v>
      </c>
      <c r="J238" s="141">
        <f t="shared" si="188"/>
        <v>6.4</v>
      </c>
      <c r="K238" s="142">
        <f>'LABOR SHEET'!C$3</f>
        <v>128</v>
      </c>
      <c r="L238" s="143">
        <f t="shared" si="189"/>
        <v>409.6</v>
      </c>
      <c r="M238" s="143">
        <f t="shared" si="190"/>
        <v>819.2</v>
      </c>
      <c r="N238" s="143">
        <v>844.35</v>
      </c>
      <c r="O238" s="143">
        <f t="shared" si="191"/>
        <v>1688.7</v>
      </c>
      <c r="P238" s="143">
        <f t="shared" si="192"/>
        <v>1253.95</v>
      </c>
      <c r="Q238" s="178">
        <f t="shared" si="193"/>
        <v>2507.9</v>
      </c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81"/>
      <c r="AJ238" s="181"/>
    </row>
    <row r="239" s="32" customFormat="1" ht="47.25" spans="1:36">
      <c r="A239" s="91">
        <f>IF(F239&lt;&gt;"",1+MAX($A$2:A238),"")</f>
        <v>192</v>
      </c>
      <c r="B239" s="92"/>
      <c r="C239" s="93"/>
      <c r="D239" s="66" t="s">
        <v>249</v>
      </c>
      <c r="E239" s="69">
        <v>3</v>
      </c>
      <c r="F239" s="68">
        <v>0</v>
      </c>
      <c r="G239" s="63">
        <f t="shared" si="187"/>
        <v>3</v>
      </c>
      <c r="H239" s="67" t="s">
        <v>73</v>
      </c>
      <c r="I239" s="140">
        <f>0.2*11</f>
        <v>2.2</v>
      </c>
      <c r="J239" s="141">
        <f t="shared" si="188"/>
        <v>6.6</v>
      </c>
      <c r="K239" s="142">
        <f>'LABOR SHEET'!C$3</f>
        <v>128</v>
      </c>
      <c r="L239" s="143">
        <f t="shared" si="189"/>
        <v>281.6</v>
      </c>
      <c r="M239" s="143">
        <f t="shared" si="190"/>
        <v>844.8</v>
      </c>
      <c r="N239" s="143">
        <f>42.5*11</f>
        <v>467.5</v>
      </c>
      <c r="O239" s="143">
        <f t="shared" si="191"/>
        <v>1402.5</v>
      </c>
      <c r="P239" s="143">
        <f t="shared" si="192"/>
        <v>749.1</v>
      </c>
      <c r="Q239" s="178">
        <f t="shared" si="193"/>
        <v>2247.3</v>
      </c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81"/>
      <c r="AJ239" s="181"/>
    </row>
    <row r="240" s="32" customFormat="1" ht="47.25" spans="1:36">
      <c r="A240" s="91">
        <f>IF(F240&lt;&gt;"",1+MAX($A$2:A239),"")</f>
        <v>193</v>
      </c>
      <c r="B240" s="92"/>
      <c r="C240" s="93"/>
      <c r="D240" s="66" t="s">
        <v>250</v>
      </c>
      <c r="E240" s="69">
        <v>1</v>
      </c>
      <c r="F240" s="68">
        <v>0</v>
      </c>
      <c r="G240" s="63">
        <f t="shared" si="187"/>
        <v>1</v>
      </c>
      <c r="H240" s="67" t="s">
        <v>73</v>
      </c>
      <c r="I240" s="140">
        <f>0.2*13</f>
        <v>2.6</v>
      </c>
      <c r="J240" s="141">
        <f t="shared" si="188"/>
        <v>2.6</v>
      </c>
      <c r="K240" s="142">
        <f>'LABOR SHEET'!C$3</f>
        <v>128</v>
      </c>
      <c r="L240" s="143">
        <f t="shared" si="189"/>
        <v>332.8</v>
      </c>
      <c r="M240" s="143">
        <f t="shared" si="190"/>
        <v>332.8</v>
      </c>
      <c r="N240" s="143">
        <f>42.5*13</f>
        <v>552.5</v>
      </c>
      <c r="O240" s="143">
        <f t="shared" si="191"/>
        <v>552.5</v>
      </c>
      <c r="P240" s="143">
        <f t="shared" si="192"/>
        <v>885.3</v>
      </c>
      <c r="Q240" s="178">
        <f t="shared" si="193"/>
        <v>885.3</v>
      </c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81"/>
      <c r="AJ240" s="181"/>
    </row>
    <row r="241" s="32" customFormat="1" spans="1:36">
      <c r="A241" s="91" t="str">
        <f>IF(F241&lt;&gt;"",1+MAX($A$2:A240),"")</f>
        <v/>
      </c>
      <c r="B241" s="92"/>
      <c r="C241" s="93"/>
      <c r="D241" s="66"/>
      <c r="E241" s="69"/>
      <c r="F241" s="94"/>
      <c r="G241" s="95"/>
      <c r="H241" s="67"/>
      <c r="I241" s="140"/>
      <c r="J241" s="141"/>
      <c r="K241" s="142"/>
      <c r="L241" s="143"/>
      <c r="M241" s="143"/>
      <c r="N241" s="143"/>
      <c r="O241" s="143"/>
      <c r="P241" s="143"/>
      <c r="Q241" s="179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81"/>
      <c r="AJ241" s="181"/>
    </row>
    <row r="242" s="32" customFormat="1" spans="1:36">
      <c r="A242" s="91" t="str">
        <f>IF(F242&lt;&gt;"",1+MAX($A$2:A241),"")</f>
        <v/>
      </c>
      <c r="B242" s="92"/>
      <c r="C242" s="93"/>
      <c r="D242" s="87" t="s">
        <v>251</v>
      </c>
      <c r="E242" s="69"/>
      <c r="F242" s="94"/>
      <c r="G242" s="95"/>
      <c r="H242" s="67"/>
      <c r="I242" s="140"/>
      <c r="J242" s="141"/>
      <c r="K242" s="142"/>
      <c r="L242" s="143"/>
      <c r="M242" s="143"/>
      <c r="N242" s="143"/>
      <c r="O242" s="143"/>
      <c r="P242" s="143"/>
      <c r="Q242" s="179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81"/>
      <c r="AJ242" s="181"/>
    </row>
    <row r="243" s="32" customFormat="1" spans="1:36">
      <c r="A243" s="91">
        <f>IF(F243&lt;&gt;"",1+MAX($A$2:A242),"")</f>
        <v>194</v>
      </c>
      <c r="B243" s="92"/>
      <c r="C243" s="93"/>
      <c r="D243" s="66" t="s">
        <v>252</v>
      </c>
      <c r="E243" s="69">
        <v>10</v>
      </c>
      <c r="F243" s="68">
        <v>0</v>
      </c>
      <c r="G243" s="63">
        <f t="shared" ref="G243:G270" si="194">(F243*E243)+E243</f>
        <v>10</v>
      </c>
      <c r="H243" s="67" t="s">
        <v>73</v>
      </c>
      <c r="I243" s="140">
        <v>3.5</v>
      </c>
      <c r="J243" s="141">
        <f t="shared" ref="J243:J244" si="195">+I243*G243</f>
        <v>35</v>
      </c>
      <c r="K243" s="142">
        <f>'LABOR SHEET'!C$3</f>
        <v>128</v>
      </c>
      <c r="L243" s="143">
        <f t="shared" ref="L243:L244" si="196">I243*K243</f>
        <v>448</v>
      </c>
      <c r="M243" s="143">
        <f t="shared" ref="M243:M244" si="197">K243*J243</f>
        <v>4480</v>
      </c>
      <c r="N243" s="143">
        <v>715</v>
      </c>
      <c r="O243" s="143">
        <f t="shared" ref="O243:O244" si="198">N243*G243</f>
        <v>7150</v>
      </c>
      <c r="P243" s="143">
        <f t="shared" ref="P243:P244" si="199">(I243*K243)+N243</f>
        <v>1163</v>
      </c>
      <c r="Q243" s="178">
        <f t="shared" ref="Q243:Q244" si="200">P243*G243</f>
        <v>11630</v>
      </c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81"/>
      <c r="AJ243" s="181"/>
    </row>
    <row r="244" s="32" customFormat="1" spans="1:36">
      <c r="A244" s="91">
        <f>IF(F244&lt;&gt;"",1+MAX($A$2:A243),"")</f>
        <v>195</v>
      </c>
      <c r="B244" s="92"/>
      <c r="C244" s="93"/>
      <c r="D244" s="66" t="s">
        <v>253</v>
      </c>
      <c r="E244" s="69">
        <v>10</v>
      </c>
      <c r="F244" s="68">
        <v>0</v>
      </c>
      <c r="G244" s="63">
        <f t="shared" si="194"/>
        <v>10</v>
      </c>
      <c r="H244" s="67" t="s">
        <v>73</v>
      </c>
      <c r="I244" s="140">
        <v>5</v>
      </c>
      <c r="J244" s="141">
        <f t="shared" si="195"/>
        <v>50</v>
      </c>
      <c r="K244" s="142">
        <f>'LABOR SHEET'!C$3</f>
        <v>128</v>
      </c>
      <c r="L244" s="143">
        <f t="shared" si="196"/>
        <v>640</v>
      </c>
      <c r="M244" s="143">
        <f t="shared" si="197"/>
        <v>6400</v>
      </c>
      <c r="N244" s="143">
        <v>1750</v>
      </c>
      <c r="O244" s="143">
        <f t="shared" si="198"/>
        <v>17500</v>
      </c>
      <c r="P244" s="143">
        <f t="shared" si="199"/>
        <v>2390</v>
      </c>
      <c r="Q244" s="178">
        <f t="shared" si="200"/>
        <v>23900</v>
      </c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81"/>
      <c r="AJ244" s="181"/>
    </row>
    <row r="245" s="32" customFormat="1" spans="1:36">
      <c r="A245" s="91" t="str">
        <f>IF(F245&lt;&gt;"",1+MAX($A$2:A244),"")</f>
        <v/>
      </c>
      <c r="B245" s="92"/>
      <c r="C245" s="93"/>
      <c r="D245" s="66"/>
      <c r="E245" s="69"/>
      <c r="F245" s="94"/>
      <c r="G245" s="95"/>
      <c r="H245" s="67"/>
      <c r="I245" s="140"/>
      <c r="J245" s="141"/>
      <c r="K245" s="142"/>
      <c r="L245" s="143"/>
      <c r="M245" s="143"/>
      <c r="N245" s="143"/>
      <c r="O245" s="143"/>
      <c r="P245" s="143"/>
      <c r="Q245" s="179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81"/>
      <c r="AJ245" s="181"/>
    </row>
    <row r="246" s="32" customFormat="1" spans="1:36">
      <c r="A246" s="91" t="str">
        <f>IF(F246&lt;&gt;"",1+MAX($A$2:A245),"")</f>
        <v/>
      </c>
      <c r="B246" s="92"/>
      <c r="C246" s="93"/>
      <c r="D246" s="87" t="s">
        <v>254</v>
      </c>
      <c r="E246" s="69"/>
      <c r="F246" s="94"/>
      <c r="G246" s="95"/>
      <c r="H246" s="67"/>
      <c r="I246" s="140"/>
      <c r="J246" s="141"/>
      <c r="K246" s="142"/>
      <c r="L246" s="143"/>
      <c r="M246" s="143"/>
      <c r="N246" s="143"/>
      <c r="O246" s="143"/>
      <c r="P246" s="143"/>
      <c r="Q246" s="179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81"/>
      <c r="AJ246" s="181"/>
    </row>
    <row r="247" s="32" customFormat="1" ht="31.5" spans="1:36">
      <c r="A247" s="91">
        <f>IF(F247&lt;&gt;"",1+MAX($A$2:A246),"")</f>
        <v>196</v>
      </c>
      <c r="B247" s="92"/>
      <c r="C247" s="93"/>
      <c r="D247" s="66" t="s">
        <v>255</v>
      </c>
      <c r="E247" s="69">
        <v>11</v>
      </c>
      <c r="F247" s="68">
        <v>0</v>
      </c>
      <c r="G247" s="63">
        <f t="shared" si="194"/>
        <v>11</v>
      </c>
      <c r="H247" s="67" t="s">
        <v>73</v>
      </c>
      <c r="I247" s="140">
        <v>0.65</v>
      </c>
      <c r="J247" s="141">
        <f t="shared" ref="J247:J268" si="201">+I247*G247</f>
        <v>7.15</v>
      </c>
      <c r="K247" s="142">
        <f>'LABOR SHEET'!C$3</f>
        <v>128</v>
      </c>
      <c r="L247" s="143">
        <f t="shared" ref="L247:L268" si="202">I247*K247</f>
        <v>83.2</v>
      </c>
      <c r="M247" s="143">
        <f t="shared" ref="M247:M268" si="203">K247*J247</f>
        <v>915.2</v>
      </c>
      <c r="N247" s="143">
        <v>133.5</v>
      </c>
      <c r="O247" s="143">
        <f t="shared" ref="O247:O268" si="204">N247*G247</f>
        <v>1468.5</v>
      </c>
      <c r="P247" s="143">
        <f t="shared" ref="P247:P268" si="205">(I247*K247)+N247</f>
        <v>216.7</v>
      </c>
      <c r="Q247" s="178">
        <f t="shared" ref="Q247:Q268" si="206">P247*G247</f>
        <v>2383.7</v>
      </c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81"/>
      <c r="AJ247" s="181"/>
    </row>
    <row r="248" s="32" customFormat="1" spans="1:36">
      <c r="A248" s="91">
        <f>IF(F248&lt;&gt;"",1+MAX($A$2:A247),"")</f>
        <v>197</v>
      </c>
      <c r="B248" s="92"/>
      <c r="C248" s="93"/>
      <c r="D248" s="66" t="s">
        <v>256</v>
      </c>
      <c r="E248" s="69">
        <v>1</v>
      </c>
      <c r="F248" s="68">
        <v>0</v>
      </c>
      <c r="G248" s="63">
        <f t="shared" si="194"/>
        <v>1</v>
      </c>
      <c r="H248" s="67" t="s">
        <v>73</v>
      </c>
      <c r="I248" s="140">
        <v>10</v>
      </c>
      <c r="J248" s="141">
        <f t="shared" si="201"/>
        <v>10</v>
      </c>
      <c r="K248" s="142">
        <f>'LABOR SHEET'!C$3</f>
        <v>128</v>
      </c>
      <c r="L248" s="143">
        <f t="shared" si="202"/>
        <v>1280</v>
      </c>
      <c r="M248" s="143">
        <f t="shared" si="203"/>
        <v>1280</v>
      </c>
      <c r="N248" s="143">
        <v>2410.72</v>
      </c>
      <c r="O248" s="143">
        <f t="shared" si="204"/>
        <v>2410.72</v>
      </c>
      <c r="P248" s="143">
        <f t="shared" si="205"/>
        <v>3690.72</v>
      </c>
      <c r="Q248" s="178">
        <f t="shared" si="206"/>
        <v>3690.72</v>
      </c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81"/>
      <c r="AJ248" s="181"/>
    </row>
    <row r="249" s="32" customFormat="1" ht="31.5" spans="1:36">
      <c r="A249" s="91">
        <f>IF(F249&lt;&gt;"",1+MAX($A$2:A248),"")</f>
        <v>198</v>
      </c>
      <c r="B249" s="92"/>
      <c r="C249" s="93"/>
      <c r="D249" s="66" t="s">
        <v>257</v>
      </c>
      <c r="E249" s="69">
        <v>15</v>
      </c>
      <c r="F249" s="68">
        <v>0</v>
      </c>
      <c r="G249" s="63">
        <f t="shared" si="194"/>
        <v>15</v>
      </c>
      <c r="H249" s="67" t="s">
        <v>73</v>
      </c>
      <c r="I249" s="140">
        <v>0.86</v>
      </c>
      <c r="J249" s="141">
        <f t="shared" si="201"/>
        <v>12.9</v>
      </c>
      <c r="K249" s="142">
        <f>'LABOR SHEET'!C$3</f>
        <v>128</v>
      </c>
      <c r="L249" s="143">
        <f t="shared" si="202"/>
        <v>110.08</v>
      </c>
      <c r="M249" s="143">
        <f t="shared" si="203"/>
        <v>1651.2</v>
      </c>
      <c r="N249" s="143">
        <v>177</v>
      </c>
      <c r="O249" s="143">
        <f t="shared" si="204"/>
        <v>2655</v>
      </c>
      <c r="P249" s="143">
        <f t="shared" si="205"/>
        <v>287.08</v>
      </c>
      <c r="Q249" s="178">
        <f t="shared" si="206"/>
        <v>4306.2</v>
      </c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81"/>
      <c r="AJ249" s="181"/>
    </row>
    <row r="250" s="32" customFormat="1" ht="31.5" spans="1:36">
      <c r="A250" s="91">
        <f>IF(F250&lt;&gt;"",1+MAX($A$2:A249),"")</f>
        <v>199</v>
      </c>
      <c r="B250" s="92"/>
      <c r="C250" s="93"/>
      <c r="D250" s="66" t="s">
        <v>258</v>
      </c>
      <c r="E250" s="69">
        <v>11</v>
      </c>
      <c r="F250" s="68">
        <v>0</v>
      </c>
      <c r="G250" s="63">
        <f t="shared" si="194"/>
        <v>11</v>
      </c>
      <c r="H250" s="67" t="s">
        <v>73</v>
      </c>
      <c r="I250" s="140">
        <v>0.55</v>
      </c>
      <c r="J250" s="141">
        <f t="shared" si="201"/>
        <v>6.05</v>
      </c>
      <c r="K250" s="142">
        <f>'LABOR SHEET'!C$3</f>
        <v>128</v>
      </c>
      <c r="L250" s="143">
        <f t="shared" si="202"/>
        <v>70.4</v>
      </c>
      <c r="M250" s="143">
        <f t="shared" si="203"/>
        <v>774.4</v>
      </c>
      <c r="N250" s="143">
        <v>89.9</v>
      </c>
      <c r="O250" s="143">
        <f t="shared" si="204"/>
        <v>988.9</v>
      </c>
      <c r="P250" s="143">
        <f t="shared" si="205"/>
        <v>160.3</v>
      </c>
      <c r="Q250" s="178">
        <f t="shared" si="206"/>
        <v>1763.3</v>
      </c>
      <c r="R250" s="181"/>
      <c r="S250" s="181"/>
      <c r="T250" s="181"/>
      <c r="U250" s="181"/>
      <c r="V250" s="181"/>
      <c r="W250" s="181"/>
      <c r="X250" s="181"/>
      <c r="Y250" s="181"/>
      <c r="Z250" s="181"/>
      <c r="AA250" s="181"/>
      <c r="AB250" s="181"/>
      <c r="AC250" s="181"/>
      <c r="AD250" s="181"/>
      <c r="AE250" s="181"/>
      <c r="AF250" s="181"/>
      <c r="AG250" s="181"/>
      <c r="AH250" s="181"/>
      <c r="AI250" s="181"/>
      <c r="AJ250" s="181"/>
    </row>
    <row r="251" s="32" customFormat="1" ht="31.5" spans="1:36">
      <c r="A251" s="91">
        <f>IF(F251&lt;&gt;"",1+MAX($A$2:A250),"")</f>
        <v>200</v>
      </c>
      <c r="B251" s="92"/>
      <c r="C251" s="93"/>
      <c r="D251" s="66" t="s">
        <v>259</v>
      </c>
      <c r="E251" s="69">
        <v>2</v>
      </c>
      <c r="F251" s="68">
        <v>0</v>
      </c>
      <c r="G251" s="63">
        <f t="shared" si="194"/>
        <v>2</v>
      </c>
      <c r="H251" s="67" t="s">
        <v>73</v>
      </c>
      <c r="I251" s="140">
        <v>0.32</v>
      </c>
      <c r="J251" s="141">
        <f t="shared" si="201"/>
        <v>0.64</v>
      </c>
      <c r="K251" s="142">
        <f>'LABOR SHEET'!C$3</f>
        <v>128</v>
      </c>
      <c r="L251" s="143">
        <f t="shared" si="202"/>
        <v>40.96</v>
      </c>
      <c r="M251" s="143">
        <f t="shared" si="203"/>
        <v>81.92</v>
      </c>
      <c r="N251" s="143">
        <v>38</v>
      </c>
      <c r="O251" s="143">
        <f t="shared" si="204"/>
        <v>76</v>
      </c>
      <c r="P251" s="143">
        <f t="shared" si="205"/>
        <v>78.96</v>
      </c>
      <c r="Q251" s="178">
        <f t="shared" si="206"/>
        <v>157.92</v>
      </c>
      <c r="R251" s="181"/>
      <c r="S251" s="181"/>
      <c r="T251" s="181"/>
      <c r="U251" s="181"/>
      <c r="V251" s="181"/>
      <c r="W251" s="181"/>
      <c r="X251" s="181"/>
      <c r="Y251" s="181"/>
      <c r="Z251" s="181"/>
      <c r="AA251" s="181"/>
      <c r="AB251" s="181"/>
      <c r="AC251" s="181"/>
      <c r="AD251" s="181"/>
      <c r="AE251" s="181"/>
      <c r="AF251" s="181"/>
      <c r="AG251" s="181"/>
      <c r="AH251" s="181"/>
      <c r="AI251" s="181"/>
      <c r="AJ251" s="181"/>
    </row>
    <row r="252" s="32" customFormat="1" ht="31.5" spans="1:36">
      <c r="A252" s="91">
        <f>IF(F252&lt;&gt;"",1+MAX($A$2:A251),"")</f>
        <v>201</v>
      </c>
      <c r="B252" s="92"/>
      <c r="C252" s="93"/>
      <c r="D252" s="66" t="s">
        <v>260</v>
      </c>
      <c r="E252" s="69">
        <v>4</v>
      </c>
      <c r="F252" s="68">
        <v>0</v>
      </c>
      <c r="G252" s="63">
        <f t="shared" si="194"/>
        <v>4</v>
      </c>
      <c r="H252" s="67" t="s">
        <v>73</v>
      </c>
      <c r="I252" s="140">
        <v>0.45</v>
      </c>
      <c r="J252" s="141">
        <f t="shared" si="201"/>
        <v>1.8</v>
      </c>
      <c r="K252" s="142">
        <f>'LABOR SHEET'!C$3</f>
        <v>128</v>
      </c>
      <c r="L252" s="143">
        <f t="shared" si="202"/>
        <v>57.6</v>
      </c>
      <c r="M252" s="143">
        <f t="shared" si="203"/>
        <v>230.4</v>
      </c>
      <c r="N252" s="143">
        <v>68.5</v>
      </c>
      <c r="O252" s="143">
        <f t="shared" si="204"/>
        <v>274</v>
      </c>
      <c r="P252" s="143">
        <f t="shared" si="205"/>
        <v>126.1</v>
      </c>
      <c r="Q252" s="178">
        <f t="shared" si="206"/>
        <v>504.4</v>
      </c>
      <c r="R252" s="181"/>
      <c r="S252" s="181"/>
      <c r="T252" s="181"/>
      <c r="U252" s="181"/>
      <c r="V252" s="181"/>
      <c r="W252" s="181"/>
      <c r="X252" s="181"/>
      <c r="Y252" s="181"/>
      <c r="Z252" s="181"/>
      <c r="AA252" s="181"/>
      <c r="AB252" s="181"/>
      <c r="AC252" s="181"/>
      <c r="AD252" s="181"/>
      <c r="AE252" s="181"/>
      <c r="AF252" s="181"/>
      <c r="AG252" s="181"/>
      <c r="AH252" s="181"/>
      <c r="AI252" s="181"/>
      <c r="AJ252" s="181"/>
    </row>
    <row r="253" s="32" customFormat="1" ht="31.5" spans="1:36">
      <c r="A253" s="91">
        <f>IF(F253&lt;&gt;"",1+MAX($A$2:A252),"")</f>
        <v>202</v>
      </c>
      <c r="B253" s="92"/>
      <c r="C253" s="93"/>
      <c r="D253" s="66" t="s">
        <v>261</v>
      </c>
      <c r="E253" s="69">
        <v>1</v>
      </c>
      <c r="F253" s="68">
        <v>0</v>
      </c>
      <c r="G253" s="63">
        <f t="shared" si="194"/>
        <v>1</v>
      </c>
      <c r="H253" s="67" t="s">
        <v>73</v>
      </c>
      <c r="I253" s="140">
        <v>1</v>
      </c>
      <c r="J253" s="141">
        <f t="shared" si="201"/>
        <v>1</v>
      </c>
      <c r="K253" s="142">
        <f>'LABOR SHEET'!C$3</f>
        <v>128</v>
      </c>
      <c r="L253" s="143">
        <f t="shared" si="202"/>
        <v>128</v>
      </c>
      <c r="M253" s="143">
        <f t="shared" si="203"/>
        <v>128</v>
      </c>
      <c r="N253" s="143">
        <v>92.75</v>
      </c>
      <c r="O253" s="143">
        <f t="shared" si="204"/>
        <v>92.75</v>
      </c>
      <c r="P253" s="143">
        <f t="shared" si="205"/>
        <v>220.75</v>
      </c>
      <c r="Q253" s="178">
        <f t="shared" si="206"/>
        <v>220.75</v>
      </c>
      <c r="R253" s="181"/>
      <c r="S253" s="181"/>
      <c r="T253" s="181"/>
      <c r="U253" s="181"/>
      <c r="V253" s="181"/>
      <c r="W253" s="181"/>
      <c r="X253" s="181"/>
      <c r="Y253" s="181"/>
      <c r="Z253" s="181"/>
      <c r="AA253" s="181"/>
      <c r="AB253" s="181"/>
      <c r="AC253" s="181"/>
      <c r="AD253" s="181"/>
      <c r="AE253" s="181"/>
      <c r="AF253" s="181"/>
      <c r="AG253" s="181"/>
      <c r="AH253" s="181"/>
      <c r="AI253" s="181"/>
      <c r="AJ253" s="181"/>
    </row>
    <row r="254" s="32" customFormat="1" ht="31.5" spans="1:36">
      <c r="A254" s="91">
        <f>IF(F254&lt;&gt;"",1+MAX($A$2:A253),"")</f>
        <v>203</v>
      </c>
      <c r="B254" s="92"/>
      <c r="C254" s="93"/>
      <c r="D254" s="66" t="s">
        <v>262</v>
      </c>
      <c r="E254" s="69">
        <v>1</v>
      </c>
      <c r="F254" s="68">
        <v>0</v>
      </c>
      <c r="G254" s="63">
        <f t="shared" si="194"/>
        <v>1</v>
      </c>
      <c r="H254" s="67" t="s">
        <v>73</v>
      </c>
      <c r="I254" s="140">
        <v>1</v>
      </c>
      <c r="J254" s="141">
        <f t="shared" si="201"/>
        <v>1</v>
      </c>
      <c r="K254" s="142">
        <f>'LABOR SHEET'!C$3</f>
        <v>128</v>
      </c>
      <c r="L254" s="143">
        <f t="shared" si="202"/>
        <v>128</v>
      </c>
      <c r="M254" s="143">
        <f t="shared" si="203"/>
        <v>128</v>
      </c>
      <c r="N254" s="143">
        <v>92.75</v>
      </c>
      <c r="O254" s="143">
        <f t="shared" si="204"/>
        <v>92.75</v>
      </c>
      <c r="P254" s="143">
        <f t="shared" si="205"/>
        <v>220.75</v>
      </c>
      <c r="Q254" s="178">
        <f t="shared" si="206"/>
        <v>220.75</v>
      </c>
      <c r="R254" s="181"/>
      <c r="S254" s="181"/>
      <c r="T254" s="181"/>
      <c r="U254" s="181"/>
      <c r="V254" s="181"/>
      <c r="W254" s="181"/>
      <c r="X254" s="181"/>
      <c r="Y254" s="181"/>
      <c r="Z254" s="181"/>
      <c r="AA254" s="181"/>
      <c r="AB254" s="181"/>
      <c r="AC254" s="181"/>
      <c r="AD254" s="181"/>
      <c r="AE254" s="181"/>
      <c r="AF254" s="181"/>
      <c r="AG254" s="181"/>
      <c r="AH254" s="181"/>
      <c r="AI254" s="181"/>
      <c r="AJ254" s="181"/>
    </row>
    <row r="255" s="32" customFormat="1" ht="31.5" spans="1:36">
      <c r="A255" s="91">
        <f>IF(F255&lt;&gt;"",1+MAX($A$2:A254),"")</f>
        <v>204</v>
      </c>
      <c r="B255" s="92"/>
      <c r="C255" s="93"/>
      <c r="D255" s="66" t="s">
        <v>263</v>
      </c>
      <c r="E255" s="69">
        <v>1</v>
      </c>
      <c r="F255" s="68">
        <v>0</v>
      </c>
      <c r="G255" s="63">
        <f t="shared" si="194"/>
        <v>1</v>
      </c>
      <c r="H255" s="67" t="s">
        <v>73</v>
      </c>
      <c r="I255" s="140">
        <v>1.1</v>
      </c>
      <c r="J255" s="141">
        <f t="shared" si="201"/>
        <v>1.1</v>
      </c>
      <c r="K255" s="142">
        <f>'LABOR SHEET'!C$3</f>
        <v>128</v>
      </c>
      <c r="L255" s="143">
        <f t="shared" si="202"/>
        <v>140.8</v>
      </c>
      <c r="M255" s="143">
        <f t="shared" si="203"/>
        <v>140.8</v>
      </c>
      <c r="N255" s="143">
        <v>125</v>
      </c>
      <c r="O255" s="143">
        <f t="shared" si="204"/>
        <v>125</v>
      </c>
      <c r="P255" s="143">
        <f t="shared" si="205"/>
        <v>265.8</v>
      </c>
      <c r="Q255" s="178">
        <f t="shared" si="206"/>
        <v>265.8</v>
      </c>
      <c r="R255" s="181"/>
      <c r="S255" s="181"/>
      <c r="T255" s="181"/>
      <c r="U255" s="181"/>
      <c r="V255" s="181"/>
      <c r="W255" s="181"/>
      <c r="X255" s="181"/>
      <c r="Y255" s="181"/>
      <c r="Z255" s="181"/>
      <c r="AA255" s="181"/>
      <c r="AB255" s="181"/>
      <c r="AC255" s="181"/>
      <c r="AD255" s="181"/>
      <c r="AE255" s="181"/>
      <c r="AF255" s="181"/>
      <c r="AG255" s="181"/>
      <c r="AH255" s="181"/>
      <c r="AI255" s="181"/>
      <c r="AJ255" s="181"/>
    </row>
    <row r="256" s="32" customFormat="1" ht="31.5" spans="1:36">
      <c r="A256" s="91">
        <f>IF(F256&lt;&gt;"",1+MAX($A$2:A255),"")</f>
        <v>205</v>
      </c>
      <c r="B256" s="92"/>
      <c r="C256" s="93"/>
      <c r="D256" s="66" t="s">
        <v>264</v>
      </c>
      <c r="E256" s="69">
        <v>1</v>
      </c>
      <c r="F256" s="68">
        <v>0</v>
      </c>
      <c r="G256" s="63">
        <f t="shared" si="194"/>
        <v>1</v>
      </c>
      <c r="H256" s="67" t="s">
        <v>73</v>
      </c>
      <c r="I256" s="140">
        <v>1</v>
      </c>
      <c r="J256" s="141">
        <f t="shared" si="201"/>
        <v>1</v>
      </c>
      <c r="K256" s="142">
        <f>'LABOR SHEET'!C$3</f>
        <v>128</v>
      </c>
      <c r="L256" s="143">
        <f t="shared" si="202"/>
        <v>128</v>
      </c>
      <c r="M256" s="143">
        <f t="shared" si="203"/>
        <v>128</v>
      </c>
      <c r="N256" s="143">
        <v>92.75</v>
      </c>
      <c r="O256" s="143">
        <f t="shared" si="204"/>
        <v>92.75</v>
      </c>
      <c r="P256" s="143">
        <f t="shared" si="205"/>
        <v>220.75</v>
      </c>
      <c r="Q256" s="178">
        <f t="shared" si="206"/>
        <v>220.75</v>
      </c>
      <c r="R256" s="181"/>
      <c r="S256" s="181"/>
      <c r="T256" s="181"/>
      <c r="U256" s="181"/>
      <c r="V256" s="181"/>
      <c r="W256" s="181"/>
      <c r="X256" s="181"/>
      <c r="Y256" s="181"/>
      <c r="Z256" s="181"/>
      <c r="AA256" s="181"/>
      <c r="AB256" s="181"/>
      <c r="AC256" s="181"/>
      <c r="AD256" s="181"/>
      <c r="AE256" s="181"/>
      <c r="AF256" s="181"/>
      <c r="AG256" s="181"/>
      <c r="AH256" s="181"/>
      <c r="AI256" s="181"/>
      <c r="AJ256" s="181"/>
    </row>
    <row r="257" s="32" customFormat="1" ht="31.5" spans="1:36">
      <c r="A257" s="91">
        <f>IF(F257&lt;&gt;"",1+MAX($A$2:A256),"")</f>
        <v>206</v>
      </c>
      <c r="B257" s="92"/>
      <c r="C257" s="93"/>
      <c r="D257" s="66" t="s">
        <v>265</v>
      </c>
      <c r="E257" s="69">
        <v>1</v>
      </c>
      <c r="F257" s="68">
        <v>0</v>
      </c>
      <c r="G257" s="63">
        <f t="shared" si="194"/>
        <v>1</v>
      </c>
      <c r="H257" s="67" t="s">
        <v>73</v>
      </c>
      <c r="I257" s="140">
        <v>1.1</v>
      </c>
      <c r="J257" s="141">
        <f t="shared" ref="J257:J258" si="207">+I257*G257</f>
        <v>1.1</v>
      </c>
      <c r="K257" s="142">
        <f>'LABOR SHEET'!C$3</f>
        <v>128</v>
      </c>
      <c r="L257" s="143">
        <f t="shared" ref="L257:L258" si="208">I257*K257</f>
        <v>140.8</v>
      </c>
      <c r="M257" s="143">
        <f t="shared" ref="M257:M258" si="209">K257*J257</f>
        <v>140.8</v>
      </c>
      <c r="N257" s="143">
        <v>393.06</v>
      </c>
      <c r="O257" s="143">
        <f t="shared" ref="O257:O258" si="210">N257*G257</f>
        <v>393.06</v>
      </c>
      <c r="P257" s="143">
        <f t="shared" ref="P257:P258" si="211">(I257*K257)+N257</f>
        <v>533.86</v>
      </c>
      <c r="Q257" s="178">
        <f t="shared" ref="Q257:Q258" si="212">P257*G257</f>
        <v>533.86</v>
      </c>
      <c r="R257" s="181"/>
      <c r="S257" s="181"/>
      <c r="T257" s="181"/>
      <c r="U257" s="181"/>
      <c r="V257" s="181"/>
      <c r="W257" s="181"/>
      <c r="X257" s="181"/>
      <c r="Y257" s="181"/>
      <c r="Z257" s="181"/>
      <c r="AA257" s="181"/>
      <c r="AB257" s="181"/>
      <c r="AC257" s="181"/>
      <c r="AD257" s="181"/>
      <c r="AE257" s="181"/>
      <c r="AF257" s="181"/>
      <c r="AG257" s="181"/>
      <c r="AH257" s="181"/>
      <c r="AI257" s="181"/>
      <c r="AJ257" s="181"/>
    </row>
    <row r="258" s="32" customFormat="1" ht="31.5" spans="1:36">
      <c r="A258" s="91">
        <f>IF(F258&lt;&gt;"",1+MAX($A$2:A257),"")</f>
        <v>207</v>
      </c>
      <c r="B258" s="92"/>
      <c r="C258" s="93"/>
      <c r="D258" s="66" t="s">
        <v>266</v>
      </c>
      <c r="E258" s="69">
        <v>1</v>
      </c>
      <c r="F258" s="68">
        <v>0</v>
      </c>
      <c r="G258" s="63">
        <f t="shared" si="194"/>
        <v>1</v>
      </c>
      <c r="H258" s="67" t="s">
        <v>73</v>
      </c>
      <c r="I258" s="140">
        <v>1.1</v>
      </c>
      <c r="J258" s="141">
        <f t="shared" si="207"/>
        <v>1.1</v>
      </c>
      <c r="K258" s="142">
        <f>'LABOR SHEET'!C$3</f>
        <v>128</v>
      </c>
      <c r="L258" s="143">
        <f t="shared" si="208"/>
        <v>140.8</v>
      </c>
      <c r="M258" s="143">
        <f t="shared" si="209"/>
        <v>140.8</v>
      </c>
      <c r="N258" s="143">
        <v>393.06</v>
      </c>
      <c r="O258" s="143">
        <f t="shared" si="210"/>
        <v>393.06</v>
      </c>
      <c r="P258" s="143">
        <f t="shared" si="211"/>
        <v>533.86</v>
      </c>
      <c r="Q258" s="178">
        <f t="shared" si="212"/>
        <v>533.86</v>
      </c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81"/>
      <c r="AJ258" s="181"/>
    </row>
    <row r="259" s="32" customFormat="1" ht="31.5" spans="1:36">
      <c r="A259" s="91">
        <f>IF(F259&lt;&gt;"",1+MAX($A$2:A258),"")</f>
        <v>208</v>
      </c>
      <c r="B259" s="92"/>
      <c r="C259" s="93"/>
      <c r="D259" s="66" t="s">
        <v>267</v>
      </c>
      <c r="E259" s="69">
        <v>1</v>
      </c>
      <c r="F259" s="68">
        <v>0</v>
      </c>
      <c r="G259" s="63">
        <f t="shared" si="194"/>
        <v>1</v>
      </c>
      <c r="H259" s="67" t="s">
        <v>73</v>
      </c>
      <c r="I259" s="140">
        <v>1</v>
      </c>
      <c r="J259" s="141">
        <f t="shared" si="201"/>
        <v>1</v>
      </c>
      <c r="K259" s="142">
        <f>'LABOR SHEET'!C$3</f>
        <v>128</v>
      </c>
      <c r="L259" s="143">
        <f t="shared" si="202"/>
        <v>128</v>
      </c>
      <c r="M259" s="143">
        <f t="shared" si="203"/>
        <v>128</v>
      </c>
      <c r="N259" s="143">
        <v>92.75</v>
      </c>
      <c r="O259" s="143">
        <f t="shared" si="204"/>
        <v>92.75</v>
      </c>
      <c r="P259" s="143">
        <f t="shared" si="205"/>
        <v>220.75</v>
      </c>
      <c r="Q259" s="178">
        <f t="shared" si="206"/>
        <v>220.75</v>
      </c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81"/>
      <c r="AJ259" s="181"/>
    </row>
    <row r="260" s="32" customFormat="1" ht="31.5" spans="1:36">
      <c r="A260" s="91">
        <f>IF(F260&lt;&gt;"",1+MAX($A$2:A259),"")</f>
        <v>209</v>
      </c>
      <c r="B260" s="92"/>
      <c r="C260" s="93"/>
      <c r="D260" s="66" t="s">
        <v>268</v>
      </c>
      <c r="E260" s="69">
        <v>1</v>
      </c>
      <c r="F260" s="68">
        <v>0</v>
      </c>
      <c r="G260" s="63">
        <f t="shared" si="194"/>
        <v>1</v>
      </c>
      <c r="H260" s="67" t="s">
        <v>73</v>
      </c>
      <c r="I260" s="140">
        <v>1.1</v>
      </c>
      <c r="J260" s="141">
        <f t="shared" ref="J260:J261" si="213">+I260*G260</f>
        <v>1.1</v>
      </c>
      <c r="K260" s="142">
        <f>'LABOR SHEET'!C$3</f>
        <v>128</v>
      </c>
      <c r="L260" s="143">
        <f t="shared" ref="L260:L261" si="214">I260*K260</f>
        <v>140.8</v>
      </c>
      <c r="M260" s="143">
        <f t="shared" ref="M260:M261" si="215">K260*J260</f>
        <v>140.8</v>
      </c>
      <c r="N260" s="143">
        <v>393.06</v>
      </c>
      <c r="O260" s="143">
        <f t="shared" ref="O260:O261" si="216">N260*G260</f>
        <v>393.06</v>
      </c>
      <c r="P260" s="143">
        <f t="shared" ref="P260:P261" si="217">(I260*K260)+N260</f>
        <v>533.86</v>
      </c>
      <c r="Q260" s="178">
        <f t="shared" ref="Q260:Q261" si="218">P260*G260</f>
        <v>533.86</v>
      </c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81"/>
      <c r="AJ260" s="181"/>
    </row>
    <row r="261" s="32" customFormat="1" ht="31.5" spans="1:36">
      <c r="A261" s="91">
        <f>IF(F261&lt;&gt;"",1+MAX($A$2:A260),"")</f>
        <v>210</v>
      </c>
      <c r="B261" s="92"/>
      <c r="C261" s="93"/>
      <c r="D261" s="66" t="s">
        <v>269</v>
      </c>
      <c r="E261" s="69">
        <v>1</v>
      </c>
      <c r="F261" s="68">
        <v>0</v>
      </c>
      <c r="G261" s="63">
        <f t="shared" si="194"/>
        <v>1</v>
      </c>
      <c r="H261" s="67" t="s">
        <v>73</v>
      </c>
      <c r="I261" s="140">
        <v>1.1</v>
      </c>
      <c r="J261" s="141">
        <f t="shared" si="213"/>
        <v>1.1</v>
      </c>
      <c r="K261" s="142">
        <f>'LABOR SHEET'!C$3</f>
        <v>128</v>
      </c>
      <c r="L261" s="143">
        <f t="shared" si="214"/>
        <v>140.8</v>
      </c>
      <c r="M261" s="143">
        <f t="shared" si="215"/>
        <v>140.8</v>
      </c>
      <c r="N261" s="143">
        <v>393.06</v>
      </c>
      <c r="O261" s="143">
        <f t="shared" si="216"/>
        <v>393.06</v>
      </c>
      <c r="P261" s="143">
        <f t="shared" si="217"/>
        <v>533.86</v>
      </c>
      <c r="Q261" s="178">
        <f t="shared" si="218"/>
        <v>533.86</v>
      </c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81"/>
      <c r="AJ261" s="181"/>
    </row>
    <row r="262" s="32" customFormat="1" ht="31.5" spans="1:36">
      <c r="A262" s="91">
        <f>IF(F262&lt;&gt;"",1+MAX($A$2:A261),"")</f>
        <v>211</v>
      </c>
      <c r="B262" s="92"/>
      <c r="C262" s="93"/>
      <c r="D262" s="66" t="s">
        <v>270</v>
      </c>
      <c r="E262" s="69">
        <v>1</v>
      </c>
      <c r="F262" s="68">
        <v>0</v>
      </c>
      <c r="G262" s="63">
        <f t="shared" si="194"/>
        <v>1</v>
      </c>
      <c r="H262" s="67" t="s">
        <v>73</v>
      </c>
      <c r="I262" s="140">
        <v>1</v>
      </c>
      <c r="J262" s="141">
        <f t="shared" si="201"/>
        <v>1</v>
      </c>
      <c r="K262" s="142">
        <f>'LABOR SHEET'!C$3</f>
        <v>128</v>
      </c>
      <c r="L262" s="143">
        <f t="shared" si="202"/>
        <v>128</v>
      </c>
      <c r="M262" s="143">
        <f t="shared" si="203"/>
        <v>128</v>
      </c>
      <c r="N262" s="143">
        <v>92.75</v>
      </c>
      <c r="O262" s="143">
        <f t="shared" si="204"/>
        <v>92.75</v>
      </c>
      <c r="P262" s="143">
        <f t="shared" si="205"/>
        <v>220.75</v>
      </c>
      <c r="Q262" s="178">
        <f t="shared" si="206"/>
        <v>220.75</v>
      </c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81"/>
      <c r="AJ262" s="181"/>
    </row>
    <row r="263" s="32" customFormat="1" ht="31.5" spans="1:36">
      <c r="A263" s="91">
        <f>IF(F263&lt;&gt;"",1+MAX($A$2:A262),"")</f>
        <v>212</v>
      </c>
      <c r="B263" s="92"/>
      <c r="C263" s="93"/>
      <c r="D263" s="66" t="s">
        <v>271</v>
      </c>
      <c r="E263" s="69">
        <v>1</v>
      </c>
      <c r="F263" s="68">
        <v>0</v>
      </c>
      <c r="G263" s="63">
        <f t="shared" si="194"/>
        <v>1</v>
      </c>
      <c r="H263" s="67" t="s">
        <v>73</v>
      </c>
      <c r="I263" s="140">
        <v>1.1</v>
      </c>
      <c r="J263" s="141">
        <f t="shared" ref="J263" si="219">+I263*G263</f>
        <v>1.1</v>
      </c>
      <c r="K263" s="142">
        <f>'LABOR SHEET'!C$3</f>
        <v>128</v>
      </c>
      <c r="L263" s="143">
        <f t="shared" ref="L263" si="220">I263*K263</f>
        <v>140.8</v>
      </c>
      <c r="M263" s="143">
        <f t="shared" ref="M263" si="221">K263*J263</f>
        <v>140.8</v>
      </c>
      <c r="N263" s="143">
        <v>393.06</v>
      </c>
      <c r="O263" s="143">
        <f t="shared" ref="O263" si="222">N263*G263</f>
        <v>393.06</v>
      </c>
      <c r="P263" s="143">
        <f t="shared" ref="P263" si="223">(I263*K263)+N263</f>
        <v>533.86</v>
      </c>
      <c r="Q263" s="178">
        <f t="shared" ref="Q263" si="224">P263*G263</f>
        <v>533.86</v>
      </c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81"/>
      <c r="AJ263" s="181"/>
    </row>
    <row r="264" s="32" customFormat="1" ht="31.5" spans="1:36">
      <c r="A264" s="91">
        <f>IF(F264&lt;&gt;"",1+MAX($A$2:A263),"")</f>
        <v>213</v>
      </c>
      <c r="B264" s="92"/>
      <c r="C264" s="93"/>
      <c r="D264" s="66" t="s">
        <v>272</v>
      </c>
      <c r="E264" s="69">
        <v>1</v>
      </c>
      <c r="F264" s="68">
        <v>0</v>
      </c>
      <c r="G264" s="63">
        <f t="shared" si="194"/>
        <v>1</v>
      </c>
      <c r="H264" s="67" t="s">
        <v>73</v>
      </c>
      <c r="I264" s="140">
        <v>1</v>
      </c>
      <c r="J264" s="141">
        <f t="shared" si="201"/>
        <v>1</v>
      </c>
      <c r="K264" s="142">
        <f>'LABOR SHEET'!C$3</f>
        <v>128</v>
      </c>
      <c r="L264" s="143">
        <f t="shared" si="202"/>
        <v>128</v>
      </c>
      <c r="M264" s="143">
        <f t="shared" si="203"/>
        <v>128</v>
      </c>
      <c r="N264" s="143">
        <v>92.75</v>
      </c>
      <c r="O264" s="143">
        <f t="shared" si="204"/>
        <v>92.75</v>
      </c>
      <c r="P264" s="143">
        <f t="shared" si="205"/>
        <v>220.75</v>
      </c>
      <c r="Q264" s="178">
        <f t="shared" si="206"/>
        <v>220.75</v>
      </c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81"/>
      <c r="AJ264" s="181"/>
    </row>
    <row r="265" s="32" customFormat="1" ht="31.5" spans="1:36">
      <c r="A265" s="91">
        <f>IF(F265&lt;&gt;"",1+MAX($A$2:A264),"")</f>
        <v>214</v>
      </c>
      <c r="B265" s="92"/>
      <c r="C265" s="93"/>
      <c r="D265" s="66" t="s">
        <v>273</v>
      </c>
      <c r="E265" s="69">
        <v>1</v>
      </c>
      <c r="F265" s="68">
        <v>0</v>
      </c>
      <c r="G265" s="63">
        <f t="shared" si="194"/>
        <v>1</v>
      </c>
      <c r="H265" s="67" t="s">
        <v>73</v>
      </c>
      <c r="I265" s="140">
        <v>1.1</v>
      </c>
      <c r="J265" s="141">
        <f t="shared" ref="J265:J267" si="225">+I265*G265</f>
        <v>1.1</v>
      </c>
      <c r="K265" s="142">
        <f>'LABOR SHEET'!C$3</f>
        <v>128</v>
      </c>
      <c r="L265" s="143">
        <f t="shared" ref="L265:L267" si="226">I265*K265</f>
        <v>140.8</v>
      </c>
      <c r="M265" s="143">
        <f t="shared" ref="M265:M267" si="227">K265*J265</f>
        <v>140.8</v>
      </c>
      <c r="N265" s="143">
        <v>393.06</v>
      </c>
      <c r="O265" s="143">
        <f t="shared" ref="O265:O267" si="228">N265*G265</f>
        <v>393.06</v>
      </c>
      <c r="P265" s="143">
        <f t="shared" ref="P265:P267" si="229">(I265*K265)+N265</f>
        <v>533.86</v>
      </c>
      <c r="Q265" s="178">
        <f t="shared" ref="Q265:Q267" si="230">P265*G265</f>
        <v>533.86</v>
      </c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81"/>
      <c r="AJ265" s="181"/>
    </row>
    <row r="266" s="32" customFormat="1" ht="31.5" spans="1:36">
      <c r="A266" s="91">
        <f>IF(F266&lt;&gt;"",1+MAX($A$2:A265),"")</f>
        <v>215</v>
      </c>
      <c r="B266" s="92"/>
      <c r="C266" s="93"/>
      <c r="D266" s="66" t="s">
        <v>274</v>
      </c>
      <c r="E266" s="69">
        <v>1</v>
      </c>
      <c r="F266" s="68">
        <v>0</v>
      </c>
      <c r="G266" s="63">
        <f t="shared" si="194"/>
        <v>1</v>
      </c>
      <c r="H266" s="67" t="s">
        <v>73</v>
      </c>
      <c r="I266" s="140">
        <v>1.1</v>
      </c>
      <c r="J266" s="141">
        <f t="shared" si="225"/>
        <v>1.1</v>
      </c>
      <c r="K266" s="142">
        <f>'LABOR SHEET'!C$3</f>
        <v>128</v>
      </c>
      <c r="L266" s="143">
        <f t="shared" si="226"/>
        <v>140.8</v>
      </c>
      <c r="M266" s="143">
        <f t="shared" si="227"/>
        <v>140.8</v>
      </c>
      <c r="N266" s="143">
        <v>393.06</v>
      </c>
      <c r="O266" s="143">
        <f t="shared" si="228"/>
        <v>393.06</v>
      </c>
      <c r="P266" s="143">
        <f t="shared" si="229"/>
        <v>533.86</v>
      </c>
      <c r="Q266" s="178">
        <f t="shared" si="230"/>
        <v>533.86</v>
      </c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81"/>
      <c r="AJ266" s="181"/>
    </row>
    <row r="267" s="32" customFormat="1" ht="31.5" spans="1:36">
      <c r="A267" s="91">
        <f>IF(F267&lt;&gt;"",1+MAX($A$2:A266),"")</f>
        <v>216</v>
      </c>
      <c r="B267" s="92"/>
      <c r="C267" s="93"/>
      <c r="D267" s="66" t="s">
        <v>275</v>
      </c>
      <c r="E267" s="69">
        <v>1</v>
      </c>
      <c r="F267" s="68">
        <v>0</v>
      </c>
      <c r="G267" s="63">
        <f t="shared" si="194"/>
        <v>1</v>
      </c>
      <c r="H267" s="67" t="s">
        <v>73</v>
      </c>
      <c r="I267" s="140">
        <v>1.1</v>
      </c>
      <c r="J267" s="141">
        <f t="shared" si="225"/>
        <v>1.1</v>
      </c>
      <c r="K267" s="142">
        <f>'LABOR SHEET'!C$3</f>
        <v>128</v>
      </c>
      <c r="L267" s="143">
        <f t="shared" si="226"/>
        <v>140.8</v>
      </c>
      <c r="M267" s="143">
        <f t="shared" si="227"/>
        <v>140.8</v>
      </c>
      <c r="N267" s="143">
        <v>393.06</v>
      </c>
      <c r="O267" s="143">
        <f t="shared" si="228"/>
        <v>393.06</v>
      </c>
      <c r="P267" s="143">
        <f t="shared" si="229"/>
        <v>533.86</v>
      </c>
      <c r="Q267" s="178">
        <f t="shared" si="230"/>
        <v>533.86</v>
      </c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81"/>
      <c r="AJ267" s="181"/>
    </row>
    <row r="268" s="32" customFormat="1" ht="31.5" spans="1:36">
      <c r="A268" s="91">
        <f>IF(F268&lt;&gt;"",1+MAX($A$2:A267),"")</f>
        <v>217</v>
      </c>
      <c r="B268" s="92"/>
      <c r="C268" s="93"/>
      <c r="D268" s="66" t="s">
        <v>276</v>
      </c>
      <c r="E268" s="69">
        <v>2</v>
      </c>
      <c r="F268" s="68">
        <v>0</v>
      </c>
      <c r="G268" s="63">
        <f t="shared" si="194"/>
        <v>2</v>
      </c>
      <c r="H268" s="67" t="s">
        <v>73</v>
      </c>
      <c r="I268" s="140">
        <v>0.55</v>
      </c>
      <c r="J268" s="141">
        <f t="shared" si="201"/>
        <v>1.1</v>
      </c>
      <c r="K268" s="142">
        <f>'LABOR SHEET'!C$3</f>
        <v>128</v>
      </c>
      <c r="L268" s="143">
        <f t="shared" si="202"/>
        <v>70.4</v>
      </c>
      <c r="M268" s="143">
        <f t="shared" si="203"/>
        <v>140.8</v>
      </c>
      <c r="N268" s="143">
        <v>62.25</v>
      </c>
      <c r="O268" s="143">
        <f t="shared" si="204"/>
        <v>124.5</v>
      </c>
      <c r="P268" s="143">
        <f t="shared" si="205"/>
        <v>132.65</v>
      </c>
      <c r="Q268" s="178">
        <f t="shared" si="206"/>
        <v>265.3</v>
      </c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81"/>
      <c r="AJ268" s="181"/>
    </row>
    <row r="269" s="32" customFormat="1" ht="31.5" spans="1:36">
      <c r="A269" s="91">
        <f>IF(F269&lt;&gt;"",1+MAX($A$2:A268),"")</f>
        <v>218</v>
      </c>
      <c r="B269" s="92"/>
      <c r="C269" s="93"/>
      <c r="D269" s="66" t="s">
        <v>277</v>
      </c>
      <c r="E269" s="69">
        <v>13</v>
      </c>
      <c r="F269" s="68">
        <v>0</v>
      </c>
      <c r="G269" s="63">
        <f t="shared" si="194"/>
        <v>13</v>
      </c>
      <c r="H269" s="67" t="s">
        <v>73</v>
      </c>
      <c r="I269" s="140">
        <v>0.55</v>
      </c>
      <c r="J269" s="141">
        <f t="shared" ref="J269:J270" si="231">+I269*G269</f>
        <v>7.15</v>
      </c>
      <c r="K269" s="142">
        <f>'LABOR SHEET'!C$3</f>
        <v>128</v>
      </c>
      <c r="L269" s="143">
        <f t="shared" ref="L269:L270" si="232">I269*K269</f>
        <v>70.4</v>
      </c>
      <c r="M269" s="143">
        <f t="shared" ref="M269:M270" si="233">K269*J269</f>
        <v>915.2</v>
      </c>
      <c r="N269" s="143">
        <v>89.9</v>
      </c>
      <c r="O269" s="143">
        <f t="shared" ref="O269:O270" si="234">N269*G269</f>
        <v>1168.7</v>
      </c>
      <c r="P269" s="143">
        <f t="shared" ref="P269:P270" si="235">(I269*K269)+N269</f>
        <v>160.3</v>
      </c>
      <c r="Q269" s="178">
        <f t="shared" ref="Q269:Q270" si="236">P269*G269</f>
        <v>2083.9</v>
      </c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81"/>
      <c r="AJ269" s="181"/>
    </row>
    <row r="270" s="32" customFormat="1" spans="1:36">
      <c r="A270" s="91">
        <f>IF(F270&lt;&gt;"",1+MAX($A$2:A269),"")</f>
        <v>219</v>
      </c>
      <c r="B270" s="92"/>
      <c r="C270" s="93"/>
      <c r="D270" s="66" t="s">
        <v>278</v>
      </c>
      <c r="E270" s="69">
        <v>2</v>
      </c>
      <c r="F270" s="68">
        <v>0</v>
      </c>
      <c r="G270" s="63">
        <f t="shared" si="194"/>
        <v>2</v>
      </c>
      <c r="H270" s="67" t="s">
        <v>73</v>
      </c>
      <c r="I270" s="140">
        <v>0.55</v>
      </c>
      <c r="J270" s="141">
        <f t="shared" si="231"/>
        <v>1.1</v>
      </c>
      <c r="K270" s="142">
        <f>'LABOR SHEET'!C$3</f>
        <v>128</v>
      </c>
      <c r="L270" s="143">
        <f t="shared" si="232"/>
        <v>70.4</v>
      </c>
      <c r="M270" s="143">
        <f t="shared" si="233"/>
        <v>140.8</v>
      </c>
      <c r="N270" s="143">
        <v>89.9</v>
      </c>
      <c r="O270" s="143">
        <f t="shared" si="234"/>
        <v>179.8</v>
      </c>
      <c r="P270" s="143">
        <f t="shared" si="235"/>
        <v>160.3</v>
      </c>
      <c r="Q270" s="178">
        <f t="shared" si="236"/>
        <v>320.6</v>
      </c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81"/>
      <c r="AJ270" s="181"/>
    </row>
    <row r="271" s="32" customFormat="1" spans="1:36">
      <c r="A271" s="91" t="str">
        <f>IF(F271&lt;&gt;"",1+MAX($A$2:A270),"")</f>
        <v/>
      </c>
      <c r="B271" s="92"/>
      <c r="C271" s="93"/>
      <c r="D271" s="66"/>
      <c r="E271" s="69"/>
      <c r="F271" s="94"/>
      <c r="G271" s="95"/>
      <c r="H271" s="67"/>
      <c r="I271" s="140"/>
      <c r="J271" s="141"/>
      <c r="K271" s="142"/>
      <c r="L271" s="143"/>
      <c r="M271" s="143"/>
      <c r="N271" s="143"/>
      <c r="O271" s="143"/>
      <c r="P271" s="143"/>
      <c r="Q271" s="179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81"/>
      <c r="AJ271" s="181"/>
    </row>
    <row r="272" s="32" customFormat="1" spans="1:36">
      <c r="A272" s="91" t="str">
        <f>IF(F272&lt;&gt;"",1+MAX($A$2:A271),"")</f>
        <v/>
      </c>
      <c r="B272" s="92"/>
      <c r="C272" s="93"/>
      <c r="D272" s="87" t="s">
        <v>279</v>
      </c>
      <c r="E272" s="69"/>
      <c r="F272" s="94"/>
      <c r="G272" s="95"/>
      <c r="H272" s="67"/>
      <c r="I272" s="140"/>
      <c r="J272" s="141"/>
      <c r="K272" s="142"/>
      <c r="L272" s="143"/>
      <c r="M272" s="143"/>
      <c r="N272" s="143"/>
      <c r="O272" s="143"/>
      <c r="P272" s="143"/>
      <c r="Q272" s="179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81"/>
      <c r="AJ272" s="181"/>
    </row>
    <row r="273" s="32" customFormat="1" spans="1:36">
      <c r="A273" s="91">
        <f>IF(F273&lt;&gt;"",1+MAX($A$2:A272),"")</f>
        <v>220</v>
      </c>
      <c r="B273" s="92"/>
      <c r="C273" s="93"/>
      <c r="D273" s="66" t="s">
        <v>280</v>
      </c>
      <c r="E273" s="69">
        <v>1480</v>
      </c>
      <c r="F273" s="68">
        <v>0.05</v>
      </c>
      <c r="G273" s="63">
        <f t="shared" ref="G273:G275" si="237">(F273*E273)+E273</f>
        <v>1554</v>
      </c>
      <c r="H273" s="67" t="s">
        <v>56</v>
      </c>
      <c r="I273" s="140">
        <v>0.01</v>
      </c>
      <c r="J273" s="141">
        <f t="shared" ref="J273:J275" si="238">+I273*G273</f>
        <v>15.54</v>
      </c>
      <c r="K273" s="142">
        <f>'LABOR SHEET'!C$3</f>
        <v>128</v>
      </c>
      <c r="L273" s="143">
        <f t="shared" ref="L273:L275" si="239">I273*K273</f>
        <v>1.28</v>
      </c>
      <c r="M273" s="143">
        <f t="shared" ref="M273:M275" si="240">K273*J273</f>
        <v>1989.12</v>
      </c>
      <c r="N273" s="143">
        <v>2.25</v>
      </c>
      <c r="O273" s="143">
        <f t="shared" ref="O273:O275" si="241">N273*G273</f>
        <v>3496.5</v>
      </c>
      <c r="P273" s="143">
        <f t="shared" ref="P273:P275" si="242">(I273*K273)+N273</f>
        <v>3.53</v>
      </c>
      <c r="Q273" s="178">
        <f t="shared" ref="Q273:Q275" si="243">P273*G273</f>
        <v>5485.62</v>
      </c>
      <c r="R273" s="181"/>
      <c r="S273" s="181"/>
      <c r="T273" s="181"/>
      <c r="U273" s="181"/>
      <c r="V273" s="181"/>
      <c r="W273" s="181"/>
      <c r="X273" s="181"/>
      <c r="Y273" s="181"/>
      <c r="Z273" s="181"/>
      <c r="AA273" s="181"/>
      <c r="AB273" s="181"/>
      <c r="AC273" s="181"/>
      <c r="AD273" s="181"/>
      <c r="AE273" s="181"/>
      <c r="AF273" s="181"/>
      <c r="AG273" s="181"/>
      <c r="AH273" s="181"/>
      <c r="AI273" s="181"/>
      <c r="AJ273" s="181"/>
    </row>
    <row r="274" s="32" customFormat="1" spans="1:36">
      <c r="A274" s="91">
        <f>IF(F274&lt;&gt;"",1+MAX($A$2:A273),"")</f>
        <v>221</v>
      </c>
      <c r="B274" s="92"/>
      <c r="C274" s="93"/>
      <c r="D274" s="66" t="s">
        <v>281</v>
      </c>
      <c r="E274" s="69">
        <v>370</v>
      </c>
      <c r="F274" s="68">
        <v>0</v>
      </c>
      <c r="G274" s="63">
        <f t="shared" si="237"/>
        <v>370</v>
      </c>
      <c r="H274" s="67" t="s">
        <v>73</v>
      </c>
      <c r="I274" s="140">
        <v>0.1</v>
      </c>
      <c r="J274" s="141">
        <f t="shared" si="238"/>
        <v>37</v>
      </c>
      <c r="K274" s="142">
        <f>'LABOR SHEET'!C$3</f>
        <v>128</v>
      </c>
      <c r="L274" s="143">
        <f t="shared" si="239"/>
        <v>12.8</v>
      </c>
      <c r="M274" s="143">
        <f t="shared" si="240"/>
        <v>4736</v>
      </c>
      <c r="N274" s="143">
        <v>4.98</v>
      </c>
      <c r="O274" s="143">
        <f t="shared" si="241"/>
        <v>1842.6</v>
      </c>
      <c r="P274" s="143">
        <f t="shared" si="242"/>
        <v>17.78</v>
      </c>
      <c r="Q274" s="178">
        <f t="shared" si="243"/>
        <v>6578.6</v>
      </c>
      <c r="R274" s="181"/>
      <c r="S274" s="181"/>
      <c r="T274" s="181"/>
      <c r="U274" s="181"/>
      <c r="V274" s="181"/>
      <c r="W274" s="181"/>
      <c r="X274" s="181"/>
      <c r="Y274" s="181"/>
      <c r="Z274" s="181"/>
      <c r="AA274" s="181"/>
      <c r="AB274" s="181"/>
      <c r="AC274" s="181"/>
      <c r="AD274" s="181"/>
      <c r="AE274" s="181"/>
      <c r="AF274" s="181"/>
      <c r="AG274" s="181"/>
      <c r="AH274" s="181"/>
      <c r="AI274" s="181"/>
      <c r="AJ274" s="181"/>
    </row>
    <row r="275" s="32" customFormat="1" spans="1:36">
      <c r="A275" s="91">
        <f>IF(F275&lt;&gt;"",1+MAX($A$2:A274),"")</f>
        <v>222</v>
      </c>
      <c r="B275" s="92"/>
      <c r="C275" s="93"/>
      <c r="D275" s="66" t="s">
        <v>282</v>
      </c>
      <c r="E275" s="69">
        <v>130</v>
      </c>
      <c r="F275" s="68">
        <v>0</v>
      </c>
      <c r="G275" s="63">
        <f t="shared" si="237"/>
        <v>130</v>
      </c>
      <c r="H275" s="67" t="s">
        <v>73</v>
      </c>
      <c r="I275" s="140">
        <v>0.3</v>
      </c>
      <c r="J275" s="141">
        <f t="shared" si="238"/>
        <v>39</v>
      </c>
      <c r="K275" s="142">
        <f>'LABOR SHEET'!C$3</f>
        <v>128</v>
      </c>
      <c r="L275" s="143">
        <f t="shared" si="239"/>
        <v>38.4</v>
      </c>
      <c r="M275" s="143">
        <f t="shared" si="240"/>
        <v>4992</v>
      </c>
      <c r="N275" s="143">
        <v>30</v>
      </c>
      <c r="O275" s="143">
        <f t="shared" si="241"/>
        <v>3900</v>
      </c>
      <c r="P275" s="143">
        <f t="shared" si="242"/>
        <v>68.4</v>
      </c>
      <c r="Q275" s="178">
        <f t="shared" si="243"/>
        <v>8892</v>
      </c>
      <c r="R275" s="181"/>
      <c r="S275" s="181"/>
      <c r="T275" s="181"/>
      <c r="U275" s="181"/>
      <c r="V275" s="181"/>
      <c r="W275" s="181"/>
      <c r="X275" s="181"/>
      <c r="Y275" s="181"/>
      <c r="Z275" s="181"/>
      <c r="AA275" s="181"/>
      <c r="AB275" s="181"/>
      <c r="AC275" s="181"/>
      <c r="AD275" s="181"/>
      <c r="AE275" s="181"/>
      <c r="AF275" s="181"/>
      <c r="AG275" s="181"/>
      <c r="AH275" s="181"/>
      <c r="AI275" s="181"/>
      <c r="AJ275" s="181"/>
    </row>
    <row r="276" s="32" customFormat="1" ht="16.5" spans="1:36">
      <c r="A276" s="91" t="str">
        <f>IF(F276&lt;&gt;"",1+MAX($A$2:A275),"")</f>
        <v/>
      </c>
      <c r="B276" s="92"/>
      <c r="C276" s="93"/>
      <c r="D276" s="66"/>
      <c r="E276" s="69"/>
      <c r="F276" s="94"/>
      <c r="G276" s="95"/>
      <c r="H276" s="67"/>
      <c r="I276" s="140"/>
      <c r="J276" s="141"/>
      <c r="K276" s="142"/>
      <c r="L276" s="143"/>
      <c r="M276" s="143"/>
      <c r="N276" s="143"/>
      <c r="O276" s="143"/>
      <c r="P276" s="143"/>
      <c r="Q276" s="179"/>
      <c r="R276" s="181"/>
      <c r="S276" s="181"/>
      <c r="T276" s="181"/>
      <c r="U276" s="181"/>
      <c r="V276" s="181"/>
      <c r="W276" s="181"/>
      <c r="X276" s="181"/>
      <c r="Y276" s="181"/>
      <c r="Z276" s="181"/>
      <c r="AA276" s="181"/>
      <c r="AB276" s="181"/>
      <c r="AC276" s="181"/>
      <c r="AD276" s="181"/>
      <c r="AE276" s="181"/>
      <c r="AF276" s="181"/>
      <c r="AG276" s="181"/>
      <c r="AH276" s="181"/>
      <c r="AI276" s="181"/>
      <c r="AJ276" s="181"/>
    </row>
    <row r="277" s="32" customFormat="1" ht="16.5" spans="1:19">
      <c r="A277" s="91" t="str">
        <f>IF(F277&lt;&gt;"",1+MAX($A$2:A276),"")</f>
        <v/>
      </c>
      <c r="B277" s="92"/>
      <c r="C277" s="193"/>
      <c r="D277" s="79" t="s">
        <v>50</v>
      </c>
      <c r="E277" s="194"/>
      <c r="F277" s="194"/>
      <c r="G277" s="195"/>
      <c r="H277" s="194"/>
      <c r="I277" s="194"/>
      <c r="J277" s="201"/>
      <c r="K277" s="201"/>
      <c r="L277" s="202"/>
      <c r="M277" s="203"/>
      <c r="N277" s="202"/>
      <c r="O277" s="202"/>
      <c r="P277" s="204"/>
      <c r="Q277" s="173">
        <f>SUM(Q17:Q276)</f>
        <v>2090736.68845995</v>
      </c>
      <c r="S277" s="176"/>
    </row>
    <row r="278" s="29" customFormat="1" spans="1:18">
      <c r="A278" s="91" t="str">
        <f>IF(F278&lt;&gt;"",1+MAX($A$2:A277),"")</f>
        <v/>
      </c>
      <c r="B278" s="77"/>
      <c r="C278" s="78"/>
      <c r="D278" s="81"/>
      <c r="E278" s="81"/>
      <c r="F278" s="81"/>
      <c r="G278" s="81"/>
      <c r="H278" s="81"/>
      <c r="I278" s="81"/>
      <c r="J278" s="81"/>
      <c r="K278" s="81"/>
      <c r="L278" s="81"/>
      <c r="M278" s="81"/>
      <c r="N278" s="81"/>
      <c r="O278" s="81"/>
      <c r="P278" s="81"/>
      <c r="Q278" s="175"/>
      <c r="R278" s="174"/>
    </row>
    <row r="279" s="32" customFormat="1" spans="1:19">
      <c r="A279" s="82" t="str">
        <f>IF(F279&lt;&gt;"",1+MAX($A$2:A278),"")</f>
        <v/>
      </c>
      <c r="B279" s="55"/>
      <c r="C279" s="83">
        <v>27</v>
      </c>
      <c r="D279" s="57" t="s">
        <v>283</v>
      </c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191"/>
      <c r="S279" s="176"/>
    </row>
    <row r="280" s="32" customFormat="1" spans="1:36">
      <c r="A280" s="91" t="str">
        <f>IF(F280&lt;&gt;"",1+MAX($A$2:A279),"")</f>
        <v/>
      </c>
      <c r="B280" s="92"/>
      <c r="C280" s="93"/>
      <c r="D280" s="57" t="s">
        <v>284</v>
      </c>
      <c r="E280" s="69"/>
      <c r="F280" s="94"/>
      <c r="G280" s="95"/>
      <c r="H280" s="67"/>
      <c r="I280" s="140"/>
      <c r="J280" s="141"/>
      <c r="K280" s="142"/>
      <c r="L280" s="143"/>
      <c r="M280" s="143"/>
      <c r="N280" s="143"/>
      <c r="O280" s="143"/>
      <c r="P280" s="143"/>
      <c r="Q280" s="179"/>
      <c r="R280" s="181"/>
      <c r="S280" s="181"/>
      <c r="T280" s="181"/>
      <c r="U280" s="181"/>
      <c r="V280" s="181"/>
      <c r="W280" s="181"/>
      <c r="X280" s="181"/>
      <c r="Y280" s="181"/>
      <c r="Z280" s="181"/>
      <c r="AA280" s="181"/>
      <c r="AB280" s="181"/>
      <c r="AC280" s="181"/>
      <c r="AD280" s="181"/>
      <c r="AE280" s="181"/>
      <c r="AF280" s="181"/>
      <c r="AG280" s="181"/>
      <c r="AH280" s="181"/>
      <c r="AI280" s="181"/>
      <c r="AJ280" s="181"/>
    </row>
    <row r="281" s="32" customFormat="1" spans="1:36">
      <c r="A281" s="91" t="str">
        <f>IF(F281&lt;&gt;"",1+MAX($A$2:A280),"")</f>
        <v/>
      </c>
      <c r="B281" s="92"/>
      <c r="C281" s="93"/>
      <c r="D281" s="87" t="s">
        <v>285</v>
      </c>
      <c r="E281" s="69"/>
      <c r="F281" s="94"/>
      <c r="G281" s="95"/>
      <c r="H281" s="67"/>
      <c r="I281" s="140"/>
      <c r="J281" s="141"/>
      <c r="K281" s="142"/>
      <c r="L281" s="143"/>
      <c r="M281" s="143"/>
      <c r="N281" s="143"/>
      <c r="O281" s="143"/>
      <c r="P281" s="143"/>
      <c r="Q281" s="179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81"/>
      <c r="AJ281" s="181"/>
    </row>
    <row r="282" s="32" customFormat="1" spans="1:36">
      <c r="A282" s="91">
        <f>IF(F282&lt;&gt;"",1+MAX($A$2:A281),"")</f>
        <v>223</v>
      </c>
      <c r="B282" s="92"/>
      <c r="C282" s="93"/>
      <c r="D282" s="66" t="s">
        <v>55</v>
      </c>
      <c r="E282" s="69">
        <v>323.53</v>
      </c>
      <c r="F282" s="68">
        <v>0.05</v>
      </c>
      <c r="G282" s="63">
        <f t="shared" ref="G282:G288" si="244">(F282*E282)+E282</f>
        <v>339.7065</v>
      </c>
      <c r="H282" s="67" t="s">
        <v>56</v>
      </c>
      <c r="I282" s="140">
        <v>0.146</v>
      </c>
      <c r="J282" s="141">
        <f t="shared" ref="J282:J283" si="245">+I282*G282</f>
        <v>49.597149</v>
      </c>
      <c r="K282" s="142">
        <f>'LABOR SHEET'!C$3</f>
        <v>128</v>
      </c>
      <c r="L282" s="143">
        <f t="shared" ref="L282:L283" si="246">I282*K282</f>
        <v>18.688</v>
      </c>
      <c r="M282" s="143">
        <f t="shared" ref="M282:M283" si="247">K282*J282</f>
        <v>6348.435072</v>
      </c>
      <c r="N282" s="143">
        <f>138.78/10+1</f>
        <v>14.878</v>
      </c>
      <c r="O282" s="143">
        <f t="shared" ref="O282:O283" si="248">N282*G282</f>
        <v>5054.153307</v>
      </c>
      <c r="P282" s="143">
        <f t="shared" ref="P282:P283" si="249">(I282*K282)+N282</f>
        <v>33.566</v>
      </c>
      <c r="Q282" s="178">
        <f t="shared" ref="Q282:Q283" si="250">P282*G282</f>
        <v>11402.588379</v>
      </c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81"/>
      <c r="AJ282" s="181"/>
    </row>
    <row r="283" s="32" customFormat="1" spans="1:36">
      <c r="A283" s="91">
        <f>IF(F283&lt;&gt;"",1+MAX($A$2:A282),"")</f>
        <v>224</v>
      </c>
      <c r="B283" s="92"/>
      <c r="C283" s="93"/>
      <c r="D283" s="66" t="s">
        <v>57</v>
      </c>
      <c r="E283" s="69">
        <v>1440.81</v>
      </c>
      <c r="F283" s="68">
        <v>0.05</v>
      </c>
      <c r="G283" s="63">
        <f t="shared" si="244"/>
        <v>1512.8505</v>
      </c>
      <c r="H283" s="67" t="s">
        <v>56</v>
      </c>
      <c r="I283" s="140">
        <v>0.115</v>
      </c>
      <c r="J283" s="141">
        <f t="shared" si="245"/>
        <v>173.9778075</v>
      </c>
      <c r="K283" s="142">
        <f>'LABOR SHEET'!C$3</f>
        <v>128</v>
      </c>
      <c r="L283" s="143">
        <f t="shared" si="246"/>
        <v>14.72</v>
      </c>
      <c r="M283" s="143">
        <f t="shared" si="247"/>
        <v>22269.15936</v>
      </c>
      <c r="N283" s="143">
        <v>9.27</v>
      </c>
      <c r="O283" s="143">
        <f t="shared" si="248"/>
        <v>14024.124135</v>
      </c>
      <c r="P283" s="143">
        <f t="shared" si="249"/>
        <v>23.99</v>
      </c>
      <c r="Q283" s="178">
        <f t="shared" si="250"/>
        <v>36293.283495</v>
      </c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81"/>
      <c r="AJ283" s="181"/>
    </row>
    <row r="284" s="32" customFormat="1" spans="1:36">
      <c r="A284" s="91">
        <f>IF(F284&lt;&gt;"",1+MAX($A$2:A283),"")</f>
        <v>225</v>
      </c>
      <c r="B284" s="92"/>
      <c r="C284" s="93"/>
      <c r="D284" s="66" t="s">
        <v>164</v>
      </c>
      <c r="E284" s="69">
        <v>150</v>
      </c>
      <c r="F284" s="68">
        <v>0.05</v>
      </c>
      <c r="G284" s="63">
        <f t="shared" si="244"/>
        <v>157.5</v>
      </c>
      <c r="H284" s="67" t="s">
        <v>56</v>
      </c>
      <c r="I284" s="140">
        <v>0.07</v>
      </c>
      <c r="J284" s="141">
        <f t="shared" ref="J284:J288" si="251">+I284*G284</f>
        <v>11.025</v>
      </c>
      <c r="K284" s="142">
        <f>'LABOR SHEET'!C$3</f>
        <v>128</v>
      </c>
      <c r="L284" s="143">
        <f t="shared" ref="L284:L288" si="252">I284*K284</f>
        <v>8.96</v>
      </c>
      <c r="M284" s="143">
        <f t="shared" ref="M284:M288" si="253">K284*J284</f>
        <v>1411.2</v>
      </c>
      <c r="N284" s="143">
        <f>28.95/10+0.4</f>
        <v>3.295</v>
      </c>
      <c r="O284" s="143">
        <f t="shared" ref="O284:O288" si="254">N284*G284</f>
        <v>518.9625</v>
      </c>
      <c r="P284" s="143">
        <f t="shared" ref="P284:P288" si="255">(I284*K284)+N284</f>
        <v>12.255</v>
      </c>
      <c r="Q284" s="178">
        <f t="shared" ref="Q284:Q288" si="256">P284*G284</f>
        <v>1930.1625</v>
      </c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81"/>
      <c r="AJ284" s="181"/>
    </row>
    <row r="285" s="32" customFormat="1" spans="1:36">
      <c r="A285" s="91">
        <f>IF(F285&lt;&gt;"",1+MAX($A$2:A284),"")</f>
        <v>226</v>
      </c>
      <c r="B285" s="92"/>
      <c r="C285" s="93"/>
      <c r="D285" s="66" t="s">
        <v>167</v>
      </c>
      <c r="E285" s="69">
        <v>204.01</v>
      </c>
      <c r="F285" s="68">
        <v>0.05</v>
      </c>
      <c r="G285" s="63">
        <f t="shared" si="244"/>
        <v>214.2105</v>
      </c>
      <c r="H285" s="67" t="s">
        <v>56</v>
      </c>
      <c r="I285" s="140">
        <v>0.08</v>
      </c>
      <c r="J285" s="141">
        <f t="shared" si="251"/>
        <v>17.13684</v>
      </c>
      <c r="K285" s="142">
        <f>'LABOR SHEET'!C$3</f>
        <v>128</v>
      </c>
      <c r="L285" s="143">
        <f t="shared" si="252"/>
        <v>10.24</v>
      </c>
      <c r="M285" s="143">
        <f t="shared" si="253"/>
        <v>2193.51552</v>
      </c>
      <c r="N285" s="143">
        <f>18.98/10+0.3</f>
        <v>2.198</v>
      </c>
      <c r="O285" s="143">
        <f t="shared" si="254"/>
        <v>470.834679</v>
      </c>
      <c r="P285" s="143">
        <f t="shared" si="255"/>
        <v>12.438</v>
      </c>
      <c r="Q285" s="178">
        <f t="shared" si="256"/>
        <v>2664.350199</v>
      </c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81"/>
      <c r="AJ285" s="181"/>
    </row>
    <row r="286" s="32" customFormat="1" spans="1:36">
      <c r="A286" s="91">
        <f>IF(F286&lt;&gt;"",1+MAX($A$2:A285),"")</f>
        <v>227</v>
      </c>
      <c r="B286" s="92"/>
      <c r="C286" s="93"/>
      <c r="D286" s="66" t="s">
        <v>168</v>
      </c>
      <c r="E286" s="69">
        <v>1770</v>
      </c>
      <c r="F286" s="68">
        <v>0.05</v>
      </c>
      <c r="G286" s="63">
        <f t="shared" si="244"/>
        <v>1858.5</v>
      </c>
      <c r="H286" s="67" t="s">
        <v>56</v>
      </c>
      <c r="I286" s="140">
        <v>0.064</v>
      </c>
      <c r="J286" s="141">
        <f t="shared" si="251"/>
        <v>118.944</v>
      </c>
      <c r="K286" s="142">
        <f>'LABOR SHEET'!C$3</f>
        <v>128</v>
      </c>
      <c r="L286" s="143">
        <f t="shared" si="252"/>
        <v>8.192</v>
      </c>
      <c r="M286" s="143">
        <f t="shared" si="253"/>
        <v>15224.832</v>
      </c>
      <c r="N286" s="143">
        <f>17.58/10+0.4</f>
        <v>2.158</v>
      </c>
      <c r="O286" s="143">
        <f t="shared" si="254"/>
        <v>4010.643</v>
      </c>
      <c r="P286" s="143">
        <f t="shared" si="255"/>
        <v>10.35</v>
      </c>
      <c r="Q286" s="178">
        <f t="shared" si="256"/>
        <v>19235.475</v>
      </c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81"/>
      <c r="AJ286" s="181"/>
    </row>
    <row r="287" s="32" customFormat="1" spans="1:36">
      <c r="A287" s="91">
        <f>IF(F287&lt;&gt;"",1+MAX($A$2:A286),"")</f>
        <v>228</v>
      </c>
      <c r="B287" s="92"/>
      <c r="C287" s="93"/>
      <c r="D287" s="66" t="s">
        <v>158</v>
      </c>
      <c r="E287" s="69">
        <v>961.85</v>
      </c>
      <c r="F287" s="68">
        <v>0.05</v>
      </c>
      <c r="G287" s="63">
        <f t="shared" si="244"/>
        <v>1009.9425</v>
      </c>
      <c r="H287" s="67" t="s">
        <v>56</v>
      </c>
      <c r="I287" s="140">
        <v>0.05</v>
      </c>
      <c r="J287" s="141">
        <f t="shared" si="251"/>
        <v>50.497125</v>
      </c>
      <c r="K287" s="142">
        <f>'LABOR SHEET'!C$3</f>
        <v>128</v>
      </c>
      <c r="L287" s="143">
        <f t="shared" si="252"/>
        <v>6.4</v>
      </c>
      <c r="M287" s="143">
        <f t="shared" si="253"/>
        <v>6463.632</v>
      </c>
      <c r="N287" s="143">
        <f>11.46/10+0.25</f>
        <v>1.396</v>
      </c>
      <c r="O287" s="143">
        <f t="shared" si="254"/>
        <v>1409.87973</v>
      </c>
      <c r="P287" s="143">
        <f t="shared" si="255"/>
        <v>7.796</v>
      </c>
      <c r="Q287" s="178">
        <f t="shared" si="256"/>
        <v>7873.51173</v>
      </c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81"/>
      <c r="AJ287" s="181"/>
    </row>
    <row r="288" s="32" customFormat="1" spans="1:36">
      <c r="A288" s="91">
        <f>IF(F288&lt;&gt;"",1+MAX($A$2:A287),"")</f>
        <v>229</v>
      </c>
      <c r="B288" s="92"/>
      <c r="C288" s="93"/>
      <c r="D288" s="66" t="s">
        <v>61</v>
      </c>
      <c r="E288" s="69">
        <v>1440.81</v>
      </c>
      <c r="F288" s="68">
        <v>0.05</v>
      </c>
      <c r="G288" s="63">
        <f t="shared" si="244"/>
        <v>1512.8505</v>
      </c>
      <c r="H288" s="67" t="s">
        <v>56</v>
      </c>
      <c r="I288" s="140">
        <v>0.01</v>
      </c>
      <c r="J288" s="141">
        <f t="shared" si="251"/>
        <v>15.128505</v>
      </c>
      <c r="K288" s="142">
        <f>'LABOR SHEET'!C$3</f>
        <v>128</v>
      </c>
      <c r="L288" s="143">
        <f t="shared" si="252"/>
        <v>1.28</v>
      </c>
      <c r="M288" s="143">
        <f t="shared" si="253"/>
        <v>1936.44864</v>
      </c>
      <c r="N288" s="143">
        <v>0.35</v>
      </c>
      <c r="O288" s="143">
        <f t="shared" si="254"/>
        <v>529.497675</v>
      </c>
      <c r="P288" s="143">
        <f t="shared" si="255"/>
        <v>1.63</v>
      </c>
      <c r="Q288" s="178">
        <f t="shared" si="256"/>
        <v>2465.946315</v>
      </c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81"/>
      <c r="AJ288" s="181"/>
    </row>
    <row r="289" s="32" customFormat="1" spans="1:36">
      <c r="A289" s="91" t="str">
        <f>IF(F289&lt;&gt;"",1+MAX($A$2:A288),"")</f>
        <v/>
      </c>
      <c r="B289" s="92"/>
      <c r="C289" s="93"/>
      <c r="D289" s="66"/>
      <c r="E289" s="69"/>
      <c r="F289" s="94"/>
      <c r="G289" s="95"/>
      <c r="H289" s="67"/>
      <c r="I289" s="140"/>
      <c r="J289" s="141"/>
      <c r="K289" s="142"/>
      <c r="L289" s="143"/>
      <c r="M289" s="143"/>
      <c r="N289" s="143"/>
      <c r="O289" s="143"/>
      <c r="P289" s="143"/>
      <c r="Q289" s="179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81"/>
      <c r="AJ289" s="181"/>
    </row>
    <row r="290" s="32" customFormat="1" spans="1:36">
      <c r="A290" s="91" t="str">
        <f>IF(F290&lt;&gt;"",1+MAX($A$2:A289),"")</f>
        <v/>
      </c>
      <c r="B290" s="92"/>
      <c r="C290" s="93"/>
      <c r="D290" s="87" t="s">
        <v>286</v>
      </c>
      <c r="E290" s="69"/>
      <c r="F290" s="94"/>
      <c r="G290" s="95"/>
      <c r="H290" s="67"/>
      <c r="I290" s="140"/>
      <c r="J290" s="141"/>
      <c r="K290" s="142"/>
      <c r="L290" s="143"/>
      <c r="M290" s="143"/>
      <c r="N290" s="143"/>
      <c r="O290" s="143"/>
      <c r="P290" s="143"/>
      <c r="Q290" s="179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81"/>
      <c r="AJ290" s="181"/>
    </row>
    <row r="291" s="32" customFormat="1" spans="1:36">
      <c r="A291" s="91">
        <f>IF(F291&lt;&gt;"",1+MAX($A$2:A290),"")</f>
        <v>230</v>
      </c>
      <c r="B291" s="92"/>
      <c r="C291" s="93"/>
      <c r="D291" s="66" t="s">
        <v>287</v>
      </c>
      <c r="E291" s="69">
        <v>210.86</v>
      </c>
      <c r="F291" s="68">
        <v>0.05</v>
      </c>
      <c r="G291" s="63">
        <f t="shared" ref="G291:G294" si="257">(F291*E291)+E291</f>
        <v>221.403</v>
      </c>
      <c r="H291" s="67" t="s">
        <v>56</v>
      </c>
      <c r="I291" s="140">
        <v>0.015</v>
      </c>
      <c r="J291" s="141">
        <f t="shared" ref="J291:J294" si="258">+I291*G291</f>
        <v>3.321045</v>
      </c>
      <c r="K291" s="142">
        <f>'LABOR SHEET'!C$3</f>
        <v>128</v>
      </c>
      <c r="L291" s="143">
        <f t="shared" ref="L291:L294" si="259">I291*K291</f>
        <v>1.92</v>
      </c>
      <c r="M291" s="143">
        <f t="shared" ref="M291:M294" si="260">K291*J291</f>
        <v>425.09376</v>
      </c>
      <c r="N291" s="143">
        <v>2.08</v>
      </c>
      <c r="O291" s="143">
        <f t="shared" ref="O291:O294" si="261">N291*G291</f>
        <v>460.51824</v>
      </c>
      <c r="P291" s="143">
        <f t="shared" ref="P291:P294" si="262">(I291*K291)+N291</f>
        <v>4</v>
      </c>
      <c r="Q291" s="178">
        <f t="shared" ref="Q291:Q294" si="263">P291*G291</f>
        <v>885.612</v>
      </c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81"/>
      <c r="AJ291" s="181"/>
    </row>
    <row r="292" s="32" customFormat="1" spans="1:36">
      <c r="A292" s="91">
        <f>IF(F292&lt;&gt;"",1+MAX($A$2:A291),"")</f>
        <v>231</v>
      </c>
      <c r="B292" s="92"/>
      <c r="C292" s="93"/>
      <c r="D292" s="66" t="s">
        <v>288</v>
      </c>
      <c r="E292" s="69">
        <v>278.71</v>
      </c>
      <c r="F292" s="68">
        <v>0.05</v>
      </c>
      <c r="G292" s="63">
        <f t="shared" si="257"/>
        <v>292.6455</v>
      </c>
      <c r="H292" s="67" t="s">
        <v>56</v>
      </c>
      <c r="I292" s="140">
        <v>0.02</v>
      </c>
      <c r="J292" s="141">
        <f t="shared" si="258"/>
        <v>5.85291</v>
      </c>
      <c r="K292" s="142">
        <f>'LABOR SHEET'!C$3</f>
        <v>128</v>
      </c>
      <c r="L292" s="143">
        <f t="shared" si="259"/>
        <v>2.56</v>
      </c>
      <c r="M292" s="143">
        <f t="shared" si="260"/>
        <v>749.17248</v>
      </c>
      <c r="N292" s="143">
        <v>4.77</v>
      </c>
      <c r="O292" s="143">
        <f t="shared" si="261"/>
        <v>1395.919035</v>
      </c>
      <c r="P292" s="143">
        <f t="shared" si="262"/>
        <v>7.33</v>
      </c>
      <c r="Q292" s="178">
        <f t="shared" si="263"/>
        <v>2145.091515</v>
      </c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81"/>
      <c r="AJ292" s="181"/>
    </row>
    <row r="293" s="32" customFormat="1" spans="1:36">
      <c r="A293" s="91">
        <f>IF(F293&lt;&gt;"",1+MAX($A$2:A292),"")</f>
        <v>232</v>
      </c>
      <c r="B293" s="92"/>
      <c r="C293" s="93"/>
      <c r="D293" s="66" t="s">
        <v>289</v>
      </c>
      <c r="E293" s="69">
        <v>278.71</v>
      </c>
      <c r="F293" s="68">
        <v>0.05</v>
      </c>
      <c r="G293" s="63">
        <f t="shared" si="257"/>
        <v>292.6455</v>
      </c>
      <c r="H293" s="67" t="s">
        <v>56</v>
      </c>
      <c r="I293" s="140">
        <v>0.02</v>
      </c>
      <c r="J293" s="141">
        <f t="shared" si="258"/>
        <v>5.85291</v>
      </c>
      <c r="K293" s="142">
        <f>'LABOR SHEET'!C$3</f>
        <v>128</v>
      </c>
      <c r="L293" s="143">
        <f t="shared" si="259"/>
        <v>2.56</v>
      </c>
      <c r="M293" s="143">
        <f t="shared" si="260"/>
        <v>749.17248</v>
      </c>
      <c r="N293" s="143">
        <v>3.61</v>
      </c>
      <c r="O293" s="143">
        <f t="shared" si="261"/>
        <v>1056.450255</v>
      </c>
      <c r="P293" s="143">
        <f t="shared" si="262"/>
        <v>6.17</v>
      </c>
      <c r="Q293" s="178">
        <f t="shared" si="263"/>
        <v>1805.622735</v>
      </c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81"/>
      <c r="AJ293" s="181"/>
    </row>
    <row r="294" s="32" customFormat="1" spans="1:36">
      <c r="A294" s="91">
        <f>IF(F294&lt;&gt;"",1+MAX($A$2:A293),"")</f>
        <v>233</v>
      </c>
      <c r="B294" s="92"/>
      <c r="C294" s="93"/>
      <c r="D294" s="66" t="s">
        <v>290</v>
      </c>
      <c r="E294" s="69">
        <v>25908.68</v>
      </c>
      <c r="F294" s="68">
        <v>0.05</v>
      </c>
      <c r="G294" s="63">
        <f t="shared" si="257"/>
        <v>27204.114</v>
      </c>
      <c r="H294" s="67" t="s">
        <v>56</v>
      </c>
      <c r="I294" s="140">
        <v>0.008</v>
      </c>
      <c r="J294" s="141">
        <f t="shared" si="258"/>
        <v>217.632912</v>
      </c>
      <c r="K294" s="142">
        <f>'LABOR SHEET'!C$3</f>
        <v>128</v>
      </c>
      <c r="L294" s="143">
        <f t="shared" si="259"/>
        <v>1.024</v>
      </c>
      <c r="M294" s="143">
        <f t="shared" si="260"/>
        <v>27857.012736</v>
      </c>
      <c r="N294" s="143">
        <f>7.94/15</f>
        <v>0.529333333333333</v>
      </c>
      <c r="O294" s="143">
        <f t="shared" si="261"/>
        <v>14400.044344</v>
      </c>
      <c r="P294" s="143">
        <f t="shared" si="262"/>
        <v>1.55333333333333</v>
      </c>
      <c r="Q294" s="178">
        <f t="shared" si="263"/>
        <v>42257.05708</v>
      </c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81"/>
      <c r="AJ294" s="181"/>
    </row>
    <row r="295" s="32" customFormat="1" spans="1:36">
      <c r="A295" s="91" t="str">
        <f>IF(F295&lt;&gt;"",1+MAX($A$2:A294),"")</f>
        <v/>
      </c>
      <c r="B295" s="92"/>
      <c r="C295" s="93"/>
      <c r="D295" s="66"/>
      <c r="E295" s="69"/>
      <c r="F295" s="94"/>
      <c r="G295" s="95"/>
      <c r="H295" s="67"/>
      <c r="I295" s="140"/>
      <c r="J295" s="141"/>
      <c r="K295" s="142"/>
      <c r="L295" s="143"/>
      <c r="M295" s="143"/>
      <c r="N295" s="143"/>
      <c r="O295" s="143"/>
      <c r="P295" s="143"/>
      <c r="Q295" s="179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81"/>
      <c r="AJ295" s="181"/>
    </row>
    <row r="296" s="32" customFormat="1" spans="1:36">
      <c r="A296" s="91" t="str">
        <f>IF(F296&lt;&gt;"",1+MAX($A$2:A295),"")</f>
        <v/>
      </c>
      <c r="B296" s="92"/>
      <c r="C296" s="93"/>
      <c r="D296" s="87" t="s">
        <v>291</v>
      </c>
      <c r="E296" s="69"/>
      <c r="F296" s="94"/>
      <c r="G296" s="95"/>
      <c r="H296" s="67"/>
      <c r="I296" s="140"/>
      <c r="J296" s="141"/>
      <c r="K296" s="142"/>
      <c r="L296" s="143"/>
      <c r="M296" s="143"/>
      <c r="N296" s="143"/>
      <c r="O296" s="143"/>
      <c r="P296" s="143"/>
      <c r="Q296" s="179"/>
      <c r="R296" s="181"/>
      <c r="S296" s="181"/>
      <c r="T296" s="181"/>
      <c r="U296" s="181"/>
      <c r="V296" s="181"/>
      <c r="W296" s="181"/>
      <c r="X296" s="181"/>
      <c r="Y296" s="181"/>
      <c r="Z296" s="181"/>
      <c r="AA296" s="181"/>
      <c r="AB296" s="181"/>
      <c r="AC296" s="181"/>
      <c r="AD296" s="181"/>
      <c r="AE296" s="181"/>
      <c r="AF296" s="181"/>
      <c r="AG296" s="181"/>
      <c r="AH296" s="181"/>
      <c r="AI296" s="181"/>
      <c r="AJ296" s="181"/>
    </row>
    <row r="297" s="32" customFormat="1" spans="1:36">
      <c r="A297" s="91">
        <f>IF(F297&lt;&gt;"",1+MAX($A$2:A296),"")</f>
        <v>234</v>
      </c>
      <c r="B297" s="92"/>
      <c r="C297" s="93"/>
      <c r="D297" s="66" t="s">
        <v>292</v>
      </c>
      <c r="E297" s="69">
        <v>1</v>
      </c>
      <c r="F297" s="68">
        <v>0</v>
      </c>
      <c r="G297" s="63">
        <f t="shared" ref="G297:G330" si="264">(F297*E297)+E297</f>
        <v>1</v>
      </c>
      <c r="H297" s="67" t="s">
        <v>73</v>
      </c>
      <c r="I297" s="140">
        <v>0.4</v>
      </c>
      <c r="J297" s="141">
        <f t="shared" ref="J297:J330" si="265">+I297*G297</f>
        <v>0.4</v>
      </c>
      <c r="K297" s="142">
        <f>'LABOR SHEET'!C$3</f>
        <v>128</v>
      </c>
      <c r="L297" s="143">
        <f t="shared" ref="L297:L330" si="266">I297*K297</f>
        <v>51.2</v>
      </c>
      <c r="M297" s="143">
        <f t="shared" ref="M297:M330" si="267">K297*J297</f>
        <v>51.2</v>
      </c>
      <c r="N297" s="143">
        <v>109</v>
      </c>
      <c r="O297" s="143">
        <f t="shared" ref="O297:O330" si="268">N297*G297</f>
        <v>109</v>
      </c>
      <c r="P297" s="143">
        <f t="shared" ref="P297:P330" si="269">(I297*K297)+N297</f>
        <v>160.2</v>
      </c>
      <c r="Q297" s="178">
        <f t="shared" ref="Q297:Q330" si="270">P297*G297</f>
        <v>160.2</v>
      </c>
      <c r="R297" s="181"/>
      <c r="S297" s="181"/>
      <c r="T297" s="181"/>
      <c r="U297" s="181"/>
      <c r="V297" s="181"/>
      <c r="W297" s="181"/>
      <c r="X297" s="181"/>
      <c r="Y297" s="181"/>
      <c r="Z297" s="181"/>
      <c r="AA297" s="181"/>
      <c r="AB297" s="181"/>
      <c r="AC297" s="181"/>
      <c r="AD297" s="181"/>
      <c r="AE297" s="181"/>
      <c r="AF297" s="181"/>
      <c r="AG297" s="181"/>
      <c r="AH297" s="181"/>
      <c r="AI297" s="181"/>
      <c r="AJ297" s="181"/>
    </row>
    <row r="298" s="32" customFormat="1" spans="1:36">
      <c r="A298" s="91">
        <f>IF(F298&lt;&gt;"",1+MAX($A$2:A297),"")</f>
        <v>235</v>
      </c>
      <c r="B298" s="92"/>
      <c r="C298" s="93"/>
      <c r="D298" s="66" t="s">
        <v>293</v>
      </c>
      <c r="E298" s="69">
        <v>2</v>
      </c>
      <c r="F298" s="68">
        <v>0</v>
      </c>
      <c r="G298" s="63">
        <f t="shared" si="264"/>
        <v>2</v>
      </c>
      <c r="H298" s="67" t="s">
        <v>73</v>
      </c>
      <c r="I298" s="140">
        <v>1</v>
      </c>
      <c r="J298" s="141">
        <f t="shared" si="265"/>
        <v>2</v>
      </c>
      <c r="K298" s="142">
        <f>'LABOR SHEET'!C$3</f>
        <v>128</v>
      </c>
      <c r="L298" s="143">
        <f t="shared" si="266"/>
        <v>128</v>
      </c>
      <c r="M298" s="143">
        <f t="shared" si="267"/>
        <v>256</v>
      </c>
      <c r="N298" s="143">
        <f>162.31/10*12</f>
        <v>194.772</v>
      </c>
      <c r="O298" s="143">
        <f t="shared" si="268"/>
        <v>389.544</v>
      </c>
      <c r="P298" s="143">
        <f t="shared" si="269"/>
        <v>322.772</v>
      </c>
      <c r="Q298" s="178">
        <f t="shared" si="270"/>
        <v>645.544</v>
      </c>
      <c r="R298" s="181"/>
      <c r="S298" s="181"/>
      <c r="T298" s="181"/>
      <c r="U298" s="181"/>
      <c r="V298" s="181"/>
      <c r="W298" s="181"/>
      <c r="X298" s="181"/>
      <c r="Y298" s="181"/>
      <c r="Z298" s="181"/>
      <c r="AA298" s="181"/>
      <c r="AB298" s="181"/>
      <c r="AC298" s="181"/>
      <c r="AD298" s="181"/>
      <c r="AE298" s="181"/>
      <c r="AF298" s="181"/>
      <c r="AG298" s="181"/>
      <c r="AH298" s="181"/>
      <c r="AI298" s="181"/>
      <c r="AJ298" s="181"/>
    </row>
    <row r="299" s="32" customFormat="1" spans="1:36">
      <c r="A299" s="91">
        <f>IF(F299&lt;&gt;"",1+MAX($A$2:A298),"")</f>
        <v>236</v>
      </c>
      <c r="B299" s="92"/>
      <c r="C299" s="93"/>
      <c r="D299" s="66" t="s">
        <v>294</v>
      </c>
      <c r="E299" s="69">
        <v>2</v>
      </c>
      <c r="F299" s="68">
        <v>0</v>
      </c>
      <c r="G299" s="63">
        <f t="shared" si="264"/>
        <v>2</v>
      </c>
      <c r="H299" s="67" t="s">
        <v>73</v>
      </c>
      <c r="I299" s="140">
        <v>1.1</v>
      </c>
      <c r="J299" s="141">
        <f t="shared" si="265"/>
        <v>2.2</v>
      </c>
      <c r="K299" s="142">
        <f>'LABOR SHEET'!C$3</f>
        <v>128</v>
      </c>
      <c r="L299" s="143">
        <f t="shared" si="266"/>
        <v>140.8</v>
      </c>
      <c r="M299" s="143">
        <f t="shared" si="267"/>
        <v>281.6</v>
      </c>
      <c r="N299" s="143">
        <v>217.34</v>
      </c>
      <c r="O299" s="143">
        <f t="shared" si="268"/>
        <v>434.68</v>
      </c>
      <c r="P299" s="143">
        <f t="shared" si="269"/>
        <v>358.14</v>
      </c>
      <c r="Q299" s="178">
        <f t="shared" si="270"/>
        <v>716.28</v>
      </c>
      <c r="R299" s="181"/>
      <c r="S299" s="181"/>
      <c r="T299" s="181"/>
      <c r="U299" s="181"/>
      <c r="V299" s="181"/>
      <c r="W299" s="181"/>
      <c r="X299" s="181"/>
      <c r="Y299" s="181"/>
      <c r="Z299" s="181"/>
      <c r="AA299" s="181"/>
      <c r="AB299" s="181"/>
      <c r="AC299" s="181"/>
      <c r="AD299" s="181"/>
      <c r="AE299" s="181"/>
      <c r="AF299" s="181"/>
      <c r="AG299" s="181"/>
      <c r="AH299" s="181"/>
      <c r="AI299" s="181"/>
      <c r="AJ299" s="181"/>
    </row>
    <row r="300" s="32" customFormat="1" spans="1:36">
      <c r="A300" s="91">
        <f>IF(F300&lt;&gt;"",1+MAX($A$2:A299),"")</f>
        <v>237</v>
      </c>
      <c r="B300" s="92"/>
      <c r="C300" s="93"/>
      <c r="D300" s="66" t="s">
        <v>295</v>
      </c>
      <c r="E300" s="69">
        <v>7</v>
      </c>
      <c r="F300" s="68">
        <v>0</v>
      </c>
      <c r="G300" s="63">
        <f t="shared" si="264"/>
        <v>7</v>
      </c>
      <c r="H300" s="67" t="s">
        <v>73</v>
      </c>
      <c r="I300" s="140">
        <v>1.5</v>
      </c>
      <c r="J300" s="141">
        <f t="shared" si="265"/>
        <v>10.5</v>
      </c>
      <c r="K300" s="142">
        <f>'LABOR SHEET'!C$3</f>
        <v>128</v>
      </c>
      <c r="L300" s="143">
        <f t="shared" si="266"/>
        <v>192</v>
      </c>
      <c r="M300" s="143">
        <f t="shared" si="267"/>
        <v>1344</v>
      </c>
      <c r="N300" s="143">
        <v>453.54</v>
      </c>
      <c r="O300" s="143">
        <f t="shared" si="268"/>
        <v>3174.78</v>
      </c>
      <c r="P300" s="143">
        <f t="shared" si="269"/>
        <v>645.54</v>
      </c>
      <c r="Q300" s="178">
        <f t="shared" si="270"/>
        <v>4518.78</v>
      </c>
      <c r="R300" s="181"/>
      <c r="S300" s="181"/>
      <c r="T300" s="181"/>
      <c r="U300" s="181"/>
      <c r="V300" s="181"/>
      <c r="W300" s="181"/>
      <c r="X300" s="181"/>
      <c r="Y300" s="181"/>
      <c r="Z300" s="181"/>
      <c r="AA300" s="181"/>
      <c r="AB300" s="181"/>
      <c r="AC300" s="181"/>
      <c r="AD300" s="181"/>
      <c r="AE300" s="181"/>
      <c r="AF300" s="181"/>
      <c r="AG300" s="181"/>
      <c r="AH300" s="181"/>
      <c r="AI300" s="181"/>
      <c r="AJ300" s="181"/>
    </row>
    <row r="301" s="32" customFormat="1" spans="1:36">
      <c r="A301" s="91">
        <f>IF(F301&lt;&gt;"",1+MAX($A$2:A300),"")</f>
        <v>238</v>
      </c>
      <c r="B301" s="92"/>
      <c r="C301" s="93"/>
      <c r="D301" s="66" t="s">
        <v>296</v>
      </c>
      <c r="E301" s="69">
        <v>1</v>
      </c>
      <c r="F301" s="68">
        <v>0</v>
      </c>
      <c r="G301" s="63">
        <f t="shared" si="264"/>
        <v>1</v>
      </c>
      <c r="H301" s="67" t="s">
        <v>73</v>
      </c>
      <c r="I301" s="140">
        <v>2</v>
      </c>
      <c r="J301" s="141">
        <f t="shared" si="265"/>
        <v>2</v>
      </c>
      <c r="K301" s="142">
        <f>'LABOR SHEET'!C$3</f>
        <v>128</v>
      </c>
      <c r="L301" s="143">
        <f t="shared" si="266"/>
        <v>256</v>
      </c>
      <c r="M301" s="143">
        <f t="shared" si="267"/>
        <v>256</v>
      </c>
      <c r="N301" s="143">
        <v>364.74</v>
      </c>
      <c r="O301" s="143">
        <f t="shared" si="268"/>
        <v>364.74</v>
      </c>
      <c r="P301" s="143">
        <f t="shared" si="269"/>
        <v>620.74</v>
      </c>
      <c r="Q301" s="178">
        <f t="shared" si="270"/>
        <v>620.74</v>
      </c>
      <c r="R301" s="181"/>
      <c r="S301" s="181"/>
      <c r="T301" s="181"/>
      <c r="U301" s="181"/>
      <c r="V301" s="181"/>
      <c r="W301" s="181"/>
      <c r="X301" s="181"/>
      <c r="Y301" s="181"/>
      <c r="Z301" s="181"/>
      <c r="AA301" s="181"/>
      <c r="AB301" s="181"/>
      <c r="AC301" s="181"/>
      <c r="AD301" s="181"/>
      <c r="AE301" s="181"/>
      <c r="AF301" s="181"/>
      <c r="AG301" s="181"/>
      <c r="AH301" s="181"/>
      <c r="AI301" s="181"/>
      <c r="AJ301" s="181"/>
    </row>
    <row r="302" s="32" customFormat="1" spans="1:36">
      <c r="A302" s="91">
        <f>IF(F302&lt;&gt;"",1+MAX($A$2:A301),"")</f>
        <v>239</v>
      </c>
      <c r="B302" s="92"/>
      <c r="C302" s="93"/>
      <c r="D302" s="66" t="s">
        <v>297</v>
      </c>
      <c r="E302" s="69">
        <v>1</v>
      </c>
      <c r="F302" s="68">
        <v>0</v>
      </c>
      <c r="G302" s="63">
        <f t="shared" si="264"/>
        <v>1</v>
      </c>
      <c r="H302" s="67" t="s">
        <v>73</v>
      </c>
      <c r="I302" s="140">
        <v>4.5</v>
      </c>
      <c r="J302" s="141">
        <f t="shared" si="265"/>
        <v>4.5</v>
      </c>
      <c r="K302" s="142">
        <f>'LABOR SHEET'!C$3</f>
        <v>128</v>
      </c>
      <c r="L302" s="143">
        <f t="shared" si="266"/>
        <v>576</v>
      </c>
      <c r="M302" s="143">
        <f t="shared" si="267"/>
        <v>576</v>
      </c>
      <c r="N302" s="143">
        <v>1010</v>
      </c>
      <c r="O302" s="143">
        <f t="shared" si="268"/>
        <v>1010</v>
      </c>
      <c r="P302" s="143">
        <f t="shared" si="269"/>
        <v>1586</v>
      </c>
      <c r="Q302" s="178">
        <f t="shared" si="270"/>
        <v>1586</v>
      </c>
      <c r="R302" s="181"/>
      <c r="S302" s="181"/>
      <c r="T302" s="181"/>
      <c r="U302" s="181"/>
      <c r="V302" s="181"/>
      <c r="W302" s="181"/>
      <c r="X302" s="181"/>
      <c r="Y302" s="181"/>
      <c r="Z302" s="181"/>
      <c r="AA302" s="181"/>
      <c r="AB302" s="181"/>
      <c r="AC302" s="181"/>
      <c r="AD302" s="181"/>
      <c r="AE302" s="181"/>
      <c r="AF302" s="181"/>
      <c r="AG302" s="181"/>
      <c r="AH302" s="181"/>
      <c r="AI302" s="181"/>
      <c r="AJ302" s="181"/>
    </row>
    <row r="303" s="32" customFormat="1" spans="1:36">
      <c r="A303" s="91">
        <f>IF(F303&lt;&gt;"",1+MAX($A$2:A302),"")</f>
        <v>240</v>
      </c>
      <c r="B303" s="92"/>
      <c r="C303" s="93"/>
      <c r="D303" s="196" t="s">
        <v>298</v>
      </c>
      <c r="E303" s="197">
        <v>123.92</v>
      </c>
      <c r="F303" s="198">
        <v>0.1</v>
      </c>
      <c r="G303" s="199">
        <f t="shared" si="264"/>
        <v>136.312</v>
      </c>
      <c r="H303" s="200" t="s">
        <v>299</v>
      </c>
      <c r="I303" s="140">
        <v>0.016</v>
      </c>
      <c r="J303" s="141">
        <f t="shared" si="265"/>
        <v>2.180992</v>
      </c>
      <c r="K303" s="142">
        <f>'LABOR SHEET'!C$3</f>
        <v>128</v>
      </c>
      <c r="L303" s="143">
        <f t="shared" si="266"/>
        <v>2.048</v>
      </c>
      <c r="M303" s="143">
        <f t="shared" si="267"/>
        <v>279.166976</v>
      </c>
      <c r="N303" s="143">
        <v>2</v>
      </c>
      <c r="O303" s="143">
        <f t="shared" si="268"/>
        <v>272.624</v>
      </c>
      <c r="P303" s="143">
        <f t="shared" si="269"/>
        <v>4.048</v>
      </c>
      <c r="Q303" s="178">
        <f t="shared" si="270"/>
        <v>551.790976</v>
      </c>
      <c r="R303" s="181"/>
      <c r="S303" s="181"/>
      <c r="T303" s="181"/>
      <c r="U303" s="181"/>
      <c r="V303" s="181"/>
      <c r="W303" s="181"/>
      <c r="X303" s="181"/>
      <c r="Y303" s="181"/>
      <c r="Z303" s="181"/>
      <c r="AA303" s="181"/>
      <c r="AB303" s="181"/>
      <c r="AC303" s="181"/>
      <c r="AD303" s="181"/>
      <c r="AE303" s="181"/>
      <c r="AF303" s="181"/>
      <c r="AG303" s="181"/>
      <c r="AH303" s="181"/>
      <c r="AI303" s="181"/>
      <c r="AJ303" s="181"/>
    </row>
    <row r="304" s="32" customFormat="1" spans="1:36">
      <c r="A304" s="91">
        <f>IF(F304&lt;&gt;"",1+MAX($A$2:A303),"")</f>
        <v>241</v>
      </c>
      <c r="B304" s="92"/>
      <c r="C304" s="93"/>
      <c r="D304" s="66" t="s">
        <v>300</v>
      </c>
      <c r="E304" s="69">
        <v>3</v>
      </c>
      <c r="F304" s="68">
        <v>0</v>
      </c>
      <c r="G304" s="63">
        <f t="shared" si="264"/>
        <v>3</v>
      </c>
      <c r="H304" s="67" t="s">
        <v>73</v>
      </c>
      <c r="I304" s="140">
        <v>0.25</v>
      </c>
      <c r="J304" s="141">
        <f t="shared" si="265"/>
        <v>0.75</v>
      </c>
      <c r="K304" s="142">
        <f>'LABOR SHEET'!C$3</f>
        <v>128</v>
      </c>
      <c r="L304" s="143">
        <f t="shared" si="266"/>
        <v>32</v>
      </c>
      <c r="M304" s="143">
        <f t="shared" si="267"/>
        <v>96</v>
      </c>
      <c r="N304" s="143">
        <v>24.34</v>
      </c>
      <c r="O304" s="143">
        <f t="shared" si="268"/>
        <v>73.02</v>
      </c>
      <c r="P304" s="143">
        <f t="shared" si="269"/>
        <v>56.34</v>
      </c>
      <c r="Q304" s="178">
        <f t="shared" si="270"/>
        <v>169.02</v>
      </c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81"/>
      <c r="AJ304" s="181"/>
    </row>
    <row r="305" s="32" customFormat="1" spans="1:36">
      <c r="A305" s="91">
        <f>IF(F305&lt;&gt;"",1+MAX($A$2:A304),"")</f>
        <v>242</v>
      </c>
      <c r="B305" s="92"/>
      <c r="C305" s="93"/>
      <c r="D305" s="66" t="s">
        <v>301</v>
      </c>
      <c r="E305" s="69">
        <v>4</v>
      </c>
      <c r="F305" s="68">
        <v>0</v>
      </c>
      <c r="G305" s="63">
        <f t="shared" si="264"/>
        <v>4</v>
      </c>
      <c r="H305" s="67" t="s">
        <v>73</v>
      </c>
      <c r="I305" s="140">
        <v>1.5</v>
      </c>
      <c r="J305" s="141">
        <f t="shared" si="265"/>
        <v>6</v>
      </c>
      <c r="K305" s="142">
        <f>'LABOR SHEET'!C$3</f>
        <v>128</v>
      </c>
      <c r="L305" s="143">
        <f t="shared" si="266"/>
        <v>192</v>
      </c>
      <c r="M305" s="143">
        <f t="shared" si="267"/>
        <v>768</v>
      </c>
      <c r="N305" s="143">
        <v>339.8</v>
      </c>
      <c r="O305" s="143">
        <f t="shared" si="268"/>
        <v>1359.2</v>
      </c>
      <c r="P305" s="143">
        <f t="shared" si="269"/>
        <v>531.8</v>
      </c>
      <c r="Q305" s="178">
        <f t="shared" si="270"/>
        <v>2127.2</v>
      </c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81"/>
      <c r="AJ305" s="181"/>
    </row>
    <row r="306" s="32" customFormat="1" spans="1:36">
      <c r="A306" s="91">
        <f>IF(F306&lt;&gt;"",1+MAX($A$2:A305),"")</f>
        <v>243</v>
      </c>
      <c r="B306" s="92"/>
      <c r="C306" s="93"/>
      <c r="D306" s="66" t="s">
        <v>302</v>
      </c>
      <c r="E306" s="69">
        <v>2</v>
      </c>
      <c r="F306" s="68">
        <v>0</v>
      </c>
      <c r="G306" s="63">
        <f t="shared" si="264"/>
        <v>2</v>
      </c>
      <c r="H306" s="67" t="s">
        <v>73</v>
      </c>
      <c r="I306" s="140">
        <v>1.85</v>
      </c>
      <c r="J306" s="141">
        <f t="shared" si="265"/>
        <v>3.7</v>
      </c>
      <c r="K306" s="142">
        <f>'LABOR SHEET'!C$3</f>
        <v>128</v>
      </c>
      <c r="L306" s="143">
        <f t="shared" si="266"/>
        <v>236.8</v>
      </c>
      <c r="M306" s="143">
        <f t="shared" si="267"/>
        <v>473.6</v>
      </c>
      <c r="N306" s="143">
        <v>495</v>
      </c>
      <c r="O306" s="143">
        <f t="shared" si="268"/>
        <v>990</v>
      </c>
      <c r="P306" s="143">
        <f t="shared" si="269"/>
        <v>731.8</v>
      </c>
      <c r="Q306" s="178">
        <f t="shared" si="270"/>
        <v>1463.6</v>
      </c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81"/>
      <c r="AJ306" s="181"/>
    </row>
    <row r="307" s="32" customFormat="1" spans="1:36">
      <c r="A307" s="91">
        <f>IF(F307&lt;&gt;"",1+MAX($A$2:A306),"")</f>
        <v>244</v>
      </c>
      <c r="B307" s="92"/>
      <c r="C307" s="93"/>
      <c r="D307" s="66" t="s">
        <v>303</v>
      </c>
      <c r="E307" s="69">
        <v>2</v>
      </c>
      <c r="F307" s="68">
        <v>0</v>
      </c>
      <c r="G307" s="63">
        <f t="shared" si="264"/>
        <v>2</v>
      </c>
      <c r="H307" s="67" t="s">
        <v>73</v>
      </c>
      <c r="I307" s="140">
        <v>2</v>
      </c>
      <c r="J307" s="141">
        <f t="shared" si="265"/>
        <v>4</v>
      </c>
      <c r="K307" s="142">
        <f>'LABOR SHEET'!C$3</f>
        <v>128</v>
      </c>
      <c r="L307" s="143">
        <f t="shared" si="266"/>
        <v>256</v>
      </c>
      <c r="M307" s="143">
        <f t="shared" si="267"/>
        <v>512</v>
      </c>
      <c r="N307" s="143">
        <v>333</v>
      </c>
      <c r="O307" s="143">
        <f t="shared" si="268"/>
        <v>666</v>
      </c>
      <c r="P307" s="143">
        <f t="shared" si="269"/>
        <v>589</v>
      </c>
      <c r="Q307" s="178">
        <f t="shared" si="270"/>
        <v>1178</v>
      </c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81"/>
      <c r="AJ307" s="181"/>
    </row>
    <row r="308" s="32" customFormat="1" spans="1:36">
      <c r="A308" s="91">
        <f>IF(F308&lt;&gt;"",1+MAX($A$2:A307),"")</f>
        <v>245</v>
      </c>
      <c r="B308" s="92"/>
      <c r="C308" s="93"/>
      <c r="D308" s="66" t="s">
        <v>304</v>
      </c>
      <c r="E308" s="69">
        <v>32.84</v>
      </c>
      <c r="F308" s="68">
        <v>0.05</v>
      </c>
      <c r="G308" s="63">
        <f t="shared" si="264"/>
        <v>34.482</v>
      </c>
      <c r="H308" s="67" t="s">
        <v>56</v>
      </c>
      <c r="I308" s="140">
        <v>0.1</v>
      </c>
      <c r="J308" s="141">
        <f t="shared" si="265"/>
        <v>3.4482</v>
      </c>
      <c r="K308" s="142">
        <f>'LABOR SHEET'!C$3</f>
        <v>128</v>
      </c>
      <c r="L308" s="143">
        <f t="shared" si="266"/>
        <v>12.8</v>
      </c>
      <c r="M308" s="143">
        <f t="shared" si="267"/>
        <v>441.3696</v>
      </c>
      <c r="N308" s="143">
        <f>336.06/10</f>
        <v>33.606</v>
      </c>
      <c r="O308" s="143">
        <f t="shared" si="268"/>
        <v>1158.802092</v>
      </c>
      <c r="P308" s="143">
        <f t="shared" si="269"/>
        <v>46.406</v>
      </c>
      <c r="Q308" s="178">
        <f t="shared" si="270"/>
        <v>1600.171692</v>
      </c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81"/>
      <c r="AJ308" s="181"/>
    </row>
    <row r="309" s="32" customFormat="1" spans="1:36">
      <c r="A309" s="91">
        <f>IF(F309&lt;&gt;"",1+MAX($A$2:A308),"")</f>
        <v>246</v>
      </c>
      <c r="B309" s="92"/>
      <c r="C309" s="93"/>
      <c r="D309" s="66" t="s">
        <v>305</v>
      </c>
      <c r="E309" s="69">
        <v>1</v>
      </c>
      <c r="F309" s="68">
        <v>0</v>
      </c>
      <c r="G309" s="63">
        <f t="shared" si="264"/>
        <v>1</v>
      </c>
      <c r="H309" s="67" t="s">
        <v>73</v>
      </c>
      <c r="I309" s="140">
        <v>1</v>
      </c>
      <c r="J309" s="141">
        <f t="shared" si="265"/>
        <v>1</v>
      </c>
      <c r="K309" s="142">
        <f>'LABOR SHEET'!C$3</f>
        <v>128</v>
      </c>
      <c r="L309" s="143">
        <f t="shared" si="266"/>
        <v>128</v>
      </c>
      <c r="M309" s="143">
        <f t="shared" si="267"/>
        <v>128</v>
      </c>
      <c r="N309" s="143">
        <v>152</v>
      </c>
      <c r="O309" s="143">
        <f t="shared" si="268"/>
        <v>152</v>
      </c>
      <c r="P309" s="143">
        <f t="shared" si="269"/>
        <v>280</v>
      </c>
      <c r="Q309" s="178">
        <f t="shared" si="270"/>
        <v>280</v>
      </c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81"/>
      <c r="AJ309" s="181"/>
    </row>
    <row r="310" s="32" customFormat="1" spans="1:36">
      <c r="A310" s="91">
        <f>IF(F310&lt;&gt;"",1+MAX($A$2:A309),"")</f>
        <v>247</v>
      </c>
      <c r="B310" s="92"/>
      <c r="C310" s="93"/>
      <c r="D310" s="66" t="s">
        <v>306</v>
      </c>
      <c r="E310" s="69">
        <v>2</v>
      </c>
      <c r="F310" s="68">
        <v>0</v>
      </c>
      <c r="G310" s="63">
        <f t="shared" si="264"/>
        <v>2</v>
      </c>
      <c r="H310" s="67" t="s">
        <v>73</v>
      </c>
      <c r="I310" s="140">
        <v>1</v>
      </c>
      <c r="J310" s="141">
        <f t="shared" ref="J310" si="271">+I310*G310</f>
        <v>2</v>
      </c>
      <c r="K310" s="142">
        <f>'LABOR SHEET'!C$3</f>
        <v>128</v>
      </c>
      <c r="L310" s="143">
        <f t="shared" ref="L310" si="272">I310*K310</f>
        <v>128</v>
      </c>
      <c r="M310" s="143">
        <f t="shared" ref="M310" si="273">K310*J310</f>
        <v>256</v>
      </c>
      <c r="N310" s="143">
        <v>152</v>
      </c>
      <c r="O310" s="143">
        <f t="shared" ref="O310" si="274">N310*G310</f>
        <v>304</v>
      </c>
      <c r="P310" s="143">
        <f t="shared" ref="P310" si="275">(I310*K310)+N310</f>
        <v>280</v>
      </c>
      <c r="Q310" s="178">
        <f t="shared" ref="Q310" si="276">P310*G310</f>
        <v>560</v>
      </c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81"/>
      <c r="AJ310" s="181"/>
    </row>
    <row r="311" s="32" customFormat="1" spans="1:36">
      <c r="A311" s="91">
        <f>IF(F311&lt;&gt;"",1+MAX($A$2:A310),"")</f>
        <v>248</v>
      </c>
      <c r="B311" s="92"/>
      <c r="C311" s="93"/>
      <c r="D311" s="66" t="s">
        <v>307</v>
      </c>
      <c r="E311" s="69">
        <v>4</v>
      </c>
      <c r="F311" s="68">
        <v>0</v>
      </c>
      <c r="G311" s="63">
        <f t="shared" si="264"/>
        <v>4</v>
      </c>
      <c r="H311" s="67" t="s">
        <v>73</v>
      </c>
      <c r="I311" s="140">
        <v>0.7</v>
      </c>
      <c r="J311" s="141">
        <f t="shared" si="265"/>
        <v>2.8</v>
      </c>
      <c r="K311" s="142">
        <f>'LABOR SHEET'!C$3</f>
        <v>128</v>
      </c>
      <c r="L311" s="143">
        <f t="shared" si="266"/>
        <v>89.6</v>
      </c>
      <c r="M311" s="143">
        <f t="shared" si="267"/>
        <v>358.4</v>
      </c>
      <c r="N311" s="143">
        <v>125</v>
      </c>
      <c r="O311" s="143">
        <f t="shared" si="268"/>
        <v>500</v>
      </c>
      <c r="P311" s="143">
        <f t="shared" si="269"/>
        <v>214.6</v>
      </c>
      <c r="Q311" s="178">
        <f t="shared" si="270"/>
        <v>858.4</v>
      </c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81"/>
      <c r="AJ311" s="181"/>
    </row>
    <row r="312" s="32" customFormat="1" spans="1:36">
      <c r="A312" s="91">
        <f>IF(F312&lt;&gt;"",1+MAX($A$2:A311),"")</f>
        <v>249</v>
      </c>
      <c r="B312" s="92"/>
      <c r="C312" s="93"/>
      <c r="D312" s="66" t="s">
        <v>308</v>
      </c>
      <c r="E312" s="69">
        <v>4</v>
      </c>
      <c r="F312" s="68">
        <v>0</v>
      </c>
      <c r="G312" s="63">
        <f t="shared" si="264"/>
        <v>4</v>
      </c>
      <c r="H312" s="67" t="s">
        <v>73</v>
      </c>
      <c r="I312" s="140">
        <v>1.3</v>
      </c>
      <c r="J312" s="141">
        <f t="shared" si="265"/>
        <v>5.2</v>
      </c>
      <c r="K312" s="142">
        <f>'LABOR SHEET'!C$3</f>
        <v>128</v>
      </c>
      <c r="L312" s="143">
        <f t="shared" si="266"/>
        <v>166.4</v>
      </c>
      <c r="M312" s="143">
        <f t="shared" si="267"/>
        <v>665.6</v>
      </c>
      <c r="N312" s="143">
        <v>581.3</v>
      </c>
      <c r="O312" s="143">
        <f t="shared" si="268"/>
        <v>2325.2</v>
      </c>
      <c r="P312" s="143">
        <f t="shared" si="269"/>
        <v>747.7</v>
      </c>
      <c r="Q312" s="178">
        <f t="shared" si="270"/>
        <v>2990.8</v>
      </c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81"/>
      <c r="AJ312" s="181"/>
    </row>
    <row r="313" s="32" customFormat="1" spans="1:36">
      <c r="A313" s="91">
        <f>IF(F313&lt;&gt;"",1+MAX($A$2:A312),"")</f>
        <v>250</v>
      </c>
      <c r="B313" s="92"/>
      <c r="C313" s="93"/>
      <c r="D313" s="66" t="s">
        <v>309</v>
      </c>
      <c r="E313" s="69">
        <v>3</v>
      </c>
      <c r="F313" s="68">
        <v>0</v>
      </c>
      <c r="G313" s="63">
        <f t="shared" si="264"/>
        <v>3</v>
      </c>
      <c r="H313" s="67" t="s">
        <v>73</v>
      </c>
      <c r="I313" s="140">
        <v>1.85</v>
      </c>
      <c r="J313" s="141">
        <f t="shared" ref="J313" si="277">+I313*G313</f>
        <v>5.55</v>
      </c>
      <c r="K313" s="142">
        <f>'LABOR SHEET'!C$3</f>
        <v>128</v>
      </c>
      <c r="L313" s="143">
        <f t="shared" ref="L313" si="278">I313*K313</f>
        <v>236.8</v>
      </c>
      <c r="M313" s="143">
        <f t="shared" ref="M313" si="279">K313*J313</f>
        <v>710.4</v>
      </c>
      <c r="N313" s="143">
        <v>219.9</v>
      </c>
      <c r="O313" s="143">
        <f t="shared" ref="O313" si="280">N313*G313</f>
        <v>659.7</v>
      </c>
      <c r="P313" s="143">
        <f t="shared" ref="P313" si="281">(I313*K313)+N313</f>
        <v>456.7</v>
      </c>
      <c r="Q313" s="178">
        <f t="shared" ref="Q313" si="282">P313*G313</f>
        <v>1370.1</v>
      </c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81"/>
      <c r="AJ313" s="181"/>
    </row>
    <row r="314" s="32" customFormat="1" ht="31.5" spans="1:36">
      <c r="A314" s="91">
        <f>IF(F314&lt;&gt;"",1+MAX($A$2:A313),"")</f>
        <v>251</v>
      </c>
      <c r="B314" s="92"/>
      <c r="C314" s="93"/>
      <c r="D314" s="66" t="s">
        <v>310</v>
      </c>
      <c r="E314" s="69">
        <v>4</v>
      </c>
      <c r="F314" s="68">
        <v>0</v>
      </c>
      <c r="G314" s="63">
        <f t="shared" si="264"/>
        <v>4</v>
      </c>
      <c r="H314" s="67" t="s">
        <v>73</v>
      </c>
      <c r="I314" s="140">
        <v>7</v>
      </c>
      <c r="J314" s="141">
        <f t="shared" si="265"/>
        <v>28</v>
      </c>
      <c r="K314" s="142">
        <f>'LABOR SHEET'!C$3</f>
        <v>128</v>
      </c>
      <c r="L314" s="143">
        <f t="shared" si="266"/>
        <v>896</v>
      </c>
      <c r="M314" s="143">
        <f t="shared" si="267"/>
        <v>3584</v>
      </c>
      <c r="N314" s="143">
        <v>2100</v>
      </c>
      <c r="O314" s="143">
        <f t="shared" si="268"/>
        <v>8400</v>
      </c>
      <c r="P314" s="143">
        <f t="shared" si="269"/>
        <v>2996</v>
      </c>
      <c r="Q314" s="178">
        <f t="shared" si="270"/>
        <v>11984</v>
      </c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81"/>
      <c r="AJ314" s="181"/>
    </row>
    <row r="315" s="32" customFormat="1" spans="1:36">
      <c r="A315" s="91">
        <f>IF(F315&lt;&gt;"",1+MAX($A$2:A314),"")</f>
        <v>252</v>
      </c>
      <c r="B315" s="92"/>
      <c r="C315" s="93"/>
      <c r="D315" s="66" t="s">
        <v>311</v>
      </c>
      <c r="E315" s="69">
        <v>12</v>
      </c>
      <c r="F315" s="68">
        <v>0</v>
      </c>
      <c r="G315" s="63">
        <f t="shared" si="264"/>
        <v>12</v>
      </c>
      <c r="H315" s="67" t="s">
        <v>73</v>
      </c>
      <c r="I315" s="140">
        <v>1</v>
      </c>
      <c r="J315" s="141">
        <f t="shared" si="265"/>
        <v>12</v>
      </c>
      <c r="K315" s="142">
        <f>'LABOR SHEET'!C$3</f>
        <v>128</v>
      </c>
      <c r="L315" s="143">
        <f t="shared" si="266"/>
        <v>128</v>
      </c>
      <c r="M315" s="143">
        <f t="shared" si="267"/>
        <v>1536</v>
      </c>
      <c r="N315" s="143">
        <v>134.9</v>
      </c>
      <c r="O315" s="143">
        <f t="shared" si="268"/>
        <v>1618.8</v>
      </c>
      <c r="P315" s="143">
        <f t="shared" si="269"/>
        <v>262.9</v>
      </c>
      <c r="Q315" s="178">
        <f t="shared" si="270"/>
        <v>3154.8</v>
      </c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81"/>
      <c r="AJ315" s="181"/>
    </row>
    <row r="316" s="32" customFormat="1" spans="1:36">
      <c r="A316" s="91">
        <f>IF(F316&lt;&gt;"",1+MAX($A$2:A315),"")</f>
        <v>253</v>
      </c>
      <c r="B316" s="92"/>
      <c r="C316" s="93"/>
      <c r="D316" s="66" t="s">
        <v>312</v>
      </c>
      <c r="E316" s="69">
        <v>68</v>
      </c>
      <c r="F316" s="68">
        <v>0</v>
      </c>
      <c r="G316" s="63">
        <f t="shared" si="264"/>
        <v>68</v>
      </c>
      <c r="H316" s="67" t="s">
        <v>73</v>
      </c>
      <c r="I316" s="140">
        <v>0.25</v>
      </c>
      <c r="J316" s="141">
        <f t="shared" si="265"/>
        <v>17</v>
      </c>
      <c r="K316" s="142">
        <f>'LABOR SHEET'!C$3</f>
        <v>128</v>
      </c>
      <c r="L316" s="143">
        <f t="shared" si="266"/>
        <v>32</v>
      </c>
      <c r="M316" s="143">
        <f t="shared" si="267"/>
        <v>2176</v>
      </c>
      <c r="N316" s="143">
        <v>38</v>
      </c>
      <c r="O316" s="143">
        <f t="shared" si="268"/>
        <v>2584</v>
      </c>
      <c r="P316" s="143">
        <f t="shared" si="269"/>
        <v>70</v>
      </c>
      <c r="Q316" s="178">
        <f t="shared" si="270"/>
        <v>4760</v>
      </c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81"/>
      <c r="AJ316" s="181"/>
    </row>
    <row r="317" s="32" customFormat="1" spans="1:36">
      <c r="A317" s="91">
        <f>IF(F317&lt;&gt;"",1+MAX($A$2:A316),"")</f>
        <v>254</v>
      </c>
      <c r="B317" s="92"/>
      <c r="C317" s="93"/>
      <c r="D317" s="66" t="s">
        <v>313</v>
      </c>
      <c r="E317" s="69">
        <v>3</v>
      </c>
      <c r="F317" s="68">
        <v>0</v>
      </c>
      <c r="G317" s="63">
        <f t="shared" si="264"/>
        <v>3</v>
      </c>
      <c r="H317" s="67" t="s">
        <v>73</v>
      </c>
      <c r="I317" s="140">
        <v>0.26</v>
      </c>
      <c r="J317" s="141">
        <f t="shared" si="265"/>
        <v>0.78</v>
      </c>
      <c r="K317" s="142">
        <f>'LABOR SHEET'!C$3</f>
        <v>128</v>
      </c>
      <c r="L317" s="143">
        <f t="shared" si="266"/>
        <v>33.28</v>
      </c>
      <c r="M317" s="143">
        <f t="shared" si="267"/>
        <v>99.84</v>
      </c>
      <c r="N317" s="143">
        <v>42</v>
      </c>
      <c r="O317" s="143">
        <f t="shared" si="268"/>
        <v>126</v>
      </c>
      <c r="P317" s="143">
        <f t="shared" si="269"/>
        <v>75.28</v>
      </c>
      <c r="Q317" s="178">
        <f t="shared" si="270"/>
        <v>225.84</v>
      </c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81"/>
      <c r="AJ317" s="181"/>
    </row>
    <row r="318" s="32" customFormat="1" spans="1:36">
      <c r="A318" s="91">
        <f>IF(F318&lt;&gt;"",1+MAX($A$2:A317),"")</f>
        <v>255</v>
      </c>
      <c r="B318" s="92"/>
      <c r="C318" s="93"/>
      <c r="D318" s="66" t="s">
        <v>314</v>
      </c>
      <c r="E318" s="69">
        <v>4</v>
      </c>
      <c r="F318" s="68">
        <v>0</v>
      </c>
      <c r="G318" s="63">
        <f t="shared" si="264"/>
        <v>4</v>
      </c>
      <c r="H318" s="67" t="s">
        <v>73</v>
      </c>
      <c r="I318" s="140">
        <v>0.4</v>
      </c>
      <c r="J318" s="141">
        <f t="shared" si="265"/>
        <v>1.6</v>
      </c>
      <c r="K318" s="142">
        <f>'LABOR SHEET'!C$3</f>
        <v>128</v>
      </c>
      <c r="L318" s="143">
        <f t="shared" si="266"/>
        <v>51.2</v>
      </c>
      <c r="M318" s="143">
        <f t="shared" si="267"/>
        <v>204.8</v>
      </c>
      <c r="N318" s="143">
        <v>55</v>
      </c>
      <c r="O318" s="143">
        <f t="shared" si="268"/>
        <v>220</v>
      </c>
      <c r="P318" s="143">
        <f t="shared" si="269"/>
        <v>106.2</v>
      </c>
      <c r="Q318" s="178">
        <f t="shared" si="270"/>
        <v>424.8</v>
      </c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81"/>
      <c r="AJ318" s="181"/>
    </row>
    <row r="319" s="32" customFormat="1" spans="1:36">
      <c r="A319" s="91">
        <f>IF(F319&lt;&gt;"",1+MAX($A$2:A318),"")</f>
        <v>256</v>
      </c>
      <c r="B319" s="92"/>
      <c r="C319" s="93"/>
      <c r="D319" s="66" t="s">
        <v>315</v>
      </c>
      <c r="E319" s="69">
        <v>3</v>
      </c>
      <c r="F319" s="68">
        <v>0</v>
      </c>
      <c r="G319" s="63">
        <f t="shared" si="264"/>
        <v>3</v>
      </c>
      <c r="H319" s="67" t="s">
        <v>73</v>
      </c>
      <c r="I319" s="140">
        <v>0.55</v>
      </c>
      <c r="J319" s="141">
        <f t="shared" si="265"/>
        <v>1.65</v>
      </c>
      <c r="K319" s="142">
        <f>'LABOR SHEET'!C$3</f>
        <v>128</v>
      </c>
      <c r="L319" s="143">
        <f t="shared" si="266"/>
        <v>70.4</v>
      </c>
      <c r="M319" s="143">
        <f t="shared" si="267"/>
        <v>211.2</v>
      </c>
      <c r="N319" s="143">
        <v>86</v>
      </c>
      <c r="O319" s="143">
        <f t="shared" si="268"/>
        <v>258</v>
      </c>
      <c r="P319" s="143">
        <f t="shared" si="269"/>
        <v>156.4</v>
      </c>
      <c r="Q319" s="178">
        <f t="shared" si="270"/>
        <v>469.2</v>
      </c>
      <c r="R319" s="181"/>
      <c r="S319" s="181"/>
      <c r="T319" s="181"/>
      <c r="U319" s="181"/>
      <c r="V319" s="181"/>
      <c r="W319" s="181"/>
      <c r="X319" s="181"/>
      <c r="Y319" s="181"/>
      <c r="Z319" s="181"/>
      <c r="AA319" s="181"/>
      <c r="AB319" s="181"/>
      <c r="AC319" s="181"/>
      <c r="AD319" s="181"/>
      <c r="AE319" s="181"/>
      <c r="AF319" s="181"/>
      <c r="AG319" s="181"/>
      <c r="AH319" s="181"/>
      <c r="AI319" s="181"/>
      <c r="AJ319" s="181"/>
    </row>
    <row r="320" s="32" customFormat="1" spans="1:36">
      <c r="A320" s="91">
        <f>IF(F320&lt;&gt;"",1+MAX($A$2:A319),"")</f>
        <v>257</v>
      </c>
      <c r="B320" s="92"/>
      <c r="C320" s="93"/>
      <c r="D320" s="66" t="s">
        <v>316</v>
      </c>
      <c r="E320" s="69">
        <v>1</v>
      </c>
      <c r="F320" s="68">
        <v>0</v>
      </c>
      <c r="G320" s="63">
        <f t="shared" si="264"/>
        <v>1</v>
      </c>
      <c r="H320" s="67" t="s">
        <v>73</v>
      </c>
      <c r="I320" s="140">
        <v>1</v>
      </c>
      <c r="J320" s="141">
        <f t="shared" si="265"/>
        <v>1</v>
      </c>
      <c r="K320" s="142">
        <f>'LABOR SHEET'!C$3</f>
        <v>128</v>
      </c>
      <c r="L320" s="143">
        <f t="shared" si="266"/>
        <v>128</v>
      </c>
      <c r="M320" s="143">
        <f t="shared" si="267"/>
        <v>128</v>
      </c>
      <c r="N320" s="143">
        <v>212</v>
      </c>
      <c r="O320" s="143">
        <f t="shared" si="268"/>
        <v>212</v>
      </c>
      <c r="P320" s="143">
        <f t="shared" si="269"/>
        <v>340</v>
      </c>
      <c r="Q320" s="178">
        <f t="shared" si="270"/>
        <v>340</v>
      </c>
      <c r="R320" s="181"/>
      <c r="S320" s="181"/>
      <c r="T320" s="181"/>
      <c r="U320" s="181"/>
      <c r="V320" s="181"/>
      <c r="W320" s="181"/>
      <c r="X320" s="181"/>
      <c r="Y320" s="181"/>
      <c r="Z320" s="181"/>
      <c r="AA320" s="181"/>
      <c r="AB320" s="181"/>
      <c r="AC320" s="181"/>
      <c r="AD320" s="181"/>
      <c r="AE320" s="181"/>
      <c r="AF320" s="181"/>
      <c r="AG320" s="181"/>
      <c r="AH320" s="181"/>
      <c r="AI320" s="181"/>
      <c r="AJ320" s="181"/>
    </row>
    <row r="321" s="32" customFormat="1" spans="1:36">
      <c r="A321" s="91">
        <f>IF(F321&lt;&gt;"",1+MAX($A$2:A320),"")</f>
        <v>258</v>
      </c>
      <c r="B321" s="92"/>
      <c r="C321" s="93"/>
      <c r="D321" s="66" t="s">
        <v>317</v>
      </c>
      <c r="E321" s="69">
        <v>2</v>
      </c>
      <c r="F321" s="68">
        <v>0</v>
      </c>
      <c r="G321" s="63">
        <f t="shared" si="264"/>
        <v>2</v>
      </c>
      <c r="H321" s="67" t="s">
        <v>73</v>
      </c>
      <c r="I321" s="140">
        <v>1</v>
      </c>
      <c r="J321" s="141">
        <f t="shared" ref="J321" si="283">+I321*G321</f>
        <v>2</v>
      </c>
      <c r="K321" s="142">
        <f>'LABOR SHEET'!C$3</f>
        <v>128</v>
      </c>
      <c r="L321" s="143">
        <f t="shared" ref="L321" si="284">I321*K321</f>
        <v>128</v>
      </c>
      <c r="M321" s="143">
        <f t="shared" ref="M321" si="285">K321*J321</f>
        <v>256</v>
      </c>
      <c r="N321" s="143">
        <v>152</v>
      </c>
      <c r="O321" s="143">
        <f t="shared" ref="O321" si="286">N321*G321</f>
        <v>304</v>
      </c>
      <c r="P321" s="143">
        <f t="shared" ref="P321" si="287">(I321*K321)+N321</f>
        <v>280</v>
      </c>
      <c r="Q321" s="178">
        <f t="shared" ref="Q321" si="288">P321*G321</f>
        <v>560</v>
      </c>
      <c r="R321" s="181"/>
      <c r="S321" s="181"/>
      <c r="T321" s="181"/>
      <c r="U321" s="181"/>
      <c r="V321" s="181"/>
      <c r="W321" s="181"/>
      <c r="X321" s="181"/>
      <c r="Y321" s="181"/>
      <c r="Z321" s="181"/>
      <c r="AA321" s="181"/>
      <c r="AB321" s="181"/>
      <c r="AC321" s="181"/>
      <c r="AD321" s="181"/>
      <c r="AE321" s="181"/>
      <c r="AF321" s="181"/>
      <c r="AG321" s="181"/>
      <c r="AH321" s="181"/>
      <c r="AI321" s="181"/>
      <c r="AJ321" s="181"/>
    </row>
    <row r="322" s="32" customFormat="1" spans="1:36">
      <c r="A322" s="91">
        <f>IF(F322&lt;&gt;"",1+MAX($A$2:A321),"")</f>
        <v>259</v>
      </c>
      <c r="B322" s="92"/>
      <c r="C322" s="93"/>
      <c r="D322" s="66" t="s">
        <v>318</v>
      </c>
      <c r="E322" s="69">
        <v>1</v>
      </c>
      <c r="F322" s="68">
        <v>0</v>
      </c>
      <c r="G322" s="63">
        <f t="shared" si="264"/>
        <v>1</v>
      </c>
      <c r="H322" s="67" t="s">
        <v>73</v>
      </c>
      <c r="I322" s="140">
        <v>0.7</v>
      </c>
      <c r="J322" s="141">
        <f t="shared" si="265"/>
        <v>0.7</v>
      </c>
      <c r="K322" s="142">
        <f>'LABOR SHEET'!C$3</f>
        <v>128</v>
      </c>
      <c r="L322" s="143">
        <f t="shared" si="266"/>
        <v>89.6</v>
      </c>
      <c r="M322" s="143">
        <f t="shared" si="267"/>
        <v>89.6</v>
      </c>
      <c r="N322" s="143">
        <v>171.61</v>
      </c>
      <c r="O322" s="143">
        <f t="shared" si="268"/>
        <v>171.61</v>
      </c>
      <c r="P322" s="143">
        <f t="shared" si="269"/>
        <v>261.21</v>
      </c>
      <c r="Q322" s="178">
        <f t="shared" si="270"/>
        <v>261.21</v>
      </c>
      <c r="R322" s="181"/>
      <c r="S322" s="181"/>
      <c r="T322" s="181"/>
      <c r="U322" s="181"/>
      <c r="V322" s="181"/>
      <c r="W322" s="181"/>
      <c r="X322" s="181"/>
      <c r="Y322" s="181"/>
      <c r="Z322" s="181"/>
      <c r="AA322" s="181"/>
      <c r="AB322" s="181"/>
      <c r="AC322" s="181"/>
      <c r="AD322" s="181"/>
      <c r="AE322" s="181"/>
      <c r="AF322" s="181"/>
      <c r="AG322" s="181"/>
      <c r="AH322" s="181"/>
      <c r="AI322" s="181"/>
      <c r="AJ322" s="181"/>
    </row>
    <row r="323" s="32" customFormat="1" spans="1:36">
      <c r="A323" s="91">
        <f>IF(F323&lt;&gt;"",1+MAX($A$2:A322),"")</f>
        <v>260</v>
      </c>
      <c r="B323" s="92"/>
      <c r="C323" s="93"/>
      <c r="D323" s="66" t="s">
        <v>319</v>
      </c>
      <c r="E323" s="69">
        <v>10</v>
      </c>
      <c r="F323" s="68">
        <v>0</v>
      </c>
      <c r="G323" s="63">
        <f t="shared" si="264"/>
        <v>10</v>
      </c>
      <c r="H323" s="67" t="s">
        <v>73</v>
      </c>
      <c r="I323" s="140">
        <v>0.68</v>
      </c>
      <c r="J323" s="141">
        <f t="shared" si="265"/>
        <v>6.8</v>
      </c>
      <c r="K323" s="142">
        <f>'LABOR SHEET'!C$3</f>
        <v>128</v>
      </c>
      <c r="L323" s="143">
        <f t="shared" si="266"/>
        <v>87.04</v>
      </c>
      <c r="M323" s="143">
        <f t="shared" si="267"/>
        <v>870.4</v>
      </c>
      <c r="N323" s="143">
        <v>88</v>
      </c>
      <c r="O323" s="143">
        <f t="shared" si="268"/>
        <v>880</v>
      </c>
      <c r="P323" s="143">
        <f t="shared" si="269"/>
        <v>175.04</v>
      </c>
      <c r="Q323" s="178">
        <f t="shared" si="270"/>
        <v>1750.4</v>
      </c>
      <c r="R323" s="181"/>
      <c r="S323" s="181"/>
      <c r="T323" s="181"/>
      <c r="U323" s="181"/>
      <c r="V323" s="181"/>
      <c r="W323" s="181"/>
      <c r="X323" s="181"/>
      <c r="Y323" s="181"/>
      <c r="Z323" s="181"/>
      <c r="AA323" s="181"/>
      <c r="AB323" s="181"/>
      <c r="AC323" s="181"/>
      <c r="AD323" s="181"/>
      <c r="AE323" s="181"/>
      <c r="AF323" s="181"/>
      <c r="AG323" s="181"/>
      <c r="AH323" s="181"/>
      <c r="AI323" s="181"/>
      <c r="AJ323" s="181"/>
    </row>
    <row r="324" s="32" customFormat="1" spans="1:36">
      <c r="A324" s="91">
        <f>IF(F324&lt;&gt;"",1+MAX($A$2:A323),"")</f>
        <v>261</v>
      </c>
      <c r="B324" s="92"/>
      <c r="C324" s="93"/>
      <c r="D324" s="66" t="s">
        <v>320</v>
      </c>
      <c r="E324" s="69">
        <v>2</v>
      </c>
      <c r="F324" s="68">
        <v>0</v>
      </c>
      <c r="G324" s="63">
        <f t="shared" si="264"/>
        <v>2</v>
      </c>
      <c r="H324" s="67" t="s">
        <v>73</v>
      </c>
      <c r="I324" s="140">
        <v>0.25</v>
      </c>
      <c r="J324" s="141">
        <f t="shared" si="265"/>
        <v>0.5</v>
      </c>
      <c r="K324" s="142">
        <f>'LABOR SHEET'!C$3</f>
        <v>128</v>
      </c>
      <c r="L324" s="143">
        <f t="shared" si="266"/>
        <v>32</v>
      </c>
      <c r="M324" s="143">
        <f t="shared" si="267"/>
        <v>64</v>
      </c>
      <c r="N324" s="143">
        <v>35</v>
      </c>
      <c r="O324" s="143">
        <f t="shared" si="268"/>
        <v>70</v>
      </c>
      <c r="P324" s="143">
        <f t="shared" si="269"/>
        <v>67</v>
      </c>
      <c r="Q324" s="178">
        <f t="shared" si="270"/>
        <v>134</v>
      </c>
      <c r="R324" s="181"/>
      <c r="S324" s="181"/>
      <c r="T324" s="181"/>
      <c r="U324" s="181"/>
      <c r="V324" s="181"/>
      <c r="W324" s="181"/>
      <c r="X324" s="181"/>
      <c r="Y324" s="181"/>
      <c r="Z324" s="181"/>
      <c r="AA324" s="181"/>
      <c r="AB324" s="181"/>
      <c r="AC324" s="181"/>
      <c r="AD324" s="181"/>
      <c r="AE324" s="181"/>
      <c r="AF324" s="181"/>
      <c r="AG324" s="181"/>
      <c r="AH324" s="181"/>
      <c r="AI324" s="181"/>
      <c r="AJ324" s="181"/>
    </row>
    <row r="325" s="32" customFormat="1" ht="31.5" spans="1:36">
      <c r="A325" s="91">
        <f>IF(F325&lt;&gt;"",1+MAX($A$2:A324),"")</f>
        <v>262</v>
      </c>
      <c r="B325" s="92"/>
      <c r="C325" s="93"/>
      <c r="D325" s="66" t="s">
        <v>321</v>
      </c>
      <c r="E325" s="69">
        <v>2</v>
      </c>
      <c r="F325" s="68">
        <v>0</v>
      </c>
      <c r="G325" s="63">
        <f t="shared" si="264"/>
        <v>2</v>
      </c>
      <c r="H325" s="67" t="s">
        <v>73</v>
      </c>
      <c r="I325" s="140">
        <v>0.26</v>
      </c>
      <c r="J325" s="141">
        <f t="shared" ref="J325" si="289">+I325*G325</f>
        <v>0.52</v>
      </c>
      <c r="K325" s="142">
        <f>'LABOR SHEET'!C$3</f>
        <v>128</v>
      </c>
      <c r="L325" s="143">
        <f t="shared" ref="L325" si="290">I325*K325</f>
        <v>33.28</v>
      </c>
      <c r="M325" s="143">
        <f t="shared" ref="M325" si="291">K325*J325</f>
        <v>66.56</v>
      </c>
      <c r="N325" s="143">
        <v>42</v>
      </c>
      <c r="O325" s="143">
        <f t="shared" ref="O325" si="292">N325*G325</f>
        <v>84</v>
      </c>
      <c r="P325" s="143">
        <f t="shared" ref="P325" si="293">(I325*K325)+N325</f>
        <v>75.28</v>
      </c>
      <c r="Q325" s="178">
        <f t="shared" ref="Q325" si="294">P325*G325</f>
        <v>150.56</v>
      </c>
      <c r="R325" s="181"/>
      <c r="S325" s="181"/>
      <c r="T325" s="181"/>
      <c r="U325" s="181"/>
      <c r="V325" s="181"/>
      <c r="W325" s="181"/>
      <c r="X325" s="181"/>
      <c r="Y325" s="181"/>
      <c r="Z325" s="181"/>
      <c r="AA325" s="181"/>
      <c r="AB325" s="181"/>
      <c r="AC325" s="181"/>
      <c r="AD325" s="181"/>
      <c r="AE325" s="181"/>
      <c r="AF325" s="181"/>
      <c r="AG325" s="181"/>
      <c r="AH325" s="181"/>
      <c r="AI325" s="181"/>
      <c r="AJ325" s="181"/>
    </row>
    <row r="326" s="32" customFormat="1" spans="1:36">
      <c r="A326" s="91">
        <f>IF(F326&lt;&gt;"",1+MAX($A$2:A325),"")</f>
        <v>263</v>
      </c>
      <c r="B326" s="92"/>
      <c r="C326" s="93"/>
      <c r="D326" s="66" t="s">
        <v>322</v>
      </c>
      <c r="E326" s="69">
        <v>2</v>
      </c>
      <c r="F326" s="68">
        <v>0</v>
      </c>
      <c r="G326" s="63">
        <f t="shared" si="264"/>
        <v>2</v>
      </c>
      <c r="H326" s="67" t="s">
        <v>73</v>
      </c>
      <c r="I326" s="140">
        <v>1.1</v>
      </c>
      <c r="J326" s="141">
        <f t="shared" si="265"/>
        <v>2.2</v>
      </c>
      <c r="K326" s="142">
        <f>'LABOR SHEET'!C$3</f>
        <v>128</v>
      </c>
      <c r="L326" s="143">
        <f t="shared" si="266"/>
        <v>140.8</v>
      </c>
      <c r="M326" s="143">
        <f t="shared" si="267"/>
        <v>281.6</v>
      </c>
      <c r="N326" s="143">
        <v>496.96</v>
      </c>
      <c r="O326" s="143">
        <f t="shared" si="268"/>
        <v>993.92</v>
      </c>
      <c r="P326" s="143">
        <f t="shared" si="269"/>
        <v>637.76</v>
      </c>
      <c r="Q326" s="178">
        <f t="shared" si="270"/>
        <v>1275.52</v>
      </c>
      <c r="R326" s="181"/>
      <c r="S326" s="181"/>
      <c r="T326" s="181"/>
      <c r="U326" s="181"/>
      <c r="V326" s="181"/>
      <c r="W326" s="181"/>
      <c r="X326" s="181"/>
      <c r="Y326" s="181"/>
      <c r="Z326" s="181"/>
      <c r="AA326" s="181"/>
      <c r="AB326" s="181"/>
      <c r="AC326" s="181"/>
      <c r="AD326" s="181"/>
      <c r="AE326" s="181"/>
      <c r="AF326" s="181"/>
      <c r="AG326" s="181"/>
      <c r="AH326" s="181"/>
      <c r="AI326" s="181"/>
      <c r="AJ326" s="181"/>
    </row>
    <row r="327" s="32" customFormat="1" spans="1:36">
      <c r="A327" s="91">
        <f>IF(F327&lt;&gt;"",1+MAX($A$2:A326),"")</f>
        <v>264</v>
      </c>
      <c r="B327" s="92"/>
      <c r="C327" s="93"/>
      <c r="D327" s="66" t="s">
        <v>323</v>
      </c>
      <c r="E327" s="69">
        <v>8</v>
      </c>
      <c r="F327" s="68">
        <v>0</v>
      </c>
      <c r="G327" s="63">
        <f t="shared" si="264"/>
        <v>8</v>
      </c>
      <c r="H327" s="67" t="s">
        <v>73</v>
      </c>
      <c r="I327" s="140">
        <v>1</v>
      </c>
      <c r="J327" s="141">
        <f t="shared" ref="J327" si="295">+I327*G327</f>
        <v>8</v>
      </c>
      <c r="K327" s="142">
        <f>'LABOR SHEET'!C$3</f>
        <v>128</v>
      </c>
      <c r="L327" s="143">
        <f t="shared" ref="L327" si="296">I327*K327</f>
        <v>128</v>
      </c>
      <c r="M327" s="143">
        <f t="shared" ref="M327" si="297">K327*J327</f>
        <v>1024</v>
      </c>
      <c r="N327" s="143">
        <v>134.9</v>
      </c>
      <c r="O327" s="143">
        <f t="shared" ref="O327" si="298">N327*G327</f>
        <v>1079.2</v>
      </c>
      <c r="P327" s="143">
        <f t="shared" ref="P327" si="299">(I327*K327)+N327</f>
        <v>262.9</v>
      </c>
      <c r="Q327" s="178">
        <f t="shared" ref="Q327" si="300">P327*G327</f>
        <v>2103.2</v>
      </c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81"/>
      <c r="AJ327" s="181"/>
    </row>
    <row r="328" s="32" customFormat="1" spans="1:36">
      <c r="A328" s="91">
        <f>IF(F328&lt;&gt;"",1+MAX($A$2:A327),"")</f>
        <v>265</v>
      </c>
      <c r="B328" s="92"/>
      <c r="C328" s="93"/>
      <c r="D328" s="66" t="s">
        <v>324</v>
      </c>
      <c r="E328" s="69">
        <v>1</v>
      </c>
      <c r="F328" s="68">
        <v>0</v>
      </c>
      <c r="G328" s="63">
        <f t="shared" si="264"/>
        <v>1</v>
      </c>
      <c r="H328" s="67" t="s">
        <v>73</v>
      </c>
      <c r="I328" s="140">
        <v>0.7</v>
      </c>
      <c r="J328" s="141">
        <f t="shared" si="265"/>
        <v>0.7</v>
      </c>
      <c r="K328" s="142">
        <f>'LABOR SHEET'!C$3</f>
        <v>128</v>
      </c>
      <c r="L328" s="143">
        <f t="shared" si="266"/>
        <v>89.6</v>
      </c>
      <c r="M328" s="143">
        <f t="shared" si="267"/>
        <v>89.6</v>
      </c>
      <c r="N328" s="143">
        <v>110</v>
      </c>
      <c r="O328" s="143">
        <f t="shared" si="268"/>
        <v>110</v>
      </c>
      <c r="P328" s="143">
        <f t="shared" si="269"/>
        <v>199.6</v>
      </c>
      <c r="Q328" s="178">
        <f t="shared" si="270"/>
        <v>199.6</v>
      </c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81"/>
      <c r="AJ328" s="181"/>
    </row>
    <row r="329" s="32" customFormat="1" spans="1:36">
      <c r="A329" s="91">
        <f>IF(F329&lt;&gt;"",1+MAX($A$2:A328),"")</f>
        <v>266</v>
      </c>
      <c r="B329" s="92"/>
      <c r="C329" s="93"/>
      <c r="D329" s="66" t="s">
        <v>325</v>
      </c>
      <c r="E329" s="69">
        <v>81</v>
      </c>
      <c r="F329" s="68">
        <v>0</v>
      </c>
      <c r="G329" s="63">
        <f t="shared" si="264"/>
        <v>81</v>
      </c>
      <c r="H329" s="67" t="s">
        <v>73</v>
      </c>
      <c r="I329" s="140">
        <v>0.3</v>
      </c>
      <c r="J329" s="141">
        <f t="shared" si="265"/>
        <v>24.3</v>
      </c>
      <c r="K329" s="142">
        <f>'LABOR SHEET'!C$3</f>
        <v>128</v>
      </c>
      <c r="L329" s="143">
        <f t="shared" si="266"/>
        <v>38.4</v>
      </c>
      <c r="M329" s="143">
        <f t="shared" si="267"/>
        <v>3110.4</v>
      </c>
      <c r="N329" s="143">
        <v>18.99</v>
      </c>
      <c r="O329" s="143">
        <f t="shared" si="268"/>
        <v>1538.19</v>
      </c>
      <c r="P329" s="143">
        <f t="shared" si="269"/>
        <v>57.39</v>
      </c>
      <c r="Q329" s="178">
        <f t="shared" si="270"/>
        <v>4648.59</v>
      </c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81"/>
      <c r="AJ329" s="181"/>
    </row>
    <row r="330" s="32" customFormat="1" spans="1:36">
      <c r="A330" s="91">
        <f>IF(F330&lt;&gt;"",1+MAX($A$2:A329),"")</f>
        <v>267</v>
      </c>
      <c r="B330" s="92"/>
      <c r="C330" s="93"/>
      <c r="D330" s="66" t="s">
        <v>326</v>
      </c>
      <c r="E330" s="69">
        <v>9</v>
      </c>
      <c r="F330" s="68">
        <v>0</v>
      </c>
      <c r="G330" s="63">
        <f t="shared" si="264"/>
        <v>9</v>
      </c>
      <c r="H330" s="67" t="s">
        <v>73</v>
      </c>
      <c r="I330" s="140">
        <v>0.2</v>
      </c>
      <c r="J330" s="141">
        <f t="shared" si="265"/>
        <v>1.8</v>
      </c>
      <c r="K330" s="142">
        <f>'LABOR SHEET'!C$3</f>
        <v>128</v>
      </c>
      <c r="L330" s="143">
        <f t="shared" si="266"/>
        <v>25.6</v>
      </c>
      <c r="M330" s="143">
        <f t="shared" si="267"/>
        <v>230.4</v>
      </c>
      <c r="N330" s="143">
        <v>13.35</v>
      </c>
      <c r="O330" s="143">
        <f t="shared" si="268"/>
        <v>120.15</v>
      </c>
      <c r="P330" s="143">
        <f t="shared" si="269"/>
        <v>38.95</v>
      </c>
      <c r="Q330" s="178">
        <f t="shared" si="270"/>
        <v>350.55</v>
      </c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81"/>
      <c r="AJ330" s="181"/>
    </row>
    <row r="331" s="32" customFormat="1" spans="1:36">
      <c r="A331" s="91" t="str">
        <f>IF(F331&lt;&gt;"",1+MAX($A$2:A330),"")</f>
        <v/>
      </c>
      <c r="B331" s="92"/>
      <c r="C331" s="93"/>
      <c r="D331" s="66"/>
      <c r="E331" s="69"/>
      <c r="F331" s="94"/>
      <c r="G331" s="95"/>
      <c r="H331" s="67"/>
      <c r="I331" s="140"/>
      <c r="J331" s="141"/>
      <c r="K331" s="142"/>
      <c r="L331" s="143"/>
      <c r="M331" s="143"/>
      <c r="N331" s="143"/>
      <c r="O331" s="143"/>
      <c r="P331" s="143"/>
      <c r="Q331" s="179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81"/>
      <c r="AJ331" s="181"/>
    </row>
    <row r="332" s="32" customFormat="1" spans="1:36">
      <c r="A332" s="91" t="str">
        <f>IF(F332&lt;&gt;"",1+MAX($A$2:A331),"")</f>
        <v/>
      </c>
      <c r="B332" s="92"/>
      <c r="C332" s="93"/>
      <c r="D332" s="57" t="s">
        <v>327</v>
      </c>
      <c r="E332" s="69"/>
      <c r="F332" s="94"/>
      <c r="G332" s="95"/>
      <c r="H332" s="67"/>
      <c r="I332" s="140"/>
      <c r="J332" s="141"/>
      <c r="K332" s="142"/>
      <c r="L332" s="143"/>
      <c r="M332" s="143"/>
      <c r="N332" s="143"/>
      <c r="O332" s="143"/>
      <c r="P332" s="143"/>
      <c r="Q332" s="179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81"/>
      <c r="AJ332" s="181"/>
    </row>
    <row r="333" s="32" customFormat="1" spans="1:36">
      <c r="A333" s="91" t="str">
        <f>IF(F333&lt;&gt;"",1+MAX($A$2:A332),"")</f>
        <v/>
      </c>
      <c r="B333" s="92"/>
      <c r="C333" s="93"/>
      <c r="D333" s="87" t="s">
        <v>285</v>
      </c>
      <c r="E333" s="69"/>
      <c r="F333" s="94"/>
      <c r="G333" s="95"/>
      <c r="H333" s="67"/>
      <c r="I333" s="140"/>
      <c r="J333" s="141"/>
      <c r="K333" s="142"/>
      <c r="L333" s="143"/>
      <c r="M333" s="143"/>
      <c r="N333" s="143"/>
      <c r="O333" s="143"/>
      <c r="P333" s="143"/>
      <c r="Q333" s="179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81"/>
      <c r="AJ333" s="181"/>
    </row>
    <row r="334" s="32" customFormat="1" spans="1:36">
      <c r="A334" s="91">
        <f>IF(F334&lt;&gt;"",1+MAX($A$2:A333),"")</f>
        <v>268</v>
      </c>
      <c r="B334" s="92"/>
      <c r="C334" s="93"/>
      <c r="D334" s="66" t="s">
        <v>57</v>
      </c>
      <c r="E334" s="69">
        <v>880.32</v>
      </c>
      <c r="F334" s="68">
        <v>0.05</v>
      </c>
      <c r="G334" s="63">
        <f t="shared" ref="G334:G342" si="301">(F334*E334)+E334</f>
        <v>924.336</v>
      </c>
      <c r="H334" s="67" t="s">
        <v>56</v>
      </c>
      <c r="I334" s="140">
        <v>0.115</v>
      </c>
      <c r="J334" s="141">
        <f>+I334*G334</f>
        <v>106.29864</v>
      </c>
      <c r="K334" s="142">
        <f>'LABOR SHEET'!C$3</f>
        <v>128</v>
      </c>
      <c r="L334" s="143">
        <f>I334*K334</f>
        <v>14.72</v>
      </c>
      <c r="M334" s="143">
        <f>K334*J334</f>
        <v>13606.22592</v>
      </c>
      <c r="N334" s="143">
        <v>9.27</v>
      </c>
      <c r="O334" s="143">
        <f>N334*G334</f>
        <v>8568.59472</v>
      </c>
      <c r="P334" s="143">
        <f>(I334*K334)+N334</f>
        <v>23.99</v>
      </c>
      <c r="Q334" s="178">
        <f>P334*G334</f>
        <v>22174.82064</v>
      </c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81"/>
      <c r="AJ334" s="181"/>
    </row>
    <row r="335" s="32" customFormat="1" spans="1:36">
      <c r="A335" s="91">
        <f>IF(F335&lt;&gt;"",1+MAX($A$2:A334),"")</f>
        <v>269</v>
      </c>
      <c r="B335" s="92"/>
      <c r="C335" s="93"/>
      <c r="D335" s="66" t="s">
        <v>55</v>
      </c>
      <c r="E335" s="69">
        <v>126</v>
      </c>
      <c r="F335" s="68">
        <v>0.05</v>
      </c>
      <c r="G335" s="63">
        <f t="shared" si="301"/>
        <v>132.3</v>
      </c>
      <c r="H335" s="67" t="s">
        <v>56</v>
      </c>
      <c r="I335" s="140">
        <v>0.146</v>
      </c>
      <c r="J335" s="141">
        <f t="shared" ref="J335" si="302">+I335*G335</f>
        <v>19.3158</v>
      </c>
      <c r="K335" s="142">
        <f>'LABOR SHEET'!C$3</f>
        <v>128</v>
      </c>
      <c r="L335" s="143">
        <f t="shared" ref="L335" si="303">I335*K335</f>
        <v>18.688</v>
      </c>
      <c r="M335" s="143">
        <f t="shared" ref="M335" si="304">K335*J335</f>
        <v>2472.4224</v>
      </c>
      <c r="N335" s="143">
        <f>138.78/10+1</f>
        <v>14.878</v>
      </c>
      <c r="O335" s="143">
        <f t="shared" ref="O335" si="305">N335*G335</f>
        <v>1968.3594</v>
      </c>
      <c r="P335" s="143">
        <f t="shared" ref="P335" si="306">(I335*K335)+N335</f>
        <v>33.566</v>
      </c>
      <c r="Q335" s="178">
        <f t="shared" ref="Q335" si="307">P335*G335</f>
        <v>4440.7818</v>
      </c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81"/>
      <c r="AJ335" s="181"/>
    </row>
    <row r="336" s="32" customFormat="1" spans="1:36">
      <c r="A336" s="91" t="str">
        <f>IF(F336&lt;&gt;"",1+MAX($A$2:A335),"")</f>
        <v/>
      </c>
      <c r="B336" s="92"/>
      <c r="C336" s="93"/>
      <c r="D336" s="66"/>
      <c r="E336" s="69"/>
      <c r="F336" s="94"/>
      <c r="G336" s="95"/>
      <c r="H336" s="67"/>
      <c r="I336" s="140"/>
      <c r="J336" s="141"/>
      <c r="K336" s="142"/>
      <c r="L336" s="143"/>
      <c r="M336" s="143"/>
      <c r="N336" s="143"/>
      <c r="O336" s="143"/>
      <c r="P336" s="143"/>
      <c r="Q336" s="179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81"/>
      <c r="AJ336" s="181"/>
    </row>
    <row r="337" s="32" customFormat="1" spans="1:36">
      <c r="A337" s="91" t="str">
        <f>IF(F337&lt;&gt;"",1+MAX($A$2:A336),"")</f>
        <v/>
      </c>
      <c r="B337" s="92"/>
      <c r="C337" s="93"/>
      <c r="D337" s="87" t="s">
        <v>286</v>
      </c>
      <c r="E337" s="69"/>
      <c r="F337" s="94"/>
      <c r="G337" s="95"/>
      <c r="H337" s="67"/>
      <c r="I337" s="140"/>
      <c r="J337" s="141"/>
      <c r="K337" s="142"/>
      <c r="L337" s="143"/>
      <c r="M337" s="143"/>
      <c r="N337" s="143"/>
      <c r="O337" s="143"/>
      <c r="P337" s="143"/>
      <c r="Q337" s="179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81"/>
      <c r="AJ337" s="181"/>
    </row>
    <row r="338" s="32" customFormat="1" spans="1:36">
      <c r="A338" s="91">
        <f>IF(F338&lt;&gt;"",1+MAX($A$2:A337),"")</f>
        <v>270</v>
      </c>
      <c r="B338" s="92"/>
      <c r="C338" s="93"/>
      <c r="D338" s="66" t="s">
        <v>328</v>
      </c>
      <c r="E338" s="69">
        <v>224.31</v>
      </c>
      <c r="F338" s="68">
        <v>0.05</v>
      </c>
      <c r="G338" s="63">
        <f t="shared" si="301"/>
        <v>235.5255</v>
      </c>
      <c r="H338" s="67" t="s">
        <v>56</v>
      </c>
      <c r="I338" s="140">
        <v>0.02</v>
      </c>
      <c r="J338" s="141">
        <f t="shared" ref="J338:J342" si="308">+I338*G338</f>
        <v>4.71051</v>
      </c>
      <c r="K338" s="142">
        <f>'LABOR SHEET'!C$3</f>
        <v>128</v>
      </c>
      <c r="L338" s="143">
        <f t="shared" ref="L338:L342" si="309">I338*K338</f>
        <v>2.56</v>
      </c>
      <c r="M338" s="143">
        <f t="shared" ref="M338:M342" si="310">K338*J338</f>
        <v>602.94528</v>
      </c>
      <c r="N338" s="143">
        <v>2.63</v>
      </c>
      <c r="O338" s="143">
        <f t="shared" ref="O338:O342" si="311">N338*G338</f>
        <v>619.432065</v>
      </c>
      <c r="P338" s="143">
        <f t="shared" ref="P338:P342" si="312">(I338*K338)+N338</f>
        <v>5.19</v>
      </c>
      <c r="Q338" s="178">
        <f t="shared" ref="Q338:Q342" si="313">P338*G338</f>
        <v>1222.377345</v>
      </c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81"/>
      <c r="AJ338" s="181"/>
    </row>
    <row r="339" s="32" customFormat="1" spans="1:36">
      <c r="A339" s="91">
        <f>IF(F339&lt;&gt;"",1+MAX($A$2:A338),"")</f>
        <v>271</v>
      </c>
      <c r="B339" s="92"/>
      <c r="C339" s="93"/>
      <c r="D339" s="66" t="s">
        <v>329</v>
      </c>
      <c r="E339" s="69">
        <v>6.37</v>
      </c>
      <c r="F339" s="68">
        <v>0.05</v>
      </c>
      <c r="G339" s="63">
        <f t="shared" si="301"/>
        <v>6.6885</v>
      </c>
      <c r="H339" s="67" t="s">
        <v>56</v>
      </c>
      <c r="I339" s="140">
        <v>0.025</v>
      </c>
      <c r="J339" s="141">
        <f t="shared" si="308"/>
        <v>0.1672125</v>
      </c>
      <c r="K339" s="142">
        <f>'LABOR SHEET'!C$3</f>
        <v>128</v>
      </c>
      <c r="L339" s="143">
        <f t="shared" si="309"/>
        <v>3.2</v>
      </c>
      <c r="M339" s="143">
        <f t="shared" si="310"/>
        <v>21.4032</v>
      </c>
      <c r="N339" s="143">
        <v>2.78</v>
      </c>
      <c r="O339" s="143">
        <f t="shared" si="311"/>
        <v>18.59403</v>
      </c>
      <c r="P339" s="143">
        <f t="shared" si="312"/>
        <v>5.98</v>
      </c>
      <c r="Q339" s="178">
        <f t="shared" si="313"/>
        <v>39.99723</v>
      </c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81"/>
      <c r="AJ339" s="181"/>
    </row>
    <row r="340" s="32" customFormat="1" spans="1:36">
      <c r="A340" s="91">
        <f>IF(F340&lt;&gt;"",1+MAX($A$2:A339),"")</f>
        <v>272</v>
      </c>
      <c r="B340" s="92"/>
      <c r="C340" s="93"/>
      <c r="D340" s="66" t="s">
        <v>330</v>
      </c>
      <c r="E340" s="69">
        <v>92.48</v>
      </c>
      <c r="F340" s="68">
        <v>0.05</v>
      </c>
      <c r="G340" s="63">
        <f t="shared" si="301"/>
        <v>97.104</v>
      </c>
      <c r="H340" s="67" t="s">
        <v>56</v>
      </c>
      <c r="I340" s="140">
        <v>0.035</v>
      </c>
      <c r="J340" s="141">
        <f t="shared" si="308"/>
        <v>3.39864</v>
      </c>
      <c r="K340" s="142">
        <f>'LABOR SHEET'!C$3</f>
        <v>128</v>
      </c>
      <c r="L340" s="143">
        <f t="shared" si="309"/>
        <v>4.48</v>
      </c>
      <c r="M340" s="143">
        <f t="shared" si="310"/>
        <v>435.02592</v>
      </c>
      <c r="N340" s="143">
        <v>8.99</v>
      </c>
      <c r="O340" s="143">
        <f t="shared" si="311"/>
        <v>872.96496</v>
      </c>
      <c r="P340" s="143">
        <f t="shared" si="312"/>
        <v>13.47</v>
      </c>
      <c r="Q340" s="178">
        <f t="shared" si="313"/>
        <v>1307.99088</v>
      </c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81"/>
      <c r="AJ340" s="181"/>
    </row>
    <row r="341" s="32" customFormat="1" spans="1:36">
      <c r="A341" s="91">
        <f>IF(F341&lt;&gt;"",1+MAX($A$2:A340),"")</f>
        <v>273</v>
      </c>
      <c r="B341" s="92"/>
      <c r="C341" s="93"/>
      <c r="D341" s="66" t="s">
        <v>331</v>
      </c>
      <c r="E341" s="69">
        <v>3820.16</v>
      </c>
      <c r="F341" s="68">
        <v>0.05</v>
      </c>
      <c r="G341" s="63">
        <f t="shared" si="301"/>
        <v>4011.168</v>
      </c>
      <c r="H341" s="67" t="s">
        <v>56</v>
      </c>
      <c r="I341" s="140">
        <v>0.03</v>
      </c>
      <c r="J341" s="141">
        <f t="shared" si="308"/>
        <v>120.33504</v>
      </c>
      <c r="K341" s="142">
        <f>'LABOR SHEET'!C$3</f>
        <v>128</v>
      </c>
      <c r="L341" s="143">
        <f t="shared" si="309"/>
        <v>3.84</v>
      </c>
      <c r="M341" s="143">
        <f t="shared" si="310"/>
        <v>15402.88512</v>
      </c>
      <c r="N341" s="143">
        <v>6.73</v>
      </c>
      <c r="O341" s="143">
        <f t="shared" si="311"/>
        <v>26995.16064</v>
      </c>
      <c r="P341" s="143">
        <f t="shared" si="312"/>
        <v>10.57</v>
      </c>
      <c r="Q341" s="178">
        <f t="shared" si="313"/>
        <v>42398.04576</v>
      </c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81"/>
      <c r="AJ341" s="181"/>
    </row>
    <row r="342" s="32" customFormat="1" spans="1:36">
      <c r="A342" s="91">
        <f>IF(F342&lt;&gt;"",1+MAX($A$2:A341),"")</f>
        <v>274</v>
      </c>
      <c r="B342" s="92"/>
      <c r="C342" s="93"/>
      <c r="D342" s="66" t="s">
        <v>332</v>
      </c>
      <c r="E342" s="69">
        <v>103.24</v>
      </c>
      <c r="F342" s="68">
        <v>0.05</v>
      </c>
      <c r="G342" s="63">
        <f t="shared" si="301"/>
        <v>108.402</v>
      </c>
      <c r="H342" s="67" t="s">
        <v>56</v>
      </c>
      <c r="I342" s="140">
        <v>0.02</v>
      </c>
      <c r="J342" s="141">
        <f t="shared" si="308"/>
        <v>2.16804</v>
      </c>
      <c r="K342" s="142">
        <f>'LABOR SHEET'!C$3</f>
        <v>128</v>
      </c>
      <c r="L342" s="143">
        <f t="shared" si="309"/>
        <v>2.56</v>
      </c>
      <c r="M342" s="143">
        <f t="shared" si="310"/>
        <v>277.50912</v>
      </c>
      <c r="N342" s="143">
        <v>3</v>
      </c>
      <c r="O342" s="143">
        <f t="shared" si="311"/>
        <v>325.206</v>
      </c>
      <c r="P342" s="143">
        <f t="shared" si="312"/>
        <v>5.56</v>
      </c>
      <c r="Q342" s="178">
        <f t="shared" si="313"/>
        <v>602.71512</v>
      </c>
      <c r="R342" s="181"/>
      <c r="S342" s="181"/>
      <c r="T342" s="181"/>
      <c r="U342" s="181"/>
      <c r="V342" s="181"/>
      <c r="W342" s="181"/>
      <c r="X342" s="181"/>
      <c r="Y342" s="181"/>
      <c r="Z342" s="181"/>
      <c r="AA342" s="181"/>
      <c r="AB342" s="181"/>
      <c r="AC342" s="181"/>
      <c r="AD342" s="181"/>
      <c r="AE342" s="181"/>
      <c r="AF342" s="181"/>
      <c r="AG342" s="181"/>
      <c r="AH342" s="181"/>
      <c r="AI342" s="181"/>
      <c r="AJ342" s="181"/>
    </row>
    <row r="343" s="32" customFormat="1" spans="1:36">
      <c r="A343" s="91" t="str">
        <f>IF(F343&lt;&gt;"",1+MAX($A$2:A342),"")</f>
        <v/>
      </c>
      <c r="B343" s="92"/>
      <c r="C343" s="93"/>
      <c r="D343" s="66"/>
      <c r="E343" s="69"/>
      <c r="F343" s="94"/>
      <c r="G343" s="95"/>
      <c r="H343" s="67"/>
      <c r="I343" s="140"/>
      <c r="J343" s="141"/>
      <c r="K343" s="142"/>
      <c r="L343" s="143"/>
      <c r="M343" s="143"/>
      <c r="N343" s="143"/>
      <c r="O343" s="143"/>
      <c r="P343" s="143"/>
      <c r="Q343" s="179"/>
      <c r="R343" s="181"/>
      <c r="S343" s="181"/>
      <c r="T343" s="181"/>
      <c r="U343" s="181"/>
      <c r="V343" s="181"/>
      <c r="W343" s="181"/>
      <c r="X343" s="181"/>
      <c r="Y343" s="181"/>
      <c r="Z343" s="181"/>
      <c r="AA343" s="181"/>
      <c r="AB343" s="181"/>
      <c r="AC343" s="181"/>
      <c r="AD343" s="181"/>
      <c r="AE343" s="181"/>
      <c r="AF343" s="181"/>
      <c r="AG343" s="181"/>
      <c r="AH343" s="181"/>
      <c r="AI343" s="181"/>
      <c r="AJ343" s="181"/>
    </row>
    <row r="344" s="32" customFormat="1" spans="1:36">
      <c r="A344" s="91" t="str">
        <f>IF(F344&lt;&gt;"",1+MAX($A$2:A343),"")</f>
        <v/>
      </c>
      <c r="B344" s="92"/>
      <c r="C344" s="93"/>
      <c r="D344" s="87" t="s">
        <v>291</v>
      </c>
      <c r="E344" s="69"/>
      <c r="F344" s="94"/>
      <c r="G344" s="95"/>
      <c r="H344" s="67"/>
      <c r="I344" s="140"/>
      <c r="J344" s="141"/>
      <c r="K344" s="142"/>
      <c r="L344" s="143"/>
      <c r="M344" s="143"/>
      <c r="N344" s="143"/>
      <c r="O344" s="143"/>
      <c r="P344" s="143"/>
      <c r="Q344" s="179"/>
      <c r="R344" s="181"/>
      <c r="S344" s="181"/>
      <c r="T344" s="181"/>
      <c r="U344" s="181"/>
      <c r="V344" s="181"/>
      <c r="W344" s="181"/>
      <c r="X344" s="181"/>
      <c r="Y344" s="181"/>
      <c r="Z344" s="181"/>
      <c r="AA344" s="181"/>
      <c r="AB344" s="181"/>
      <c r="AC344" s="181"/>
      <c r="AD344" s="181"/>
      <c r="AE344" s="181"/>
      <c r="AF344" s="181"/>
      <c r="AG344" s="181"/>
      <c r="AH344" s="181"/>
      <c r="AI344" s="181"/>
      <c r="AJ344" s="181"/>
    </row>
    <row r="345" s="32" customFormat="1" spans="1:36">
      <c r="A345" s="91">
        <f>IF(F345&lt;&gt;"",1+MAX($A$2:A344),"")</f>
        <v>275</v>
      </c>
      <c r="B345" s="92"/>
      <c r="C345" s="93"/>
      <c r="D345" s="66" t="s">
        <v>333</v>
      </c>
      <c r="E345" s="69">
        <v>4</v>
      </c>
      <c r="F345" s="68">
        <v>0</v>
      </c>
      <c r="G345" s="63">
        <f t="shared" ref="G345:G374" si="314">(F345*E345)+E345</f>
        <v>4</v>
      </c>
      <c r="H345" s="67" t="s">
        <v>73</v>
      </c>
      <c r="I345" s="140">
        <v>0.02</v>
      </c>
      <c r="J345" s="141">
        <f t="shared" ref="J345:J374" si="315">+I345*G345</f>
        <v>0.08</v>
      </c>
      <c r="K345" s="142">
        <f>'LABOR SHEET'!C$3</f>
        <v>128</v>
      </c>
      <c r="L345" s="143">
        <f t="shared" ref="L345:L374" si="316">I345*K345</f>
        <v>2.56</v>
      </c>
      <c r="M345" s="143">
        <f t="shared" ref="M345:M374" si="317">K345*J345</f>
        <v>10.24</v>
      </c>
      <c r="N345" s="143">
        <v>2.38</v>
      </c>
      <c r="O345" s="143">
        <f t="shared" ref="O345:O374" si="318">N345*G345</f>
        <v>9.52</v>
      </c>
      <c r="P345" s="143">
        <f t="shared" ref="P345:P374" si="319">(I345*K345)+N345</f>
        <v>4.94</v>
      </c>
      <c r="Q345" s="178">
        <f t="shared" ref="Q345:Q374" si="320">P345*G345</f>
        <v>19.76</v>
      </c>
      <c r="R345" s="181"/>
      <c r="S345" s="181"/>
      <c r="T345" s="181"/>
      <c r="U345" s="181"/>
      <c r="V345" s="181"/>
      <c r="W345" s="181"/>
      <c r="X345" s="181"/>
      <c r="Y345" s="181"/>
      <c r="Z345" s="181"/>
      <c r="AA345" s="181"/>
      <c r="AB345" s="181"/>
      <c r="AC345" s="181"/>
      <c r="AD345" s="181"/>
      <c r="AE345" s="181"/>
      <c r="AF345" s="181"/>
      <c r="AG345" s="181"/>
      <c r="AH345" s="181"/>
      <c r="AI345" s="181"/>
      <c r="AJ345" s="181"/>
    </row>
    <row r="346" s="32" customFormat="1" spans="1:36">
      <c r="A346" s="91">
        <f>IF(F346&lt;&gt;"",1+MAX($A$2:A345),"")</f>
        <v>276</v>
      </c>
      <c r="B346" s="92"/>
      <c r="C346" s="93"/>
      <c r="D346" s="66" t="s">
        <v>334</v>
      </c>
      <c r="E346" s="69">
        <v>8</v>
      </c>
      <c r="F346" s="68">
        <v>0</v>
      </c>
      <c r="G346" s="63">
        <f t="shared" si="314"/>
        <v>8</v>
      </c>
      <c r="H346" s="67" t="s">
        <v>73</v>
      </c>
      <c r="I346" s="140">
        <v>0.02</v>
      </c>
      <c r="J346" s="141">
        <f t="shared" si="315"/>
        <v>0.16</v>
      </c>
      <c r="K346" s="142">
        <f>'LABOR SHEET'!C$3</f>
        <v>128</v>
      </c>
      <c r="L346" s="143">
        <f t="shared" si="316"/>
        <v>2.56</v>
      </c>
      <c r="M346" s="143">
        <f t="shared" si="317"/>
        <v>20.48</v>
      </c>
      <c r="N346" s="143">
        <v>2.38</v>
      </c>
      <c r="O346" s="143">
        <f t="shared" si="318"/>
        <v>19.04</v>
      </c>
      <c r="P346" s="143">
        <f t="shared" si="319"/>
        <v>4.94</v>
      </c>
      <c r="Q346" s="178">
        <f t="shared" si="320"/>
        <v>39.52</v>
      </c>
      <c r="R346" s="181"/>
      <c r="S346" s="181"/>
      <c r="T346" s="181"/>
      <c r="U346" s="181"/>
      <c r="V346" s="181"/>
      <c r="W346" s="181"/>
      <c r="X346" s="181"/>
      <c r="Y346" s="181"/>
      <c r="Z346" s="181"/>
      <c r="AA346" s="181"/>
      <c r="AB346" s="181"/>
      <c r="AC346" s="181"/>
      <c r="AD346" s="181"/>
      <c r="AE346" s="181"/>
      <c r="AF346" s="181"/>
      <c r="AG346" s="181"/>
      <c r="AH346" s="181"/>
      <c r="AI346" s="181"/>
      <c r="AJ346" s="181"/>
    </row>
    <row r="347" s="32" customFormat="1" spans="1:36">
      <c r="A347" s="91">
        <f>IF(F347&lt;&gt;"",1+MAX($A$2:A346),"")</f>
        <v>277</v>
      </c>
      <c r="B347" s="92"/>
      <c r="C347" s="93"/>
      <c r="D347" s="66" t="s">
        <v>335</v>
      </c>
      <c r="E347" s="69">
        <v>1</v>
      </c>
      <c r="F347" s="68">
        <v>0</v>
      </c>
      <c r="G347" s="63">
        <f t="shared" si="314"/>
        <v>1</v>
      </c>
      <c r="H347" s="67" t="s">
        <v>73</v>
      </c>
      <c r="I347" s="140">
        <v>0.03</v>
      </c>
      <c r="J347" s="141">
        <f t="shared" si="315"/>
        <v>0.03</v>
      </c>
      <c r="K347" s="142">
        <f>'LABOR SHEET'!C$3</f>
        <v>128</v>
      </c>
      <c r="L347" s="143">
        <f t="shared" si="316"/>
        <v>3.84</v>
      </c>
      <c r="M347" s="143">
        <f t="shared" si="317"/>
        <v>3.84</v>
      </c>
      <c r="N347" s="143">
        <v>10.32</v>
      </c>
      <c r="O347" s="143">
        <f t="shared" si="318"/>
        <v>10.32</v>
      </c>
      <c r="P347" s="143">
        <f t="shared" si="319"/>
        <v>14.16</v>
      </c>
      <c r="Q347" s="178">
        <f t="shared" si="320"/>
        <v>14.16</v>
      </c>
      <c r="R347" s="181"/>
      <c r="S347" s="181"/>
      <c r="T347" s="181"/>
      <c r="U347" s="181"/>
      <c r="V347" s="181"/>
      <c r="W347" s="181"/>
      <c r="X347" s="181"/>
      <c r="Y347" s="181"/>
      <c r="Z347" s="181"/>
      <c r="AA347" s="181"/>
      <c r="AB347" s="181"/>
      <c r="AC347" s="181"/>
      <c r="AD347" s="181"/>
      <c r="AE347" s="181"/>
      <c r="AF347" s="181"/>
      <c r="AG347" s="181"/>
      <c r="AH347" s="181"/>
      <c r="AI347" s="181"/>
      <c r="AJ347" s="181"/>
    </row>
    <row r="348" s="32" customFormat="1" spans="1:36">
      <c r="A348" s="91">
        <f>IF(F348&lt;&gt;"",1+MAX($A$2:A347),"")</f>
        <v>278</v>
      </c>
      <c r="B348" s="92"/>
      <c r="C348" s="93"/>
      <c r="D348" s="66" t="s">
        <v>336</v>
      </c>
      <c r="E348" s="69">
        <v>1</v>
      </c>
      <c r="F348" s="68">
        <v>0</v>
      </c>
      <c r="G348" s="63">
        <f t="shared" si="314"/>
        <v>1</v>
      </c>
      <c r="H348" s="67" t="s">
        <v>73</v>
      </c>
      <c r="I348" s="140">
        <v>0.5</v>
      </c>
      <c r="J348" s="141">
        <f t="shared" si="315"/>
        <v>0.5</v>
      </c>
      <c r="K348" s="142">
        <f>'LABOR SHEET'!C$3</f>
        <v>128</v>
      </c>
      <c r="L348" s="143">
        <f t="shared" si="316"/>
        <v>64</v>
      </c>
      <c r="M348" s="143">
        <f t="shared" si="317"/>
        <v>64</v>
      </c>
      <c r="N348" s="143">
        <v>69.9</v>
      </c>
      <c r="O348" s="143">
        <f t="shared" si="318"/>
        <v>69.9</v>
      </c>
      <c r="P348" s="143">
        <f t="shared" si="319"/>
        <v>133.9</v>
      </c>
      <c r="Q348" s="178">
        <f t="shared" si="320"/>
        <v>133.9</v>
      </c>
      <c r="R348" s="181"/>
      <c r="S348" s="181"/>
      <c r="T348" s="181"/>
      <c r="U348" s="181"/>
      <c r="V348" s="181"/>
      <c r="W348" s="181"/>
      <c r="X348" s="181"/>
      <c r="Y348" s="181"/>
      <c r="Z348" s="181"/>
      <c r="AA348" s="181"/>
      <c r="AB348" s="181"/>
      <c r="AC348" s="181"/>
      <c r="AD348" s="181"/>
      <c r="AE348" s="181"/>
      <c r="AF348" s="181"/>
      <c r="AG348" s="181"/>
      <c r="AH348" s="181"/>
      <c r="AI348" s="181"/>
      <c r="AJ348" s="181"/>
    </row>
    <row r="349" s="32" customFormat="1" ht="31.5" spans="1:36">
      <c r="A349" s="91">
        <f>IF(F349&lt;&gt;"",1+MAX($A$2:A348),"")</f>
        <v>279</v>
      </c>
      <c r="B349" s="92"/>
      <c r="C349" s="93"/>
      <c r="D349" s="66" t="s">
        <v>337</v>
      </c>
      <c r="E349" s="69">
        <v>1</v>
      </c>
      <c r="F349" s="68">
        <v>0</v>
      </c>
      <c r="G349" s="63">
        <f t="shared" si="314"/>
        <v>1</v>
      </c>
      <c r="H349" s="67" t="s">
        <v>73</v>
      </c>
      <c r="I349" s="140">
        <v>0.6</v>
      </c>
      <c r="J349" s="141">
        <f t="shared" si="315"/>
        <v>0.6</v>
      </c>
      <c r="K349" s="142">
        <f>'LABOR SHEET'!C$3</f>
        <v>128</v>
      </c>
      <c r="L349" s="143">
        <f t="shared" si="316"/>
        <v>76.8</v>
      </c>
      <c r="M349" s="143">
        <f t="shared" si="317"/>
        <v>76.8</v>
      </c>
      <c r="N349" s="143">
        <v>132.95</v>
      </c>
      <c r="O349" s="143">
        <f t="shared" si="318"/>
        <v>132.95</v>
      </c>
      <c r="P349" s="143">
        <f t="shared" si="319"/>
        <v>209.75</v>
      </c>
      <c r="Q349" s="178">
        <f t="shared" si="320"/>
        <v>209.75</v>
      </c>
      <c r="R349" s="181"/>
      <c r="S349" s="181"/>
      <c r="T349" s="181"/>
      <c r="U349" s="181"/>
      <c r="V349" s="181"/>
      <c r="W349" s="181"/>
      <c r="X349" s="181"/>
      <c r="Y349" s="181"/>
      <c r="Z349" s="181"/>
      <c r="AA349" s="181"/>
      <c r="AB349" s="181"/>
      <c r="AC349" s="181"/>
      <c r="AD349" s="181"/>
      <c r="AE349" s="181"/>
      <c r="AF349" s="181"/>
      <c r="AG349" s="181"/>
      <c r="AH349" s="181"/>
      <c r="AI349" s="181"/>
      <c r="AJ349" s="181"/>
    </row>
    <row r="350" s="32" customFormat="1" ht="31.5" spans="1:36">
      <c r="A350" s="91">
        <f>IF(F350&lt;&gt;"",1+MAX($A$2:A349),"")</f>
        <v>280</v>
      </c>
      <c r="B350" s="92"/>
      <c r="C350" s="93"/>
      <c r="D350" s="66" t="s">
        <v>338</v>
      </c>
      <c r="E350" s="69">
        <v>5</v>
      </c>
      <c r="F350" s="68">
        <v>0</v>
      </c>
      <c r="G350" s="63">
        <f t="shared" si="314"/>
        <v>5</v>
      </c>
      <c r="H350" s="67" t="s">
        <v>73</v>
      </c>
      <c r="I350" s="140">
        <v>0.55</v>
      </c>
      <c r="J350" s="141">
        <f t="shared" si="315"/>
        <v>2.75</v>
      </c>
      <c r="K350" s="142">
        <f>'LABOR SHEET'!C$3</f>
        <v>128</v>
      </c>
      <c r="L350" s="143">
        <f t="shared" si="316"/>
        <v>70.4</v>
      </c>
      <c r="M350" s="143">
        <f t="shared" si="317"/>
        <v>352</v>
      </c>
      <c r="N350" s="143">
        <v>69.95</v>
      </c>
      <c r="O350" s="143">
        <f t="shared" si="318"/>
        <v>349.75</v>
      </c>
      <c r="P350" s="143">
        <f t="shared" si="319"/>
        <v>140.35</v>
      </c>
      <c r="Q350" s="178">
        <f t="shared" si="320"/>
        <v>701.75</v>
      </c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81"/>
      <c r="AJ350" s="181"/>
    </row>
    <row r="351" s="32" customFormat="1" ht="31.5" spans="1:36">
      <c r="A351" s="91">
        <f>IF(F351&lt;&gt;"",1+MAX($A$2:A350),"")</f>
        <v>281</v>
      </c>
      <c r="B351" s="92"/>
      <c r="C351" s="93"/>
      <c r="D351" s="66" t="s">
        <v>339</v>
      </c>
      <c r="E351" s="69">
        <v>1</v>
      </c>
      <c r="F351" s="68">
        <v>0</v>
      </c>
      <c r="G351" s="63">
        <f t="shared" si="314"/>
        <v>1</v>
      </c>
      <c r="H351" s="67" t="s">
        <v>73</v>
      </c>
      <c r="I351" s="140">
        <v>1.5</v>
      </c>
      <c r="J351" s="141">
        <f t="shared" si="315"/>
        <v>1.5</v>
      </c>
      <c r="K351" s="142">
        <f>'LABOR SHEET'!C$3</f>
        <v>128</v>
      </c>
      <c r="L351" s="143">
        <f t="shared" si="316"/>
        <v>192</v>
      </c>
      <c r="M351" s="143">
        <f t="shared" si="317"/>
        <v>192</v>
      </c>
      <c r="N351" s="143">
        <v>335.99</v>
      </c>
      <c r="O351" s="143">
        <f t="shared" si="318"/>
        <v>335.99</v>
      </c>
      <c r="P351" s="143">
        <f t="shared" si="319"/>
        <v>527.99</v>
      </c>
      <c r="Q351" s="178">
        <f t="shared" si="320"/>
        <v>527.99</v>
      </c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81"/>
      <c r="AJ351" s="181"/>
    </row>
    <row r="352" s="32" customFormat="1" ht="31.5" spans="1:36">
      <c r="A352" s="91">
        <f>IF(F352&lt;&gt;"",1+MAX($A$2:A351),"")</f>
        <v>282</v>
      </c>
      <c r="B352" s="92"/>
      <c r="C352" s="93"/>
      <c r="D352" s="66" t="s">
        <v>340</v>
      </c>
      <c r="E352" s="69">
        <v>1</v>
      </c>
      <c r="F352" s="68">
        <v>0</v>
      </c>
      <c r="G352" s="63">
        <f t="shared" si="314"/>
        <v>1</v>
      </c>
      <c r="H352" s="67" t="s">
        <v>73</v>
      </c>
      <c r="I352" s="140">
        <v>2</v>
      </c>
      <c r="J352" s="141">
        <f t="shared" si="315"/>
        <v>2</v>
      </c>
      <c r="K352" s="142">
        <f>'LABOR SHEET'!C$3</f>
        <v>128</v>
      </c>
      <c r="L352" s="143">
        <f t="shared" si="316"/>
        <v>256</v>
      </c>
      <c r="M352" s="143">
        <f t="shared" si="317"/>
        <v>256</v>
      </c>
      <c r="N352" s="143">
        <v>679.99</v>
      </c>
      <c r="O352" s="143">
        <f t="shared" si="318"/>
        <v>679.99</v>
      </c>
      <c r="P352" s="143">
        <f t="shared" si="319"/>
        <v>935.99</v>
      </c>
      <c r="Q352" s="178">
        <f t="shared" si="320"/>
        <v>935.99</v>
      </c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81"/>
      <c r="AJ352" s="181"/>
    </row>
    <row r="353" s="32" customFormat="1" ht="31.5" spans="1:36">
      <c r="A353" s="91">
        <f>IF(F353&lt;&gt;"",1+MAX($A$2:A352),"")</f>
        <v>283</v>
      </c>
      <c r="B353" s="92"/>
      <c r="C353" s="93"/>
      <c r="D353" s="66" t="s">
        <v>341</v>
      </c>
      <c r="E353" s="69">
        <v>1</v>
      </c>
      <c r="F353" s="68">
        <v>0</v>
      </c>
      <c r="G353" s="63">
        <f t="shared" si="314"/>
        <v>1</v>
      </c>
      <c r="H353" s="67" t="s">
        <v>73</v>
      </c>
      <c r="I353" s="140">
        <v>1.6</v>
      </c>
      <c r="J353" s="141">
        <f t="shared" si="315"/>
        <v>1.6</v>
      </c>
      <c r="K353" s="142">
        <f>'LABOR SHEET'!C$3</f>
        <v>128</v>
      </c>
      <c r="L353" s="143">
        <f t="shared" si="316"/>
        <v>204.8</v>
      </c>
      <c r="M353" s="143">
        <f t="shared" si="317"/>
        <v>204.8</v>
      </c>
      <c r="N353" s="143">
        <v>385.99</v>
      </c>
      <c r="O353" s="143">
        <f t="shared" si="318"/>
        <v>385.99</v>
      </c>
      <c r="P353" s="143">
        <f t="shared" si="319"/>
        <v>590.79</v>
      </c>
      <c r="Q353" s="178">
        <f t="shared" si="320"/>
        <v>590.79</v>
      </c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81"/>
      <c r="AJ353" s="181"/>
    </row>
    <row r="354" s="32" customFormat="1" ht="31.5" spans="1:36">
      <c r="A354" s="91">
        <f>IF(F354&lt;&gt;"",1+MAX($A$2:A353),"")</f>
        <v>284</v>
      </c>
      <c r="B354" s="92"/>
      <c r="C354" s="93"/>
      <c r="D354" s="66" t="s">
        <v>342</v>
      </c>
      <c r="E354" s="69">
        <v>1</v>
      </c>
      <c r="F354" s="68">
        <v>0</v>
      </c>
      <c r="G354" s="63">
        <f t="shared" si="314"/>
        <v>1</v>
      </c>
      <c r="H354" s="67" t="s">
        <v>73</v>
      </c>
      <c r="I354" s="140">
        <v>4.5</v>
      </c>
      <c r="J354" s="141">
        <f t="shared" si="315"/>
        <v>4.5</v>
      </c>
      <c r="K354" s="142">
        <f>'LABOR SHEET'!C$3</f>
        <v>128</v>
      </c>
      <c r="L354" s="143">
        <f t="shared" si="316"/>
        <v>576</v>
      </c>
      <c r="M354" s="143">
        <f t="shared" si="317"/>
        <v>576</v>
      </c>
      <c r="N354" s="143">
        <v>3516.64</v>
      </c>
      <c r="O354" s="143">
        <f t="shared" si="318"/>
        <v>3516.64</v>
      </c>
      <c r="P354" s="143">
        <f t="shared" si="319"/>
        <v>4092.64</v>
      </c>
      <c r="Q354" s="178">
        <f t="shared" si="320"/>
        <v>4092.64</v>
      </c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81"/>
      <c r="AJ354" s="181"/>
    </row>
    <row r="355" s="32" customFormat="1" ht="31.5" spans="1:36">
      <c r="A355" s="91">
        <f>IF(F355&lt;&gt;"",1+MAX($A$2:A354),"")</f>
        <v>285</v>
      </c>
      <c r="B355" s="92"/>
      <c r="C355" s="93"/>
      <c r="D355" s="66" t="s">
        <v>343</v>
      </c>
      <c r="E355" s="69">
        <v>30</v>
      </c>
      <c r="F355" s="68">
        <v>0</v>
      </c>
      <c r="G355" s="63">
        <f t="shared" si="314"/>
        <v>30</v>
      </c>
      <c r="H355" s="67" t="s">
        <v>73</v>
      </c>
      <c r="I355" s="140">
        <v>0.4</v>
      </c>
      <c r="J355" s="141">
        <f t="shared" si="315"/>
        <v>12</v>
      </c>
      <c r="K355" s="142">
        <f>'LABOR SHEET'!C$3</f>
        <v>128</v>
      </c>
      <c r="L355" s="143">
        <f t="shared" si="316"/>
        <v>51.2</v>
      </c>
      <c r="M355" s="143">
        <f t="shared" si="317"/>
        <v>1536</v>
      </c>
      <c r="N355" s="143">
        <v>60.97</v>
      </c>
      <c r="O355" s="143">
        <f t="shared" si="318"/>
        <v>1829.1</v>
      </c>
      <c r="P355" s="143">
        <f t="shared" si="319"/>
        <v>112.17</v>
      </c>
      <c r="Q355" s="178">
        <f t="shared" si="320"/>
        <v>3365.1</v>
      </c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81"/>
      <c r="AJ355" s="181"/>
    </row>
    <row r="356" s="32" customFormat="1" spans="1:36">
      <c r="A356" s="91">
        <f>IF(F356&lt;&gt;"",1+MAX($A$2:A355),"")</f>
        <v>286</v>
      </c>
      <c r="B356" s="92"/>
      <c r="C356" s="93"/>
      <c r="D356" s="66" t="s">
        <v>344</v>
      </c>
      <c r="E356" s="69">
        <v>2</v>
      </c>
      <c r="F356" s="68">
        <v>0</v>
      </c>
      <c r="G356" s="63">
        <f t="shared" si="314"/>
        <v>2</v>
      </c>
      <c r="H356" s="67" t="s">
        <v>73</v>
      </c>
      <c r="I356" s="140">
        <v>0.35</v>
      </c>
      <c r="J356" s="141">
        <f t="shared" si="315"/>
        <v>0.7</v>
      </c>
      <c r="K356" s="142">
        <f>'LABOR SHEET'!C$3</f>
        <v>128</v>
      </c>
      <c r="L356" s="143">
        <f t="shared" si="316"/>
        <v>44.8</v>
      </c>
      <c r="M356" s="143">
        <f t="shared" si="317"/>
        <v>89.6</v>
      </c>
      <c r="N356" s="143">
        <v>48</v>
      </c>
      <c r="O356" s="143">
        <f t="shared" si="318"/>
        <v>96</v>
      </c>
      <c r="P356" s="143">
        <f t="shared" si="319"/>
        <v>92.8</v>
      </c>
      <c r="Q356" s="178">
        <f t="shared" si="320"/>
        <v>185.6</v>
      </c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81"/>
      <c r="AJ356" s="181"/>
    </row>
    <row r="357" s="32" customFormat="1" spans="1:36">
      <c r="A357" s="91">
        <f>IF(F357&lt;&gt;"",1+MAX($A$2:A356),"")</f>
        <v>287</v>
      </c>
      <c r="B357" s="92"/>
      <c r="C357" s="93"/>
      <c r="D357" s="66" t="s">
        <v>345</v>
      </c>
      <c r="E357" s="69">
        <v>1</v>
      </c>
      <c r="F357" s="68">
        <v>0</v>
      </c>
      <c r="G357" s="63">
        <f t="shared" si="314"/>
        <v>1</v>
      </c>
      <c r="H357" s="67" t="s">
        <v>73</v>
      </c>
      <c r="I357" s="140">
        <v>4.5</v>
      </c>
      <c r="J357" s="141">
        <f t="shared" si="315"/>
        <v>4.5</v>
      </c>
      <c r="K357" s="142">
        <f>'LABOR SHEET'!C$3</f>
        <v>128</v>
      </c>
      <c r="L357" s="143">
        <f t="shared" si="316"/>
        <v>576</v>
      </c>
      <c r="M357" s="143">
        <f t="shared" si="317"/>
        <v>576</v>
      </c>
      <c r="N357" s="143">
        <v>843.31</v>
      </c>
      <c r="O357" s="143">
        <f t="shared" si="318"/>
        <v>843.31</v>
      </c>
      <c r="P357" s="143">
        <f t="shared" si="319"/>
        <v>1419.31</v>
      </c>
      <c r="Q357" s="178">
        <f t="shared" si="320"/>
        <v>1419.31</v>
      </c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81"/>
      <c r="AJ357" s="181"/>
    </row>
    <row r="358" s="32" customFormat="1" spans="1:36">
      <c r="A358" s="91">
        <f>IF(F358&lt;&gt;"",1+MAX($A$2:A357),"")</f>
        <v>288</v>
      </c>
      <c r="B358" s="92"/>
      <c r="C358" s="93"/>
      <c r="D358" s="66" t="s">
        <v>346</v>
      </c>
      <c r="E358" s="69">
        <v>30</v>
      </c>
      <c r="F358" s="68">
        <v>0</v>
      </c>
      <c r="G358" s="63">
        <f t="shared" si="314"/>
        <v>30</v>
      </c>
      <c r="H358" s="67" t="s">
        <v>73</v>
      </c>
      <c r="I358" s="140">
        <v>0.1</v>
      </c>
      <c r="J358" s="141">
        <f t="shared" si="315"/>
        <v>3</v>
      </c>
      <c r="K358" s="142">
        <f>'LABOR SHEET'!C$3</f>
        <v>128</v>
      </c>
      <c r="L358" s="143">
        <f t="shared" si="316"/>
        <v>12.8</v>
      </c>
      <c r="M358" s="143">
        <f t="shared" si="317"/>
        <v>384</v>
      </c>
      <c r="N358" s="143">
        <v>10.09</v>
      </c>
      <c r="O358" s="143">
        <f t="shared" si="318"/>
        <v>302.7</v>
      </c>
      <c r="P358" s="143">
        <f t="shared" si="319"/>
        <v>22.89</v>
      </c>
      <c r="Q358" s="178">
        <f t="shared" si="320"/>
        <v>686.7</v>
      </c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81"/>
      <c r="AJ358" s="181"/>
    </row>
    <row r="359" s="32" customFormat="1" ht="31.5" spans="1:36">
      <c r="A359" s="91">
        <f>IF(F359&lt;&gt;"",1+MAX($A$2:A358),"")</f>
        <v>289</v>
      </c>
      <c r="B359" s="92"/>
      <c r="C359" s="93"/>
      <c r="D359" s="66" t="s">
        <v>347</v>
      </c>
      <c r="E359" s="69">
        <v>1</v>
      </c>
      <c r="F359" s="68">
        <v>0</v>
      </c>
      <c r="G359" s="63">
        <f t="shared" si="314"/>
        <v>1</v>
      </c>
      <c r="H359" s="67" t="s">
        <v>73</v>
      </c>
      <c r="I359" s="140">
        <v>1.5</v>
      </c>
      <c r="J359" s="141">
        <f t="shared" si="315"/>
        <v>1.5</v>
      </c>
      <c r="K359" s="142">
        <f>'LABOR SHEET'!C$3</f>
        <v>128</v>
      </c>
      <c r="L359" s="143">
        <f t="shared" si="316"/>
        <v>192</v>
      </c>
      <c r="M359" s="143">
        <f t="shared" si="317"/>
        <v>192</v>
      </c>
      <c r="N359" s="143">
        <v>201.48</v>
      </c>
      <c r="O359" s="143">
        <f t="shared" si="318"/>
        <v>201.48</v>
      </c>
      <c r="P359" s="143">
        <f t="shared" si="319"/>
        <v>393.48</v>
      </c>
      <c r="Q359" s="178">
        <f t="shared" si="320"/>
        <v>393.48</v>
      </c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81"/>
      <c r="AJ359" s="181"/>
    </row>
    <row r="360" s="32" customFormat="1" spans="1:36">
      <c r="A360" s="91">
        <f>IF(F360&lt;&gt;"",1+MAX($A$2:A359),"")</f>
        <v>290</v>
      </c>
      <c r="B360" s="92"/>
      <c r="C360" s="93"/>
      <c r="D360" s="66" t="s">
        <v>74</v>
      </c>
      <c r="E360" s="69">
        <v>17</v>
      </c>
      <c r="F360" s="68">
        <v>0</v>
      </c>
      <c r="G360" s="63">
        <f t="shared" si="314"/>
        <v>17</v>
      </c>
      <c r="H360" s="67" t="s">
        <v>73</v>
      </c>
      <c r="I360" s="140">
        <v>0.25</v>
      </c>
      <c r="J360" s="141">
        <f t="shared" si="315"/>
        <v>4.25</v>
      </c>
      <c r="K360" s="142">
        <f>'LABOR SHEET'!C$3</f>
        <v>128</v>
      </c>
      <c r="L360" s="143">
        <f t="shared" si="316"/>
        <v>32</v>
      </c>
      <c r="M360" s="143">
        <f t="shared" si="317"/>
        <v>544</v>
      </c>
      <c r="N360" s="143">
        <v>20</v>
      </c>
      <c r="O360" s="143">
        <f t="shared" si="318"/>
        <v>340</v>
      </c>
      <c r="P360" s="143">
        <f t="shared" si="319"/>
        <v>52</v>
      </c>
      <c r="Q360" s="178">
        <f t="shared" si="320"/>
        <v>884</v>
      </c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81"/>
      <c r="AJ360" s="181"/>
    </row>
    <row r="361" s="32" customFormat="1" spans="1:36">
      <c r="A361" s="91">
        <f>IF(F361&lt;&gt;"",1+MAX($A$2:A360),"")</f>
        <v>291</v>
      </c>
      <c r="B361" s="92"/>
      <c r="C361" s="93"/>
      <c r="D361" s="66" t="s">
        <v>348</v>
      </c>
      <c r="E361" s="69">
        <v>1</v>
      </c>
      <c r="F361" s="68">
        <v>0</v>
      </c>
      <c r="G361" s="63">
        <f t="shared" si="314"/>
        <v>1</v>
      </c>
      <c r="H361" s="67" t="s">
        <v>73</v>
      </c>
      <c r="I361" s="140">
        <v>1.55</v>
      </c>
      <c r="J361" s="141">
        <f t="shared" si="315"/>
        <v>1.55</v>
      </c>
      <c r="K361" s="142">
        <f>'LABOR SHEET'!C$3</f>
        <v>128</v>
      </c>
      <c r="L361" s="143">
        <f t="shared" si="316"/>
        <v>198.4</v>
      </c>
      <c r="M361" s="143">
        <f t="shared" si="317"/>
        <v>198.4</v>
      </c>
      <c r="N361" s="143">
        <v>235</v>
      </c>
      <c r="O361" s="143">
        <f t="shared" si="318"/>
        <v>235</v>
      </c>
      <c r="P361" s="143">
        <f t="shared" si="319"/>
        <v>433.4</v>
      </c>
      <c r="Q361" s="178">
        <f t="shared" si="320"/>
        <v>433.4</v>
      </c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81"/>
      <c r="AJ361" s="181"/>
    </row>
    <row r="362" s="32" customFormat="1" spans="1:36">
      <c r="A362" s="91">
        <f>IF(F362&lt;&gt;"",1+MAX($A$2:A361),"")</f>
        <v>292</v>
      </c>
      <c r="B362" s="92"/>
      <c r="C362" s="93"/>
      <c r="D362" s="66" t="s">
        <v>349</v>
      </c>
      <c r="E362" s="69">
        <v>4</v>
      </c>
      <c r="F362" s="68">
        <v>0</v>
      </c>
      <c r="G362" s="63">
        <f t="shared" si="314"/>
        <v>4</v>
      </c>
      <c r="H362" s="67" t="s">
        <v>73</v>
      </c>
      <c r="I362" s="140">
        <v>0.7</v>
      </c>
      <c r="J362" s="141">
        <f t="shared" si="315"/>
        <v>2.8</v>
      </c>
      <c r="K362" s="142">
        <f>'LABOR SHEET'!C$3</f>
        <v>128</v>
      </c>
      <c r="L362" s="143">
        <f t="shared" si="316"/>
        <v>89.6</v>
      </c>
      <c r="M362" s="143">
        <f t="shared" si="317"/>
        <v>358.4</v>
      </c>
      <c r="N362" s="143">
        <v>86</v>
      </c>
      <c r="O362" s="143">
        <f t="shared" si="318"/>
        <v>344</v>
      </c>
      <c r="P362" s="143">
        <f t="shared" si="319"/>
        <v>175.6</v>
      </c>
      <c r="Q362" s="178">
        <f t="shared" si="320"/>
        <v>702.4</v>
      </c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81"/>
      <c r="AJ362" s="181"/>
    </row>
    <row r="363" s="32" customFormat="1" ht="63" spans="1:36">
      <c r="A363" s="91">
        <f>IF(F363&lt;&gt;"",1+MAX($A$2:A362),"")</f>
        <v>293</v>
      </c>
      <c r="B363" s="92"/>
      <c r="C363" s="93"/>
      <c r="D363" s="66" t="s">
        <v>350</v>
      </c>
      <c r="E363" s="69">
        <v>1</v>
      </c>
      <c r="F363" s="68">
        <v>0</v>
      </c>
      <c r="G363" s="63">
        <f t="shared" si="314"/>
        <v>1</v>
      </c>
      <c r="H363" s="67" t="s">
        <v>73</v>
      </c>
      <c r="I363" s="140">
        <v>5.5</v>
      </c>
      <c r="J363" s="141">
        <f t="shared" si="315"/>
        <v>5.5</v>
      </c>
      <c r="K363" s="142">
        <f>'LABOR SHEET'!C$3</f>
        <v>128</v>
      </c>
      <c r="L363" s="143">
        <f t="shared" si="316"/>
        <v>704</v>
      </c>
      <c r="M363" s="143">
        <f t="shared" si="317"/>
        <v>704</v>
      </c>
      <c r="N363" s="143">
        <v>2641.17</v>
      </c>
      <c r="O363" s="143">
        <f t="shared" si="318"/>
        <v>2641.17</v>
      </c>
      <c r="P363" s="143">
        <f t="shared" si="319"/>
        <v>3345.17</v>
      </c>
      <c r="Q363" s="178">
        <f t="shared" si="320"/>
        <v>3345.17</v>
      </c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81"/>
      <c r="AJ363" s="181"/>
    </row>
    <row r="364" s="32" customFormat="1" spans="1:36">
      <c r="A364" s="91">
        <f>IF(F364&lt;&gt;"",1+MAX($A$2:A363),"")</f>
        <v>294</v>
      </c>
      <c r="B364" s="92"/>
      <c r="C364" s="93"/>
      <c r="D364" s="66" t="s">
        <v>351</v>
      </c>
      <c r="E364" s="69">
        <v>6</v>
      </c>
      <c r="F364" s="68">
        <v>0</v>
      </c>
      <c r="G364" s="63">
        <f t="shared" si="314"/>
        <v>6</v>
      </c>
      <c r="H364" s="67" t="s">
        <v>73</v>
      </c>
      <c r="I364" s="140">
        <v>0.55</v>
      </c>
      <c r="J364" s="141">
        <f t="shared" si="315"/>
        <v>3.3</v>
      </c>
      <c r="K364" s="142">
        <f>'LABOR SHEET'!C$3</f>
        <v>128</v>
      </c>
      <c r="L364" s="143">
        <f t="shared" si="316"/>
        <v>70.4</v>
      </c>
      <c r="M364" s="143">
        <f t="shared" si="317"/>
        <v>422.4</v>
      </c>
      <c r="N364" s="143">
        <v>50.95</v>
      </c>
      <c r="O364" s="143">
        <f t="shared" si="318"/>
        <v>305.7</v>
      </c>
      <c r="P364" s="143">
        <f t="shared" si="319"/>
        <v>121.35</v>
      </c>
      <c r="Q364" s="178">
        <f t="shared" si="320"/>
        <v>728.1</v>
      </c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81"/>
      <c r="AJ364" s="181"/>
    </row>
    <row r="365" s="32" customFormat="1" ht="31.5" spans="1:36">
      <c r="A365" s="91">
        <f>IF(F365&lt;&gt;"",1+MAX($A$2:A364),"")</f>
        <v>295</v>
      </c>
      <c r="B365" s="92"/>
      <c r="C365" s="93"/>
      <c r="D365" s="66" t="s">
        <v>352</v>
      </c>
      <c r="E365" s="69">
        <v>1</v>
      </c>
      <c r="F365" s="68">
        <v>0</v>
      </c>
      <c r="G365" s="63">
        <f t="shared" si="314"/>
        <v>1</v>
      </c>
      <c r="H365" s="67" t="s">
        <v>73</v>
      </c>
      <c r="I365" s="140">
        <v>1</v>
      </c>
      <c r="J365" s="141">
        <f t="shared" si="315"/>
        <v>1</v>
      </c>
      <c r="K365" s="142">
        <f>'LABOR SHEET'!C$3</f>
        <v>128</v>
      </c>
      <c r="L365" s="143">
        <f t="shared" si="316"/>
        <v>128</v>
      </c>
      <c r="M365" s="143">
        <f t="shared" si="317"/>
        <v>128</v>
      </c>
      <c r="N365" s="143">
        <v>383.86</v>
      </c>
      <c r="O365" s="143">
        <f t="shared" si="318"/>
        <v>383.86</v>
      </c>
      <c r="P365" s="143">
        <f t="shared" si="319"/>
        <v>511.86</v>
      </c>
      <c r="Q365" s="178">
        <f t="shared" si="320"/>
        <v>511.86</v>
      </c>
      <c r="R365" s="181"/>
      <c r="S365" s="181"/>
      <c r="T365" s="181"/>
      <c r="U365" s="181"/>
      <c r="V365" s="181"/>
      <c r="W365" s="181"/>
      <c r="X365" s="181"/>
      <c r="Y365" s="181"/>
      <c r="Z365" s="181"/>
      <c r="AA365" s="181"/>
      <c r="AB365" s="181"/>
      <c r="AC365" s="181"/>
      <c r="AD365" s="181"/>
      <c r="AE365" s="181"/>
      <c r="AF365" s="181"/>
      <c r="AG365" s="181"/>
      <c r="AH365" s="181"/>
      <c r="AI365" s="181"/>
      <c r="AJ365" s="181"/>
    </row>
    <row r="366" s="32" customFormat="1" ht="31.5" spans="1:36">
      <c r="A366" s="91">
        <f>IF(F366&lt;&gt;"",1+MAX($A$2:A365),"")</f>
        <v>296</v>
      </c>
      <c r="B366" s="92"/>
      <c r="C366" s="93"/>
      <c r="D366" s="66" t="s">
        <v>353</v>
      </c>
      <c r="E366" s="69">
        <v>1</v>
      </c>
      <c r="F366" s="68">
        <v>0</v>
      </c>
      <c r="G366" s="63">
        <f t="shared" si="314"/>
        <v>1</v>
      </c>
      <c r="H366" s="67" t="s">
        <v>73</v>
      </c>
      <c r="I366" s="140">
        <v>4</v>
      </c>
      <c r="J366" s="141">
        <f t="shared" si="315"/>
        <v>4</v>
      </c>
      <c r="K366" s="142">
        <f>'LABOR SHEET'!C$3</f>
        <v>128</v>
      </c>
      <c r="L366" s="143">
        <f t="shared" si="316"/>
        <v>512</v>
      </c>
      <c r="M366" s="143">
        <f t="shared" si="317"/>
        <v>512</v>
      </c>
      <c r="N366" s="143">
        <v>1832.53</v>
      </c>
      <c r="O366" s="143">
        <f t="shared" si="318"/>
        <v>1832.53</v>
      </c>
      <c r="P366" s="143">
        <f t="shared" si="319"/>
        <v>2344.53</v>
      </c>
      <c r="Q366" s="178">
        <f t="shared" si="320"/>
        <v>2344.53</v>
      </c>
      <c r="R366" s="181"/>
      <c r="S366" s="181"/>
      <c r="T366" s="181"/>
      <c r="U366" s="181"/>
      <c r="V366" s="181"/>
      <c r="W366" s="181"/>
      <c r="X366" s="181"/>
      <c r="Y366" s="181"/>
      <c r="Z366" s="181"/>
      <c r="AA366" s="181"/>
      <c r="AB366" s="181"/>
      <c r="AC366" s="181"/>
      <c r="AD366" s="181"/>
      <c r="AE366" s="181"/>
      <c r="AF366" s="181"/>
      <c r="AG366" s="181"/>
      <c r="AH366" s="181"/>
      <c r="AI366" s="181"/>
      <c r="AJ366" s="181"/>
    </row>
    <row r="367" s="32" customFormat="1" ht="31.5" spans="1:36">
      <c r="A367" s="91">
        <f>IF(F367&lt;&gt;"",1+MAX($A$2:A366),"")</f>
        <v>297</v>
      </c>
      <c r="B367" s="92"/>
      <c r="C367" s="93"/>
      <c r="D367" s="66" t="s">
        <v>354</v>
      </c>
      <c r="E367" s="69">
        <v>1</v>
      </c>
      <c r="F367" s="68">
        <v>0</v>
      </c>
      <c r="G367" s="63">
        <f t="shared" si="314"/>
        <v>1</v>
      </c>
      <c r="H367" s="67" t="s">
        <v>73</v>
      </c>
      <c r="I367" s="140">
        <v>4</v>
      </c>
      <c r="J367" s="141">
        <f t="shared" si="315"/>
        <v>4</v>
      </c>
      <c r="K367" s="142">
        <f>'LABOR SHEET'!C$3</f>
        <v>128</v>
      </c>
      <c r="L367" s="143">
        <f t="shared" si="316"/>
        <v>512</v>
      </c>
      <c r="M367" s="143">
        <f t="shared" si="317"/>
        <v>512</v>
      </c>
      <c r="N367" s="143">
        <v>1832.53</v>
      </c>
      <c r="O367" s="143">
        <f t="shared" si="318"/>
        <v>1832.53</v>
      </c>
      <c r="P367" s="143">
        <f t="shared" si="319"/>
        <v>2344.53</v>
      </c>
      <c r="Q367" s="178">
        <f t="shared" si="320"/>
        <v>2344.53</v>
      </c>
      <c r="R367" s="181"/>
      <c r="S367" s="181"/>
      <c r="T367" s="181"/>
      <c r="U367" s="181"/>
      <c r="V367" s="181"/>
      <c r="W367" s="181"/>
      <c r="X367" s="181"/>
      <c r="Y367" s="181"/>
      <c r="Z367" s="181"/>
      <c r="AA367" s="181"/>
      <c r="AB367" s="181"/>
      <c r="AC367" s="181"/>
      <c r="AD367" s="181"/>
      <c r="AE367" s="181"/>
      <c r="AF367" s="181"/>
      <c r="AG367" s="181"/>
      <c r="AH367" s="181"/>
      <c r="AI367" s="181"/>
      <c r="AJ367" s="181"/>
    </row>
    <row r="368" s="32" customFormat="1" spans="1:36">
      <c r="A368" s="91">
        <f>IF(F368&lt;&gt;"",1+MAX($A$2:A367),"")</f>
        <v>298</v>
      </c>
      <c r="B368" s="92"/>
      <c r="C368" s="93"/>
      <c r="D368" s="66" t="s">
        <v>355</v>
      </c>
      <c r="E368" s="69">
        <v>1</v>
      </c>
      <c r="F368" s="68">
        <v>0</v>
      </c>
      <c r="G368" s="63">
        <f t="shared" si="314"/>
        <v>1</v>
      </c>
      <c r="H368" s="67" t="s">
        <v>73</v>
      </c>
      <c r="I368" s="140">
        <v>10</v>
      </c>
      <c r="J368" s="141">
        <f t="shared" si="315"/>
        <v>10</v>
      </c>
      <c r="K368" s="142">
        <f>'LABOR SHEET'!C$3</f>
        <v>128</v>
      </c>
      <c r="L368" s="143">
        <f t="shared" si="316"/>
        <v>1280</v>
      </c>
      <c r="M368" s="143">
        <f t="shared" si="317"/>
        <v>1280</v>
      </c>
      <c r="N368" s="143">
        <v>4900</v>
      </c>
      <c r="O368" s="143">
        <f t="shared" si="318"/>
        <v>4900</v>
      </c>
      <c r="P368" s="143">
        <f t="shared" si="319"/>
        <v>6180</v>
      </c>
      <c r="Q368" s="178">
        <f t="shared" si="320"/>
        <v>6180</v>
      </c>
      <c r="R368" s="181"/>
      <c r="S368" s="181"/>
      <c r="T368" s="181"/>
      <c r="U368" s="181"/>
      <c r="V368" s="181"/>
      <c r="W368" s="181"/>
      <c r="X368" s="181"/>
      <c r="Y368" s="181"/>
      <c r="Z368" s="181"/>
      <c r="AA368" s="181"/>
      <c r="AB368" s="181"/>
      <c r="AC368" s="181"/>
      <c r="AD368" s="181"/>
      <c r="AE368" s="181"/>
      <c r="AF368" s="181"/>
      <c r="AG368" s="181"/>
      <c r="AH368" s="181"/>
      <c r="AI368" s="181"/>
      <c r="AJ368" s="181"/>
    </row>
    <row r="369" s="32" customFormat="1" ht="31.5" spans="1:36">
      <c r="A369" s="91">
        <f>IF(F369&lt;&gt;"",1+MAX($A$2:A368),"")</f>
        <v>299</v>
      </c>
      <c r="B369" s="92"/>
      <c r="C369" s="93"/>
      <c r="D369" s="66" t="s">
        <v>356</v>
      </c>
      <c r="E369" s="69">
        <v>1</v>
      </c>
      <c r="F369" s="68">
        <v>0</v>
      </c>
      <c r="G369" s="63">
        <f t="shared" si="314"/>
        <v>1</v>
      </c>
      <c r="H369" s="67" t="s">
        <v>73</v>
      </c>
      <c r="I369" s="140">
        <v>3.5</v>
      </c>
      <c r="J369" s="141">
        <f t="shared" si="315"/>
        <v>3.5</v>
      </c>
      <c r="K369" s="142">
        <f>'LABOR SHEET'!C$3</f>
        <v>128</v>
      </c>
      <c r="L369" s="143">
        <f t="shared" si="316"/>
        <v>448</v>
      </c>
      <c r="M369" s="143">
        <f t="shared" si="317"/>
        <v>448</v>
      </c>
      <c r="N369" s="143">
        <v>1099.95</v>
      </c>
      <c r="O369" s="143">
        <f t="shared" si="318"/>
        <v>1099.95</v>
      </c>
      <c r="P369" s="143">
        <f t="shared" si="319"/>
        <v>1547.95</v>
      </c>
      <c r="Q369" s="178">
        <f t="shared" si="320"/>
        <v>1547.95</v>
      </c>
      <c r="R369" s="181"/>
      <c r="S369" s="181"/>
      <c r="T369" s="181"/>
      <c r="U369" s="181"/>
      <c r="V369" s="181"/>
      <c r="W369" s="181"/>
      <c r="X369" s="181"/>
      <c r="Y369" s="181"/>
      <c r="Z369" s="181"/>
      <c r="AA369" s="181"/>
      <c r="AB369" s="181"/>
      <c r="AC369" s="181"/>
      <c r="AD369" s="181"/>
      <c r="AE369" s="181"/>
      <c r="AF369" s="181"/>
      <c r="AG369" s="181"/>
      <c r="AH369" s="181"/>
      <c r="AI369" s="181"/>
      <c r="AJ369" s="181"/>
    </row>
    <row r="370" s="32" customFormat="1" spans="1:36">
      <c r="A370" s="91">
        <f>IF(F370&lt;&gt;"",1+MAX($A$2:A369),"")</f>
        <v>300</v>
      </c>
      <c r="B370" s="92"/>
      <c r="C370" s="93"/>
      <c r="D370" s="66" t="s">
        <v>357</v>
      </c>
      <c r="E370" s="69">
        <v>1</v>
      </c>
      <c r="F370" s="68">
        <v>0</v>
      </c>
      <c r="G370" s="63">
        <f t="shared" si="314"/>
        <v>1</v>
      </c>
      <c r="H370" s="67" t="s">
        <v>73</v>
      </c>
      <c r="I370" s="140">
        <v>3</v>
      </c>
      <c r="J370" s="141">
        <f t="shared" si="315"/>
        <v>3</v>
      </c>
      <c r="K370" s="142">
        <f>'LABOR SHEET'!C$3</f>
        <v>128</v>
      </c>
      <c r="L370" s="143">
        <f t="shared" si="316"/>
        <v>384</v>
      </c>
      <c r="M370" s="143">
        <f t="shared" si="317"/>
        <v>384</v>
      </c>
      <c r="N370" s="143">
        <v>460</v>
      </c>
      <c r="O370" s="143">
        <f t="shared" si="318"/>
        <v>460</v>
      </c>
      <c r="P370" s="143">
        <f t="shared" si="319"/>
        <v>844</v>
      </c>
      <c r="Q370" s="178">
        <f t="shared" si="320"/>
        <v>844</v>
      </c>
      <c r="R370" s="181"/>
      <c r="S370" s="181"/>
      <c r="T370" s="181"/>
      <c r="U370" s="181"/>
      <c r="V370" s="181"/>
      <c r="W370" s="181"/>
      <c r="X370" s="181"/>
      <c r="Y370" s="181"/>
      <c r="Z370" s="181"/>
      <c r="AA370" s="181"/>
      <c r="AB370" s="181"/>
      <c r="AC370" s="181"/>
      <c r="AD370" s="181"/>
      <c r="AE370" s="181"/>
      <c r="AF370" s="181"/>
      <c r="AG370" s="181"/>
      <c r="AH370" s="181"/>
      <c r="AI370" s="181"/>
      <c r="AJ370" s="181"/>
    </row>
    <row r="371" s="32" customFormat="1" ht="31.5" spans="1:36">
      <c r="A371" s="91">
        <f>IF(F371&lt;&gt;"",1+MAX($A$2:A370),"")</f>
        <v>301</v>
      </c>
      <c r="B371" s="92"/>
      <c r="C371" s="93"/>
      <c r="D371" s="66" t="s">
        <v>358</v>
      </c>
      <c r="E371" s="69">
        <v>15</v>
      </c>
      <c r="F371" s="68">
        <v>0</v>
      </c>
      <c r="G371" s="63">
        <f t="shared" si="314"/>
        <v>15</v>
      </c>
      <c r="H371" s="67" t="s">
        <v>73</v>
      </c>
      <c r="I371" s="140">
        <v>1</v>
      </c>
      <c r="J371" s="141">
        <f t="shared" si="315"/>
        <v>15</v>
      </c>
      <c r="K371" s="142">
        <f>'LABOR SHEET'!C$3</f>
        <v>128</v>
      </c>
      <c r="L371" s="143">
        <f t="shared" si="316"/>
        <v>128</v>
      </c>
      <c r="M371" s="143">
        <f t="shared" si="317"/>
        <v>1920</v>
      </c>
      <c r="N371" s="143">
        <v>119.99</v>
      </c>
      <c r="O371" s="143">
        <f t="shared" si="318"/>
        <v>1799.85</v>
      </c>
      <c r="P371" s="143">
        <f t="shared" si="319"/>
        <v>247.99</v>
      </c>
      <c r="Q371" s="178">
        <f t="shared" si="320"/>
        <v>3719.85</v>
      </c>
      <c r="R371" s="181"/>
      <c r="S371" s="181"/>
      <c r="T371" s="181"/>
      <c r="U371" s="181"/>
      <c r="V371" s="181"/>
      <c r="W371" s="181"/>
      <c r="X371" s="181"/>
      <c r="Y371" s="181"/>
      <c r="Z371" s="181"/>
      <c r="AA371" s="181"/>
      <c r="AB371" s="181"/>
      <c r="AC371" s="181"/>
      <c r="AD371" s="181"/>
      <c r="AE371" s="181"/>
      <c r="AF371" s="181"/>
      <c r="AG371" s="181"/>
      <c r="AH371" s="181"/>
      <c r="AI371" s="181"/>
      <c r="AJ371" s="181"/>
    </row>
    <row r="372" s="32" customFormat="1" ht="31.5" spans="1:36">
      <c r="A372" s="91">
        <f>IF(F372&lt;&gt;"",1+MAX($A$2:A371),"")</f>
        <v>302</v>
      </c>
      <c r="B372" s="92"/>
      <c r="C372" s="93"/>
      <c r="D372" s="66" t="s">
        <v>359</v>
      </c>
      <c r="E372" s="69">
        <v>1</v>
      </c>
      <c r="F372" s="68">
        <v>0</v>
      </c>
      <c r="G372" s="63">
        <f t="shared" si="314"/>
        <v>1</v>
      </c>
      <c r="H372" s="67" t="s">
        <v>73</v>
      </c>
      <c r="I372" s="140">
        <v>1.5</v>
      </c>
      <c r="J372" s="141">
        <f t="shared" si="315"/>
        <v>1.5</v>
      </c>
      <c r="K372" s="142">
        <f>'LABOR SHEET'!C$3</f>
        <v>128</v>
      </c>
      <c r="L372" s="143">
        <f t="shared" si="316"/>
        <v>192</v>
      </c>
      <c r="M372" s="143">
        <f t="shared" si="317"/>
        <v>192</v>
      </c>
      <c r="N372" s="143">
        <v>474.95</v>
      </c>
      <c r="O372" s="143">
        <f t="shared" si="318"/>
        <v>474.95</v>
      </c>
      <c r="P372" s="143">
        <f t="shared" si="319"/>
        <v>666.95</v>
      </c>
      <c r="Q372" s="178">
        <f t="shared" si="320"/>
        <v>666.95</v>
      </c>
      <c r="R372" s="181"/>
      <c r="S372" s="181"/>
      <c r="T372" s="181"/>
      <c r="U372" s="181"/>
      <c r="V372" s="181"/>
      <c r="W372" s="181"/>
      <c r="X372" s="181"/>
      <c r="Y372" s="181"/>
      <c r="Z372" s="181"/>
      <c r="AA372" s="181"/>
      <c r="AB372" s="181"/>
      <c r="AC372" s="181"/>
      <c r="AD372" s="181"/>
      <c r="AE372" s="181"/>
      <c r="AF372" s="181"/>
      <c r="AG372" s="181"/>
      <c r="AH372" s="181"/>
      <c r="AI372" s="181"/>
      <c r="AJ372" s="181"/>
    </row>
    <row r="373" s="32" customFormat="1" ht="31.5" spans="1:36">
      <c r="A373" s="91">
        <f>IF(F373&lt;&gt;"",1+MAX($A$2:A372),"")</f>
        <v>303</v>
      </c>
      <c r="B373" s="92"/>
      <c r="C373" s="93"/>
      <c r="D373" s="66" t="s">
        <v>360</v>
      </c>
      <c r="E373" s="69">
        <v>1</v>
      </c>
      <c r="F373" s="68">
        <v>0</v>
      </c>
      <c r="G373" s="63">
        <f t="shared" si="314"/>
        <v>1</v>
      </c>
      <c r="H373" s="67" t="s">
        <v>73</v>
      </c>
      <c r="I373" s="140">
        <v>1.3</v>
      </c>
      <c r="J373" s="141">
        <f t="shared" si="315"/>
        <v>1.3</v>
      </c>
      <c r="K373" s="142">
        <f>'LABOR SHEET'!C$3</f>
        <v>128</v>
      </c>
      <c r="L373" s="143">
        <f t="shared" si="316"/>
        <v>166.4</v>
      </c>
      <c r="M373" s="143">
        <f t="shared" si="317"/>
        <v>166.4</v>
      </c>
      <c r="N373" s="143">
        <v>201.48</v>
      </c>
      <c r="O373" s="143">
        <f t="shared" si="318"/>
        <v>201.48</v>
      </c>
      <c r="P373" s="143">
        <f t="shared" si="319"/>
        <v>367.88</v>
      </c>
      <c r="Q373" s="178">
        <f t="shared" si="320"/>
        <v>367.88</v>
      </c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81"/>
      <c r="AJ373" s="181"/>
    </row>
    <row r="374" s="32" customFormat="1" spans="1:36">
      <c r="A374" s="91">
        <f>IF(F374&lt;&gt;"",1+MAX($A$2:A373),"")</f>
        <v>304</v>
      </c>
      <c r="B374" s="92"/>
      <c r="C374" s="93"/>
      <c r="D374" s="66" t="s">
        <v>361</v>
      </c>
      <c r="E374" s="69">
        <v>1</v>
      </c>
      <c r="F374" s="68">
        <v>0</v>
      </c>
      <c r="G374" s="63">
        <f t="shared" si="314"/>
        <v>1</v>
      </c>
      <c r="H374" s="67" t="s">
        <v>73</v>
      </c>
      <c r="I374" s="140">
        <v>5.5</v>
      </c>
      <c r="J374" s="141">
        <f t="shared" si="315"/>
        <v>5.5</v>
      </c>
      <c r="K374" s="142">
        <f>'LABOR SHEET'!C$3</f>
        <v>128</v>
      </c>
      <c r="L374" s="143">
        <f t="shared" si="316"/>
        <v>704</v>
      </c>
      <c r="M374" s="143">
        <f t="shared" si="317"/>
        <v>704</v>
      </c>
      <c r="N374" s="143">
        <v>1067</v>
      </c>
      <c r="O374" s="143">
        <f t="shared" si="318"/>
        <v>1067</v>
      </c>
      <c r="P374" s="143">
        <f t="shared" si="319"/>
        <v>1771</v>
      </c>
      <c r="Q374" s="178">
        <f t="shared" si="320"/>
        <v>1771</v>
      </c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81"/>
      <c r="AJ374" s="181"/>
    </row>
    <row r="375" s="32" customFormat="1" ht="16.5" spans="1:36">
      <c r="A375" s="91" t="str">
        <f>IF(F375&lt;&gt;"",1+MAX($A$2:A374),"")</f>
        <v/>
      </c>
      <c r="B375" s="92"/>
      <c r="C375" s="93"/>
      <c r="D375" s="66"/>
      <c r="E375" s="69"/>
      <c r="F375" s="94"/>
      <c r="G375" s="95"/>
      <c r="H375" s="67"/>
      <c r="I375" s="140"/>
      <c r="J375" s="141"/>
      <c r="K375" s="142"/>
      <c r="L375" s="143"/>
      <c r="M375" s="143"/>
      <c r="N375" s="143"/>
      <c r="O375" s="143"/>
      <c r="P375" s="143"/>
      <c r="Q375" s="179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81"/>
      <c r="AJ375" s="181"/>
    </row>
    <row r="376" s="32" customFormat="1" ht="16.5" spans="1:19">
      <c r="A376" s="91" t="str">
        <f>IF(F376&lt;&gt;"",1+MAX($A$2:A375),"")</f>
        <v/>
      </c>
      <c r="B376" s="92"/>
      <c r="C376" s="193"/>
      <c r="D376" s="79" t="s">
        <v>50</v>
      </c>
      <c r="E376" s="194"/>
      <c r="F376" s="194"/>
      <c r="G376" s="195"/>
      <c r="H376" s="194"/>
      <c r="I376" s="194"/>
      <c r="J376" s="201"/>
      <c r="K376" s="201"/>
      <c r="L376" s="202"/>
      <c r="M376" s="203"/>
      <c r="N376" s="202"/>
      <c r="O376" s="202"/>
      <c r="P376" s="204"/>
      <c r="Q376" s="173">
        <f>SUM(Q279:Q375)</f>
        <v>295042.386391</v>
      </c>
      <c r="S376" s="176"/>
    </row>
    <row r="377" s="29" customFormat="1" spans="1:18">
      <c r="A377" s="91" t="str">
        <f>IF(F377&lt;&gt;"",1+MAX($A$2:A376),"")</f>
        <v/>
      </c>
      <c r="B377" s="77"/>
      <c r="C377" s="78"/>
      <c r="D377" s="81"/>
      <c r="E377" s="81"/>
      <c r="F377" s="81"/>
      <c r="G377" s="81"/>
      <c r="H377" s="81"/>
      <c r="I377" s="81"/>
      <c r="J377" s="81"/>
      <c r="K377" s="81"/>
      <c r="L377" s="81"/>
      <c r="M377" s="81"/>
      <c r="N377" s="81"/>
      <c r="O377" s="81"/>
      <c r="P377" s="81"/>
      <c r="Q377" s="175"/>
      <c r="R377" s="174"/>
    </row>
    <row r="378" s="32" customFormat="1" spans="1:19">
      <c r="A378" s="82" t="str">
        <f>IF(F378&lt;&gt;"",1+MAX($A$2:A377),"")</f>
        <v/>
      </c>
      <c r="B378" s="55"/>
      <c r="C378" s="83">
        <v>28</v>
      </c>
      <c r="D378" s="57" t="s">
        <v>362</v>
      </c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191"/>
      <c r="S378" s="176"/>
    </row>
    <row r="379" s="32" customFormat="1" spans="1:36">
      <c r="A379" s="91" t="str">
        <f>IF(F379&lt;&gt;"",1+MAX($A$2:A378),"")</f>
        <v/>
      </c>
      <c r="B379" s="92"/>
      <c r="C379" s="93"/>
      <c r="D379" s="57" t="s">
        <v>363</v>
      </c>
      <c r="E379" s="69"/>
      <c r="F379" s="94"/>
      <c r="G379" s="95"/>
      <c r="H379" s="67"/>
      <c r="I379" s="140"/>
      <c r="J379" s="141"/>
      <c r="K379" s="142"/>
      <c r="L379" s="143"/>
      <c r="M379" s="143"/>
      <c r="N379" s="143"/>
      <c r="O379" s="143"/>
      <c r="P379" s="143"/>
      <c r="Q379" s="179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81"/>
      <c r="AJ379" s="181"/>
    </row>
    <row r="380" s="32" customFormat="1" spans="1:36">
      <c r="A380" s="91" t="str">
        <f>IF(F380&lt;&gt;"",1+MAX($A$2:A379),"")</f>
        <v/>
      </c>
      <c r="B380" s="92"/>
      <c r="C380" s="93"/>
      <c r="D380" s="87" t="s">
        <v>285</v>
      </c>
      <c r="E380" s="69"/>
      <c r="F380" s="94"/>
      <c r="G380" s="95"/>
      <c r="H380" s="67"/>
      <c r="I380" s="140"/>
      <c r="J380" s="141"/>
      <c r="K380" s="142"/>
      <c r="L380" s="143"/>
      <c r="M380" s="143"/>
      <c r="N380" s="143"/>
      <c r="O380" s="143"/>
      <c r="P380" s="143"/>
      <c r="Q380" s="179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81"/>
      <c r="AJ380" s="181"/>
    </row>
    <row r="381" s="32" customFormat="1" spans="1:36">
      <c r="A381" s="91">
        <f>IF(F381&lt;&gt;"",1+MAX($A$2:A380),"")</f>
        <v>305</v>
      </c>
      <c r="B381" s="92"/>
      <c r="C381" s="93"/>
      <c r="D381" s="66" t="s">
        <v>158</v>
      </c>
      <c r="E381" s="69">
        <v>1131.09</v>
      </c>
      <c r="F381" s="68">
        <v>0.05</v>
      </c>
      <c r="G381" s="63">
        <f t="shared" ref="G381:G385" si="321">(F381*E381)+E381</f>
        <v>1187.6445</v>
      </c>
      <c r="H381" s="67" t="s">
        <v>56</v>
      </c>
      <c r="I381" s="140">
        <v>0.05</v>
      </c>
      <c r="J381" s="141">
        <f t="shared" ref="J381" si="322">+I381*G381</f>
        <v>59.382225</v>
      </c>
      <c r="K381" s="142">
        <f>'LABOR SHEET'!C$3</f>
        <v>128</v>
      </c>
      <c r="L381" s="143">
        <f t="shared" ref="L381" si="323">I381*K381</f>
        <v>6.4</v>
      </c>
      <c r="M381" s="143">
        <f t="shared" ref="M381" si="324">K381*J381</f>
        <v>7600.9248</v>
      </c>
      <c r="N381" s="143">
        <f>11.46/10+0.25</f>
        <v>1.396</v>
      </c>
      <c r="O381" s="143">
        <f t="shared" ref="O381" si="325">N381*G381</f>
        <v>1657.951722</v>
      </c>
      <c r="P381" s="143">
        <f t="shared" ref="P381" si="326">(I381*K381)+N381</f>
        <v>7.796</v>
      </c>
      <c r="Q381" s="178">
        <f t="shared" ref="Q381" si="327">P381*G381</f>
        <v>9258.876522</v>
      </c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81"/>
      <c r="AJ381" s="181"/>
    </row>
    <row r="382" s="32" customFormat="1" spans="1:36">
      <c r="A382" s="91">
        <f>IF(F382&lt;&gt;"",1+MAX($A$2:A381),"")</f>
        <v>306</v>
      </c>
      <c r="B382" s="92"/>
      <c r="C382" s="93"/>
      <c r="D382" s="66" t="s">
        <v>159</v>
      </c>
      <c r="E382" s="69">
        <v>675</v>
      </c>
      <c r="F382" s="68">
        <v>0.05</v>
      </c>
      <c r="G382" s="63">
        <f t="shared" si="321"/>
        <v>708.75</v>
      </c>
      <c r="H382" s="67" t="s">
        <v>56</v>
      </c>
      <c r="I382" s="140">
        <v>0.035</v>
      </c>
      <c r="J382" s="141">
        <f t="shared" ref="J382" si="328">+I382*G382</f>
        <v>24.80625</v>
      </c>
      <c r="K382" s="142">
        <f>'LABOR SHEET'!C$3</f>
        <v>128</v>
      </c>
      <c r="L382" s="143">
        <f t="shared" ref="L382" si="329">I382*K382</f>
        <v>4.48</v>
      </c>
      <c r="M382" s="143">
        <f t="shared" ref="M382" si="330">K382*J382</f>
        <v>3175.2</v>
      </c>
      <c r="N382" s="143">
        <f>9.68/10+0.35</f>
        <v>1.318</v>
      </c>
      <c r="O382" s="143">
        <f t="shared" ref="O382" si="331">N382*G382</f>
        <v>934.1325</v>
      </c>
      <c r="P382" s="143">
        <f t="shared" ref="P382" si="332">(I382*K382)+N382</f>
        <v>5.798</v>
      </c>
      <c r="Q382" s="178">
        <f t="shared" ref="Q382" si="333">P382*G382</f>
        <v>4109.3325</v>
      </c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81"/>
      <c r="AJ382" s="181"/>
    </row>
    <row r="383" s="32" customFormat="1" spans="1:36">
      <c r="A383" s="91" t="str">
        <f>IF(F383&lt;&gt;"",1+MAX($A$2:A382),"")</f>
        <v/>
      </c>
      <c r="B383" s="92"/>
      <c r="C383" s="93"/>
      <c r="D383" s="66"/>
      <c r="E383" s="69"/>
      <c r="F383" s="94"/>
      <c r="G383" s="95"/>
      <c r="H383" s="67"/>
      <c r="I383" s="140"/>
      <c r="J383" s="141"/>
      <c r="K383" s="142"/>
      <c r="L383" s="143"/>
      <c r="M383" s="143"/>
      <c r="N383" s="143"/>
      <c r="O383" s="143"/>
      <c r="P383" s="143"/>
      <c r="Q383" s="179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81"/>
      <c r="AJ383" s="181"/>
    </row>
    <row r="384" s="32" customFormat="1" spans="1:36">
      <c r="A384" s="91" t="str">
        <f>IF(F384&lt;&gt;"",1+MAX($A$2:A383),"")</f>
        <v/>
      </c>
      <c r="B384" s="92"/>
      <c r="C384" s="93"/>
      <c r="D384" s="87" t="s">
        <v>286</v>
      </c>
      <c r="E384" s="69"/>
      <c r="F384" s="94"/>
      <c r="G384" s="95"/>
      <c r="H384" s="67"/>
      <c r="I384" s="140"/>
      <c r="J384" s="141"/>
      <c r="K384" s="142"/>
      <c r="L384" s="143"/>
      <c r="M384" s="143"/>
      <c r="N384" s="143"/>
      <c r="O384" s="143"/>
      <c r="P384" s="143"/>
      <c r="Q384" s="179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81"/>
      <c r="AJ384" s="181"/>
    </row>
    <row r="385" s="32" customFormat="1" spans="1:36">
      <c r="A385" s="91">
        <f>IF(F385&lt;&gt;"",1+MAX($A$2:A384),"")</f>
        <v>307</v>
      </c>
      <c r="B385" s="92"/>
      <c r="C385" s="93"/>
      <c r="D385" s="66" t="s">
        <v>290</v>
      </c>
      <c r="E385" s="69">
        <v>5171.21</v>
      </c>
      <c r="F385" s="68">
        <v>0.05</v>
      </c>
      <c r="G385" s="63">
        <f t="shared" si="321"/>
        <v>5429.7705</v>
      </c>
      <c r="H385" s="67" t="s">
        <v>56</v>
      </c>
      <c r="I385" s="140">
        <v>0.008</v>
      </c>
      <c r="J385" s="141">
        <f t="shared" ref="J385" si="334">+I385*G385</f>
        <v>43.438164</v>
      </c>
      <c r="K385" s="142">
        <f>'LABOR SHEET'!C$3</f>
        <v>128</v>
      </c>
      <c r="L385" s="143">
        <f t="shared" ref="L385" si="335">I385*K385</f>
        <v>1.024</v>
      </c>
      <c r="M385" s="143">
        <f t="shared" ref="M385" si="336">K385*J385</f>
        <v>5560.084992</v>
      </c>
      <c r="N385" s="143">
        <f>7.94/15</f>
        <v>0.529333333333333</v>
      </c>
      <c r="O385" s="143">
        <f t="shared" ref="O385" si="337">N385*G385</f>
        <v>2874.158518</v>
      </c>
      <c r="P385" s="143">
        <f t="shared" ref="P385" si="338">(I385*K385)+N385</f>
        <v>1.55333333333333</v>
      </c>
      <c r="Q385" s="178">
        <f t="shared" ref="Q385" si="339">P385*G385</f>
        <v>8434.24351</v>
      </c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81"/>
      <c r="AJ385" s="181"/>
    </row>
    <row r="386" s="32" customFormat="1" spans="1:36">
      <c r="A386" s="91" t="str">
        <f>IF(F386&lt;&gt;"",1+MAX($A$2:A385),"")</f>
        <v/>
      </c>
      <c r="B386" s="92"/>
      <c r="C386" s="93"/>
      <c r="D386" s="66"/>
      <c r="E386" s="69"/>
      <c r="F386" s="94"/>
      <c r="G386" s="95"/>
      <c r="H386" s="67"/>
      <c r="I386" s="140"/>
      <c r="J386" s="141"/>
      <c r="K386" s="142"/>
      <c r="L386" s="143"/>
      <c r="M386" s="143"/>
      <c r="N386" s="143"/>
      <c r="O386" s="143"/>
      <c r="P386" s="143"/>
      <c r="Q386" s="179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81"/>
      <c r="AJ386" s="181"/>
    </row>
    <row r="387" s="32" customFormat="1" spans="1:36">
      <c r="A387" s="91" t="str">
        <f>IF(F387&lt;&gt;"",1+MAX($A$2:A386),"")</f>
        <v/>
      </c>
      <c r="B387" s="92"/>
      <c r="C387" s="93"/>
      <c r="D387" s="87" t="s">
        <v>291</v>
      </c>
      <c r="E387" s="69"/>
      <c r="F387" s="94"/>
      <c r="G387" s="95"/>
      <c r="H387" s="67"/>
      <c r="I387" s="140"/>
      <c r="J387" s="141"/>
      <c r="K387" s="142"/>
      <c r="L387" s="143"/>
      <c r="M387" s="143"/>
      <c r="N387" s="143"/>
      <c r="O387" s="143"/>
      <c r="P387" s="143"/>
      <c r="Q387" s="179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81"/>
      <c r="AJ387" s="181"/>
    </row>
    <row r="388" s="32" customFormat="1" spans="1:36">
      <c r="A388" s="91">
        <f>IF(F388&lt;&gt;"",1+MAX($A$2:A387),"")</f>
        <v>308</v>
      </c>
      <c r="B388" s="92"/>
      <c r="C388" s="93"/>
      <c r="D388" s="66" t="s">
        <v>364</v>
      </c>
      <c r="E388" s="69">
        <v>23</v>
      </c>
      <c r="F388" s="68">
        <v>0</v>
      </c>
      <c r="G388" s="63">
        <f t="shared" ref="G388:G400" si="340">(F388*E388)+E388</f>
        <v>23</v>
      </c>
      <c r="H388" s="67" t="s">
        <v>73</v>
      </c>
      <c r="I388" s="140">
        <v>1.1</v>
      </c>
      <c r="J388" s="141">
        <f t="shared" ref="J388:J400" si="341">+I388*G388</f>
        <v>25.3</v>
      </c>
      <c r="K388" s="142">
        <f>'LABOR SHEET'!C$3</f>
        <v>128</v>
      </c>
      <c r="L388" s="143">
        <f t="shared" ref="L388:L400" si="342">I388*K388</f>
        <v>140.8</v>
      </c>
      <c r="M388" s="143">
        <f t="shared" ref="M388:M400" si="343">K388*J388</f>
        <v>3238.4</v>
      </c>
      <c r="N388" s="143">
        <v>154.45</v>
      </c>
      <c r="O388" s="143">
        <f t="shared" ref="O388:O400" si="344">N388*G388</f>
        <v>3552.35</v>
      </c>
      <c r="P388" s="143">
        <f t="shared" ref="P388:P400" si="345">(I388*K388)+N388</f>
        <v>295.25</v>
      </c>
      <c r="Q388" s="178">
        <f t="shared" ref="Q388:Q400" si="346">P388*G388</f>
        <v>6790.75</v>
      </c>
      <c r="R388" s="181"/>
      <c r="S388" s="181"/>
      <c r="T388" s="181"/>
      <c r="U388" s="181"/>
      <c r="V388" s="181"/>
      <c r="W388" s="181"/>
      <c r="X388" s="181"/>
      <c r="Y388" s="181"/>
      <c r="Z388" s="181"/>
      <c r="AA388" s="181"/>
      <c r="AB388" s="181"/>
      <c r="AC388" s="181"/>
      <c r="AD388" s="181"/>
      <c r="AE388" s="181"/>
      <c r="AF388" s="181"/>
      <c r="AG388" s="181"/>
      <c r="AH388" s="181"/>
      <c r="AI388" s="181"/>
      <c r="AJ388" s="181"/>
    </row>
    <row r="389" s="32" customFormat="1" ht="31.5" spans="1:36">
      <c r="A389" s="91">
        <f>IF(F389&lt;&gt;"",1+MAX($A$2:A388),"")</f>
        <v>309</v>
      </c>
      <c r="B389" s="92"/>
      <c r="C389" s="93"/>
      <c r="D389" s="66" t="s">
        <v>365</v>
      </c>
      <c r="E389" s="69">
        <v>2</v>
      </c>
      <c r="F389" s="68">
        <v>0</v>
      </c>
      <c r="G389" s="63">
        <f t="shared" si="340"/>
        <v>2</v>
      </c>
      <c r="H389" s="67" t="s">
        <v>73</v>
      </c>
      <c r="I389" s="140">
        <v>6</v>
      </c>
      <c r="J389" s="141">
        <f t="shared" si="341"/>
        <v>12</v>
      </c>
      <c r="K389" s="142">
        <f>'LABOR SHEET'!C$3</f>
        <v>128</v>
      </c>
      <c r="L389" s="143">
        <f t="shared" si="342"/>
        <v>768</v>
      </c>
      <c r="M389" s="143">
        <f t="shared" si="343"/>
        <v>1536</v>
      </c>
      <c r="N389" s="143">
        <v>1790</v>
      </c>
      <c r="O389" s="143">
        <f t="shared" si="344"/>
        <v>3580</v>
      </c>
      <c r="P389" s="143">
        <f t="shared" si="345"/>
        <v>2558</v>
      </c>
      <c r="Q389" s="178">
        <f t="shared" si="346"/>
        <v>5116</v>
      </c>
      <c r="R389" s="181"/>
      <c r="S389" s="181"/>
      <c r="T389" s="181"/>
      <c r="U389" s="181"/>
      <c r="V389" s="181"/>
      <c r="W389" s="181"/>
      <c r="X389" s="181"/>
      <c r="Y389" s="181"/>
      <c r="Z389" s="181"/>
      <c r="AA389" s="181"/>
      <c r="AB389" s="181"/>
      <c r="AC389" s="181"/>
      <c r="AD389" s="181"/>
      <c r="AE389" s="181"/>
      <c r="AF389" s="181"/>
      <c r="AG389" s="181"/>
      <c r="AH389" s="181"/>
      <c r="AI389" s="181"/>
      <c r="AJ389" s="181"/>
    </row>
    <row r="390" s="32" customFormat="1" spans="1:36">
      <c r="A390" s="91">
        <f>IF(F390&lt;&gt;"",1+MAX($A$2:A389),"")</f>
        <v>310</v>
      </c>
      <c r="B390" s="92"/>
      <c r="C390" s="93"/>
      <c r="D390" s="66" t="s">
        <v>366</v>
      </c>
      <c r="E390" s="69">
        <v>3</v>
      </c>
      <c r="F390" s="68">
        <v>0</v>
      </c>
      <c r="G390" s="63">
        <f t="shared" si="340"/>
        <v>3</v>
      </c>
      <c r="H390" s="67" t="s">
        <v>73</v>
      </c>
      <c r="I390" s="140">
        <v>1.5</v>
      </c>
      <c r="J390" s="141">
        <f t="shared" si="341"/>
        <v>4.5</v>
      </c>
      <c r="K390" s="142">
        <f>'LABOR SHEET'!C$3</f>
        <v>128</v>
      </c>
      <c r="L390" s="143">
        <f t="shared" si="342"/>
        <v>192</v>
      </c>
      <c r="M390" s="143">
        <f t="shared" si="343"/>
        <v>576</v>
      </c>
      <c r="N390" s="143">
        <v>274.04</v>
      </c>
      <c r="O390" s="143">
        <f t="shared" si="344"/>
        <v>822.12</v>
      </c>
      <c r="P390" s="143">
        <f t="shared" si="345"/>
        <v>466.04</v>
      </c>
      <c r="Q390" s="178">
        <f t="shared" si="346"/>
        <v>1398.12</v>
      </c>
      <c r="R390" s="181"/>
      <c r="S390" s="181"/>
      <c r="T390" s="181"/>
      <c r="U390" s="181"/>
      <c r="V390" s="181"/>
      <c r="W390" s="181"/>
      <c r="X390" s="181"/>
      <c r="Y390" s="181"/>
      <c r="Z390" s="181"/>
      <c r="AA390" s="181"/>
      <c r="AB390" s="181"/>
      <c r="AC390" s="181"/>
      <c r="AD390" s="181"/>
      <c r="AE390" s="181"/>
      <c r="AF390" s="181"/>
      <c r="AG390" s="181"/>
      <c r="AH390" s="181"/>
      <c r="AI390" s="181"/>
      <c r="AJ390" s="181"/>
    </row>
    <row r="391" s="32" customFormat="1" spans="1:36">
      <c r="A391" s="91">
        <f>IF(F391&lt;&gt;"",1+MAX($A$2:A390),"")</f>
        <v>311</v>
      </c>
      <c r="B391" s="92"/>
      <c r="C391" s="93"/>
      <c r="D391" s="66" t="s">
        <v>367</v>
      </c>
      <c r="E391" s="69">
        <v>6</v>
      </c>
      <c r="F391" s="68">
        <v>0</v>
      </c>
      <c r="G391" s="63">
        <f t="shared" si="340"/>
        <v>6</v>
      </c>
      <c r="H391" s="67" t="s">
        <v>73</v>
      </c>
      <c r="I391" s="140">
        <v>2</v>
      </c>
      <c r="J391" s="141">
        <f t="shared" si="341"/>
        <v>12</v>
      </c>
      <c r="K391" s="142">
        <f>'LABOR SHEET'!C$3</f>
        <v>128</v>
      </c>
      <c r="L391" s="143">
        <f t="shared" si="342"/>
        <v>256</v>
      </c>
      <c r="M391" s="143">
        <f t="shared" si="343"/>
        <v>1536</v>
      </c>
      <c r="N391" s="143">
        <v>430</v>
      </c>
      <c r="O391" s="143">
        <f t="shared" si="344"/>
        <v>2580</v>
      </c>
      <c r="P391" s="143">
        <f t="shared" si="345"/>
        <v>686</v>
      </c>
      <c r="Q391" s="178">
        <f t="shared" si="346"/>
        <v>4116</v>
      </c>
      <c r="R391" s="181"/>
      <c r="S391" s="181"/>
      <c r="T391" s="181"/>
      <c r="U391" s="181"/>
      <c r="V391" s="181"/>
      <c r="W391" s="181"/>
      <c r="X391" s="181"/>
      <c r="Y391" s="181"/>
      <c r="Z391" s="181"/>
      <c r="AA391" s="181"/>
      <c r="AB391" s="181"/>
      <c r="AC391" s="181"/>
      <c r="AD391" s="181"/>
      <c r="AE391" s="181"/>
      <c r="AF391" s="181"/>
      <c r="AG391" s="181"/>
      <c r="AH391" s="181"/>
      <c r="AI391" s="181"/>
      <c r="AJ391" s="181"/>
    </row>
    <row r="392" s="32" customFormat="1" ht="31.5" spans="1:36">
      <c r="A392" s="91">
        <f>IF(F392&lt;&gt;"",1+MAX($A$2:A391),"")</f>
        <v>312</v>
      </c>
      <c r="B392" s="92"/>
      <c r="C392" s="93"/>
      <c r="D392" s="66" t="s">
        <v>368</v>
      </c>
      <c r="E392" s="69">
        <v>18</v>
      </c>
      <c r="F392" s="68">
        <v>0</v>
      </c>
      <c r="G392" s="63">
        <f t="shared" si="340"/>
        <v>18</v>
      </c>
      <c r="H392" s="67" t="s">
        <v>73</v>
      </c>
      <c r="I392" s="140">
        <v>1.5</v>
      </c>
      <c r="J392" s="141">
        <f t="shared" si="341"/>
        <v>27</v>
      </c>
      <c r="K392" s="142">
        <f>'LABOR SHEET'!C$3</f>
        <v>128</v>
      </c>
      <c r="L392" s="143">
        <f t="shared" si="342"/>
        <v>192</v>
      </c>
      <c r="M392" s="143">
        <f t="shared" si="343"/>
        <v>3456</v>
      </c>
      <c r="N392" s="143">
        <v>259.9</v>
      </c>
      <c r="O392" s="143">
        <f t="shared" si="344"/>
        <v>4678.2</v>
      </c>
      <c r="P392" s="143">
        <f t="shared" si="345"/>
        <v>451.9</v>
      </c>
      <c r="Q392" s="178">
        <f t="shared" si="346"/>
        <v>8134.2</v>
      </c>
      <c r="R392" s="181"/>
      <c r="S392" s="181"/>
      <c r="T392" s="181"/>
      <c r="U392" s="181"/>
      <c r="V392" s="181"/>
      <c r="W392" s="181"/>
      <c r="X392" s="181"/>
      <c r="Y392" s="181"/>
      <c r="Z392" s="181"/>
      <c r="AA392" s="181"/>
      <c r="AB392" s="181"/>
      <c r="AC392" s="181"/>
      <c r="AD392" s="181"/>
      <c r="AE392" s="181"/>
      <c r="AF392" s="181"/>
      <c r="AG392" s="181"/>
      <c r="AH392" s="181"/>
      <c r="AI392" s="181"/>
      <c r="AJ392" s="181"/>
    </row>
    <row r="393" s="32" customFormat="1" ht="31.5" spans="1:36">
      <c r="A393" s="91">
        <f>IF(F393&lt;&gt;"",1+MAX($A$2:A392),"")</f>
        <v>313</v>
      </c>
      <c r="B393" s="92"/>
      <c r="C393" s="93"/>
      <c r="D393" s="66" t="s">
        <v>369</v>
      </c>
      <c r="E393" s="69">
        <v>2</v>
      </c>
      <c r="F393" s="68">
        <v>0</v>
      </c>
      <c r="G393" s="63">
        <f t="shared" si="340"/>
        <v>2</v>
      </c>
      <c r="H393" s="67" t="s">
        <v>73</v>
      </c>
      <c r="I393" s="140">
        <v>0.55</v>
      </c>
      <c r="J393" s="141">
        <f t="shared" si="341"/>
        <v>1.1</v>
      </c>
      <c r="K393" s="142">
        <f>'LABOR SHEET'!C$3</f>
        <v>128</v>
      </c>
      <c r="L393" s="143">
        <f t="shared" si="342"/>
        <v>70.4</v>
      </c>
      <c r="M393" s="143">
        <f t="shared" si="343"/>
        <v>140.8</v>
      </c>
      <c r="N393" s="143">
        <v>55</v>
      </c>
      <c r="O393" s="143">
        <f t="shared" si="344"/>
        <v>110</v>
      </c>
      <c r="P393" s="143">
        <f t="shared" si="345"/>
        <v>125.4</v>
      </c>
      <c r="Q393" s="178">
        <f t="shared" si="346"/>
        <v>250.8</v>
      </c>
      <c r="R393" s="181"/>
      <c r="S393" s="181"/>
      <c r="T393" s="181"/>
      <c r="U393" s="181"/>
      <c r="V393" s="181"/>
      <c r="W393" s="181"/>
      <c r="X393" s="181"/>
      <c r="Y393" s="181"/>
      <c r="Z393" s="181"/>
      <c r="AA393" s="181"/>
      <c r="AB393" s="181"/>
      <c r="AC393" s="181"/>
      <c r="AD393" s="181"/>
      <c r="AE393" s="181"/>
      <c r="AF393" s="181"/>
      <c r="AG393" s="181"/>
      <c r="AH393" s="181"/>
      <c r="AI393" s="181"/>
      <c r="AJ393" s="181"/>
    </row>
    <row r="394" s="32" customFormat="1" spans="1:36">
      <c r="A394" s="91">
        <f>IF(F394&lt;&gt;"",1+MAX($A$2:A393),"")</f>
        <v>314</v>
      </c>
      <c r="B394" s="92"/>
      <c r="C394" s="93"/>
      <c r="D394" s="66" t="s">
        <v>370</v>
      </c>
      <c r="E394" s="69">
        <v>4</v>
      </c>
      <c r="F394" s="68">
        <v>0</v>
      </c>
      <c r="G394" s="63">
        <f t="shared" si="340"/>
        <v>4</v>
      </c>
      <c r="H394" s="67" t="s">
        <v>73</v>
      </c>
      <c r="I394" s="140">
        <v>1</v>
      </c>
      <c r="J394" s="141">
        <f t="shared" si="341"/>
        <v>4</v>
      </c>
      <c r="K394" s="142">
        <f>'LABOR SHEET'!C$3</f>
        <v>128</v>
      </c>
      <c r="L394" s="143">
        <f t="shared" si="342"/>
        <v>128</v>
      </c>
      <c r="M394" s="143">
        <f t="shared" si="343"/>
        <v>512</v>
      </c>
      <c r="N394" s="143">
        <v>229</v>
      </c>
      <c r="O394" s="143">
        <f t="shared" si="344"/>
        <v>916</v>
      </c>
      <c r="P394" s="143">
        <f t="shared" si="345"/>
        <v>357</v>
      </c>
      <c r="Q394" s="178">
        <f t="shared" si="346"/>
        <v>1428</v>
      </c>
      <c r="R394" s="181"/>
      <c r="S394" s="181"/>
      <c r="T394" s="181"/>
      <c r="U394" s="181"/>
      <c r="V394" s="181"/>
      <c r="W394" s="181"/>
      <c r="X394" s="181"/>
      <c r="Y394" s="181"/>
      <c r="Z394" s="181"/>
      <c r="AA394" s="181"/>
      <c r="AB394" s="181"/>
      <c r="AC394" s="181"/>
      <c r="AD394" s="181"/>
      <c r="AE394" s="181"/>
      <c r="AF394" s="181"/>
      <c r="AG394" s="181"/>
      <c r="AH394" s="181"/>
      <c r="AI394" s="181"/>
      <c r="AJ394" s="181"/>
    </row>
    <row r="395" s="32" customFormat="1" spans="1:36">
      <c r="A395" s="91">
        <f>IF(F395&lt;&gt;"",1+MAX($A$2:A394),"")</f>
        <v>315</v>
      </c>
      <c r="B395" s="92"/>
      <c r="C395" s="93"/>
      <c r="D395" s="66" t="s">
        <v>371</v>
      </c>
      <c r="E395" s="69">
        <v>4</v>
      </c>
      <c r="F395" s="68">
        <v>0</v>
      </c>
      <c r="G395" s="63">
        <f t="shared" si="340"/>
        <v>4</v>
      </c>
      <c r="H395" s="67" t="s">
        <v>73</v>
      </c>
      <c r="I395" s="140">
        <v>3</v>
      </c>
      <c r="J395" s="141">
        <f t="shared" si="341"/>
        <v>12</v>
      </c>
      <c r="K395" s="142">
        <f>'LABOR SHEET'!C$3</f>
        <v>128</v>
      </c>
      <c r="L395" s="143">
        <f t="shared" si="342"/>
        <v>384</v>
      </c>
      <c r="M395" s="143">
        <f t="shared" si="343"/>
        <v>1536</v>
      </c>
      <c r="N395" s="143">
        <v>607.99</v>
      </c>
      <c r="O395" s="143">
        <f t="shared" si="344"/>
        <v>2431.96</v>
      </c>
      <c r="P395" s="143">
        <f t="shared" si="345"/>
        <v>991.99</v>
      </c>
      <c r="Q395" s="178">
        <f t="shared" si="346"/>
        <v>3967.96</v>
      </c>
      <c r="R395" s="181"/>
      <c r="S395" s="181"/>
      <c r="T395" s="181"/>
      <c r="U395" s="181"/>
      <c r="V395" s="181"/>
      <c r="W395" s="181"/>
      <c r="X395" s="181"/>
      <c r="Y395" s="181"/>
      <c r="Z395" s="181"/>
      <c r="AA395" s="181"/>
      <c r="AB395" s="181"/>
      <c r="AC395" s="181"/>
      <c r="AD395" s="181"/>
      <c r="AE395" s="181"/>
      <c r="AF395" s="181"/>
      <c r="AG395" s="181"/>
      <c r="AH395" s="181"/>
      <c r="AI395" s="181"/>
      <c r="AJ395" s="181"/>
    </row>
    <row r="396" s="32" customFormat="1" spans="1:36">
      <c r="A396" s="91">
        <f>IF(F396&lt;&gt;"",1+MAX($A$2:A395),"")</f>
        <v>316</v>
      </c>
      <c r="B396" s="92"/>
      <c r="C396" s="93"/>
      <c r="D396" s="66" t="s">
        <v>372</v>
      </c>
      <c r="E396" s="69">
        <v>3</v>
      </c>
      <c r="F396" s="68">
        <v>0</v>
      </c>
      <c r="G396" s="63">
        <f t="shared" si="340"/>
        <v>3</v>
      </c>
      <c r="H396" s="67" t="s">
        <v>73</v>
      </c>
      <c r="I396" s="140">
        <v>1.1</v>
      </c>
      <c r="J396" s="141">
        <f t="shared" si="341"/>
        <v>3.3</v>
      </c>
      <c r="K396" s="142">
        <f>'LABOR SHEET'!C$3</f>
        <v>128</v>
      </c>
      <c r="L396" s="143">
        <f t="shared" si="342"/>
        <v>140.8</v>
      </c>
      <c r="M396" s="143">
        <f t="shared" si="343"/>
        <v>422.4</v>
      </c>
      <c r="N396" s="143">
        <v>170</v>
      </c>
      <c r="O396" s="143">
        <f t="shared" si="344"/>
        <v>510</v>
      </c>
      <c r="P396" s="143">
        <f t="shared" si="345"/>
        <v>310.8</v>
      </c>
      <c r="Q396" s="178">
        <f t="shared" si="346"/>
        <v>932.4</v>
      </c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81"/>
      <c r="AJ396" s="181"/>
    </row>
    <row r="397" s="32" customFormat="1" ht="31.5" spans="1:36">
      <c r="A397" s="91">
        <f>IF(F397&lt;&gt;"",1+MAX($A$2:A396),"")</f>
        <v>317</v>
      </c>
      <c r="B397" s="92"/>
      <c r="C397" s="93"/>
      <c r="D397" s="66" t="s">
        <v>373</v>
      </c>
      <c r="E397" s="69">
        <v>4</v>
      </c>
      <c r="F397" s="68">
        <v>0</v>
      </c>
      <c r="G397" s="63">
        <f t="shared" si="340"/>
        <v>4</v>
      </c>
      <c r="H397" s="67" t="s">
        <v>73</v>
      </c>
      <c r="I397" s="140">
        <v>3.5</v>
      </c>
      <c r="J397" s="141">
        <f t="shared" si="341"/>
        <v>14</v>
      </c>
      <c r="K397" s="142">
        <f>'LABOR SHEET'!C$3</f>
        <v>128</v>
      </c>
      <c r="L397" s="143">
        <f t="shared" si="342"/>
        <v>448</v>
      </c>
      <c r="M397" s="143">
        <f t="shared" si="343"/>
        <v>1792</v>
      </c>
      <c r="N397" s="143">
        <v>699</v>
      </c>
      <c r="O397" s="143">
        <f t="shared" si="344"/>
        <v>2796</v>
      </c>
      <c r="P397" s="143">
        <f t="shared" si="345"/>
        <v>1147</v>
      </c>
      <c r="Q397" s="178">
        <f t="shared" si="346"/>
        <v>4588</v>
      </c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81"/>
      <c r="AJ397" s="181"/>
    </row>
    <row r="398" s="32" customFormat="1" ht="31.5" spans="1:36">
      <c r="A398" s="91">
        <f>IF(F398&lt;&gt;"",1+MAX($A$2:A397),"")</f>
        <v>318</v>
      </c>
      <c r="B398" s="92"/>
      <c r="C398" s="93"/>
      <c r="D398" s="66" t="s">
        <v>374</v>
      </c>
      <c r="E398" s="69">
        <v>1</v>
      </c>
      <c r="F398" s="68">
        <v>0</v>
      </c>
      <c r="G398" s="63">
        <f t="shared" si="340"/>
        <v>1</v>
      </c>
      <c r="H398" s="67" t="s">
        <v>73</v>
      </c>
      <c r="I398" s="140">
        <v>7</v>
      </c>
      <c r="J398" s="141">
        <f t="shared" si="341"/>
        <v>7</v>
      </c>
      <c r="K398" s="142">
        <f>'LABOR SHEET'!C$3</f>
        <v>128</v>
      </c>
      <c r="L398" s="143">
        <f t="shared" si="342"/>
        <v>896</v>
      </c>
      <c r="M398" s="143">
        <f t="shared" si="343"/>
        <v>896</v>
      </c>
      <c r="N398" s="143">
        <v>1835</v>
      </c>
      <c r="O398" s="143">
        <f t="shared" si="344"/>
        <v>1835</v>
      </c>
      <c r="P398" s="143">
        <f t="shared" si="345"/>
        <v>2731</v>
      </c>
      <c r="Q398" s="178">
        <f t="shared" si="346"/>
        <v>2731</v>
      </c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81"/>
      <c r="AJ398" s="181"/>
    </row>
    <row r="399" s="32" customFormat="1" spans="1:36">
      <c r="A399" s="91">
        <f>IF(F399&lt;&gt;"",1+MAX($A$2:A398),"")</f>
        <v>319</v>
      </c>
      <c r="B399" s="92"/>
      <c r="C399" s="93"/>
      <c r="D399" s="66" t="s">
        <v>326</v>
      </c>
      <c r="E399" s="69">
        <v>31</v>
      </c>
      <c r="F399" s="68">
        <v>0</v>
      </c>
      <c r="G399" s="63">
        <f t="shared" si="340"/>
        <v>31</v>
      </c>
      <c r="H399" s="67" t="s">
        <v>73</v>
      </c>
      <c r="I399" s="140">
        <v>0.2</v>
      </c>
      <c r="J399" s="141">
        <f t="shared" si="341"/>
        <v>6.2</v>
      </c>
      <c r="K399" s="142">
        <f>'LABOR SHEET'!C$3</f>
        <v>128</v>
      </c>
      <c r="L399" s="143">
        <f t="shared" si="342"/>
        <v>25.6</v>
      </c>
      <c r="M399" s="143">
        <f t="shared" si="343"/>
        <v>793.6</v>
      </c>
      <c r="N399" s="143">
        <v>13.35</v>
      </c>
      <c r="O399" s="143">
        <f t="shared" si="344"/>
        <v>413.85</v>
      </c>
      <c r="P399" s="143">
        <f t="shared" si="345"/>
        <v>38.95</v>
      </c>
      <c r="Q399" s="178">
        <f t="shared" si="346"/>
        <v>1207.45</v>
      </c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81"/>
      <c r="AJ399" s="181"/>
    </row>
    <row r="400" s="32" customFormat="1" spans="1:36">
      <c r="A400" s="91">
        <f>IF(F400&lt;&gt;"",1+MAX($A$2:A399),"")</f>
        <v>320</v>
      </c>
      <c r="B400" s="92"/>
      <c r="C400" s="93"/>
      <c r="D400" s="66" t="s">
        <v>375</v>
      </c>
      <c r="E400" s="69">
        <v>10</v>
      </c>
      <c r="F400" s="68">
        <v>0</v>
      </c>
      <c r="G400" s="63">
        <f t="shared" si="340"/>
        <v>10</v>
      </c>
      <c r="H400" s="67" t="s">
        <v>73</v>
      </c>
      <c r="I400" s="140">
        <v>0.25</v>
      </c>
      <c r="J400" s="141">
        <f t="shared" si="341"/>
        <v>2.5</v>
      </c>
      <c r="K400" s="142">
        <f>'LABOR SHEET'!C$3</f>
        <v>128</v>
      </c>
      <c r="L400" s="143">
        <f t="shared" si="342"/>
        <v>32</v>
      </c>
      <c r="M400" s="143">
        <f t="shared" si="343"/>
        <v>320</v>
      </c>
      <c r="N400" s="143">
        <v>20</v>
      </c>
      <c r="O400" s="143">
        <f t="shared" si="344"/>
        <v>200</v>
      </c>
      <c r="P400" s="143">
        <f t="shared" si="345"/>
        <v>52</v>
      </c>
      <c r="Q400" s="178">
        <f t="shared" si="346"/>
        <v>520</v>
      </c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81"/>
      <c r="AJ400" s="181"/>
    </row>
    <row r="401" s="32" customFormat="1" spans="1:36">
      <c r="A401" s="91" t="str">
        <f>IF(F401&lt;&gt;"",1+MAX($A$2:A400),"")</f>
        <v/>
      </c>
      <c r="B401" s="92"/>
      <c r="C401" s="93"/>
      <c r="D401" s="66"/>
      <c r="E401" s="69"/>
      <c r="F401" s="94"/>
      <c r="G401" s="95"/>
      <c r="H401" s="67"/>
      <c r="I401" s="140"/>
      <c r="J401" s="141"/>
      <c r="K401" s="142"/>
      <c r="L401" s="143"/>
      <c r="M401" s="143"/>
      <c r="N401" s="143"/>
      <c r="O401" s="143"/>
      <c r="P401" s="143"/>
      <c r="Q401" s="179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81"/>
      <c r="AJ401" s="181"/>
    </row>
    <row r="402" s="32" customFormat="1" spans="1:36">
      <c r="A402" s="91" t="str">
        <f>IF(F402&lt;&gt;"",1+MAX($A$2:A401),"")</f>
        <v/>
      </c>
      <c r="B402" s="92"/>
      <c r="C402" s="93"/>
      <c r="D402" s="57" t="s">
        <v>376</v>
      </c>
      <c r="E402" s="69"/>
      <c r="F402" s="94"/>
      <c r="G402" s="95"/>
      <c r="H402" s="67"/>
      <c r="I402" s="140"/>
      <c r="J402" s="141"/>
      <c r="K402" s="142"/>
      <c r="L402" s="143"/>
      <c r="M402" s="143"/>
      <c r="N402" s="143"/>
      <c r="O402" s="143"/>
      <c r="P402" s="143"/>
      <c r="Q402" s="179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81"/>
      <c r="AJ402" s="181"/>
    </row>
    <row r="403" s="32" customFormat="1" spans="1:36">
      <c r="A403" s="91" t="str">
        <f>IF(F403&lt;&gt;"",1+MAX($A$2:A402),"")</f>
        <v/>
      </c>
      <c r="B403" s="92"/>
      <c r="C403" s="93"/>
      <c r="D403" s="87" t="s">
        <v>285</v>
      </c>
      <c r="E403" s="69"/>
      <c r="F403" s="94"/>
      <c r="G403" s="95"/>
      <c r="H403" s="67"/>
      <c r="I403" s="140"/>
      <c r="J403" s="141"/>
      <c r="K403" s="142"/>
      <c r="L403" s="143"/>
      <c r="M403" s="143"/>
      <c r="N403" s="143"/>
      <c r="O403" s="143"/>
      <c r="P403" s="143"/>
      <c r="Q403" s="179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81"/>
      <c r="AJ403" s="181"/>
    </row>
    <row r="404" s="32" customFormat="1" spans="1:36">
      <c r="A404" s="91">
        <f>IF(F404&lt;&gt;"",1+MAX($A$2:A403),"")</f>
        <v>321</v>
      </c>
      <c r="B404" s="92"/>
      <c r="C404" s="93"/>
      <c r="D404" s="66" t="s">
        <v>59</v>
      </c>
      <c r="E404" s="69">
        <v>154.15</v>
      </c>
      <c r="F404" s="68">
        <v>0.05</v>
      </c>
      <c r="G404" s="63">
        <f t="shared" ref="G404:G407" si="347">(F404*E404)+E404</f>
        <v>161.8575</v>
      </c>
      <c r="H404" s="67" t="s">
        <v>56</v>
      </c>
      <c r="I404" s="140">
        <v>0.11</v>
      </c>
      <c r="J404" s="141">
        <f t="shared" ref="J404" si="348">+I404*G404</f>
        <v>17.804325</v>
      </c>
      <c r="K404" s="142">
        <f>'LABOR SHEET'!C$3</f>
        <v>128</v>
      </c>
      <c r="L404" s="143">
        <f t="shared" ref="L404" si="349">I404*K404</f>
        <v>14.08</v>
      </c>
      <c r="M404" s="143">
        <f t="shared" ref="M404" si="350">K404*J404</f>
        <v>2278.9536</v>
      </c>
      <c r="N404" s="143">
        <f>40.48/10+0.55</f>
        <v>4.598</v>
      </c>
      <c r="O404" s="143">
        <f t="shared" ref="O404" si="351">N404*G404</f>
        <v>744.220785</v>
      </c>
      <c r="P404" s="143">
        <f t="shared" ref="P404" si="352">(I404*K404)+N404</f>
        <v>18.678</v>
      </c>
      <c r="Q404" s="178">
        <f t="shared" ref="Q404" si="353">P404*G404</f>
        <v>3023.174385</v>
      </c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81"/>
      <c r="AJ404" s="181"/>
    </row>
    <row r="405" s="32" customFormat="1" spans="1:36">
      <c r="A405" s="91">
        <f>IF(F405&lt;&gt;"",1+MAX($A$2:A404),"")</f>
        <v>322</v>
      </c>
      <c r="B405" s="92"/>
      <c r="C405" s="93"/>
      <c r="D405" s="66" t="s">
        <v>164</v>
      </c>
      <c r="E405" s="69">
        <v>46.56</v>
      </c>
      <c r="F405" s="68">
        <v>0.05</v>
      </c>
      <c r="G405" s="63">
        <f t="shared" si="347"/>
        <v>48.888</v>
      </c>
      <c r="H405" s="67" t="s">
        <v>56</v>
      </c>
      <c r="I405" s="140">
        <v>0.07</v>
      </c>
      <c r="J405" s="141">
        <f t="shared" ref="J405:J407" si="354">+I405*G405</f>
        <v>3.42216</v>
      </c>
      <c r="K405" s="142">
        <f>'LABOR SHEET'!C$3</f>
        <v>128</v>
      </c>
      <c r="L405" s="143">
        <f t="shared" ref="L405:L407" si="355">I405*K405</f>
        <v>8.96</v>
      </c>
      <c r="M405" s="143">
        <f t="shared" ref="M405:M407" si="356">K405*J405</f>
        <v>438.03648</v>
      </c>
      <c r="N405" s="143">
        <f>28.95/10+0.4</f>
        <v>3.295</v>
      </c>
      <c r="O405" s="143">
        <f t="shared" ref="O405:O407" si="357">N405*G405</f>
        <v>161.08596</v>
      </c>
      <c r="P405" s="143">
        <f t="shared" ref="P405:P407" si="358">(I405*K405)+N405</f>
        <v>12.255</v>
      </c>
      <c r="Q405" s="178">
        <f t="shared" ref="Q405:Q407" si="359">P405*G405</f>
        <v>599.12244</v>
      </c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81"/>
      <c r="AJ405" s="181"/>
    </row>
    <row r="406" s="32" customFormat="1" spans="1:36">
      <c r="A406" s="91">
        <f>IF(F406&lt;&gt;"",1+MAX($A$2:A405),"")</f>
        <v>323</v>
      </c>
      <c r="B406" s="92"/>
      <c r="C406" s="93"/>
      <c r="D406" s="66" t="s">
        <v>168</v>
      </c>
      <c r="E406" s="69">
        <v>1633.16</v>
      </c>
      <c r="F406" s="68">
        <v>0.05</v>
      </c>
      <c r="G406" s="63">
        <f t="shared" si="347"/>
        <v>1714.818</v>
      </c>
      <c r="H406" s="67" t="s">
        <v>56</v>
      </c>
      <c r="I406" s="140">
        <v>0.064</v>
      </c>
      <c r="J406" s="141">
        <f t="shared" si="354"/>
        <v>109.748352</v>
      </c>
      <c r="K406" s="142">
        <f>'LABOR SHEET'!C$3</f>
        <v>128</v>
      </c>
      <c r="L406" s="143">
        <f t="shared" si="355"/>
        <v>8.192</v>
      </c>
      <c r="M406" s="143">
        <f t="shared" si="356"/>
        <v>14047.789056</v>
      </c>
      <c r="N406" s="143">
        <f>17.58/10+0.4</f>
        <v>2.158</v>
      </c>
      <c r="O406" s="143">
        <f t="shared" si="357"/>
        <v>3700.577244</v>
      </c>
      <c r="P406" s="143">
        <f t="shared" si="358"/>
        <v>10.35</v>
      </c>
      <c r="Q406" s="178">
        <f t="shared" si="359"/>
        <v>17748.3663</v>
      </c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81"/>
      <c r="AJ406" s="181"/>
    </row>
    <row r="407" s="32" customFormat="1" spans="1:36">
      <c r="A407" s="91">
        <f>IF(F407&lt;&gt;"",1+MAX($A$2:A406),"")</f>
        <v>324</v>
      </c>
      <c r="B407" s="92"/>
      <c r="C407" s="93"/>
      <c r="D407" s="66" t="s">
        <v>158</v>
      </c>
      <c r="E407" s="69">
        <v>44.03</v>
      </c>
      <c r="F407" s="68">
        <v>0.05</v>
      </c>
      <c r="G407" s="63">
        <f t="shared" si="347"/>
        <v>46.2315</v>
      </c>
      <c r="H407" s="67" t="s">
        <v>56</v>
      </c>
      <c r="I407" s="140">
        <v>0.05</v>
      </c>
      <c r="J407" s="141">
        <f t="shared" si="354"/>
        <v>2.311575</v>
      </c>
      <c r="K407" s="142">
        <f>'LABOR SHEET'!C$3</f>
        <v>128</v>
      </c>
      <c r="L407" s="143">
        <f t="shared" si="355"/>
        <v>6.4</v>
      </c>
      <c r="M407" s="143">
        <f t="shared" si="356"/>
        <v>295.8816</v>
      </c>
      <c r="N407" s="143">
        <f>11.46/10+0.25</f>
        <v>1.396</v>
      </c>
      <c r="O407" s="143">
        <f t="shared" si="357"/>
        <v>64.539174</v>
      </c>
      <c r="P407" s="143">
        <f t="shared" si="358"/>
        <v>7.796</v>
      </c>
      <c r="Q407" s="178">
        <f t="shared" si="359"/>
        <v>360.420774</v>
      </c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81"/>
      <c r="AJ407" s="181"/>
    </row>
    <row r="408" s="32" customFormat="1" spans="1:36">
      <c r="A408" s="91" t="str">
        <f>IF(F408&lt;&gt;"",1+MAX($A$2:A407),"")</f>
        <v/>
      </c>
      <c r="B408" s="92"/>
      <c r="C408" s="93"/>
      <c r="D408" s="66"/>
      <c r="E408" s="69"/>
      <c r="F408" s="94"/>
      <c r="G408" s="95"/>
      <c r="H408" s="67"/>
      <c r="I408" s="140"/>
      <c r="J408" s="141"/>
      <c r="K408" s="142"/>
      <c r="L408" s="143"/>
      <c r="M408" s="143"/>
      <c r="N408" s="143"/>
      <c r="O408" s="143"/>
      <c r="P408" s="143"/>
      <c r="Q408" s="179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81"/>
      <c r="AJ408" s="181"/>
    </row>
    <row r="409" s="32" customFormat="1" spans="1:36">
      <c r="A409" s="91" t="str">
        <f>IF(F409&lt;&gt;"",1+MAX($A$2:A408),"")</f>
        <v/>
      </c>
      <c r="B409" s="92"/>
      <c r="C409" s="93"/>
      <c r="D409" s="87" t="s">
        <v>286</v>
      </c>
      <c r="E409" s="69"/>
      <c r="F409" s="94"/>
      <c r="G409" s="95"/>
      <c r="H409" s="67"/>
      <c r="I409" s="140"/>
      <c r="J409" s="141"/>
      <c r="K409" s="142"/>
      <c r="L409" s="143"/>
      <c r="M409" s="143"/>
      <c r="N409" s="143"/>
      <c r="O409" s="143"/>
      <c r="P409" s="143"/>
      <c r="Q409" s="179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81"/>
      <c r="AJ409" s="181"/>
    </row>
    <row r="410" s="32" customFormat="1" spans="1:36">
      <c r="A410" s="91">
        <f>IF(F410&lt;&gt;"",1+MAX($A$2:A409),"")</f>
        <v>325</v>
      </c>
      <c r="B410" s="92"/>
      <c r="C410" s="93"/>
      <c r="D410" s="66" t="s">
        <v>377</v>
      </c>
      <c r="E410" s="69">
        <v>4211.96</v>
      </c>
      <c r="F410" s="68">
        <v>0.05</v>
      </c>
      <c r="G410" s="63">
        <f t="shared" ref="G410:G413" si="360">(F410*E410)+E410</f>
        <v>4422.558</v>
      </c>
      <c r="H410" s="67" t="s">
        <v>56</v>
      </c>
      <c r="I410" s="140">
        <v>0.008</v>
      </c>
      <c r="J410" s="141">
        <f t="shared" ref="J410" si="361">+I410*G410</f>
        <v>35.380464</v>
      </c>
      <c r="K410" s="142">
        <f>'LABOR SHEET'!C$3</f>
        <v>128</v>
      </c>
      <c r="L410" s="143">
        <f t="shared" ref="L410" si="362">I410*K410</f>
        <v>1.024</v>
      </c>
      <c r="M410" s="143">
        <f t="shared" ref="M410" si="363">K410*J410</f>
        <v>4528.699392</v>
      </c>
      <c r="N410" s="143">
        <f>7.94/15</f>
        <v>0.529333333333333</v>
      </c>
      <c r="O410" s="143">
        <f t="shared" ref="O410" si="364">N410*G410</f>
        <v>2341.007368</v>
      </c>
      <c r="P410" s="143">
        <f t="shared" ref="P410" si="365">(I410*K410)+N410</f>
        <v>1.55333333333333</v>
      </c>
      <c r="Q410" s="178">
        <f t="shared" ref="Q410" si="366">P410*G410</f>
        <v>6869.70676</v>
      </c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81"/>
      <c r="AJ410" s="181"/>
    </row>
    <row r="411" s="32" customFormat="1" spans="1:36">
      <c r="A411" s="91">
        <f>IF(F411&lt;&gt;"",1+MAX($A$2:A410),"")</f>
        <v>326</v>
      </c>
      <c r="B411" s="92"/>
      <c r="C411" s="93"/>
      <c r="D411" s="66" t="s">
        <v>378</v>
      </c>
      <c r="E411" s="69">
        <v>173.8</v>
      </c>
      <c r="F411" s="68">
        <v>0.05</v>
      </c>
      <c r="G411" s="63">
        <f t="shared" si="360"/>
        <v>182.49</v>
      </c>
      <c r="H411" s="67" t="s">
        <v>56</v>
      </c>
      <c r="I411" s="140">
        <v>0.015</v>
      </c>
      <c r="J411" s="141">
        <f t="shared" ref="J411:J413" si="367">+I411*G411</f>
        <v>2.73735</v>
      </c>
      <c r="K411" s="142">
        <f>'LABOR SHEET'!C$3</f>
        <v>128</v>
      </c>
      <c r="L411" s="143">
        <f t="shared" ref="L411:L413" si="368">I411*K411</f>
        <v>1.92</v>
      </c>
      <c r="M411" s="143">
        <f t="shared" ref="M411:M413" si="369">K411*J411</f>
        <v>350.3808</v>
      </c>
      <c r="N411" s="143">
        <v>2.5</v>
      </c>
      <c r="O411" s="143">
        <f t="shared" ref="O411:O413" si="370">N411*G411</f>
        <v>456.225</v>
      </c>
      <c r="P411" s="143">
        <f t="shared" ref="P411:P413" si="371">(I411*K411)+N411</f>
        <v>4.42</v>
      </c>
      <c r="Q411" s="178">
        <f t="shared" ref="Q411:Q413" si="372">P411*G411</f>
        <v>806.6058</v>
      </c>
      <c r="R411" s="181"/>
      <c r="S411" s="181"/>
      <c r="T411" s="181"/>
      <c r="U411" s="181"/>
      <c r="V411" s="181"/>
      <c r="W411" s="181"/>
      <c r="X411" s="181"/>
      <c r="Y411" s="181"/>
      <c r="Z411" s="181"/>
      <c r="AA411" s="181"/>
      <c r="AB411" s="181"/>
      <c r="AC411" s="181"/>
      <c r="AD411" s="181"/>
      <c r="AE411" s="181"/>
      <c r="AF411" s="181"/>
      <c r="AG411" s="181"/>
      <c r="AH411" s="181"/>
      <c r="AI411" s="181"/>
      <c r="AJ411" s="181"/>
    </row>
    <row r="412" s="32" customFormat="1" spans="1:36">
      <c r="A412" s="91">
        <f>IF(F412&lt;&gt;"",1+MAX($A$2:A411),"")</f>
        <v>327</v>
      </c>
      <c r="B412" s="92"/>
      <c r="C412" s="93"/>
      <c r="D412" s="66" t="s">
        <v>379</v>
      </c>
      <c r="E412" s="69">
        <v>366.52</v>
      </c>
      <c r="F412" s="68">
        <v>0.05</v>
      </c>
      <c r="G412" s="63">
        <f t="shared" si="360"/>
        <v>384.846</v>
      </c>
      <c r="H412" s="67" t="s">
        <v>56</v>
      </c>
      <c r="I412" s="140">
        <v>0.006</v>
      </c>
      <c r="J412" s="141">
        <f t="shared" si="367"/>
        <v>2.309076</v>
      </c>
      <c r="K412" s="142">
        <f>'LABOR SHEET'!C$3</f>
        <v>128</v>
      </c>
      <c r="L412" s="143">
        <f t="shared" si="368"/>
        <v>0.768</v>
      </c>
      <c r="M412" s="143">
        <f t="shared" si="369"/>
        <v>295.561728</v>
      </c>
      <c r="N412" s="143">
        <v>0.4</v>
      </c>
      <c r="O412" s="143">
        <f t="shared" si="370"/>
        <v>153.9384</v>
      </c>
      <c r="P412" s="143">
        <f t="shared" si="371"/>
        <v>1.168</v>
      </c>
      <c r="Q412" s="178">
        <f t="shared" si="372"/>
        <v>449.500128</v>
      </c>
      <c r="R412" s="181"/>
      <c r="S412" s="181"/>
      <c r="T412" s="181"/>
      <c r="U412" s="181"/>
      <c r="V412" s="181"/>
      <c r="W412" s="181"/>
      <c r="X412" s="181"/>
      <c r="Y412" s="181"/>
      <c r="Z412" s="181"/>
      <c r="AA412" s="181"/>
      <c r="AB412" s="181"/>
      <c r="AC412" s="181"/>
      <c r="AD412" s="181"/>
      <c r="AE412" s="181"/>
      <c r="AF412" s="181"/>
      <c r="AG412" s="181"/>
      <c r="AH412" s="181"/>
      <c r="AI412" s="181"/>
      <c r="AJ412" s="181"/>
    </row>
    <row r="413" s="32" customFormat="1" spans="1:36">
      <c r="A413" s="91">
        <f>IF(F413&lt;&gt;"",1+MAX($A$2:A412),"")</f>
        <v>328</v>
      </c>
      <c r="B413" s="92"/>
      <c r="C413" s="93"/>
      <c r="D413" s="66" t="s">
        <v>380</v>
      </c>
      <c r="E413" s="69">
        <v>166.1</v>
      </c>
      <c r="F413" s="68">
        <v>0.05</v>
      </c>
      <c r="G413" s="63">
        <f t="shared" si="360"/>
        <v>174.405</v>
      </c>
      <c r="H413" s="67" t="s">
        <v>56</v>
      </c>
      <c r="I413" s="140">
        <v>0.02</v>
      </c>
      <c r="J413" s="141">
        <f t="shared" si="367"/>
        <v>3.4881</v>
      </c>
      <c r="K413" s="142">
        <f>'LABOR SHEET'!C$3</f>
        <v>128</v>
      </c>
      <c r="L413" s="143">
        <f t="shared" si="368"/>
        <v>2.56</v>
      </c>
      <c r="M413" s="143">
        <f t="shared" si="369"/>
        <v>446.4768</v>
      </c>
      <c r="N413" s="143">
        <v>4</v>
      </c>
      <c r="O413" s="143">
        <f t="shared" si="370"/>
        <v>697.62</v>
      </c>
      <c r="P413" s="143">
        <f t="shared" si="371"/>
        <v>6.56</v>
      </c>
      <c r="Q413" s="178">
        <f t="shared" si="372"/>
        <v>1144.0968</v>
      </c>
      <c r="R413" s="181"/>
      <c r="S413" s="181"/>
      <c r="T413" s="181"/>
      <c r="U413" s="181"/>
      <c r="V413" s="181"/>
      <c r="W413" s="181"/>
      <c r="X413" s="181"/>
      <c r="Y413" s="181"/>
      <c r="Z413" s="181"/>
      <c r="AA413" s="181"/>
      <c r="AB413" s="181"/>
      <c r="AC413" s="181"/>
      <c r="AD413" s="181"/>
      <c r="AE413" s="181"/>
      <c r="AF413" s="181"/>
      <c r="AG413" s="181"/>
      <c r="AH413" s="181"/>
      <c r="AI413" s="181"/>
      <c r="AJ413" s="181"/>
    </row>
    <row r="414" s="32" customFormat="1" spans="1:36">
      <c r="A414" s="91" t="str">
        <f>IF(F414&lt;&gt;"",1+MAX($A$2:A413),"")</f>
        <v/>
      </c>
      <c r="B414" s="92"/>
      <c r="C414" s="93"/>
      <c r="D414" s="66"/>
      <c r="E414" s="69"/>
      <c r="F414" s="94"/>
      <c r="G414" s="95"/>
      <c r="H414" s="67"/>
      <c r="I414" s="140"/>
      <c r="J414" s="141"/>
      <c r="K414" s="142"/>
      <c r="L414" s="143"/>
      <c r="M414" s="143"/>
      <c r="N414" s="143"/>
      <c r="O414" s="143"/>
      <c r="P414" s="143"/>
      <c r="Q414" s="179"/>
      <c r="R414" s="181"/>
      <c r="S414" s="181"/>
      <c r="T414" s="181"/>
      <c r="U414" s="181"/>
      <c r="V414" s="181"/>
      <c r="W414" s="181"/>
      <c r="X414" s="181"/>
      <c r="Y414" s="181"/>
      <c r="Z414" s="181"/>
      <c r="AA414" s="181"/>
      <c r="AB414" s="181"/>
      <c r="AC414" s="181"/>
      <c r="AD414" s="181"/>
      <c r="AE414" s="181"/>
      <c r="AF414" s="181"/>
      <c r="AG414" s="181"/>
      <c r="AH414" s="181"/>
      <c r="AI414" s="181"/>
      <c r="AJ414" s="181"/>
    </row>
    <row r="415" s="32" customFormat="1" spans="1:36">
      <c r="A415" s="91" t="str">
        <f>IF(F415&lt;&gt;"",1+MAX($A$2:A414),"")</f>
        <v/>
      </c>
      <c r="B415" s="92"/>
      <c r="C415" s="93"/>
      <c r="D415" s="87" t="s">
        <v>291</v>
      </c>
      <c r="E415" s="69"/>
      <c r="F415" s="94"/>
      <c r="G415" s="95"/>
      <c r="H415" s="67"/>
      <c r="I415" s="140"/>
      <c r="J415" s="141"/>
      <c r="K415" s="142"/>
      <c r="L415" s="143"/>
      <c r="M415" s="143"/>
      <c r="N415" s="143"/>
      <c r="O415" s="143"/>
      <c r="P415" s="143"/>
      <c r="Q415" s="179"/>
      <c r="R415" s="181"/>
      <c r="S415" s="181"/>
      <c r="T415" s="181"/>
      <c r="U415" s="181"/>
      <c r="V415" s="181"/>
      <c r="W415" s="181"/>
      <c r="X415" s="181"/>
      <c r="Y415" s="181"/>
      <c r="Z415" s="181"/>
      <c r="AA415" s="181"/>
      <c r="AB415" s="181"/>
      <c r="AC415" s="181"/>
      <c r="AD415" s="181"/>
      <c r="AE415" s="181"/>
      <c r="AF415" s="181"/>
      <c r="AG415" s="181"/>
      <c r="AH415" s="181"/>
      <c r="AI415" s="181"/>
      <c r="AJ415" s="181"/>
    </row>
    <row r="416" s="32" customFormat="1" ht="31.5" spans="1:36">
      <c r="A416" s="91">
        <f>IF(F416&lt;&gt;"",1+MAX($A$2:A415),"")</f>
        <v>329</v>
      </c>
      <c r="B416" s="92"/>
      <c r="C416" s="93"/>
      <c r="D416" s="66" t="s">
        <v>381</v>
      </c>
      <c r="E416" s="69">
        <v>2</v>
      </c>
      <c r="F416" s="68">
        <v>0</v>
      </c>
      <c r="G416" s="63">
        <f t="shared" ref="G416:G435" si="373">(F416*E416)+E416</f>
        <v>2</v>
      </c>
      <c r="H416" s="67" t="s">
        <v>73</v>
      </c>
      <c r="I416" s="140">
        <v>4</v>
      </c>
      <c r="J416" s="141">
        <f t="shared" ref="J416:J435" si="374">+I416*G416</f>
        <v>8</v>
      </c>
      <c r="K416" s="142">
        <f>'LABOR SHEET'!C$3</f>
        <v>128</v>
      </c>
      <c r="L416" s="143">
        <f t="shared" ref="L416:L435" si="375">I416*K416</f>
        <v>512</v>
      </c>
      <c r="M416" s="143">
        <f t="shared" ref="M416:M435" si="376">K416*J416</f>
        <v>1024</v>
      </c>
      <c r="N416" s="143">
        <v>1006</v>
      </c>
      <c r="O416" s="143">
        <f t="shared" ref="O416:O435" si="377">N416*G416</f>
        <v>2012</v>
      </c>
      <c r="P416" s="143">
        <f t="shared" ref="P416:P435" si="378">(I416*K416)+N416</f>
        <v>1518</v>
      </c>
      <c r="Q416" s="178">
        <f t="shared" ref="Q416:Q435" si="379">P416*G416</f>
        <v>3036</v>
      </c>
      <c r="R416" s="181"/>
      <c r="S416" s="181"/>
      <c r="T416" s="181"/>
      <c r="U416" s="181"/>
      <c r="V416" s="181"/>
      <c r="W416" s="181"/>
      <c r="X416" s="181"/>
      <c r="Y416" s="181"/>
      <c r="Z416" s="181"/>
      <c r="AA416" s="181"/>
      <c r="AB416" s="181"/>
      <c r="AC416" s="181"/>
      <c r="AD416" s="181"/>
      <c r="AE416" s="181"/>
      <c r="AF416" s="181"/>
      <c r="AG416" s="181"/>
      <c r="AH416" s="181"/>
      <c r="AI416" s="181"/>
      <c r="AJ416" s="181"/>
    </row>
    <row r="417" s="32" customFormat="1" ht="31.5" spans="1:36">
      <c r="A417" s="91">
        <f>IF(F417&lt;&gt;"",1+MAX($A$2:A416),"")</f>
        <v>330</v>
      </c>
      <c r="B417" s="92"/>
      <c r="C417" s="93"/>
      <c r="D417" s="66" t="s">
        <v>382</v>
      </c>
      <c r="E417" s="69">
        <v>2</v>
      </c>
      <c r="F417" s="68">
        <v>0</v>
      </c>
      <c r="G417" s="63">
        <f t="shared" si="373"/>
        <v>2</v>
      </c>
      <c r="H417" s="67" t="s">
        <v>73</v>
      </c>
      <c r="I417" s="140">
        <v>1.5</v>
      </c>
      <c r="J417" s="141">
        <f t="shared" si="374"/>
        <v>3</v>
      </c>
      <c r="K417" s="142">
        <f>'LABOR SHEET'!C$3</f>
        <v>128</v>
      </c>
      <c r="L417" s="143">
        <f t="shared" si="375"/>
        <v>192</v>
      </c>
      <c r="M417" s="143">
        <f t="shared" si="376"/>
        <v>384</v>
      </c>
      <c r="N417" s="143">
        <v>267.9</v>
      </c>
      <c r="O417" s="143">
        <f t="shared" si="377"/>
        <v>535.8</v>
      </c>
      <c r="P417" s="143">
        <f t="shared" si="378"/>
        <v>459.9</v>
      </c>
      <c r="Q417" s="178">
        <f t="shared" si="379"/>
        <v>919.8</v>
      </c>
      <c r="R417" s="181"/>
      <c r="S417" s="181"/>
      <c r="T417" s="181"/>
      <c r="U417" s="181"/>
      <c r="V417" s="181"/>
      <c r="W417" s="181"/>
      <c r="X417" s="181"/>
      <c r="Y417" s="181"/>
      <c r="Z417" s="181"/>
      <c r="AA417" s="181"/>
      <c r="AB417" s="181"/>
      <c r="AC417" s="181"/>
      <c r="AD417" s="181"/>
      <c r="AE417" s="181"/>
      <c r="AF417" s="181"/>
      <c r="AG417" s="181"/>
      <c r="AH417" s="181"/>
      <c r="AI417" s="181"/>
      <c r="AJ417" s="181"/>
    </row>
    <row r="418" s="32" customFormat="1" ht="31.5" spans="1:36">
      <c r="A418" s="91">
        <f>IF(F418&lt;&gt;"",1+MAX($A$2:A417),"")</f>
        <v>331</v>
      </c>
      <c r="B418" s="92"/>
      <c r="C418" s="93"/>
      <c r="D418" s="66" t="s">
        <v>383</v>
      </c>
      <c r="E418" s="69">
        <v>1</v>
      </c>
      <c r="F418" s="68">
        <v>0</v>
      </c>
      <c r="G418" s="63">
        <f t="shared" si="373"/>
        <v>1</v>
      </c>
      <c r="H418" s="67" t="s">
        <v>73</v>
      </c>
      <c r="I418" s="140">
        <v>1.5</v>
      </c>
      <c r="J418" s="141">
        <f t="shared" ref="J418:J419" si="380">+I418*G418</f>
        <v>1.5</v>
      </c>
      <c r="K418" s="142">
        <f>'LABOR SHEET'!C$3</f>
        <v>128</v>
      </c>
      <c r="L418" s="143">
        <f t="shared" ref="L418:L419" si="381">I418*K418</f>
        <v>192</v>
      </c>
      <c r="M418" s="143">
        <f t="shared" ref="M418:M419" si="382">K418*J418</f>
        <v>192</v>
      </c>
      <c r="N418" s="143">
        <v>267.9</v>
      </c>
      <c r="O418" s="143">
        <f t="shared" ref="O418:O419" si="383">N418*G418</f>
        <v>267.9</v>
      </c>
      <c r="P418" s="143">
        <f t="shared" ref="P418:P419" si="384">(I418*K418)+N418</f>
        <v>459.9</v>
      </c>
      <c r="Q418" s="178">
        <f t="shared" ref="Q418:Q419" si="385">P418*G418</f>
        <v>459.9</v>
      </c>
      <c r="R418" s="181"/>
      <c r="S418" s="181"/>
      <c r="T418" s="181"/>
      <c r="U418" s="181"/>
      <c r="V418" s="181"/>
      <c r="W418" s="181"/>
      <c r="X418" s="181"/>
      <c r="Y418" s="181"/>
      <c r="Z418" s="181"/>
      <c r="AA418" s="181"/>
      <c r="AB418" s="181"/>
      <c r="AC418" s="181"/>
      <c r="AD418" s="181"/>
      <c r="AE418" s="181"/>
      <c r="AF418" s="181"/>
      <c r="AG418" s="181"/>
      <c r="AH418" s="181"/>
      <c r="AI418" s="181"/>
      <c r="AJ418" s="181"/>
    </row>
    <row r="419" s="32" customFormat="1" ht="31.5" spans="1:36">
      <c r="A419" s="91">
        <f>IF(F419&lt;&gt;"",1+MAX($A$2:A418),"")</f>
        <v>332</v>
      </c>
      <c r="B419" s="92"/>
      <c r="C419" s="93"/>
      <c r="D419" s="66" t="s">
        <v>384</v>
      </c>
      <c r="E419" s="69">
        <v>2</v>
      </c>
      <c r="F419" s="68">
        <v>0</v>
      </c>
      <c r="G419" s="63">
        <f t="shared" si="373"/>
        <v>2</v>
      </c>
      <c r="H419" s="67" t="s">
        <v>73</v>
      </c>
      <c r="I419" s="140">
        <v>2</v>
      </c>
      <c r="J419" s="141">
        <f t="shared" si="380"/>
        <v>4</v>
      </c>
      <c r="K419" s="142">
        <f>'LABOR SHEET'!C$3</f>
        <v>128</v>
      </c>
      <c r="L419" s="143">
        <f t="shared" si="381"/>
        <v>256</v>
      </c>
      <c r="M419" s="143">
        <f t="shared" si="382"/>
        <v>512</v>
      </c>
      <c r="N419" s="143">
        <v>310</v>
      </c>
      <c r="O419" s="143">
        <f t="shared" si="383"/>
        <v>620</v>
      </c>
      <c r="P419" s="143">
        <f t="shared" si="384"/>
        <v>566</v>
      </c>
      <c r="Q419" s="178">
        <f t="shared" si="385"/>
        <v>1132</v>
      </c>
      <c r="R419" s="181"/>
      <c r="S419" s="181"/>
      <c r="T419" s="181"/>
      <c r="U419" s="181"/>
      <c r="V419" s="181"/>
      <c r="W419" s="181"/>
      <c r="X419" s="181"/>
      <c r="Y419" s="181"/>
      <c r="Z419" s="181"/>
      <c r="AA419" s="181"/>
      <c r="AB419" s="181"/>
      <c r="AC419" s="181"/>
      <c r="AD419" s="181"/>
      <c r="AE419" s="181"/>
      <c r="AF419" s="181"/>
      <c r="AG419" s="181"/>
      <c r="AH419" s="181"/>
      <c r="AI419" s="181"/>
      <c r="AJ419" s="181"/>
    </row>
    <row r="420" s="32" customFormat="1" ht="31.5" spans="1:36">
      <c r="A420" s="91">
        <f>IF(F420&lt;&gt;"",1+MAX($A$2:A419),"")</f>
        <v>333</v>
      </c>
      <c r="B420" s="92"/>
      <c r="C420" s="93"/>
      <c r="D420" s="66" t="s">
        <v>385</v>
      </c>
      <c r="E420" s="69">
        <v>4</v>
      </c>
      <c r="F420" s="68">
        <v>0</v>
      </c>
      <c r="G420" s="63">
        <f t="shared" si="373"/>
        <v>4</v>
      </c>
      <c r="H420" s="67" t="s">
        <v>73</v>
      </c>
      <c r="I420" s="140">
        <v>2</v>
      </c>
      <c r="J420" s="141">
        <f t="shared" si="374"/>
        <v>8</v>
      </c>
      <c r="K420" s="142">
        <f>'LABOR SHEET'!C$3</f>
        <v>128</v>
      </c>
      <c r="L420" s="143">
        <f t="shared" si="375"/>
        <v>256</v>
      </c>
      <c r="M420" s="143">
        <f t="shared" si="376"/>
        <v>1024</v>
      </c>
      <c r="N420" s="143">
        <v>500.98</v>
      </c>
      <c r="O420" s="143">
        <f t="shared" si="377"/>
        <v>2003.92</v>
      </c>
      <c r="P420" s="143">
        <f t="shared" si="378"/>
        <v>756.98</v>
      </c>
      <c r="Q420" s="178">
        <f t="shared" si="379"/>
        <v>3027.92</v>
      </c>
      <c r="R420" s="181"/>
      <c r="S420" s="181"/>
      <c r="T420" s="181"/>
      <c r="U420" s="181"/>
      <c r="V420" s="181"/>
      <c r="W420" s="181"/>
      <c r="X420" s="181"/>
      <c r="Y420" s="181"/>
      <c r="Z420" s="181"/>
      <c r="AA420" s="181"/>
      <c r="AB420" s="181"/>
      <c r="AC420" s="181"/>
      <c r="AD420" s="181"/>
      <c r="AE420" s="181"/>
      <c r="AF420" s="181"/>
      <c r="AG420" s="181"/>
      <c r="AH420" s="181"/>
      <c r="AI420" s="181"/>
      <c r="AJ420" s="181"/>
    </row>
    <row r="421" s="32" customFormat="1" ht="31.5" spans="1:36">
      <c r="A421" s="91">
        <f>IF(F421&lt;&gt;"",1+MAX($A$2:A420),"")</f>
        <v>334</v>
      </c>
      <c r="B421" s="92"/>
      <c r="C421" s="93"/>
      <c r="D421" s="66" t="s">
        <v>386</v>
      </c>
      <c r="E421" s="69">
        <v>6</v>
      </c>
      <c r="F421" s="68">
        <v>0</v>
      </c>
      <c r="G421" s="63">
        <f t="shared" si="373"/>
        <v>6</v>
      </c>
      <c r="H421" s="67" t="s">
        <v>73</v>
      </c>
      <c r="I421" s="140">
        <v>2.5</v>
      </c>
      <c r="J421" s="141">
        <f t="shared" si="374"/>
        <v>15</v>
      </c>
      <c r="K421" s="142">
        <f>'LABOR SHEET'!C$3</f>
        <v>128</v>
      </c>
      <c r="L421" s="143">
        <f t="shared" si="375"/>
        <v>320</v>
      </c>
      <c r="M421" s="143">
        <f t="shared" si="376"/>
        <v>1920</v>
      </c>
      <c r="N421" s="143">
        <v>641.7</v>
      </c>
      <c r="O421" s="143">
        <f t="shared" si="377"/>
        <v>3850.2</v>
      </c>
      <c r="P421" s="143">
        <f t="shared" si="378"/>
        <v>961.7</v>
      </c>
      <c r="Q421" s="178">
        <f t="shared" si="379"/>
        <v>5770.2</v>
      </c>
      <c r="R421" s="181"/>
      <c r="S421" s="181"/>
      <c r="T421" s="181"/>
      <c r="U421" s="181"/>
      <c r="V421" s="181"/>
      <c r="W421" s="181"/>
      <c r="X421" s="181"/>
      <c r="Y421" s="181"/>
      <c r="Z421" s="181"/>
      <c r="AA421" s="181"/>
      <c r="AB421" s="181"/>
      <c r="AC421" s="181"/>
      <c r="AD421" s="181"/>
      <c r="AE421" s="181"/>
      <c r="AF421" s="181"/>
      <c r="AG421" s="181"/>
      <c r="AH421" s="181"/>
      <c r="AI421" s="181"/>
      <c r="AJ421" s="181"/>
    </row>
    <row r="422" s="32" customFormat="1" ht="31.5" spans="1:36">
      <c r="A422" s="91">
        <f>IF(F422&lt;&gt;"",1+MAX($A$2:A421),"")</f>
        <v>335</v>
      </c>
      <c r="B422" s="92"/>
      <c r="C422" s="93"/>
      <c r="D422" s="66" t="s">
        <v>387</v>
      </c>
      <c r="E422" s="69">
        <v>3</v>
      </c>
      <c r="F422" s="68">
        <v>0</v>
      </c>
      <c r="G422" s="63">
        <f t="shared" si="373"/>
        <v>3</v>
      </c>
      <c r="H422" s="67" t="s">
        <v>73</v>
      </c>
      <c r="I422" s="140">
        <v>10</v>
      </c>
      <c r="J422" s="141">
        <f t="shared" si="374"/>
        <v>30</v>
      </c>
      <c r="K422" s="142">
        <f>'LABOR SHEET'!C$3</f>
        <v>128</v>
      </c>
      <c r="L422" s="143">
        <f t="shared" si="375"/>
        <v>1280</v>
      </c>
      <c r="M422" s="143">
        <f t="shared" si="376"/>
        <v>3840</v>
      </c>
      <c r="N422" s="143">
        <v>9190</v>
      </c>
      <c r="O422" s="143">
        <f t="shared" si="377"/>
        <v>27570</v>
      </c>
      <c r="P422" s="143">
        <f t="shared" si="378"/>
        <v>10470</v>
      </c>
      <c r="Q422" s="178">
        <f t="shared" si="379"/>
        <v>31410</v>
      </c>
      <c r="R422" s="181"/>
      <c r="S422" s="181"/>
      <c r="T422" s="181"/>
      <c r="U422" s="181"/>
      <c r="V422" s="181"/>
      <c r="W422" s="181"/>
      <c r="X422" s="181"/>
      <c r="Y422" s="181"/>
      <c r="Z422" s="181"/>
      <c r="AA422" s="181"/>
      <c r="AB422" s="181"/>
      <c r="AC422" s="181"/>
      <c r="AD422" s="181"/>
      <c r="AE422" s="181"/>
      <c r="AF422" s="181"/>
      <c r="AG422" s="181"/>
      <c r="AH422" s="181"/>
      <c r="AI422" s="181"/>
      <c r="AJ422" s="181"/>
    </row>
    <row r="423" s="32" customFormat="1" ht="31.5" spans="1:36">
      <c r="A423" s="91">
        <f>IF(F423&lt;&gt;"",1+MAX($A$2:A422),"")</f>
        <v>336</v>
      </c>
      <c r="B423" s="92"/>
      <c r="C423" s="93"/>
      <c r="D423" s="66" t="s">
        <v>388</v>
      </c>
      <c r="E423" s="69">
        <v>3</v>
      </c>
      <c r="F423" s="68">
        <v>0</v>
      </c>
      <c r="G423" s="63">
        <f t="shared" si="373"/>
        <v>3</v>
      </c>
      <c r="H423" s="67" t="s">
        <v>73</v>
      </c>
      <c r="I423" s="140">
        <v>2.5</v>
      </c>
      <c r="J423" s="141">
        <f t="shared" si="374"/>
        <v>7.5</v>
      </c>
      <c r="K423" s="142">
        <f>'LABOR SHEET'!C$3</f>
        <v>128</v>
      </c>
      <c r="L423" s="143">
        <f t="shared" si="375"/>
        <v>320</v>
      </c>
      <c r="M423" s="143">
        <f t="shared" si="376"/>
        <v>960</v>
      </c>
      <c r="N423" s="143">
        <v>1350</v>
      </c>
      <c r="O423" s="143">
        <f t="shared" si="377"/>
        <v>4050</v>
      </c>
      <c r="P423" s="143">
        <f t="shared" si="378"/>
        <v>1670</v>
      </c>
      <c r="Q423" s="178">
        <f t="shared" si="379"/>
        <v>5010</v>
      </c>
      <c r="R423" s="181"/>
      <c r="S423" s="181"/>
      <c r="T423" s="181"/>
      <c r="U423" s="181"/>
      <c r="V423" s="181"/>
      <c r="W423" s="181"/>
      <c r="X423" s="181"/>
      <c r="Y423" s="181"/>
      <c r="Z423" s="181"/>
      <c r="AA423" s="181"/>
      <c r="AB423" s="181"/>
      <c r="AC423" s="181"/>
      <c r="AD423" s="181"/>
      <c r="AE423" s="181"/>
      <c r="AF423" s="181"/>
      <c r="AG423" s="181"/>
      <c r="AH423" s="181"/>
      <c r="AI423" s="181"/>
      <c r="AJ423" s="181"/>
    </row>
    <row r="424" s="32" customFormat="1" ht="31.5" spans="1:36">
      <c r="A424" s="91">
        <f>IF(F424&lt;&gt;"",1+MAX($A$2:A423),"")</f>
        <v>337</v>
      </c>
      <c r="B424" s="92"/>
      <c r="C424" s="93"/>
      <c r="D424" s="66" t="s">
        <v>389</v>
      </c>
      <c r="E424" s="69">
        <v>2</v>
      </c>
      <c r="F424" s="68">
        <v>0</v>
      </c>
      <c r="G424" s="63">
        <f t="shared" si="373"/>
        <v>2</v>
      </c>
      <c r="H424" s="67" t="s">
        <v>73</v>
      </c>
      <c r="I424" s="140">
        <v>2.5</v>
      </c>
      <c r="J424" s="141">
        <f t="shared" ref="J424:J425" si="386">+I424*G424</f>
        <v>5</v>
      </c>
      <c r="K424" s="142">
        <f>'LABOR SHEET'!C$3</f>
        <v>128</v>
      </c>
      <c r="L424" s="143">
        <f t="shared" ref="L424:L425" si="387">I424*K424</f>
        <v>320</v>
      </c>
      <c r="M424" s="143">
        <f t="shared" ref="M424:M425" si="388">K424*J424</f>
        <v>640</v>
      </c>
      <c r="N424" s="143">
        <v>1350</v>
      </c>
      <c r="O424" s="143">
        <f t="shared" ref="O424:O425" si="389">N424*G424</f>
        <v>2700</v>
      </c>
      <c r="P424" s="143">
        <f t="shared" ref="P424:P425" si="390">(I424*K424)+N424</f>
        <v>1670</v>
      </c>
      <c r="Q424" s="178">
        <f t="shared" ref="Q424:Q425" si="391">P424*G424</f>
        <v>3340</v>
      </c>
      <c r="R424" s="181"/>
      <c r="S424" s="181"/>
      <c r="T424" s="181"/>
      <c r="U424" s="181"/>
      <c r="V424" s="181"/>
      <c r="W424" s="181"/>
      <c r="X424" s="181"/>
      <c r="Y424" s="181"/>
      <c r="Z424" s="181"/>
      <c r="AA424" s="181"/>
      <c r="AB424" s="181"/>
      <c r="AC424" s="181"/>
      <c r="AD424" s="181"/>
      <c r="AE424" s="181"/>
      <c r="AF424" s="181"/>
      <c r="AG424" s="181"/>
      <c r="AH424" s="181"/>
      <c r="AI424" s="181"/>
      <c r="AJ424" s="181"/>
    </row>
    <row r="425" s="32" customFormat="1" ht="31.5" spans="1:36">
      <c r="A425" s="91">
        <f>IF(F425&lt;&gt;"",1+MAX($A$2:A424),"")</f>
        <v>338</v>
      </c>
      <c r="B425" s="92"/>
      <c r="C425" s="93"/>
      <c r="D425" s="66" t="s">
        <v>390</v>
      </c>
      <c r="E425" s="69">
        <v>1</v>
      </c>
      <c r="F425" s="68">
        <v>0</v>
      </c>
      <c r="G425" s="63">
        <f t="shared" si="373"/>
        <v>1</v>
      </c>
      <c r="H425" s="67" t="s">
        <v>73</v>
      </c>
      <c r="I425" s="140">
        <v>2.5</v>
      </c>
      <c r="J425" s="141">
        <f t="shared" si="386"/>
        <v>2.5</v>
      </c>
      <c r="K425" s="142">
        <f>'LABOR SHEET'!C$3</f>
        <v>128</v>
      </c>
      <c r="L425" s="143">
        <f t="shared" si="387"/>
        <v>320</v>
      </c>
      <c r="M425" s="143">
        <f t="shared" si="388"/>
        <v>320</v>
      </c>
      <c r="N425" s="143">
        <v>1350</v>
      </c>
      <c r="O425" s="143">
        <f t="shared" si="389"/>
        <v>1350</v>
      </c>
      <c r="P425" s="143">
        <f t="shared" si="390"/>
        <v>1670</v>
      </c>
      <c r="Q425" s="178">
        <f t="shared" si="391"/>
        <v>1670</v>
      </c>
      <c r="R425" s="181"/>
      <c r="S425" s="181"/>
      <c r="T425" s="181"/>
      <c r="U425" s="181"/>
      <c r="V425" s="181"/>
      <c r="W425" s="181"/>
      <c r="X425" s="181"/>
      <c r="Y425" s="181"/>
      <c r="Z425" s="181"/>
      <c r="AA425" s="181"/>
      <c r="AB425" s="181"/>
      <c r="AC425" s="181"/>
      <c r="AD425" s="181"/>
      <c r="AE425" s="181"/>
      <c r="AF425" s="181"/>
      <c r="AG425" s="181"/>
      <c r="AH425" s="181"/>
      <c r="AI425" s="181"/>
      <c r="AJ425" s="181"/>
    </row>
    <row r="426" s="32" customFormat="1" ht="31.5" spans="1:36">
      <c r="A426" s="91">
        <f>IF(F426&lt;&gt;"",1+MAX($A$2:A425),"")</f>
        <v>339</v>
      </c>
      <c r="B426" s="92"/>
      <c r="C426" s="93"/>
      <c r="D426" s="66" t="s">
        <v>391</v>
      </c>
      <c r="E426" s="69">
        <v>10</v>
      </c>
      <c r="F426" s="68">
        <v>0</v>
      </c>
      <c r="G426" s="63">
        <f t="shared" si="373"/>
        <v>10</v>
      </c>
      <c r="H426" s="67" t="s">
        <v>73</v>
      </c>
      <c r="I426" s="140">
        <v>1</v>
      </c>
      <c r="J426" s="141">
        <f t="shared" si="374"/>
        <v>10</v>
      </c>
      <c r="K426" s="142">
        <f>'LABOR SHEET'!C$3</f>
        <v>128</v>
      </c>
      <c r="L426" s="143">
        <f t="shared" si="375"/>
        <v>128</v>
      </c>
      <c r="M426" s="143">
        <f t="shared" si="376"/>
        <v>1280</v>
      </c>
      <c r="N426" s="143">
        <v>279</v>
      </c>
      <c r="O426" s="143">
        <f t="shared" si="377"/>
        <v>2790</v>
      </c>
      <c r="P426" s="143">
        <f t="shared" si="378"/>
        <v>407</v>
      </c>
      <c r="Q426" s="178">
        <f t="shared" si="379"/>
        <v>4070</v>
      </c>
      <c r="R426" s="181"/>
      <c r="S426" s="181"/>
      <c r="T426" s="181"/>
      <c r="U426" s="181"/>
      <c r="V426" s="181"/>
      <c r="W426" s="181"/>
      <c r="X426" s="181"/>
      <c r="Y426" s="181"/>
      <c r="Z426" s="181"/>
      <c r="AA426" s="181"/>
      <c r="AB426" s="181"/>
      <c r="AC426" s="181"/>
      <c r="AD426" s="181"/>
      <c r="AE426" s="181"/>
      <c r="AF426" s="181"/>
      <c r="AG426" s="181"/>
      <c r="AH426" s="181"/>
      <c r="AI426" s="181"/>
      <c r="AJ426" s="181"/>
    </row>
    <row r="427" s="32" customFormat="1" ht="31.5" spans="1:36">
      <c r="A427" s="91">
        <f>IF(F427&lt;&gt;"",1+MAX($A$2:A426),"")</f>
        <v>340</v>
      </c>
      <c r="B427" s="92"/>
      <c r="C427" s="93"/>
      <c r="D427" s="66" t="s">
        <v>392</v>
      </c>
      <c r="E427" s="69">
        <v>2</v>
      </c>
      <c r="F427" s="68">
        <v>0</v>
      </c>
      <c r="G427" s="63">
        <f t="shared" si="373"/>
        <v>2</v>
      </c>
      <c r="H427" s="67" t="s">
        <v>73</v>
      </c>
      <c r="I427" s="140">
        <v>1.2</v>
      </c>
      <c r="J427" s="141">
        <f t="shared" si="374"/>
        <v>2.4</v>
      </c>
      <c r="K427" s="142">
        <f>'LABOR SHEET'!C$3</f>
        <v>128</v>
      </c>
      <c r="L427" s="143">
        <f t="shared" si="375"/>
        <v>153.6</v>
      </c>
      <c r="M427" s="143">
        <f t="shared" si="376"/>
        <v>307.2</v>
      </c>
      <c r="N427" s="143">
        <v>399</v>
      </c>
      <c r="O427" s="143">
        <f t="shared" si="377"/>
        <v>798</v>
      </c>
      <c r="P427" s="143">
        <f t="shared" si="378"/>
        <v>552.6</v>
      </c>
      <c r="Q427" s="178">
        <f t="shared" si="379"/>
        <v>1105.2</v>
      </c>
      <c r="R427" s="181"/>
      <c r="S427" s="181"/>
      <c r="T427" s="181"/>
      <c r="U427" s="181"/>
      <c r="V427" s="181"/>
      <c r="W427" s="181"/>
      <c r="X427" s="181"/>
      <c r="Y427" s="181"/>
      <c r="Z427" s="181"/>
      <c r="AA427" s="181"/>
      <c r="AB427" s="181"/>
      <c r="AC427" s="181"/>
      <c r="AD427" s="181"/>
      <c r="AE427" s="181"/>
      <c r="AF427" s="181"/>
      <c r="AG427" s="181"/>
      <c r="AH427" s="181"/>
      <c r="AI427" s="181"/>
      <c r="AJ427" s="181"/>
    </row>
    <row r="428" s="32" customFormat="1" ht="31.5" spans="1:36">
      <c r="A428" s="91">
        <f>IF(F428&lt;&gt;"",1+MAX($A$2:A427),"")</f>
        <v>341</v>
      </c>
      <c r="B428" s="92"/>
      <c r="C428" s="93"/>
      <c r="D428" s="66" t="s">
        <v>393</v>
      </c>
      <c r="E428" s="69">
        <v>8</v>
      </c>
      <c r="F428" s="68">
        <v>0</v>
      </c>
      <c r="G428" s="63">
        <f t="shared" si="373"/>
        <v>8</v>
      </c>
      <c r="H428" s="67" t="s">
        <v>73</v>
      </c>
      <c r="I428" s="140">
        <v>1.5</v>
      </c>
      <c r="J428" s="141">
        <f t="shared" si="374"/>
        <v>12</v>
      </c>
      <c r="K428" s="142">
        <f>'LABOR SHEET'!C$3</f>
        <v>128</v>
      </c>
      <c r="L428" s="143">
        <f t="shared" si="375"/>
        <v>192</v>
      </c>
      <c r="M428" s="143">
        <f t="shared" si="376"/>
        <v>1536</v>
      </c>
      <c r="N428" s="143">
        <v>319.67</v>
      </c>
      <c r="O428" s="143">
        <f t="shared" si="377"/>
        <v>2557.36</v>
      </c>
      <c r="P428" s="143">
        <f t="shared" si="378"/>
        <v>511.67</v>
      </c>
      <c r="Q428" s="178">
        <f t="shared" si="379"/>
        <v>4093.36</v>
      </c>
      <c r="R428" s="181"/>
      <c r="S428" s="181"/>
      <c r="T428" s="181"/>
      <c r="U428" s="181"/>
      <c r="V428" s="181"/>
      <c r="W428" s="181"/>
      <c r="X428" s="181"/>
      <c r="Y428" s="181"/>
      <c r="Z428" s="181"/>
      <c r="AA428" s="181"/>
      <c r="AB428" s="181"/>
      <c r="AC428" s="181"/>
      <c r="AD428" s="181"/>
      <c r="AE428" s="181"/>
      <c r="AF428" s="181"/>
      <c r="AG428" s="181"/>
      <c r="AH428" s="181"/>
      <c r="AI428" s="181"/>
      <c r="AJ428" s="181"/>
    </row>
    <row r="429" s="32" customFormat="1" ht="31.5" spans="1:36">
      <c r="A429" s="91">
        <f>IF(F429&lt;&gt;"",1+MAX($A$2:A428),"")</f>
        <v>342</v>
      </c>
      <c r="B429" s="92"/>
      <c r="C429" s="93"/>
      <c r="D429" s="66" t="s">
        <v>394</v>
      </c>
      <c r="E429" s="69">
        <v>4</v>
      </c>
      <c r="F429" s="68">
        <v>0</v>
      </c>
      <c r="G429" s="63">
        <f t="shared" si="373"/>
        <v>4</v>
      </c>
      <c r="H429" s="67" t="s">
        <v>73</v>
      </c>
      <c r="I429" s="140">
        <v>2</v>
      </c>
      <c r="J429" s="141">
        <f t="shared" si="374"/>
        <v>8</v>
      </c>
      <c r="K429" s="142">
        <f>'LABOR SHEET'!C$3</f>
        <v>128</v>
      </c>
      <c r="L429" s="143">
        <f t="shared" si="375"/>
        <v>256</v>
      </c>
      <c r="M429" s="143">
        <f t="shared" si="376"/>
        <v>1024</v>
      </c>
      <c r="N429" s="143">
        <v>488</v>
      </c>
      <c r="O429" s="143">
        <f t="shared" si="377"/>
        <v>1952</v>
      </c>
      <c r="P429" s="143">
        <f t="shared" si="378"/>
        <v>744</v>
      </c>
      <c r="Q429" s="178">
        <f t="shared" si="379"/>
        <v>2976</v>
      </c>
      <c r="R429" s="181"/>
      <c r="S429" s="181"/>
      <c r="T429" s="181"/>
      <c r="U429" s="181"/>
      <c r="V429" s="181"/>
      <c r="W429" s="181"/>
      <c r="X429" s="181"/>
      <c r="Y429" s="181"/>
      <c r="Z429" s="181"/>
      <c r="AA429" s="181"/>
      <c r="AB429" s="181"/>
      <c r="AC429" s="181"/>
      <c r="AD429" s="181"/>
      <c r="AE429" s="181"/>
      <c r="AF429" s="181"/>
      <c r="AG429" s="181"/>
      <c r="AH429" s="181"/>
      <c r="AI429" s="181"/>
      <c r="AJ429" s="181"/>
    </row>
    <row r="430" s="32" customFormat="1" ht="31.5" spans="1:36">
      <c r="A430" s="91">
        <f>IF(F430&lt;&gt;"",1+MAX($A$2:A429),"")</f>
        <v>343</v>
      </c>
      <c r="B430" s="92"/>
      <c r="C430" s="93"/>
      <c r="D430" s="66" t="s">
        <v>395</v>
      </c>
      <c r="E430" s="69">
        <v>1</v>
      </c>
      <c r="F430" s="68">
        <v>0</v>
      </c>
      <c r="G430" s="63">
        <f t="shared" si="373"/>
        <v>1</v>
      </c>
      <c r="H430" s="67" t="s">
        <v>73</v>
      </c>
      <c r="I430" s="140">
        <v>4.5</v>
      </c>
      <c r="J430" s="141">
        <f t="shared" si="374"/>
        <v>4.5</v>
      </c>
      <c r="K430" s="142">
        <f>'LABOR SHEET'!C$3</f>
        <v>128</v>
      </c>
      <c r="L430" s="143">
        <f t="shared" si="375"/>
        <v>576</v>
      </c>
      <c r="M430" s="143">
        <f t="shared" si="376"/>
        <v>576</v>
      </c>
      <c r="N430" s="143">
        <v>1139.3</v>
      </c>
      <c r="O430" s="143">
        <f t="shared" si="377"/>
        <v>1139.3</v>
      </c>
      <c r="P430" s="143">
        <f t="shared" si="378"/>
        <v>1715.3</v>
      </c>
      <c r="Q430" s="178">
        <f t="shared" si="379"/>
        <v>1715.3</v>
      </c>
      <c r="R430" s="181"/>
      <c r="S430" s="181"/>
      <c r="T430" s="181"/>
      <c r="U430" s="181"/>
      <c r="V430" s="181"/>
      <c r="W430" s="181"/>
      <c r="X430" s="181"/>
      <c r="Y430" s="181"/>
      <c r="Z430" s="181"/>
      <c r="AA430" s="181"/>
      <c r="AB430" s="181"/>
      <c r="AC430" s="181"/>
      <c r="AD430" s="181"/>
      <c r="AE430" s="181"/>
      <c r="AF430" s="181"/>
      <c r="AG430" s="181"/>
      <c r="AH430" s="181"/>
      <c r="AI430" s="181"/>
      <c r="AJ430" s="181"/>
    </row>
    <row r="431" s="32" customFormat="1" ht="31.5" spans="1:36">
      <c r="A431" s="91">
        <f>IF(F431&lt;&gt;"",1+MAX($A$2:A430),"")</f>
        <v>344</v>
      </c>
      <c r="B431" s="92"/>
      <c r="C431" s="93"/>
      <c r="D431" s="66" t="s">
        <v>396</v>
      </c>
      <c r="E431" s="69">
        <v>1</v>
      </c>
      <c r="F431" s="68">
        <v>0</v>
      </c>
      <c r="G431" s="63">
        <f t="shared" si="373"/>
        <v>1</v>
      </c>
      <c r="H431" s="67" t="s">
        <v>73</v>
      </c>
      <c r="I431" s="140">
        <v>4.5</v>
      </c>
      <c r="J431" s="141">
        <f t="shared" si="374"/>
        <v>4.5</v>
      </c>
      <c r="K431" s="142">
        <f>'LABOR SHEET'!C$3</f>
        <v>128</v>
      </c>
      <c r="L431" s="143">
        <f t="shared" si="375"/>
        <v>576</v>
      </c>
      <c r="M431" s="143">
        <f t="shared" si="376"/>
        <v>576</v>
      </c>
      <c r="N431" s="143">
        <v>1139.3</v>
      </c>
      <c r="O431" s="143">
        <f t="shared" si="377"/>
        <v>1139.3</v>
      </c>
      <c r="P431" s="143">
        <f t="shared" si="378"/>
        <v>1715.3</v>
      </c>
      <c r="Q431" s="178">
        <f t="shared" si="379"/>
        <v>1715.3</v>
      </c>
      <c r="R431" s="181"/>
      <c r="S431" s="181"/>
      <c r="T431" s="181"/>
      <c r="U431" s="181"/>
      <c r="V431" s="181"/>
      <c r="W431" s="181"/>
      <c r="X431" s="181"/>
      <c r="Y431" s="181"/>
      <c r="Z431" s="181"/>
      <c r="AA431" s="181"/>
      <c r="AB431" s="181"/>
      <c r="AC431" s="181"/>
      <c r="AD431" s="181"/>
      <c r="AE431" s="181"/>
      <c r="AF431" s="181"/>
      <c r="AG431" s="181"/>
      <c r="AH431" s="181"/>
      <c r="AI431" s="181"/>
      <c r="AJ431" s="181"/>
    </row>
    <row r="432" s="32" customFormat="1" ht="31.5" spans="1:36">
      <c r="A432" s="91">
        <f>IF(F432&lt;&gt;"",1+MAX($A$2:A431),"")</f>
        <v>345</v>
      </c>
      <c r="B432" s="92"/>
      <c r="C432" s="93"/>
      <c r="D432" s="66" t="s">
        <v>397</v>
      </c>
      <c r="E432" s="69">
        <v>2</v>
      </c>
      <c r="F432" s="68">
        <v>0</v>
      </c>
      <c r="G432" s="63">
        <f t="shared" si="373"/>
        <v>2</v>
      </c>
      <c r="H432" s="67" t="s">
        <v>73</v>
      </c>
      <c r="I432" s="140">
        <v>3</v>
      </c>
      <c r="J432" s="141">
        <f t="shared" si="374"/>
        <v>6</v>
      </c>
      <c r="K432" s="142">
        <f>'LABOR SHEET'!C$3</f>
        <v>128</v>
      </c>
      <c r="L432" s="143">
        <f t="shared" si="375"/>
        <v>384</v>
      </c>
      <c r="M432" s="143">
        <f t="shared" si="376"/>
        <v>768</v>
      </c>
      <c r="N432" s="143">
        <v>1250</v>
      </c>
      <c r="O432" s="143">
        <f t="shared" si="377"/>
        <v>2500</v>
      </c>
      <c r="P432" s="143">
        <f t="shared" si="378"/>
        <v>1634</v>
      </c>
      <c r="Q432" s="178">
        <f t="shared" si="379"/>
        <v>3268</v>
      </c>
      <c r="R432" s="181"/>
      <c r="S432" s="181"/>
      <c r="T432" s="181"/>
      <c r="U432" s="181"/>
      <c r="V432" s="181"/>
      <c r="W432" s="181"/>
      <c r="X432" s="181"/>
      <c r="Y432" s="181"/>
      <c r="Z432" s="181"/>
      <c r="AA432" s="181"/>
      <c r="AB432" s="181"/>
      <c r="AC432" s="181"/>
      <c r="AD432" s="181"/>
      <c r="AE432" s="181"/>
      <c r="AF432" s="181"/>
      <c r="AG432" s="181"/>
      <c r="AH432" s="181"/>
      <c r="AI432" s="181"/>
      <c r="AJ432" s="181"/>
    </row>
    <row r="433" s="32" customFormat="1" ht="31.5" spans="1:36">
      <c r="A433" s="91">
        <f>IF(F433&lt;&gt;"",1+MAX($A$2:A432),"")</f>
        <v>346</v>
      </c>
      <c r="B433" s="92"/>
      <c r="C433" s="93"/>
      <c r="D433" s="66" t="s">
        <v>398</v>
      </c>
      <c r="E433" s="69">
        <v>2</v>
      </c>
      <c r="F433" s="68">
        <v>0</v>
      </c>
      <c r="G433" s="63">
        <f t="shared" si="373"/>
        <v>2</v>
      </c>
      <c r="H433" s="67" t="s">
        <v>73</v>
      </c>
      <c r="I433" s="140">
        <v>3</v>
      </c>
      <c r="J433" s="141">
        <f t="shared" si="374"/>
        <v>6</v>
      </c>
      <c r="K433" s="142">
        <f>'LABOR SHEET'!C$3</f>
        <v>128</v>
      </c>
      <c r="L433" s="143">
        <f t="shared" si="375"/>
        <v>384</v>
      </c>
      <c r="M433" s="143">
        <f t="shared" si="376"/>
        <v>768</v>
      </c>
      <c r="N433" s="143">
        <v>1199</v>
      </c>
      <c r="O433" s="143">
        <f t="shared" si="377"/>
        <v>2398</v>
      </c>
      <c r="P433" s="143">
        <f t="shared" si="378"/>
        <v>1583</v>
      </c>
      <c r="Q433" s="178">
        <f t="shared" si="379"/>
        <v>3166</v>
      </c>
      <c r="R433" s="181"/>
      <c r="S433" s="181"/>
      <c r="T433" s="181"/>
      <c r="U433" s="181"/>
      <c r="V433" s="181"/>
      <c r="W433" s="181"/>
      <c r="X433" s="181"/>
      <c r="Y433" s="181"/>
      <c r="Z433" s="181"/>
      <c r="AA433" s="181"/>
      <c r="AB433" s="181"/>
      <c r="AC433" s="181"/>
      <c r="AD433" s="181"/>
      <c r="AE433" s="181"/>
      <c r="AF433" s="181"/>
      <c r="AG433" s="181"/>
      <c r="AH433" s="181"/>
      <c r="AI433" s="181"/>
      <c r="AJ433" s="181"/>
    </row>
    <row r="434" s="32" customFormat="1" ht="31.5" spans="1:36">
      <c r="A434" s="91">
        <f>IF(F434&lt;&gt;"",1+MAX($A$2:A433),"")</f>
        <v>347</v>
      </c>
      <c r="B434" s="92"/>
      <c r="C434" s="93"/>
      <c r="D434" s="66" t="s">
        <v>399</v>
      </c>
      <c r="E434" s="69">
        <v>1</v>
      </c>
      <c r="F434" s="68">
        <v>0</v>
      </c>
      <c r="G434" s="63">
        <f t="shared" si="373"/>
        <v>1</v>
      </c>
      <c r="H434" s="67" t="s">
        <v>73</v>
      </c>
      <c r="I434" s="140">
        <v>2</v>
      </c>
      <c r="J434" s="141">
        <f t="shared" si="374"/>
        <v>2</v>
      </c>
      <c r="K434" s="142">
        <f>'LABOR SHEET'!C$3</f>
        <v>128</v>
      </c>
      <c r="L434" s="143">
        <f t="shared" si="375"/>
        <v>256</v>
      </c>
      <c r="M434" s="143">
        <f t="shared" si="376"/>
        <v>256</v>
      </c>
      <c r="N434" s="143">
        <v>413</v>
      </c>
      <c r="O434" s="143">
        <f t="shared" si="377"/>
        <v>413</v>
      </c>
      <c r="P434" s="143">
        <f t="shared" si="378"/>
        <v>669</v>
      </c>
      <c r="Q434" s="178">
        <f t="shared" si="379"/>
        <v>669</v>
      </c>
      <c r="R434" s="181"/>
      <c r="S434" s="181"/>
      <c r="T434" s="181"/>
      <c r="U434" s="181"/>
      <c r="V434" s="181"/>
      <c r="W434" s="181"/>
      <c r="X434" s="181"/>
      <c r="Y434" s="181"/>
      <c r="Z434" s="181"/>
      <c r="AA434" s="181"/>
      <c r="AB434" s="181"/>
      <c r="AC434" s="181"/>
      <c r="AD434" s="181"/>
      <c r="AE434" s="181"/>
      <c r="AF434" s="181"/>
      <c r="AG434" s="181"/>
      <c r="AH434" s="181"/>
      <c r="AI434" s="181"/>
      <c r="AJ434" s="181"/>
    </row>
    <row r="435" s="32" customFormat="1" spans="1:36">
      <c r="A435" s="91">
        <f>IF(F435&lt;&gt;"",1+MAX($A$2:A434),"")</f>
        <v>348</v>
      </c>
      <c r="B435" s="92"/>
      <c r="C435" s="93"/>
      <c r="D435" s="66" t="s">
        <v>326</v>
      </c>
      <c r="E435" s="69">
        <v>55</v>
      </c>
      <c r="F435" s="68">
        <v>0</v>
      </c>
      <c r="G435" s="63">
        <f t="shared" si="373"/>
        <v>55</v>
      </c>
      <c r="H435" s="67" t="s">
        <v>73</v>
      </c>
      <c r="I435" s="140">
        <v>0.2</v>
      </c>
      <c r="J435" s="141">
        <f t="shared" si="374"/>
        <v>11</v>
      </c>
      <c r="K435" s="142">
        <f>'LABOR SHEET'!C$3</f>
        <v>128</v>
      </c>
      <c r="L435" s="143">
        <f t="shared" si="375"/>
        <v>25.6</v>
      </c>
      <c r="M435" s="143">
        <f t="shared" si="376"/>
        <v>1408</v>
      </c>
      <c r="N435" s="143">
        <v>13.35</v>
      </c>
      <c r="O435" s="143">
        <f t="shared" si="377"/>
        <v>734.25</v>
      </c>
      <c r="P435" s="143">
        <f t="shared" si="378"/>
        <v>38.95</v>
      </c>
      <c r="Q435" s="178">
        <f t="shared" si="379"/>
        <v>2142.25</v>
      </c>
      <c r="R435" s="181"/>
      <c r="S435" s="181"/>
      <c r="T435" s="181"/>
      <c r="U435" s="181"/>
      <c r="V435" s="181"/>
      <c r="W435" s="181"/>
      <c r="X435" s="181"/>
      <c r="Y435" s="181"/>
      <c r="Z435" s="181"/>
      <c r="AA435" s="181"/>
      <c r="AB435" s="181"/>
      <c r="AC435" s="181"/>
      <c r="AD435" s="181"/>
      <c r="AE435" s="181"/>
      <c r="AF435" s="181"/>
      <c r="AG435" s="181"/>
      <c r="AH435" s="181"/>
      <c r="AI435" s="181"/>
      <c r="AJ435" s="181"/>
    </row>
    <row r="436" s="32" customFormat="1" spans="1:36">
      <c r="A436" s="91" t="str">
        <f>IF(F436&lt;&gt;"",1+MAX($A$2:A435),"")</f>
        <v/>
      </c>
      <c r="B436" s="92"/>
      <c r="C436" s="93"/>
      <c r="D436" s="66"/>
      <c r="E436" s="69"/>
      <c r="F436" s="94"/>
      <c r="G436" s="95"/>
      <c r="H436" s="67"/>
      <c r="I436" s="140"/>
      <c r="J436" s="141"/>
      <c r="K436" s="142"/>
      <c r="L436" s="143"/>
      <c r="M436" s="143"/>
      <c r="N436" s="143"/>
      <c r="O436" s="143"/>
      <c r="P436" s="143"/>
      <c r="Q436" s="179"/>
      <c r="R436" s="181"/>
      <c r="S436" s="181"/>
      <c r="T436" s="181"/>
      <c r="U436" s="181"/>
      <c r="V436" s="181"/>
      <c r="W436" s="181"/>
      <c r="X436" s="181"/>
      <c r="Y436" s="181"/>
      <c r="Z436" s="181"/>
      <c r="AA436" s="181"/>
      <c r="AB436" s="181"/>
      <c r="AC436" s="181"/>
      <c r="AD436" s="181"/>
      <c r="AE436" s="181"/>
      <c r="AF436" s="181"/>
      <c r="AG436" s="181"/>
      <c r="AH436" s="181"/>
      <c r="AI436" s="181"/>
      <c r="AJ436" s="181"/>
    </row>
    <row r="437" s="32" customFormat="1" spans="1:36">
      <c r="A437" s="91" t="str">
        <f>IF(F437&lt;&gt;"",1+MAX($A$2:A436),"")</f>
        <v/>
      </c>
      <c r="B437" s="92"/>
      <c r="C437" s="93"/>
      <c r="D437" s="57" t="s">
        <v>400</v>
      </c>
      <c r="E437" s="69"/>
      <c r="F437" s="94"/>
      <c r="G437" s="95"/>
      <c r="H437" s="67"/>
      <c r="I437" s="140"/>
      <c r="J437" s="141"/>
      <c r="K437" s="142"/>
      <c r="L437" s="143"/>
      <c r="M437" s="143"/>
      <c r="N437" s="143"/>
      <c r="O437" s="143"/>
      <c r="P437" s="143"/>
      <c r="Q437" s="179"/>
      <c r="R437" s="181"/>
      <c r="S437" s="181"/>
      <c r="T437" s="181"/>
      <c r="U437" s="181"/>
      <c r="V437" s="181"/>
      <c r="W437" s="181"/>
      <c r="X437" s="181"/>
      <c r="Y437" s="181"/>
      <c r="Z437" s="181"/>
      <c r="AA437" s="181"/>
      <c r="AB437" s="181"/>
      <c r="AC437" s="181"/>
      <c r="AD437" s="181"/>
      <c r="AE437" s="181"/>
      <c r="AF437" s="181"/>
      <c r="AG437" s="181"/>
      <c r="AH437" s="181"/>
      <c r="AI437" s="181"/>
      <c r="AJ437" s="181"/>
    </row>
    <row r="438" s="32" customFormat="1" spans="1:36">
      <c r="A438" s="91" t="str">
        <f>IF(F438&lt;&gt;"",1+MAX($A$2:A437),"")</f>
        <v/>
      </c>
      <c r="B438" s="92"/>
      <c r="C438" s="93"/>
      <c r="D438" s="87" t="s">
        <v>285</v>
      </c>
      <c r="E438" s="69"/>
      <c r="F438" s="94"/>
      <c r="G438" s="95"/>
      <c r="H438" s="67"/>
      <c r="I438" s="140"/>
      <c r="J438" s="141"/>
      <c r="K438" s="142"/>
      <c r="L438" s="143"/>
      <c r="M438" s="143"/>
      <c r="N438" s="143"/>
      <c r="O438" s="143"/>
      <c r="P438" s="143"/>
      <c r="Q438" s="179"/>
      <c r="R438" s="181"/>
      <c r="S438" s="181"/>
      <c r="T438" s="181"/>
      <c r="U438" s="181"/>
      <c r="V438" s="181"/>
      <c r="W438" s="181"/>
      <c r="X438" s="181"/>
      <c r="Y438" s="181"/>
      <c r="Z438" s="181"/>
      <c r="AA438" s="181"/>
      <c r="AB438" s="181"/>
      <c r="AC438" s="181"/>
      <c r="AD438" s="181"/>
      <c r="AE438" s="181"/>
      <c r="AF438" s="181"/>
      <c r="AG438" s="181"/>
      <c r="AH438" s="181"/>
      <c r="AI438" s="181"/>
      <c r="AJ438" s="181"/>
    </row>
    <row r="439" s="32" customFormat="1" spans="1:36">
      <c r="A439" s="91">
        <f>IF(F439&lt;&gt;"",1+MAX($A$2:A438),"")</f>
        <v>349</v>
      </c>
      <c r="B439" s="92"/>
      <c r="C439" s="93"/>
      <c r="D439" s="66" t="s">
        <v>159</v>
      </c>
      <c r="E439" s="69">
        <v>477.8</v>
      </c>
      <c r="F439" s="68">
        <v>0.05</v>
      </c>
      <c r="G439" s="63">
        <f>(F439*E439)+E439</f>
        <v>501.69</v>
      </c>
      <c r="H439" s="67" t="s">
        <v>56</v>
      </c>
      <c r="I439" s="140">
        <v>0.035</v>
      </c>
      <c r="J439" s="141">
        <f t="shared" ref="J439" si="392">+I439*G439</f>
        <v>17.55915</v>
      </c>
      <c r="K439" s="142">
        <f>'LABOR SHEET'!C$3</f>
        <v>128</v>
      </c>
      <c r="L439" s="143">
        <f t="shared" ref="L439" si="393">I439*K439</f>
        <v>4.48</v>
      </c>
      <c r="M439" s="143">
        <f t="shared" ref="M439" si="394">K439*J439</f>
        <v>2247.5712</v>
      </c>
      <c r="N439" s="143">
        <f>9.68/10+0.35</f>
        <v>1.318</v>
      </c>
      <c r="O439" s="143">
        <f t="shared" ref="O439" si="395">N439*G439</f>
        <v>661.22742</v>
      </c>
      <c r="P439" s="143">
        <f t="shared" ref="P439" si="396">(I439*K439)+N439</f>
        <v>5.798</v>
      </c>
      <c r="Q439" s="178">
        <f t="shared" ref="Q439" si="397">P439*G439</f>
        <v>2908.79862</v>
      </c>
      <c r="R439" s="181"/>
      <c r="S439" s="181"/>
      <c r="T439" s="181"/>
      <c r="U439" s="181"/>
      <c r="V439" s="181"/>
      <c r="W439" s="181"/>
      <c r="X439" s="181"/>
      <c r="Y439" s="181"/>
      <c r="Z439" s="181"/>
      <c r="AA439" s="181"/>
      <c r="AB439" s="181"/>
      <c r="AC439" s="181"/>
      <c r="AD439" s="181"/>
      <c r="AE439" s="181"/>
      <c r="AF439" s="181"/>
      <c r="AG439" s="181"/>
      <c r="AH439" s="181"/>
      <c r="AI439" s="181"/>
      <c r="AJ439" s="181"/>
    </row>
    <row r="440" s="32" customFormat="1" spans="1:36">
      <c r="A440" s="91" t="str">
        <f>IF(F440&lt;&gt;"",1+MAX($A$2:A439),"")</f>
        <v/>
      </c>
      <c r="B440" s="92"/>
      <c r="C440" s="93"/>
      <c r="D440" s="66"/>
      <c r="E440" s="69"/>
      <c r="F440" s="94"/>
      <c r="G440" s="95"/>
      <c r="H440" s="67"/>
      <c r="I440" s="140"/>
      <c r="J440" s="141"/>
      <c r="K440" s="142"/>
      <c r="L440" s="143"/>
      <c r="M440" s="143"/>
      <c r="N440" s="143"/>
      <c r="O440" s="143"/>
      <c r="P440" s="143"/>
      <c r="Q440" s="179"/>
      <c r="R440" s="181"/>
      <c r="S440" s="181"/>
      <c r="T440" s="181"/>
      <c r="U440" s="181"/>
      <c r="V440" s="181"/>
      <c r="W440" s="181"/>
      <c r="X440" s="181"/>
      <c r="Y440" s="181"/>
      <c r="Z440" s="181"/>
      <c r="AA440" s="181"/>
      <c r="AB440" s="181"/>
      <c r="AC440" s="181"/>
      <c r="AD440" s="181"/>
      <c r="AE440" s="181"/>
      <c r="AF440" s="181"/>
      <c r="AG440" s="181"/>
      <c r="AH440" s="181"/>
      <c r="AI440" s="181"/>
      <c r="AJ440" s="181"/>
    </row>
    <row r="441" s="32" customFormat="1" spans="1:36">
      <c r="A441" s="91" t="str">
        <f>IF(F441&lt;&gt;"",1+MAX($A$2:A440),"")</f>
        <v/>
      </c>
      <c r="B441" s="92"/>
      <c r="C441" s="93"/>
      <c r="D441" s="87" t="s">
        <v>286</v>
      </c>
      <c r="E441" s="69"/>
      <c r="F441" s="94"/>
      <c r="G441" s="95"/>
      <c r="H441" s="67"/>
      <c r="I441" s="140"/>
      <c r="J441" s="141"/>
      <c r="K441" s="142"/>
      <c r="L441" s="143"/>
      <c r="M441" s="143"/>
      <c r="N441" s="143"/>
      <c r="O441" s="143"/>
      <c r="P441" s="143"/>
      <c r="Q441" s="179"/>
      <c r="R441" s="181"/>
      <c r="S441" s="181"/>
      <c r="T441" s="181"/>
      <c r="U441" s="181"/>
      <c r="V441" s="181"/>
      <c r="W441" s="181"/>
      <c r="X441" s="181"/>
      <c r="Y441" s="181"/>
      <c r="Z441" s="181"/>
      <c r="AA441" s="181"/>
      <c r="AB441" s="181"/>
      <c r="AC441" s="181"/>
      <c r="AD441" s="181"/>
      <c r="AE441" s="181"/>
      <c r="AF441" s="181"/>
      <c r="AG441" s="181"/>
      <c r="AH441" s="181"/>
      <c r="AI441" s="181"/>
      <c r="AJ441" s="181"/>
    </row>
    <row r="442" s="32" customFormat="1" spans="1:36">
      <c r="A442" s="91">
        <f>IF(F442&lt;&gt;"",1+MAX($A$2:A441),"")</f>
        <v>350</v>
      </c>
      <c r="B442" s="92"/>
      <c r="C442" s="93"/>
      <c r="D442" s="66" t="s">
        <v>162</v>
      </c>
      <c r="E442" s="69">
        <v>955.6</v>
      </c>
      <c r="F442" s="68">
        <v>0.05</v>
      </c>
      <c r="G442" s="63">
        <f t="shared" ref="G442:G448" si="398">(F442*E442)+E442</f>
        <v>1003.38</v>
      </c>
      <c r="H442" s="67" t="s">
        <v>56</v>
      </c>
      <c r="I442" s="140">
        <v>0.008</v>
      </c>
      <c r="J442" s="141">
        <f t="shared" ref="J442" si="399">+I442*G442</f>
        <v>8.02704</v>
      </c>
      <c r="K442" s="142">
        <f>'LABOR SHEET'!C$3</f>
        <v>128</v>
      </c>
      <c r="L442" s="143">
        <f t="shared" ref="L442" si="400">I442*K442</f>
        <v>1.024</v>
      </c>
      <c r="M442" s="143">
        <f t="shared" ref="M442" si="401">K442*J442</f>
        <v>1027.46112</v>
      </c>
      <c r="N442" s="143">
        <f>90/500</f>
        <v>0.18</v>
      </c>
      <c r="O442" s="143">
        <f t="shared" ref="O442" si="402">N442*G442</f>
        <v>180.6084</v>
      </c>
      <c r="P442" s="143">
        <f t="shared" ref="P442" si="403">(I442*K442)+N442</f>
        <v>1.204</v>
      </c>
      <c r="Q442" s="178">
        <f t="shared" ref="Q442" si="404">P442*G442</f>
        <v>1208.06952</v>
      </c>
      <c r="R442" s="181"/>
      <c r="S442" s="181"/>
      <c r="T442" s="181"/>
      <c r="U442" s="181"/>
      <c r="V442" s="181"/>
      <c r="W442" s="181"/>
      <c r="X442" s="181"/>
      <c r="Y442" s="181"/>
      <c r="Z442" s="181"/>
      <c r="AA442" s="181"/>
      <c r="AB442" s="181"/>
      <c r="AC442" s="181"/>
      <c r="AD442" s="181"/>
      <c r="AE442" s="181"/>
      <c r="AF442" s="181"/>
      <c r="AG442" s="181"/>
      <c r="AH442" s="181"/>
      <c r="AI442" s="181"/>
      <c r="AJ442" s="181"/>
    </row>
    <row r="443" s="32" customFormat="1" spans="1:36">
      <c r="A443" s="91" t="str">
        <f>IF(F443&lt;&gt;"",1+MAX($A$2:A442),"")</f>
        <v/>
      </c>
      <c r="B443" s="92"/>
      <c r="C443" s="93"/>
      <c r="D443" s="66"/>
      <c r="E443" s="69"/>
      <c r="F443" s="94"/>
      <c r="G443" s="95"/>
      <c r="H443" s="67"/>
      <c r="I443" s="140"/>
      <c r="J443" s="141"/>
      <c r="K443" s="142"/>
      <c r="L443" s="143"/>
      <c r="M443" s="143"/>
      <c r="N443" s="143"/>
      <c r="O443" s="143"/>
      <c r="P443" s="143"/>
      <c r="Q443" s="179"/>
      <c r="R443" s="181"/>
      <c r="S443" s="181"/>
      <c r="T443" s="181"/>
      <c r="U443" s="181"/>
      <c r="V443" s="181"/>
      <c r="W443" s="181"/>
      <c r="X443" s="181"/>
      <c r="Y443" s="181"/>
      <c r="Z443" s="181"/>
      <c r="AA443" s="181"/>
      <c r="AB443" s="181"/>
      <c r="AC443" s="181"/>
      <c r="AD443" s="181"/>
      <c r="AE443" s="181"/>
      <c r="AF443" s="181"/>
      <c r="AG443" s="181"/>
      <c r="AH443" s="181"/>
      <c r="AI443" s="181"/>
      <c r="AJ443" s="181"/>
    </row>
    <row r="444" s="32" customFormat="1" spans="1:36">
      <c r="A444" s="91" t="str">
        <f>IF(F444&lt;&gt;"",1+MAX($A$2:A443),"")</f>
        <v/>
      </c>
      <c r="B444" s="92"/>
      <c r="C444" s="93"/>
      <c r="D444" s="87" t="s">
        <v>291</v>
      </c>
      <c r="E444" s="69"/>
      <c r="F444" s="94"/>
      <c r="G444" s="95"/>
      <c r="H444" s="67"/>
      <c r="I444" s="140"/>
      <c r="J444" s="141"/>
      <c r="K444" s="142"/>
      <c r="L444" s="143"/>
      <c r="M444" s="143"/>
      <c r="N444" s="143"/>
      <c r="O444" s="143"/>
      <c r="P444" s="143"/>
      <c r="Q444" s="179"/>
      <c r="R444" s="181"/>
      <c r="S444" s="181"/>
      <c r="T444" s="181"/>
      <c r="U444" s="181"/>
      <c r="V444" s="181"/>
      <c r="W444" s="181"/>
      <c r="X444" s="181"/>
      <c r="Y444" s="181"/>
      <c r="Z444" s="181"/>
      <c r="AA444" s="181"/>
      <c r="AB444" s="181"/>
      <c r="AC444" s="181"/>
      <c r="AD444" s="181"/>
      <c r="AE444" s="181"/>
      <c r="AF444" s="181"/>
      <c r="AG444" s="181"/>
      <c r="AH444" s="181"/>
      <c r="AI444" s="181"/>
      <c r="AJ444" s="181"/>
    </row>
    <row r="445" s="32" customFormat="1" ht="31.5" spans="1:36">
      <c r="A445" s="91">
        <f>IF(F445&lt;&gt;"",1+MAX($A$2:A444),"")</f>
        <v>351</v>
      </c>
      <c r="B445" s="92"/>
      <c r="C445" s="93"/>
      <c r="D445" s="196" t="s">
        <v>401</v>
      </c>
      <c r="E445" s="69">
        <v>3</v>
      </c>
      <c r="F445" s="68">
        <v>0</v>
      </c>
      <c r="G445" s="63">
        <f t="shared" si="398"/>
        <v>3</v>
      </c>
      <c r="H445" s="67" t="s">
        <v>73</v>
      </c>
      <c r="I445" s="140">
        <v>40</v>
      </c>
      <c r="J445" s="141">
        <f t="shared" ref="J445:J448" si="405">+I445*G445</f>
        <v>120</v>
      </c>
      <c r="K445" s="142">
        <f>'LABOR SHEET'!C$3</f>
        <v>128</v>
      </c>
      <c r="L445" s="143">
        <f t="shared" ref="L445:L448" si="406">I445*K445</f>
        <v>5120</v>
      </c>
      <c r="M445" s="143">
        <f t="shared" ref="M445:M448" si="407">K445*J445</f>
        <v>15360</v>
      </c>
      <c r="N445" s="143">
        <v>18200</v>
      </c>
      <c r="O445" s="143">
        <f t="shared" ref="O445:O448" si="408">N445*G445</f>
        <v>54600</v>
      </c>
      <c r="P445" s="143">
        <f t="shared" ref="P445:P448" si="409">(I445*K445)+N445</f>
        <v>23320</v>
      </c>
      <c r="Q445" s="178">
        <f t="shared" ref="Q445:Q448" si="410">P445*G445</f>
        <v>69960</v>
      </c>
      <c r="R445" s="181"/>
      <c r="S445" s="181"/>
      <c r="T445" s="181"/>
      <c r="U445" s="181"/>
      <c r="V445" s="181"/>
      <c r="W445" s="181"/>
      <c r="X445" s="181"/>
      <c r="Y445" s="181"/>
      <c r="Z445" s="181"/>
      <c r="AA445" s="181"/>
      <c r="AB445" s="181"/>
      <c r="AC445" s="181"/>
      <c r="AD445" s="181"/>
      <c r="AE445" s="181"/>
      <c r="AF445" s="181"/>
      <c r="AG445" s="181"/>
      <c r="AH445" s="181"/>
      <c r="AI445" s="181"/>
      <c r="AJ445" s="181"/>
    </row>
    <row r="446" s="32" customFormat="1" spans="1:36">
      <c r="A446" s="91">
        <f>IF(F446&lt;&gt;"",1+MAX($A$2:A445),"")</f>
        <v>352</v>
      </c>
      <c r="B446" s="92"/>
      <c r="C446" s="93"/>
      <c r="D446" s="66" t="s">
        <v>402</v>
      </c>
      <c r="E446" s="69">
        <v>1</v>
      </c>
      <c r="F446" s="68">
        <v>0</v>
      </c>
      <c r="G446" s="63">
        <f t="shared" si="398"/>
        <v>1</v>
      </c>
      <c r="H446" s="67" t="s">
        <v>73</v>
      </c>
      <c r="I446" s="140">
        <v>3.5</v>
      </c>
      <c r="J446" s="141">
        <f t="shared" si="405"/>
        <v>3.5</v>
      </c>
      <c r="K446" s="142">
        <f>'LABOR SHEET'!C$3</f>
        <v>128</v>
      </c>
      <c r="L446" s="143">
        <f t="shared" si="406"/>
        <v>448</v>
      </c>
      <c r="M446" s="143">
        <f t="shared" si="407"/>
        <v>448</v>
      </c>
      <c r="N446" s="143">
        <v>738.2</v>
      </c>
      <c r="O446" s="143">
        <f t="shared" si="408"/>
        <v>738.2</v>
      </c>
      <c r="P446" s="143">
        <f t="shared" si="409"/>
        <v>1186.2</v>
      </c>
      <c r="Q446" s="178">
        <f t="shared" si="410"/>
        <v>1186.2</v>
      </c>
      <c r="R446" s="181"/>
      <c r="S446" s="181"/>
      <c r="T446" s="181"/>
      <c r="U446" s="181"/>
      <c r="V446" s="181"/>
      <c r="W446" s="181"/>
      <c r="X446" s="181"/>
      <c r="Y446" s="181"/>
      <c r="Z446" s="181"/>
      <c r="AA446" s="181"/>
      <c r="AB446" s="181"/>
      <c r="AC446" s="181"/>
      <c r="AD446" s="181"/>
      <c r="AE446" s="181"/>
      <c r="AF446" s="181"/>
      <c r="AG446" s="181"/>
      <c r="AH446" s="181"/>
      <c r="AI446" s="181"/>
      <c r="AJ446" s="181"/>
    </row>
    <row r="447" s="32" customFormat="1" ht="31.5" spans="1:36">
      <c r="A447" s="91">
        <f>IF(F447&lt;&gt;"",1+MAX($A$2:A446),"")</f>
        <v>353</v>
      </c>
      <c r="B447" s="92"/>
      <c r="C447" s="93"/>
      <c r="D447" s="66" t="s">
        <v>403</v>
      </c>
      <c r="E447" s="69">
        <v>1</v>
      </c>
      <c r="F447" s="68">
        <v>0</v>
      </c>
      <c r="G447" s="63">
        <f t="shared" si="398"/>
        <v>1</v>
      </c>
      <c r="H447" s="67" t="s">
        <v>73</v>
      </c>
      <c r="I447" s="140">
        <v>5</v>
      </c>
      <c r="J447" s="141">
        <f t="shared" si="405"/>
        <v>5</v>
      </c>
      <c r="K447" s="142">
        <f>'LABOR SHEET'!C$3</f>
        <v>128</v>
      </c>
      <c r="L447" s="143">
        <f t="shared" si="406"/>
        <v>640</v>
      </c>
      <c r="M447" s="143">
        <f t="shared" si="407"/>
        <v>640</v>
      </c>
      <c r="N447" s="143">
        <v>924.3</v>
      </c>
      <c r="O447" s="143">
        <f t="shared" si="408"/>
        <v>924.3</v>
      </c>
      <c r="P447" s="143">
        <f t="shared" si="409"/>
        <v>1564.3</v>
      </c>
      <c r="Q447" s="178">
        <f t="shared" si="410"/>
        <v>1564.3</v>
      </c>
      <c r="R447" s="181"/>
      <c r="S447" s="181"/>
      <c r="T447" s="181"/>
      <c r="U447" s="181"/>
      <c r="V447" s="181"/>
      <c r="W447" s="181"/>
      <c r="X447" s="181"/>
      <c r="Y447" s="181"/>
      <c r="Z447" s="181"/>
      <c r="AA447" s="181"/>
      <c r="AB447" s="181"/>
      <c r="AC447" s="181"/>
      <c r="AD447" s="181"/>
      <c r="AE447" s="181"/>
      <c r="AF447" s="181"/>
      <c r="AG447" s="181"/>
      <c r="AH447" s="181"/>
      <c r="AI447" s="181"/>
      <c r="AJ447" s="181"/>
    </row>
    <row r="448" s="32" customFormat="1" spans="1:36">
      <c r="A448" s="91">
        <f>IF(F448&lt;&gt;"",1+MAX($A$2:A447),"")</f>
        <v>354</v>
      </c>
      <c r="B448" s="92"/>
      <c r="C448" s="93"/>
      <c r="D448" s="66" t="s">
        <v>326</v>
      </c>
      <c r="E448" s="69">
        <v>1</v>
      </c>
      <c r="F448" s="68">
        <v>0</v>
      </c>
      <c r="G448" s="63">
        <f t="shared" si="398"/>
        <v>1</v>
      </c>
      <c r="H448" s="67" t="s">
        <v>73</v>
      </c>
      <c r="I448" s="140">
        <v>0.2</v>
      </c>
      <c r="J448" s="141">
        <f t="shared" si="405"/>
        <v>0.2</v>
      </c>
      <c r="K448" s="142">
        <f>'LABOR SHEET'!C$3</f>
        <v>128</v>
      </c>
      <c r="L448" s="143">
        <f t="shared" si="406"/>
        <v>25.6</v>
      </c>
      <c r="M448" s="143">
        <f t="shared" si="407"/>
        <v>25.6</v>
      </c>
      <c r="N448" s="143">
        <v>13.35</v>
      </c>
      <c r="O448" s="143">
        <f t="shared" si="408"/>
        <v>13.35</v>
      </c>
      <c r="P448" s="143">
        <f t="shared" si="409"/>
        <v>38.95</v>
      </c>
      <c r="Q448" s="178">
        <f t="shared" si="410"/>
        <v>38.95</v>
      </c>
      <c r="R448" s="181"/>
      <c r="S448" s="181"/>
      <c r="T448" s="181"/>
      <c r="U448" s="181"/>
      <c r="V448" s="181"/>
      <c r="W448" s="181"/>
      <c r="X448" s="181"/>
      <c r="Y448" s="181"/>
      <c r="Z448" s="181"/>
      <c r="AA448" s="181"/>
      <c r="AB448" s="181"/>
      <c r="AC448" s="181"/>
      <c r="AD448" s="181"/>
      <c r="AE448" s="181"/>
      <c r="AF448" s="181"/>
      <c r="AG448" s="181"/>
      <c r="AH448" s="181"/>
      <c r="AI448" s="181"/>
      <c r="AJ448" s="181"/>
    </row>
    <row r="449" s="32" customFormat="1" spans="1:36">
      <c r="A449" s="91" t="str">
        <f>IF(F449&lt;&gt;"",1+MAX($A$2:A448),"")</f>
        <v/>
      </c>
      <c r="B449" s="92"/>
      <c r="C449" s="205"/>
      <c r="D449" s="206"/>
      <c r="E449" s="207"/>
      <c r="F449" s="208"/>
      <c r="G449" s="209"/>
      <c r="H449" s="210"/>
      <c r="I449" s="212"/>
      <c r="J449" s="213"/>
      <c r="K449" s="214"/>
      <c r="L449" s="215"/>
      <c r="M449" s="216"/>
      <c r="N449" s="215"/>
      <c r="O449" s="215"/>
      <c r="P449" s="215"/>
      <c r="Q449" s="217"/>
      <c r="R449" s="181"/>
      <c r="S449" s="181"/>
      <c r="T449" s="181"/>
      <c r="U449" s="181"/>
      <c r="V449" s="181"/>
      <c r="W449" s="181"/>
      <c r="X449" s="181"/>
      <c r="Y449" s="181"/>
      <c r="Z449" s="181"/>
      <c r="AA449" s="181"/>
      <c r="AB449" s="181"/>
      <c r="AC449" s="181"/>
      <c r="AD449" s="181"/>
      <c r="AE449" s="181"/>
      <c r="AF449" s="181"/>
      <c r="AG449" s="181"/>
      <c r="AH449" s="181"/>
      <c r="AI449" s="181"/>
      <c r="AJ449" s="181"/>
    </row>
    <row r="450" s="32" customFormat="1" spans="1:36">
      <c r="A450" s="91" t="str">
        <f>IF(F450&lt;&gt;"",1+MAX($A$2:A449),"")</f>
        <v/>
      </c>
      <c r="B450" s="92"/>
      <c r="C450" s="93"/>
      <c r="D450" s="57" t="s">
        <v>404</v>
      </c>
      <c r="E450" s="69"/>
      <c r="F450" s="94"/>
      <c r="G450" s="95"/>
      <c r="H450" s="67"/>
      <c r="I450" s="140"/>
      <c r="J450" s="141"/>
      <c r="K450" s="142"/>
      <c r="L450" s="143"/>
      <c r="M450" s="143"/>
      <c r="N450" s="143"/>
      <c r="O450" s="143"/>
      <c r="P450" s="143"/>
      <c r="Q450" s="179"/>
      <c r="R450" s="181"/>
      <c r="S450" s="181"/>
      <c r="T450" s="181"/>
      <c r="U450" s="181"/>
      <c r="V450" s="181"/>
      <c r="W450" s="181"/>
      <c r="X450" s="181"/>
      <c r="Y450" s="181"/>
      <c r="Z450" s="181"/>
      <c r="AA450" s="181"/>
      <c r="AB450" s="181"/>
      <c r="AC450" s="181"/>
      <c r="AD450" s="181"/>
      <c r="AE450" s="181"/>
      <c r="AF450" s="181"/>
      <c r="AG450" s="181"/>
      <c r="AH450" s="181"/>
      <c r="AI450" s="181"/>
      <c r="AJ450" s="181"/>
    </row>
    <row r="451" s="32" customFormat="1" ht="47.25" spans="1:36">
      <c r="A451" s="91" t="str">
        <f>IF(F451&lt;&gt;"",1+MAX($A$2:A450),"")</f>
        <v/>
      </c>
      <c r="B451" s="92"/>
      <c r="C451" s="93"/>
      <c r="D451" s="211" t="s">
        <v>405</v>
      </c>
      <c r="E451" s="69"/>
      <c r="F451" s="68"/>
      <c r="G451" s="63"/>
      <c r="H451" s="67"/>
      <c r="I451" s="140"/>
      <c r="J451" s="141"/>
      <c r="K451" s="142"/>
      <c r="L451" s="143"/>
      <c r="M451" s="143"/>
      <c r="N451" s="143"/>
      <c r="O451" s="143"/>
      <c r="P451" s="143"/>
      <c r="Q451" s="178"/>
      <c r="R451" s="181"/>
      <c r="S451" s="181"/>
      <c r="T451" s="181"/>
      <c r="U451" s="181"/>
      <c r="V451" s="181"/>
      <c r="W451" s="181"/>
      <c r="X451" s="181"/>
      <c r="Y451" s="181"/>
      <c r="Z451" s="181"/>
      <c r="AA451" s="181"/>
      <c r="AB451" s="181"/>
      <c r="AC451" s="181"/>
      <c r="AD451" s="181"/>
      <c r="AE451" s="181"/>
      <c r="AF451" s="181"/>
      <c r="AG451" s="181"/>
      <c r="AH451" s="181"/>
      <c r="AI451" s="181"/>
      <c r="AJ451" s="181"/>
    </row>
    <row r="452" s="32" customFormat="1" ht="16.5" spans="1:36">
      <c r="A452" s="91" t="str">
        <f>IF(F452&lt;&gt;"",1+MAX($A$2:A451),"")</f>
        <v/>
      </c>
      <c r="B452" s="92"/>
      <c r="C452" s="93"/>
      <c r="D452" s="66"/>
      <c r="E452" s="69"/>
      <c r="F452" s="94"/>
      <c r="G452" s="95"/>
      <c r="H452" s="67"/>
      <c r="I452" s="140"/>
      <c r="J452" s="141"/>
      <c r="K452" s="142"/>
      <c r="L452" s="143"/>
      <c r="M452" s="143"/>
      <c r="N452" s="143"/>
      <c r="O452" s="143"/>
      <c r="P452" s="143"/>
      <c r="Q452" s="179"/>
      <c r="R452" s="181"/>
      <c r="S452" s="181"/>
      <c r="T452" s="181"/>
      <c r="U452" s="181"/>
      <c r="V452" s="181"/>
      <c r="W452" s="181"/>
      <c r="X452" s="181"/>
      <c r="Y452" s="181"/>
      <c r="Z452" s="181"/>
      <c r="AA452" s="181"/>
      <c r="AB452" s="181"/>
      <c r="AC452" s="181"/>
      <c r="AD452" s="181"/>
      <c r="AE452" s="181"/>
      <c r="AF452" s="181"/>
      <c r="AG452" s="181"/>
      <c r="AH452" s="181"/>
      <c r="AI452" s="181"/>
      <c r="AJ452" s="181"/>
    </row>
    <row r="453" s="32" customFormat="1" ht="16.5" spans="1:19">
      <c r="A453" s="91" t="str">
        <f>IF(F453&lt;&gt;"",1+MAX($A$2:A452),"")</f>
        <v/>
      </c>
      <c r="B453" s="92"/>
      <c r="C453" s="193"/>
      <c r="D453" s="79" t="s">
        <v>50</v>
      </c>
      <c r="E453" s="194"/>
      <c r="F453" s="194"/>
      <c r="G453" s="195"/>
      <c r="H453" s="194"/>
      <c r="I453" s="194"/>
      <c r="J453" s="201"/>
      <c r="K453" s="201"/>
      <c r="L453" s="202"/>
      <c r="M453" s="203"/>
      <c r="N453" s="202"/>
      <c r="O453" s="202"/>
      <c r="P453" s="204"/>
      <c r="Q453" s="173">
        <f>SUM(Q378:Q452)</f>
        <v>251546.674059</v>
      </c>
      <c r="S453" s="176"/>
    </row>
    <row r="454" s="29" customFormat="1" spans="1:18">
      <c r="A454" s="76" t="str">
        <f>IF(F454&lt;&gt;"",1+MAX($A$2:A453),"")</f>
        <v/>
      </c>
      <c r="B454" s="77"/>
      <c r="C454" s="78"/>
      <c r="D454" s="81"/>
      <c r="E454" s="81"/>
      <c r="F454" s="81"/>
      <c r="G454" s="81"/>
      <c r="H454" s="81"/>
      <c r="I454" s="81"/>
      <c r="J454" s="81"/>
      <c r="K454" s="81"/>
      <c r="L454" s="81"/>
      <c r="M454" s="81"/>
      <c r="N454" s="81"/>
      <c r="O454" s="81"/>
      <c r="P454" s="81"/>
      <c r="Q454" s="175"/>
      <c r="R454" s="174"/>
    </row>
    <row r="455" s="33" customFormat="1" ht="31.5" spans="1:19">
      <c r="A455" s="91"/>
      <c r="B455" s="101"/>
      <c r="C455" s="102"/>
      <c r="D455" s="101"/>
      <c r="E455" s="101"/>
      <c r="F455" s="101"/>
      <c r="G455" s="103"/>
      <c r="H455" s="104" t="s">
        <v>406</v>
      </c>
      <c r="I455" s="104"/>
      <c r="J455" s="151">
        <f>SUM(J17:J454)</f>
        <v>8409.0503065</v>
      </c>
      <c r="K455" s="152" t="s">
        <v>36</v>
      </c>
      <c r="L455" s="152"/>
      <c r="M455" s="153">
        <f>SUM(M17:M454)</f>
        <v>1076358.439232</v>
      </c>
      <c r="N455" s="154" t="s">
        <v>38</v>
      </c>
      <c r="O455" s="155">
        <f>SUM(O17:O454)</f>
        <v>1560967.30967795</v>
      </c>
      <c r="P455" s="102"/>
      <c r="Q455" s="183"/>
      <c r="S455" s="184"/>
    </row>
    <row r="456" s="33" customFormat="1" spans="1:17">
      <c r="A456" s="105"/>
      <c r="B456" s="106"/>
      <c r="C456" s="107"/>
      <c r="D456" s="108" t="s">
        <v>407</v>
      </c>
      <c r="E456" s="109"/>
      <c r="F456" s="109"/>
      <c r="G456" s="110"/>
      <c r="H456" s="111"/>
      <c r="I456" s="111"/>
      <c r="J456" s="111"/>
      <c r="K456" s="111"/>
      <c r="L456" s="156"/>
      <c r="M456" s="156"/>
      <c r="N456" s="156"/>
      <c r="O456" s="156"/>
      <c r="P456" s="157"/>
      <c r="Q456" s="185">
        <f>SUM(Q8:Q454)/2</f>
        <v>2821325.74890995</v>
      </c>
    </row>
    <row r="457" s="33" customFormat="1" spans="1:36">
      <c r="A457" s="112"/>
      <c r="B457" s="106"/>
      <c r="C457" s="113"/>
      <c r="D457" s="114" t="s">
        <v>9</v>
      </c>
      <c r="E457" s="115"/>
      <c r="F457" s="116"/>
      <c r="G457" s="115"/>
      <c r="H457" s="116"/>
      <c r="I457" s="116"/>
      <c r="J457" s="116"/>
      <c r="K457" s="116"/>
      <c r="L457" s="158">
        <v>0.05</v>
      </c>
      <c r="M457" s="158"/>
      <c r="N457" s="158"/>
      <c r="O457" s="158"/>
      <c r="P457" s="158"/>
      <c r="Q457" s="185">
        <f>Q456*L457</f>
        <v>141066.287445497</v>
      </c>
      <c r="R457" s="186"/>
      <c r="S457" s="186"/>
      <c r="T457" s="186"/>
      <c r="U457" s="186"/>
      <c r="V457" s="186"/>
      <c r="W457" s="186"/>
      <c r="X457" s="186"/>
      <c r="Y457" s="186"/>
      <c r="Z457" s="186"/>
      <c r="AA457" s="186"/>
      <c r="AB457" s="186"/>
      <c r="AC457" s="186"/>
      <c r="AD457" s="186"/>
      <c r="AE457" s="186"/>
      <c r="AF457" s="186"/>
      <c r="AG457" s="186"/>
      <c r="AH457" s="186"/>
      <c r="AI457" s="186"/>
      <c r="AJ457" s="186"/>
    </row>
    <row r="458" s="33" customFormat="1" spans="1:36">
      <c r="A458" s="117"/>
      <c r="B458" s="118"/>
      <c r="C458" s="119"/>
      <c r="D458" s="120" t="s">
        <v>408</v>
      </c>
      <c r="E458" s="121"/>
      <c r="F458" s="122"/>
      <c r="G458" s="121"/>
      <c r="H458" s="122"/>
      <c r="I458" s="122"/>
      <c r="J458" s="122"/>
      <c r="K458" s="122"/>
      <c r="L458" s="159">
        <v>0.2</v>
      </c>
      <c r="M458" s="159"/>
      <c r="N458" s="159"/>
      <c r="O458" s="159"/>
      <c r="P458" s="159"/>
      <c r="Q458" s="187">
        <f>O455*L458</f>
        <v>312193.46193559</v>
      </c>
      <c r="R458" s="186"/>
      <c r="S458" s="186"/>
      <c r="T458" s="186"/>
      <c r="U458" s="186"/>
      <c r="V458" s="186"/>
      <c r="W458" s="186"/>
      <c r="X458" s="186"/>
      <c r="Y458" s="186"/>
      <c r="Z458" s="186"/>
      <c r="AA458" s="186"/>
      <c r="AB458" s="186"/>
      <c r="AC458" s="186"/>
      <c r="AD458" s="186"/>
      <c r="AE458" s="186"/>
      <c r="AF458" s="186"/>
      <c r="AG458" s="186"/>
      <c r="AH458" s="186"/>
      <c r="AI458" s="186"/>
      <c r="AJ458" s="186"/>
    </row>
    <row r="459" s="33" customFormat="1" spans="1:36">
      <c r="A459" s="117"/>
      <c r="B459" s="118"/>
      <c r="C459" s="119"/>
      <c r="D459" s="120" t="s">
        <v>409</v>
      </c>
      <c r="E459" s="121"/>
      <c r="F459" s="122"/>
      <c r="G459" s="121"/>
      <c r="H459" s="122"/>
      <c r="I459" s="122"/>
      <c r="J459" s="122"/>
      <c r="K459" s="122"/>
      <c r="L459" s="159">
        <v>0.31</v>
      </c>
      <c r="M459" s="159"/>
      <c r="N459" s="159"/>
      <c r="O459" s="159"/>
      <c r="P459" s="159"/>
      <c r="Q459" s="187">
        <f>M455*L459</f>
        <v>333671.11616192</v>
      </c>
      <c r="R459" s="186"/>
      <c r="S459" s="186"/>
      <c r="T459" s="186"/>
      <c r="U459" s="186"/>
      <c r="V459" s="186"/>
      <c r="W459" s="186"/>
      <c r="X459" s="186"/>
      <c r="Y459" s="186"/>
      <c r="Z459" s="186"/>
      <c r="AA459" s="186"/>
      <c r="AB459" s="186"/>
      <c r="AC459" s="186"/>
      <c r="AD459" s="186"/>
      <c r="AE459" s="186"/>
      <c r="AF459" s="186"/>
      <c r="AG459" s="186"/>
      <c r="AH459" s="186"/>
      <c r="AI459" s="186"/>
      <c r="AJ459" s="186"/>
    </row>
    <row r="460" s="33" customFormat="1" spans="1:36">
      <c r="A460" s="123"/>
      <c r="B460" s="124"/>
      <c r="C460" s="125"/>
      <c r="D460" s="126" t="s">
        <v>12</v>
      </c>
      <c r="E460" s="127"/>
      <c r="F460" s="128"/>
      <c r="G460" s="127"/>
      <c r="H460" s="128"/>
      <c r="I460" s="128"/>
      <c r="J460" s="128"/>
      <c r="K460" s="128"/>
      <c r="L460" s="160">
        <v>0.1</v>
      </c>
      <c r="M460" s="161"/>
      <c r="N460" s="161"/>
      <c r="O460" s="161"/>
      <c r="P460" s="161"/>
      <c r="Q460" s="188">
        <f>Q456*L460</f>
        <v>282132.574890995</v>
      </c>
      <c r="R460" s="186"/>
      <c r="S460" s="186"/>
      <c r="T460" s="186"/>
      <c r="U460" s="186"/>
      <c r="V460" s="186"/>
      <c r="W460" s="186"/>
      <c r="X460" s="186"/>
      <c r="Y460" s="186"/>
      <c r="Z460" s="186"/>
      <c r="AA460" s="186"/>
      <c r="AB460" s="186"/>
      <c r="AC460" s="186"/>
      <c r="AD460" s="186"/>
      <c r="AE460" s="186"/>
      <c r="AF460" s="186"/>
      <c r="AG460" s="186"/>
      <c r="AH460" s="186"/>
      <c r="AI460" s="186"/>
      <c r="AJ460" s="186"/>
    </row>
    <row r="461" s="33" customFormat="1" spans="1:36">
      <c r="A461" s="123"/>
      <c r="B461" s="124"/>
      <c r="C461" s="125"/>
      <c r="D461" s="126" t="s">
        <v>13</v>
      </c>
      <c r="E461" s="127"/>
      <c r="F461" s="128"/>
      <c r="G461" s="127"/>
      <c r="H461" s="128"/>
      <c r="I461" s="128"/>
      <c r="J461" s="128"/>
      <c r="K461" s="128"/>
      <c r="L461" s="160">
        <v>0.1</v>
      </c>
      <c r="M461" s="161"/>
      <c r="N461" s="161"/>
      <c r="O461" s="161"/>
      <c r="P461" s="161"/>
      <c r="Q461" s="188">
        <f>Q456*L461</f>
        <v>282132.574890995</v>
      </c>
      <c r="R461" s="186"/>
      <c r="S461" s="186"/>
      <c r="T461" s="186"/>
      <c r="U461" s="186"/>
      <c r="V461" s="186"/>
      <c r="W461" s="186"/>
      <c r="X461" s="186"/>
      <c r="Y461" s="186"/>
      <c r="Z461" s="186"/>
      <c r="AA461" s="186"/>
      <c r="AB461" s="186"/>
      <c r="AC461" s="186"/>
      <c r="AD461" s="186"/>
      <c r="AE461" s="186"/>
      <c r="AF461" s="186"/>
      <c r="AG461" s="186"/>
      <c r="AH461" s="186"/>
      <c r="AI461" s="186"/>
      <c r="AJ461" s="186"/>
    </row>
    <row r="462" s="33" customFormat="1" spans="1:36">
      <c r="A462" s="123"/>
      <c r="B462" s="124"/>
      <c r="C462" s="125"/>
      <c r="D462" s="126" t="s">
        <v>14</v>
      </c>
      <c r="E462" s="127"/>
      <c r="F462" s="128"/>
      <c r="G462" s="127"/>
      <c r="H462" s="128"/>
      <c r="I462" s="128"/>
      <c r="J462" s="128"/>
      <c r="K462" s="128"/>
      <c r="L462" s="162">
        <v>0.092</v>
      </c>
      <c r="M462" s="161"/>
      <c r="N462" s="161"/>
      <c r="O462" s="161"/>
      <c r="P462" s="161"/>
      <c r="Q462" s="188">
        <f>Q456*L462</f>
        <v>259561.968899715</v>
      </c>
      <c r="R462" s="186"/>
      <c r="S462" s="186"/>
      <c r="T462" s="186"/>
      <c r="U462" s="186"/>
      <c r="V462" s="186"/>
      <c r="W462" s="186"/>
      <c r="X462" s="186"/>
      <c r="Y462" s="186"/>
      <c r="Z462" s="186"/>
      <c r="AA462" s="186"/>
      <c r="AB462" s="186"/>
      <c r="AC462" s="186"/>
      <c r="AD462" s="186"/>
      <c r="AE462" s="186"/>
      <c r="AF462" s="186"/>
      <c r="AG462" s="186"/>
      <c r="AH462" s="186"/>
      <c r="AI462" s="186"/>
      <c r="AJ462" s="186"/>
    </row>
    <row r="463" s="33" customFormat="1" spans="1:36">
      <c r="A463" s="123"/>
      <c r="B463" s="124"/>
      <c r="C463" s="125"/>
      <c r="D463" s="126" t="s">
        <v>15</v>
      </c>
      <c r="E463" s="127"/>
      <c r="F463" s="128"/>
      <c r="G463" s="127"/>
      <c r="H463" s="128"/>
      <c r="I463" s="128"/>
      <c r="J463" s="128"/>
      <c r="K463" s="128"/>
      <c r="L463" s="162">
        <v>0.015</v>
      </c>
      <c r="M463" s="162"/>
      <c r="N463" s="162"/>
      <c r="O463" s="162"/>
      <c r="P463" s="162"/>
      <c r="Q463" s="188">
        <f>Q456*L463</f>
        <v>42319.8862336492</v>
      </c>
      <c r="R463" s="186"/>
      <c r="S463" s="186"/>
      <c r="T463" s="186"/>
      <c r="U463" s="186"/>
      <c r="V463" s="186"/>
      <c r="W463" s="186"/>
      <c r="X463" s="186"/>
      <c r="Y463" s="186"/>
      <c r="Z463" s="186"/>
      <c r="AA463" s="186"/>
      <c r="AB463" s="186"/>
      <c r="AC463" s="186"/>
      <c r="AD463" s="186"/>
      <c r="AE463" s="186"/>
      <c r="AF463" s="186"/>
      <c r="AG463" s="186"/>
      <c r="AH463" s="186"/>
      <c r="AI463" s="186"/>
      <c r="AJ463" s="186"/>
    </row>
    <row r="464" s="33" customFormat="1" ht="16.5" spans="1:17">
      <c r="A464" s="129"/>
      <c r="B464" s="130"/>
      <c r="C464" s="131"/>
      <c r="D464" s="132" t="s">
        <v>16</v>
      </c>
      <c r="E464" s="133"/>
      <c r="F464" s="133"/>
      <c r="G464" s="134"/>
      <c r="H464" s="133"/>
      <c r="I464" s="133"/>
      <c r="J464" s="133"/>
      <c r="K464" s="133"/>
      <c r="L464" s="163"/>
      <c r="M464" s="163"/>
      <c r="N464" s="163"/>
      <c r="O464" s="163"/>
      <c r="P464" s="163"/>
      <c r="Q464" s="189">
        <f>SUM(Q456:Q463)</f>
        <v>4474403.61936831</v>
      </c>
    </row>
    <row r="467" spans="13:13">
      <c r="M467" s="164"/>
    </row>
  </sheetData>
  <mergeCells count="7">
    <mergeCell ref="A2:Q2"/>
    <mergeCell ref="B3:C3"/>
    <mergeCell ref="B4:C4"/>
    <mergeCell ref="B5:C5"/>
    <mergeCell ref="H455:I455"/>
    <mergeCell ref="K455:L455"/>
    <mergeCell ref="Q8:Q14"/>
  </mergeCells>
  <printOptions horizontalCentered="1"/>
  <pageMargins left="0.7" right="0.7" top="0.75" bottom="0.75" header="0.3" footer="0.3"/>
  <pageSetup paperSize="9" scale="36" fitToHeight="0" orientation="portrait"/>
  <headerFooter alignWithMargins="0" scaleWithDoc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70C0"/>
    <pageSetUpPr fitToPage="1"/>
  </sheetPr>
  <dimension ref="A1:AJ60"/>
  <sheetViews>
    <sheetView showGridLines="0" zoomScale="70" zoomScaleNormal="70" zoomScaleSheetLayoutView="85" workbookViewId="0">
      <pane ySplit="6" topLeftCell="A7" activePane="bottomLeft" state="frozen"/>
      <selection/>
      <selection pane="bottomLeft" activeCell="E22" sqref="E22"/>
    </sheetView>
  </sheetViews>
  <sheetFormatPr defaultColWidth="9" defaultRowHeight="15.75"/>
  <cols>
    <col min="1" max="1" width="4.125" style="34" customWidth="1"/>
    <col min="2" max="2" width="9.25" style="34" customWidth="1"/>
    <col min="3" max="3" width="9.5" style="34" customWidth="1"/>
    <col min="4" max="4" width="75.125" style="35" customWidth="1"/>
    <col min="5" max="6" width="11.5" style="36" customWidth="1"/>
    <col min="7" max="7" width="14" style="36" customWidth="1"/>
    <col min="8" max="8" width="10.5" style="34" customWidth="1"/>
    <col min="9" max="10" width="14" style="36" customWidth="1"/>
    <col min="11" max="12" width="12.5" style="34" customWidth="1"/>
    <col min="13" max="13" width="14.5" style="34" customWidth="1"/>
    <col min="14" max="14" width="19.125" style="34" customWidth="1"/>
    <col min="15" max="15" width="14.625" style="34" customWidth="1"/>
    <col min="16" max="16" width="12.5" style="34" customWidth="1"/>
    <col min="17" max="17" width="15.25" style="35" customWidth="1"/>
    <col min="18" max="16384" width="9" style="34"/>
  </cols>
  <sheetData>
    <row r="1" s="28" customFormat="1" ht="15" hidden="1" customHeight="1" spans="1:17">
      <c r="A1" s="37"/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</row>
    <row r="2" ht="19.5" spans="1:17">
      <c r="A2" s="39" t="s">
        <v>19</v>
      </c>
      <c r="B2" s="40"/>
      <c r="C2" s="40"/>
      <c r="D2" s="41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165"/>
    </row>
    <row r="3" ht="17.45" customHeight="1" spans="1:17">
      <c r="A3" s="42"/>
      <c r="B3" s="43" t="s">
        <v>20</v>
      </c>
      <c r="C3" s="43"/>
      <c r="D3" s="35" t="s">
        <v>21</v>
      </c>
      <c r="E3" s="44"/>
      <c r="F3" s="44"/>
      <c r="G3" s="45"/>
      <c r="H3" s="45"/>
      <c r="I3" s="45"/>
      <c r="J3" s="45"/>
      <c r="K3" s="45"/>
      <c r="L3" s="45"/>
      <c r="M3" s="45"/>
      <c r="N3" s="45"/>
      <c r="O3" s="135"/>
      <c r="P3" s="136"/>
      <c r="Q3" s="166"/>
    </row>
    <row r="4" ht="18" customHeight="1" spans="1:17">
      <c r="A4" s="42"/>
      <c r="B4" s="46" t="s">
        <v>22</v>
      </c>
      <c r="C4" s="46"/>
      <c r="D4" s="35" t="s">
        <v>23</v>
      </c>
      <c r="E4" s="47"/>
      <c r="F4" s="47"/>
      <c r="G4" s="47"/>
      <c r="H4" s="48"/>
      <c r="I4" s="47"/>
      <c r="J4" s="47"/>
      <c r="K4" s="45"/>
      <c r="L4" s="45"/>
      <c r="M4" s="45"/>
      <c r="N4" s="45"/>
      <c r="O4" s="135"/>
      <c r="P4" s="136"/>
      <c r="Q4" s="166"/>
    </row>
    <row r="5" ht="24" customHeight="1" spans="1:17">
      <c r="A5" s="42"/>
      <c r="B5" s="49" t="s">
        <v>24</v>
      </c>
      <c r="C5" s="49"/>
      <c r="D5" s="35" t="s">
        <v>5</v>
      </c>
      <c r="E5" s="50"/>
      <c r="F5" s="47"/>
      <c r="G5" s="47"/>
      <c r="H5" s="50"/>
      <c r="I5" s="47"/>
      <c r="J5" s="47"/>
      <c r="K5" s="137"/>
      <c r="L5" s="137"/>
      <c r="M5" s="137"/>
      <c r="N5" s="137"/>
      <c r="O5" s="138"/>
      <c r="P5" s="139"/>
      <c r="Q5" s="166"/>
    </row>
    <row r="6" s="29" customFormat="1" ht="47.25" spans="1:17">
      <c r="A6" s="51" t="s">
        <v>25</v>
      </c>
      <c r="B6" s="52" t="s">
        <v>26</v>
      </c>
      <c r="C6" s="52" t="s">
        <v>27</v>
      </c>
      <c r="D6" s="53" t="s">
        <v>2</v>
      </c>
      <c r="E6" s="52" t="s">
        <v>28</v>
      </c>
      <c r="F6" s="52" t="s">
        <v>29</v>
      </c>
      <c r="G6" s="52" t="s">
        <v>30</v>
      </c>
      <c r="H6" s="52" t="s">
        <v>31</v>
      </c>
      <c r="I6" s="52" t="s">
        <v>32</v>
      </c>
      <c r="J6" s="52" t="s">
        <v>33</v>
      </c>
      <c r="K6" s="52" t="s">
        <v>34</v>
      </c>
      <c r="L6" s="52" t="s">
        <v>35</v>
      </c>
      <c r="M6" s="52" t="s">
        <v>36</v>
      </c>
      <c r="N6" s="52" t="s">
        <v>37</v>
      </c>
      <c r="O6" s="52" t="s">
        <v>38</v>
      </c>
      <c r="P6" s="52" t="s">
        <v>39</v>
      </c>
      <c r="Q6" s="167" t="s">
        <v>40</v>
      </c>
    </row>
    <row r="7" s="30" customFormat="1" spans="1:17">
      <c r="A7" s="54"/>
      <c r="B7" s="55"/>
      <c r="C7" s="56">
        <v>1</v>
      </c>
      <c r="D7" s="57" t="s">
        <v>41</v>
      </c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168"/>
    </row>
    <row r="8" s="31" customFormat="1" spans="1:18">
      <c r="A8" s="58">
        <f>IF(F8&lt;&gt;"",1+MAX($A$2:A7),"")</f>
        <v>1</v>
      </c>
      <c r="B8" s="59"/>
      <c r="C8" s="59"/>
      <c r="D8" s="60" t="s">
        <v>42</v>
      </c>
      <c r="E8" s="61">
        <v>1</v>
      </c>
      <c r="F8" s="62">
        <v>0</v>
      </c>
      <c r="G8" s="63">
        <f t="shared" ref="G8:G14" si="0">(F8*E8)+E8</f>
        <v>1</v>
      </c>
      <c r="H8" s="61" t="s">
        <v>43</v>
      </c>
      <c r="I8" s="140">
        <v>0</v>
      </c>
      <c r="J8" s="141">
        <f t="shared" ref="J8:J14" si="1">+I8*G8</f>
        <v>0</v>
      </c>
      <c r="K8" s="142">
        <v>0</v>
      </c>
      <c r="L8" s="143">
        <f t="shared" ref="L8:L14" si="2">I8*K8</f>
        <v>0</v>
      </c>
      <c r="M8" s="143">
        <f t="shared" ref="M8:M14" si="3">K8*J8</f>
        <v>0</v>
      </c>
      <c r="N8" s="143">
        <v>0</v>
      </c>
      <c r="O8" s="143">
        <f t="shared" ref="O8:O14" si="4">N8*G8</f>
        <v>0</v>
      </c>
      <c r="P8" s="143">
        <f>(I8*K8)+N8</f>
        <v>0</v>
      </c>
      <c r="Q8" s="169">
        <v>1500</v>
      </c>
      <c r="R8" s="170"/>
    </row>
    <row r="9" s="31" customFormat="1" spans="1:18">
      <c r="A9" s="64">
        <f>IF(F9&lt;&gt;"",1+MAX($A$2:A8),"")</f>
        <v>2</v>
      </c>
      <c r="B9" s="65"/>
      <c r="C9" s="65"/>
      <c r="D9" s="66" t="s">
        <v>44</v>
      </c>
      <c r="E9" s="67">
        <v>1</v>
      </c>
      <c r="F9" s="68">
        <v>0</v>
      </c>
      <c r="G9" s="69">
        <f t="shared" si="0"/>
        <v>1</v>
      </c>
      <c r="H9" s="67" t="s">
        <v>43</v>
      </c>
      <c r="I9" s="140">
        <v>0</v>
      </c>
      <c r="J9" s="141">
        <f t="shared" si="1"/>
        <v>0</v>
      </c>
      <c r="K9" s="142">
        <v>0</v>
      </c>
      <c r="L9" s="143">
        <f t="shared" si="2"/>
        <v>0</v>
      </c>
      <c r="M9" s="143">
        <f t="shared" si="3"/>
        <v>0</v>
      </c>
      <c r="N9" s="143">
        <v>0</v>
      </c>
      <c r="O9" s="143">
        <f t="shared" si="4"/>
        <v>0</v>
      </c>
      <c r="P9" s="143">
        <f t="shared" ref="P9:P14" si="5">(I9*K9)+N9</f>
        <v>0</v>
      </c>
      <c r="Q9" s="171"/>
      <c r="R9" s="170"/>
    </row>
    <row r="10" s="31" customFormat="1" spans="1:18">
      <c r="A10" s="64">
        <f>IF(F10&lt;&gt;"",1+MAX($A$2:A9),"")</f>
        <v>3</v>
      </c>
      <c r="B10" s="65"/>
      <c r="C10" s="65"/>
      <c r="D10" s="66" t="s">
        <v>45</v>
      </c>
      <c r="E10" s="67">
        <v>1</v>
      </c>
      <c r="F10" s="68">
        <v>0</v>
      </c>
      <c r="G10" s="69">
        <f t="shared" si="0"/>
        <v>1</v>
      </c>
      <c r="H10" s="67" t="s">
        <v>43</v>
      </c>
      <c r="I10" s="140">
        <v>0</v>
      </c>
      <c r="J10" s="141">
        <f t="shared" si="1"/>
        <v>0</v>
      </c>
      <c r="K10" s="142">
        <v>0</v>
      </c>
      <c r="L10" s="143">
        <f t="shared" si="2"/>
        <v>0</v>
      </c>
      <c r="M10" s="143">
        <f t="shared" si="3"/>
        <v>0</v>
      </c>
      <c r="N10" s="143">
        <v>0</v>
      </c>
      <c r="O10" s="143">
        <f t="shared" si="4"/>
        <v>0</v>
      </c>
      <c r="P10" s="143">
        <f t="shared" si="5"/>
        <v>0</v>
      </c>
      <c r="Q10" s="171"/>
      <c r="R10" s="170"/>
    </row>
    <row r="11" s="31" customFormat="1" spans="1:18">
      <c r="A11" s="64">
        <f>IF(F11&lt;&gt;"",1+MAX($A$2:A10),"")</f>
        <v>4</v>
      </c>
      <c r="B11" s="65"/>
      <c r="C11" s="65"/>
      <c r="D11" s="66" t="s">
        <v>46</v>
      </c>
      <c r="E11" s="67">
        <v>1</v>
      </c>
      <c r="F11" s="68">
        <v>0</v>
      </c>
      <c r="G11" s="69">
        <f t="shared" si="0"/>
        <v>1</v>
      </c>
      <c r="H11" s="67" t="s">
        <v>43</v>
      </c>
      <c r="I11" s="140">
        <v>0</v>
      </c>
      <c r="J11" s="141">
        <f t="shared" si="1"/>
        <v>0</v>
      </c>
      <c r="K11" s="142">
        <v>0</v>
      </c>
      <c r="L11" s="143">
        <f t="shared" si="2"/>
        <v>0</v>
      </c>
      <c r="M11" s="143">
        <f t="shared" si="3"/>
        <v>0</v>
      </c>
      <c r="N11" s="143">
        <v>0</v>
      </c>
      <c r="O11" s="143">
        <f t="shared" si="4"/>
        <v>0</v>
      </c>
      <c r="P11" s="143">
        <f t="shared" si="5"/>
        <v>0</v>
      </c>
      <c r="Q11" s="171"/>
      <c r="R11" s="170"/>
    </row>
    <row r="12" s="31" customFormat="1" spans="1:18">
      <c r="A12" s="70">
        <f>IF(F12&lt;&gt;"",1+MAX($A$2:A11),"")</f>
        <v>5</v>
      </c>
      <c r="B12" s="71"/>
      <c r="C12" s="65"/>
      <c r="D12" s="66" t="s">
        <v>47</v>
      </c>
      <c r="E12" s="67">
        <v>1</v>
      </c>
      <c r="F12" s="68">
        <v>0</v>
      </c>
      <c r="G12" s="69">
        <f t="shared" si="0"/>
        <v>1</v>
      </c>
      <c r="H12" s="67" t="s">
        <v>43</v>
      </c>
      <c r="I12" s="140">
        <v>0</v>
      </c>
      <c r="J12" s="141">
        <f t="shared" si="1"/>
        <v>0</v>
      </c>
      <c r="K12" s="142">
        <v>0</v>
      </c>
      <c r="L12" s="143">
        <f t="shared" si="2"/>
        <v>0</v>
      </c>
      <c r="M12" s="143">
        <f t="shared" si="3"/>
        <v>0</v>
      </c>
      <c r="N12" s="143">
        <v>0</v>
      </c>
      <c r="O12" s="143">
        <f t="shared" si="4"/>
        <v>0</v>
      </c>
      <c r="P12" s="143">
        <f t="shared" si="5"/>
        <v>0</v>
      </c>
      <c r="Q12" s="171"/>
      <c r="R12" s="170"/>
    </row>
    <row r="13" s="31" customFormat="1" spans="1:18">
      <c r="A13" s="70">
        <f>IF(F13&lt;&gt;"",1+MAX($A$2:A12),"")</f>
        <v>6</v>
      </c>
      <c r="B13" s="71"/>
      <c r="C13" s="65"/>
      <c r="D13" s="66" t="s">
        <v>48</v>
      </c>
      <c r="E13" s="67">
        <v>1</v>
      </c>
      <c r="F13" s="68">
        <v>0</v>
      </c>
      <c r="G13" s="69">
        <f t="shared" si="0"/>
        <v>1</v>
      </c>
      <c r="H13" s="67" t="s">
        <v>43</v>
      </c>
      <c r="I13" s="140">
        <v>0</v>
      </c>
      <c r="J13" s="141">
        <f t="shared" si="1"/>
        <v>0</v>
      </c>
      <c r="K13" s="142">
        <v>0</v>
      </c>
      <c r="L13" s="143">
        <f t="shared" si="2"/>
        <v>0</v>
      </c>
      <c r="M13" s="143">
        <f t="shared" si="3"/>
        <v>0</v>
      </c>
      <c r="N13" s="143">
        <v>0</v>
      </c>
      <c r="O13" s="143">
        <f t="shared" si="4"/>
        <v>0</v>
      </c>
      <c r="P13" s="143">
        <f t="shared" si="5"/>
        <v>0</v>
      </c>
      <c r="Q13" s="171"/>
      <c r="R13" s="170"/>
    </row>
    <row r="14" s="31" customFormat="1" ht="16.5" spans="1:18">
      <c r="A14" s="70">
        <f>IF(F14&lt;&gt;"",1+MAX($A$2:A13),"")</f>
        <v>7</v>
      </c>
      <c r="B14" s="71"/>
      <c r="C14" s="65"/>
      <c r="D14" s="72" t="s">
        <v>49</v>
      </c>
      <c r="E14" s="73">
        <v>1</v>
      </c>
      <c r="F14" s="74">
        <v>0</v>
      </c>
      <c r="G14" s="75">
        <f t="shared" si="0"/>
        <v>1</v>
      </c>
      <c r="H14" s="73" t="s">
        <v>43</v>
      </c>
      <c r="I14" s="144">
        <v>0</v>
      </c>
      <c r="J14" s="145">
        <f t="shared" si="1"/>
        <v>0</v>
      </c>
      <c r="K14" s="146">
        <v>0</v>
      </c>
      <c r="L14" s="147">
        <f t="shared" si="2"/>
        <v>0</v>
      </c>
      <c r="M14" s="147">
        <f t="shared" si="3"/>
        <v>0</v>
      </c>
      <c r="N14" s="147">
        <v>0</v>
      </c>
      <c r="O14" s="147">
        <f t="shared" si="4"/>
        <v>0</v>
      </c>
      <c r="P14" s="143">
        <f t="shared" si="5"/>
        <v>0</v>
      </c>
      <c r="Q14" s="172"/>
      <c r="R14" s="170"/>
    </row>
    <row r="15" s="29" customFormat="1" ht="16.5" spans="1:18">
      <c r="A15" s="76" t="str">
        <f>IF(F15&lt;&gt;"",1+MAX($A$2:A14),"")</f>
        <v/>
      </c>
      <c r="B15" s="77"/>
      <c r="C15" s="78"/>
      <c r="D15" s="79" t="s">
        <v>50</v>
      </c>
      <c r="E15" s="80"/>
      <c r="F15" s="80"/>
      <c r="G15" s="80"/>
      <c r="H15" s="80"/>
      <c r="I15" s="80"/>
      <c r="J15" s="80"/>
      <c r="K15" s="148"/>
      <c r="L15" s="148"/>
      <c r="M15" s="148"/>
      <c r="N15" s="148"/>
      <c r="O15" s="148"/>
      <c r="P15" s="148"/>
      <c r="Q15" s="173">
        <f>SUM(Q8:Q14)</f>
        <v>1500</v>
      </c>
      <c r="R15" s="174"/>
    </row>
    <row r="16" s="29" customFormat="1" spans="1:18">
      <c r="A16" s="76" t="str">
        <f>IF(F16&lt;&gt;"",1+MAX($A$2:A15),"")</f>
        <v/>
      </c>
      <c r="B16" s="77"/>
      <c r="C16" s="78"/>
      <c r="D16" s="81"/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175"/>
      <c r="R16" s="174"/>
    </row>
    <row r="17" s="32" customFormat="1" spans="1:19">
      <c r="A17" s="82" t="str">
        <f>IF(F17&lt;&gt;"",1+MAX($A$2:A16),"")</f>
        <v/>
      </c>
      <c r="B17" s="55"/>
      <c r="C17" s="83"/>
      <c r="D17" s="57" t="s">
        <v>410</v>
      </c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168"/>
      <c r="S17" s="176"/>
    </row>
    <row r="18" s="31" customFormat="1" spans="1:18">
      <c r="A18" s="84" t="str">
        <f>IF(F18&lt;&gt;"",1+MAX($A$2:A17),"")</f>
        <v/>
      </c>
      <c r="B18" s="85"/>
      <c r="C18" s="86"/>
      <c r="D18" s="87" t="s">
        <v>411</v>
      </c>
      <c r="E18" s="88"/>
      <c r="F18" s="68"/>
      <c r="G18" s="69"/>
      <c r="H18" s="69"/>
      <c r="I18" s="69"/>
      <c r="J18" s="69"/>
      <c r="K18" s="149"/>
      <c r="L18" s="149"/>
      <c r="M18" s="149"/>
      <c r="N18" s="149"/>
      <c r="O18" s="149"/>
      <c r="P18" s="149"/>
      <c r="Q18" s="177"/>
      <c r="R18" s="170"/>
    </row>
    <row r="19" s="31" customFormat="1" spans="1:18">
      <c r="A19" s="89">
        <f>IF(F19&lt;&gt;"",1+MAX($A$2:A18),"")</f>
        <v>8</v>
      </c>
      <c r="B19" s="85"/>
      <c r="C19" s="59"/>
      <c r="D19" s="60" t="s">
        <v>412</v>
      </c>
      <c r="E19" s="61">
        <v>2</v>
      </c>
      <c r="F19" s="62">
        <v>0</v>
      </c>
      <c r="G19" s="63">
        <f>(F19*E19)+E19</f>
        <v>2</v>
      </c>
      <c r="H19" s="61" t="s">
        <v>73</v>
      </c>
      <c r="I19" s="140">
        <v>0.25</v>
      </c>
      <c r="J19" s="141">
        <f t="shared" ref="J19" si="6">+I19*G19</f>
        <v>0.5</v>
      </c>
      <c r="K19" s="142">
        <f>'LABOR SHEET'!C$3</f>
        <v>128</v>
      </c>
      <c r="L19" s="143">
        <f t="shared" ref="L19" si="7">I19*K19</f>
        <v>32</v>
      </c>
      <c r="M19" s="143">
        <f t="shared" ref="M19" si="8">K19*J19</f>
        <v>64</v>
      </c>
      <c r="N19" s="143">
        <v>18</v>
      </c>
      <c r="O19" s="143">
        <f t="shared" ref="O19" si="9">N19*G19</f>
        <v>36</v>
      </c>
      <c r="P19" s="143">
        <f t="shared" ref="P19" si="10">(I19*K19)+N19</f>
        <v>50</v>
      </c>
      <c r="Q19" s="178">
        <f t="shared" ref="Q19" si="11">P19*G19</f>
        <v>100</v>
      </c>
      <c r="R19" s="170"/>
    </row>
    <row r="20" s="31" customFormat="1" spans="1:18">
      <c r="A20" s="70" t="str">
        <f>IF(F20&lt;&gt;"",1+MAX($A$2:A19),"")</f>
        <v/>
      </c>
      <c r="B20" s="85"/>
      <c r="C20" s="90"/>
      <c r="D20" s="60"/>
      <c r="E20" s="88"/>
      <c r="F20" s="68"/>
      <c r="G20" s="63"/>
      <c r="H20" s="73"/>
      <c r="I20" s="140"/>
      <c r="J20" s="141"/>
      <c r="K20" s="142"/>
      <c r="L20" s="143"/>
      <c r="M20" s="143"/>
      <c r="N20" s="143"/>
      <c r="O20" s="143"/>
      <c r="P20" s="143"/>
      <c r="Q20" s="178"/>
      <c r="R20" s="170"/>
    </row>
    <row r="21" s="31" customFormat="1" spans="1:18">
      <c r="A21" s="84" t="str">
        <f>IF(F21&lt;&gt;"",1+MAX($A$2:A20),"")</f>
        <v/>
      </c>
      <c r="B21" s="85"/>
      <c r="C21" s="86"/>
      <c r="D21" s="87" t="s">
        <v>149</v>
      </c>
      <c r="E21" s="88"/>
      <c r="F21" s="68"/>
      <c r="G21" s="63"/>
      <c r="H21" s="69"/>
      <c r="I21" s="69"/>
      <c r="J21" s="69"/>
      <c r="K21" s="149"/>
      <c r="L21" s="149"/>
      <c r="M21" s="149"/>
      <c r="N21" s="149"/>
      <c r="O21" s="149"/>
      <c r="P21" s="149"/>
      <c r="Q21" s="179"/>
      <c r="R21" s="170"/>
    </row>
    <row r="22" s="31" customFormat="1" spans="1:18">
      <c r="A22" s="89">
        <f>IF(F22&lt;&gt;"",1+MAX($A$2:A21),"")</f>
        <v>9</v>
      </c>
      <c r="B22" s="85"/>
      <c r="C22" s="59"/>
      <c r="D22" s="60" t="s">
        <v>154</v>
      </c>
      <c r="E22" s="61">
        <v>89.02</v>
      </c>
      <c r="F22" s="62">
        <v>0</v>
      </c>
      <c r="G22" s="63">
        <f t="shared" ref="G22:G29" si="12">(F22*E22)+E22</f>
        <v>89.02</v>
      </c>
      <c r="H22" s="61" t="s">
        <v>56</v>
      </c>
      <c r="I22" s="140">
        <v>0.045</v>
      </c>
      <c r="J22" s="141">
        <f t="shared" ref="J22" si="13">+I22*G22</f>
        <v>4.0059</v>
      </c>
      <c r="K22" s="142">
        <f>'LABOR SHEET'!C$3</f>
        <v>128</v>
      </c>
      <c r="L22" s="143">
        <f t="shared" ref="L22" si="14">I22*K22</f>
        <v>5.76</v>
      </c>
      <c r="M22" s="143">
        <f t="shared" ref="M22" si="15">K22*J22</f>
        <v>512.7552</v>
      </c>
      <c r="N22" s="143">
        <v>1.2</v>
      </c>
      <c r="O22" s="143">
        <f t="shared" ref="O22" si="16">N22*G22</f>
        <v>106.824</v>
      </c>
      <c r="P22" s="143">
        <f t="shared" ref="P22" si="17">(I22*K22)+N22</f>
        <v>6.96</v>
      </c>
      <c r="Q22" s="178">
        <f t="shared" ref="Q22" si="18">P22*G22</f>
        <v>619.5792</v>
      </c>
      <c r="R22" s="170"/>
    </row>
    <row r="23" s="31" customFormat="1" spans="1:18">
      <c r="A23" s="70" t="str">
        <f>IF(F23&lt;&gt;"",1+MAX($A$2:A22),"")</f>
        <v/>
      </c>
      <c r="B23" s="85"/>
      <c r="C23" s="65"/>
      <c r="D23" s="66"/>
      <c r="E23" s="67"/>
      <c r="F23" s="68"/>
      <c r="G23" s="69"/>
      <c r="H23" s="73"/>
      <c r="I23" s="144"/>
      <c r="J23" s="141"/>
      <c r="K23" s="142"/>
      <c r="L23" s="143"/>
      <c r="M23" s="143"/>
      <c r="N23" s="143"/>
      <c r="O23" s="143"/>
      <c r="P23" s="147"/>
      <c r="Q23" s="180"/>
      <c r="R23" s="170"/>
    </row>
    <row r="24" s="32" customFormat="1" spans="1:36">
      <c r="A24" s="91" t="str">
        <f>IF(F24&lt;&gt;"",1+MAX($A$2:A23),"")</f>
        <v/>
      </c>
      <c r="B24" s="92"/>
      <c r="C24" s="93"/>
      <c r="D24" s="87" t="s">
        <v>163</v>
      </c>
      <c r="E24" s="69"/>
      <c r="F24" s="94"/>
      <c r="G24" s="95"/>
      <c r="H24" s="67"/>
      <c r="I24" s="140"/>
      <c r="J24" s="141"/>
      <c r="K24" s="142"/>
      <c r="L24" s="143"/>
      <c r="M24" s="143"/>
      <c r="N24" s="143"/>
      <c r="O24" s="143"/>
      <c r="P24" s="143"/>
      <c r="Q24" s="179"/>
      <c r="R24" s="181"/>
      <c r="S24" s="181"/>
      <c r="T24" s="181"/>
      <c r="U24" s="181"/>
      <c r="V24" s="181"/>
      <c r="W24" s="181"/>
      <c r="X24" s="181"/>
      <c r="Y24" s="181"/>
      <c r="Z24" s="181"/>
      <c r="AA24" s="181"/>
      <c r="AB24" s="181"/>
      <c r="AC24" s="181"/>
      <c r="AD24" s="181"/>
      <c r="AE24" s="181"/>
      <c r="AF24" s="181"/>
      <c r="AG24" s="181"/>
      <c r="AH24" s="181"/>
      <c r="AI24" s="181"/>
      <c r="AJ24" s="181"/>
    </row>
    <row r="25" s="32" customFormat="1" spans="1:36">
      <c r="A25" s="91" t="str">
        <f>IF(F25&lt;&gt;"",1+MAX($A$2:A24),"")</f>
        <v/>
      </c>
      <c r="B25" s="92"/>
      <c r="C25" s="93"/>
      <c r="D25" s="96" t="s">
        <v>54</v>
      </c>
      <c r="E25" s="69"/>
      <c r="F25" s="94"/>
      <c r="G25" s="95"/>
      <c r="H25" s="67"/>
      <c r="I25" s="140"/>
      <c r="J25" s="141"/>
      <c r="K25" s="142"/>
      <c r="L25" s="143"/>
      <c r="M25" s="143"/>
      <c r="N25" s="143"/>
      <c r="O25" s="143"/>
      <c r="P25" s="143"/>
      <c r="Q25" s="179"/>
      <c r="R25" s="181"/>
      <c r="S25" s="181"/>
      <c r="T25" s="181"/>
      <c r="U25" s="181"/>
      <c r="V25" s="181"/>
      <c r="W25" s="181"/>
      <c r="X25" s="181"/>
      <c r="Y25" s="181"/>
      <c r="Z25" s="181"/>
      <c r="AA25" s="181"/>
      <c r="AB25" s="181"/>
      <c r="AC25" s="181"/>
      <c r="AD25" s="181"/>
      <c r="AE25" s="181"/>
      <c r="AF25" s="181"/>
      <c r="AG25" s="181"/>
      <c r="AH25" s="181"/>
      <c r="AI25" s="181"/>
      <c r="AJ25" s="181"/>
    </row>
    <row r="26" s="32" customFormat="1" spans="1:36">
      <c r="A26" s="91">
        <f>IF(F26&lt;&gt;"",1+MAX($A$2:A25),"")</f>
        <v>10</v>
      </c>
      <c r="B26" s="92"/>
      <c r="C26" s="93"/>
      <c r="D26" s="66" t="s">
        <v>158</v>
      </c>
      <c r="E26" s="69">
        <v>390.21</v>
      </c>
      <c r="F26" s="68">
        <v>0.05</v>
      </c>
      <c r="G26" s="63">
        <f t="shared" si="12"/>
        <v>409.7205</v>
      </c>
      <c r="H26" s="67" t="s">
        <v>56</v>
      </c>
      <c r="I26" s="140">
        <v>0.05</v>
      </c>
      <c r="J26" s="141">
        <f t="shared" ref="J26:J29" si="19">+I26*G26</f>
        <v>20.486025</v>
      </c>
      <c r="K26" s="142">
        <f>'LABOR SHEET'!C$3</f>
        <v>128</v>
      </c>
      <c r="L26" s="143">
        <f t="shared" ref="L26:L29" si="20">I26*K26</f>
        <v>6.4</v>
      </c>
      <c r="M26" s="143">
        <f t="shared" ref="M26:M29" si="21">K26*J26</f>
        <v>2622.2112</v>
      </c>
      <c r="N26" s="143">
        <f>11.46/10+0.25</f>
        <v>1.396</v>
      </c>
      <c r="O26" s="143">
        <f t="shared" ref="O26:O29" si="22">N26*G26</f>
        <v>571.969818</v>
      </c>
      <c r="P26" s="143">
        <f t="shared" ref="P26:P29" si="23">(I26*K26)+N26</f>
        <v>7.796</v>
      </c>
      <c r="Q26" s="178">
        <f t="shared" ref="Q26:Q29" si="24">P26*G26</f>
        <v>3194.181018</v>
      </c>
      <c r="R26" s="181"/>
      <c r="S26" s="181"/>
      <c r="T26" s="181"/>
      <c r="U26" s="181"/>
      <c r="V26" s="181"/>
      <c r="W26" s="181"/>
      <c r="X26" s="181"/>
      <c r="Y26" s="181"/>
      <c r="Z26" s="181"/>
      <c r="AA26" s="181"/>
      <c r="AB26" s="181"/>
      <c r="AC26" s="181"/>
      <c r="AD26" s="181"/>
      <c r="AE26" s="181"/>
      <c r="AF26" s="181"/>
      <c r="AG26" s="181"/>
      <c r="AH26" s="181"/>
      <c r="AI26" s="181"/>
      <c r="AJ26" s="181"/>
    </row>
    <row r="27" s="32" customFormat="1" spans="1:36">
      <c r="A27" s="91">
        <f>IF(F27&lt;&gt;"",1+MAX($A$2:A26),"")</f>
        <v>11</v>
      </c>
      <c r="B27" s="92"/>
      <c r="C27" s="93"/>
      <c r="D27" s="66" t="s">
        <v>159</v>
      </c>
      <c r="E27" s="69">
        <v>5</v>
      </c>
      <c r="F27" s="68">
        <v>0.05</v>
      </c>
      <c r="G27" s="63">
        <f t="shared" si="12"/>
        <v>5.25</v>
      </c>
      <c r="H27" s="67" t="s">
        <v>56</v>
      </c>
      <c r="I27" s="140">
        <v>0.035</v>
      </c>
      <c r="J27" s="141">
        <f t="shared" si="19"/>
        <v>0.18375</v>
      </c>
      <c r="K27" s="142">
        <f>'LABOR SHEET'!C$3</f>
        <v>128</v>
      </c>
      <c r="L27" s="143">
        <f t="shared" si="20"/>
        <v>4.48</v>
      </c>
      <c r="M27" s="143">
        <f t="shared" si="21"/>
        <v>23.52</v>
      </c>
      <c r="N27" s="143">
        <f>9.68/10+0.35</f>
        <v>1.318</v>
      </c>
      <c r="O27" s="143">
        <f t="shared" si="22"/>
        <v>6.9195</v>
      </c>
      <c r="P27" s="143">
        <f t="shared" si="23"/>
        <v>5.798</v>
      </c>
      <c r="Q27" s="178">
        <f t="shared" si="24"/>
        <v>30.4395</v>
      </c>
      <c r="R27" s="181"/>
      <c r="S27" s="181"/>
      <c r="T27" s="181"/>
      <c r="U27" s="181"/>
      <c r="V27" s="181"/>
      <c r="W27" s="181"/>
      <c r="X27" s="181"/>
      <c r="Y27" s="181"/>
      <c r="Z27" s="181"/>
      <c r="AA27" s="181"/>
      <c r="AB27" s="181"/>
      <c r="AC27" s="181"/>
      <c r="AD27" s="181"/>
      <c r="AE27" s="181"/>
      <c r="AF27" s="181"/>
      <c r="AG27" s="181"/>
      <c r="AH27" s="181"/>
      <c r="AI27" s="181"/>
      <c r="AJ27" s="181"/>
    </row>
    <row r="28" s="32" customFormat="1" spans="1:36">
      <c r="A28" s="91">
        <f>IF(F28&lt;&gt;"",1+MAX($A$2:A27),"")</f>
        <v>12</v>
      </c>
      <c r="B28" s="92"/>
      <c r="C28" s="93"/>
      <c r="D28" s="66" t="s">
        <v>172</v>
      </c>
      <c r="E28" s="69">
        <v>12.85</v>
      </c>
      <c r="F28" s="68">
        <v>0.05</v>
      </c>
      <c r="G28" s="63">
        <f t="shared" si="12"/>
        <v>13.4925</v>
      </c>
      <c r="H28" s="67" t="s">
        <v>56</v>
      </c>
      <c r="I28" s="140">
        <v>0.1</v>
      </c>
      <c r="J28" s="141">
        <f t="shared" si="19"/>
        <v>1.34925</v>
      </c>
      <c r="K28" s="142">
        <f>'LABOR SHEET'!C$3</f>
        <v>128</v>
      </c>
      <c r="L28" s="143">
        <f t="shared" si="20"/>
        <v>12.8</v>
      </c>
      <c r="M28" s="143">
        <f t="shared" si="21"/>
        <v>172.704</v>
      </c>
      <c r="N28" s="143">
        <f>244.56/100+0.3</f>
        <v>2.7456</v>
      </c>
      <c r="O28" s="143">
        <f t="shared" si="22"/>
        <v>37.045008</v>
      </c>
      <c r="P28" s="143">
        <f t="shared" si="23"/>
        <v>15.5456</v>
      </c>
      <c r="Q28" s="178">
        <f t="shared" si="24"/>
        <v>209.749008</v>
      </c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81"/>
      <c r="AJ28" s="181"/>
    </row>
    <row r="29" s="32" customFormat="1" spans="1:36">
      <c r="A29" s="91">
        <f>IF(F29&lt;&gt;"",1+MAX($A$2:A28),"")</f>
        <v>13</v>
      </c>
      <c r="B29" s="92"/>
      <c r="C29" s="93"/>
      <c r="D29" s="66" t="s">
        <v>171</v>
      </c>
      <c r="E29" s="69">
        <v>10.27</v>
      </c>
      <c r="F29" s="68">
        <v>0.05</v>
      </c>
      <c r="G29" s="63">
        <f t="shared" si="12"/>
        <v>10.7835</v>
      </c>
      <c r="H29" s="67" t="s">
        <v>56</v>
      </c>
      <c r="I29" s="140">
        <v>0.067</v>
      </c>
      <c r="J29" s="141">
        <f t="shared" si="19"/>
        <v>0.7224945</v>
      </c>
      <c r="K29" s="142">
        <f>'LABOR SHEET'!C$3</f>
        <v>128</v>
      </c>
      <c r="L29" s="143">
        <f t="shared" si="20"/>
        <v>8.576</v>
      </c>
      <c r="M29" s="143">
        <f t="shared" si="21"/>
        <v>92.479296</v>
      </c>
      <c r="N29" s="143">
        <f>29.67/10+0.35</f>
        <v>3.317</v>
      </c>
      <c r="O29" s="143">
        <f t="shared" si="22"/>
        <v>35.7688695</v>
      </c>
      <c r="P29" s="143">
        <f t="shared" si="23"/>
        <v>11.893</v>
      </c>
      <c r="Q29" s="178">
        <f t="shared" si="24"/>
        <v>128.2481655</v>
      </c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81"/>
      <c r="AJ29" s="181"/>
    </row>
    <row r="30" s="32" customFormat="1" spans="1:36">
      <c r="A30" s="91" t="str">
        <f>IF(F30&lt;&gt;"",1+MAX($A$2:A29),"")</f>
        <v/>
      </c>
      <c r="B30" s="92"/>
      <c r="C30" s="93"/>
      <c r="D30" s="66"/>
      <c r="E30" s="69"/>
      <c r="F30" s="94"/>
      <c r="G30" s="95"/>
      <c r="H30" s="67"/>
      <c r="I30" s="140"/>
      <c r="J30" s="141"/>
      <c r="K30" s="142"/>
      <c r="L30" s="143"/>
      <c r="M30" s="143"/>
      <c r="N30" s="143"/>
      <c r="O30" s="143"/>
      <c r="P30" s="143"/>
      <c r="Q30" s="179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81"/>
      <c r="AJ30" s="181"/>
    </row>
    <row r="31" s="32" customFormat="1" spans="1:36">
      <c r="A31" s="91" t="str">
        <f>IF(F31&lt;&gt;"",1+MAX($A$2:A30),"")</f>
        <v/>
      </c>
      <c r="B31" s="92"/>
      <c r="C31" s="93"/>
      <c r="D31" s="96" t="s">
        <v>62</v>
      </c>
      <c r="E31" s="69"/>
      <c r="F31" s="94"/>
      <c r="G31" s="95"/>
      <c r="H31" s="67"/>
      <c r="I31" s="140"/>
      <c r="J31" s="141"/>
      <c r="K31" s="142"/>
      <c r="L31" s="143"/>
      <c r="M31" s="143"/>
      <c r="N31" s="143"/>
      <c r="O31" s="143"/>
      <c r="P31" s="143"/>
      <c r="Q31" s="179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81"/>
      <c r="AJ31" s="181"/>
    </row>
    <row r="32" s="32" customFormat="1" spans="1:36">
      <c r="A32" s="91">
        <f>IF(F32&lt;&gt;"",1+MAX($A$2:A31),"")</f>
        <v>14</v>
      </c>
      <c r="B32" s="92"/>
      <c r="C32" s="93"/>
      <c r="D32" s="66" t="s">
        <v>160</v>
      </c>
      <c r="E32" s="69">
        <v>1254.99</v>
      </c>
      <c r="F32" s="68">
        <v>0.05</v>
      </c>
      <c r="G32" s="63">
        <f t="shared" ref="G32:G37" si="25">(F32*E32)+E32</f>
        <v>1317.7395</v>
      </c>
      <c r="H32" s="67" t="s">
        <v>56</v>
      </c>
      <c r="I32" s="140">
        <v>0.01</v>
      </c>
      <c r="J32" s="141">
        <f t="shared" ref="J32" si="26">+I32*G32</f>
        <v>13.177395</v>
      </c>
      <c r="K32" s="142">
        <f>'LABOR SHEET'!C$3</f>
        <v>128</v>
      </c>
      <c r="L32" s="143">
        <f t="shared" ref="L32" si="27">I32*K32</f>
        <v>1.28</v>
      </c>
      <c r="M32" s="143">
        <f t="shared" ref="M32" si="28">K32*J32</f>
        <v>1686.70656</v>
      </c>
      <c r="N32" s="143">
        <v>0.38</v>
      </c>
      <c r="O32" s="143">
        <f t="shared" ref="O32" si="29">N32*G32</f>
        <v>500.74101</v>
      </c>
      <c r="P32" s="143">
        <f t="shared" ref="P32" si="30">(I32*K32)+N32</f>
        <v>1.66</v>
      </c>
      <c r="Q32" s="178">
        <f t="shared" ref="Q32" si="31">P32*G32</f>
        <v>2187.44757</v>
      </c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81"/>
      <c r="AJ32" s="181"/>
    </row>
    <row r="33" s="32" customFormat="1" spans="1:36">
      <c r="A33" s="91" t="str">
        <f>IF(F33&lt;&gt;"",1+MAX($A$2:A32),"")</f>
        <v/>
      </c>
      <c r="B33" s="92"/>
      <c r="C33" s="93"/>
      <c r="D33" s="66"/>
      <c r="E33" s="69"/>
      <c r="F33" s="94"/>
      <c r="G33" s="95"/>
      <c r="H33" s="67"/>
      <c r="I33" s="140"/>
      <c r="J33" s="141"/>
      <c r="K33" s="142"/>
      <c r="L33" s="143"/>
      <c r="M33" s="143"/>
      <c r="N33" s="143"/>
      <c r="O33" s="143"/>
      <c r="P33" s="143"/>
      <c r="Q33" s="179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81"/>
      <c r="AJ33" s="181"/>
    </row>
    <row r="34" s="32" customFormat="1" spans="1:36">
      <c r="A34" s="91" t="str">
        <f>IF(F34&lt;&gt;"",1+MAX($A$2:A33),"")</f>
        <v/>
      </c>
      <c r="B34" s="92"/>
      <c r="C34" s="93"/>
      <c r="D34" s="57" t="s">
        <v>363</v>
      </c>
      <c r="E34" s="69"/>
      <c r="F34" s="94"/>
      <c r="G34" s="95"/>
      <c r="H34" s="67"/>
      <c r="I34" s="140"/>
      <c r="J34" s="141"/>
      <c r="K34" s="142"/>
      <c r="L34" s="143"/>
      <c r="M34" s="143"/>
      <c r="N34" s="143"/>
      <c r="O34" s="143"/>
      <c r="P34" s="143"/>
      <c r="Q34" s="179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81"/>
      <c r="AJ34" s="181"/>
    </row>
    <row r="35" s="32" customFormat="1" spans="1:36">
      <c r="A35" s="91" t="str">
        <f>IF(F35&lt;&gt;"",1+MAX($A$2:A34),"")</f>
        <v/>
      </c>
      <c r="B35" s="92"/>
      <c r="C35" s="93"/>
      <c r="D35" s="87" t="s">
        <v>285</v>
      </c>
      <c r="E35" s="69"/>
      <c r="F35" s="94"/>
      <c r="G35" s="95"/>
      <c r="H35" s="67"/>
      <c r="I35" s="140"/>
      <c r="J35" s="141"/>
      <c r="K35" s="142"/>
      <c r="L35" s="143"/>
      <c r="M35" s="143"/>
      <c r="N35" s="143"/>
      <c r="O35" s="143"/>
      <c r="P35" s="143"/>
      <c r="Q35" s="179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81"/>
      <c r="AJ35" s="181"/>
    </row>
    <row r="36" s="32" customFormat="1" spans="1:36">
      <c r="A36" s="91">
        <f>IF(F36&lt;&gt;"",1+MAX($A$2:A35),"")</f>
        <v>15</v>
      </c>
      <c r="B36" s="92"/>
      <c r="C36" s="93"/>
      <c r="D36" s="66" t="s">
        <v>158</v>
      </c>
      <c r="E36" s="69">
        <v>110.05</v>
      </c>
      <c r="F36" s="68">
        <v>0.05</v>
      </c>
      <c r="G36" s="63">
        <f t="shared" si="25"/>
        <v>115.5525</v>
      </c>
      <c r="H36" s="67" t="s">
        <v>56</v>
      </c>
      <c r="I36" s="140">
        <v>0.05</v>
      </c>
      <c r="J36" s="141">
        <f t="shared" ref="J36:J37" si="32">+I36*G36</f>
        <v>5.777625</v>
      </c>
      <c r="K36" s="142">
        <f>'LABOR SHEET'!C$3</f>
        <v>128</v>
      </c>
      <c r="L36" s="143">
        <f t="shared" ref="L36:L37" si="33">I36*K36</f>
        <v>6.4</v>
      </c>
      <c r="M36" s="143">
        <f t="shared" ref="M36:M37" si="34">K36*J36</f>
        <v>739.536</v>
      </c>
      <c r="N36" s="143">
        <f>11.46/10+0.25</f>
        <v>1.396</v>
      </c>
      <c r="O36" s="143">
        <f t="shared" ref="O36:O37" si="35">N36*G36</f>
        <v>161.31129</v>
      </c>
      <c r="P36" s="143">
        <f t="shared" ref="P36:P37" si="36">(I36*K36)+N36</f>
        <v>7.796</v>
      </c>
      <c r="Q36" s="178">
        <f t="shared" ref="Q36:Q37" si="37">P36*G36</f>
        <v>900.84729</v>
      </c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81"/>
      <c r="AJ36" s="181"/>
    </row>
    <row r="37" s="32" customFormat="1" spans="1:36">
      <c r="A37" s="91">
        <f>IF(F37&lt;&gt;"",1+MAX($A$2:A36),"")</f>
        <v>16</v>
      </c>
      <c r="B37" s="92"/>
      <c r="C37" s="93"/>
      <c r="D37" s="66" t="s">
        <v>171</v>
      </c>
      <c r="E37" s="69">
        <v>14.52</v>
      </c>
      <c r="F37" s="68">
        <v>0.05</v>
      </c>
      <c r="G37" s="63">
        <f t="shared" si="25"/>
        <v>15.246</v>
      </c>
      <c r="H37" s="67" t="s">
        <v>56</v>
      </c>
      <c r="I37" s="140">
        <v>0.067</v>
      </c>
      <c r="J37" s="141">
        <f t="shared" si="32"/>
        <v>1.021482</v>
      </c>
      <c r="K37" s="142">
        <f>'LABOR SHEET'!C$3</f>
        <v>128</v>
      </c>
      <c r="L37" s="143">
        <f t="shared" si="33"/>
        <v>8.576</v>
      </c>
      <c r="M37" s="143">
        <f t="shared" si="34"/>
        <v>130.749696</v>
      </c>
      <c r="N37" s="143">
        <f>29.67/10+0.35</f>
        <v>3.317</v>
      </c>
      <c r="O37" s="143">
        <f t="shared" si="35"/>
        <v>50.570982</v>
      </c>
      <c r="P37" s="143">
        <f t="shared" si="36"/>
        <v>11.893</v>
      </c>
      <c r="Q37" s="178">
        <f t="shared" si="37"/>
        <v>181.320678</v>
      </c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81"/>
      <c r="AJ37" s="181"/>
    </row>
    <row r="38" s="32" customFormat="1" spans="1:36">
      <c r="A38" s="91" t="str">
        <f>IF(F38&lt;&gt;"",1+MAX($A$2:A37),"")</f>
        <v/>
      </c>
      <c r="B38" s="92"/>
      <c r="C38" s="93"/>
      <c r="D38" s="66"/>
      <c r="E38" s="69"/>
      <c r="F38" s="94"/>
      <c r="G38" s="95"/>
      <c r="H38" s="67"/>
      <c r="I38" s="140"/>
      <c r="J38" s="141"/>
      <c r="K38" s="142"/>
      <c r="L38" s="143"/>
      <c r="M38" s="143"/>
      <c r="N38" s="143"/>
      <c r="O38" s="143"/>
      <c r="P38" s="143"/>
      <c r="Q38" s="179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81"/>
      <c r="AJ38" s="181"/>
    </row>
    <row r="39" s="32" customFormat="1" spans="1:36">
      <c r="A39" s="91" t="str">
        <f>IF(F39&lt;&gt;"",1+MAX($A$2:A38),"")</f>
        <v/>
      </c>
      <c r="B39" s="92"/>
      <c r="C39" s="93"/>
      <c r="D39" s="87" t="s">
        <v>286</v>
      </c>
      <c r="E39" s="69"/>
      <c r="F39" s="94"/>
      <c r="G39" s="95"/>
      <c r="H39" s="67"/>
      <c r="I39" s="140"/>
      <c r="J39" s="141"/>
      <c r="K39" s="142"/>
      <c r="L39" s="143"/>
      <c r="M39" s="143"/>
      <c r="N39" s="143"/>
      <c r="O39" s="143"/>
      <c r="P39" s="143"/>
      <c r="Q39" s="179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81"/>
      <c r="AJ39" s="181"/>
    </row>
    <row r="40" s="32" customFormat="1" spans="1:36">
      <c r="A40" s="91">
        <f>IF(F40&lt;&gt;"",1+MAX($A$2:A39),"")</f>
        <v>17</v>
      </c>
      <c r="B40" s="92"/>
      <c r="C40" s="93"/>
      <c r="D40" s="66" t="s">
        <v>290</v>
      </c>
      <c r="E40" s="69">
        <v>124.57</v>
      </c>
      <c r="F40" s="68">
        <v>0.05</v>
      </c>
      <c r="G40" s="63">
        <f t="shared" ref="G40:G44" si="38">(F40*E40)+E40</f>
        <v>130.7985</v>
      </c>
      <c r="H40" s="67" t="s">
        <v>56</v>
      </c>
      <c r="I40" s="140">
        <v>0.008</v>
      </c>
      <c r="J40" s="141">
        <f t="shared" ref="J40" si="39">+I40*G40</f>
        <v>1.046388</v>
      </c>
      <c r="K40" s="142">
        <f>'LABOR SHEET'!C$3</f>
        <v>128</v>
      </c>
      <c r="L40" s="143">
        <f t="shared" ref="L40" si="40">I40*K40</f>
        <v>1.024</v>
      </c>
      <c r="M40" s="143">
        <f t="shared" ref="M40" si="41">K40*J40</f>
        <v>133.937664</v>
      </c>
      <c r="N40" s="143">
        <f>7.94/15</f>
        <v>0.529333333333333</v>
      </c>
      <c r="O40" s="143">
        <f t="shared" ref="O40" si="42">N40*G40</f>
        <v>69.236006</v>
      </c>
      <c r="P40" s="143">
        <f t="shared" ref="P40" si="43">(I40*K40)+N40</f>
        <v>1.55333333333333</v>
      </c>
      <c r="Q40" s="178">
        <f t="shared" ref="Q40" si="44">P40*G40</f>
        <v>203.17367</v>
      </c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81"/>
      <c r="AJ40" s="181"/>
    </row>
    <row r="41" s="32" customFormat="1" spans="1:36">
      <c r="A41" s="91" t="str">
        <f>IF(F41&lt;&gt;"",1+MAX($A$2:A40),"")</f>
        <v/>
      </c>
      <c r="B41" s="92"/>
      <c r="C41" s="93"/>
      <c r="D41" s="66"/>
      <c r="E41" s="69"/>
      <c r="F41" s="94"/>
      <c r="G41" s="95"/>
      <c r="H41" s="67"/>
      <c r="I41" s="140"/>
      <c r="J41" s="141"/>
      <c r="K41" s="142"/>
      <c r="L41" s="143"/>
      <c r="M41" s="143"/>
      <c r="N41" s="143"/>
      <c r="O41" s="143"/>
      <c r="P41" s="143"/>
      <c r="Q41" s="179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81"/>
      <c r="AJ41" s="181"/>
    </row>
    <row r="42" s="32" customFormat="1" spans="1:36">
      <c r="A42" s="91" t="str">
        <f>IF(F42&lt;&gt;"",1+MAX($A$2:A41),"")</f>
        <v/>
      </c>
      <c r="B42" s="92"/>
      <c r="C42" s="93"/>
      <c r="D42" s="87" t="s">
        <v>291</v>
      </c>
      <c r="E42" s="69"/>
      <c r="F42" s="94"/>
      <c r="G42" s="95"/>
      <c r="H42" s="67"/>
      <c r="I42" s="140"/>
      <c r="J42" s="141"/>
      <c r="K42" s="142"/>
      <c r="L42" s="143"/>
      <c r="M42" s="143"/>
      <c r="N42" s="143"/>
      <c r="O42" s="143"/>
      <c r="P42" s="143"/>
      <c r="Q42" s="179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81"/>
      <c r="AJ42" s="181"/>
    </row>
    <row r="43" s="32" customFormat="1" spans="1:36">
      <c r="A43" s="91">
        <f>IF(F43&lt;&gt;"",1+MAX($A$2:A42),"")</f>
        <v>18</v>
      </c>
      <c r="B43" s="92"/>
      <c r="C43" s="93"/>
      <c r="D43" s="66" t="s">
        <v>413</v>
      </c>
      <c r="E43" s="69">
        <v>2</v>
      </c>
      <c r="F43" s="68">
        <v>0</v>
      </c>
      <c r="G43" s="63">
        <f t="shared" si="38"/>
        <v>2</v>
      </c>
      <c r="H43" s="67" t="s">
        <v>73</v>
      </c>
      <c r="I43" s="140">
        <v>3.5</v>
      </c>
      <c r="J43" s="141">
        <f t="shared" ref="J43:J44" si="45">+I43*G43</f>
        <v>7</v>
      </c>
      <c r="K43" s="142">
        <f>'LABOR SHEET'!C$3</f>
        <v>128</v>
      </c>
      <c r="L43" s="143">
        <f t="shared" ref="L43:L44" si="46">I43*K43</f>
        <v>448</v>
      </c>
      <c r="M43" s="143">
        <f t="shared" ref="M43:M44" si="47">K43*J43</f>
        <v>896</v>
      </c>
      <c r="N43" s="143">
        <v>791.63</v>
      </c>
      <c r="O43" s="143">
        <f t="shared" ref="O43:O44" si="48">N43*G43</f>
        <v>1583.26</v>
      </c>
      <c r="P43" s="143">
        <f t="shared" ref="P43:P44" si="49">(I43*K43)+N43</f>
        <v>1239.63</v>
      </c>
      <c r="Q43" s="178">
        <f t="shared" ref="Q43:Q44" si="50">P43*G43</f>
        <v>2479.26</v>
      </c>
      <c r="R43" s="181"/>
      <c r="S43" s="181"/>
      <c r="T43" s="181"/>
      <c r="U43" s="181"/>
      <c r="V43" s="181"/>
      <c r="W43" s="181"/>
      <c r="X43" s="181"/>
      <c r="Y43" s="181"/>
      <c r="Z43" s="181"/>
      <c r="AA43" s="181"/>
      <c r="AB43" s="181"/>
      <c r="AC43" s="181"/>
      <c r="AD43" s="181"/>
      <c r="AE43" s="181"/>
      <c r="AF43" s="181"/>
      <c r="AG43" s="181"/>
      <c r="AH43" s="181"/>
      <c r="AI43" s="181"/>
      <c r="AJ43" s="181"/>
    </row>
    <row r="44" s="32" customFormat="1" spans="1:36">
      <c r="A44" s="91">
        <f>IF(F44&lt;&gt;"",1+MAX($A$2:A43),"")</f>
        <v>19</v>
      </c>
      <c r="B44" s="92"/>
      <c r="C44" s="93"/>
      <c r="D44" s="66" t="s">
        <v>375</v>
      </c>
      <c r="E44" s="69">
        <v>2</v>
      </c>
      <c r="F44" s="68">
        <v>0</v>
      </c>
      <c r="G44" s="63">
        <f t="shared" si="38"/>
        <v>2</v>
      </c>
      <c r="H44" s="67" t="s">
        <v>73</v>
      </c>
      <c r="I44" s="140">
        <v>0.25</v>
      </c>
      <c r="J44" s="141">
        <f t="shared" si="45"/>
        <v>0.5</v>
      </c>
      <c r="K44" s="142">
        <f>'LABOR SHEET'!C$3</f>
        <v>128</v>
      </c>
      <c r="L44" s="143">
        <f t="shared" si="46"/>
        <v>32</v>
      </c>
      <c r="M44" s="143">
        <f t="shared" si="47"/>
        <v>64</v>
      </c>
      <c r="N44" s="143">
        <v>20</v>
      </c>
      <c r="O44" s="143">
        <f t="shared" si="48"/>
        <v>40</v>
      </c>
      <c r="P44" s="143">
        <f t="shared" si="49"/>
        <v>52</v>
      </c>
      <c r="Q44" s="178">
        <f t="shared" si="50"/>
        <v>104</v>
      </c>
      <c r="R44" s="181"/>
      <c r="S44" s="181"/>
      <c r="T44" s="181"/>
      <c r="U44" s="181"/>
      <c r="V44" s="181"/>
      <c r="W44" s="181"/>
      <c r="X44" s="181"/>
      <c r="Y44" s="181"/>
      <c r="Z44" s="181"/>
      <c r="AA44" s="181"/>
      <c r="AB44" s="181"/>
      <c r="AC44" s="181"/>
      <c r="AD44" s="181"/>
      <c r="AE44" s="181"/>
      <c r="AF44" s="181"/>
      <c r="AG44" s="181"/>
      <c r="AH44" s="181"/>
      <c r="AI44" s="181"/>
      <c r="AJ44" s="181"/>
    </row>
    <row r="45" s="32" customFormat="1" ht="16.5" spans="1:36">
      <c r="A45" s="91" t="str">
        <f>IF(F45&lt;&gt;"",1+MAX($A$2:A44),"")</f>
        <v/>
      </c>
      <c r="B45" s="92"/>
      <c r="C45" s="93"/>
      <c r="D45" s="66"/>
      <c r="E45" s="69"/>
      <c r="F45" s="94"/>
      <c r="G45" s="95"/>
      <c r="H45" s="67"/>
      <c r="I45" s="140"/>
      <c r="J45" s="141"/>
      <c r="K45" s="142"/>
      <c r="L45" s="143"/>
      <c r="M45" s="143"/>
      <c r="N45" s="143"/>
      <c r="O45" s="143"/>
      <c r="P45" s="143"/>
      <c r="Q45" s="179"/>
      <c r="R45" s="181"/>
      <c r="S45" s="181"/>
      <c r="T45" s="181"/>
      <c r="U45" s="181"/>
      <c r="V45" s="181"/>
      <c r="W45" s="181"/>
      <c r="X45" s="181"/>
      <c r="Y45" s="181"/>
      <c r="Z45" s="181"/>
      <c r="AA45" s="181"/>
      <c r="AB45" s="181"/>
      <c r="AC45" s="181"/>
      <c r="AD45" s="181"/>
      <c r="AE45" s="181"/>
      <c r="AF45" s="181"/>
      <c r="AG45" s="181"/>
      <c r="AH45" s="181"/>
      <c r="AI45" s="181"/>
      <c r="AJ45" s="181"/>
    </row>
    <row r="46" s="29" customFormat="1" ht="16.5" spans="1:18">
      <c r="A46" s="76" t="str">
        <f>IF(F46&lt;&gt;"",1+MAX($A$2:A45),"")</f>
        <v/>
      </c>
      <c r="B46" s="77"/>
      <c r="C46" s="78"/>
      <c r="D46" s="79" t="s">
        <v>50</v>
      </c>
      <c r="E46" s="80"/>
      <c r="F46" s="80"/>
      <c r="G46" s="80"/>
      <c r="H46" s="80"/>
      <c r="I46" s="80"/>
      <c r="J46" s="150"/>
      <c r="K46" s="150"/>
      <c r="L46" s="150"/>
      <c r="M46" s="150"/>
      <c r="N46" s="150"/>
      <c r="O46" s="148"/>
      <c r="P46" s="148"/>
      <c r="Q46" s="173">
        <f>SUM(Q17:Q45)</f>
        <v>10338.2460995</v>
      </c>
      <c r="R46" s="174"/>
    </row>
    <row r="47" s="32" customFormat="1" spans="1:19">
      <c r="A47" s="97" t="str">
        <f>IF(F47&lt;&gt;"",1+MAX($A$2:A16),"")</f>
        <v/>
      </c>
      <c r="B47" s="98"/>
      <c r="C47" s="99"/>
      <c r="D47" s="99"/>
      <c r="E47" s="99"/>
      <c r="F47" s="99"/>
      <c r="G47" s="99"/>
      <c r="H47" s="100"/>
      <c r="I47" s="100"/>
      <c r="J47" s="100"/>
      <c r="K47" s="100"/>
      <c r="L47" s="100"/>
      <c r="M47" s="100"/>
      <c r="N47" s="100"/>
      <c r="O47" s="100"/>
      <c r="P47" s="99"/>
      <c r="Q47" s="182"/>
      <c r="S47" s="176"/>
    </row>
    <row r="48" s="33" customFormat="1" ht="31.5" spans="1:19">
      <c r="A48" s="91"/>
      <c r="B48" s="101"/>
      <c r="C48" s="102"/>
      <c r="D48" s="101"/>
      <c r="E48" s="101"/>
      <c r="F48" s="101"/>
      <c r="G48" s="103"/>
      <c r="H48" s="104" t="s">
        <v>406</v>
      </c>
      <c r="I48" s="104"/>
      <c r="J48" s="151">
        <f>SUM(J17:J47)</f>
        <v>55.7703095</v>
      </c>
      <c r="K48" s="152" t="s">
        <v>36</v>
      </c>
      <c r="L48" s="152"/>
      <c r="M48" s="153">
        <f>SUM(M17:M47)</f>
        <v>7138.599616</v>
      </c>
      <c r="N48" s="154" t="s">
        <v>38</v>
      </c>
      <c r="O48" s="155">
        <f>SUM(O17:O47)</f>
        <v>3199.6464835</v>
      </c>
      <c r="P48" s="102"/>
      <c r="Q48" s="183"/>
      <c r="S48" s="184"/>
    </row>
    <row r="49" s="33" customFormat="1" spans="1:17">
      <c r="A49" s="105"/>
      <c r="B49" s="106"/>
      <c r="C49" s="107"/>
      <c r="D49" s="108" t="s">
        <v>407</v>
      </c>
      <c r="E49" s="109"/>
      <c r="F49" s="109"/>
      <c r="G49" s="110"/>
      <c r="H49" s="111"/>
      <c r="I49" s="111"/>
      <c r="J49" s="111"/>
      <c r="K49" s="111"/>
      <c r="L49" s="156"/>
      <c r="M49" s="156"/>
      <c r="N49" s="156"/>
      <c r="O49" s="156"/>
      <c r="P49" s="157"/>
      <c r="Q49" s="185">
        <f>SUM(Q8:Q47)/2</f>
        <v>11838.2460995</v>
      </c>
    </row>
    <row r="50" s="33" customFormat="1" spans="1:36">
      <c r="A50" s="112"/>
      <c r="B50" s="106"/>
      <c r="C50" s="113"/>
      <c r="D50" s="114" t="s">
        <v>9</v>
      </c>
      <c r="E50" s="115"/>
      <c r="F50" s="116"/>
      <c r="G50" s="115"/>
      <c r="H50" s="116"/>
      <c r="I50" s="116"/>
      <c r="J50" s="116"/>
      <c r="K50" s="116"/>
      <c r="L50" s="158">
        <v>0.05</v>
      </c>
      <c r="M50" s="158"/>
      <c r="N50" s="158"/>
      <c r="O50" s="158"/>
      <c r="P50" s="158"/>
      <c r="Q50" s="185">
        <f>Q49*L50</f>
        <v>591.912304975</v>
      </c>
      <c r="R50" s="186"/>
      <c r="S50" s="186"/>
      <c r="T50" s="186"/>
      <c r="U50" s="186"/>
      <c r="V50" s="186"/>
      <c r="W50" s="186"/>
      <c r="X50" s="186"/>
      <c r="Y50" s="186"/>
      <c r="Z50" s="186"/>
      <c r="AA50" s="186"/>
      <c r="AB50" s="186"/>
      <c r="AC50" s="186"/>
      <c r="AD50" s="186"/>
      <c r="AE50" s="186"/>
      <c r="AF50" s="186"/>
      <c r="AG50" s="186"/>
      <c r="AH50" s="186"/>
      <c r="AI50" s="186"/>
      <c r="AJ50" s="186"/>
    </row>
    <row r="51" s="33" customFormat="1" spans="1:36">
      <c r="A51" s="117"/>
      <c r="B51" s="118"/>
      <c r="C51" s="119"/>
      <c r="D51" s="120" t="s">
        <v>408</v>
      </c>
      <c r="E51" s="121"/>
      <c r="F51" s="122"/>
      <c r="G51" s="121"/>
      <c r="H51" s="122"/>
      <c r="I51" s="122"/>
      <c r="J51" s="122"/>
      <c r="K51" s="122"/>
      <c r="L51" s="159">
        <v>0.2</v>
      </c>
      <c r="M51" s="159"/>
      <c r="N51" s="159"/>
      <c r="O51" s="159"/>
      <c r="P51" s="159"/>
      <c r="Q51" s="187">
        <f>O48*L51</f>
        <v>639.9292967</v>
      </c>
      <c r="R51" s="186"/>
      <c r="S51" s="186"/>
      <c r="T51" s="186"/>
      <c r="U51" s="186"/>
      <c r="V51" s="186"/>
      <c r="W51" s="186"/>
      <c r="X51" s="186"/>
      <c r="Y51" s="186"/>
      <c r="Z51" s="186"/>
      <c r="AA51" s="186"/>
      <c r="AB51" s="186"/>
      <c r="AC51" s="186"/>
      <c r="AD51" s="186"/>
      <c r="AE51" s="186"/>
      <c r="AF51" s="186"/>
      <c r="AG51" s="186"/>
      <c r="AH51" s="186"/>
      <c r="AI51" s="186"/>
      <c r="AJ51" s="186"/>
    </row>
    <row r="52" s="33" customFormat="1" spans="1:36">
      <c r="A52" s="117"/>
      <c r="B52" s="118"/>
      <c r="C52" s="119"/>
      <c r="D52" s="120" t="s">
        <v>409</v>
      </c>
      <c r="E52" s="121"/>
      <c r="F52" s="122"/>
      <c r="G52" s="121"/>
      <c r="H52" s="122"/>
      <c r="I52" s="122"/>
      <c r="J52" s="122"/>
      <c r="K52" s="122"/>
      <c r="L52" s="159">
        <v>0.31</v>
      </c>
      <c r="M52" s="159"/>
      <c r="N52" s="159"/>
      <c r="O52" s="159"/>
      <c r="P52" s="159"/>
      <c r="Q52" s="187">
        <f>M48*L52</f>
        <v>2212.96588096</v>
      </c>
      <c r="R52" s="186"/>
      <c r="S52" s="186"/>
      <c r="T52" s="186"/>
      <c r="U52" s="186"/>
      <c r="V52" s="186"/>
      <c r="W52" s="186"/>
      <c r="X52" s="186"/>
      <c r="Y52" s="186"/>
      <c r="Z52" s="186"/>
      <c r="AA52" s="186"/>
      <c r="AB52" s="186"/>
      <c r="AC52" s="186"/>
      <c r="AD52" s="186"/>
      <c r="AE52" s="186"/>
      <c r="AF52" s="186"/>
      <c r="AG52" s="186"/>
      <c r="AH52" s="186"/>
      <c r="AI52" s="186"/>
      <c r="AJ52" s="186"/>
    </row>
    <row r="53" s="33" customFormat="1" spans="1:36">
      <c r="A53" s="123"/>
      <c r="B53" s="124"/>
      <c r="C53" s="125"/>
      <c r="D53" s="126" t="s">
        <v>12</v>
      </c>
      <c r="E53" s="127"/>
      <c r="F53" s="128"/>
      <c r="G53" s="127"/>
      <c r="H53" s="128"/>
      <c r="I53" s="128"/>
      <c r="J53" s="128"/>
      <c r="K53" s="128"/>
      <c r="L53" s="160">
        <v>0.1</v>
      </c>
      <c r="M53" s="161"/>
      <c r="N53" s="161"/>
      <c r="O53" s="161"/>
      <c r="P53" s="161"/>
      <c r="Q53" s="188">
        <f>Q49*L53</f>
        <v>1183.82460995</v>
      </c>
      <c r="R53" s="186"/>
      <c r="S53" s="186"/>
      <c r="T53" s="186"/>
      <c r="U53" s="186"/>
      <c r="V53" s="186"/>
      <c r="W53" s="186"/>
      <c r="X53" s="186"/>
      <c r="Y53" s="186"/>
      <c r="Z53" s="186"/>
      <c r="AA53" s="186"/>
      <c r="AB53" s="186"/>
      <c r="AC53" s="186"/>
      <c r="AD53" s="186"/>
      <c r="AE53" s="186"/>
      <c r="AF53" s="186"/>
      <c r="AG53" s="186"/>
      <c r="AH53" s="186"/>
      <c r="AI53" s="186"/>
      <c r="AJ53" s="186"/>
    </row>
    <row r="54" s="33" customFormat="1" spans="1:36">
      <c r="A54" s="123"/>
      <c r="B54" s="124"/>
      <c r="C54" s="125"/>
      <c r="D54" s="126" t="s">
        <v>13</v>
      </c>
      <c r="E54" s="127"/>
      <c r="F54" s="128"/>
      <c r="G54" s="127"/>
      <c r="H54" s="128"/>
      <c r="I54" s="128"/>
      <c r="J54" s="128"/>
      <c r="K54" s="128"/>
      <c r="L54" s="160">
        <v>0.1</v>
      </c>
      <c r="M54" s="161"/>
      <c r="N54" s="161"/>
      <c r="O54" s="161"/>
      <c r="P54" s="161"/>
      <c r="Q54" s="188">
        <f>Q49*L54</f>
        <v>1183.82460995</v>
      </c>
      <c r="R54" s="186"/>
      <c r="S54" s="186"/>
      <c r="T54" s="186"/>
      <c r="U54" s="186"/>
      <c r="V54" s="186"/>
      <c r="W54" s="186"/>
      <c r="X54" s="186"/>
      <c r="Y54" s="186"/>
      <c r="Z54" s="186"/>
      <c r="AA54" s="186"/>
      <c r="AB54" s="186"/>
      <c r="AC54" s="186"/>
      <c r="AD54" s="186"/>
      <c r="AE54" s="186"/>
      <c r="AF54" s="186"/>
      <c r="AG54" s="186"/>
      <c r="AH54" s="186"/>
      <c r="AI54" s="186"/>
      <c r="AJ54" s="186"/>
    </row>
    <row r="55" s="33" customFormat="1" spans="1:36">
      <c r="A55" s="123"/>
      <c r="B55" s="124"/>
      <c r="C55" s="125"/>
      <c r="D55" s="126" t="s">
        <v>14</v>
      </c>
      <c r="E55" s="127"/>
      <c r="F55" s="128"/>
      <c r="G55" s="127"/>
      <c r="H55" s="128"/>
      <c r="I55" s="128"/>
      <c r="J55" s="128"/>
      <c r="K55" s="128"/>
      <c r="L55" s="162">
        <v>0.092</v>
      </c>
      <c r="M55" s="161"/>
      <c r="N55" s="161"/>
      <c r="O55" s="161"/>
      <c r="P55" s="161"/>
      <c r="Q55" s="188">
        <f>Q49*L55</f>
        <v>1089.118641154</v>
      </c>
      <c r="R55" s="186"/>
      <c r="S55" s="186"/>
      <c r="T55" s="186"/>
      <c r="U55" s="186"/>
      <c r="V55" s="186"/>
      <c r="W55" s="186"/>
      <c r="X55" s="186"/>
      <c r="Y55" s="186"/>
      <c r="Z55" s="186"/>
      <c r="AA55" s="186"/>
      <c r="AB55" s="186"/>
      <c r="AC55" s="186"/>
      <c r="AD55" s="186"/>
      <c r="AE55" s="186"/>
      <c r="AF55" s="186"/>
      <c r="AG55" s="186"/>
      <c r="AH55" s="186"/>
      <c r="AI55" s="186"/>
      <c r="AJ55" s="186"/>
    </row>
    <row r="56" s="33" customFormat="1" spans="1:36">
      <c r="A56" s="123"/>
      <c r="B56" s="124"/>
      <c r="C56" s="125"/>
      <c r="D56" s="126" t="s">
        <v>15</v>
      </c>
      <c r="E56" s="127"/>
      <c r="F56" s="128"/>
      <c r="G56" s="127"/>
      <c r="H56" s="128"/>
      <c r="I56" s="128"/>
      <c r="J56" s="128"/>
      <c r="K56" s="128"/>
      <c r="L56" s="162">
        <v>0.015</v>
      </c>
      <c r="M56" s="162"/>
      <c r="N56" s="162"/>
      <c r="O56" s="162"/>
      <c r="P56" s="162"/>
      <c r="Q56" s="188">
        <f>Q49*L56</f>
        <v>177.5736914925</v>
      </c>
      <c r="R56" s="186"/>
      <c r="S56" s="186"/>
      <c r="T56" s="186"/>
      <c r="U56" s="186"/>
      <c r="V56" s="186"/>
      <c r="W56" s="186"/>
      <c r="X56" s="186"/>
      <c r="Y56" s="186"/>
      <c r="Z56" s="186"/>
      <c r="AA56" s="186"/>
      <c r="AB56" s="186"/>
      <c r="AC56" s="186"/>
      <c r="AD56" s="186"/>
      <c r="AE56" s="186"/>
      <c r="AF56" s="186"/>
      <c r="AG56" s="186"/>
      <c r="AH56" s="186"/>
      <c r="AI56" s="186"/>
      <c r="AJ56" s="186"/>
    </row>
    <row r="57" s="33" customFormat="1" ht="16.5" spans="1:17">
      <c r="A57" s="129"/>
      <c r="B57" s="130"/>
      <c r="C57" s="131"/>
      <c r="D57" s="132" t="s">
        <v>16</v>
      </c>
      <c r="E57" s="133"/>
      <c r="F57" s="133"/>
      <c r="G57" s="134"/>
      <c r="H57" s="133"/>
      <c r="I57" s="133"/>
      <c r="J57" s="133"/>
      <c r="K57" s="133"/>
      <c r="L57" s="163"/>
      <c r="M57" s="163"/>
      <c r="N57" s="163"/>
      <c r="O57" s="163"/>
      <c r="P57" s="163"/>
      <c r="Q57" s="189">
        <f>SUM(Q49:Q56)</f>
        <v>18917.3951346815</v>
      </c>
    </row>
    <row r="60" spans="13:13">
      <c r="M60" s="164"/>
    </row>
  </sheetData>
  <mergeCells count="7">
    <mergeCell ref="A2:Q2"/>
    <mergeCell ref="B3:C3"/>
    <mergeCell ref="B4:C4"/>
    <mergeCell ref="B5:C5"/>
    <mergeCell ref="H48:I48"/>
    <mergeCell ref="K48:L48"/>
    <mergeCell ref="Q8:Q14"/>
  </mergeCells>
  <printOptions horizontalCentered="1"/>
  <pageMargins left="0.7" right="0.7" top="0.75" bottom="0.75" header="0.3" footer="0.3"/>
  <pageSetup paperSize="9" scale="36" fitToHeight="0" orientation="portrait"/>
  <headerFooter alignWithMargins="0" scaleWithDoc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H36"/>
  <sheetViews>
    <sheetView workbookViewId="0">
      <selection activeCell="J19" sqref="J19"/>
    </sheetView>
  </sheetViews>
  <sheetFormatPr defaultColWidth="9.125" defaultRowHeight="15" outlineLevelCol="7"/>
  <cols>
    <col min="1" max="1" width="26.875" style="1" customWidth="1"/>
    <col min="2" max="2" width="19.625" style="2" customWidth="1"/>
    <col min="3" max="3" width="20.5" style="2" customWidth="1"/>
    <col min="4" max="16384" width="9.125" style="2"/>
  </cols>
  <sheetData>
    <row r="1" ht="16.5" spans="1:3">
      <c r="A1" s="3"/>
      <c r="B1" s="4" t="s">
        <v>414</v>
      </c>
      <c r="C1" s="5" t="s">
        <v>415</v>
      </c>
    </row>
    <row r="2" ht="15.75" spans="1:3">
      <c r="A2" s="6"/>
      <c r="B2" s="7"/>
      <c r="C2" s="8"/>
    </row>
    <row r="3" ht="15.75" spans="1:3">
      <c r="A3" s="9" t="s">
        <v>5</v>
      </c>
      <c r="B3" s="10" t="s">
        <v>416</v>
      </c>
      <c r="C3" s="11">
        <v>128</v>
      </c>
    </row>
    <row r="4" ht="16.5" spans="1:3">
      <c r="A4" s="12"/>
      <c r="B4" s="13"/>
      <c r="C4" s="14"/>
    </row>
    <row r="5" spans="1:3">
      <c r="A5" s="3"/>
      <c r="B5" s="3"/>
      <c r="C5" s="3"/>
    </row>
    <row r="6" ht="15.75" spans="1:3">
      <c r="A6" s="3"/>
      <c r="B6" s="3"/>
      <c r="C6" s="3"/>
    </row>
    <row r="7" ht="16.5" spans="1:3">
      <c r="A7" s="3"/>
      <c r="B7" s="15" t="s">
        <v>29</v>
      </c>
      <c r="C7" s="16"/>
    </row>
    <row r="8" ht="15.75" spans="1:3">
      <c r="A8" s="17" t="s">
        <v>417</v>
      </c>
      <c r="B8" s="18" t="s">
        <v>73</v>
      </c>
      <c r="C8" s="19">
        <v>0</v>
      </c>
    </row>
    <row r="9" ht="15.75" spans="1:3">
      <c r="A9" s="20" t="s">
        <v>418</v>
      </c>
      <c r="B9" s="21" t="s">
        <v>56</v>
      </c>
      <c r="C9" s="22">
        <v>0.05</v>
      </c>
    </row>
    <row r="10" ht="15.75" spans="1:3">
      <c r="A10" s="20" t="s">
        <v>419</v>
      </c>
      <c r="B10" s="21" t="s">
        <v>299</v>
      </c>
      <c r="C10" s="22">
        <v>0.1</v>
      </c>
    </row>
    <row r="11" ht="15.75" spans="1:3">
      <c r="A11" s="20" t="s">
        <v>420</v>
      </c>
      <c r="B11" s="21" t="s">
        <v>421</v>
      </c>
      <c r="C11" s="22">
        <v>0.1</v>
      </c>
    </row>
    <row r="12" ht="15.75" spans="1:3">
      <c r="A12" s="20" t="s">
        <v>422</v>
      </c>
      <c r="B12" s="21" t="s">
        <v>423</v>
      </c>
      <c r="C12" s="22">
        <v>0.1</v>
      </c>
    </row>
    <row r="13" ht="15.75" spans="1:3">
      <c r="A13" s="20" t="s">
        <v>424</v>
      </c>
      <c r="B13" s="21" t="s">
        <v>43</v>
      </c>
      <c r="C13" s="22">
        <v>0</v>
      </c>
    </row>
    <row r="14" ht="15.75" spans="1:3">
      <c r="A14" s="20" t="s">
        <v>425</v>
      </c>
      <c r="B14" s="21" t="s">
        <v>426</v>
      </c>
      <c r="C14" s="22">
        <v>0</v>
      </c>
    </row>
    <row r="15" ht="15.75" spans="1:3">
      <c r="A15" s="20" t="s">
        <v>427</v>
      </c>
      <c r="B15" s="21" t="s">
        <v>428</v>
      </c>
      <c r="C15" s="22">
        <v>0</v>
      </c>
    </row>
    <row r="16" ht="15.75" spans="1:3">
      <c r="A16" s="20" t="s">
        <v>429</v>
      </c>
      <c r="B16" s="21" t="s">
        <v>430</v>
      </c>
      <c r="C16" s="22">
        <v>0</v>
      </c>
    </row>
    <row r="17" ht="15.75" spans="1:3">
      <c r="A17" s="20" t="s">
        <v>431</v>
      </c>
      <c r="B17" s="21" t="s">
        <v>432</v>
      </c>
      <c r="C17" s="22">
        <v>0</v>
      </c>
    </row>
    <row r="18" ht="15.75" spans="1:3">
      <c r="A18" s="20" t="s">
        <v>433</v>
      </c>
      <c r="B18" s="21" t="s">
        <v>434</v>
      </c>
      <c r="C18" s="22">
        <v>0.1</v>
      </c>
    </row>
    <row r="19" ht="15.75" spans="1:3">
      <c r="A19" s="20" t="s">
        <v>435</v>
      </c>
      <c r="B19" s="21" t="s">
        <v>436</v>
      </c>
      <c r="C19" s="22">
        <v>0.1</v>
      </c>
    </row>
    <row r="20" ht="15.75" spans="1:3">
      <c r="A20" s="20" t="s">
        <v>437</v>
      </c>
      <c r="B20" s="21" t="s">
        <v>438</v>
      </c>
      <c r="C20" s="22">
        <v>0</v>
      </c>
    </row>
    <row r="21" ht="15.75" spans="1:3">
      <c r="A21" s="20" t="s">
        <v>439</v>
      </c>
      <c r="B21" s="21" t="s">
        <v>440</v>
      </c>
      <c r="C21" s="22">
        <v>0</v>
      </c>
    </row>
    <row r="22" ht="15.75" spans="1:3">
      <c r="A22" s="20" t="s">
        <v>441</v>
      </c>
      <c r="B22" s="21" t="s">
        <v>441</v>
      </c>
      <c r="C22" s="22">
        <v>0.1</v>
      </c>
    </row>
    <row r="23" ht="15.75" spans="1:3">
      <c r="A23" s="20" t="s">
        <v>442</v>
      </c>
      <c r="B23" s="21" t="s">
        <v>443</v>
      </c>
      <c r="C23" s="22">
        <v>0</v>
      </c>
    </row>
    <row r="24" ht="15.75" spans="1:3">
      <c r="A24" s="20" t="s">
        <v>444</v>
      </c>
      <c r="B24" s="21" t="s">
        <v>445</v>
      </c>
      <c r="C24" s="22">
        <v>0</v>
      </c>
    </row>
    <row r="25" ht="15.75" spans="1:3">
      <c r="A25" s="20" t="s">
        <v>446</v>
      </c>
      <c r="B25" s="21" t="s">
        <v>447</v>
      </c>
      <c r="C25" s="22">
        <v>0</v>
      </c>
    </row>
    <row r="26" ht="15.75" spans="1:3">
      <c r="A26" s="20" t="s">
        <v>437</v>
      </c>
      <c r="B26" s="21" t="s">
        <v>448</v>
      </c>
      <c r="C26" s="22">
        <v>0</v>
      </c>
    </row>
    <row r="27" ht="15.75" spans="1:3">
      <c r="A27" s="20" t="s">
        <v>449</v>
      </c>
      <c r="B27" s="21" t="s">
        <v>450</v>
      </c>
      <c r="C27" s="22">
        <v>0</v>
      </c>
    </row>
    <row r="28" ht="15.75" spans="1:3">
      <c r="A28" s="20" t="s">
        <v>451</v>
      </c>
      <c r="B28" s="21" t="s">
        <v>452</v>
      </c>
      <c r="C28" s="22">
        <v>0</v>
      </c>
    </row>
    <row r="29" ht="15.75" spans="1:3">
      <c r="A29" s="20" t="s">
        <v>453</v>
      </c>
      <c r="B29" s="21" t="s">
        <v>454</v>
      </c>
      <c r="C29" s="22">
        <v>0.1</v>
      </c>
    </row>
    <row r="30" ht="16.5" spans="1:3">
      <c r="A30" s="23" t="s">
        <v>455</v>
      </c>
      <c r="B30" s="24" t="s">
        <v>455</v>
      </c>
      <c r="C30" s="25">
        <v>0</v>
      </c>
    </row>
    <row r="33" spans="1:8">
      <c r="A33" s="26" t="s">
        <v>456</v>
      </c>
      <c r="B33" s="27"/>
      <c r="C33" s="27"/>
      <c r="D33" s="27"/>
      <c r="E33" s="27"/>
      <c r="F33" s="27"/>
      <c r="G33" s="27"/>
      <c r="H33" s="27"/>
    </row>
    <row r="34" spans="1:8">
      <c r="A34" s="27" t="s">
        <v>457</v>
      </c>
      <c r="B34" s="27"/>
      <c r="C34" s="27"/>
      <c r="D34" s="27"/>
      <c r="E34" s="27"/>
      <c r="F34" s="27"/>
      <c r="G34" s="27"/>
      <c r="H34" s="27"/>
    </row>
    <row r="35" spans="1:8">
      <c r="A35" s="27" t="s">
        <v>458</v>
      </c>
      <c r="B35" s="27"/>
      <c r="C35" s="27"/>
      <c r="D35" s="27"/>
      <c r="E35" s="27"/>
      <c r="F35" s="27"/>
      <c r="G35" s="27"/>
      <c r="H35" s="27"/>
    </row>
    <row r="36" spans="1:8">
      <c r="A36" s="27" t="s">
        <v>459</v>
      </c>
      <c r="B36" s="27"/>
      <c r="C36" s="27"/>
      <c r="D36" s="27"/>
      <c r="E36" s="27"/>
      <c r="F36" s="27"/>
      <c r="G36" s="27"/>
      <c r="H36" s="27"/>
    </row>
  </sheetData>
  <mergeCells count="1">
    <mergeCell ref="B7:C7"/>
  </mergeCells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47021E2-8793-411E-B075-318530D433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General Summary</vt:lpstr>
      <vt:lpstr>Base Bid</vt:lpstr>
      <vt:lpstr>Add Alternate</vt:lpstr>
      <vt:lpstr>LABOR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Mfbzone</dc:creator>
  <cp:lastModifiedBy>engrh</cp:lastModifiedBy>
  <dcterms:created xsi:type="dcterms:W3CDTF">2016-03-30T11:57:00Z</dcterms:created>
  <cp:lastPrinted>2023-01-11T20:23:00Z</cp:lastPrinted>
  <dcterms:modified xsi:type="dcterms:W3CDTF">2026-03-16T13:50:15Z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S9Connected">
    <vt:bool>true</vt:bool>
  </property>
  <property fmtid="{D5CDD505-2E9C-101B-9397-08002B2CF9AE}" pid="3" name="PlanSwiftJobName">
    <vt:lpwstr/>
  </property>
  <property fmtid="{D5CDD505-2E9C-101B-9397-08002B2CF9AE}" pid="4" name="PlanSwiftJobGuid">
    <vt:lpwstr/>
  </property>
  <property fmtid="{D5CDD505-2E9C-101B-9397-08002B2CF9AE}" pid="5" name="LinkedDataId">
    <vt:lpwstr>{F47021E2-8793-411E-B075-318530D4334E}</vt:lpwstr>
  </property>
  <property fmtid="{D5CDD505-2E9C-101B-9397-08002B2CF9AE}" pid="6" name="ICV">
    <vt:lpwstr>BD852CA6DDAE433D943537E67CA72312_13</vt:lpwstr>
  </property>
  <property fmtid="{D5CDD505-2E9C-101B-9397-08002B2CF9AE}" pid="7" name="KSOProductBuildVer">
    <vt:lpwstr>1033-12.2.0.23196</vt:lpwstr>
  </property>
</Properties>
</file>