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ity\Desktop\Samples\"/>
    </mc:Choice>
  </mc:AlternateContent>
  <bookViews>
    <workbookView xWindow="0" yWindow="0" windowWidth="19200" windowHeight="8550" tabRatio="647" firstSheet="2" activeTab="2"/>
  </bookViews>
  <sheets>
    <sheet name="Chart1" sheetId="14" state="hidden" r:id="rId1"/>
    <sheet name="Sheet1" sheetId="15" state="hidden" r:id="rId2"/>
    <sheet name="Detailed Estimate IE" sheetId="16" r:id="rId3"/>
  </sheets>
  <definedNames>
    <definedName name="_xlnm.Print_Area" localSheetId="2">'Detailed Estimate IE'!$A$1:$L$826</definedName>
  </definedNames>
  <calcPr calcId="162913"/>
</workbook>
</file>

<file path=xl/calcChain.xml><?xml version="1.0" encoding="utf-8"?>
<calcChain xmlns="http://schemas.openxmlformats.org/spreadsheetml/2006/main">
  <c r="A245" i="16" l="1"/>
  <c r="A244" i="16"/>
  <c r="A235" i="16"/>
  <c r="A234" i="16"/>
  <c r="A227" i="16"/>
  <c r="A226" i="16"/>
  <c r="A218" i="16"/>
  <c r="A217" i="16"/>
  <c r="A208" i="16"/>
  <c r="A207" i="16"/>
  <c r="A198" i="16"/>
  <c r="A197" i="16"/>
  <c r="A189" i="16"/>
  <c r="A188" i="16"/>
  <c r="A180" i="16"/>
  <c r="A179" i="16"/>
  <c r="A171" i="16"/>
  <c r="A170" i="16"/>
  <c r="A162" i="16"/>
  <c r="A161" i="16"/>
  <c r="A151" i="16"/>
  <c r="A150" i="16"/>
  <c r="F500" i="16"/>
  <c r="K500" i="16" s="1"/>
  <c r="F499" i="16"/>
  <c r="K499" i="16" s="1"/>
  <c r="F498" i="16"/>
  <c r="K498" i="16" s="1"/>
  <c r="F497" i="16"/>
  <c r="K497" i="16" s="1"/>
  <c r="F496" i="16"/>
  <c r="K496" i="16" s="1"/>
  <c r="F495" i="16"/>
  <c r="K495" i="16" s="1"/>
  <c r="F494" i="16"/>
  <c r="K494" i="16" s="1"/>
  <c r="F491" i="16"/>
  <c r="K491" i="16" s="1"/>
  <c r="F490" i="16"/>
  <c r="K490" i="16" s="1"/>
  <c r="F489" i="16"/>
  <c r="K489" i="16" s="1"/>
  <c r="F488" i="16"/>
  <c r="K488" i="16" s="1"/>
  <c r="F487" i="16"/>
  <c r="K487" i="16" s="1"/>
  <c r="F486" i="16"/>
  <c r="K486" i="16" s="1"/>
  <c r="F485" i="16"/>
  <c r="K485" i="16" s="1"/>
  <c r="F484" i="16"/>
  <c r="K484" i="16" s="1"/>
  <c r="F483" i="16"/>
  <c r="K483" i="16" s="1"/>
  <c r="F482" i="16"/>
  <c r="K482" i="16" s="1"/>
  <c r="F481" i="16"/>
  <c r="K481" i="16" s="1"/>
  <c r="F480" i="16"/>
  <c r="K480" i="16" s="1"/>
  <c r="F479" i="16"/>
  <c r="K479" i="16" s="1"/>
  <c r="F478" i="16"/>
  <c r="K478" i="16" s="1"/>
  <c r="F477" i="16"/>
  <c r="K477" i="16" s="1"/>
  <c r="F476" i="16"/>
  <c r="K476" i="16" s="1"/>
  <c r="F475" i="16"/>
  <c r="K475" i="16" s="1"/>
  <c r="F474" i="16"/>
  <c r="K474" i="16" s="1"/>
  <c r="F473" i="16"/>
  <c r="K473" i="16" s="1"/>
  <c r="F472" i="16"/>
  <c r="K472" i="16" s="1"/>
  <c r="F471" i="16"/>
  <c r="K471" i="16" s="1"/>
  <c r="F470" i="16"/>
  <c r="K470" i="16" s="1"/>
  <c r="F469" i="16"/>
  <c r="K469" i="16" s="1"/>
  <c r="F468" i="16"/>
  <c r="K468" i="16" s="1"/>
  <c r="F467" i="16"/>
  <c r="K467" i="16" s="1"/>
  <c r="F466" i="16"/>
  <c r="K466" i="16" s="1"/>
  <c r="F465" i="16"/>
  <c r="K465" i="16" s="1"/>
  <c r="F464" i="16"/>
  <c r="K464" i="16" s="1"/>
  <c r="F463" i="16"/>
  <c r="K463" i="16" s="1"/>
  <c r="F462" i="16"/>
  <c r="K462" i="16" s="1"/>
  <c r="F461" i="16"/>
  <c r="K461" i="16" s="1"/>
  <c r="F458" i="16"/>
  <c r="K458" i="16" s="1"/>
  <c r="F457" i="16"/>
  <c r="K457" i="16" s="1"/>
  <c r="F456" i="16"/>
  <c r="K456" i="16" s="1"/>
  <c r="F455" i="16"/>
  <c r="K455" i="16" s="1"/>
  <c r="F454" i="16"/>
  <c r="K454" i="16" s="1"/>
  <c r="F453" i="16"/>
  <c r="K453" i="16" s="1"/>
  <c r="F452" i="16"/>
  <c r="K452" i="16" s="1"/>
  <c r="F451" i="16"/>
  <c r="K451" i="16" s="1"/>
  <c r="F450" i="16"/>
  <c r="K450" i="16" s="1"/>
  <c r="F449" i="16"/>
  <c r="K449" i="16" s="1"/>
  <c r="F448" i="16"/>
  <c r="K448" i="16" s="1"/>
  <c r="F447" i="16"/>
  <c r="K447" i="16" s="1"/>
  <c r="F446" i="16"/>
  <c r="K446" i="16" s="1"/>
  <c r="F445" i="16"/>
  <c r="K445" i="16" s="1"/>
  <c r="F444" i="16"/>
  <c r="K444" i="16" s="1"/>
  <c r="F443" i="16"/>
  <c r="K443" i="16" s="1"/>
  <c r="F442" i="16"/>
  <c r="K442" i="16" s="1"/>
  <c r="F441" i="16"/>
  <c r="K441" i="16" s="1"/>
  <c r="F440" i="16"/>
  <c r="K440" i="16" s="1"/>
  <c r="F439" i="16"/>
  <c r="K439" i="16" s="1"/>
  <c r="F438" i="16"/>
  <c r="K438" i="16" s="1"/>
  <c r="F437" i="16"/>
  <c r="K437" i="16" s="1"/>
  <c r="F436" i="16"/>
  <c r="K436" i="16" s="1"/>
  <c r="F435" i="16"/>
  <c r="K435" i="16" s="1"/>
  <c r="F434" i="16"/>
  <c r="K434" i="16" s="1"/>
  <c r="L431" i="16" s="1"/>
  <c r="F421" i="16"/>
  <c r="K421" i="16" s="1"/>
  <c r="F411" i="16"/>
  <c r="K411" i="16" s="1"/>
  <c r="F410" i="16"/>
  <c r="K410" i="16" s="1"/>
  <c r="F409" i="16"/>
  <c r="K409" i="16" s="1"/>
  <c r="A493" i="16"/>
  <c r="A460" i="16"/>
  <c r="A433" i="16"/>
  <c r="A431" i="16"/>
  <c r="F429" i="16"/>
  <c r="K429" i="16" s="1"/>
  <c r="F428" i="16"/>
  <c r="K428" i="16" s="1"/>
  <c r="F362" i="16"/>
  <c r="K362" i="16" s="1"/>
  <c r="F361" i="16"/>
  <c r="K361" i="16" s="1"/>
  <c r="F360" i="16"/>
  <c r="K360" i="16" s="1"/>
  <c r="F387" i="16"/>
  <c r="K387" i="16" s="1"/>
  <c r="F386" i="16"/>
  <c r="K386" i="16" s="1"/>
  <c r="F385" i="16"/>
  <c r="K385" i="16" s="1"/>
  <c r="F384" i="16"/>
  <c r="K384" i="16" s="1"/>
  <c r="A383" i="16"/>
  <c r="F347" i="16"/>
  <c r="K347" i="16" s="1"/>
  <c r="A346" i="16"/>
  <c r="F344" i="16"/>
  <c r="K344" i="16" s="1"/>
  <c r="F343" i="16"/>
  <c r="K343" i="16" s="1"/>
  <c r="F342" i="16"/>
  <c r="K342" i="16" s="1"/>
  <c r="F341" i="16"/>
  <c r="K341" i="16" s="1"/>
  <c r="F340" i="16"/>
  <c r="K340" i="16" s="1"/>
  <c r="F339" i="16"/>
  <c r="K339" i="16" s="1"/>
  <c r="F338" i="16"/>
  <c r="K338" i="16" s="1"/>
  <c r="F337" i="16"/>
  <c r="K337" i="16" s="1"/>
  <c r="F336" i="16"/>
  <c r="K336" i="16" s="1"/>
  <c r="F335" i="16"/>
  <c r="K335" i="16" s="1"/>
  <c r="F334" i="16"/>
  <c r="K334" i="16" s="1"/>
  <c r="F333" i="16"/>
  <c r="K333" i="16" s="1"/>
  <c r="F332" i="16"/>
  <c r="K332" i="16" s="1"/>
  <c r="F331" i="16"/>
  <c r="K331" i="16" s="1"/>
  <c r="F330" i="16"/>
  <c r="K330" i="16" s="1"/>
  <c r="F329" i="16"/>
  <c r="K329" i="16" s="1"/>
  <c r="F328" i="16"/>
  <c r="K328" i="16" s="1"/>
  <c r="F327" i="16"/>
  <c r="K327" i="16" s="1"/>
  <c r="F326" i="16"/>
  <c r="K326" i="16" s="1"/>
  <c r="F325" i="16"/>
  <c r="K325" i="16" s="1"/>
  <c r="F324" i="16"/>
  <c r="K324" i="16" s="1"/>
  <c r="F323" i="16"/>
  <c r="K323" i="16" s="1"/>
  <c r="F322" i="16"/>
  <c r="K322" i="16" s="1"/>
  <c r="F321" i="16"/>
  <c r="K321" i="16" s="1"/>
  <c r="F320" i="16"/>
  <c r="K320" i="16" s="1"/>
  <c r="F319" i="16"/>
  <c r="K319" i="16" s="1"/>
  <c r="F318" i="16"/>
  <c r="K318" i="16" s="1"/>
  <c r="F317" i="16"/>
  <c r="K317" i="16" s="1"/>
  <c r="F316" i="16"/>
  <c r="K316" i="16" s="1"/>
  <c r="F315" i="16"/>
  <c r="K315" i="16" s="1"/>
  <c r="F314" i="16"/>
  <c r="K314" i="16" s="1"/>
  <c r="F313" i="16"/>
  <c r="K313" i="16" s="1"/>
  <c r="F312" i="16"/>
  <c r="K312" i="16" s="1"/>
  <c r="F311" i="16"/>
  <c r="K311" i="16" s="1"/>
  <c r="F310" i="16"/>
  <c r="K310" i="16" s="1"/>
  <c r="F309" i="16"/>
  <c r="K309" i="16" s="1"/>
  <c r="F308" i="16"/>
  <c r="K308" i="16" s="1"/>
  <c r="F307" i="16"/>
  <c r="K307" i="16" s="1"/>
  <c r="F306" i="16"/>
  <c r="K306" i="16" s="1"/>
  <c r="F305" i="16"/>
  <c r="K305" i="16" s="1"/>
  <c r="F304" i="16"/>
  <c r="K304" i="16" s="1"/>
  <c r="F303" i="16"/>
  <c r="K303" i="16" s="1"/>
  <c r="F302" i="16"/>
  <c r="K302" i="16" s="1"/>
  <c r="F301" i="16"/>
  <c r="K301" i="16" s="1"/>
  <c r="F300" i="16"/>
  <c r="K300" i="16" s="1"/>
  <c r="F299" i="16"/>
  <c r="K299" i="16" s="1"/>
  <c r="F298" i="16"/>
  <c r="K298" i="16" s="1"/>
  <c r="F297" i="16"/>
  <c r="K297" i="16" s="1"/>
  <c r="F296" i="16"/>
  <c r="K296" i="16" s="1"/>
  <c r="F295" i="16"/>
  <c r="K295" i="16" s="1"/>
  <c r="F294" i="16"/>
  <c r="K294" i="16" s="1"/>
  <c r="F293" i="16"/>
  <c r="K293" i="16" s="1"/>
  <c r="A292" i="16"/>
  <c r="A274" i="16"/>
  <c r="F272" i="16"/>
  <c r="K272" i="16" s="1"/>
  <c r="F271" i="16"/>
  <c r="K271" i="16" s="1"/>
  <c r="F269" i="16"/>
  <c r="K269" i="16" s="1"/>
  <c r="F268" i="16"/>
  <c r="K268" i="16" s="1"/>
  <c r="F267" i="16"/>
  <c r="K267" i="16" s="1"/>
  <c r="F266" i="16"/>
  <c r="K266" i="16" s="1"/>
  <c r="D270" i="16"/>
  <c r="F270" i="16" s="1"/>
  <c r="K270" i="16" s="1"/>
  <c r="A265" i="16"/>
  <c r="A263" i="16"/>
  <c r="F251" i="16"/>
  <c r="K251" i="16" s="1"/>
  <c r="F250" i="16"/>
  <c r="K250" i="16" s="1"/>
  <c r="F249" i="16"/>
  <c r="K249" i="16" s="1"/>
  <c r="F248" i="16"/>
  <c r="K248" i="16" s="1"/>
  <c r="F247" i="16"/>
  <c r="K247" i="16" s="1"/>
  <c r="F246" i="16"/>
  <c r="K246" i="16" s="1"/>
  <c r="F243" i="16"/>
  <c r="K243" i="16" s="1"/>
  <c r="F242" i="16"/>
  <c r="K242" i="16" s="1"/>
  <c r="F241" i="16"/>
  <c r="K241" i="16" s="1"/>
  <c r="F240" i="16"/>
  <c r="K240" i="16" s="1"/>
  <c r="F239" i="16"/>
  <c r="K239" i="16" s="1"/>
  <c r="F238" i="16"/>
  <c r="K238" i="16" s="1"/>
  <c r="F237" i="16"/>
  <c r="K237" i="16" s="1"/>
  <c r="F236" i="16"/>
  <c r="K236" i="16" s="1"/>
  <c r="F233" i="16"/>
  <c r="K233" i="16" s="1"/>
  <c r="F232" i="16"/>
  <c r="K232" i="16" s="1"/>
  <c r="F231" i="16"/>
  <c r="K231" i="16" s="1"/>
  <c r="F230" i="16"/>
  <c r="K230" i="16" s="1"/>
  <c r="F229" i="16"/>
  <c r="K229" i="16" s="1"/>
  <c r="F228" i="16"/>
  <c r="K228" i="16" s="1"/>
  <c r="F225" i="16"/>
  <c r="K225" i="16" s="1"/>
  <c r="F224" i="16"/>
  <c r="K224" i="16" s="1"/>
  <c r="F223" i="16"/>
  <c r="K223" i="16" s="1"/>
  <c r="F222" i="16"/>
  <c r="K222" i="16" s="1"/>
  <c r="F221" i="16"/>
  <c r="K221" i="16" s="1"/>
  <c r="F220" i="16"/>
  <c r="K220" i="16" s="1"/>
  <c r="F219" i="16"/>
  <c r="K219" i="16" s="1"/>
  <c r="F216" i="16"/>
  <c r="K216" i="16" s="1"/>
  <c r="F215" i="16"/>
  <c r="K215" i="16" s="1"/>
  <c r="F214" i="16"/>
  <c r="K214" i="16" s="1"/>
  <c r="F213" i="16"/>
  <c r="K213" i="16" s="1"/>
  <c r="F212" i="16"/>
  <c r="K212" i="16" s="1"/>
  <c r="F211" i="16"/>
  <c r="K211" i="16" s="1"/>
  <c r="F210" i="16"/>
  <c r="K210" i="16" s="1"/>
  <c r="F209" i="16"/>
  <c r="K209" i="16" s="1"/>
  <c r="F206" i="16"/>
  <c r="K206" i="16" s="1"/>
  <c r="F205" i="16"/>
  <c r="K205" i="16" s="1"/>
  <c r="F204" i="16"/>
  <c r="K204" i="16" s="1"/>
  <c r="F203" i="16"/>
  <c r="K203" i="16" s="1"/>
  <c r="F202" i="16"/>
  <c r="K202" i="16" s="1"/>
  <c r="F201" i="16"/>
  <c r="K201" i="16" s="1"/>
  <c r="F200" i="16"/>
  <c r="K200" i="16" s="1"/>
  <c r="F199" i="16"/>
  <c r="K199" i="16" s="1"/>
  <c r="F196" i="16"/>
  <c r="K196" i="16" s="1"/>
  <c r="F195" i="16"/>
  <c r="K195" i="16" s="1"/>
  <c r="F194" i="16"/>
  <c r="K194" i="16" s="1"/>
  <c r="F193" i="16"/>
  <c r="K193" i="16" s="1"/>
  <c r="F192" i="16"/>
  <c r="K192" i="16" s="1"/>
  <c r="F191" i="16"/>
  <c r="K191" i="16" s="1"/>
  <c r="F190" i="16"/>
  <c r="K190" i="16" s="1"/>
  <c r="F187" i="16"/>
  <c r="K187" i="16" s="1"/>
  <c r="F186" i="16"/>
  <c r="K186" i="16" s="1"/>
  <c r="F185" i="16"/>
  <c r="K185" i="16" s="1"/>
  <c r="F184" i="16"/>
  <c r="K184" i="16" s="1"/>
  <c r="F183" i="16"/>
  <c r="K183" i="16" s="1"/>
  <c r="F182" i="16"/>
  <c r="K182" i="16" s="1"/>
  <c r="F181" i="16"/>
  <c r="K181" i="16" s="1"/>
  <c r="F178" i="16"/>
  <c r="K178" i="16" s="1"/>
  <c r="F177" i="16"/>
  <c r="K177" i="16" s="1"/>
  <c r="F176" i="16"/>
  <c r="K176" i="16" s="1"/>
  <c r="F175" i="16"/>
  <c r="K175" i="16" s="1"/>
  <c r="F174" i="16"/>
  <c r="K174" i="16" s="1"/>
  <c r="F173" i="16"/>
  <c r="K173" i="16" s="1"/>
  <c r="F172" i="16"/>
  <c r="K172" i="16" s="1"/>
  <c r="F169" i="16"/>
  <c r="K169" i="16" s="1"/>
  <c r="F168" i="16"/>
  <c r="K168" i="16" s="1"/>
  <c r="F167" i="16"/>
  <c r="K167" i="16" s="1"/>
  <c r="F166" i="16"/>
  <c r="K166" i="16" s="1"/>
  <c r="F165" i="16"/>
  <c r="K165" i="16" s="1"/>
  <c r="F164" i="16"/>
  <c r="K164" i="16" s="1"/>
  <c r="F163" i="16"/>
  <c r="K163" i="16" s="1"/>
  <c r="F160" i="16"/>
  <c r="K160" i="16" s="1"/>
  <c r="F159" i="16"/>
  <c r="K159" i="16" s="1"/>
  <c r="F158" i="16"/>
  <c r="K158" i="16" s="1"/>
  <c r="F157" i="16"/>
  <c r="K157" i="16" s="1"/>
  <c r="F156" i="16"/>
  <c r="K156" i="16" s="1"/>
  <c r="F155" i="16"/>
  <c r="K155" i="16" s="1"/>
  <c r="F154" i="16"/>
  <c r="K154" i="16" s="1"/>
  <c r="F153" i="16"/>
  <c r="K153" i="16" s="1"/>
  <c r="F152" i="16"/>
  <c r="K152" i="16" s="1"/>
  <c r="F149" i="16"/>
  <c r="K149" i="16" s="1"/>
  <c r="F148" i="16"/>
  <c r="K148" i="16" s="1"/>
  <c r="F147" i="16"/>
  <c r="K147" i="16" s="1"/>
  <c r="F146" i="16"/>
  <c r="K146" i="16" s="1"/>
  <c r="F145" i="16"/>
  <c r="K145" i="16" s="1"/>
  <c r="F144" i="16"/>
  <c r="K144" i="16" s="1"/>
  <c r="F143" i="16"/>
  <c r="K143" i="16" s="1"/>
  <c r="L140" i="16" s="1"/>
  <c r="D276" i="16"/>
  <c r="A140" i="16"/>
  <c r="A813" i="16" l="1"/>
  <c r="A803" i="16"/>
  <c r="F812" i="16"/>
  <c r="K812" i="16" s="1"/>
  <c r="F811" i="16"/>
  <c r="K811" i="16" s="1"/>
  <c r="F810" i="16"/>
  <c r="K810" i="16" s="1"/>
  <c r="F809" i="16"/>
  <c r="K809" i="16" s="1"/>
  <c r="F808" i="16"/>
  <c r="K808" i="16" s="1"/>
  <c r="F807" i="16"/>
  <c r="K807" i="16" s="1"/>
  <c r="F806" i="16"/>
  <c r="K806" i="16" s="1"/>
  <c r="F805" i="16"/>
  <c r="K805" i="16" s="1"/>
  <c r="F802" i="16"/>
  <c r="K802" i="16" s="1"/>
  <c r="F801" i="16"/>
  <c r="K801" i="16" s="1"/>
  <c r="F800" i="16"/>
  <c r="K800" i="16" s="1"/>
  <c r="F799" i="16"/>
  <c r="K799" i="16" s="1"/>
  <c r="F798" i="16"/>
  <c r="K798" i="16" s="1"/>
  <c r="F797" i="16"/>
  <c r="K797" i="16" s="1"/>
  <c r="F796" i="16"/>
  <c r="K796" i="16" s="1"/>
  <c r="F795" i="16"/>
  <c r="K795" i="16" s="1"/>
  <c r="F794" i="16"/>
  <c r="K794" i="16" s="1"/>
  <c r="F793" i="16"/>
  <c r="K793" i="16" s="1"/>
  <c r="F792" i="16"/>
  <c r="K792" i="16" s="1"/>
  <c r="F791" i="16"/>
  <c r="K791" i="16" s="1"/>
  <c r="F790" i="16"/>
  <c r="K790" i="16" s="1"/>
  <c r="F789" i="16"/>
  <c r="K789" i="16" s="1"/>
  <c r="F788" i="16"/>
  <c r="K788" i="16" s="1"/>
  <c r="F787" i="16"/>
  <c r="K787" i="16" s="1"/>
  <c r="F786" i="16"/>
  <c r="K786" i="16" s="1"/>
  <c r="F785" i="16"/>
  <c r="K785" i="16" s="1"/>
  <c r="F782" i="16"/>
  <c r="K782" i="16" s="1"/>
  <c r="F781" i="16"/>
  <c r="K781" i="16" s="1"/>
  <c r="F780" i="16"/>
  <c r="K780" i="16" s="1"/>
  <c r="F779" i="16"/>
  <c r="K779" i="16" s="1"/>
  <c r="F778" i="16"/>
  <c r="K778" i="16" s="1"/>
  <c r="F777" i="16"/>
  <c r="K777" i="16" s="1"/>
  <c r="F776" i="16"/>
  <c r="K776" i="16" s="1"/>
  <c r="F775" i="16"/>
  <c r="K775" i="16" s="1"/>
  <c r="F774" i="16"/>
  <c r="K774" i="16" s="1"/>
  <c r="F773" i="16"/>
  <c r="K773" i="16" s="1"/>
  <c r="F772" i="16"/>
  <c r="K772" i="16" s="1"/>
  <c r="F771" i="16"/>
  <c r="K771" i="16" s="1"/>
  <c r="F770" i="16"/>
  <c r="K770" i="16" s="1"/>
  <c r="F769" i="16"/>
  <c r="K769" i="16" s="1"/>
  <c r="F768" i="16"/>
  <c r="K768" i="16" s="1"/>
  <c r="F765" i="16"/>
  <c r="K765" i="16" s="1"/>
  <c r="F764" i="16"/>
  <c r="K764" i="16" s="1"/>
  <c r="F763" i="16"/>
  <c r="K763" i="16" s="1"/>
  <c r="F762" i="16"/>
  <c r="K762" i="16" s="1"/>
  <c r="F761" i="16"/>
  <c r="K761" i="16" s="1"/>
  <c r="F760" i="16"/>
  <c r="K760" i="16" s="1"/>
  <c r="F759" i="16"/>
  <c r="K759" i="16" s="1"/>
  <c r="F758" i="16"/>
  <c r="K758" i="16" s="1"/>
  <c r="F757" i="16"/>
  <c r="K757" i="16" s="1"/>
  <c r="F756" i="16"/>
  <c r="K756" i="16" s="1"/>
  <c r="A501" i="16"/>
  <c r="F427" i="16"/>
  <c r="K427" i="16" s="1"/>
  <c r="F426" i="16"/>
  <c r="K426" i="16" s="1"/>
  <c r="F425" i="16"/>
  <c r="K425" i="16" s="1"/>
  <c r="A422" i="16"/>
  <c r="F420" i="16"/>
  <c r="K420" i="16" s="1"/>
  <c r="F419" i="16"/>
  <c r="K419" i="16" s="1"/>
  <c r="F418" i="16"/>
  <c r="K418" i="16" s="1"/>
  <c r="F417" i="16"/>
  <c r="K417" i="16" s="1"/>
  <c r="F416" i="16"/>
  <c r="K416" i="16" s="1"/>
  <c r="F415" i="16"/>
  <c r="K415" i="16" s="1"/>
  <c r="F401" i="16"/>
  <c r="K401" i="16" s="1"/>
  <c r="F408" i="16"/>
  <c r="K408" i="16" s="1"/>
  <c r="F407" i="16"/>
  <c r="K407" i="16" s="1"/>
  <c r="F406" i="16"/>
  <c r="K406" i="16" s="1"/>
  <c r="F405" i="16"/>
  <c r="K405" i="16" s="1"/>
  <c r="F404" i="16"/>
  <c r="K404" i="16" s="1"/>
  <c r="F403" i="16"/>
  <c r="K403" i="16" s="1"/>
  <c r="F402" i="16"/>
  <c r="K402" i="16" s="1"/>
  <c r="F399" i="16"/>
  <c r="K399" i="16" s="1"/>
  <c r="F393" i="16"/>
  <c r="K393" i="16" s="1"/>
  <c r="F392" i="16"/>
  <c r="F391" i="16"/>
  <c r="K391" i="16" s="1"/>
  <c r="F395" i="16"/>
  <c r="K395" i="16" s="1"/>
  <c r="F394" i="16"/>
  <c r="K394" i="16" s="1"/>
  <c r="A388" i="16"/>
  <c r="A375" i="16"/>
  <c r="A368" i="16"/>
  <c r="F367" i="16"/>
  <c r="K367" i="16" s="1"/>
  <c r="F366" i="16"/>
  <c r="K366" i="16" s="1"/>
  <c r="F365" i="16"/>
  <c r="K365" i="16" s="1"/>
  <c r="F381" i="16"/>
  <c r="K381" i="16" s="1"/>
  <c r="F380" i="16"/>
  <c r="K380" i="16" s="1"/>
  <c r="F379" i="16"/>
  <c r="K379" i="16" s="1"/>
  <c r="F378" i="16"/>
  <c r="K378" i="16" s="1"/>
  <c r="F377" i="16"/>
  <c r="K377" i="16" s="1"/>
  <c r="F373" i="16"/>
  <c r="K373" i="16" s="1"/>
  <c r="F359" i="16"/>
  <c r="K359" i="16" s="1"/>
  <c r="F358" i="16"/>
  <c r="K358" i="16" s="1"/>
  <c r="F357" i="16"/>
  <c r="K357" i="16" s="1"/>
  <c r="F356" i="16"/>
  <c r="K356" i="16" s="1"/>
  <c r="F355" i="16"/>
  <c r="K355" i="16" s="1"/>
  <c r="F354" i="16"/>
  <c r="K354" i="16" s="1"/>
  <c r="F353" i="16"/>
  <c r="K353" i="16" s="1"/>
  <c r="F352" i="16"/>
  <c r="K352" i="16" s="1"/>
  <c r="F290" i="16"/>
  <c r="K290" i="16" s="1"/>
  <c r="F289" i="16"/>
  <c r="K289" i="16" s="1"/>
  <c r="F288" i="16"/>
  <c r="K288" i="16" s="1"/>
  <c r="F287" i="16"/>
  <c r="K287" i="16" s="1"/>
  <c r="F286" i="16"/>
  <c r="K286" i="16" s="1"/>
  <c r="F285" i="16"/>
  <c r="K285" i="16" s="1"/>
  <c r="F284" i="16"/>
  <c r="K284" i="16" s="1"/>
  <c r="F283" i="16"/>
  <c r="K283" i="16" s="1"/>
  <c r="F282" i="16"/>
  <c r="K282" i="16" s="1"/>
  <c r="F281" i="16"/>
  <c r="K281" i="16" s="1"/>
  <c r="F261" i="16"/>
  <c r="K261" i="16" s="1"/>
  <c r="F260" i="16"/>
  <c r="K260" i="16" s="1"/>
  <c r="F259" i="16"/>
  <c r="K259" i="16" s="1"/>
  <c r="F258" i="16"/>
  <c r="K258" i="16" s="1"/>
  <c r="F257" i="16"/>
  <c r="K257" i="16" s="1"/>
  <c r="F256" i="16"/>
  <c r="K256" i="16" s="1"/>
  <c r="F138" i="16"/>
  <c r="K138" i="16" s="1"/>
  <c r="D137" i="16"/>
  <c r="F137" i="16" s="1"/>
  <c r="K137" i="16" s="1"/>
  <c r="A136" i="16"/>
  <c r="A804" i="16"/>
  <c r="A784" i="16"/>
  <c r="A767" i="16"/>
  <c r="A755" i="16"/>
  <c r="A753" i="16"/>
  <c r="A389" i="16"/>
  <c r="D374" i="16"/>
  <c r="F374" i="16" s="1"/>
  <c r="K374" i="16" s="1"/>
  <c r="F276" i="16"/>
  <c r="K276" i="16" s="1"/>
  <c r="D370" i="16"/>
  <c r="F370" i="16" s="1"/>
  <c r="A376" i="16"/>
  <c r="A372" i="16"/>
  <c r="A369" i="16"/>
  <c r="A364" i="16"/>
  <c r="A351" i="16"/>
  <c r="D400" i="16"/>
  <c r="F400" i="16" s="1"/>
  <c r="K400" i="16" s="1"/>
  <c r="A423" i="16"/>
  <c r="A413" i="16"/>
  <c r="A397" i="16"/>
  <c r="A349" i="16"/>
  <c r="A280" i="16"/>
  <c r="A278" i="16"/>
  <c r="A255" i="16"/>
  <c r="A253" i="16"/>
  <c r="F32" i="16"/>
  <c r="K32" i="16" s="1"/>
  <c r="F34" i="16"/>
  <c r="K34" i="16" s="1"/>
  <c r="F33" i="16"/>
  <c r="K33" i="16" s="1"/>
  <c r="F31" i="16"/>
  <c r="K31" i="16" s="1"/>
  <c r="F609" i="16"/>
  <c r="K609" i="16" s="1"/>
  <c r="F608" i="16"/>
  <c r="K608" i="16" s="1"/>
  <c r="F607" i="16"/>
  <c r="K607" i="16" s="1"/>
  <c r="F606" i="16"/>
  <c r="K606" i="16" s="1"/>
  <c r="F605" i="16"/>
  <c r="K605" i="16" s="1"/>
  <c r="F604" i="16"/>
  <c r="K604" i="16" s="1"/>
  <c r="F603" i="16"/>
  <c r="K603" i="16" s="1"/>
  <c r="F602" i="16"/>
  <c r="K602" i="16" s="1"/>
  <c r="F601" i="16"/>
  <c r="K601" i="16" s="1"/>
  <c r="F600" i="16"/>
  <c r="K600" i="16" s="1"/>
  <c r="F599" i="16"/>
  <c r="K599" i="16" s="1"/>
  <c r="F598" i="16"/>
  <c r="K598" i="16" s="1"/>
  <c r="F597" i="16"/>
  <c r="K597" i="16" s="1"/>
  <c r="F596" i="16"/>
  <c r="K596" i="16" s="1"/>
  <c r="F595" i="16"/>
  <c r="K595" i="16" s="1"/>
  <c r="F594" i="16"/>
  <c r="K594" i="16" s="1"/>
  <c r="F593" i="16"/>
  <c r="K593" i="16" s="1"/>
  <c r="F592" i="16"/>
  <c r="K592" i="16" s="1"/>
  <c r="F591" i="16"/>
  <c r="K591" i="16" s="1"/>
  <c r="F590" i="16"/>
  <c r="K590" i="16" s="1"/>
  <c r="F40" i="16"/>
  <c r="K40" i="16" s="1"/>
  <c r="A45" i="16"/>
  <c r="F56" i="16"/>
  <c r="K56" i="16" s="1"/>
  <c r="F51" i="16"/>
  <c r="K51" i="16" s="1"/>
  <c r="A55" i="16"/>
  <c r="F134" i="16"/>
  <c r="K134" i="16" s="1"/>
  <c r="F133" i="16"/>
  <c r="K133" i="16" s="1"/>
  <c r="F132" i="16"/>
  <c r="K132" i="16" s="1"/>
  <c r="F131" i="16"/>
  <c r="K131" i="16" s="1"/>
  <c r="F130" i="16"/>
  <c r="K130" i="16" s="1"/>
  <c r="F129" i="16"/>
  <c r="K129" i="16" s="1"/>
  <c r="F128" i="16"/>
  <c r="K128" i="16" s="1"/>
  <c r="F127" i="16"/>
  <c r="K127" i="16" s="1"/>
  <c r="F126" i="16"/>
  <c r="K126" i="16" s="1"/>
  <c r="F125" i="16"/>
  <c r="K125" i="16" s="1"/>
  <c r="F124" i="16"/>
  <c r="K124" i="16" s="1"/>
  <c r="F123" i="16"/>
  <c r="K123" i="16" s="1"/>
  <c r="F122" i="16"/>
  <c r="K122" i="16" s="1"/>
  <c r="F121" i="16"/>
  <c r="K121" i="16" s="1"/>
  <c r="F120" i="16"/>
  <c r="K120" i="16" s="1"/>
  <c r="F119" i="16"/>
  <c r="K119" i="16" s="1"/>
  <c r="F118" i="16"/>
  <c r="K118" i="16" s="1"/>
  <c r="F117" i="16"/>
  <c r="K117" i="16" s="1"/>
  <c r="F116" i="16"/>
  <c r="K116" i="16" s="1"/>
  <c r="F115" i="16"/>
  <c r="K115" i="16" s="1"/>
  <c r="F114" i="16"/>
  <c r="K114" i="16" s="1"/>
  <c r="F113" i="16"/>
  <c r="K113" i="16" s="1"/>
  <c r="F112" i="16"/>
  <c r="K112" i="16" s="1"/>
  <c r="F111" i="16"/>
  <c r="K111" i="16" s="1"/>
  <c r="F110" i="16"/>
  <c r="K110" i="16" s="1"/>
  <c r="F109" i="16"/>
  <c r="K109" i="16" s="1"/>
  <c r="F108" i="16"/>
  <c r="K108" i="16" s="1"/>
  <c r="F107" i="16"/>
  <c r="K107" i="16" s="1"/>
  <c r="F106" i="16"/>
  <c r="K106" i="16" s="1"/>
  <c r="F105" i="16"/>
  <c r="K105" i="16" s="1"/>
  <c r="F104" i="16"/>
  <c r="K104" i="16" s="1"/>
  <c r="F103" i="16"/>
  <c r="K103" i="16" s="1"/>
  <c r="F102" i="16"/>
  <c r="K102" i="16" s="1"/>
  <c r="F101" i="16"/>
  <c r="K101" i="16" s="1"/>
  <c r="F100" i="16"/>
  <c r="K100" i="16" s="1"/>
  <c r="F99" i="16"/>
  <c r="K99" i="16" s="1"/>
  <c r="F98" i="16"/>
  <c r="K98" i="16" s="1"/>
  <c r="F97" i="16"/>
  <c r="K97" i="16" s="1"/>
  <c r="F96" i="16"/>
  <c r="K96" i="16" s="1"/>
  <c r="F95" i="16"/>
  <c r="K95" i="16" s="1"/>
  <c r="F94" i="16"/>
  <c r="K94" i="16" s="1"/>
  <c r="A93" i="16"/>
  <c r="F89" i="16"/>
  <c r="K89" i="16" s="1"/>
  <c r="F88" i="16"/>
  <c r="K88" i="16" s="1"/>
  <c r="F87" i="16"/>
  <c r="K87" i="16" s="1"/>
  <c r="F86" i="16"/>
  <c r="K86" i="16" s="1"/>
  <c r="F85" i="16"/>
  <c r="K85" i="16" s="1"/>
  <c r="F84" i="16"/>
  <c r="K84" i="16" s="1"/>
  <c r="F83" i="16"/>
  <c r="K83" i="16" s="1"/>
  <c r="F82" i="16"/>
  <c r="K82" i="16" s="1"/>
  <c r="F81" i="16"/>
  <c r="K81" i="16" s="1"/>
  <c r="F80" i="16"/>
  <c r="K80" i="16" s="1"/>
  <c r="F79" i="16"/>
  <c r="K79" i="16" s="1"/>
  <c r="F78" i="16"/>
  <c r="K78" i="16" s="1"/>
  <c r="F77" i="16"/>
  <c r="K77" i="16" s="1"/>
  <c r="F72" i="16"/>
  <c r="K72" i="16" s="1"/>
  <c r="F71" i="16"/>
  <c r="K71" i="16" s="1"/>
  <c r="F70" i="16"/>
  <c r="K70" i="16" s="1"/>
  <c r="F69" i="16"/>
  <c r="K69" i="16" s="1"/>
  <c r="F68" i="16"/>
  <c r="K68" i="16" s="1"/>
  <c r="F67" i="16"/>
  <c r="K67" i="16" s="1"/>
  <c r="F66" i="16"/>
  <c r="K66" i="16" s="1"/>
  <c r="F65" i="16"/>
  <c r="K65" i="16" s="1"/>
  <c r="F64" i="16"/>
  <c r="K64" i="16" s="1"/>
  <c r="F63" i="16"/>
  <c r="K63" i="16" s="1"/>
  <c r="F62" i="16"/>
  <c r="K62" i="16" s="1"/>
  <c r="F61" i="16"/>
  <c r="K61" i="16" s="1"/>
  <c r="F60" i="16"/>
  <c r="K60" i="16" s="1"/>
  <c r="F745" i="16"/>
  <c r="K745" i="16" s="1"/>
  <c r="F744" i="16"/>
  <c r="K744" i="16" s="1"/>
  <c r="F743" i="16"/>
  <c r="K743" i="16" s="1"/>
  <c r="F742" i="16"/>
  <c r="K742" i="16" s="1"/>
  <c r="F741" i="16"/>
  <c r="K741" i="16" s="1"/>
  <c r="F738" i="16"/>
  <c r="K738" i="16" s="1"/>
  <c r="F737" i="16"/>
  <c r="K737" i="16" s="1"/>
  <c r="F736" i="16"/>
  <c r="K736" i="16" s="1"/>
  <c r="F735" i="16"/>
  <c r="K735" i="16" s="1"/>
  <c r="F627" i="16"/>
  <c r="K627" i="16" s="1"/>
  <c r="F626" i="16"/>
  <c r="K626" i="16" s="1"/>
  <c r="F625" i="16"/>
  <c r="K625" i="16" s="1"/>
  <c r="F624" i="16"/>
  <c r="K624" i="16" s="1"/>
  <c r="F623" i="16"/>
  <c r="K623" i="16" s="1"/>
  <c r="F622" i="16"/>
  <c r="K622" i="16" s="1"/>
  <c r="F621" i="16"/>
  <c r="K621" i="16" s="1"/>
  <c r="F620" i="16"/>
  <c r="K620" i="16" s="1"/>
  <c r="F619" i="16"/>
  <c r="K619" i="16" s="1"/>
  <c r="F616" i="16"/>
  <c r="K616" i="16" s="1"/>
  <c r="F615" i="16"/>
  <c r="K615" i="16" s="1"/>
  <c r="F614" i="16"/>
  <c r="K614" i="16" s="1"/>
  <c r="F613" i="16"/>
  <c r="K613" i="16" s="1"/>
  <c r="F612" i="16"/>
  <c r="K612" i="16" s="1"/>
  <c r="F589" i="16"/>
  <c r="K589" i="16" s="1"/>
  <c r="F588" i="16"/>
  <c r="K588" i="16" s="1"/>
  <c r="F587" i="16"/>
  <c r="K587" i="16" s="1"/>
  <c r="F586" i="16"/>
  <c r="K586" i="16" s="1"/>
  <c r="F583" i="16"/>
  <c r="K583" i="16" s="1"/>
  <c r="F582" i="16"/>
  <c r="K582" i="16" s="1"/>
  <c r="F581" i="16"/>
  <c r="K581" i="16" s="1"/>
  <c r="F580" i="16"/>
  <c r="K580" i="16" s="1"/>
  <c r="F579" i="16"/>
  <c r="K579" i="16" s="1"/>
  <c r="F576" i="16"/>
  <c r="K576" i="16" s="1"/>
  <c r="F575" i="16"/>
  <c r="K575" i="16" s="1"/>
  <c r="F574" i="16"/>
  <c r="K574" i="16" s="1"/>
  <c r="F571" i="16"/>
  <c r="K571" i="16" s="1"/>
  <c r="F570" i="16"/>
  <c r="K570" i="16" s="1"/>
  <c r="F569" i="16"/>
  <c r="K569" i="16" s="1"/>
  <c r="F566" i="16"/>
  <c r="K566" i="16" s="1"/>
  <c r="F565" i="16"/>
  <c r="K565" i="16" s="1"/>
  <c r="F564" i="16"/>
  <c r="K564" i="16" s="1"/>
  <c r="F563" i="16"/>
  <c r="K563" i="16" s="1"/>
  <c r="F562" i="16"/>
  <c r="K562" i="16" s="1"/>
  <c r="F561" i="16"/>
  <c r="K561" i="16" s="1"/>
  <c r="F560" i="16"/>
  <c r="K560" i="16" s="1"/>
  <c r="F559" i="16"/>
  <c r="K559" i="16" s="1"/>
  <c r="F558" i="16"/>
  <c r="K558" i="16" s="1"/>
  <c r="F546" i="16"/>
  <c r="K546" i="16" s="1"/>
  <c r="F545" i="16"/>
  <c r="K545" i="16" s="1"/>
  <c r="F544" i="16"/>
  <c r="K544" i="16" s="1"/>
  <c r="F555" i="16"/>
  <c r="K555" i="16" s="1"/>
  <c r="F554" i="16"/>
  <c r="K554" i="16" s="1"/>
  <c r="F553" i="16"/>
  <c r="K553" i="16" s="1"/>
  <c r="F552" i="16"/>
  <c r="K552" i="16" s="1"/>
  <c r="F551" i="16"/>
  <c r="K551" i="16" s="1"/>
  <c r="F550" i="16"/>
  <c r="K550" i="16" s="1"/>
  <c r="F549" i="16"/>
  <c r="K549" i="16" s="1"/>
  <c r="F541" i="16"/>
  <c r="K541" i="16" s="1"/>
  <c r="F540" i="16"/>
  <c r="K540" i="16" s="1"/>
  <c r="F539" i="16"/>
  <c r="K539" i="16" s="1"/>
  <c r="F538" i="16"/>
  <c r="K538" i="16" s="1"/>
  <c r="F537" i="16"/>
  <c r="K537" i="16" s="1"/>
  <c r="F536" i="16"/>
  <c r="K536" i="16" s="1"/>
  <c r="F535" i="16"/>
  <c r="K535" i="16" s="1"/>
  <c r="F534" i="16"/>
  <c r="K534" i="16" s="1"/>
  <c r="F533" i="16"/>
  <c r="K533" i="16" s="1"/>
  <c r="F532" i="16"/>
  <c r="K532" i="16" s="1"/>
  <c r="F531" i="16"/>
  <c r="K531" i="16" s="1"/>
  <c r="F530" i="16"/>
  <c r="K530" i="16" s="1"/>
  <c r="F529" i="16"/>
  <c r="K529" i="16" s="1"/>
  <c r="F528" i="16"/>
  <c r="K528" i="16" s="1"/>
  <c r="F527" i="16"/>
  <c r="K527" i="16" s="1"/>
  <c r="F526" i="16"/>
  <c r="K526" i="16" s="1"/>
  <c r="F525" i="16"/>
  <c r="K525" i="16" s="1"/>
  <c r="F524" i="16"/>
  <c r="K524" i="16" s="1"/>
  <c r="F523" i="16"/>
  <c r="K523" i="16" s="1"/>
  <c r="F522" i="16"/>
  <c r="K522" i="16" s="1"/>
  <c r="F521" i="16"/>
  <c r="K521" i="16" s="1"/>
  <c r="F520" i="16"/>
  <c r="K520" i="16" s="1"/>
  <c r="F519" i="16"/>
  <c r="K519" i="16" s="1"/>
  <c r="F518" i="16"/>
  <c r="K518" i="16" s="1"/>
  <c r="F517" i="16"/>
  <c r="K517" i="16" s="1"/>
  <c r="F516" i="16"/>
  <c r="K516" i="16" s="1"/>
  <c r="F515" i="16"/>
  <c r="K515" i="16" s="1"/>
  <c r="F514" i="16"/>
  <c r="K514" i="16" s="1"/>
  <c r="F513" i="16"/>
  <c r="K513" i="16" s="1"/>
  <c r="F512" i="16"/>
  <c r="K512" i="16" s="1"/>
  <c r="F630" i="16"/>
  <c r="K630" i="16" s="1"/>
  <c r="F732" i="16"/>
  <c r="K732" i="16" s="1"/>
  <c r="F731" i="16"/>
  <c r="K731" i="16" s="1"/>
  <c r="F730" i="16"/>
  <c r="K730" i="16" s="1"/>
  <c r="F729" i="16"/>
  <c r="K729" i="16" s="1"/>
  <c r="F728" i="16"/>
  <c r="K728" i="16" s="1"/>
  <c r="F727" i="16"/>
  <c r="K727" i="16" s="1"/>
  <c r="F726" i="16"/>
  <c r="K726" i="16" s="1"/>
  <c r="F725" i="16"/>
  <c r="K725" i="16" s="1"/>
  <c r="F724" i="16"/>
  <c r="K724" i="16" s="1"/>
  <c r="F723" i="16"/>
  <c r="K723" i="16" s="1"/>
  <c r="F722" i="16"/>
  <c r="K722" i="16" s="1"/>
  <c r="F721" i="16"/>
  <c r="K721" i="16" s="1"/>
  <c r="F720" i="16"/>
  <c r="K720" i="16" s="1"/>
  <c r="F719" i="16"/>
  <c r="K719" i="16" s="1"/>
  <c r="F718" i="16"/>
  <c r="K718" i="16" s="1"/>
  <c r="F717" i="16"/>
  <c r="K717" i="16" s="1"/>
  <c r="F716" i="16"/>
  <c r="K716" i="16" s="1"/>
  <c r="F715" i="16"/>
  <c r="K715" i="16" s="1"/>
  <c r="F714" i="16"/>
  <c r="K714" i="16" s="1"/>
  <c r="F713" i="16"/>
  <c r="K713" i="16" s="1"/>
  <c r="F712" i="16"/>
  <c r="K712" i="16" s="1"/>
  <c r="F711" i="16"/>
  <c r="K711" i="16" s="1"/>
  <c r="F710" i="16"/>
  <c r="K710" i="16" s="1"/>
  <c r="F709" i="16"/>
  <c r="K709" i="16" s="1"/>
  <c r="F708" i="16"/>
  <c r="K708" i="16" s="1"/>
  <c r="F707" i="16"/>
  <c r="K707" i="16" s="1"/>
  <c r="F706" i="16"/>
  <c r="K706" i="16" s="1"/>
  <c r="F705" i="16"/>
  <c r="K705" i="16" s="1"/>
  <c r="F704" i="16"/>
  <c r="K704" i="16" s="1"/>
  <c r="F703" i="16"/>
  <c r="K703" i="16" s="1"/>
  <c r="F702" i="16"/>
  <c r="K702" i="16" s="1"/>
  <c r="F701" i="16"/>
  <c r="K701" i="16" s="1"/>
  <c r="F700" i="16"/>
  <c r="K700" i="16" s="1"/>
  <c r="F699" i="16"/>
  <c r="K699" i="16" s="1"/>
  <c r="F698" i="16"/>
  <c r="K698" i="16" s="1"/>
  <c r="F697" i="16"/>
  <c r="K697" i="16" s="1"/>
  <c r="F696" i="16"/>
  <c r="K696" i="16" s="1"/>
  <c r="F695" i="16"/>
  <c r="K695" i="16" s="1"/>
  <c r="F694" i="16"/>
  <c r="K694" i="16" s="1"/>
  <c r="F693" i="16"/>
  <c r="K693" i="16" s="1"/>
  <c r="F692" i="16"/>
  <c r="K692" i="16" s="1"/>
  <c r="F691" i="16"/>
  <c r="K691" i="16" s="1"/>
  <c r="F690" i="16"/>
  <c r="K690" i="16" s="1"/>
  <c r="F689" i="16"/>
  <c r="K689" i="16" s="1"/>
  <c r="F688" i="16"/>
  <c r="K688" i="16" s="1"/>
  <c r="F687" i="16"/>
  <c r="K687" i="16" s="1"/>
  <c r="F686" i="16"/>
  <c r="K686" i="16" s="1"/>
  <c r="F685" i="16"/>
  <c r="K685" i="16" s="1"/>
  <c r="F684" i="16"/>
  <c r="K684" i="16" s="1"/>
  <c r="F683" i="16"/>
  <c r="K683" i="16" s="1"/>
  <c r="F682" i="16"/>
  <c r="K682" i="16" s="1"/>
  <c r="F681" i="16"/>
  <c r="K681" i="16" s="1"/>
  <c r="F680" i="16"/>
  <c r="K680" i="16" s="1"/>
  <c r="F679" i="16"/>
  <c r="K679" i="16" s="1"/>
  <c r="F676" i="16"/>
  <c r="K676" i="16" s="1"/>
  <c r="F675" i="16"/>
  <c r="K675" i="16" s="1"/>
  <c r="F674" i="16"/>
  <c r="K674" i="16" s="1"/>
  <c r="F673" i="16"/>
  <c r="K673" i="16" s="1"/>
  <c r="F672" i="16"/>
  <c r="K672" i="16" s="1"/>
  <c r="F671" i="16"/>
  <c r="K671" i="16" s="1"/>
  <c r="F670" i="16"/>
  <c r="K670" i="16" s="1"/>
  <c r="F669" i="16"/>
  <c r="K669" i="16" s="1"/>
  <c r="F668" i="16"/>
  <c r="K668" i="16" s="1"/>
  <c r="F667" i="16"/>
  <c r="K667" i="16" s="1"/>
  <c r="F666" i="16"/>
  <c r="K666" i="16" s="1"/>
  <c r="F665" i="16"/>
  <c r="K665" i="16" s="1"/>
  <c r="F664" i="16"/>
  <c r="K664" i="16" s="1"/>
  <c r="F663" i="16"/>
  <c r="K663" i="16" s="1"/>
  <c r="F662" i="16"/>
  <c r="K662" i="16" s="1"/>
  <c r="F661" i="16"/>
  <c r="K661" i="16" s="1"/>
  <c r="F660" i="16"/>
  <c r="K660" i="16" s="1"/>
  <c r="F657" i="16"/>
  <c r="K657" i="16" s="1"/>
  <c r="F656" i="16"/>
  <c r="K656" i="16" s="1"/>
  <c r="F655" i="16"/>
  <c r="K655" i="16" s="1"/>
  <c r="F654" i="16"/>
  <c r="K654" i="16" s="1"/>
  <c r="A659" i="16"/>
  <c r="A30" i="16"/>
  <c r="A28" i="16"/>
  <c r="A36" i="16"/>
  <c r="F751" i="16"/>
  <c r="K751" i="16" s="1"/>
  <c r="A750" i="16"/>
  <c r="F748" i="16"/>
  <c r="K748" i="16" s="1"/>
  <c r="A747" i="16"/>
  <c r="F653" i="16"/>
  <c r="K653" i="16" s="1"/>
  <c r="F652" i="16"/>
  <c r="K652" i="16" s="1"/>
  <c r="F651" i="16"/>
  <c r="K651" i="16" s="1"/>
  <c r="F650" i="16"/>
  <c r="K650" i="16" s="1"/>
  <c r="F649" i="16"/>
  <c r="K649" i="16" s="1"/>
  <c r="F648" i="16"/>
  <c r="K648" i="16" s="1"/>
  <c r="F647" i="16"/>
  <c r="K647" i="16" s="1"/>
  <c r="F646" i="16"/>
  <c r="K646" i="16" s="1"/>
  <c r="F645" i="16"/>
  <c r="K645" i="16" s="1"/>
  <c r="F644" i="16"/>
  <c r="K644" i="16" s="1"/>
  <c r="F643" i="16"/>
  <c r="K643" i="16" s="1"/>
  <c r="F642" i="16"/>
  <c r="K642" i="16" s="1"/>
  <c r="F641" i="16"/>
  <c r="K641" i="16" s="1"/>
  <c r="F640" i="16"/>
  <c r="K640" i="16" s="1"/>
  <c r="F639" i="16"/>
  <c r="K639" i="16" s="1"/>
  <c r="F638" i="16"/>
  <c r="K638" i="16" s="1"/>
  <c r="F637" i="16"/>
  <c r="K637" i="16" s="1"/>
  <c r="F636" i="16"/>
  <c r="K636" i="16" s="1"/>
  <c r="F635" i="16"/>
  <c r="K635" i="16" s="1"/>
  <c r="F634" i="16"/>
  <c r="K634" i="16" s="1"/>
  <c r="F633" i="16"/>
  <c r="K633" i="16" s="1"/>
  <c r="A632" i="16"/>
  <c r="A629" i="16"/>
  <c r="F511" i="16"/>
  <c r="K511" i="16" s="1"/>
  <c r="F510" i="16"/>
  <c r="K510" i="16" s="1"/>
  <c r="F509" i="16"/>
  <c r="K509" i="16" s="1"/>
  <c r="F508" i="16"/>
  <c r="K508" i="16" s="1"/>
  <c r="F507" i="16"/>
  <c r="K507" i="16" s="1"/>
  <c r="F506" i="16"/>
  <c r="K506" i="16" s="1"/>
  <c r="F505" i="16"/>
  <c r="K505" i="16" s="1"/>
  <c r="A504" i="16"/>
  <c r="A502" i="16"/>
  <c r="L423" i="16" l="1"/>
  <c r="L413" i="16"/>
  <c r="L253" i="16"/>
  <c r="L753" i="16"/>
  <c r="L502" i="16"/>
  <c r="L397" i="16"/>
  <c r="K392" i="16"/>
  <c r="L389" i="16" s="1"/>
  <c r="L278" i="16"/>
  <c r="K370" i="16"/>
  <c r="L349" i="16" s="1"/>
  <c r="L28" i="16"/>
  <c r="F275" i="16"/>
  <c r="K275" i="16" s="1"/>
  <c r="L263" i="16" s="1"/>
  <c r="F817" i="16" l="1"/>
  <c r="K817" i="16" s="1"/>
  <c r="L814" i="16" s="1"/>
  <c r="A816" i="16"/>
  <c r="A814" i="16"/>
  <c r="A42" i="16" l="1"/>
  <c r="F76" i="16"/>
  <c r="F91" i="16"/>
  <c r="K91" i="16" s="1"/>
  <c r="F90" i="16"/>
  <c r="K90" i="16" s="1"/>
  <c r="F75" i="16"/>
  <c r="K75" i="16" s="1"/>
  <c r="A74" i="16"/>
  <c r="F59" i="16"/>
  <c r="K59" i="16" s="1"/>
  <c r="A58" i="16"/>
  <c r="A53" i="16"/>
  <c r="F50" i="16"/>
  <c r="K50" i="16" s="1"/>
  <c r="A49" i="16"/>
  <c r="F47" i="16"/>
  <c r="K47" i="16" s="1"/>
  <c r="F46" i="16"/>
  <c r="K46" i="16" s="1"/>
  <c r="F43" i="16"/>
  <c r="K43" i="16" s="1"/>
  <c r="K76" i="16" l="1"/>
  <c r="L53" i="16" s="1"/>
  <c r="F39" i="16"/>
  <c r="A38" i="16"/>
  <c r="K39" i="16" l="1"/>
  <c r="L36" i="16" s="1"/>
  <c r="F26" i="16" l="1"/>
  <c r="K26" i="16" s="1"/>
  <c r="A25" i="16"/>
  <c r="F24" i="16"/>
  <c r="K24" i="16" s="1"/>
  <c r="F23" i="16"/>
  <c r="K23" i="16" s="1"/>
  <c r="F22" i="16"/>
  <c r="K22" i="16" s="1"/>
  <c r="F21" i="16"/>
  <c r="K21" i="16" s="1"/>
  <c r="F20" i="16"/>
  <c r="K20" i="16" s="1"/>
  <c r="A19" i="16"/>
  <c r="F18" i="16"/>
  <c r="K18" i="16" s="1"/>
  <c r="F17" i="16"/>
  <c r="K17" i="16" s="1"/>
  <c r="F16" i="16"/>
  <c r="K16" i="16" s="1"/>
  <c r="F15" i="16"/>
  <c r="K15" i="16" s="1"/>
  <c r="F14" i="16"/>
  <c r="K14" i="16" s="1"/>
  <c r="F13" i="16"/>
  <c r="K13" i="16" s="1"/>
  <c r="F12" i="16"/>
  <c r="K12" i="16" s="1"/>
  <c r="F11" i="16"/>
  <c r="K11" i="16" s="1"/>
  <c r="F10" i="16"/>
  <c r="K10" i="16" s="1"/>
  <c r="F9" i="16"/>
  <c r="A7" i="16"/>
  <c r="A9" i="16" l="1"/>
  <c r="K9" i="16"/>
  <c r="L7" i="16" s="1"/>
  <c r="A10" i="16" l="1"/>
  <c r="A11" i="16" l="1"/>
  <c r="A12" i="16" l="1"/>
  <c r="A13" i="16" l="1"/>
  <c r="A14" i="16" l="1"/>
  <c r="A15" i="16" l="1"/>
  <c r="A16" i="16" l="1"/>
  <c r="A17" i="16" l="1"/>
  <c r="A18" i="16" s="1"/>
  <c r="A20" i="16" l="1"/>
  <c r="K820" i="16"/>
  <c r="A21" i="16" l="1"/>
  <c r="A22" i="16" s="1"/>
  <c r="A23" i="16" s="1"/>
  <c r="A24" i="16" s="1"/>
  <c r="A26" i="16" s="1"/>
  <c r="K821" i="16"/>
  <c r="K822" i="16" s="1"/>
  <c r="A31" i="16" l="1"/>
  <c r="A32" i="16" s="1"/>
  <c r="A33" i="16" s="1"/>
  <c r="A34" i="16" s="1"/>
  <c r="A39" i="16" s="1"/>
  <c r="A40" i="16" s="1"/>
  <c r="L820" i="16" l="1"/>
  <c r="L821" i="16" s="1"/>
  <c r="L822" i="16" s="1"/>
  <c r="A43" i="16"/>
  <c r="A46" i="16" s="1"/>
  <c r="A47" i="16" s="1"/>
  <c r="A50" i="16" l="1"/>
  <c r="A51" i="16" s="1"/>
  <c r="A56" i="16" s="1"/>
  <c r="A59" i="16" l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5" i="16" l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7" i="16" s="1"/>
  <c r="A138" i="16" s="1"/>
  <c r="A143" i="16" l="1"/>
  <c r="A144" i="16" s="1"/>
  <c r="A145" i="16" s="1"/>
  <c r="A146" i="16" s="1"/>
  <c r="A147" i="16" s="1"/>
  <c r="A148" i="16" s="1"/>
  <c r="A149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3" i="16" s="1"/>
  <c r="A164" i="16" s="1"/>
  <c r="A165" i="16" s="1"/>
  <c r="A166" i="16" s="1"/>
  <c r="A167" i="16" s="1"/>
  <c r="A168" i="16" s="1"/>
  <c r="A169" i="16" s="1"/>
  <c r="A172" i="16" s="1"/>
  <c r="A173" i="16" s="1"/>
  <c r="A174" i="16" s="1"/>
  <c r="A175" i="16" s="1"/>
  <c r="A176" i="16" s="1"/>
  <c r="A177" i="16" s="1"/>
  <c r="A178" i="16" s="1"/>
  <c r="A181" i="16" s="1"/>
  <c r="A182" i="16" s="1"/>
  <c r="A183" i="16" s="1"/>
  <c r="A184" i="16" s="1"/>
  <c r="A185" i="16" s="1"/>
  <c r="A186" i="16" s="1"/>
  <c r="A187" i="16" s="1"/>
  <c r="A190" i="16" s="1"/>
  <c r="A191" i="16" s="1"/>
  <c r="A192" i="16" s="1"/>
  <c r="A193" i="16" s="1"/>
  <c r="A194" i="16" s="1"/>
  <c r="A195" i="16" s="1"/>
  <c r="A196" i="16" s="1"/>
  <c r="A199" i="16" s="1"/>
  <c r="A200" i="16" s="1"/>
  <c r="A201" i="16" s="1"/>
  <c r="A202" i="16" s="1"/>
  <c r="A203" i="16" s="1"/>
  <c r="A204" i="16" s="1"/>
  <c r="A205" i="16" s="1"/>
  <c r="A206" i="16" s="1"/>
  <c r="A209" i="16" s="1"/>
  <c r="A210" i="16" s="1"/>
  <c r="A211" i="16" s="1"/>
  <c r="A212" i="16" s="1"/>
  <c r="A213" i="16" s="1"/>
  <c r="A214" i="16" s="1"/>
  <c r="A215" i="16" s="1"/>
  <c r="A216" i="16" s="1"/>
  <c r="A219" i="16" s="1"/>
  <c r="A220" i="16" s="1"/>
  <c r="A221" i="16" s="1"/>
  <c r="A222" i="16" s="1"/>
  <c r="A223" i="16" s="1"/>
  <c r="A224" i="16" s="1"/>
  <c r="A225" i="16" s="1"/>
  <c r="A228" i="16" s="1"/>
  <c r="A229" i="16" s="1"/>
  <c r="A230" i="16" s="1"/>
  <c r="A231" i="16" s="1"/>
  <c r="A232" i="16" s="1"/>
  <c r="A233" i="16" s="1"/>
  <c r="A236" i="16" s="1"/>
  <c r="A237" i="16" s="1"/>
  <c r="A238" i="16" s="1"/>
  <c r="A239" i="16" s="1"/>
  <c r="A240" i="16" s="1"/>
  <c r="A241" i="16" s="1"/>
  <c r="A242" i="16" s="1"/>
  <c r="A243" i="16" s="1"/>
  <c r="A246" i="16" s="1"/>
  <c r="A247" i="16" s="1"/>
  <c r="A248" i="16" s="1"/>
  <c r="A249" i="16" s="1"/>
  <c r="A250" i="16" s="1"/>
  <c r="A251" i="16" s="1"/>
  <c r="A256" i="16" l="1"/>
  <c r="A257" i="16" s="1"/>
  <c r="A258" i="16" l="1"/>
  <c r="A259" i="16" s="1"/>
  <c r="A260" i="16" s="1"/>
  <c r="A261" i="16" s="1"/>
  <c r="A266" i="16" s="1"/>
  <c r="A267" i="16" s="1"/>
  <c r="A268" i="16" s="1"/>
  <c r="A269" i="16" s="1"/>
  <c r="A270" i="16" s="1"/>
  <c r="A271" i="16" s="1"/>
  <c r="A272" i="16" s="1"/>
  <c r="A275" i="16" l="1"/>
  <c r="A276" i="16" s="1"/>
  <c r="A281" i="16" s="1"/>
  <c r="A282" i="16" s="1"/>
  <c r="A283" i="16" s="1"/>
  <c r="A284" i="16" s="1"/>
  <c r="A285" i="16" s="1"/>
  <c r="A286" i="16" s="1"/>
  <c r="A287" i="16" l="1"/>
  <c r="A288" i="16" s="1"/>
  <c r="A289" i="16" s="1"/>
  <c r="A290" i="16" s="1"/>
  <c r="A293" i="16" l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A318" i="16" s="1"/>
  <c r="A319" i="16" s="1"/>
  <c r="A320" i="16" s="1"/>
  <c r="A321" i="16" s="1"/>
  <c r="A322" i="16" s="1"/>
  <c r="A323" i="16" s="1"/>
  <c r="A324" i="16" s="1"/>
  <c r="A325" i="16" s="1"/>
  <c r="A326" i="16" s="1"/>
  <c r="A327" i="16" s="1"/>
  <c r="A328" i="16" s="1"/>
  <c r="A329" i="16" s="1"/>
  <c r="A330" i="16" s="1"/>
  <c r="A331" i="16" s="1"/>
  <c r="A332" i="16" s="1"/>
  <c r="A333" i="16" s="1"/>
  <c r="A334" i="16" s="1"/>
  <c r="A335" i="16" s="1"/>
  <c r="A336" i="16" s="1"/>
  <c r="A337" i="16" s="1"/>
  <c r="A338" i="16" s="1"/>
  <c r="A339" i="16" s="1"/>
  <c r="A340" i="16" s="1"/>
  <c r="A341" i="16" s="1"/>
  <c r="A342" i="16" s="1"/>
  <c r="A343" i="16" s="1"/>
  <c r="A344" i="16" s="1"/>
  <c r="A347" i="16" s="1"/>
  <c r="A352" i="16" l="1"/>
  <c r="A353" i="16" s="1"/>
  <c r="A354" i="16" s="1"/>
  <c r="A355" i="16" s="1"/>
  <c r="A356" i="16" s="1"/>
  <c r="A357" i="16" s="1"/>
  <c r="A358" i="16" s="1"/>
  <c r="A359" i="16" s="1"/>
  <c r="A360" i="16" l="1"/>
  <c r="A361" i="16" s="1"/>
  <c r="A362" i="16" s="1"/>
  <c r="A365" i="16" l="1"/>
  <c r="A366" i="16" l="1"/>
  <c r="A367" i="16" l="1"/>
  <c r="A370" i="16" l="1"/>
  <c r="A373" i="16" l="1"/>
  <c r="A374" i="16" l="1"/>
  <c r="A377" i="16" l="1"/>
  <c r="A378" i="16" l="1"/>
  <c r="A379" i="16" l="1"/>
  <c r="A380" i="16" s="1"/>
  <c r="A381" i="16" s="1"/>
  <c r="A384" i="16" l="1"/>
  <c r="A385" i="16" s="1"/>
  <c r="A386" i="16" l="1"/>
  <c r="A391" i="16" l="1"/>
  <c r="A387" i="16"/>
  <c r="A392" i="16"/>
  <c r="A393" i="16" s="1"/>
  <c r="A394" i="16" s="1"/>
  <c r="A395" i="16" s="1"/>
  <c r="A399" i="16" s="1"/>
  <c r="A400" i="16" s="1"/>
  <c r="A401" i="16" s="1"/>
  <c r="A402" i="16" s="1"/>
  <c r="A403" i="16" s="1"/>
  <c r="A404" i="16" s="1"/>
  <c r="A405" i="16" s="1"/>
  <c r="A406" i="16" s="1"/>
  <c r="A407" i="16" s="1"/>
  <c r="A408" i="16" s="1"/>
  <c r="A409" i="16" l="1"/>
  <c r="A410" i="16" s="1"/>
  <c r="A411" i="16" s="1"/>
  <c r="A415" i="16" l="1"/>
  <c r="A416" i="16" s="1"/>
  <c r="A417" i="16" s="1"/>
  <c r="A418" i="16" s="1"/>
  <c r="A419" i="16" s="1"/>
  <c r="A420" i="16" s="1"/>
  <c r="A421" i="16" l="1"/>
  <c r="A425" i="16" s="1"/>
  <c r="A426" i="16" s="1"/>
  <c r="A427" i="16" s="1"/>
  <c r="A428" i="16" s="1"/>
  <c r="A429" i="16" s="1"/>
  <c r="A434" i="16" s="1"/>
  <c r="A435" i="16" s="1"/>
  <c r="A436" i="16" s="1"/>
  <c r="A437" i="16" s="1"/>
  <c r="A438" i="16" s="1"/>
  <c r="A439" i="16" s="1"/>
  <c r="A440" i="16" s="1"/>
  <c r="A441" i="16" s="1"/>
  <c r="A442" i="16" s="1"/>
  <c r="A443" i="16" s="1"/>
  <c r="A444" i="16" s="1"/>
  <c r="A445" i="16" s="1"/>
  <c r="A446" i="16" s="1"/>
  <c r="A447" i="16" s="1"/>
  <c r="A448" i="16" s="1"/>
  <c r="A449" i="16" s="1"/>
  <c r="A450" i="16" s="1"/>
  <c r="A451" i="16" s="1"/>
  <c r="A452" i="16" s="1"/>
  <c r="A453" i="16" s="1"/>
  <c r="A454" i="16" s="1"/>
  <c r="A455" i="16" s="1"/>
  <c r="A456" i="16" s="1"/>
  <c r="A457" i="16" s="1"/>
  <c r="A458" i="16" s="1"/>
  <c r="A461" i="16" s="1"/>
  <c r="A462" i="16" s="1"/>
  <c r="A463" i="16" s="1"/>
  <c r="A464" i="16" s="1"/>
  <c r="A465" i="16" s="1"/>
  <c r="A466" i="16" s="1"/>
  <c r="A467" i="16" s="1"/>
  <c r="A468" i="16" s="1"/>
  <c r="A469" i="16" s="1"/>
  <c r="A470" i="16" l="1"/>
  <c r="A471" i="16" s="1"/>
  <c r="A472" i="16" s="1"/>
  <c r="A473" i="16" s="1"/>
  <c r="A474" i="16" s="1"/>
  <c r="A475" i="16" s="1"/>
  <c r="A476" i="16" s="1"/>
  <c r="A477" i="16" s="1"/>
  <c r="A478" i="16" s="1"/>
  <c r="A479" i="16" s="1"/>
  <c r="A480" i="16" s="1"/>
  <c r="A481" i="16" s="1"/>
  <c r="A482" i="16" s="1"/>
  <c r="A483" i="16" s="1"/>
  <c r="A484" i="16" s="1"/>
  <c r="A485" i="16" s="1"/>
  <c r="A486" i="16" s="1"/>
  <c r="A487" i="16" s="1"/>
  <c r="A488" i="16" s="1"/>
  <c r="A489" i="16" s="1"/>
  <c r="A490" i="16" s="1"/>
  <c r="A491" i="16" s="1"/>
  <c r="A494" i="16" s="1"/>
  <c r="A495" i="16" s="1"/>
  <c r="A496" i="16" l="1"/>
  <c r="A497" i="16" s="1"/>
  <c r="A498" i="16" s="1"/>
  <c r="A499" i="16" s="1"/>
  <c r="A500" i="16" s="1"/>
  <c r="A505" i="16" s="1"/>
  <c r="A506" i="16" s="1"/>
  <c r="A507" i="16" s="1"/>
  <c r="A508" i="16" s="1"/>
  <c r="A509" i="16" s="1"/>
  <c r="A510" i="16" s="1"/>
  <c r="A511" i="16" s="1"/>
  <c r="A512" i="16" s="1"/>
  <c r="A513" i="16" s="1"/>
  <c r="A514" i="16" s="1"/>
  <c r="A515" i="16" s="1"/>
  <c r="A516" i="16" s="1"/>
  <c r="A517" i="16" s="1"/>
  <c r="A518" i="16" s="1"/>
  <c r="A519" i="16" s="1"/>
  <c r="A520" i="16" s="1"/>
  <c r="A521" i="16" s="1"/>
  <c r="A522" i="16" s="1"/>
  <c r="A523" i="16" s="1"/>
  <c r="A524" i="16" s="1"/>
  <c r="A525" i="16" s="1"/>
  <c r="A526" i="16" s="1"/>
  <c r="A527" i="16" s="1"/>
  <c r="A528" i="16" s="1"/>
  <c r="A529" i="16" s="1"/>
  <c r="A530" i="16" s="1"/>
  <c r="A531" i="16" s="1"/>
  <c r="A532" i="16" s="1"/>
  <c r="A533" i="16" s="1"/>
  <c r="A534" i="16" s="1"/>
  <c r="A535" i="16" s="1"/>
  <c r="A536" i="16" s="1"/>
  <c r="A537" i="16" s="1"/>
  <c r="A538" i="16" s="1"/>
  <c r="A539" i="16" s="1"/>
  <c r="A540" i="16" s="1"/>
  <c r="A541" i="16" s="1"/>
  <c r="A544" i="16" s="1"/>
  <c r="A545" i="16" s="1"/>
  <c r="A546" i="16" s="1"/>
  <c r="A549" i="16" s="1"/>
  <c r="A550" i="16" s="1"/>
  <c r="A551" i="16" s="1"/>
  <c r="A552" i="16" s="1"/>
  <c r="A553" i="16" s="1"/>
  <c r="A554" i="16" s="1"/>
  <c r="A555" i="16" s="1"/>
  <c r="A558" i="16" s="1"/>
  <c r="A559" i="16" s="1"/>
  <c r="A560" i="16" s="1"/>
  <c r="A561" i="16" s="1"/>
  <c r="A562" i="16" s="1"/>
  <c r="A563" i="16" s="1"/>
  <c r="A564" i="16" s="1"/>
  <c r="A565" i="16" s="1"/>
  <c r="A566" i="16" s="1"/>
  <c r="A569" i="16" s="1"/>
  <c r="A570" i="16" s="1"/>
  <c r="A571" i="16" s="1"/>
  <c r="A574" i="16" s="1"/>
  <c r="A575" i="16" s="1"/>
  <c r="A576" i="16" s="1"/>
  <c r="A579" i="16" s="1"/>
  <c r="A580" i="16" s="1"/>
  <c r="A581" i="16" s="1"/>
  <c r="A582" i="16" s="1"/>
  <c r="A583" i="16" s="1"/>
  <c r="A586" i="16" s="1"/>
  <c r="A587" i="16" s="1"/>
  <c r="A588" i="16" s="1"/>
  <c r="A589" i="16" s="1"/>
  <c r="A590" i="16" s="1"/>
  <c r="A591" i="16" s="1"/>
  <c r="A592" i="16" s="1"/>
  <c r="A593" i="16" s="1"/>
  <c r="A594" i="16" s="1"/>
  <c r="A595" i="16" s="1"/>
  <c r="A596" i="16" s="1"/>
  <c r="A597" i="16" s="1"/>
  <c r="A598" i="16" s="1"/>
  <c r="A599" i="16" s="1"/>
  <c r="A600" i="16" s="1"/>
  <c r="A601" i="16" s="1"/>
  <c r="A602" i="16" s="1"/>
  <c r="A603" i="16" s="1"/>
  <c r="A604" i="16" s="1"/>
  <c r="A605" i="16" s="1"/>
  <c r="A606" i="16" s="1"/>
  <c r="A607" i="16" s="1"/>
  <c r="A608" i="16" s="1"/>
  <c r="A609" i="16" s="1"/>
  <c r="A612" i="16" s="1"/>
  <c r="A613" i="16" s="1"/>
  <c r="A614" i="16" s="1"/>
  <c r="A615" i="16" s="1"/>
  <c r="A616" i="16" s="1"/>
  <c r="A619" i="16" s="1"/>
  <c r="A620" i="16" s="1"/>
  <c r="A621" i="16" s="1"/>
  <c r="A622" i="16" s="1"/>
  <c r="A623" i="16" s="1"/>
  <c r="A624" i="16" s="1"/>
  <c r="A625" i="16" s="1"/>
  <c r="A626" i="16" s="1"/>
  <c r="A627" i="16" s="1"/>
  <c r="A630" i="16" s="1"/>
  <c r="A633" i="16" s="1"/>
  <c r="A634" i="16" s="1"/>
  <c r="A635" i="16" s="1"/>
  <c r="A636" i="16" s="1"/>
  <c r="A637" i="16" s="1"/>
  <c r="A638" i="16" s="1"/>
  <c r="A639" i="16" s="1"/>
  <c r="A640" i="16" s="1"/>
  <c r="A641" i="16" s="1"/>
  <c r="A642" i="16" s="1"/>
  <c r="A643" i="16" s="1"/>
  <c r="A644" i="16" s="1"/>
  <c r="A645" i="16" s="1"/>
  <c r="A646" i="16" s="1"/>
  <c r="A647" i="16" s="1"/>
  <c r="A648" i="16" s="1"/>
  <c r="A649" i="16" s="1"/>
  <c r="A650" i="16" s="1"/>
  <c r="A651" i="16" s="1"/>
  <c r="A652" i="16" s="1"/>
  <c r="A653" i="16" s="1"/>
  <c r="A654" i="16" s="1"/>
  <c r="A655" i="16" s="1"/>
  <c r="A656" i="16" s="1"/>
  <c r="A657" i="16" s="1"/>
  <c r="A660" i="16" s="1"/>
  <c r="A661" i="16" s="1"/>
  <c r="A662" i="16" s="1"/>
  <c r="A663" i="16" s="1"/>
  <c r="A664" i="16" s="1"/>
  <c r="A665" i="16" s="1"/>
  <c r="A666" i="16" s="1"/>
  <c r="A667" i="16" s="1"/>
  <c r="A668" i="16" s="1"/>
  <c r="A669" i="16" s="1"/>
  <c r="A670" i="16" s="1"/>
  <c r="A671" i="16" s="1"/>
  <c r="A672" i="16" s="1"/>
  <c r="A673" i="16" s="1"/>
  <c r="A674" i="16" s="1"/>
  <c r="A675" i="16" s="1"/>
  <c r="A676" i="16" s="1"/>
  <c r="A679" i="16" s="1"/>
  <c r="A680" i="16" s="1"/>
  <c r="A681" i="16" s="1"/>
  <c r="A682" i="16" s="1"/>
  <c r="A683" i="16" s="1"/>
  <c r="A684" i="16" s="1"/>
  <c r="A685" i="16" s="1"/>
  <c r="A686" i="16" s="1"/>
  <c r="A687" i="16" s="1"/>
  <c r="A688" i="16" s="1"/>
  <c r="A689" i="16" s="1"/>
  <c r="A690" i="16" s="1"/>
  <c r="A691" i="16" s="1"/>
  <c r="A692" i="16" s="1"/>
  <c r="A693" i="16" s="1"/>
  <c r="A694" i="16" s="1"/>
  <c r="A695" i="16" s="1"/>
  <c r="A696" i="16" s="1"/>
  <c r="A697" i="16" s="1"/>
  <c r="A698" i="16" s="1"/>
  <c r="A699" i="16" s="1"/>
  <c r="A700" i="16" s="1"/>
  <c r="A701" i="16" s="1"/>
  <c r="A702" i="16" s="1"/>
  <c r="A703" i="16" s="1"/>
  <c r="A704" i="16" s="1"/>
  <c r="A705" i="16" s="1"/>
  <c r="A706" i="16" s="1"/>
  <c r="A707" i="16" s="1"/>
  <c r="A708" i="16" s="1"/>
  <c r="A709" i="16" s="1"/>
  <c r="A710" i="16" s="1"/>
  <c r="A711" i="16" s="1"/>
  <c r="A712" i="16" s="1"/>
  <c r="A713" i="16" s="1"/>
  <c r="A714" i="16" s="1"/>
  <c r="A715" i="16" s="1"/>
  <c r="A716" i="16" s="1"/>
  <c r="A717" i="16" s="1"/>
  <c r="A718" i="16" s="1"/>
  <c r="A719" i="16" s="1"/>
  <c r="A720" i="16" s="1"/>
  <c r="A721" i="16" s="1"/>
  <c r="A722" i="16" s="1"/>
  <c r="A723" i="16" s="1"/>
  <c r="A724" i="16" s="1"/>
  <c r="A725" i="16" s="1"/>
  <c r="A726" i="16" s="1"/>
  <c r="A727" i="16" s="1"/>
  <c r="A728" i="16" s="1"/>
  <c r="A729" i="16" s="1"/>
  <c r="A730" i="16" s="1"/>
  <c r="A731" i="16" s="1"/>
  <c r="A732" i="16" s="1"/>
  <c r="A735" i="16" s="1"/>
  <c r="A736" i="16" s="1"/>
  <c r="A737" i="16" s="1"/>
  <c r="A738" i="16" s="1"/>
  <c r="A741" i="16" s="1"/>
  <c r="A742" i="16" s="1"/>
  <c r="A743" i="16" s="1"/>
  <c r="A744" i="16" s="1"/>
  <c r="A745" i="16" s="1"/>
  <c r="A748" i="16" s="1"/>
  <c r="A751" i="16" s="1"/>
  <c r="A756" i="16" s="1"/>
  <c r="A757" i="16" s="1"/>
  <c r="A758" i="16" s="1"/>
  <c r="A759" i="16" s="1"/>
  <c r="A760" i="16" s="1"/>
  <c r="A761" i="16" s="1"/>
  <c r="A762" i="16" s="1"/>
  <c r="A763" i="16" s="1"/>
  <c r="A764" i="16" s="1"/>
  <c r="A765" i="16" s="1"/>
  <c r="A768" i="16" s="1"/>
  <c r="A769" i="16" s="1"/>
  <c r="A770" i="16" s="1"/>
  <c r="A771" i="16" s="1"/>
  <c r="A772" i="16" s="1"/>
  <c r="A773" i="16" s="1"/>
  <c r="A774" i="16" s="1"/>
  <c r="A775" i="16" s="1"/>
  <c r="A776" i="16" s="1"/>
  <c r="A777" i="16" s="1"/>
  <c r="A778" i="16" s="1"/>
  <c r="A779" i="16" s="1"/>
  <c r="A780" i="16" s="1"/>
  <c r="A781" i="16" s="1"/>
  <c r="A782" i="16" s="1"/>
  <c r="A785" i="16" s="1"/>
  <c r="A786" i="16" s="1"/>
  <c r="A787" i="16" s="1"/>
  <c r="A788" i="16" s="1"/>
  <c r="A789" i="16" s="1"/>
  <c r="A790" i="16" s="1"/>
  <c r="A791" i="16" s="1"/>
  <c r="A792" i="16" s="1"/>
  <c r="A793" i="16" s="1"/>
  <c r="A794" i="16" s="1"/>
  <c r="A795" i="16" s="1"/>
  <c r="A796" i="16" s="1"/>
  <c r="A797" i="16" s="1"/>
  <c r="A798" i="16" s="1"/>
  <c r="A799" i="16" s="1"/>
  <c r="A800" i="16" s="1"/>
  <c r="A801" i="16" s="1"/>
  <c r="A802" i="16" s="1"/>
  <c r="A805" i="16" s="1"/>
  <c r="A806" i="16" s="1"/>
  <c r="A807" i="16" s="1"/>
  <c r="A808" i="16" s="1"/>
  <c r="A809" i="16" s="1"/>
  <c r="A810" i="16" s="1"/>
  <c r="A811" i="16" s="1"/>
  <c r="A812" i="16" s="1"/>
  <c r="A817" i="16" s="1"/>
</calcChain>
</file>

<file path=xl/sharedStrings.xml><?xml version="1.0" encoding="utf-8"?>
<sst xmlns="http://schemas.openxmlformats.org/spreadsheetml/2006/main" count="1414" uniqueCount="698">
  <si>
    <t>DESCRIPTION</t>
  </si>
  <si>
    <t>SUB TOTAL</t>
  </si>
  <si>
    <t>SR #</t>
  </si>
  <si>
    <t>QUANTITY</t>
  </si>
  <si>
    <t>WASTAGE
(10%)</t>
  </si>
  <si>
    <t>QTY WITH
WASTAGE</t>
  </si>
  <si>
    <t>UNIT OF
MEASURMENT</t>
  </si>
  <si>
    <t>TOTAL ITEM
COST</t>
  </si>
  <si>
    <t>TOTAL TRADE
COST</t>
  </si>
  <si>
    <t>TOTAL BID</t>
  </si>
  <si>
    <t>OVERHEAD &amp; PROFIT (25%)</t>
  </si>
  <si>
    <t>CSI SECT</t>
  </si>
  <si>
    <t>METALS</t>
  </si>
  <si>
    <t>DIV. 05</t>
  </si>
  <si>
    <t>DIV. 01</t>
  </si>
  <si>
    <t>GENERAL CONDITIONS</t>
  </si>
  <si>
    <t>LS</t>
  </si>
  <si>
    <t>Permits Documentation And Fees</t>
  </si>
  <si>
    <t>Hazardous Waste Or Disposal Work</t>
  </si>
  <si>
    <t>Owner Purchased, Contractor Installed Items</t>
  </si>
  <si>
    <t>Contractors Use Of New And Existing Facilities</t>
  </si>
  <si>
    <t>Correction Of Unsatisfactory Conditions</t>
  </si>
  <si>
    <t>Restoration Of Unit Damaged During Installation</t>
  </si>
  <si>
    <t xml:space="preserve">Replacement Of Units Which Cannot Be Restored </t>
  </si>
  <si>
    <t>Signage</t>
  </si>
  <si>
    <t>Supervisory Personnel</t>
  </si>
  <si>
    <t/>
  </si>
  <si>
    <t>Temporary Services</t>
  </si>
  <si>
    <t>Water</t>
  </si>
  <si>
    <t>Lighting And Power</t>
  </si>
  <si>
    <t>Toilet Facilities</t>
  </si>
  <si>
    <t>Material Storage</t>
  </si>
  <si>
    <t>Contractor's Safety Program</t>
  </si>
  <si>
    <t>SF</t>
  </si>
  <si>
    <t>LF</t>
  </si>
  <si>
    <t>Maintaining Existing Construction In Weather High Conditions</t>
  </si>
  <si>
    <t>DIV. 03</t>
  </si>
  <si>
    <t>CONCRETE</t>
  </si>
  <si>
    <t>CY</t>
  </si>
  <si>
    <t>NOTE :</t>
  </si>
  <si>
    <t>1. WE ALWAYS USE MARKET AND GENERAL PRICES, WE ENCOURAGE OUR CLIENTS TO PUT THEIR OWN PRICES AS OUR SHEET IS FORMULATED.</t>
  </si>
  <si>
    <t>2. WHERE INFO IS MISSING, SOLID ASSUMPTIONS HAVE TAKEN.</t>
  </si>
  <si>
    <t>CONCRETE SLAB</t>
  </si>
  <si>
    <t>STEEL COLUMNS</t>
  </si>
  <si>
    <t>STEEL BEAMS</t>
  </si>
  <si>
    <t>DIV. 31</t>
  </si>
  <si>
    <t>EARTHWORKS</t>
  </si>
  <si>
    <t>EXCAVATION</t>
  </si>
  <si>
    <t>DIV. 07</t>
  </si>
  <si>
    <t>THERMAL &amp; MOISTURE PROTECTION</t>
  </si>
  <si>
    <t>EA</t>
  </si>
  <si>
    <t>DIV. 23</t>
  </si>
  <si>
    <t>MECHANICAL</t>
  </si>
  <si>
    <t>DIV. 02</t>
  </si>
  <si>
    <t>EXISTING CONDITIONS</t>
  </si>
  <si>
    <t xml:space="preserve">HRB-2N1,PRHR042A, Volts 208/230, Phase 1,  60 Hz </t>
  </si>
  <si>
    <t xml:space="preserve">HRB-2N2,PRHR042A, Volts 208/230, Phase 1,  60 Hz </t>
  </si>
  <si>
    <t xml:space="preserve">HRB-2N3,PRHR042A, Volts 208/230, Phase 1,  60 Hz </t>
  </si>
  <si>
    <t xml:space="preserve">HRB-2S1,PRHR032A, Volts 208/230, Phase 1,  60 Hz </t>
  </si>
  <si>
    <t xml:space="preserve">HRB-2S2,PRHR042A, Volts 208/230, Phase 1,  60 Hz </t>
  </si>
  <si>
    <t xml:space="preserve">HRB-2S3,PRHR042A, Volts 208/230, Phase 1,  60 Hz </t>
  </si>
  <si>
    <t xml:space="preserve">HRB-2S4,PRHR042A, Volts 208/230, Phase 1,  60 Hz </t>
  </si>
  <si>
    <t xml:space="preserve">HRB-3N1,PRHR042A, Volts 208/230, Phase 1,  60 Hz </t>
  </si>
  <si>
    <t xml:space="preserve">HRB-3N2,PRHR042A, Volts 208/230, Phase 1,  60 Hz </t>
  </si>
  <si>
    <t xml:space="preserve">HRB-3N3,PRHR042A, Volts 208/230, Phase 1,  60 Hz </t>
  </si>
  <si>
    <t xml:space="preserve">HRB-3S1,PRHR032A, Volts 208/230, Phase 1,  60 Hz </t>
  </si>
  <si>
    <t xml:space="preserve">HRB-3S2,PRHR042A, Volts 208/230, Phase 1,  60 Hz </t>
  </si>
  <si>
    <t xml:space="preserve">HRB-3S3,PRHR042A, Volts 208/230, Phase 1,  60 Hz </t>
  </si>
  <si>
    <t xml:space="preserve">HRB-3S4,PRHR042A, Volts 208/230, Phase 1,  60 Hz </t>
  </si>
  <si>
    <t xml:space="preserve">HRB-4N1,PRHR042A, Volts 208/230, Phase 1,  60 Hz </t>
  </si>
  <si>
    <t xml:space="preserve">HRB-4N2,PRHR042A, Volts 208/230, Phase 1,  60 Hz </t>
  </si>
  <si>
    <t xml:space="preserve">HRB-4N3,PRHR042A, Volts 208/230, Phase 1,  60 Hz </t>
  </si>
  <si>
    <t xml:space="preserve">HRB-4S1,PRHR032A, Volts 208/230, Phase 1,  60 Hz </t>
  </si>
  <si>
    <t xml:space="preserve">HRB-4S2,PRHR042A, Volts 208/230, Phase 1,  60 Hz </t>
  </si>
  <si>
    <t xml:space="preserve">HRB-4S3,PRHR042A, Volts 208/230, Phase 1,  60 Hz </t>
  </si>
  <si>
    <t xml:space="preserve">HRB-4S4,PRHR042A, Volts 208/230, Phase 1,  60 Hz </t>
  </si>
  <si>
    <t xml:space="preserve">HRB-5N1,PRHR042A, Volts 208/230, Phase 1,  60 Hz </t>
  </si>
  <si>
    <t xml:space="preserve">HRB-5N2,PRHR042A, Volts 208/230, Phase 1,  60 Hz </t>
  </si>
  <si>
    <t xml:space="preserve">HRB-5N3,PRHR042A, Volts 208/230, Phase 1,  60 Hz </t>
  </si>
  <si>
    <t xml:space="preserve">HRB-5S1,PRHR032A, Volts 208/230, Phase 1,  60 Hz </t>
  </si>
  <si>
    <t xml:space="preserve">HRB-5S2,PRHR042A, Volts 208/230, Phase 1,  60 Hz </t>
  </si>
  <si>
    <t xml:space="preserve">HRB-5S3,PRHR042A, Volts 208/230, Phase 1,  60 Hz </t>
  </si>
  <si>
    <t xml:space="preserve">HRB-5S4,PRHR042A, Volts 208/230, Phase 1,  60 Hz </t>
  </si>
  <si>
    <t xml:space="preserve">HRB-6N1,PRHR042A, Volts 208/230, Phase 1,  60 Hz </t>
  </si>
  <si>
    <t xml:space="preserve">HRB-6N2,PRHR042A, Volts 208/230, Phase 1,  60 Hz </t>
  </si>
  <si>
    <t xml:space="preserve">HRB-6N3,PRHR042A, Volts 208/230, Phase 1,  60 Hz </t>
  </si>
  <si>
    <t xml:space="preserve">HRB-6S1,PRHR032A, Volts 208/230, Phase 1,  60 Hz </t>
  </si>
  <si>
    <t xml:space="preserve">HRB-6S2,PRHR042A, Volts 208/230, Phase 1,  60 Hz </t>
  </si>
  <si>
    <t xml:space="preserve">HRB-6S3,PRHR042A, Volts 208/230, Phase 1,  60 Hz </t>
  </si>
  <si>
    <t xml:space="preserve">HRB-6S4,PRHR042A, Volts 208/230, Phase 1,  60 Hz </t>
  </si>
  <si>
    <t xml:space="preserve">HRB-7N1,PRHR042A, Volts 208/230, Phase 1,  60 Hz </t>
  </si>
  <si>
    <t xml:space="preserve">HRB-7N2,PRHR042A, Volts 208/230, Phase 1,  60 Hz </t>
  </si>
  <si>
    <t xml:space="preserve">HRB-7N3,PRHR042A, Volts 208/230, Phase 1,  60 Hz </t>
  </si>
  <si>
    <t xml:space="preserve">HRB-7S1,PRHR032A, Volts 208/230, Phase 1,  60 Hz </t>
  </si>
  <si>
    <t xml:space="preserve">HRB-7S2,PRHR042A, Volts 208/230, Phase 1,  60 Hz </t>
  </si>
  <si>
    <t xml:space="preserve">HRB-7S3,PRHR042A, Volts 208/230, Phase 1,  60 Hz </t>
  </si>
  <si>
    <t xml:space="preserve">HRB-7S4,PRHR042A, Volts 208/230, Phase 1,  60 Hz </t>
  </si>
  <si>
    <t xml:space="preserve">HRB-8N1,PRHR042A, Volts 208/230, Phase 1,  60 Hz </t>
  </si>
  <si>
    <t xml:space="preserve">HRB-8N2,PRHR042A, Volts 208/230, Phase 1,  60 Hz </t>
  </si>
  <si>
    <t xml:space="preserve">HRB-8N3,PRHR042A, Volts 208/230, Phase 1,  60 Hz </t>
  </si>
  <si>
    <t xml:space="preserve">HRB-8S1,PRHR032A, Volts 208/230, Phase 1,  60 Hz </t>
  </si>
  <si>
    <t xml:space="preserve">HRB-8S2,PRHR042A, Volts 208/230, Phase 1,  60 Hz </t>
  </si>
  <si>
    <t xml:space="preserve">HRB-8S3,PRHR042A, Volts 208/230, Phase 1,  60 Hz </t>
  </si>
  <si>
    <t xml:space="preserve">HRB-8S4,PRHR042A, Volts 208/230, Phase 1,  60 Hz </t>
  </si>
  <si>
    <t xml:space="preserve">HRB-G1,PRHR032A, Volts 208/230, Phase 1,  60 Hz </t>
  </si>
  <si>
    <t xml:space="preserve">HRB-G2,PRHR022A, Volts 208/230, Phase 1,  60 Hz </t>
  </si>
  <si>
    <t xml:space="preserve">HRB-MN1,PRHR042A, Volts 208/230, Phase 1,  60 Hz </t>
  </si>
  <si>
    <t xml:space="preserve">HRB-MS1,PRHR042A, Volts 208/230, Phase 1,  60 Hz </t>
  </si>
  <si>
    <t xml:space="preserve">HRB-MS2,PRHR022A, Volts 208/230, Phase 1,  60 Hz </t>
  </si>
  <si>
    <t xml:space="preserve">10 x 10 Duct </t>
  </si>
  <si>
    <t xml:space="preserve">16 x 10 Duct </t>
  </si>
  <si>
    <t xml:space="preserve">4 x 4 Duct </t>
  </si>
  <si>
    <t xml:space="preserve">6 x 6 Duct </t>
  </si>
  <si>
    <t xml:space="preserve">10 x 6 Duct </t>
  </si>
  <si>
    <t xml:space="preserve">12 x 10 Duct </t>
  </si>
  <si>
    <t xml:space="preserve">12 x 12 Duct </t>
  </si>
  <si>
    <t xml:space="preserve">18 x 10 Duct </t>
  </si>
  <si>
    <t xml:space="preserve">18 x 12 Duct </t>
  </si>
  <si>
    <t xml:space="preserve">20 x 12 Duct </t>
  </si>
  <si>
    <t xml:space="preserve">28 x 12 Duct </t>
  </si>
  <si>
    <t>34 x 12 Duct</t>
  </si>
  <si>
    <t xml:space="preserve">8  x 10 Duct </t>
  </si>
  <si>
    <t>8 x 8 Duct</t>
  </si>
  <si>
    <t xml:space="preserve">12 x 16 Duct </t>
  </si>
  <si>
    <t xml:space="preserve">12 x 6 Duct </t>
  </si>
  <si>
    <t xml:space="preserve">12 x 8 Duct </t>
  </si>
  <si>
    <t xml:space="preserve">14 x 10 Duct </t>
  </si>
  <si>
    <t xml:space="preserve">14 x 6 Duct </t>
  </si>
  <si>
    <t xml:space="preserve">14 x 8 Duct </t>
  </si>
  <si>
    <t xml:space="preserve">16 x 8 Duct </t>
  </si>
  <si>
    <t xml:space="preserve">20 x 10 Duct </t>
  </si>
  <si>
    <t xml:space="preserve">22 x 10 Duct </t>
  </si>
  <si>
    <t xml:space="preserve">24 x 10 Duct </t>
  </si>
  <si>
    <t xml:space="preserve">24 x 12 Duct </t>
  </si>
  <si>
    <t xml:space="preserve">24 x 8 Duct </t>
  </si>
  <si>
    <t xml:space="preserve">26 x 26 Duct </t>
  </si>
  <si>
    <t xml:space="preserve">28 x 10 Duct </t>
  </si>
  <si>
    <t xml:space="preserve">28 x 14 Duct </t>
  </si>
  <si>
    <t xml:space="preserve">30 x 10 Duct </t>
  </si>
  <si>
    <t xml:space="preserve">32 x 12 Duct </t>
  </si>
  <si>
    <t xml:space="preserve">34 x 10 Duct </t>
  </si>
  <si>
    <t xml:space="preserve">48 x 12 Duct </t>
  </si>
  <si>
    <t xml:space="preserve">8 x 6 Duct </t>
  </si>
  <si>
    <t xml:space="preserve">8 x 8 Duct </t>
  </si>
  <si>
    <t xml:space="preserve">3" Fuel Oil Return Pipe </t>
  </si>
  <si>
    <t xml:space="preserve">3" Fuel Oil Supply Pipe </t>
  </si>
  <si>
    <t xml:space="preserve">18x18 Fuel Oil Fill Box </t>
  </si>
  <si>
    <t>TR-A, 310 CFM,Model-300RL 24"x6", Manufacturer-Titus</t>
  </si>
  <si>
    <t>TR-A, 230 CFM, Model-300RL 24"x6", Manufacturer-Titus</t>
  </si>
  <si>
    <t>TR-A, 250 CFM,Model-300RL 24"x6", Manufacturer-Titus</t>
  </si>
  <si>
    <t>TR-A, 360 CFM,Model-300RL 24"x6", Manufacturer-Titus</t>
  </si>
  <si>
    <t>TR-B, 450 CFM,Model-300RL 30"x6", Manufacturer-Titus</t>
  </si>
  <si>
    <t>TR-C, 570 CFM ,Model-300RL 36"x6", Manufacturer-Titus</t>
  </si>
  <si>
    <t>TR-C, 570 CFM, Model-300RL 36"x6", Manufacturer-Titus</t>
  </si>
  <si>
    <t>SG-A, 25 CFM,Supply, 18x8, Model-Titus-300RL</t>
  </si>
  <si>
    <t>SG-A, 50 CFM ,Supply, 18x8, Model-Titus-300RL</t>
  </si>
  <si>
    <t>SG-SP, 100 CFM ,Supply, 16x20, Model-Titus-300RL</t>
  </si>
  <si>
    <t>SG-SP, 1000 CFM,Supply, 16x20, Model-Titus-300RL</t>
  </si>
  <si>
    <t>RG-1, 500 CFM, Return, 20x14, Model-Titus-355RL</t>
  </si>
  <si>
    <t>RG-1, 25CFM, Return, 20x14, Model-Titus-355RL</t>
  </si>
  <si>
    <t>EG-1, 50 CFM, Exhaust, 8x8, Model-Titus-355RL</t>
  </si>
  <si>
    <t>EG-1, 70 CFM,Exhaust, 8x8, Model-Titus-355RL</t>
  </si>
  <si>
    <t>EG-2, 105 CFM,Exhaust, 12x8, Model-Titus-355RL</t>
  </si>
  <si>
    <t>EFMH, 300W, 120 V, 60 Hz , Manufacteurer- NU HEAT</t>
  </si>
  <si>
    <t>LD-CT-1, 50 CFM, Supply, Model-Titus/FL-15</t>
  </si>
  <si>
    <t>LD-LF-1,250 CFM,Supply, Model-Titus/FL-15</t>
  </si>
  <si>
    <t>LD-CT-1,200 CFM, Supply, Model-Titus/FL-15</t>
  </si>
  <si>
    <t>LD-CT-2,300 CFM,Supply, Model-Titus/FL-25</t>
  </si>
  <si>
    <t>LD-FL-1, 200 CFM,Supply, Model-Titus/FL-10</t>
  </si>
  <si>
    <t>LD-FL-2, 1600 CFM,Supply, Model-Titus/FL-20</t>
  </si>
  <si>
    <t>LD-FL-2, 320 CFM,Supply, Model-Titus/FL-20</t>
  </si>
  <si>
    <t>LD-FL-2, 480 CFM,Supply, Model-Titus/FL-20</t>
  </si>
  <si>
    <t>LD-FL-3, 600 CFM,Supply, Model-Titus/FL-30</t>
  </si>
  <si>
    <t>EUH-1, 350 CFM, 5 KW, 208 V, 60 HZ, Model-MUH0521, Manufacturer Marley/Qmark</t>
  </si>
  <si>
    <t>EUH-2,350 CFM, 3 KW, 208 V, 60 HZ, Model-MUH0381, Manufacturer Marley/Qmark</t>
  </si>
  <si>
    <t>EUH-3,350 CFM, 1.8 KW, 208 V, 60 HZ, Model-SSAR1802, Manufacturer Marley/Qmark</t>
  </si>
  <si>
    <t>CD-A, 50 CFM, 24x24, Manufacturer-Titus, Model-Omni</t>
  </si>
  <si>
    <t>CD-B, 125 CFM , 24x24, Manufacturer-Titus, Model-Omni</t>
  </si>
  <si>
    <t>CD-D, 275 CFM , 24x24, Manufacturer-Titus, Model-Omni</t>
  </si>
  <si>
    <t>CD-E, 400 CFM , 24x24, Manufacturer-Titus, Model-Omni</t>
  </si>
  <si>
    <t>CD-F, 600 CFM , 24x24, Manufacturer-Titus, Model-Omni</t>
  </si>
  <si>
    <t xml:space="preserve">Make Up Air Louver-18 Gross SQFT MIN </t>
  </si>
  <si>
    <t xml:space="preserve">Make Up Air Louver-9 Gross SQFT MIN </t>
  </si>
  <si>
    <t>Exhaust Louver-12 Gross SQFT MIN</t>
  </si>
  <si>
    <t xml:space="preserve">Exhaust Louver-13 Gross SQFT MIN </t>
  </si>
  <si>
    <t xml:space="preserve">Exhaust Louver-9 Gross SQFT MIN </t>
  </si>
  <si>
    <t>Thermostate</t>
  </si>
  <si>
    <t xml:space="preserve">SV-4, 500 CFM </t>
  </si>
  <si>
    <t xml:space="preserve">SV-5, 600 CFM </t>
  </si>
  <si>
    <t>SPLIT AIR COOLED AIR CONDITIONING UNIT SCHEDULE</t>
  </si>
  <si>
    <t>AC-EMR-1A, 2 Ton, 635 CFM, 208 V, 60 Hz, Size- 11-3/8x41-3/8x9</t>
  </si>
  <si>
    <t>AC-EMR-1A.CU, 2 Ton, 635 CFM, 208 V, 60 Hz, Size- 11-3/8x41-3/8x9</t>
  </si>
  <si>
    <t>AC-EMR-1B, 2 Ton, 635 CFM, 208 V, 60 Hz, Size- 11-3/8x41-3/8x9</t>
  </si>
  <si>
    <t>AC-EMR-1B.CU, 2 Ton, 635 CFM, 208 V, 60 Hz, Size- 11-3/8x41-3/8x9</t>
  </si>
  <si>
    <t>AC-EMR-2.CU, 2 Ton, 635 CFM, 208 V, 60 Hz, Size- 11-3/8x41-3/8x9</t>
  </si>
  <si>
    <t>FUEL OIL STORAGE TANK SCHEDULE</t>
  </si>
  <si>
    <t>FOT-1: 650 Gallon, Model-Cardinal Dwnyc650jh-cyl</t>
  </si>
  <si>
    <t>BB-6: 6 KW, 208V, 60 HZ, 12"x8'x4", Weight 60 LB, Medel-AS12F860</t>
  </si>
  <si>
    <t>EFMH, 600W,120 V, 60 Hz , Manufacteurer- NU HEAT</t>
  </si>
  <si>
    <t>EFMH, 900W,120 V, 60 Hz , Manufacteurer- NU HEAT</t>
  </si>
  <si>
    <t>LOUVERS</t>
  </si>
  <si>
    <t>SV-1, 100 CFM</t>
  </si>
  <si>
    <t>SV-2, 260 CFM</t>
  </si>
  <si>
    <t xml:space="preserve">W10x100 </t>
  </si>
  <si>
    <t xml:space="preserve">W10x112 </t>
  </si>
  <si>
    <t xml:space="preserve">W10x39 </t>
  </si>
  <si>
    <t xml:space="preserve">W10x45 </t>
  </si>
  <si>
    <t xml:space="preserve">W10x49 </t>
  </si>
  <si>
    <t xml:space="preserve">W10x54 </t>
  </si>
  <si>
    <t>W10x60</t>
  </si>
  <si>
    <t xml:space="preserve">W10x68 </t>
  </si>
  <si>
    <t xml:space="preserve">W10x77 </t>
  </si>
  <si>
    <t xml:space="preserve">W10x88 </t>
  </si>
  <si>
    <t xml:space="preserve">W12x120 </t>
  </si>
  <si>
    <t xml:space="preserve">W12x136 </t>
  </si>
  <si>
    <t xml:space="preserve">W12x152 </t>
  </si>
  <si>
    <t xml:space="preserve">W12x170 </t>
  </si>
  <si>
    <t xml:space="preserve">Truss #1: HSS10x8x1/2 </t>
  </si>
  <si>
    <t>Truss #10: HSS8x8x1/2</t>
  </si>
  <si>
    <t xml:space="preserve">Truss #11: HSS8x8x1/2 </t>
  </si>
  <si>
    <t>Truss #2: HSS12x8x1/2</t>
  </si>
  <si>
    <t xml:space="preserve">Truss #2: HSS8x8x1/2 </t>
  </si>
  <si>
    <t xml:space="preserve">Truss #3: HSS8x8x1/2 </t>
  </si>
  <si>
    <t xml:space="preserve">Truss #4: HSS12x6x1/2 </t>
  </si>
  <si>
    <t>Truss #4: HSS12x6x3/8</t>
  </si>
  <si>
    <t xml:space="preserve">Truss #5: HSS10x8x1/2 </t>
  </si>
  <si>
    <t xml:space="preserve">Truss #5: HSS8x8x1/2 </t>
  </si>
  <si>
    <t>Truss #6: HSS8x8x1/2</t>
  </si>
  <si>
    <t xml:space="preserve">Truss #6: HSS8x8x3/8 </t>
  </si>
  <si>
    <t xml:space="preserve">Truss #7: HSS8x8x1/2 </t>
  </si>
  <si>
    <t>Truss #8: HSS8x8x1/2</t>
  </si>
  <si>
    <t xml:space="preserve">Truss #8: HSS8x8x3/8 </t>
  </si>
  <si>
    <t xml:space="preserve">Truss #9: HSS12x6x1/2 </t>
  </si>
  <si>
    <t xml:space="preserve">Truss #9: HSS12x6x3/8 </t>
  </si>
  <si>
    <t>STEEL TRUSSES</t>
  </si>
  <si>
    <t xml:space="preserve">W12x16 </t>
  </si>
  <si>
    <t xml:space="preserve">W12x19 </t>
  </si>
  <si>
    <t xml:space="preserve">W12x22 </t>
  </si>
  <si>
    <t>W12x26</t>
  </si>
  <si>
    <t xml:space="preserve">W12x30 </t>
  </si>
  <si>
    <t xml:space="preserve">W12x35 </t>
  </si>
  <si>
    <t>W12x38</t>
  </si>
  <si>
    <t>W12x40</t>
  </si>
  <si>
    <t xml:space="preserve">W12x45 </t>
  </si>
  <si>
    <t xml:space="preserve">W12x50 </t>
  </si>
  <si>
    <t xml:space="preserve">W12x53 </t>
  </si>
  <si>
    <t xml:space="preserve">W12x58 </t>
  </si>
  <si>
    <t xml:space="preserve">W14X22 </t>
  </si>
  <si>
    <t xml:space="preserve">W14X30 </t>
  </si>
  <si>
    <t xml:space="preserve">W16X31 </t>
  </si>
  <si>
    <t xml:space="preserve">W16x36 </t>
  </si>
  <si>
    <t xml:space="preserve">W16x40 </t>
  </si>
  <si>
    <t xml:space="preserve">W16x45 </t>
  </si>
  <si>
    <t xml:space="preserve">W16x50 </t>
  </si>
  <si>
    <t xml:space="preserve">W16x57 </t>
  </si>
  <si>
    <t xml:space="preserve">W16x67 </t>
  </si>
  <si>
    <t xml:space="preserve">W16x77 </t>
  </si>
  <si>
    <t xml:space="preserve">W16x89 </t>
  </si>
  <si>
    <t xml:space="preserve">W18x40 </t>
  </si>
  <si>
    <t xml:space="preserve">W18x60 </t>
  </si>
  <si>
    <t xml:space="preserve">W18x76 </t>
  </si>
  <si>
    <t xml:space="preserve">W21x111 </t>
  </si>
  <si>
    <t xml:space="preserve">W21x44 </t>
  </si>
  <si>
    <t xml:space="preserve">W21x50 </t>
  </si>
  <si>
    <t xml:space="preserve">W21x55 </t>
  </si>
  <si>
    <t xml:space="preserve">W24x62 </t>
  </si>
  <si>
    <t xml:space="preserve">W24x68 </t>
  </si>
  <si>
    <t xml:space="preserve">W24x76 </t>
  </si>
  <si>
    <t xml:space="preserve">W24x84 </t>
  </si>
  <si>
    <t xml:space="preserve">W24x94 </t>
  </si>
  <si>
    <t xml:space="preserve">W30x90 </t>
  </si>
  <si>
    <t xml:space="preserve">W8x13 </t>
  </si>
  <si>
    <t xml:space="preserve">W8x18 </t>
  </si>
  <si>
    <t xml:space="preserve">W8x31 </t>
  </si>
  <si>
    <t xml:space="preserve">WT12x38 </t>
  </si>
  <si>
    <t xml:space="preserve">WT8x20 </t>
  </si>
  <si>
    <t>METAL DECK</t>
  </si>
  <si>
    <t xml:space="preserve">2-1/2" 4000 PSI Light Weight Concrete Topping Reinforced With 6x6-W2xW2 WWF </t>
  </si>
  <si>
    <t xml:space="preserve">1.5" Deep Metal Deck 20 Gage Galvanized </t>
  </si>
  <si>
    <t>6-1/2" 4000 PSI Light Weight Concrete Topping Reinforced With #4 @ 12" O.C. Top &amp; Bottom Each Way</t>
  </si>
  <si>
    <t>FOUNDATION CONCRETE</t>
  </si>
  <si>
    <t>6" Thick Slab On Grade Reinforced With #4@16" O/C,</t>
  </si>
  <si>
    <t>CONCRETE WALL</t>
  </si>
  <si>
    <t>12" Thick Foundation Wall W/ #5 @ 12" O.C. Horizontal Each Face, #6@ 12" O.C. Vertical Each Face</t>
  </si>
  <si>
    <t>Formwork For Foundation Concrete Mat</t>
  </si>
  <si>
    <t>Formwork For Concrete Wall</t>
  </si>
  <si>
    <t xml:space="preserve">Excavation </t>
  </si>
  <si>
    <t xml:space="preserve">AC-09,Total Cooling 9600 BTU/h, Model-ARNU093L1G4, Type-Duct_Low_Static  , Cooling DB 76, Cooling WB 65, Heating DB 68, Volts 208-230 V, Phase 1Ph, HZ 60Hz,  </t>
  </si>
  <si>
    <t xml:space="preserve">AC-07,Total Cooling 7500 BTU/h, Model-ARNU073L1G4, Type-Duct_Low_Static  , Cooling DB 76, Cooling WB 65, Heating DB 68, Volts 208-230 V, Phase 1Ph, HZ 60Hz,  </t>
  </si>
  <si>
    <t xml:space="preserve">AC-12,Total Cooling 12300 BTU/h, Model-ARNU123L2G4, Type-Duct_Low_Static  , Cooling DB 76, Cooling WB 65, Heating DB 68, Volts 208-230 V, Phase 1Ph, HZ 60Hz,  </t>
  </si>
  <si>
    <t xml:space="preserve">AC-15,Total Cooling 15400 BTU/h,Model-ARNU153L2G4, Type-Duct_Low_Static  , Cooling DB 76, Cooling WB 65, Heating DB 68, Volts 208-230 V, Phase 1Ph, HZ 60Hz,  </t>
  </si>
  <si>
    <t xml:space="preserve">AC-18,Total Cooling 19100 BTU/h, Model-ARNU183L2G4, Type-Duct_Low_Static  , Cooling DB 76, Cooling WB 65, Heating DB 68, Volts 208-230 V, Phase 1Ph, HZ 60Hz,  </t>
  </si>
  <si>
    <t xml:space="preserve">AC-18X,Total Cooling 19100 BTU/h, Model-ARNU183BHA4, Type-Duct_Low_Static  , Cooling DB 76, Cooling WB 65, Heating DB 68, Volts 208-230 V, Phase 1Ph, HZ 60Hz,  </t>
  </si>
  <si>
    <t xml:space="preserve">AC-24,Total Cooling 24000 BTU/h, Model-ARNU243L3G4, Type-Duct_Low_Static  , Cooling DB 76, Cooling WB 65, Heating DB 68, Volts 208-230 V, Phase 1Ph, HZ 60Hz,  </t>
  </si>
  <si>
    <t xml:space="preserve">AC-24X,Total Cooling 24200 BTU/h, Model-ARNU243BHA4, Type-Duct_Low_Static  , Cooling DB 76, Cooling WB 65, Heating DB 68, Volts 208-230 V, Phase 1Ph, HZ 60Hz,  </t>
  </si>
  <si>
    <t xml:space="preserve">AC-B1,Total Cooling 48100 BTU/h, Model-ARNU483BRA4, Type-Duct_Low_Static  , Cooling DB 76, Cooling WB 65, Heating DB 68, Volts 208-230 V, Phase 1Ph, HZ 60Hz, </t>
  </si>
  <si>
    <t xml:space="preserve">AC-B2,Total Cooling 48100 BTU/h, Model-ARNU483BRA4, Type-Duct_Low_Static  , Cooling DB 76, Cooling WB 65, Heating DB 68, Volts 208-230 V, Phase 1Ph, HZ 60Hz, </t>
  </si>
  <si>
    <t xml:space="preserve">AC-BP,Total Cooling 12300 BTU/h, Model-ARNU123BHA4, Type-Duct_Low_Static  , Cooling DB 76, Cooling WB 65, Heating DB 68, Volts 208-230 V, Phase 1Ph, HZ 60Hz,  </t>
  </si>
  <si>
    <t xml:space="preserve">AC-CV,Total Cooling 28000 BTU/h,Model-ARNU283GA4, Type-Duct_Low_Static  , Cooling DB 76, Cooling WB 65, Heating DB 68, Volts 208-230 V, Phase 1Ph, HZ 60Hz,  </t>
  </si>
  <si>
    <t xml:space="preserve">AC-GY,Total Cooling 48100 BTU/h, Model-ARNU483BRA4, Type-Duct_Low_Static  , Cooling DB 76, Cooling WB 65, Heating DB 68, Volts 208-230 V, Phase 1Ph, HZ 60Hz,  </t>
  </si>
  <si>
    <t xml:space="preserve">AC-L1,Total Cooling 54000 BTU/h, Model-ARNU543BRA4, Type-Duct_Low_Static  , Cooling DB 76, Cooling WB 65, Heating DB 68, Volts 208-230 V, Phase 1Ph, HZ 60Hz,  </t>
  </si>
  <si>
    <t xml:space="preserve">AC-L2,Total Cooling 54000 BTU/h, Model-ARNU543BRA4, Type-Duct_Low_Static  , Cooling DB 76, Cooling WB 65, Heating DB 68, Volts 208-230 V, Phase 1Ph, HZ 60Hz,  </t>
  </si>
  <si>
    <t xml:space="preserve">AC-L3,Total Cooling 54000 BTU/h, Model-ARNU543BRA4, Type-Duct_Low_Static  , Cooling DB 76, Cooling WB 65, Heating DB 68, Volts 208-230 V, Phase 1Ph, HZ 60Hz,  </t>
  </si>
  <si>
    <t xml:space="preserve">AC-L4,Total Cooling 7500 BTU/h, Model-ARNU073BHA4, Type-Duct_Low_Static  , Cooling DB 76, Cooling WB 65, Heating DB 68, Volts 208-230 V, Phase 1Ph, HZ 60Hz,  </t>
  </si>
  <si>
    <t xml:space="preserve">AC-L5,Total Cooling 19100 BTU/h, Model-ARNU183BHA4, Type-Duct_Low_Static  , Cooling DB 76, Cooling WB 65, Heating DB 68, Volts 208-230 V, Phase 1Ph, HZ 60Hz,  </t>
  </si>
  <si>
    <t xml:space="preserve">AC-LF,Total Cooling 36200 BTU/h,Model-ARNU363GA4, Type-Duct_Low_Static  , Cooling DB 76, Cooling WB 65, Heating DB 68, Volts 208-230 V, Phase 1Ph, HZ 60Hz, </t>
  </si>
  <si>
    <t xml:space="preserve">AC-MN,Total Cooling 36200 BTU/h,Model-ARNU363GA4, Type-Duct_Low_Static  , Cooling DB 76, Cooling WB 65, Heating DB 68, Volts 208-230 V, Phase 1Ph, HZ 60Hz,  </t>
  </si>
  <si>
    <t xml:space="preserve">AC-MS,Total Cooling 36200 BTU/h,Model-ARNU363BGA4, Type-Duct_Low_Static  , Cooling DB 76, Cooling WB 65, Heating DB 68, Volts 208-230 V, Phase 1Ph, HZ 60Hz,  </t>
  </si>
  <si>
    <t xml:space="preserve">AC-R1,Total Cooling 54000 BTU/h, Model-ARNU543BRA4, Type-Duct_Low_Static  , Cooling DB 76, Cooling WB 65, Heating DB 68, Volts 208-230 V, Phase 1Ph, HZ 60Hz,  </t>
  </si>
  <si>
    <t xml:space="preserve">AC-R2,Total Cooling 54000 BTU/h, Model-ARNU543BRA4, Type-Duct_Low_Static  , Cooling DB 76, Cooling WB 65, Heating DB 68, Volts 208-230 V, Phase 1Ph, HZ 60Hz,  </t>
  </si>
  <si>
    <t xml:space="preserve">ERV-N,Total Cooling 115000 BTU/h, Model-PKLK09A0, Type-Duct_Low_Static  , Cooling DB 76, Cooling WB 65, Heating DB 68, Volts 208-230 V, Phase 1Ph, HZ 60Hz,  </t>
  </si>
  <si>
    <t xml:space="preserve">ERV-S,Total Cooling 115000 BTU/h, Model-PKLK09A0, Type-Duct_Low_Static  , Cooling DB 76, Cooling WB 65, Heating DB 68, Volts 208-230 V, Phase 1Ph, HZ 60Hz,  </t>
  </si>
  <si>
    <t xml:space="preserve">ACCU-2N,Total Cooling 120000 BTU/h, Model-ARNU121BTES, Type-Hr_Multi V IV  , Cooling DB 92, Cooling WB 74, Heating DB 5, Volts 208-230 V, Phase 3Ph, HZ 60Hz, </t>
  </si>
  <si>
    <t xml:space="preserve">ACCU-2S,Total Cooling 168000 BTU/h, Model-ARNU168BTES, Type-Hr_Multi V IV  , Cooling DB 92, Cooling WB 74, Heating DB 5, Volts 208-230 V, Phase 3Ph, HZ 60Hz, </t>
  </si>
  <si>
    <t xml:space="preserve">ACCU-3N,Total Cooling 120000 BTU/h, Model-ARNU121BTES, Type-Hr_Multi V IV  , Cooling DB 92, Cooling WB 74, Heating DB 5, Volts 208-230 V, Phase 3Ph, HZ 60Hz, </t>
  </si>
  <si>
    <t xml:space="preserve">ACCU-3S,Total Cooling 168000 BTU/h, Model-ARNU168BTES, Type-Hr_Multi V IV  , Cooling DB 92, Cooling WB 74, Heating DB 5, Volts 208-230 V, Phase 3Ph, HZ 60Hz, </t>
  </si>
  <si>
    <t xml:space="preserve">ACCU-4N,Total Cooling 120000 BTU/h, Model-ARNU121BTES, Type-Hr_Multi V IV  , Cooling DB 92, Cooling WB 74, Heating DB 5, Volts 208-230 V, Phase 3Ph, HZ 60Hz, </t>
  </si>
  <si>
    <t xml:space="preserve">ACCU-7N,otal Cooling 120000 BTU/h, Model-ARNU121BTES, Type-Hr_Multi V IV  , Cooling DB 92, Cooling WB 74, Heating DB 5, Volts 208-230 V, Phase 3Ph, HZ 60Hz, </t>
  </si>
  <si>
    <t xml:space="preserve">ACCU-5N,Total Cooling 120000 BTU/h, Model-ARNU121BTES, Type-Hr_Multi V IV  , Cooling DB 92, Cooling WB 74, Heating DB 5, Volts 208-230 V, Phase 3Ph, HZ 60Hz, </t>
  </si>
  <si>
    <t xml:space="preserve">ACCU-5S,Total Cooling 120000 BTU/h,Model-ARNU168BTES, Type-Hr_Multi V IV  , Cooling DB 92, Cooling WB 74, Heating DB 5, Volts 208-230 V, Phase 3Ph, HZ 60Hz, </t>
  </si>
  <si>
    <t>ACCU-6N,Total Cooling 120000 BTU/h, Model-ARNU121BTES, Type-Hr_Multi V IV  , Cooling DB 92, Cooling WB 74, Heating DB 5, Volts 208-230 V, Phase 3Ph, HZ 60Hz,</t>
  </si>
  <si>
    <t xml:space="preserve">ACCU-6S,Total Cooling 168000 BTU/h, Model-ARNU168BTES, Type-Hr_Multi V IV  , Cooling DB 92, Cooling WB 74, Heating DB 5, Volts 208-230 V, Phase 3Ph, HZ 60Hz, </t>
  </si>
  <si>
    <t xml:space="preserve">ACCU-8N,otal Cooling 144000 BTU/h, Model-ARNU144BTES, Type-Hr_Multi V IV  , Cooling DB 92, Cooling WB 74, Heating DB 5, Volts 208-230 V, Phase 3Ph, HZ 60Hz, </t>
  </si>
  <si>
    <t xml:space="preserve">ACCU-8S,otal Cooling 192000 BTU/h, Model-ARNU192BTES, Type-Hr_Multi V IV  , Cooling DB 92, Cooling WB 74, Heating DB 5, Volts 208-230 V, Phase 3Ph, HZ 60Hz, </t>
  </si>
  <si>
    <t xml:space="preserve">ACCU-ERV,otal Cooling 240000 BTU/h, Model-ARNU241BTES, Type_Multi V IV  , Cooling DB 92, Cooling WB 74, Heating DB 5, Volts 208-230 V, Phase 3Ph, HZ 60Hz, </t>
  </si>
  <si>
    <t xml:space="preserve">ACCU-Ground,otal Cooling 168000 BTU/h, Model-ARNU168BTES, Type-Hr_Multi V IV  , Cooling DB 92, Cooling WB 74, Heating DB 5, Volts 208-230 V, Phase 3Ph, HZ 60Hz, </t>
  </si>
  <si>
    <t xml:space="preserve">ACCU-MEZZN,otal Cooling 192000 BTU/h, Model-ARNU192DTE5, Type-Hr_Multi V IV  , Cooling DB 92, Cooling WB 74, Heating DB 5, Volts 208-230 V, Phase 3Ph, HZ 60Hz, </t>
  </si>
  <si>
    <t xml:space="preserve">ACCU-MEZZS,otal Cooling 192000 BTU/h, Model-ARNU192BTES, Type-Hr_Multi V IV  , Cooling DB 92, Cooling WB 74, Heating DB 5, Volts 208-230 V, Phase 3Ph, HZ 60Hz, </t>
  </si>
  <si>
    <t xml:space="preserve">ACCU-4S,otal Cooling 168000 BTU/h, Model-ARNU168BTES, Type-Hr_Multi V IV  , Cooling DB 92, Cooling WB 74, Heating DB 5, Volts 208-230 V, Phase 3Ph, HZ 60Hz, </t>
  </si>
  <si>
    <t>3'-2" Thick Foundation Concrete Mat, Reinforced With #8 @ 10" O/C, Top &amp; Bottom, Each Way, (14948 SFT)</t>
  </si>
  <si>
    <t>EP-N: Elevator Pressurization Fan 10000 CFM , Total Weight 425, Manufacturer-Greenheck, Voltage 208, Phase 3</t>
  </si>
  <si>
    <t>EP-S: Elevator Pressurization Fan 10000 CFM,Total Weight 425,Manufacturer-Greenheck, Voltage 208, Phase 3</t>
  </si>
  <si>
    <t>SP-N: Stair Pressurization Fan 10000 CFM,Total Weight 425, Manufacturer-Greenheck, Voltage 208, Phase 3</t>
  </si>
  <si>
    <t>SP-S: Stair Pressurization Fan 10000 CFM,Total Weight 425, Manufacturer-Greenheck, Voltage 208, Phase 3</t>
  </si>
  <si>
    <t>SX-1,Total Weight 144, Manufacturer-Greenheck, Voltage 208, Phase 1</t>
  </si>
  <si>
    <t>EF-MER-S,Total Weight 37, Manufacturer-Greenheck, Voltage 208, Phase 1</t>
  </si>
  <si>
    <t>EF-MER-N,Total Weight 37, Manufacturer-Greenheck, Voltage 208, Phase 1</t>
  </si>
  <si>
    <t>GEF-1C,Total Weight 144, Manufacturer-Greenheck, Voltage 208, Phase 1</t>
  </si>
  <si>
    <t>GEF-2C,Total Weight 144, Manufacturer-Greenheck, Voltage 208, Phase 1</t>
  </si>
  <si>
    <t>GEF-3C,Total Weight 144, Manufacturer-Greenheck, Voltage 208, Phase 1</t>
  </si>
  <si>
    <t>GEF-1G,Total Weight 149, Manufacturer-Greenheck, Voltage 208, Phase 1</t>
  </si>
  <si>
    <t>GEF-2G, Total Weight 149, Manufacturer-Greenheck, Voltage 208, Phase 1</t>
  </si>
  <si>
    <t>GEF-3G,Total Weight 149, Manufacturer-Greenheck, Voltage 208, Phase 1</t>
  </si>
  <si>
    <t>MAF-1G, Total Weight 139, Manufacturer-Greenheck, Voltage 208, Phase 1</t>
  </si>
  <si>
    <t>MAF-2G, Total Weight 139, Manufacturer-Greenheck, Voltage 208, Phase 1</t>
  </si>
  <si>
    <t>MAF-3G, Total Weight 139, Manufacturer-Greenheck, Voltage 208, Phase 1</t>
  </si>
  <si>
    <t>EF-Loading Total Weight 49, Manufacturer-Greenheck, Voltage 208, Phase 1</t>
  </si>
  <si>
    <t>KX-1,Total Weight 480, Manufacturer-Greenheck, Voltage 208, Phase 3</t>
  </si>
  <si>
    <t>DWX-1,  Total Weight 192, Manufacturer-Greenheck, Voltage 208, Phase 3</t>
  </si>
  <si>
    <t>EF-M-1,Total Weight 146, Manufacturer-Greenheck, Voltage 208, Phase 1</t>
  </si>
  <si>
    <t>EF-FO, Total Weight 54, Manufacturer-Greenheck, Voltage 208, Phase 1</t>
  </si>
  <si>
    <t>TRX-C1,Total Weight 54, Manufacturer-Greenheck, Voltage 208, Phase 1</t>
  </si>
  <si>
    <t>TX-G-1, Total Weight 54, Manufacturer-Greenheck, Voltage 208, Phase 1</t>
  </si>
  <si>
    <t>TX-C-1,Total Weight 35, Manufacturer-Greenheck, Voltage 208, Phase 1</t>
  </si>
  <si>
    <t>PLANTING</t>
  </si>
  <si>
    <t>6' dia. Tree</t>
  </si>
  <si>
    <t>Green planting area</t>
  </si>
  <si>
    <t xml:space="preserve">Planters Wall, ( 3' height ) </t>
  </si>
  <si>
    <t>24" dia. Shrubs</t>
  </si>
  <si>
    <t>STEEL STUDS</t>
  </si>
  <si>
    <t>2-1/2" steel studs @ 24" O.C</t>
  </si>
  <si>
    <t>7/8" channel hat steel studs @ 24" O.C</t>
  </si>
  <si>
    <t>DIV. 06</t>
  </si>
  <si>
    <t>WOOD, PLATICS &amp; COMPOSITES</t>
  </si>
  <si>
    <t>MILLWORK</t>
  </si>
  <si>
    <t>2'-3" wooden base cabinets</t>
  </si>
  <si>
    <t>3' upper wooden cabinets</t>
  </si>
  <si>
    <t>Full height cabinets</t>
  </si>
  <si>
    <t>Full height cabinets &amp; shelves</t>
  </si>
  <si>
    <t>Laundry shelves</t>
  </si>
  <si>
    <t>Single rod &amp; single shelf</t>
  </si>
  <si>
    <t>DIV. 08</t>
  </si>
  <si>
    <t>OPENINGS</t>
  </si>
  <si>
    <t>DOORS</t>
  </si>
  <si>
    <t>3'-6" X 7' wooden door w/ wooden frame, ( Specs. T.B.D )</t>
  </si>
  <si>
    <t>3'-4" X 7' wooden decorative door w/ wooden frame, ( Specs. T.B.D )</t>
  </si>
  <si>
    <t>3'-6" X 7' fire rated metal door w/ metal frame, ( Specs. T.B.D )</t>
  </si>
  <si>
    <t>6'-6" X 7' fire rated metal double door w/ metal frame, ( Specs. T.B.D )</t>
  </si>
  <si>
    <t>6' X 7' stainless steel glass double door w/ wooden frame, ( Specs. T.B.D )</t>
  </si>
  <si>
    <t>3'-6" X 7'-3" fire rated metal door w/ metal frame, ( Specs. T.B.D )</t>
  </si>
  <si>
    <t>6'-6" X 7' wooden door w/ wooden frame, ( Specs. T.B.D )</t>
  </si>
  <si>
    <t>4'-8" X 7' wooden closet swing door w/ wooden frame</t>
  </si>
  <si>
    <t>6' X 7' wooden closet swing door w/ wooden frame</t>
  </si>
  <si>
    <t>DIV. 09</t>
  </si>
  <si>
    <t>FINISHES</t>
  </si>
  <si>
    <t>DIV. 10</t>
  </si>
  <si>
    <t>SPECIALITIES</t>
  </si>
  <si>
    <t>DIV. 11</t>
  </si>
  <si>
    <t>EQUIPMENTS</t>
  </si>
  <si>
    <t>DIV. 12</t>
  </si>
  <si>
    <t>FURNISHINGS</t>
  </si>
  <si>
    <t>1" granite countertop</t>
  </si>
  <si>
    <t>1-1/4" quartz bar countertop</t>
  </si>
  <si>
    <t>3/4" granite countertop</t>
  </si>
  <si>
    <t>Exhaust hood, ( 20' wide &amp; 5'-9" deep )</t>
  </si>
  <si>
    <t>Kitchen stove oven</t>
  </si>
  <si>
    <t>Linen chutes</t>
  </si>
  <si>
    <t xml:space="preserve">Walk-in cooler, ( 9' X10' ) </t>
  </si>
  <si>
    <t xml:space="preserve">Walk-in freezer, ( 9' X10' ) </t>
  </si>
  <si>
    <t>Washer &amp; dryers</t>
  </si>
  <si>
    <t xml:space="preserve">13'-6" X 7'-6" double strand parking stand </t>
  </si>
  <si>
    <t xml:space="preserve">Tempered glass wall </t>
  </si>
  <si>
    <t>Toilet partition wall w/ doors</t>
  </si>
  <si>
    <t xml:space="preserve">Traffic signage arrows </t>
  </si>
  <si>
    <t>36" grab bars</t>
  </si>
  <si>
    <t>42" grab bars</t>
  </si>
  <si>
    <t>Toilet mirrors</t>
  </si>
  <si>
    <t>Soap dispensers</t>
  </si>
  <si>
    <t>Toilet paper dispensers</t>
  </si>
  <si>
    <t>Electric hand dryers</t>
  </si>
  <si>
    <t>FLOOR FINISHES</t>
  </si>
  <si>
    <t>WALL BASE</t>
  </si>
  <si>
    <t>WALL FINISHES</t>
  </si>
  <si>
    <t>UNDER STAIRS FINISHES</t>
  </si>
  <si>
    <t>CEILING FINISHES</t>
  </si>
  <si>
    <t>24" X 24" Suspended ceiling grid w/ accoustical ceiling</t>
  </si>
  <si>
    <t>5/8" type 'X' gypsum wall board</t>
  </si>
  <si>
    <t>Paint @ ceiling, ( Open to structure )</t>
  </si>
  <si>
    <t>Wood veneer ceiling</t>
  </si>
  <si>
    <t>Paint @ Gypsum board</t>
  </si>
  <si>
    <t>R-19 insulation @ Ceiling</t>
  </si>
  <si>
    <t>Concrete pavers, ( Stamped concrete pattern )</t>
  </si>
  <si>
    <t>Epoxy paint @ floor</t>
  </si>
  <si>
    <t xml:space="preserve">Hardwood flooring </t>
  </si>
  <si>
    <t>Luxury vinyl tiles</t>
  </si>
  <si>
    <t>Stone pavers @ balcony</t>
  </si>
  <si>
    <t>Ceramic tiles @ floor</t>
  </si>
  <si>
    <t>Wooden deck @ balcony</t>
  </si>
  <si>
    <t xml:space="preserve">Rubber flooring </t>
  </si>
  <si>
    <t>Ceramicl tile base</t>
  </si>
  <si>
    <t>1"X6" Wooden base</t>
  </si>
  <si>
    <t>Rubber base</t>
  </si>
  <si>
    <t>Ceramic wall tile</t>
  </si>
  <si>
    <t>Weather proof water resistant membrane under balcony flooring</t>
  </si>
  <si>
    <t>1/2" Gypsum wall board under stringers of stairs</t>
  </si>
  <si>
    <t>Paint @ gypsum board</t>
  </si>
  <si>
    <t>STAIRS &amp; RAILINGS</t>
  </si>
  <si>
    <t>6.48" riser concrete filled treads w/ wire mesh reinforcing in metal pans</t>
  </si>
  <si>
    <t>7" riser concrete filled treads w/ wire mesh reinforcing in metal pans</t>
  </si>
  <si>
    <t>7" riser concrete stairs (32 )</t>
  </si>
  <si>
    <t>34" high 1-1/2" diaX13 Ga. steel pipe stair hand rail</t>
  </si>
  <si>
    <t>36" high stair hand railing</t>
  </si>
  <si>
    <t>RISER</t>
  </si>
  <si>
    <t>DIV. 26</t>
  </si>
  <si>
    <t>ELECTRICAL</t>
  </si>
  <si>
    <t>LIGHTING</t>
  </si>
  <si>
    <t>POWER</t>
  </si>
  <si>
    <t>ELEC. PANELS</t>
  </si>
  <si>
    <t>FIRE ALARM</t>
  </si>
  <si>
    <t>Carbon monoxide detectors</t>
  </si>
  <si>
    <t>Fire strobe horn</t>
  </si>
  <si>
    <t>Horn strobe w/ manual pull station</t>
  </si>
  <si>
    <t>Manual pull stations</t>
  </si>
  <si>
    <t>Smoke detector w/ thermal sensors</t>
  </si>
  <si>
    <t>Smoke detectors</t>
  </si>
  <si>
    <t>Toggle switches</t>
  </si>
  <si>
    <t>Water flow switches</t>
  </si>
  <si>
    <t>Duplex receptacle outlet</t>
  </si>
  <si>
    <t>Duplex receptacle outlet, ( GFCI )</t>
  </si>
  <si>
    <t>Duplex receptacle outlet, ( Weather proof )</t>
  </si>
  <si>
    <t>Fire pump</t>
  </si>
  <si>
    <t>Fire smoke damper</t>
  </si>
  <si>
    <t>Jockey pump</t>
  </si>
  <si>
    <t>Junction box, ( Ceiling mounted )</t>
  </si>
  <si>
    <t>Single pole switch w/ transmitter</t>
  </si>
  <si>
    <t>Single pole switches</t>
  </si>
  <si>
    <t>Unfunsed disconnect switch, ( 100 Amp. )</t>
  </si>
  <si>
    <t>Unfunsed disconnect switch, ( 30 Amp. )</t>
  </si>
  <si>
    <t>Unfused disconnect switch ( 60 Amp. )</t>
  </si>
  <si>
    <t>Vaporproof wall bracket</t>
  </si>
  <si>
    <t>Elec. panel ELP-8, ( 200 Amp. &amp; 42 no. of poles )</t>
  </si>
  <si>
    <t>Elec. panel ELP-M, ( 100 Amp. &amp; 30 no. of poles )</t>
  </si>
  <si>
    <t>Elec. panel EPP-STBY, ( 200 Amp. &amp; 42 no. of poles )</t>
  </si>
  <si>
    <t>Elec. panel LP-4, ( 100 Amp. &amp; 30 no. of poles )</t>
  </si>
  <si>
    <t>Elec. panel LP-7, ( 200 Amp. &amp; 42 no. of poles )</t>
  </si>
  <si>
    <t>Elec. panel LP-M, ( 200 Amp. &amp; 42 no. of poles )</t>
  </si>
  <si>
    <t>Elec. panel MCC-R, ( 1200 Amp. )</t>
  </si>
  <si>
    <t>Elec. panel MP-2, ( 100 Amp. &amp; 30 no. of poles )</t>
  </si>
  <si>
    <t>Elec. panel MP-3, ( 200 Amp. &amp; 42 no. of poles )</t>
  </si>
  <si>
    <t>Elec. panel MP-6, ( 100 Amp. &amp; 30 no. of poles )</t>
  </si>
  <si>
    <t>Elec. panel MP-M, ( 200 Amp. &amp; 42 no. of poles )</t>
  </si>
  <si>
    <t>Elec. panel MP-R, ( 100 Amp. &amp; 30 no. of poles )</t>
  </si>
  <si>
    <t>Elec. panel PP-2A, ( 200 Amp. &amp; 42 no. of poles )</t>
  </si>
  <si>
    <t>Elec. panel PP-2B, ( 100 Amp. &amp; 30 no. of poles )</t>
  </si>
  <si>
    <t>Elec. panel PP-C, ( 200 Amp. &amp; 42 no. of poles )</t>
  </si>
  <si>
    <t>Elec. panel PP-K, ( 100 Amp. &amp; 24 no. of poles )</t>
  </si>
  <si>
    <t>Elec. panel PP-M, ( 100 Amp. &amp; 30 no. of poles )</t>
  </si>
  <si>
    <t>Elec. panel RP-BAR, ( 100 Amp. &amp; 30 no. of poles )</t>
  </si>
  <si>
    <t>1'X4' copper lighting: 4WSL, LED, Wavestream</t>
  </si>
  <si>
    <t>1'X4' copper lighting: 4WSL, LED, Wavestream ( Emergency light, 90 Min. battery backup )</t>
  </si>
  <si>
    <t>2' X 2' copper lighting series: (2) T8/fixture</t>
  </si>
  <si>
    <t>2' X 2' copper lighting series: (2) T8/fixture ( Battery backup )</t>
  </si>
  <si>
    <t>6" LED can lights</t>
  </si>
  <si>
    <t>6" LED can lights, ( Battery backup )</t>
  </si>
  <si>
    <t>Chrystal polished chrome chandlier</t>
  </si>
  <si>
    <t>Pendant lights</t>
  </si>
  <si>
    <t>Recessed parapet lights</t>
  </si>
  <si>
    <t>Shrub accent lights</t>
  </si>
  <si>
    <t>DUCTS</t>
  </si>
  <si>
    <t>PIPES</t>
  </si>
  <si>
    <t xml:space="preserve">ELECTRIC UNIT HEATER </t>
  </si>
  <si>
    <t>FANS</t>
  </si>
  <si>
    <t>ELECTRIC FLOOR HEATING MAT.</t>
  </si>
  <si>
    <t>AIR OUTLET/INLETS</t>
  </si>
  <si>
    <t>HOTEL GUESTROOM AIR OUTLETS</t>
  </si>
  <si>
    <t>CEILING AIR  OUTLETS</t>
  </si>
  <si>
    <t>LINEAR DIFFUSERS</t>
  </si>
  <si>
    <t>THERMOSTATE</t>
  </si>
  <si>
    <t xml:space="preserve">VRF INDOOR UNITS </t>
  </si>
  <si>
    <t>VRF CONDENSING UNIT (HOTEL ROOM FLOORS)</t>
  </si>
  <si>
    <t>VRF HEAT RECOVERY BOX</t>
  </si>
  <si>
    <t xml:space="preserve">SUPPLY AIR TERMINAL BOX </t>
  </si>
  <si>
    <t>BASEBOARD HEATER</t>
  </si>
  <si>
    <t>WALL TYPES</t>
  </si>
  <si>
    <t>Wall 1</t>
  </si>
  <si>
    <t>2-1/2" Metal Studs (25 GA) @ 24" OC</t>
  </si>
  <si>
    <t xml:space="preserve">5/8" Gypsum Wall Board </t>
  </si>
  <si>
    <t>Paint @ Walls</t>
  </si>
  <si>
    <t xml:space="preserve">2" Thermafiber Sound Attenuation Blanket </t>
  </si>
  <si>
    <t>Galvanized Stud Track</t>
  </si>
  <si>
    <t>4" Base Trim</t>
  </si>
  <si>
    <t>Crown Moulding</t>
  </si>
  <si>
    <t>Wall 1A</t>
  </si>
  <si>
    <t>5/8" Gypsum Wall Board (Moisture Resitant)</t>
  </si>
  <si>
    <t>Tiles @ Toilet Walls</t>
  </si>
  <si>
    <t>Wall 1C</t>
  </si>
  <si>
    <t xml:space="preserve">5/8" Cement Board </t>
  </si>
  <si>
    <t>Wall 1D</t>
  </si>
  <si>
    <t>Wall 2</t>
  </si>
  <si>
    <t xml:space="preserve">Cont. 24GA Steel Plate </t>
  </si>
  <si>
    <t>Wall 2B</t>
  </si>
  <si>
    <t>Wall 3</t>
  </si>
  <si>
    <t>1-5/8" Metal Studs @ 24" OC</t>
  </si>
  <si>
    <t>5/8" Gypsum Wall Board</t>
  </si>
  <si>
    <t>Wall 3B</t>
  </si>
  <si>
    <t>5/8" Cement Board</t>
  </si>
  <si>
    <t>Wall 4</t>
  </si>
  <si>
    <t>Metal Liner</t>
  </si>
  <si>
    <t>1" Coreboard</t>
  </si>
  <si>
    <t>5/8" Gypsum Board</t>
  </si>
  <si>
    <t>Steel Angle Runner</t>
  </si>
  <si>
    <t>Wall 5</t>
  </si>
  <si>
    <t>2-1/2" Metal Studs C-H @ 24" OC</t>
  </si>
  <si>
    <t>4" Base Trim 1</t>
  </si>
  <si>
    <t>Wall 3A</t>
  </si>
  <si>
    <t>Furring Wall @ 8" CMU Wall</t>
  </si>
  <si>
    <t xml:space="preserve">1-5/8" Metal Stud Furring </t>
  </si>
  <si>
    <t xml:space="preserve">Batt Insulation </t>
  </si>
  <si>
    <t xml:space="preserve">Paint @ Walls </t>
  </si>
  <si>
    <t>ROOFING</t>
  </si>
  <si>
    <t>GAF SBS Roofing</t>
  </si>
  <si>
    <t>Sloped Rigid Insulation</t>
  </si>
  <si>
    <t>Base Flashing</t>
  </si>
  <si>
    <t>Counter Flashing</t>
  </si>
  <si>
    <t>Sealant</t>
  </si>
  <si>
    <t>Metal Caping</t>
  </si>
  <si>
    <t>Parapet Wall</t>
  </si>
  <si>
    <t>CEILING INSULATION</t>
  </si>
  <si>
    <t>WINDOWS</t>
  </si>
  <si>
    <t>W1 : 8'-3"x15'-8" Window</t>
  </si>
  <si>
    <t>W10 : 14'-0"x15'-10" Window</t>
  </si>
  <si>
    <t>W10A : 9'-10"x13'-10" Window</t>
  </si>
  <si>
    <t>W11 : 13'-5"x15'-10" Window</t>
  </si>
  <si>
    <t>W11B : 9'-10"x13'-6" Window</t>
  </si>
  <si>
    <t>W11C : 3'-2"x9'-10" Window</t>
  </si>
  <si>
    <t>W12 : 9'-10"x36'-10" Window</t>
  </si>
  <si>
    <t>W12A : 9'-10"x36'-10" Window</t>
  </si>
  <si>
    <t>W13 : 10'-0"x11'-0" Window</t>
  </si>
  <si>
    <t>W14 : 10'-0"x17'-5" Window</t>
  </si>
  <si>
    <t>W15 : 13'-0"x19'-6" Window</t>
  </si>
  <si>
    <t>W16 : 10'-0"x10'-0" Window</t>
  </si>
  <si>
    <t>W17 : 10'-0"x11'-0" Window</t>
  </si>
  <si>
    <t>W18 : 10'-0"x11'-0" Window</t>
  </si>
  <si>
    <t>W19 : 10'-0"x10'-6" Window</t>
  </si>
  <si>
    <t>W1A : 6'-10"x14'-2" Window</t>
  </si>
  <si>
    <t>W1B : 8'-6"x15'-6" Window</t>
  </si>
  <si>
    <t>W2 : 8'-3"x15'-6" Window</t>
  </si>
  <si>
    <t>W20 : 10'-0"x10'-5" Window</t>
  </si>
  <si>
    <t>W21 : 6'-0"x6'-6" Window</t>
  </si>
  <si>
    <t>W21A : 6'-0"x6'-6" Window</t>
  </si>
  <si>
    <t>W22 : 7'-10"x11'-0" Window</t>
  </si>
  <si>
    <t>W22A : 6'-10"x11'-0" Window</t>
  </si>
  <si>
    <t>W23 : 7'-10"x8'-0" Window</t>
  </si>
  <si>
    <t>W23A : 6'-10"x8'-0" Window</t>
  </si>
  <si>
    <t>W24A : 6'-10"x16'-0" Window</t>
  </si>
  <si>
    <t>W25 : 8'-3"x9'-3" Window</t>
  </si>
  <si>
    <t>W26 : 6'-10"x11'-6" Window</t>
  </si>
  <si>
    <t>W27A : 6'-10"x9'-0" Window</t>
  </si>
  <si>
    <t>W28A : 3'-8"x6'-10" Window</t>
  </si>
  <si>
    <t>W29 : 7'-10"x11'-4" Window</t>
  </si>
  <si>
    <t>W29A : 6'-10"x11'-7" Window</t>
  </si>
  <si>
    <t>W2A : 6'-10"x15'-10" Window</t>
  </si>
  <si>
    <t>W2B : 8'-6"x15'-10" Window</t>
  </si>
  <si>
    <t>W3 : 8'-3"x15'-6" Window</t>
  </si>
  <si>
    <t>W30 : 6'-10"x9'-0" Window</t>
  </si>
  <si>
    <t>W31A : 6'-10"x11'-6" Window</t>
  </si>
  <si>
    <t>W32 : 3'-8"x8'-3" Window</t>
  </si>
  <si>
    <t>W32A : 3'-8"x6'-10" Window</t>
  </si>
  <si>
    <t>W3A : 8'-6"x15'-5" Window</t>
  </si>
  <si>
    <t>W3B : 6'-10"x15'-5" Window</t>
  </si>
  <si>
    <t>W4 : 8'-3"x15'-0" Window</t>
  </si>
  <si>
    <t>W4A : 8'-6"x16'-3" Window</t>
  </si>
  <si>
    <t>W4B : 6'-10"x15'-0" Window</t>
  </si>
  <si>
    <t>W5 : 8'-6"x11'-0" Window</t>
  </si>
  <si>
    <t>W5A : 8'-6"x11'-0" Window</t>
  </si>
  <si>
    <t>W6 : 8'-6"x10'-8" Window</t>
  </si>
  <si>
    <t>W6A : 8'-6"x10'-7" Window</t>
  </si>
  <si>
    <t>W7 : 8'-6"x16'-2" Window</t>
  </si>
  <si>
    <t>W7A : 8'-6"x16'-0" Window</t>
  </si>
  <si>
    <t>W9 : 7'-3"x12'-5" Window</t>
  </si>
  <si>
    <t>W9A : 9'-10"x12'-4" Window</t>
  </si>
  <si>
    <t>HARDWARE</t>
  </si>
  <si>
    <t>Allowance For Hardware</t>
  </si>
  <si>
    <t>EXTERIOR FINISHES</t>
  </si>
  <si>
    <t>Acrylic Stucco</t>
  </si>
  <si>
    <t>Porcelanosa 24x48 Rain Screen</t>
  </si>
  <si>
    <t>Railing Glass</t>
  </si>
  <si>
    <t>Wood Deck</t>
  </si>
  <si>
    <t xml:space="preserve">Carpet Flooring @ Corridor </t>
  </si>
  <si>
    <t>Ceramic Tile Flooring @ Toilet</t>
  </si>
  <si>
    <t>Hardwood Flooring @ Units</t>
  </si>
  <si>
    <t>Bar Countertop</t>
  </si>
  <si>
    <t>3/4" Toilet Countertop</t>
  </si>
  <si>
    <t>6'-0"x6'-5" Elevators</t>
  </si>
  <si>
    <t>DIV. 22</t>
  </si>
  <si>
    <t>PLUMBING</t>
  </si>
  <si>
    <t>PIPING</t>
  </si>
  <si>
    <t xml:space="preserve">1" Pipe </t>
  </si>
  <si>
    <t xml:space="preserve">10" Pipe </t>
  </si>
  <si>
    <t xml:space="preserve">10" Sanitary Pipe </t>
  </si>
  <si>
    <t xml:space="preserve">1-1/2" Pipe </t>
  </si>
  <si>
    <t xml:space="preserve">1-1/4" Pipe </t>
  </si>
  <si>
    <t xml:space="preserve">2" Drain Pipe </t>
  </si>
  <si>
    <t xml:space="preserve">2" Pipe </t>
  </si>
  <si>
    <t xml:space="preserve">2" Vent Pipe </t>
  </si>
  <si>
    <t xml:space="preserve">2-1/2" Pipe </t>
  </si>
  <si>
    <t xml:space="preserve">3" Pipe </t>
  </si>
  <si>
    <t xml:space="preserve">4" Pipe </t>
  </si>
  <si>
    <t xml:space="preserve">4" Sanitary Pipe </t>
  </si>
  <si>
    <t>4" Waste Pipe</t>
  </si>
  <si>
    <t xml:space="preserve">6" Pipe </t>
  </si>
  <si>
    <t xml:space="preserve">6" Sanitary Pipe </t>
  </si>
  <si>
    <t xml:space="preserve">8" Pipe </t>
  </si>
  <si>
    <t>8" Sanitary Pipe</t>
  </si>
  <si>
    <t xml:space="preserve">1" Hot Water Pipe </t>
  </si>
  <si>
    <t>1" Chilled Water Pipe</t>
  </si>
  <si>
    <t>1" HWR Pipe</t>
  </si>
  <si>
    <t xml:space="preserve">2" Hot Water Pipe </t>
  </si>
  <si>
    <t>2" Chilled Water Pipe</t>
  </si>
  <si>
    <t>2" HWR Pipe</t>
  </si>
  <si>
    <t xml:space="preserve">4" VTR Pipe </t>
  </si>
  <si>
    <t xml:space="preserve">6" Storm Water Pipe </t>
  </si>
  <si>
    <t>PLUMBING EQUIPMENTS</t>
  </si>
  <si>
    <t xml:space="preserve">12" Wide Trench Drain </t>
  </si>
  <si>
    <t xml:space="preserve">12'x12'x4' Deep Storm Water Detention Under Slab Supported By 2' Donnage </t>
  </si>
  <si>
    <t xml:space="preserve">2" Capped Test Tee w/ Valve </t>
  </si>
  <si>
    <t xml:space="preserve">2'x2'x2' Deep Sump Pump </t>
  </si>
  <si>
    <t xml:space="preserve">3/4" Hose Bib </t>
  </si>
  <si>
    <t>4" Back Water Valve</t>
  </si>
  <si>
    <t xml:space="preserve">4" Domestic Water House Control Valve </t>
  </si>
  <si>
    <t xml:space="preserve">4" Floor Drain </t>
  </si>
  <si>
    <t xml:space="preserve">4" Meter Outlet Control OS&amp;Y Valve </t>
  </si>
  <si>
    <t xml:space="preserve">4" Roof Drain </t>
  </si>
  <si>
    <t xml:space="preserve">4" RPZ-Wilkins Model 375A-OSY </t>
  </si>
  <si>
    <t xml:space="preserve">4" Water Valve </t>
  </si>
  <si>
    <t>4'x4'x5' Deep Sump Pump Under Slab</t>
  </si>
  <si>
    <t xml:space="preserve">6" Fire Water </t>
  </si>
  <si>
    <t xml:space="preserve">6" Fire Water House Control Valve </t>
  </si>
  <si>
    <t xml:space="preserve">6" Wilkins 350ADA-OSY CDA w/ 3/4" Bypass Meter </t>
  </si>
  <si>
    <t xml:space="preserve">DWB-1 : Triplex Domestic Water Booster Pump </t>
  </si>
  <si>
    <t xml:space="preserve">Gas Meter &amp; Regulator Installed Outside The Building By Local Utility Copmany </t>
  </si>
  <si>
    <t>HWH-1 : Domestic Hot Water Heating Boiler, Aerco Model 2500</t>
  </si>
  <si>
    <t>HWH-2 : Domestic Hot Water Heating Boiler, Swep BHX Model 2500</t>
  </si>
  <si>
    <t>HWH-3 : Domestic Hot Water Heating Boiler, Swep BHX Model 2500</t>
  </si>
  <si>
    <t xml:space="preserve">HWT-1 : </t>
  </si>
  <si>
    <t xml:space="preserve">HWT-2 : </t>
  </si>
  <si>
    <t>RC-1 : Hot Water Circulation Pump, Bell &amp; Gosset Model PD-35, 1725 RPM</t>
  </si>
  <si>
    <t>RC-2 : Hot Water Circulation Pump, Bell &amp; Gosset Model PD-35, 1725 RPM</t>
  </si>
  <si>
    <t xml:space="preserve">SE-1 : Duplex Sewage Ejector </t>
  </si>
  <si>
    <t xml:space="preserve">Shut Off Valve &amp; Regulator 4" Meter Inlet Control OS&amp;Y Valve </t>
  </si>
  <si>
    <t xml:space="preserve">SP-1 : Elevator Pit Ejector </t>
  </si>
  <si>
    <t xml:space="preserve">SP-2 : Elevator Pit Ejector </t>
  </si>
  <si>
    <t xml:space="preserve">TFP-1 : Duplex Domestic Water Booster Pump </t>
  </si>
  <si>
    <t xml:space="preserve">TMV-1 : </t>
  </si>
  <si>
    <t>PLUMBING FIXTURES</t>
  </si>
  <si>
    <t xml:space="preserve">Dishwasher </t>
  </si>
  <si>
    <t xml:space="preserve">Hand Sink </t>
  </si>
  <si>
    <t xml:space="preserve">Mop Sink </t>
  </si>
  <si>
    <t xml:space="preserve">Wall Mounted Drinking Fountain </t>
  </si>
  <si>
    <t>Lavatory w/ Water Faucets</t>
  </si>
  <si>
    <t>Shower Pan w/ Shower Head</t>
  </si>
  <si>
    <t>Water Closets</t>
  </si>
  <si>
    <t>Grab Bars</t>
  </si>
  <si>
    <t>Mirrors</t>
  </si>
  <si>
    <t>Glass Shower Wall</t>
  </si>
  <si>
    <t>UNIT COST (LAB+MAT)</t>
  </si>
  <si>
    <t>UNIT LABOR COST</t>
  </si>
  <si>
    <t>UNIT MATERIAL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</si>
</sst>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&quot;$&quot;* #,##0_);_(&quot;$&quot;* \(#,##0\);_(&quot;$&quot;* &quot;-&quot;??_);_(@_)"/>
    <numFmt numFmtId="166" formatCode="_(&quot;$&quot;* #,##0.0_);_(&quot;$&quot;* \(#,##0.0\);_(&quot;$&quot;* &quot;-&quot;??_);_(@_)"/>
    <numFmt numFmtId="167" formatCode="_-[$£-809]* #,##0.00_-;\-[$£-809]* #,##0.00_-;_-[$£-809]* &quot;-&quot;??_-;_-@_-"/>
  </numFmts>
  <fonts count="33" x14ac:knownFonts="1">
    <font>
      <sz val="12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  <font>
      <b/>
      <sz val="14"/>
      <color theme="9" tint="-0.249977111117893"/>
      <name val="Calibri"/>
      <family val="2"/>
      <scheme val="minor"/>
    </font>
    <font>
      <b/>
      <sz val="11"/>
      <name val="Arial"/>
      <family val="2"/>
    </font>
    <font>
      <b/>
      <sz val="14"/>
      <color rgb="FF002060"/>
      <name val="Calibri"/>
      <family val="2"/>
      <scheme val="minor"/>
    </font>
    <font>
      <sz val="12"/>
      <color rgb="FF002060"/>
      <name val="Arial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</borders>
  <cellStyleXfs count="92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43" fontId="2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2" fillId="0" borderId="0"/>
    <xf numFmtId="0" fontId="21" fillId="0" borderId="0"/>
    <xf numFmtId="0" fontId="3" fillId="0" borderId="0"/>
    <xf numFmtId="0" fontId="22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4" fontId="28" fillId="0" borderId="0" applyFont="0" applyFill="0" applyBorder="0" applyAlignment="0" applyProtection="0"/>
  </cellStyleXfs>
  <cellXfs count="81">
    <xf numFmtId="0" fontId="0" fillId="0" borderId="0" xfId="0"/>
    <xf numFmtId="0" fontId="23" fillId="0" borderId="10" xfId="0" applyFont="1" applyFill="1" applyBorder="1" applyAlignment="1">
      <alignment vertical="top"/>
    </xf>
    <xf numFmtId="164" fontId="23" fillId="0" borderId="10" xfId="0" applyNumberFormat="1" applyFont="1" applyFill="1" applyBorder="1" applyAlignment="1" applyProtection="1">
      <alignment horizontal="center" vertical="top"/>
    </xf>
    <xf numFmtId="0" fontId="23" fillId="0" borderId="10" xfId="0" applyFont="1" applyFill="1" applyBorder="1" applyAlignment="1">
      <alignment horizontal="center" vertical="top"/>
    </xf>
    <xf numFmtId="9" fontId="24" fillId="0" borderId="10" xfId="0" applyNumberFormat="1" applyFont="1" applyFill="1" applyBorder="1" applyAlignment="1">
      <alignment horizontal="center" vertical="top"/>
    </xf>
    <xf numFmtId="42" fontId="24" fillId="0" borderId="10" xfId="0" applyNumberFormat="1" applyFont="1" applyFill="1" applyBorder="1" applyAlignment="1">
      <alignment vertical="top"/>
    </xf>
    <xf numFmtId="0" fontId="27" fillId="0" borderId="0" xfId="0" applyFont="1" applyBorder="1"/>
    <xf numFmtId="9" fontId="27" fillId="0" borderId="0" xfId="0" applyNumberFormat="1" applyFont="1" applyBorder="1" applyAlignment="1">
      <alignment vertical="center"/>
    </xf>
    <xf numFmtId="166" fontId="27" fillId="0" borderId="0" xfId="0" applyNumberFormat="1" applyFont="1" applyBorder="1" applyAlignment="1">
      <alignment vertical="center"/>
    </xf>
    <xf numFmtId="165" fontId="27" fillId="0" borderId="0" xfId="0" applyNumberFormat="1" applyFont="1" applyBorder="1" applyAlignment="1">
      <alignment vertical="center"/>
    </xf>
    <xf numFmtId="0" fontId="27" fillId="0" borderId="15" xfId="0" applyFont="1" applyBorder="1"/>
    <xf numFmtId="0" fontId="24" fillId="0" borderId="17" xfId="0" applyFont="1" applyFill="1" applyBorder="1" applyAlignment="1">
      <alignment horizontal="left" vertical="top"/>
    </xf>
    <xf numFmtId="42" fontId="24" fillId="0" borderId="18" xfId="0" applyNumberFormat="1" applyFont="1" applyFill="1" applyBorder="1" applyAlignment="1">
      <alignment vertical="top"/>
    </xf>
    <xf numFmtId="0" fontId="26" fillId="0" borderId="0" xfId="0" applyFont="1" applyAlignment="1"/>
    <xf numFmtId="14" fontId="26" fillId="0" borderId="0" xfId="0" applyNumberFormat="1" applyFont="1" applyAlignment="1">
      <alignment horizontal="left"/>
    </xf>
    <xf numFmtId="0" fontId="23" fillId="0" borderId="0" xfId="0" applyFont="1" applyFill="1" applyBorder="1" applyAlignment="1">
      <alignment horizontal="center" vertical="center"/>
    </xf>
    <xf numFmtId="0" fontId="27" fillId="0" borderId="20" xfId="0" applyFont="1" applyBorder="1"/>
    <xf numFmtId="0" fontId="25" fillId="0" borderId="20" xfId="0" applyFont="1" applyBorder="1"/>
    <xf numFmtId="0" fontId="27" fillId="0" borderId="20" xfId="0" applyFont="1" applyBorder="1" applyAlignment="1">
      <alignment vertical="center"/>
    </xf>
    <xf numFmtId="9" fontId="27" fillId="0" borderId="20" xfId="0" applyNumberFormat="1" applyFont="1" applyBorder="1" applyAlignment="1">
      <alignment vertical="center"/>
    </xf>
    <xf numFmtId="1" fontId="27" fillId="0" borderId="20" xfId="0" applyNumberFormat="1" applyFont="1" applyBorder="1" applyAlignment="1">
      <alignment vertical="center"/>
    </xf>
    <xf numFmtId="0" fontId="27" fillId="0" borderId="20" xfId="0" applyFont="1" applyBorder="1" applyAlignment="1">
      <alignment horizontal="center" vertical="center"/>
    </xf>
    <xf numFmtId="166" fontId="27" fillId="0" borderId="20" xfId="0" applyNumberFormat="1" applyFont="1" applyBorder="1" applyAlignment="1">
      <alignment vertical="center"/>
    </xf>
    <xf numFmtId="165" fontId="27" fillId="0" borderId="20" xfId="0" applyNumberFormat="1" applyFont="1" applyBorder="1" applyAlignment="1">
      <alignment vertical="center"/>
    </xf>
    <xf numFmtId="0" fontId="27" fillId="0" borderId="19" xfId="0" applyFont="1" applyBorder="1"/>
    <xf numFmtId="1" fontId="23" fillId="0" borderId="19" xfId="0" applyNumberFormat="1" applyFont="1" applyFill="1" applyBorder="1" applyAlignment="1">
      <alignment horizontal="center" vertical="top"/>
    </xf>
    <xf numFmtId="0" fontId="27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justify" vertical="center"/>
    </xf>
    <xf numFmtId="41" fontId="27" fillId="0" borderId="0" xfId="0" applyNumberFormat="1" applyFont="1" applyFill="1" applyBorder="1" applyAlignment="1">
      <alignment horizontal="right" vertical="center"/>
    </xf>
    <xf numFmtId="0" fontId="25" fillId="0" borderId="0" xfId="0" applyFont="1" applyFill="1" applyBorder="1" applyAlignment="1">
      <alignment horizontal="justify" vertical="center"/>
    </xf>
    <xf numFmtId="1" fontId="27" fillId="0" borderId="15" xfId="0" applyNumberFormat="1" applyFont="1" applyFill="1" applyBorder="1" applyAlignment="1">
      <alignment horizontal="center" vertical="top"/>
    </xf>
    <xf numFmtId="0" fontId="29" fillId="0" borderId="0" xfId="0" applyFont="1"/>
    <xf numFmtId="0" fontId="25" fillId="24" borderId="14" xfId="0" applyFont="1" applyFill="1" applyBorder="1" applyAlignment="1">
      <alignment horizontal="center" vertical="center"/>
    </xf>
    <xf numFmtId="0" fontId="25" fillId="24" borderId="21" xfId="0" applyFont="1" applyFill="1" applyBorder="1" applyAlignment="1">
      <alignment horizontal="center" vertical="center"/>
    </xf>
    <xf numFmtId="0" fontId="25" fillId="24" borderId="12" xfId="0" applyFont="1" applyFill="1" applyBorder="1" applyAlignment="1">
      <alignment horizontal="center" vertical="center"/>
    </xf>
    <xf numFmtId="0" fontId="25" fillId="24" borderId="12" xfId="0" applyFont="1" applyFill="1" applyBorder="1" applyAlignment="1">
      <alignment horizontal="center" vertical="center" wrapText="1"/>
    </xf>
    <xf numFmtId="167" fontId="25" fillId="24" borderId="13" xfId="0" applyNumberFormat="1" applyFont="1" applyFill="1" applyBorder="1" applyAlignment="1">
      <alignment horizontal="center" vertical="center" wrapText="1"/>
    </xf>
    <xf numFmtId="167" fontId="25" fillId="24" borderId="14" xfId="0" applyNumberFormat="1" applyFont="1" applyFill="1" applyBorder="1" applyAlignment="1">
      <alignment horizontal="center" vertical="center" wrapText="1"/>
    </xf>
    <xf numFmtId="0" fontId="0" fillId="25" borderId="0" xfId="0" applyFill="1"/>
    <xf numFmtId="0" fontId="25" fillId="24" borderId="0" xfId="0" applyFont="1" applyFill="1"/>
    <xf numFmtId="0" fontId="0" fillId="24" borderId="0" xfId="0" applyFill="1"/>
    <xf numFmtId="0" fontId="25" fillId="24" borderId="16" xfId="0" applyFont="1" applyFill="1" applyBorder="1" applyAlignment="1">
      <alignment horizontal="center" vertical="center"/>
    </xf>
    <xf numFmtId="0" fontId="25" fillId="24" borderId="11" xfId="0" applyFont="1" applyFill="1" applyBorder="1" applyAlignment="1">
      <alignment horizontal="center" vertical="center"/>
    </xf>
    <xf numFmtId="0" fontId="25" fillId="24" borderId="11" xfId="0" applyFont="1" applyFill="1" applyBorder="1" applyAlignment="1">
      <alignment vertical="center"/>
    </xf>
    <xf numFmtId="0" fontId="27" fillId="24" borderId="11" xfId="0" applyFont="1" applyFill="1" applyBorder="1"/>
    <xf numFmtId="167" fontId="27" fillId="24" borderId="11" xfId="0" applyNumberFormat="1" applyFont="1" applyFill="1" applyBorder="1"/>
    <xf numFmtId="44" fontId="25" fillId="24" borderId="16" xfId="91" applyFont="1" applyFill="1" applyBorder="1"/>
    <xf numFmtId="0" fontId="25" fillId="24" borderId="22" xfId="0" applyFont="1" applyFill="1" applyBorder="1" applyAlignment="1">
      <alignment vertical="center"/>
    </xf>
    <xf numFmtId="0" fontId="25" fillId="24" borderId="16" xfId="0" applyFont="1" applyFill="1" applyBorder="1" applyAlignment="1">
      <alignment horizontal="center"/>
    </xf>
    <xf numFmtId="1" fontId="27" fillId="0" borderId="15" xfId="0" applyNumberFormat="1" applyFont="1" applyFill="1" applyBorder="1" applyAlignment="1">
      <alignment horizontal="center"/>
    </xf>
    <xf numFmtId="0" fontId="27" fillId="0" borderId="0" xfId="0" applyFont="1" applyAlignment="1">
      <alignment wrapText="1"/>
    </xf>
    <xf numFmtId="9" fontId="27" fillId="0" borderId="0" xfId="0" applyNumberFormat="1" applyFont="1" applyBorder="1" applyAlignment="1"/>
    <xf numFmtId="0" fontId="27" fillId="0" borderId="0" xfId="0" applyFont="1" applyFill="1" applyBorder="1" applyAlignment="1">
      <alignment horizontal="center"/>
    </xf>
    <xf numFmtId="165" fontId="27" fillId="0" borderId="0" xfId="0" applyNumberFormat="1" applyFont="1" applyBorder="1" applyAlignment="1"/>
    <xf numFmtId="41" fontId="27" fillId="0" borderId="0" xfId="0" applyNumberFormat="1" applyFont="1" applyFill="1" applyBorder="1" applyAlignment="1">
      <alignment horizontal="right"/>
    </xf>
    <xf numFmtId="166" fontId="27" fillId="0" borderId="0" xfId="0" applyNumberFormat="1" applyFont="1" applyBorder="1" applyAlignment="1"/>
    <xf numFmtId="0" fontId="27" fillId="0" borderId="0" xfId="0" applyFont="1" applyAlignment="1"/>
    <xf numFmtId="1" fontId="27" fillId="0" borderId="0" xfId="0" applyNumberFormat="1" applyFont="1"/>
    <xf numFmtId="0" fontId="24" fillId="0" borderId="10" xfId="0" applyFont="1" applyFill="1" applyBorder="1" applyAlignment="1">
      <alignment horizontal="left" vertical="top"/>
    </xf>
    <xf numFmtId="0" fontId="24" fillId="0" borderId="23" xfId="0" applyFont="1" applyFill="1" applyBorder="1" applyAlignment="1">
      <alignment horizontal="left" vertical="top"/>
    </xf>
    <xf numFmtId="0" fontId="27" fillId="0" borderId="0" xfId="0" applyFont="1" applyAlignment="1">
      <alignment horizontal="right" wrapText="1"/>
    </xf>
    <xf numFmtId="1" fontId="27" fillId="0" borderId="0" xfId="0" applyNumberFormat="1" applyFont="1" applyAlignment="1">
      <alignment horizontal="right"/>
    </xf>
    <xf numFmtId="3" fontId="27" fillId="0" borderId="0" xfId="0" applyNumberFormat="1" applyFont="1"/>
    <xf numFmtId="0" fontId="27" fillId="0" borderId="0" xfId="0" applyFont="1" applyAlignment="1">
      <alignment horizontal="right" vertical="center" wrapText="1"/>
    </xf>
    <xf numFmtId="0" fontId="27" fillId="0" borderId="0" xfId="0" applyFont="1" applyBorder="1" applyAlignment="1">
      <alignment wrapText="1"/>
    </xf>
    <xf numFmtId="0" fontId="27" fillId="0" borderId="0" xfId="0" applyFont="1" applyBorder="1" applyAlignment="1"/>
    <xf numFmtId="0" fontId="27" fillId="0" borderId="15" xfId="0" applyFont="1" applyBorder="1" applyAlignment="1"/>
    <xf numFmtId="0" fontId="0" fillId="0" borderId="0" xfId="0" applyAlignment="1"/>
    <xf numFmtId="0" fontId="27" fillId="0" borderId="0" xfId="0" applyFont="1"/>
    <xf numFmtId="0" fontId="25" fillId="0" borderId="0" xfId="0" applyFont="1"/>
    <xf numFmtId="0" fontId="27" fillId="0" borderId="0" xfId="0" applyFont="1" applyAlignment="1">
      <alignment horizontal="right"/>
    </xf>
    <xf numFmtId="0" fontId="24" fillId="0" borderId="10" xfId="0" applyFont="1" applyFill="1" applyBorder="1" applyAlignment="1">
      <alignment horizontal="left" vertical="top"/>
    </xf>
    <xf numFmtId="167" fontId="25" fillId="24" borderId="12" xfId="0" applyNumberFormat="1" applyFont="1" applyFill="1" applyBorder="1" applyAlignment="1">
      <alignment horizontal="center" vertical="center" wrapText="1"/>
    </xf>
    <xf numFmtId="0" fontId="32" fillId="0" borderId="0" xfId="0" applyFont="1"/>
    <xf numFmtId="0" fontId="24" fillId="0" borderId="17" xfId="0" applyFont="1" applyFill="1" applyBorder="1" applyAlignment="1">
      <alignment horizontal="left" vertical="top"/>
    </xf>
    <xf numFmtId="0" fontId="24" fillId="0" borderId="10" xfId="0" applyFont="1" applyFill="1" applyBorder="1" applyAlignment="1">
      <alignment horizontal="left" vertical="top"/>
    </xf>
    <xf numFmtId="0" fontId="24" fillId="0" borderId="23" xfId="0" applyFont="1" applyFill="1" applyBorder="1" applyAlignment="1">
      <alignment horizontal="left" vertical="top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left" vertical="top"/>
    </xf>
  </cellXfs>
  <cellStyles count="92">
    <cellStyle name="20% - Accent1 2" xfId="1"/>
    <cellStyle name="20% - Accent1 3" xfId="2"/>
    <cellStyle name="20% - Accent2 2" xfId="3"/>
    <cellStyle name="20% - Accent2 3" xfId="4"/>
    <cellStyle name="20% - Accent3 2" xfId="5"/>
    <cellStyle name="20% - Accent3 3" xfId="6"/>
    <cellStyle name="20% - Accent4 2" xfId="7"/>
    <cellStyle name="20% - Accent4 3" xfId="8"/>
    <cellStyle name="20% - Accent5 2" xfId="9"/>
    <cellStyle name="20% - Accent5 3" xfId="10"/>
    <cellStyle name="20% - Accent6 2" xfId="11"/>
    <cellStyle name="20% - Accent6 3" xfId="12"/>
    <cellStyle name="40% - Accent1 2" xfId="13"/>
    <cellStyle name="40% - Accent1 3" xfId="14"/>
    <cellStyle name="40% - Accent2 2" xfId="15"/>
    <cellStyle name="40% - Accent2 3" xfId="16"/>
    <cellStyle name="40% - Accent3 2" xfId="17"/>
    <cellStyle name="40% - Accent3 3" xfId="18"/>
    <cellStyle name="40% - Accent4 2" xfId="19"/>
    <cellStyle name="40% - Accent4 3" xfId="20"/>
    <cellStyle name="40% - Accent5 2" xfId="21"/>
    <cellStyle name="40% - Accent5 3" xfId="22"/>
    <cellStyle name="40% - Accent6 2" xfId="23"/>
    <cellStyle name="40% - Accent6 3" xfId="24"/>
    <cellStyle name="60% - Accent1 2" xfId="25"/>
    <cellStyle name="60% - Accent1 3" xfId="26"/>
    <cellStyle name="60% - Accent2 2" xfId="27"/>
    <cellStyle name="60% - Accent2 3" xfId="28"/>
    <cellStyle name="60% - Accent3 2" xfId="29"/>
    <cellStyle name="60% - Accent3 3" xfId="30"/>
    <cellStyle name="60% - Accent4 2" xfId="31"/>
    <cellStyle name="60% - Accent4 3" xfId="32"/>
    <cellStyle name="60% - Accent5 2" xfId="33"/>
    <cellStyle name="60% - Accent5 3" xfId="34"/>
    <cellStyle name="60% - Accent6 2" xfId="35"/>
    <cellStyle name="60% - Accent6 3" xfId="36"/>
    <cellStyle name="Accent1 2" xfId="37"/>
    <cellStyle name="Accent1 3" xfId="38"/>
    <cellStyle name="Accent2 2" xfId="39"/>
    <cellStyle name="Accent2 3" xfId="40"/>
    <cellStyle name="Accent3 2" xfId="41"/>
    <cellStyle name="Accent3 3" xfId="42"/>
    <cellStyle name="Accent4 2" xfId="43"/>
    <cellStyle name="Accent4 3" xfId="44"/>
    <cellStyle name="Accent5 2" xfId="45"/>
    <cellStyle name="Accent5 3" xfId="46"/>
    <cellStyle name="Accent6 2" xfId="47"/>
    <cellStyle name="Accent6 3" xfId="48"/>
    <cellStyle name="Bad 2" xfId="49"/>
    <cellStyle name="Bad 3" xfId="50"/>
    <cellStyle name="Calculation 2" xfId="51"/>
    <cellStyle name="Calculation 3" xfId="52"/>
    <cellStyle name="Check Cell 2" xfId="53"/>
    <cellStyle name="Check Cell 3" xfId="54"/>
    <cellStyle name="Comma 2" xfId="55"/>
    <cellStyle name="Comma 2 2" xfId="90"/>
    <cellStyle name="Currency" xfId="91" builtinId="4"/>
    <cellStyle name="Explanatory Text 2" xfId="56"/>
    <cellStyle name="Explanatory Text 3" xfId="57"/>
    <cellStyle name="Good 2" xfId="58"/>
    <cellStyle name="Good 3" xfId="59"/>
    <cellStyle name="Heading 1 2" xfId="60"/>
    <cellStyle name="Heading 1 3" xfId="61"/>
    <cellStyle name="Heading 2 2" xfId="62"/>
    <cellStyle name="Heading 2 3" xfId="63"/>
    <cellStyle name="Heading 3 2" xfId="64"/>
    <cellStyle name="Heading 3 3" xfId="65"/>
    <cellStyle name="Heading 4 2" xfId="66"/>
    <cellStyle name="Heading 4 3" xfId="67"/>
    <cellStyle name="Input 2" xfId="68"/>
    <cellStyle name="Input 3" xfId="69"/>
    <cellStyle name="Linked Cell 2" xfId="70"/>
    <cellStyle name="Linked Cell 3" xfId="71"/>
    <cellStyle name="Neutral 2" xfId="72"/>
    <cellStyle name="Neutral 3" xfId="73"/>
    <cellStyle name="Normal" xfId="0" builtinId="0"/>
    <cellStyle name="Normal 2" xfId="89"/>
    <cellStyle name="Normal 2 2" xfId="74"/>
    <cellStyle name="Normal 2 3" xfId="75"/>
    <cellStyle name="Normal 3" xfId="76"/>
    <cellStyle name="Normal 4" xfId="88"/>
    <cellStyle name="Normal 6" xfId="77"/>
    <cellStyle name="Note 2" xfId="78"/>
    <cellStyle name="Note 3" xfId="79"/>
    <cellStyle name="Output 2" xfId="80"/>
    <cellStyle name="Output 3" xfId="81"/>
    <cellStyle name="Title 2" xfId="82"/>
    <cellStyle name="Title 3" xfId="83"/>
    <cellStyle name="Total 2" xfId="84"/>
    <cellStyle name="Total 3" xfId="85"/>
    <cellStyle name="Warning Text 2" xfId="86"/>
    <cellStyle name="Warning Text 3" xfId="87"/>
  </cellStyles>
  <dxfs count="0"/>
  <tableStyles count="0" defaultTableStyle="TableStyleMedium9" defaultPivotStyle="PivotStyleLight16"/>
  <colors>
    <mruColors>
      <color rgb="FF333333"/>
      <color rgb="FF5F5F5F"/>
      <color rgb="FFFFFFFF"/>
      <color rgb="FF6DD9FF"/>
      <color rgb="FF2DC8FF"/>
      <color rgb="FF48B8E0"/>
      <color rgb="FFD4F5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270-42F4-9743-348F5691726B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r2="http://schemas.microsoft.com/office/drawing/2015/06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7370800"/>
        <c:axId val="257366880"/>
      </c:barChart>
      <c:catAx>
        <c:axId val="25737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257366880"/>
        <c:crosses val="autoZero"/>
        <c:auto val="1"/>
        <c:lblAlgn val="ctr"/>
        <c:lblOffset val="100"/>
        <c:noMultiLvlLbl val="0"/>
      </c:catAx>
      <c:valAx>
        <c:axId val="25736688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25737080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41" workbookViewId="0"/>
  </sheetViews>
  <pageMargins left="0.7" right="0.7" top="0.75" bottom="0.75" header="0.3" footer="0.3"/>
  <pageSetup orientation="landscape" r:id="rId1"/>
  <drawing r:id="rId2"/>
</chartsheet>
</file>

<file path=xl/ctrlProps/ctrlProp1.xml><?xml version="1.0" encoding="utf-8"?>
<formControlPr xmlns="http://schemas.microsoft.com/office/spreadsheetml/2009/9/main" objectType="CheckBox" checked="Checked" fmlaLink="#REF!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fmlaLink="#REF!" lockText="1" noThreeD="1"/>
</file>

<file path=xl/ctrlProps/ctrlProp5.xml><?xml version="1.0" encoding="utf-8"?>
<formControlPr xmlns="http://schemas.microsoft.com/office/spreadsheetml/2009/9/main" objectType="CheckBox" fmlaLink="#REF!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fmlaLink="#REF!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fmlaLink="#REF!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fmlaLink="#REF!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fmlaLink="#REF!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fmlaLink="#REF!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fmlaLink="#REF!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fmlaLink="#REF!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fmlaLink="#REF!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fmlaLink="#REF!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fmlaLink="#REF!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fmlaLink="#REF!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fmlaLink="#REF!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fmlaLink="#REF!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fmlaLink="#REF!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fmlaLink="#REF!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fmlaLink="#REF!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fmlaLink="#REF!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fmlaLink="#REF!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fmlaLink="#REF!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fmlaLink="#REF!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fmlaLink="#REF!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fmlaLink="#REF!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fmlaLink="#REF!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fmlaLink="#REF!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fmlaLink="#REF!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fmlaLink="#REF!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fmlaLink="#REF!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fmlaLink="#REF!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fmlaLink="#REF!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fmlaLink="#REF!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fmlaLink="#REF!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fmlaLink="#REF!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fmlaLink="#REF!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fmlaLink="#REF!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fmlaLink="#REF!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fmlaLink="#REF!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225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829</xdr:row>
          <xdr:rowOff>57150</xdr:rowOff>
        </xdr:from>
        <xdr:to>
          <xdr:col>3</xdr:col>
          <xdr:colOff>533400</xdr:colOff>
          <xdr:row>830</xdr:row>
          <xdr:rowOff>88900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C826"/>
  <sheetViews>
    <sheetView tabSelected="1" view="pageBreakPreview" zoomScaleSheetLayoutView="100" workbookViewId="0">
      <pane ySplit="5" topLeftCell="A6" activePane="bottomLeft" state="frozen"/>
      <selection pane="bottomLeft" sqref="A1:C1"/>
    </sheetView>
  </sheetViews>
  <sheetFormatPr defaultRowHeight="15.5" x14ac:dyDescent="0.35"/>
  <cols>
    <col min="1" max="1" width="4.4609375" customWidth="1"/>
    <col min="2" max="2" width="10.07421875" customWidth="1"/>
    <col min="3" max="3" width="38" customWidth="1"/>
    <col min="4" max="4" width="8.07421875" customWidth="1"/>
    <col min="5" max="5" width="8.53515625" customWidth="1"/>
    <col min="6" max="6" width="9.3046875" customWidth="1"/>
    <col min="7" max="9" width="10.765625" customWidth="1"/>
    <col min="10" max="10" width="9.23046875" bestFit="1" customWidth="1"/>
    <col min="11" max="11" width="10.53515625" customWidth="1"/>
    <col min="12" max="12" width="11" customWidth="1"/>
  </cols>
  <sheetData>
    <row r="1" spans="1:185" ht="18.5" x14ac:dyDescent="0.45">
      <c r="A1" s="79"/>
      <c r="B1" s="79"/>
      <c r="C1" s="79"/>
      <c r="F1" s="31"/>
      <c r="G1" s="13"/>
      <c r="H1" s="13"/>
      <c r="I1" s="13"/>
    </row>
    <row r="2" spans="1:185" ht="18.5" x14ac:dyDescent="0.45">
      <c r="A2" s="79"/>
      <c r="B2" s="79"/>
      <c r="C2" s="79"/>
      <c r="F2" s="77"/>
      <c r="G2" s="78"/>
      <c r="H2" s="78"/>
      <c r="I2" s="78"/>
      <c r="J2" s="78"/>
      <c r="K2" s="78"/>
      <c r="L2" s="78"/>
    </row>
    <row r="3" spans="1:185" ht="18.5" x14ac:dyDescent="0.35">
      <c r="A3" s="80"/>
      <c r="B3" s="80"/>
      <c r="C3" s="80"/>
      <c r="F3" s="77"/>
      <c r="G3" s="78"/>
      <c r="H3" s="78"/>
      <c r="I3" s="78"/>
      <c r="J3" s="78"/>
      <c r="K3" s="78"/>
      <c r="L3" s="78"/>
      <c r="M3" s="13"/>
    </row>
    <row r="4" spans="1:185" ht="18.75" customHeight="1" x14ac:dyDescent="0.45">
      <c r="A4" s="73"/>
      <c r="B4" s="73"/>
      <c r="C4" s="73"/>
      <c r="F4" s="31"/>
      <c r="G4" s="14"/>
      <c r="H4" s="14"/>
      <c r="I4" s="14"/>
    </row>
    <row r="5" spans="1:185" s="40" customFormat="1" ht="44" thickBot="1" x14ac:dyDescent="0.4">
      <c r="A5" s="32" t="s">
        <v>2</v>
      </c>
      <c r="B5" s="33" t="s">
        <v>11</v>
      </c>
      <c r="C5" s="34" t="s">
        <v>0</v>
      </c>
      <c r="D5" s="34" t="s">
        <v>3</v>
      </c>
      <c r="E5" s="35" t="s">
        <v>4</v>
      </c>
      <c r="F5" s="35" t="s">
        <v>5</v>
      </c>
      <c r="G5" s="35" t="s">
        <v>6</v>
      </c>
      <c r="H5" s="35" t="s">
        <v>696</v>
      </c>
      <c r="I5" s="35" t="s">
        <v>697</v>
      </c>
      <c r="J5" s="72" t="s">
        <v>695</v>
      </c>
      <c r="K5" s="36" t="s">
        <v>7</v>
      </c>
      <c r="L5" s="37" t="s">
        <v>8</v>
      </c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  <c r="FU5" s="39"/>
      <c r="FV5" s="39"/>
      <c r="FW5" s="39"/>
      <c r="FX5" s="39"/>
      <c r="FY5" s="39"/>
      <c r="FZ5" s="39"/>
      <c r="GA5" s="39"/>
      <c r="GB5" s="39"/>
      <c r="GC5" s="39"/>
    </row>
    <row r="6" spans="1:185" ht="16" thickBot="1" x14ac:dyDescent="0.4">
      <c r="A6" s="30"/>
      <c r="B6" s="6"/>
      <c r="C6" s="27"/>
      <c r="D6" s="28"/>
      <c r="E6" s="7"/>
      <c r="F6" s="28"/>
      <c r="G6" s="26"/>
      <c r="H6" s="26"/>
      <c r="I6" s="26"/>
      <c r="J6" s="8"/>
      <c r="K6" s="9"/>
      <c r="L6" s="10"/>
    </row>
    <row r="7" spans="1:185" ht="16" thickBot="1" x14ac:dyDescent="0.4">
      <c r="A7" s="48" t="str">
        <f>IF(F7&lt;&gt;"",1+MAX(#REF!),"")</f>
        <v/>
      </c>
      <c r="B7" s="42" t="s">
        <v>14</v>
      </c>
      <c r="C7" s="43" t="s">
        <v>15</v>
      </c>
      <c r="D7" s="44"/>
      <c r="E7" s="44"/>
      <c r="F7" s="44"/>
      <c r="G7" s="44"/>
      <c r="H7" s="44"/>
      <c r="I7" s="44"/>
      <c r="J7" s="45"/>
      <c r="K7" s="45"/>
      <c r="L7" s="46">
        <f>SUM(K8:K26)</f>
        <v>0</v>
      </c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</row>
    <row r="8" spans="1:185" x14ac:dyDescent="0.35">
      <c r="A8" s="49"/>
      <c r="B8" s="6"/>
      <c r="C8" s="27"/>
      <c r="D8" s="28"/>
      <c r="E8" s="7"/>
      <c r="F8" s="28"/>
      <c r="G8" s="26"/>
      <c r="H8" s="26"/>
      <c r="I8" s="26"/>
      <c r="J8" s="8"/>
      <c r="K8" s="9"/>
      <c r="L8" s="10"/>
    </row>
    <row r="9" spans="1:185" x14ac:dyDescent="0.35">
      <c r="A9" s="49">
        <f>IF(F9&lt;&gt;"",1+MAX($A$7:A8),"")</f>
        <v>1</v>
      </c>
      <c r="B9" s="6"/>
      <c r="C9" s="29" t="s">
        <v>17</v>
      </c>
      <c r="D9" s="28">
        <v>1</v>
      </c>
      <c r="E9" s="7">
        <v>0</v>
      </c>
      <c r="F9" s="28">
        <f>D9*(1+E9)</f>
        <v>1</v>
      </c>
      <c r="G9" s="26" t="s">
        <v>16</v>
      </c>
      <c r="H9" s="26"/>
      <c r="I9" s="26"/>
      <c r="J9" s="8"/>
      <c r="K9" s="9">
        <f>J9*F9</f>
        <v>0</v>
      </c>
      <c r="L9" s="10"/>
    </row>
    <row r="10" spans="1:185" x14ac:dyDescent="0.35">
      <c r="A10" s="49">
        <f>IF(F10&lt;&gt;"",1+MAX($A$7:A9),"")</f>
        <v>2</v>
      </c>
      <c r="B10" s="6"/>
      <c r="C10" s="29" t="s">
        <v>18</v>
      </c>
      <c r="D10" s="28">
        <v>1</v>
      </c>
      <c r="E10" s="7">
        <v>0</v>
      </c>
      <c r="F10" s="28">
        <f t="shared" ref="F10:F24" si="0">D10*(1+E10)</f>
        <v>1</v>
      </c>
      <c r="G10" s="26" t="s">
        <v>16</v>
      </c>
      <c r="H10" s="26"/>
      <c r="I10" s="26"/>
      <c r="J10" s="8"/>
      <c r="K10" s="9">
        <f t="shared" ref="K10:K24" si="1">J10*F10</f>
        <v>0</v>
      </c>
      <c r="L10" s="10"/>
    </row>
    <row r="11" spans="1:185" ht="30.75" customHeight="1" x14ac:dyDescent="0.35">
      <c r="A11" s="49">
        <f>IF(F11&lt;&gt;"",1+MAX($A$7:A10),"")</f>
        <v>3</v>
      </c>
      <c r="B11" s="6"/>
      <c r="C11" s="29" t="s">
        <v>19</v>
      </c>
      <c r="D11" s="28">
        <v>1</v>
      </c>
      <c r="E11" s="7">
        <v>0</v>
      </c>
      <c r="F11" s="28">
        <f t="shared" si="0"/>
        <v>1</v>
      </c>
      <c r="G11" s="26" t="s">
        <v>16</v>
      </c>
      <c r="H11" s="26"/>
      <c r="I11" s="26"/>
      <c r="J11" s="8"/>
      <c r="K11" s="9">
        <f t="shared" si="1"/>
        <v>0</v>
      </c>
      <c r="L11" s="10"/>
    </row>
    <row r="12" spans="1:185" ht="30" customHeight="1" x14ac:dyDescent="0.35">
      <c r="A12" s="49">
        <f>IF(F12&lt;&gt;"",1+MAX($A$7:A11),"")</f>
        <v>4</v>
      </c>
      <c r="B12" s="6"/>
      <c r="C12" s="29" t="s">
        <v>20</v>
      </c>
      <c r="D12" s="28">
        <v>1</v>
      </c>
      <c r="E12" s="7">
        <v>0</v>
      </c>
      <c r="F12" s="28">
        <f t="shared" si="0"/>
        <v>1</v>
      </c>
      <c r="G12" s="26" t="s">
        <v>16</v>
      </c>
      <c r="H12" s="26"/>
      <c r="I12" s="26"/>
      <c r="J12" s="8"/>
      <c r="K12" s="9">
        <f t="shared" si="1"/>
        <v>0</v>
      </c>
      <c r="L12" s="10"/>
    </row>
    <row r="13" spans="1:185" ht="25.5" customHeight="1" x14ac:dyDescent="0.35">
      <c r="A13" s="49">
        <f>IF(F13&lt;&gt;"",1+MAX($A$7:A12),"")</f>
        <v>5</v>
      </c>
      <c r="B13" s="6"/>
      <c r="C13" s="29" t="s">
        <v>21</v>
      </c>
      <c r="D13" s="28">
        <v>1</v>
      </c>
      <c r="E13" s="7">
        <v>0</v>
      </c>
      <c r="F13" s="28">
        <f t="shared" si="0"/>
        <v>1</v>
      </c>
      <c r="G13" s="26" t="s">
        <v>16</v>
      </c>
      <c r="H13" s="26"/>
      <c r="I13" s="26"/>
      <c r="J13" s="8"/>
      <c r="K13" s="9">
        <f t="shared" si="1"/>
        <v>0</v>
      </c>
      <c r="L13" s="10"/>
    </row>
    <row r="14" spans="1:185" ht="31.5" customHeight="1" x14ac:dyDescent="0.35">
      <c r="A14" s="49">
        <f>IF(F14&lt;&gt;"",1+MAX($A$7:A13),"")</f>
        <v>6</v>
      </c>
      <c r="B14" s="6"/>
      <c r="C14" s="29" t="s">
        <v>22</v>
      </c>
      <c r="D14" s="28">
        <v>1</v>
      </c>
      <c r="E14" s="7">
        <v>0</v>
      </c>
      <c r="F14" s="28">
        <f t="shared" si="0"/>
        <v>1</v>
      </c>
      <c r="G14" s="26" t="s">
        <v>16</v>
      </c>
      <c r="H14" s="26"/>
      <c r="I14" s="26"/>
      <c r="J14" s="8"/>
      <c r="K14" s="9">
        <f t="shared" si="1"/>
        <v>0</v>
      </c>
      <c r="L14" s="10"/>
    </row>
    <row r="15" spans="1:185" ht="33.75" customHeight="1" x14ac:dyDescent="0.35">
      <c r="A15" s="49">
        <f>IF(F15&lt;&gt;"",1+MAX($A$7:A14),"")</f>
        <v>7</v>
      </c>
      <c r="B15" s="6"/>
      <c r="C15" s="29" t="s">
        <v>23</v>
      </c>
      <c r="D15" s="28">
        <v>1</v>
      </c>
      <c r="E15" s="7">
        <v>0</v>
      </c>
      <c r="F15" s="28">
        <f t="shared" si="0"/>
        <v>1</v>
      </c>
      <c r="G15" s="26" t="s">
        <v>16</v>
      </c>
      <c r="H15" s="26"/>
      <c r="I15" s="26"/>
      <c r="J15" s="8"/>
      <c r="K15" s="9">
        <f t="shared" si="1"/>
        <v>0</v>
      </c>
      <c r="L15" s="10"/>
    </row>
    <row r="16" spans="1:185" ht="29" x14ac:dyDescent="0.35">
      <c r="A16" s="49">
        <f>IF(F16&lt;&gt;"",1+MAX($A$7:A15),"")</f>
        <v>8</v>
      </c>
      <c r="B16" s="6"/>
      <c r="C16" s="29" t="s">
        <v>35</v>
      </c>
      <c r="D16" s="28">
        <v>1</v>
      </c>
      <c r="E16" s="7">
        <v>0</v>
      </c>
      <c r="F16" s="28">
        <f t="shared" si="0"/>
        <v>1</v>
      </c>
      <c r="G16" s="26" t="s">
        <v>16</v>
      </c>
      <c r="H16" s="26"/>
      <c r="I16" s="26"/>
      <c r="J16" s="8"/>
      <c r="K16" s="9">
        <f t="shared" si="1"/>
        <v>0</v>
      </c>
      <c r="L16" s="10"/>
    </row>
    <row r="17" spans="1:185" x14ac:dyDescent="0.35">
      <c r="A17" s="49">
        <f>IF(F17&lt;&gt;"",1+MAX($A$7:A16),"")</f>
        <v>9</v>
      </c>
      <c r="B17" s="6"/>
      <c r="C17" s="29" t="s">
        <v>24</v>
      </c>
      <c r="D17" s="28">
        <v>1</v>
      </c>
      <c r="E17" s="7">
        <v>0</v>
      </c>
      <c r="F17" s="28">
        <f t="shared" si="0"/>
        <v>1</v>
      </c>
      <c r="G17" s="26" t="s">
        <v>16</v>
      </c>
      <c r="H17" s="26"/>
      <c r="I17" s="26"/>
      <c r="J17" s="8"/>
      <c r="K17" s="9">
        <f t="shared" si="1"/>
        <v>0</v>
      </c>
      <c r="L17" s="10"/>
    </row>
    <row r="18" spans="1:185" x14ac:dyDescent="0.35">
      <c r="A18" s="49">
        <f>IF(F18&lt;&gt;"",1+MAX($A$7:A17),"")</f>
        <v>10</v>
      </c>
      <c r="B18" s="6"/>
      <c r="C18" s="29" t="s">
        <v>25</v>
      </c>
      <c r="D18" s="28">
        <v>1</v>
      </c>
      <c r="E18" s="7">
        <v>0</v>
      </c>
      <c r="F18" s="28">
        <f t="shared" si="0"/>
        <v>1</v>
      </c>
      <c r="G18" s="26" t="s">
        <v>16</v>
      </c>
      <c r="H18" s="26"/>
      <c r="I18" s="26"/>
      <c r="J18" s="8"/>
      <c r="K18" s="9">
        <f t="shared" si="1"/>
        <v>0</v>
      </c>
      <c r="L18" s="10"/>
    </row>
    <row r="19" spans="1:185" x14ac:dyDescent="0.35">
      <c r="A19" s="49" t="str">
        <f>IF(F19&lt;&gt;"",1+MAX($A$7:A18),"")</f>
        <v/>
      </c>
      <c r="B19" s="6"/>
      <c r="C19" s="27" t="s">
        <v>26</v>
      </c>
      <c r="D19" s="28"/>
      <c r="E19" s="7"/>
      <c r="F19" s="28"/>
      <c r="G19" s="26"/>
      <c r="H19" s="26"/>
      <c r="I19" s="26"/>
      <c r="J19" s="8"/>
      <c r="K19" s="9"/>
      <c r="L19" s="10"/>
    </row>
    <row r="20" spans="1:185" x14ac:dyDescent="0.35">
      <c r="A20" s="49">
        <f>IF(F20&lt;&gt;"",1+MAX($A$7:A19),"")</f>
        <v>11</v>
      </c>
      <c r="B20" s="6"/>
      <c r="C20" s="29" t="s">
        <v>27</v>
      </c>
      <c r="D20" s="28">
        <v>1</v>
      </c>
      <c r="E20" s="7">
        <v>0</v>
      </c>
      <c r="F20" s="28">
        <f t="shared" si="0"/>
        <v>1</v>
      </c>
      <c r="G20" s="26" t="s">
        <v>16</v>
      </c>
      <c r="H20" s="26"/>
      <c r="I20" s="26"/>
      <c r="J20" s="8"/>
      <c r="K20" s="9">
        <f t="shared" si="1"/>
        <v>0</v>
      </c>
      <c r="L20" s="10"/>
    </row>
    <row r="21" spans="1:185" x14ac:dyDescent="0.35">
      <c r="A21" s="49">
        <f>IF(F21&lt;&gt;"",1+MAX($A$7:A20),"")</f>
        <v>12</v>
      </c>
      <c r="B21" s="6"/>
      <c r="C21" s="27" t="s">
        <v>28</v>
      </c>
      <c r="D21" s="28">
        <v>1</v>
      </c>
      <c r="E21" s="7">
        <v>0</v>
      </c>
      <c r="F21" s="28">
        <f t="shared" si="0"/>
        <v>1</v>
      </c>
      <c r="G21" s="26" t="s">
        <v>16</v>
      </c>
      <c r="H21" s="26"/>
      <c r="I21" s="26"/>
      <c r="J21" s="8"/>
      <c r="K21" s="9">
        <f t="shared" si="1"/>
        <v>0</v>
      </c>
      <c r="L21" s="10"/>
    </row>
    <row r="22" spans="1:185" x14ac:dyDescent="0.35">
      <c r="A22" s="49">
        <f>IF(F22&lt;&gt;"",1+MAX($A$7:A21),"")</f>
        <v>13</v>
      </c>
      <c r="B22" s="6"/>
      <c r="C22" s="27" t="s">
        <v>29</v>
      </c>
      <c r="D22" s="28">
        <v>1</v>
      </c>
      <c r="E22" s="7">
        <v>0</v>
      </c>
      <c r="F22" s="28">
        <f t="shared" si="0"/>
        <v>1</v>
      </c>
      <c r="G22" s="26" t="s">
        <v>16</v>
      </c>
      <c r="H22" s="26"/>
      <c r="I22" s="26"/>
      <c r="J22" s="8"/>
      <c r="K22" s="9">
        <f t="shared" si="1"/>
        <v>0</v>
      </c>
      <c r="L22" s="10"/>
    </row>
    <row r="23" spans="1:185" x14ac:dyDescent="0.35">
      <c r="A23" s="49">
        <f>IF(F23&lt;&gt;"",1+MAX($A$7:A22),"")</f>
        <v>14</v>
      </c>
      <c r="B23" s="6"/>
      <c r="C23" s="27" t="s">
        <v>30</v>
      </c>
      <c r="D23" s="28">
        <v>1</v>
      </c>
      <c r="E23" s="7">
        <v>0</v>
      </c>
      <c r="F23" s="28">
        <f t="shared" si="0"/>
        <v>1</v>
      </c>
      <c r="G23" s="26" t="s">
        <v>16</v>
      </c>
      <c r="H23" s="26"/>
      <c r="I23" s="26"/>
      <c r="J23" s="8"/>
      <c r="K23" s="9">
        <f t="shared" si="1"/>
        <v>0</v>
      </c>
      <c r="L23" s="10"/>
    </row>
    <row r="24" spans="1:185" x14ac:dyDescent="0.35">
      <c r="A24" s="49">
        <f>IF(F24&lt;&gt;"",1+MAX($A$7:A23),"")</f>
        <v>15</v>
      </c>
      <c r="B24" s="6"/>
      <c r="C24" s="27" t="s">
        <v>31</v>
      </c>
      <c r="D24" s="28">
        <v>1</v>
      </c>
      <c r="E24" s="7">
        <v>0</v>
      </c>
      <c r="F24" s="28">
        <f t="shared" si="0"/>
        <v>1</v>
      </c>
      <c r="G24" s="26" t="s">
        <v>16</v>
      </c>
      <c r="H24" s="26"/>
      <c r="I24" s="26"/>
      <c r="J24" s="8"/>
      <c r="K24" s="9">
        <f t="shared" si="1"/>
        <v>0</v>
      </c>
      <c r="L24" s="10"/>
    </row>
    <row r="25" spans="1:185" x14ac:dyDescent="0.35">
      <c r="A25" s="49" t="str">
        <f>IF(F25&lt;&gt;"",1+MAX($A$7:A24),"")</f>
        <v/>
      </c>
      <c r="B25" s="6"/>
      <c r="C25" s="27" t="s">
        <v>26</v>
      </c>
      <c r="D25" s="28"/>
      <c r="E25" s="7"/>
      <c r="F25" s="28"/>
      <c r="G25" s="26"/>
      <c r="H25" s="26"/>
      <c r="I25" s="26"/>
      <c r="J25" s="8"/>
      <c r="K25" s="9"/>
      <c r="L25" s="10"/>
    </row>
    <row r="26" spans="1:185" x14ac:dyDescent="0.35">
      <c r="A26" s="49">
        <f>IF(F26&lt;&gt;"",1+MAX($A$7:A25),"")</f>
        <v>16</v>
      </c>
      <c r="B26" s="6"/>
      <c r="C26" s="29" t="s">
        <v>32</v>
      </c>
      <c r="D26" s="28">
        <v>1</v>
      </c>
      <c r="E26" s="7">
        <v>0</v>
      </c>
      <c r="F26" s="28">
        <f>D26*(1+E26)</f>
        <v>1</v>
      </c>
      <c r="G26" s="26" t="s">
        <v>16</v>
      </c>
      <c r="H26" s="26"/>
      <c r="I26" s="26"/>
      <c r="J26" s="8"/>
      <c r="K26" s="9">
        <f>J26*F26</f>
        <v>0</v>
      </c>
      <c r="L26" s="10"/>
    </row>
    <row r="27" spans="1:185" ht="16" thickBot="1" x14ac:dyDescent="0.4">
      <c r="A27" s="49"/>
      <c r="B27" s="6"/>
      <c r="C27" s="29"/>
      <c r="D27" s="28"/>
      <c r="E27" s="7"/>
      <c r="F27" s="28"/>
      <c r="G27" s="26"/>
      <c r="H27" s="26"/>
      <c r="I27" s="26"/>
      <c r="J27" s="8"/>
      <c r="K27" s="9"/>
      <c r="L27" s="10"/>
    </row>
    <row r="28" spans="1:185" ht="16" thickBot="1" x14ac:dyDescent="0.4">
      <c r="A28" s="41" t="str">
        <f>IF(F28&lt;&gt;"",1+MAX($A$7:A27),"")</f>
        <v/>
      </c>
      <c r="B28" s="42" t="s">
        <v>53</v>
      </c>
      <c r="C28" s="43" t="s">
        <v>54</v>
      </c>
      <c r="D28" s="44"/>
      <c r="E28" s="44"/>
      <c r="F28" s="44"/>
      <c r="G28" s="44"/>
      <c r="H28" s="44"/>
      <c r="I28" s="44"/>
      <c r="J28" s="45"/>
      <c r="K28" s="45"/>
      <c r="L28" s="46">
        <f>SUM(K29:K35)</f>
        <v>0</v>
      </c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</row>
    <row r="29" spans="1:185" ht="16" thickBot="1" x14ac:dyDescent="0.4">
      <c r="A29" s="49"/>
      <c r="B29" s="6"/>
      <c r="E29" s="7"/>
      <c r="F29" s="28"/>
      <c r="G29" s="26"/>
      <c r="H29" s="26"/>
      <c r="I29" s="26"/>
      <c r="J29" s="8"/>
      <c r="K29" s="9"/>
      <c r="L29" s="10"/>
    </row>
    <row r="30" spans="1:185" ht="16" thickBot="1" x14ac:dyDescent="0.4">
      <c r="A30" s="41" t="str">
        <f>IF(F30&lt;&gt;"",1+MAX($A$7:A29),"")</f>
        <v/>
      </c>
      <c r="B30" s="42"/>
      <c r="C30" s="47" t="s">
        <v>354</v>
      </c>
      <c r="D30" s="28"/>
      <c r="E30" s="7"/>
      <c r="F30" s="28"/>
      <c r="G30" s="15"/>
      <c r="H30" s="15"/>
      <c r="I30" s="15"/>
      <c r="J30" s="8"/>
      <c r="K30" s="9"/>
      <c r="L30" s="10"/>
    </row>
    <row r="31" spans="1:185" x14ac:dyDescent="0.35">
      <c r="A31" s="49">
        <f>IF(F31&lt;&gt;"",1+MAX($A$7:A30),"")</f>
        <v>17</v>
      </c>
      <c r="B31" s="6"/>
      <c r="C31" s="27" t="s">
        <v>355</v>
      </c>
      <c r="D31" s="28">
        <v>33</v>
      </c>
      <c r="E31" s="7">
        <v>0</v>
      </c>
      <c r="F31" s="28">
        <f t="shared" ref="F31:F34" si="2">D31*(1+E31)</f>
        <v>33</v>
      </c>
      <c r="G31" s="26" t="s">
        <v>50</v>
      </c>
      <c r="H31" s="26"/>
      <c r="I31" s="26"/>
      <c r="J31" s="8"/>
      <c r="K31" s="9">
        <f t="shared" ref="K31:K34" si="3">J31*F31</f>
        <v>0</v>
      </c>
      <c r="L31" s="10"/>
    </row>
    <row r="32" spans="1:185" x14ac:dyDescent="0.35">
      <c r="A32" s="49">
        <f>IF(F32&lt;&gt;"",1+MAX($A$7:A31),"")</f>
        <v>18</v>
      </c>
      <c r="B32" s="6"/>
      <c r="C32" s="27" t="s">
        <v>356</v>
      </c>
      <c r="D32" s="28">
        <v>430</v>
      </c>
      <c r="E32" s="7">
        <v>0.1</v>
      </c>
      <c r="F32" s="28">
        <f t="shared" si="2"/>
        <v>473.00000000000006</v>
      </c>
      <c r="G32" s="26" t="s">
        <v>33</v>
      </c>
      <c r="H32" s="26"/>
      <c r="I32" s="26"/>
      <c r="J32" s="8"/>
      <c r="K32" s="9">
        <f t="shared" si="3"/>
        <v>0</v>
      </c>
      <c r="L32" s="10"/>
    </row>
    <row r="33" spans="1:185" x14ac:dyDescent="0.35">
      <c r="A33" s="49">
        <f>IF(F33&lt;&gt;"",1+MAX($A$7:A32),"")</f>
        <v>19</v>
      </c>
      <c r="B33" s="6"/>
      <c r="C33" s="27" t="s">
        <v>357</v>
      </c>
      <c r="D33" s="28">
        <v>461</v>
      </c>
      <c r="E33" s="7">
        <v>0.1</v>
      </c>
      <c r="F33" s="28">
        <f t="shared" si="2"/>
        <v>507.1</v>
      </c>
      <c r="G33" s="26" t="s">
        <v>34</v>
      </c>
      <c r="H33" s="26"/>
      <c r="I33" s="26"/>
      <c r="J33" s="8"/>
      <c r="K33" s="9">
        <f t="shared" si="3"/>
        <v>0</v>
      </c>
      <c r="L33" s="10"/>
    </row>
    <row r="34" spans="1:185" x14ac:dyDescent="0.35">
      <c r="A34" s="49">
        <f>IF(F34&lt;&gt;"",1+MAX($A$7:A33),"")</f>
        <v>20</v>
      </c>
      <c r="B34" s="6"/>
      <c r="C34" s="27" t="s">
        <v>358</v>
      </c>
      <c r="D34" s="28">
        <v>61</v>
      </c>
      <c r="E34" s="7">
        <v>0</v>
      </c>
      <c r="F34" s="28">
        <f t="shared" si="2"/>
        <v>61</v>
      </c>
      <c r="G34" s="26" t="s">
        <v>50</v>
      </c>
      <c r="H34" s="26"/>
      <c r="I34" s="26"/>
      <c r="J34" s="8"/>
      <c r="K34" s="9">
        <f t="shared" si="3"/>
        <v>0</v>
      </c>
      <c r="L34" s="10"/>
    </row>
    <row r="35" spans="1:185" ht="16" thickBot="1" x14ac:dyDescent="0.4">
      <c r="A35" s="49"/>
      <c r="B35" s="6"/>
      <c r="C35" s="29"/>
      <c r="D35" s="28"/>
      <c r="E35" s="7"/>
      <c r="F35" s="28"/>
      <c r="G35" s="26"/>
      <c r="H35" s="26"/>
      <c r="I35" s="26"/>
      <c r="J35" s="8"/>
      <c r="K35" s="9"/>
      <c r="L35" s="10"/>
    </row>
    <row r="36" spans="1:185" ht="16" thickBot="1" x14ac:dyDescent="0.4">
      <c r="A36" s="41" t="str">
        <f>IF(F36&lt;&gt;"",1+MAX($A$7:A16),"")</f>
        <v/>
      </c>
      <c r="B36" s="42" t="s">
        <v>36</v>
      </c>
      <c r="C36" s="43" t="s">
        <v>37</v>
      </c>
      <c r="D36" s="44"/>
      <c r="E36" s="44"/>
      <c r="F36" s="44"/>
      <c r="G36" s="44"/>
      <c r="H36" s="44"/>
      <c r="I36" s="44"/>
      <c r="J36" s="45"/>
      <c r="K36" s="45"/>
      <c r="L36" s="46">
        <f>SUM(K37:K52)</f>
        <v>0</v>
      </c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8"/>
      <c r="DG36" s="38"/>
      <c r="DH36" s="38"/>
      <c r="DI36" s="38"/>
      <c r="DJ36" s="38"/>
      <c r="DK36" s="38"/>
      <c r="DL36" s="38"/>
      <c r="DM36" s="38"/>
      <c r="DN36" s="38"/>
      <c r="DO36" s="38"/>
      <c r="DP36" s="38"/>
      <c r="DQ36" s="38"/>
      <c r="DR36" s="38"/>
      <c r="DS36" s="38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8"/>
      <c r="FC36" s="38"/>
      <c r="FD36" s="38"/>
      <c r="FE36" s="38"/>
      <c r="FF36" s="38"/>
      <c r="FG36" s="38"/>
      <c r="FH36" s="38"/>
      <c r="FI36" s="38"/>
      <c r="FJ36" s="38"/>
      <c r="FK36" s="38"/>
      <c r="FL36" s="38"/>
      <c r="FM36" s="38"/>
      <c r="FN36" s="38"/>
      <c r="FO36" s="38"/>
      <c r="FP36" s="38"/>
      <c r="FQ36" s="38"/>
      <c r="FR36" s="38"/>
      <c r="FS36" s="38"/>
      <c r="FT36" s="38"/>
      <c r="FU36" s="38"/>
      <c r="FV36" s="38"/>
      <c r="FW36" s="38"/>
      <c r="FX36" s="38"/>
      <c r="FY36" s="38"/>
      <c r="FZ36" s="38"/>
      <c r="GA36" s="38"/>
      <c r="GB36" s="38"/>
      <c r="GC36" s="38"/>
    </row>
    <row r="37" spans="1:185" ht="16" thickBot="1" x14ac:dyDescent="0.4">
      <c r="A37" s="49"/>
      <c r="B37" s="6"/>
      <c r="C37" s="29"/>
      <c r="D37" s="28"/>
      <c r="E37" s="7"/>
      <c r="F37" s="28"/>
      <c r="G37" s="26"/>
      <c r="H37" s="26"/>
      <c r="I37" s="26"/>
      <c r="J37" s="8"/>
      <c r="K37" s="9"/>
      <c r="L37" s="10"/>
    </row>
    <row r="38" spans="1:185" ht="16" thickBot="1" x14ac:dyDescent="0.4">
      <c r="A38" s="41" t="str">
        <f>IF(F38&lt;&gt;"",1+MAX($A$7:A37),"")</f>
        <v/>
      </c>
      <c r="B38" s="42"/>
      <c r="C38" s="47" t="s">
        <v>280</v>
      </c>
      <c r="D38" s="28"/>
      <c r="E38" s="7"/>
      <c r="F38" s="28"/>
      <c r="G38" s="15"/>
      <c r="H38" s="15"/>
      <c r="I38" s="15"/>
      <c r="J38" s="8"/>
      <c r="K38" s="9"/>
      <c r="L38" s="10"/>
    </row>
    <row r="39" spans="1:185" ht="43.5" x14ac:dyDescent="0.35">
      <c r="A39" s="49">
        <f>IF(F39&lt;&gt;"",1+MAX($A$7:A38),"")</f>
        <v>21</v>
      </c>
      <c r="B39" s="6"/>
      <c r="C39" s="27" t="s">
        <v>329</v>
      </c>
      <c r="D39" s="28">
        <v>1759</v>
      </c>
      <c r="E39" s="7">
        <v>0.1</v>
      </c>
      <c r="F39" s="28">
        <f t="shared" ref="F39" si="4">D39*(1+E39)</f>
        <v>1934.9</v>
      </c>
      <c r="G39" s="26" t="s">
        <v>38</v>
      </c>
      <c r="H39" s="26"/>
      <c r="I39" s="26"/>
      <c r="J39" s="8"/>
      <c r="K39" s="9">
        <f t="shared" ref="K39" si="5">J39*F39</f>
        <v>0</v>
      </c>
      <c r="L39" s="10"/>
    </row>
    <row r="40" spans="1:185" x14ac:dyDescent="0.35">
      <c r="A40" s="49">
        <f>IF(F40&lt;&gt;"",1+MAX($A$7:A39),"")</f>
        <v>22</v>
      </c>
      <c r="B40" s="6"/>
      <c r="C40" s="27" t="s">
        <v>284</v>
      </c>
      <c r="D40" s="28">
        <v>1602</v>
      </c>
      <c r="E40" s="7">
        <v>0.1</v>
      </c>
      <c r="F40" s="28">
        <f t="shared" ref="F40" si="6">D40*(1+E40)</f>
        <v>1762.2</v>
      </c>
      <c r="G40" s="26" t="s">
        <v>33</v>
      </c>
      <c r="H40" s="26"/>
      <c r="I40" s="26"/>
      <c r="J40" s="8"/>
      <c r="K40" s="9">
        <f t="shared" ref="K40" si="7">J40*F40</f>
        <v>0</v>
      </c>
      <c r="L40" s="10"/>
    </row>
    <row r="41" spans="1:185" ht="16" thickBot="1" x14ac:dyDescent="0.4">
      <c r="A41" s="49"/>
      <c r="B41" s="6"/>
      <c r="C41" s="50"/>
      <c r="D41" s="57"/>
      <c r="E41" s="51"/>
      <c r="F41" s="54"/>
      <c r="G41" s="52"/>
      <c r="H41" s="52"/>
      <c r="I41" s="52"/>
      <c r="J41" s="55"/>
      <c r="K41" s="53"/>
      <c r="L41" s="10"/>
    </row>
    <row r="42" spans="1:185" ht="17.25" customHeight="1" thickBot="1" x14ac:dyDescent="0.4">
      <c r="A42" s="41" t="str">
        <f>IF(F42&lt;&gt;"",1+MAX($A$7:A40),"")</f>
        <v/>
      </c>
      <c r="B42" s="42"/>
      <c r="C42" s="47" t="s">
        <v>42</v>
      </c>
      <c r="D42" s="28"/>
      <c r="E42" s="7"/>
      <c r="F42" s="28"/>
      <c r="G42" s="15"/>
      <c r="H42" s="15"/>
      <c r="I42" s="15"/>
      <c r="J42" s="8"/>
      <c r="K42" s="9"/>
      <c r="L42" s="10"/>
    </row>
    <row r="43" spans="1:185" ht="38.25" customHeight="1" x14ac:dyDescent="0.35">
      <c r="A43" s="49">
        <f>IF(F43&lt;&gt;"",1+MAX($A$7:A42),"")</f>
        <v>23</v>
      </c>
      <c r="B43" s="6"/>
      <c r="C43" s="27" t="s">
        <v>281</v>
      </c>
      <c r="D43" s="28">
        <v>14508</v>
      </c>
      <c r="E43" s="7">
        <v>0.1</v>
      </c>
      <c r="F43" s="28">
        <f t="shared" ref="F43:F47" si="8">D43*(1+E43)</f>
        <v>15958.800000000001</v>
      </c>
      <c r="G43" s="26" t="s">
        <v>33</v>
      </c>
      <c r="H43" s="26"/>
      <c r="I43" s="26"/>
      <c r="J43" s="8"/>
      <c r="K43" s="9">
        <f t="shared" ref="K43:K47" si="9">J43*F43</f>
        <v>0</v>
      </c>
      <c r="L43" s="10"/>
    </row>
    <row r="44" spans="1:185" ht="16" thickBot="1" x14ac:dyDescent="0.4">
      <c r="A44" s="49"/>
      <c r="B44" s="6"/>
      <c r="C44" s="50"/>
      <c r="D44" s="60"/>
      <c r="E44" s="51"/>
      <c r="F44" s="54"/>
      <c r="G44" s="52"/>
      <c r="H44" s="52"/>
      <c r="I44" s="52"/>
      <c r="J44" s="55"/>
      <c r="K44" s="53"/>
      <c r="L44" s="10"/>
    </row>
    <row r="45" spans="1:185" ht="16" thickBot="1" x14ac:dyDescent="0.4">
      <c r="A45" s="41" t="str">
        <f>IF(F45&lt;&gt;"",1+MAX($A$7:A43),"")</f>
        <v/>
      </c>
      <c r="B45" s="42"/>
      <c r="C45" s="47" t="s">
        <v>282</v>
      </c>
      <c r="D45" s="28"/>
      <c r="E45" s="7"/>
      <c r="F45" s="28"/>
      <c r="G45" s="15"/>
      <c r="H45" s="15"/>
      <c r="I45" s="15"/>
      <c r="J45" s="8"/>
      <c r="K45" s="9"/>
      <c r="L45" s="10"/>
    </row>
    <row r="46" spans="1:185" ht="37.5" customHeight="1" x14ac:dyDescent="0.35">
      <c r="A46" s="49">
        <f>IF(F46&lt;&gt;"",1+MAX($A$7:A45),"")</f>
        <v>24</v>
      </c>
      <c r="B46" s="6"/>
      <c r="C46" s="50" t="s">
        <v>283</v>
      </c>
      <c r="D46" s="63">
        <v>768</v>
      </c>
      <c r="E46" s="7">
        <v>0.1</v>
      </c>
      <c r="F46" s="28">
        <f t="shared" si="8"/>
        <v>844.80000000000007</v>
      </c>
      <c r="G46" s="26" t="s">
        <v>38</v>
      </c>
      <c r="H46" s="26"/>
      <c r="I46" s="26"/>
      <c r="J46" s="8"/>
      <c r="K46" s="9">
        <f t="shared" si="9"/>
        <v>0</v>
      </c>
      <c r="L46" s="10"/>
    </row>
    <row r="47" spans="1:185" x14ac:dyDescent="0.35">
      <c r="A47" s="49">
        <f>IF(F47&lt;&gt;"",1+MAX($A$7:A46),"")</f>
        <v>25</v>
      </c>
      <c r="B47" s="6"/>
      <c r="C47" s="50" t="s">
        <v>285</v>
      </c>
      <c r="D47" s="60">
        <v>41412</v>
      </c>
      <c r="E47" s="51">
        <v>0.1</v>
      </c>
      <c r="F47" s="54">
        <f t="shared" si="8"/>
        <v>45553.200000000004</v>
      </c>
      <c r="G47" s="52" t="s">
        <v>33</v>
      </c>
      <c r="H47" s="52"/>
      <c r="I47" s="52"/>
      <c r="J47" s="55"/>
      <c r="K47" s="53">
        <f t="shared" si="9"/>
        <v>0</v>
      </c>
      <c r="L47" s="10"/>
    </row>
    <row r="48" spans="1:185" ht="16" thickBot="1" x14ac:dyDescent="0.4">
      <c r="A48" s="49"/>
      <c r="B48" s="6"/>
      <c r="C48" s="50"/>
      <c r="D48" s="60"/>
      <c r="E48" s="51"/>
      <c r="F48" s="54"/>
      <c r="G48" s="52"/>
      <c r="H48" s="52"/>
      <c r="I48" s="52"/>
      <c r="J48" s="55"/>
      <c r="K48" s="53"/>
      <c r="L48" s="10"/>
    </row>
    <row r="49" spans="1:185" ht="16" thickBot="1" x14ac:dyDescent="0.4">
      <c r="A49" s="41" t="str">
        <f>IF(F49&lt;&gt;"",1+MAX($A$7:A47),"")</f>
        <v/>
      </c>
      <c r="B49" s="42"/>
      <c r="C49" s="47" t="s">
        <v>42</v>
      </c>
      <c r="D49" s="28"/>
      <c r="E49" s="7"/>
      <c r="F49" s="28"/>
      <c r="G49" s="15"/>
      <c r="H49" s="15"/>
      <c r="I49" s="15"/>
      <c r="J49" s="8"/>
      <c r="K49" s="9"/>
      <c r="L49" s="10"/>
    </row>
    <row r="50" spans="1:185" ht="29" x14ac:dyDescent="0.35">
      <c r="A50" s="49">
        <f>IF(F50&lt;&gt;"",1+MAX($A$7:A49),"")</f>
        <v>26</v>
      </c>
      <c r="B50" s="6"/>
      <c r="C50" s="50" t="s">
        <v>277</v>
      </c>
      <c r="D50" s="60">
        <v>106258</v>
      </c>
      <c r="E50" s="51">
        <v>0.1</v>
      </c>
      <c r="F50" s="54">
        <f t="shared" ref="F50" si="10">D50*(1+E50)</f>
        <v>116883.8</v>
      </c>
      <c r="G50" s="52" t="s">
        <v>33</v>
      </c>
      <c r="H50" s="52"/>
      <c r="I50" s="52"/>
      <c r="J50" s="55"/>
      <c r="K50" s="53">
        <f t="shared" ref="K50" si="11">J50*F50</f>
        <v>0</v>
      </c>
      <c r="L50" s="10"/>
    </row>
    <row r="51" spans="1:185" ht="43.5" x14ac:dyDescent="0.35">
      <c r="A51" s="49">
        <f>IF(F51&lt;&gt;"",1+MAX($A$7:A50),"")</f>
        <v>27</v>
      </c>
      <c r="B51" s="6"/>
      <c r="C51" s="50" t="s">
        <v>279</v>
      </c>
      <c r="D51" s="63">
        <v>2350</v>
      </c>
      <c r="E51" s="7">
        <v>0.1</v>
      </c>
      <c r="F51" s="28">
        <f t="shared" ref="F51" si="12">D51*(1+E51)</f>
        <v>2585</v>
      </c>
      <c r="G51" s="26" t="s">
        <v>33</v>
      </c>
      <c r="H51" s="26"/>
      <c r="I51" s="26"/>
      <c r="J51" s="8"/>
      <c r="K51" s="9">
        <f t="shared" ref="K51" si="13">J51*F51</f>
        <v>0</v>
      </c>
      <c r="L51" s="10"/>
    </row>
    <row r="52" spans="1:185" ht="16" thickBot="1" x14ac:dyDescent="0.4">
      <c r="A52" s="49"/>
      <c r="B52" s="6"/>
      <c r="C52" s="50"/>
      <c r="D52" s="57"/>
      <c r="E52" s="51"/>
      <c r="F52" s="54"/>
      <c r="G52" s="52"/>
      <c r="H52" s="52"/>
      <c r="I52" s="52"/>
      <c r="J52" s="55"/>
      <c r="K52" s="53"/>
      <c r="L52" s="10"/>
    </row>
    <row r="53" spans="1:185" ht="16" thickBot="1" x14ac:dyDescent="0.4">
      <c r="A53" s="41" t="str">
        <f>IF(F53&lt;&gt;"",1+MAX($A$7:A49),"")</f>
        <v/>
      </c>
      <c r="B53" s="42" t="s">
        <v>13</v>
      </c>
      <c r="C53" s="43" t="s">
        <v>12</v>
      </c>
      <c r="D53" s="44"/>
      <c r="E53" s="44"/>
      <c r="F53" s="44"/>
      <c r="G53" s="44"/>
      <c r="H53" s="44"/>
      <c r="I53" s="44"/>
      <c r="J53" s="45"/>
      <c r="K53" s="45"/>
      <c r="L53" s="46">
        <f>SUM(K56:K138)</f>
        <v>0</v>
      </c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</row>
    <row r="54" spans="1:185" ht="16" thickBot="1" x14ac:dyDescent="0.4">
      <c r="A54" s="49"/>
      <c r="B54" s="6"/>
      <c r="C54" s="50"/>
      <c r="D54" s="57"/>
      <c r="E54" s="51"/>
      <c r="F54" s="54"/>
      <c r="G54" s="52"/>
      <c r="H54" s="52"/>
      <c r="I54" s="52"/>
      <c r="J54" s="55"/>
      <c r="K54" s="53"/>
      <c r="L54" s="10"/>
    </row>
    <row r="55" spans="1:185" ht="16" thickBot="1" x14ac:dyDescent="0.4">
      <c r="A55" s="41" t="str">
        <f>IF(F55&lt;&gt;"",1+MAX($A$7:A47),"")</f>
        <v/>
      </c>
      <c r="B55" s="42"/>
      <c r="C55" s="47" t="s">
        <v>276</v>
      </c>
      <c r="D55" s="28"/>
      <c r="E55" s="7"/>
      <c r="F55" s="28"/>
      <c r="G55" s="15"/>
      <c r="H55" s="15"/>
      <c r="I55" s="15"/>
      <c r="J55" s="8"/>
      <c r="K55" s="9"/>
      <c r="L55" s="10"/>
    </row>
    <row r="56" spans="1:185" x14ac:dyDescent="0.35">
      <c r="A56" s="49">
        <f>IF(F56&lt;&gt;"",1+MAX($A$7:A55),"")</f>
        <v>28</v>
      </c>
      <c r="B56" s="6"/>
      <c r="C56" s="50" t="s">
        <v>278</v>
      </c>
      <c r="D56" s="60">
        <v>108608</v>
      </c>
      <c r="E56" s="51">
        <v>0.1</v>
      </c>
      <c r="F56" s="54">
        <f t="shared" ref="F56" si="14">D56*(1+E56)</f>
        <v>119468.8</v>
      </c>
      <c r="G56" s="52" t="s">
        <v>33</v>
      </c>
      <c r="H56" s="52"/>
      <c r="I56" s="52"/>
      <c r="J56" s="55"/>
      <c r="K56" s="53">
        <f t="shared" ref="K56" si="15">J56*F56</f>
        <v>0</v>
      </c>
      <c r="L56" s="10"/>
    </row>
    <row r="57" spans="1:185" ht="16" thickBot="1" x14ac:dyDescent="0.4">
      <c r="A57" s="49"/>
      <c r="B57" s="6"/>
      <c r="C57" s="50"/>
      <c r="D57" s="57"/>
      <c r="E57" s="51"/>
      <c r="F57" s="54"/>
      <c r="G57" s="52"/>
      <c r="H57" s="52"/>
      <c r="I57" s="52"/>
      <c r="J57" s="55"/>
      <c r="K57" s="53"/>
      <c r="L57" s="10"/>
    </row>
    <row r="58" spans="1:185" ht="16" thickBot="1" x14ac:dyDescent="0.4">
      <c r="A58" s="41" t="str">
        <f>IF(F58&lt;&gt;"",1+MAX($A$7:A49),"")</f>
        <v/>
      </c>
      <c r="B58" s="42"/>
      <c r="C58" s="47" t="s">
        <v>43</v>
      </c>
      <c r="D58" s="28"/>
      <c r="E58" s="7"/>
      <c r="F58" s="28"/>
      <c r="G58" s="15"/>
      <c r="H58" s="15"/>
      <c r="I58" s="15"/>
      <c r="J58" s="8"/>
      <c r="K58" s="9"/>
      <c r="L58" s="10"/>
    </row>
    <row r="59" spans="1:185" x14ac:dyDescent="0.35">
      <c r="A59" s="49">
        <f>IF(F59&lt;&gt;"",1+MAX($A$7:A58),"")</f>
        <v>29</v>
      </c>
      <c r="B59" s="6"/>
      <c r="C59" s="56" t="s">
        <v>203</v>
      </c>
      <c r="D59" s="61">
        <v>258.77</v>
      </c>
      <c r="E59" s="51">
        <v>0.1</v>
      </c>
      <c r="F59" s="54">
        <f t="shared" ref="F59" si="16">D59*(1+E59)</f>
        <v>284.64699999999999</v>
      </c>
      <c r="G59" s="52" t="s">
        <v>34</v>
      </c>
      <c r="H59" s="52"/>
      <c r="I59" s="52"/>
      <c r="J59" s="55"/>
      <c r="K59" s="53">
        <f t="shared" ref="K59" si="17">J59*F59</f>
        <v>0</v>
      </c>
      <c r="L59" s="10"/>
    </row>
    <row r="60" spans="1:185" x14ac:dyDescent="0.35">
      <c r="A60" s="49">
        <f>IF(F60&lt;&gt;"",1+MAX($A$7:A59),"")</f>
        <v>30</v>
      </c>
      <c r="B60" s="6"/>
      <c r="C60" s="56" t="s">
        <v>204</v>
      </c>
      <c r="D60" s="61">
        <v>164.86</v>
      </c>
      <c r="E60" s="51">
        <v>0.1</v>
      </c>
      <c r="F60" s="54">
        <f t="shared" ref="F60:F72" si="18">D60*(1+E60)</f>
        <v>181.34600000000003</v>
      </c>
      <c r="G60" s="52" t="s">
        <v>34</v>
      </c>
      <c r="H60" s="52"/>
      <c r="I60" s="52"/>
      <c r="J60" s="55"/>
      <c r="K60" s="53">
        <f t="shared" ref="K60:K72" si="19">J60*F60</f>
        <v>0</v>
      </c>
      <c r="L60" s="10"/>
    </row>
    <row r="61" spans="1:185" x14ac:dyDescent="0.35">
      <c r="A61" s="49">
        <f>IF(F61&lt;&gt;"",1+MAX($A$7:A60),"")</f>
        <v>31</v>
      </c>
      <c r="B61" s="6"/>
      <c r="C61" s="56" t="s">
        <v>205</v>
      </c>
      <c r="D61" s="61">
        <v>79.83</v>
      </c>
      <c r="E61" s="51">
        <v>0.1</v>
      </c>
      <c r="F61" s="54">
        <f t="shared" si="18"/>
        <v>87.813000000000002</v>
      </c>
      <c r="G61" s="52" t="s">
        <v>34</v>
      </c>
      <c r="H61" s="52"/>
      <c r="I61" s="52"/>
      <c r="J61" s="55"/>
      <c r="K61" s="53">
        <f t="shared" si="19"/>
        <v>0</v>
      </c>
      <c r="L61" s="10"/>
    </row>
    <row r="62" spans="1:185" x14ac:dyDescent="0.35">
      <c r="A62" s="49">
        <f>IF(F62&lt;&gt;"",1+MAX($A$7:A61),"")</f>
        <v>32</v>
      </c>
      <c r="B62" s="6"/>
      <c r="C62" s="56" t="s">
        <v>206</v>
      </c>
      <c r="D62" s="61">
        <v>1114.94</v>
      </c>
      <c r="E62" s="51">
        <v>0.1</v>
      </c>
      <c r="F62" s="54">
        <f t="shared" si="18"/>
        <v>1226.4340000000002</v>
      </c>
      <c r="G62" s="52" t="s">
        <v>34</v>
      </c>
      <c r="H62" s="52"/>
      <c r="I62" s="52"/>
      <c r="J62" s="55"/>
      <c r="K62" s="53">
        <f t="shared" si="19"/>
        <v>0</v>
      </c>
      <c r="L62" s="10"/>
    </row>
    <row r="63" spans="1:185" x14ac:dyDescent="0.35">
      <c r="A63" s="49">
        <f>IF(F63&lt;&gt;"",1+MAX($A$7:A62),"")</f>
        <v>33</v>
      </c>
      <c r="B63" s="6"/>
      <c r="C63" s="56" t="s">
        <v>207</v>
      </c>
      <c r="D63" s="61">
        <v>140.97999999999999</v>
      </c>
      <c r="E63" s="51">
        <v>0.1</v>
      </c>
      <c r="F63" s="54">
        <f t="shared" si="18"/>
        <v>155.078</v>
      </c>
      <c r="G63" s="52" t="s">
        <v>34</v>
      </c>
      <c r="H63" s="52"/>
      <c r="I63" s="52"/>
      <c r="J63" s="55"/>
      <c r="K63" s="53">
        <f t="shared" si="19"/>
        <v>0</v>
      </c>
      <c r="L63" s="10"/>
    </row>
    <row r="64" spans="1:185" x14ac:dyDescent="0.35">
      <c r="A64" s="49">
        <f>IF(F64&lt;&gt;"",1+MAX($A$7:A63),"")</f>
        <v>34</v>
      </c>
      <c r="B64" s="6"/>
      <c r="C64" s="56" t="s">
        <v>208</v>
      </c>
      <c r="D64" s="61">
        <v>597.55999999999995</v>
      </c>
      <c r="E64" s="51">
        <v>0.1</v>
      </c>
      <c r="F64" s="54">
        <f t="shared" si="18"/>
        <v>657.31600000000003</v>
      </c>
      <c r="G64" s="52" t="s">
        <v>34</v>
      </c>
      <c r="H64" s="52"/>
      <c r="I64" s="52"/>
      <c r="J64" s="55"/>
      <c r="K64" s="53">
        <f t="shared" si="19"/>
        <v>0</v>
      </c>
      <c r="L64" s="10"/>
    </row>
    <row r="65" spans="1:12" x14ac:dyDescent="0.35">
      <c r="A65" s="49">
        <f>IF(F65&lt;&gt;"",1+MAX($A$7:A64),"")</f>
        <v>35</v>
      </c>
      <c r="B65" s="6"/>
      <c r="C65" s="56" t="s">
        <v>209</v>
      </c>
      <c r="D65" s="61">
        <v>175.83</v>
      </c>
      <c r="E65" s="51">
        <v>0.1</v>
      </c>
      <c r="F65" s="54">
        <f t="shared" si="18"/>
        <v>193.41300000000004</v>
      </c>
      <c r="G65" s="52" t="s">
        <v>34</v>
      </c>
      <c r="H65" s="52"/>
      <c r="I65" s="52"/>
      <c r="J65" s="55"/>
      <c r="K65" s="53">
        <f t="shared" si="19"/>
        <v>0</v>
      </c>
      <c r="L65" s="10"/>
    </row>
    <row r="66" spans="1:12" x14ac:dyDescent="0.35">
      <c r="A66" s="49">
        <f>IF(F66&lt;&gt;"",1+MAX($A$7:A65),"")</f>
        <v>36</v>
      </c>
      <c r="B66" s="6"/>
      <c r="C66" s="56" t="s">
        <v>210</v>
      </c>
      <c r="D66" s="61">
        <v>299.66000000000003</v>
      </c>
      <c r="E66" s="51">
        <v>0.1</v>
      </c>
      <c r="F66" s="54">
        <f t="shared" si="18"/>
        <v>329.62600000000003</v>
      </c>
      <c r="G66" s="52" t="s">
        <v>34</v>
      </c>
      <c r="H66" s="52"/>
      <c r="I66" s="52"/>
      <c r="J66" s="55"/>
      <c r="K66" s="53">
        <f t="shared" si="19"/>
        <v>0</v>
      </c>
      <c r="L66" s="10"/>
    </row>
    <row r="67" spans="1:12" x14ac:dyDescent="0.35">
      <c r="A67" s="49">
        <f>IF(F67&lt;&gt;"",1+MAX($A$7:A66),"")</f>
        <v>37</v>
      </c>
      <c r="B67" s="6"/>
      <c r="C67" s="56" t="s">
        <v>211</v>
      </c>
      <c r="D67" s="61">
        <v>157.19999999999999</v>
      </c>
      <c r="E67" s="51">
        <v>0.1</v>
      </c>
      <c r="F67" s="54">
        <f t="shared" si="18"/>
        <v>172.92</v>
      </c>
      <c r="G67" s="52" t="s">
        <v>34</v>
      </c>
      <c r="H67" s="52"/>
      <c r="I67" s="52"/>
      <c r="J67" s="55"/>
      <c r="K67" s="53">
        <f t="shared" si="19"/>
        <v>0</v>
      </c>
      <c r="L67" s="10"/>
    </row>
    <row r="68" spans="1:12" x14ac:dyDescent="0.35">
      <c r="A68" s="49">
        <f>IF(F68&lt;&gt;"",1+MAX($A$7:A67),"")</f>
        <v>38</v>
      </c>
      <c r="B68" s="6"/>
      <c r="C68" s="56" t="s">
        <v>212</v>
      </c>
      <c r="D68" s="61">
        <v>204.44</v>
      </c>
      <c r="E68" s="51">
        <v>0.1</v>
      </c>
      <c r="F68" s="54">
        <f t="shared" si="18"/>
        <v>224.88400000000001</v>
      </c>
      <c r="G68" s="52" t="s">
        <v>34</v>
      </c>
      <c r="H68" s="52"/>
      <c r="I68" s="52"/>
      <c r="J68" s="55"/>
      <c r="K68" s="53">
        <f t="shared" si="19"/>
        <v>0</v>
      </c>
      <c r="L68" s="10"/>
    </row>
    <row r="69" spans="1:12" x14ac:dyDescent="0.35">
      <c r="A69" s="49">
        <f>IF(F69&lt;&gt;"",1+MAX($A$7:A68),"")</f>
        <v>39</v>
      </c>
      <c r="B69" s="6"/>
      <c r="C69" s="56" t="s">
        <v>213</v>
      </c>
      <c r="D69" s="61">
        <v>138.19999999999999</v>
      </c>
      <c r="E69" s="51">
        <v>0.1</v>
      </c>
      <c r="F69" s="54">
        <f t="shared" si="18"/>
        <v>152.02000000000001</v>
      </c>
      <c r="G69" s="52" t="s">
        <v>34</v>
      </c>
      <c r="H69" s="52"/>
      <c r="I69" s="52"/>
      <c r="J69" s="55"/>
      <c r="K69" s="53">
        <f t="shared" si="19"/>
        <v>0</v>
      </c>
      <c r="L69" s="10"/>
    </row>
    <row r="70" spans="1:12" x14ac:dyDescent="0.35">
      <c r="A70" s="49">
        <f>IF(F70&lt;&gt;"",1+MAX($A$7:A69),"")</f>
        <v>40</v>
      </c>
      <c r="B70" s="6"/>
      <c r="C70" s="56" t="s">
        <v>214</v>
      </c>
      <c r="D70" s="61">
        <v>39.92</v>
      </c>
      <c r="E70" s="51">
        <v>0.1</v>
      </c>
      <c r="F70" s="54">
        <f t="shared" si="18"/>
        <v>43.912000000000006</v>
      </c>
      <c r="G70" s="52" t="s">
        <v>34</v>
      </c>
      <c r="H70" s="52"/>
      <c r="I70" s="52"/>
      <c r="J70" s="55"/>
      <c r="K70" s="53">
        <f t="shared" si="19"/>
        <v>0</v>
      </c>
      <c r="L70" s="10"/>
    </row>
    <row r="71" spans="1:12" x14ac:dyDescent="0.35">
      <c r="A71" s="49">
        <f>IF(F71&lt;&gt;"",1+MAX($A$7:A70),"")</f>
        <v>41</v>
      </c>
      <c r="B71" s="6"/>
      <c r="C71" s="56" t="s">
        <v>215</v>
      </c>
      <c r="D71" s="61">
        <v>30.07</v>
      </c>
      <c r="E71" s="51">
        <v>0.1</v>
      </c>
      <c r="F71" s="54">
        <f t="shared" si="18"/>
        <v>33.077000000000005</v>
      </c>
      <c r="G71" s="52" t="s">
        <v>34</v>
      </c>
      <c r="H71" s="52"/>
      <c r="I71" s="52"/>
      <c r="J71" s="55"/>
      <c r="K71" s="53">
        <f t="shared" si="19"/>
        <v>0</v>
      </c>
      <c r="L71" s="10"/>
    </row>
    <row r="72" spans="1:12" x14ac:dyDescent="0.35">
      <c r="A72" s="49">
        <f>IF(F72&lt;&gt;"",1+MAX($A$7:A71),"")</f>
        <v>42</v>
      </c>
      <c r="B72" s="6"/>
      <c r="C72" s="56" t="s">
        <v>216</v>
      </c>
      <c r="D72" s="61">
        <v>15.02</v>
      </c>
      <c r="E72" s="51">
        <v>0.1</v>
      </c>
      <c r="F72" s="54">
        <f t="shared" si="18"/>
        <v>16.522000000000002</v>
      </c>
      <c r="G72" s="52" t="s">
        <v>34</v>
      </c>
      <c r="H72" s="52"/>
      <c r="I72" s="52"/>
      <c r="J72" s="55"/>
      <c r="K72" s="53">
        <f t="shared" si="19"/>
        <v>0</v>
      </c>
      <c r="L72" s="10"/>
    </row>
    <row r="73" spans="1:12" ht="16" thickBot="1" x14ac:dyDescent="0.4">
      <c r="A73" s="49"/>
      <c r="B73" s="6"/>
      <c r="C73" s="50"/>
      <c r="D73" s="61"/>
      <c r="E73" s="51"/>
      <c r="F73" s="54"/>
      <c r="G73" s="52"/>
      <c r="H73" s="52"/>
      <c r="I73" s="52"/>
      <c r="J73" s="55"/>
      <c r="K73" s="53"/>
      <c r="L73" s="10"/>
    </row>
    <row r="74" spans="1:12" ht="16" thickBot="1" x14ac:dyDescent="0.4">
      <c r="A74" s="41" t="str">
        <f>IF(F74&lt;&gt;"",1+MAX($A$7:A52),"")</f>
        <v/>
      </c>
      <c r="B74" s="42"/>
      <c r="C74" s="47" t="s">
        <v>234</v>
      </c>
      <c r="D74" s="28"/>
      <c r="E74" s="7"/>
      <c r="F74" s="28"/>
      <c r="G74" s="15"/>
      <c r="H74" s="15"/>
      <c r="I74" s="15"/>
      <c r="J74" s="8"/>
      <c r="K74" s="9"/>
      <c r="L74" s="10"/>
    </row>
    <row r="75" spans="1:12" x14ac:dyDescent="0.35">
      <c r="A75" s="49">
        <f>IF(F75&lt;&gt;"",1+MAX($A$7:A74),"")</f>
        <v>43</v>
      </c>
      <c r="B75" s="6"/>
      <c r="C75" s="56" t="s">
        <v>217</v>
      </c>
      <c r="D75" s="61">
        <v>362.43</v>
      </c>
      <c r="E75" s="51">
        <v>0.1</v>
      </c>
      <c r="F75" s="54">
        <f t="shared" ref="F75:F76" si="20">D75*(1+E75)</f>
        <v>398.67300000000006</v>
      </c>
      <c r="G75" s="52" t="s">
        <v>34</v>
      </c>
      <c r="H75" s="52"/>
      <c r="I75" s="52"/>
      <c r="J75" s="55"/>
      <c r="K75" s="53">
        <f t="shared" ref="K75:K76" si="21">J75*F75</f>
        <v>0</v>
      </c>
      <c r="L75" s="10"/>
    </row>
    <row r="76" spans="1:12" x14ac:dyDescent="0.35">
      <c r="A76" s="49">
        <f>IF(F76&lt;&gt;"",1+MAX($A$7:A75),"")</f>
        <v>44</v>
      </c>
      <c r="B76" s="6"/>
      <c r="C76" s="56" t="s">
        <v>220</v>
      </c>
      <c r="D76" s="61">
        <v>353.7</v>
      </c>
      <c r="E76" s="51">
        <v>0.1</v>
      </c>
      <c r="F76" s="54">
        <f t="shared" si="20"/>
        <v>389.07</v>
      </c>
      <c r="G76" s="52" t="s">
        <v>34</v>
      </c>
      <c r="H76" s="52"/>
      <c r="I76" s="52"/>
      <c r="J76" s="55"/>
      <c r="K76" s="53">
        <f t="shared" si="21"/>
        <v>0</v>
      </c>
      <c r="L76" s="10"/>
    </row>
    <row r="77" spans="1:12" x14ac:dyDescent="0.35">
      <c r="A77" s="49">
        <f>IF(F77&lt;&gt;"",1+MAX($A$7:A76),"")</f>
        <v>45</v>
      </c>
      <c r="B77" s="6"/>
      <c r="C77" s="56" t="s">
        <v>221</v>
      </c>
      <c r="D77" s="61">
        <v>193.49</v>
      </c>
      <c r="E77" s="51">
        <v>0.1</v>
      </c>
      <c r="F77" s="54">
        <f t="shared" ref="F77:F89" si="22">D77*(1+E77)</f>
        <v>212.83900000000003</v>
      </c>
      <c r="G77" s="52" t="s">
        <v>34</v>
      </c>
      <c r="H77" s="52"/>
      <c r="I77" s="52"/>
      <c r="J77" s="55"/>
      <c r="K77" s="53">
        <f t="shared" ref="K77:K89" si="23">J77*F77</f>
        <v>0</v>
      </c>
      <c r="L77" s="10"/>
    </row>
    <row r="78" spans="1:12" x14ac:dyDescent="0.35">
      <c r="A78" s="49">
        <f>IF(F78&lt;&gt;"",1+MAX($A$7:A77),"")</f>
        <v>46</v>
      </c>
      <c r="B78" s="6"/>
      <c r="C78" s="56" t="s">
        <v>222</v>
      </c>
      <c r="D78" s="61">
        <v>194.76</v>
      </c>
      <c r="E78" s="51">
        <v>0.1</v>
      </c>
      <c r="F78" s="54">
        <f t="shared" si="22"/>
        <v>214.23600000000002</v>
      </c>
      <c r="G78" s="52" t="s">
        <v>34</v>
      </c>
      <c r="H78" s="52"/>
      <c r="I78" s="52"/>
      <c r="J78" s="55"/>
      <c r="K78" s="53">
        <f t="shared" si="23"/>
        <v>0</v>
      </c>
      <c r="L78" s="10"/>
    </row>
    <row r="79" spans="1:12" x14ac:dyDescent="0.35">
      <c r="A79" s="49">
        <f>IF(F79&lt;&gt;"",1+MAX($A$7:A78),"")</f>
        <v>47</v>
      </c>
      <c r="B79" s="6"/>
      <c r="C79" s="56" t="s">
        <v>223</v>
      </c>
      <c r="D79" s="61">
        <v>249.33</v>
      </c>
      <c r="E79" s="51">
        <v>0.1</v>
      </c>
      <c r="F79" s="54">
        <f t="shared" si="22"/>
        <v>274.26300000000003</v>
      </c>
      <c r="G79" s="52" t="s">
        <v>34</v>
      </c>
      <c r="H79" s="52"/>
      <c r="I79" s="52"/>
      <c r="J79" s="55"/>
      <c r="K79" s="53">
        <f t="shared" si="23"/>
        <v>0</v>
      </c>
      <c r="L79" s="10"/>
    </row>
    <row r="80" spans="1:12" x14ac:dyDescent="0.35">
      <c r="A80" s="49">
        <f>IF(F80&lt;&gt;"",1+MAX($A$7:A79),"")</f>
        <v>48</v>
      </c>
      <c r="B80" s="6"/>
      <c r="C80" s="56" t="s">
        <v>224</v>
      </c>
      <c r="D80" s="61">
        <v>202.27</v>
      </c>
      <c r="E80" s="51">
        <v>0.1</v>
      </c>
      <c r="F80" s="54">
        <f t="shared" si="22"/>
        <v>222.49700000000004</v>
      </c>
      <c r="G80" s="52" t="s">
        <v>34</v>
      </c>
      <c r="H80" s="52"/>
      <c r="I80" s="52"/>
      <c r="J80" s="55"/>
      <c r="K80" s="53">
        <f t="shared" si="23"/>
        <v>0</v>
      </c>
      <c r="L80" s="10"/>
    </row>
    <row r="81" spans="1:12" x14ac:dyDescent="0.35">
      <c r="A81" s="49">
        <f>IF(F81&lt;&gt;"",1+MAX($A$7:A80),"")</f>
        <v>49</v>
      </c>
      <c r="B81" s="6"/>
      <c r="C81" s="56" t="s">
        <v>225</v>
      </c>
      <c r="D81" s="61">
        <v>155.41</v>
      </c>
      <c r="E81" s="51">
        <v>0.1</v>
      </c>
      <c r="F81" s="54">
        <f t="shared" si="22"/>
        <v>170.95100000000002</v>
      </c>
      <c r="G81" s="52" t="s">
        <v>34</v>
      </c>
      <c r="H81" s="52"/>
      <c r="I81" s="52"/>
      <c r="J81" s="55"/>
      <c r="K81" s="53">
        <f t="shared" si="23"/>
        <v>0</v>
      </c>
      <c r="L81" s="10"/>
    </row>
    <row r="82" spans="1:12" x14ac:dyDescent="0.35">
      <c r="A82" s="49">
        <f>IF(F82&lt;&gt;"",1+MAX($A$7:A81),"")</f>
        <v>50</v>
      </c>
      <c r="B82" s="6"/>
      <c r="C82" s="56" t="s">
        <v>226</v>
      </c>
      <c r="D82" s="61">
        <v>147.97</v>
      </c>
      <c r="E82" s="51">
        <v>0.1</v>
      </c>
      <c r="F82" s="54">
        <f t="shared" si="22"/>
        <v>162.76700000000002</v>
      </c>
      <c r="G82" s="52" t="s">
        <v>34</v>
      </c>
      <c r="H82" s="52"/>
      <c r="I82" s="52"/>
      <c r="J82" s="55"/>
      <c r="K82" s="53">
        <f t="shared" si="23"/>
        <v>0</v>
      </c>
      <c r="L82" s="10"/>
    </row>
    <row r="83" spans="1:12" x14ac:dyDescent="0.35">
      <c r="A83" s="49">
        <f>IF(F83&lt;&gt;"",1+MAX($A$7:A82),"")</f>
        <v>51</v>
      </c>
      <c r="B83" s="6"/>
      <c r="C83" s="56" t="s">
        <v>227</v>
      </c>
      <c r="D83" s="61">
        <v>196.4</v>
      </c>
      <c r="E83" s="51">
        <v>0.1</v>
      </c>
      <c r="F83" s="54">
        <f t="shared" si="22"/>
        <v>216.04000000000002</v>
      </c>
      <c r="G83" s="52" t="s">
        <v>34</v>
      </c>
      <c r="H83" s="52"/>
      <c r="I83" s="52"/>
      <c r="J83" s="55"/>
      <c r="K83" s="53">
        <f t="shared" si="23"/>
        <v>0</v>
      </c>
      <c r="L83" s="10"/>
    </row>
    <row r="84" spans="1:12" x14ac:dyDescent="0.35">
      <c r="A84" s="49">
        <f>IF(F84&lt;&gt;"",1+MAX($A$7:A83),"")</f>
        <v>52</v>
      </c>
      <c r="B84" s="6"/>
      <c r="C84" s="56" t="s">
        <v>228</v>
      </c>
      <c r="D84" s="61">
        <v>144.27000000000001</v>
      </c>
      <c r="E84" s="51">
        <v>0.1</v>
      </c>
      <c r="F84" s="54">
        <f t="shared" si="22"/>
        <v>158.69700000000003</v>
      </c>
      <c r="G84" s="52" t="s">
        <v>34</v>
      </c>
      <c r="H84" s="52"/>
      <c r="I84" s="52"/>
      <c r="J84" s="55"/>
      <c r="K84" s="53">
        <f t="shared" si="23"/>
        <v>0</v>
      </c>
      <c r="L84" s="10"/>
    </row>
    <row r="85" spans="1:12" x14ac:dyDescent="0.35">
      <c r="A85" s="49">
        <f>IF(F85&lt;&gt;"",1+MAX($A$7:A84),"")</f>
        <v>53</v>
      </c>
      <c r="B85" s="6"/>
      <c r="C85" s="56" t="s">
        <v>229</v>
      </c>
      <c r="D85" s="61">
        <v>188.58</v>
      </c>
      <c r="E85" s="51">
        <v>0.1</v>
      </c>
      <c r="F85" s="54">
        <f t="shared" si="22"/>
        <v>207.43800000000002</v>
      </c>
      <c r="G85" s="52" t="s">
        <v>34</v>
      </c>
      <c r="H85" s="52"/>
      <c r="I85" s="52"/>
      <c r="J85" s="55"/>
      <c r="K85" s="53">
        <f t="shared" si="23"/>
        <v>0</v>
      </c>
      <c r="L85" s="10"/>
    </row>
    <row r="86" spans="1:12" x14ac:dyDescent="0.35">
      <c r="A86" s="49">
        <f>IF(F86&lt;&gt;"",1+MAX($A$7:A85),"")</f>
        <v>54</v>
      </c>
      <c r="B86" s="6"/>
      <c r="C86" s="56" t="s">
        <v>230</v>
      </c>
      <c r="D86" s="61">
        <v>110.99</v>
      </c>
      <c r="E86" s="51">
        <v>0.1</v>
      </c>
      <c r="F86" s="54">
        <f t="shared" si="22"/>
        <v>122.089</v>
      </c>
      <c r="G86" s="52" t="s">
        <v>34</v>
      </c>
      <c r="H86" s="52"/>
      <c r="I86" s="52"/>
      <c r="J86" s="55"/>
      <c r="K86" s="53">
        <f t="shared" si="23"/>
        <v>0</v>
      </c>
      <c r="L86" s="10"/>
    </row>
    <row r="87" spans="1:12" x14ac:dyDescent="0.35">
      <c r="A87" s="49">
        <f>IF(F87&lt;&gt;"",1+MAX($A$7:A86),"")</f>
        <v>55</v>
      </c>
      <c r="B87" s="6"/>
      <c r="C87" s="56" t="s">
        <v>231</v>
      </c>
      <c r="D87" s="61">
        <v>132.84</v>
      </c>
      <c r="E87" s="51">
        <v>0.1</v>
      </c>
      <c r="F87" s="54">
        <f t="shared" si="22"/>
        <v>146.12400000000002</v>
      </c>
      <c r="G87" s="52" t="s">
        <v>34</v>
      </c>
      <c r="H87" s="52"/>
      <c r="I87" s="52"/>
      <c r="J87" s="55"/>
      <c r="K87" s="53">
        <f t="shared" si="23"/>
        <v>0</v>
      </c>
      <c r="L87" s="10"/>
    </row>
    <row r="88" spans="1:12" x14ac:dyDescent="0.35">
      <c r="A88" s="49">
        <f>IF(F88&lt;&gt;"",1+MAX($A$7:A87),"")</f>
        <v>56</v>
      </c>
      <c r="B88" s="6"/>
      <c r="C88" s="56" t="s">
        <v>232</v>
      </c>
      <c r="D88" s="61">
        <v>193.04</v>
      </c>
      <c r="E88" s="51">
        <v>0.1</v>
      </c>
      <c r="F88" s="54">
        <f t="shared" si="22"/>
        <v>212.34400000000002</v>
      </c>
      <c r="G88" s="52" t="s">
        <v>34</v>
      </c>
      <c r="H88" s="52"/>
      <c r="I88" s="52"/>
      <c r="J88" s="55"/>
      <c r="K88" s="53">
        <f t="shared" si="23"/>
        <v>0</v>
      </c>
      <c r="L88" s="10"/>
    </row>
    <row r="89" spans="1:12" x14ac:dyDescent="0.35">
      <c r="A89" s="49">
        <f>IF(F89&lt;&gt;"",1+MAX($A$7:A88),"")</f>
        <v>57</v>
      </c>
      <c r="B89" s="6"/>
      <c r="C89" s="56" t="s">
        <v>233</v>
      </c>
      <c r="D89" s="61">
        <v>224.56</v>
      </c>
      <c r="E89" s="51">
        <v>0.1</v>
      </c>
      <c r="F89" s="54">
        <f t="shared" si="22"/>
        <v>247.01600000000002</v>
      </c>
      <c r="G89" s="52" t="s">
        <v>34</v>
      </c>
      <c r="H89" s="52"/>
      <c r="I89" s="52"/>
      <c r="J89" s="55"/>
      <c r="K89" s="53">
        <f t="shared" si="23"/>
        <v>0</v>
      </c>
      <c r="L89" s="10"/>
    </row>
    <row r="90" spans="1:12" x14ac:dyDescent="0.35">
      <c r="A90" s="49">
        <f>IF(F90&lt;&gt;"",1+MAX($A$7:A89),"")</f>
        <v>58</v>
      </c>
      <c r="B90" s="6"/>
      <c r="C90" s="56" t="s">
        <v>218</v>
      </c>
      <c r="D90" s="61">
        <v>106.72</v>
      </c>
      <c r="E90" s="51">
        <v>0.1</v>
      </c>
      <c r="F90" s="54">
        <f>D90*(1+E90)</f>
        <v>117.39200000000001</v>
      </c>
      <c r="G90" s="52" t="s">
        <v>34</v>
      </c>
      <c r="H90" s="52"/>
      <c r="I90" s="52"/>
      <c r="J90" s="55"/>
      <c r="K90" s="53">
        <f>J90*F90</f>
        <v>0</v>
      </c>
      <c r="L90" s="10"/>
    </row>
    <row r="91" spans="1:12" x14ac:dyDescent="0.35">
      <c r="A91" s="49">
        <f>IF(F91&lt;&gt;"",1+MAX($A$7:A90),"")</f>
        <v>59</v>
      </c>
      <c r="B91" s="6"/>
      <c r="C91" s="56" t="s">
        <v>219</v>
      </c>
      <c r="D91" s="61">
        <v>80.650000000000006</v>
      </c>
      <c r="E91" s="51">
        <v>0.1</v>
      </c>
      <c r="F91" s="54">
        <f>D91*(1+E91)</f>
        <v>88.715000000000018</v>
      </c>
      <c r="G91" s="52" t="s">
        <v>34</v>
      </c>
      <c r="H91" s="52"/>
      <c r="I91" s="52"/>
      <c r="J91" s="55"/>
      <c r="K91" s="53">
        <f>J91*F91</f>
        <v>0</v>
      </c>
      <c r="L91" s="10"/>
    </row>
    <row r="92" spans="1:12" ht="16" thickBot="1" x14ac:dyDescent="0.4">
      <c r="A92" s="49"/>
      <c r="B92" s="6"/>
      <c r="C92" s="56"/>
      <c r="D92" s="61"/>
      <c r="E92" s="51"/>
      <c r="F92" s="54"/>
      <c r="G92" s="52"/>
      <c r="H92" s="52"/>
      <c r="I92" s="52"/>
      <c r="J92" s="55"/>
      <c r="K92" s="53"/>
      <c r="L92" s="10"/>
    </row>
    <row r="93" spans="1:12" ht="16" thickBot="1" x14ac:dyDescent="0.4">
      <c r="A93" s="41" t="str">
        <f>IF(F93&lt;&gt;"",1+MAX($A$7:A62),"")</f>
        <v/>
      </c>
      <c r="B93" s="42"/>
      <c r="C93" s="47" t="s">
        <v>44</v>
      </c>
      <c r="D93" s="28"/>
      <c r="E93" s="7"/>
      <c r="F93" s="28"/>
      <c r="G93" s="15"/>
      <c r="H93" s="15"/>
      <c r="I93" s="15"/>
      <c r="J93" s="8"/>
      <c r="K93" s="9"/>
      <c r="L93" s="10"/>
    </row>
    <row r="94" spans="1:12" x14ac:dyDescent="0.35">
      <c r="A94" s="49">
        <f>IF(F94&lt;&gt;"",1+MAX($A$7:A93),"")</f>
        <v>60</v>
      </c>
      <c r="B94" s="6"/>
      <c r="C94" s="56" t="s">
        <v>235</v>
      </c>
      <c r="D94" s="61">
        <v>2567.3200000000002</v>
      </c>
      <c r="E94" s="51">
        <v>0.1</v>
      </c>
      <c r="F94" s="54">
        <f t="shared" ref="F94:F134" si="24">D94*(1+E94)</f>
        <v>2824.0520000000006</v>
      </c>
      <c r="G94" s="52" t="s">
        <v>34</v>
      </c>
      <c r="H94" s="52"/>
      <c r="I94" s="52"/>
      <c r="J94" s="55"/>
      <c r="K94" s="53">
        <f t="shared" ref="K94:K134" si="25">J94*F94</f>
        <v>0</v>
      </c>
      <c r="L94" s="10"/>
    </row>
    <row r="95" spans="1:12" x14ac:dyDescent="0.35">
      <c r="A95" s="49">
        <f>IF(F95&lt;&gt;"",1+MAX($A$7:A94),"")</f>
        <v>61</v>
      </c>
      <c r="B95" s="6"/>
      <c r="C95" s="56" t="s">
        <v>236</v>
      </c>
      <c r="D95" s="61">
        <v>5332.44</v>
      </c>
      <c r="E95" s="51">
        <v>0.1</v>
      </c>
      <c r="F95" s="54">
        <f t="shared" si="24"/>
        <v>5865.6840000000002</v>
      </c>
      <c r="G95" s="52" t="s">
        <v>34</v>
      </c>
      <c r="H95" s="52"/>
      <c r="I95" s="52"/>
      <c r="J95" s="55"/>
      <c r="K95" s="53">
        <f t="shared" si="25"/>
        <v>0</v>
      </c>
      <c r="L95" s="10"/>
    </row>
    <row r="96" spans="1:12" x14ac:dyDescent="0.35">
      <c r="A96" s="49">
        <f>IF(F96&lt;&gt;"",1+MAX($A$7:A95),"")</f>
        <v>62</v>
      </c>
      <c r="B96" s="6"/>
      <c r="C96" s="56" t="s">
        <v>237</v>
      </c>
      <c r="D96" s="61">
        <v>64.69</v>
      </c>
      <c r="E96" s="51">
        <v>0.1</v>
      </c>
      <c r="F96" s="54">
        <f t="shared" si="24"/>
        <v>71.159000000000006</v>
      </c>
      <c r="G96" s="52" t="s">
        <v>34</v>
      </c>
      <c r="H96" s="52"/>
      <c r="I96" s="52"/>
      <c r="J96" s="55"/>
      <c r="K96" s="53">
        <f t="shared" si="25"/>
        <v>0</v>
      </c>
      <c r="L96" s="10"/>
    </row>
    <row r="97" spans="1:12" x14ac:dyDescent="0.35">
      <c r="A97" s="49">
        <f>IF(F97&lt;&gt;"",1+MAX($A$7:A96),"")</f>
        <v>63</v>
      </c>
      <c r="B97" s="6"/>
      <c r="C97" s="56" t="s">
        <v>238</v>
      </c>
      <c r="D97" s="61">
        <v>2258.41</v>
      </c>
      <c r="E97" s="51">
        <v>0.1</v>
      </c>
      <c r="F97" s="54">
        <f t="shared" si="24"/>
        <v>2484.2510000000002</v>
      </c>
      <c r="G97" s="52" t="s">
        <v>34</v>
      </c>
      <c r="H97" s="52"/>
      <c r="I97" s="52"/>
      <c r="J97" s="55"/>
      <c r="K97" s="53">
        <f t="shared" si="25"/>
        <v>0</v>
      </c>
      <c r="L97" s="10"/>
    </row>
    <row r="98" spans="1:12" x14ac:dyDescent="0.35">
      <c r="A98" s="49">
        <f>IF(F98&lt;&gt;"",1+MAX($A$7:A97),"")</f>
        <v>64</v>
      </c>
      <c r="B98" s="6"/>
      <c r="C98" s="56" t="s">
        <v>239</v>
      </c>
      <c r="D98" s="61">
        <v>1680.62</v>
      </c>
      <c r="E98" s="51">
        <v>0.1</v>
      </c>
      <c r="F98" s="54">
        <f t="shared" si="24"/>
        <v>1848.682</v>
      </c>
      <c r="G98" s="52" t="s">
        <v>34</v>
      </c>
      <c r="H98" s="52"/>
      <c r="I98" s="52"/>
      <c r="J98" s="55"/>
      <c r="K98" s="53">
        <f t="shared" si="25"/>
        <v>0</v>
      </c>
      <c r="L98" s="10"/>
    </row>
    <row r="99" spans="1:12" x14ac:dyDescent="0.35">
      <c r="A99" s="49">
        <f>IF(F99&lt;&gt;"",1+MAX($A$7:A98),"")</f>
        <v>65</v>
      </c>
      <c r="B99" s="6"/>
      <c r="C99" s="56" t="s">
        <v>240</v>
      </c>
      <c r="D99" s="61">
        <v>1923.78</v>
      </c>
      <c r="E99" s="51">
        <v>0.1</v>
      </c>
      <c r="F99" s="54">
        <f t="shared" si="24"/>
        <v>2116.1580000000004</v>
      </c>
      <c r="G99" s="52" t="s">
        <v>34</v>
      </c>
      <c r="H99" s="52"/>
      <c r="I99" s="52"/>
      <c r="J99" s="55"/>
      <c r="K99" s="53">
        <f t="shared" si="25"/>
        <v>0</v>
      </c>
      <c r="L99" s="10"/>
    </row>
    <row r="100" spans="1:12" x14ac:dyDescent="0.35">
      <c r="A100" s="49">
        <f>IF(F100&lt;&gt;"",1+MAX($A$7:A99),"")</f>
        <v>66</v>
      </c>
      <c r="B100" s="6"/>
      <c r="C100" s="56" t="s">
        <v>241</v>
      </c>
      <c r="D100" s="61">
        <v>33.520000000000003</v>
      </c>
      <c r="E100" s="51">
        <v>0.1</v>
      </c>
      <c r="F100" s="54">
        <f t="shared" si="24"/>
        <v>36.872000000000007</v>
      </c>
      <c r="G100" s="52" t="s">
        <v>34</v>
      </c>
      <c r="H100" s="52"/>
      <c r="I100" s="52"/>
      <c r="J100" s="55"/>
      <c r="K100" s="53">
        <f t="shared" si="25"/>
        <v>0</v>
      </c>
      <c r="L100" s="10"/>
    </row>
    <row r="101" spans="1:12" x14ac:dyDescent="0.35">
      <c r="A101" s="49">
        <f>IF(F101&lt;&gt;"",1+MAX($A$7:A100),"")</f>
        <v>67</v>
      </c>
      <c r="B101" s="6"/>
      <c r="C101" s="56" t="s">
        <v>242</v>
      </c>
      <c r="D101" s="61">
        <v>1057.08</v>
      </c>
      <c r="E101" s="51">
        <v>0.1</v>
      </c>
      <c r="F101" s="54">
        <f t="shared" si="24"/>
        <v>1162.788</v>
      </c>
      <c r="G101" s="52" t="s">
        <v>34</v>
      </c>
      <c r="H101" s="52"/>
      <c r="I101" s="52"/>
      <c r="J101" s="55"/>
      <c r="K101" s="53">
        <f t="shared" si="25"/>
        <v>0</v>
      </c>
      <c r="L101" s="10"/>
    </row>
    <row r="102" spans="1:12" x14ac:dyDescent="0.35">
      <c r="A102" s="49">
        <f>IF(F102&lt;&gt;"",1+MAX($A$7:A101),"")</f>
        <v>68</v>
      </c>
      <c r="B102" s="6"/>
      <c r="C102" s="56" t="s">
        <v>243</v>
      </c>
      <c r="D102" s="61">
        <v>424.91</v>
      </c>
      <c r="E102" s="51">
        <v>0.1</v>
      </c>
      <c r="F102" s="54">
        <f t="shared" si="24"/>
        <v>467.40100000000007</v>
      </c>
      <c r="G102" s="52" t="s">
        <v>34</v>
      </c>
      <c r="H102" s="52"/>
      <c r="I102" s="52"/>
      <c r="J102" s="55"/>
      <c r="K102" s="53">
        <f t="shared" si="25"/>
        <v>0</v>
      </c>
      <c r="L102" s="10"/>
    </row>
    <row r="103" spans="1:12" x14ac:dyDescent="0.35">
      <c r="A103" s="49">
        <f>IF(F103&lt;&gt;"",1+MAX($A$7:A102),"")</f>
        <v>69</v>
      </c>
      <c r="B103" s="6"/>
      <c r="C103" s="56" t="s">
        <v>244</v>
      </c>
      <c r="D103" s="61">
        <v>113.26</v>
      </c>
      <c r="E103" s="51">
        <v>0.1</v>
      </c>
      <c r="F103" s="54">
        <f t="shared" si="24"/>
        <v>124.58600000000001</v>
      </c>
      <c r="G103" s="52" t="s">
        <v>34</v>
      </c>
      <c r="H103" s="52"/>
      <c r="I103" s="52"/>
      <c r="J103" s="55"/>
      <c r="K103" s="53">
        <f t="shared" si="25"/>
        <v>0</v>
      </c>
      <c r="L103" s="10"/>
    </row>
    <row r="104" spans="1:12" x14ac:dyDescent="0.35">
      <c r="A104" s="49">
        <f>IF(F104&lt;&gt;"",1+MAX($A$7:A103),"")</f>
        <v>70</v>
      </c>
      <c r="B104" s="6"/>
      <c r="C104" s="56" t="s">
        <v>245</v>
      </c>
      <c r="D104" s="61">
        <v>58.85</v>
      </c>
      <c r="E104" s="51">
        <v>0.1</v>
      </c>
      <c r="F104" s="54">
        <f t="shared" si="24"/>
        <v>64.735000000000014</v>
      </c>
      <c r="G104" s="52" t="s">
        <v>34</v>
      </c>
      <c r="H104" s="52"/>
      <c r="I104" s="52"/>
      <c r="J104" s="55"/>
      <c r="K104" s="53">
        <f t="shared" si="25"/>
        <v>0</v>
      </c>
      <c r="L104" s="10"/>
    </row>
    <row r="105" spans="1:12" x14ac:dyDescent="0.35">
      <c r="A105" s="49">
        <f>IF(F105&lt;&gt;"",1+MAX($A$7:A104),"")</f>
        <v>71</v>
      </c>
      <c r="B105" s="6"/>
      <c r="C105" s="56" t="s">
        <v>246</v>
      </c>
      <c r="D105" s="61">
        <v>112.35</v>
      </c>
      <c r="E105" s="51">
        <v>0.1</v>
      </c>
      <c r="F105" s="54">
        <f t="shared" si="24"/>
        <v>123.58500000000001</v>
      </c>
      <c r="G105" s="52" t="s">
        <v>34</v>
      </c>
      <c r="H105" s="52"/>
      <c r="I105" s="52"/>
      <c r="J105" s="55"/>
      <c r="K105" s="53">
        <f t="shared" si="25"/>
        <v>0</v>
      </c>
      <c r="L105" s="10"/>
    </row>
    <row r="106" spans="1:12" x14ac:dyDescent="0.35">
      <c r="A106" s="49">
        <f>IF(F106&lt;&gt;"",1+MAX($A$7:A105),"")</f>
        <v>72</v>
      </c>
      <c r="B106" s="6"/>
      <c r="C106" s="56" t="s">
        <v>247</v>
      </c>
      <c r="D106" s="61">
        <v>18.41</v>
      </c>
      <c r="E106" s="51">
        <v>0.1</v>
      </c>
      <c r="F106" s="54">
        <f t="shared" si="24"/>
        <v>20.251000000000001</v>
      </c>
      <c r="G106" s="52" t="s">
        <v>34</v>
      </c>
      <c r="H106" s="52"/>
      <c r="I106" s="52"/>
      <c r="J106" s="55"/>
      <c r="K106" s="53">
        <f t="shared" si="25"/>
        <v>0</v>
      </c>
      <c r="L106" s="10"/>
    </row>
    <row r="107" spans="1:12" x14ac:dyDescent="0.35">
      <c r="A107" s="49">
        <f>IF(F107&lt;&gt;"",1+MAX($A$7:A106),"")</f>
        <v>73</v>
      </c>
      <c r="B107" s="6"/>
      <c r="C107" s="56" t="s">
        <v>248</v>
      </c>
      <c r="D107" s="61">
        <v>40.44</v>
      </c>
      <c r="E107" s="51">
        <v>0.1</v>
      </c>
      <c r="F107" s="54">
        <f t="shared" si="24"/>
        <v>44.484000000000002</v>
      </c>
      <c r="G107" s="52" t="s">
        <v>34</v>
      </c>
      <c r="H107" s="52"/>
      <c r="I107" s="52"/>
      <c r="J107" s="55"/>
      <c r="K107" s="53">
        <f t="shared" si="25"/>
        <v>0</v>
      </c>
      <c r="L107" s="10"/>
    </row>
    <row r="108" spans="1:12" x14ac:dyDescent="0.35">
      <c r="A108" s="49">
        <f>IF(F108&lt;&gt;"",1+MAX($A$7:A107),"")</f>
        <v>74</v>
      </c>
      <c r="B108" s="6"/>
      <c r="C108" s="56" t="s">
        <v>249</v>
      </c>
      <c r="D108" s="61">
        <v>12.08</v>
      </c>
      <c r="E108" s="51">
        <v>0.1</v>
      </c>
      <c r="F108" s="54">
        <f t="shared" si="24"/>
        <v>13.288000000000002</v>
      </c>
      <c r="G108" s="52" t="s">
        <v>34</v>
      </c>
      <c r="H108" s="52"/>
      <c r="I108" s="52"/>
      <c r="J108" s="55"/>
      <c r="K108" s="53">
        <f t="shared" si="25"/>
        <v>0</v>
      </c>
      <c r="L108" s="10"/>
    </row>
    <row r="109" spans="1:12" x14ac:dyDescent="0.35">
      <c r="A109" s="49">
        <f>IF(F109&lt;&gt;"",1+MAX($A$7:A108),"")</f>
        <v>75</v>
      </c>
      <c r="B109" s="6"/>
      <c r="C109" s="56" t="s">
        <v>250</v>
      </c>
      <c r="D109" s="61">
        <v>1515.63</v>
      </c>
      <c r="E109" s="51">
        <v>0.1</v>
      </c>
      <c r="F109" s="54">
        <f t="shared" si="24"/>
        <v>1667.1930000000002</v>
      </c>
      <c r="G109" s="52" t="s">
        <v>34</v>
      </c>
      <c r="H109" s="52"/>
      <c r="I109" s="52"/>
      <c r="J109" s="55"/>
      <c r="K109" s="53">
        <f t="shared" si="25"/>
        <v>0</v>
      </c>
      <c r="L109" s="10"/>
    </row>
    <row r="110" spans="1:12" x14ac:dyDescent="0.35">
      <c r="A110" s="49">
        <f>IF(F110&lt;&gt;"",1+MAX($A$7:A109),"")</f>
        <v>76</v>
      </c>
      <c r="B110" s="6"/>
      <c r="C110" s="56" t="s">
        <v>251</v>
      </c>
      <c r="D110" s="61">
        <v>994.95</v>
      </c>
      <c r="E110" s="51">
        <v>0.1</v>
      </c>
      <c r="F110" s="54">
        <f t="shared" si="24"/>
        <v>1094.4450000000002</v>
      </c>
      <c r="G110" s="52" t="s">
        <v>34</v>
      </c>
      <c r="H110" s="52"/>
      <c r="I110" s="52"/>
      <c r="J110" s="55"/>
      <c r="K110" s="53">
        <f t="shared" si="25"/>
        <v>0</v>
      </c>
      <c r="L110" s="10"/>
    </row>
    <row r="111" spans="1:12" x14ac:dyDescent="0.35">
      <c r="A111" s="49">
        <f>IF(F111&lt;&gt;"",1+MAX($A$7:A110),"")</f>
        <v>77</v>
      </c>
      <c r="B111" s="6"/>
      <c r="C111" s="56" t="s">
        <v>252</v>
      </c>
      <c r="D111" s="61">
        <v>51.25</v>
      </c>
      <c r="E111" s="51">
        <v>0.1</v>
      </c>
      <c r="F111" s="54">
        <f t="shared" si="24"/>
        <v>56.375000000000007</v>
      </c>
      <c r="G111" s="52" t="s">
        <v>34</v>
      </c>
      <c r="H111" s="52"/>
      <c r="I111" s="52"/>
      <c r="J111" s="55"/>
      <c r="K111" s="53">
        <f t="shared" si="25"/>
        <v>0</v>
      </c>
      <c r="L111" s="10"/>
    </row>
    <row r="112" spans="1:12" x14ac:dyDescent="0.35">
      <c r="A112" s="49">
        <f>IF(F112&lt;&gt;"",1+MAX($A$7:A111),"")</f>
        <v>78</v>
      </c>
      <c r="B112" s="6"/>
      <c r="C112" s="56" t="s">
        <v>253</v>
      </c>
      <c r="D112" s="61">
        <v>934.99</v>
      </c>
      <c r="E112" s="51">
        <v>0.1</v>
      </c>
      <c r="F112" s="54">
        <f t="shared" si="24"/>
        <v>1028.489</v>
      </c>
      <c r="G112" s="52" t="s">
        <v>34</v>
      </c>
      <c r="H112" s="52"/>
      <c r="I112" s="52"/>
      <c r="J112" s="55"/>
      <c r="K112" s="53">
        <f t="shared" si="25"/>
        <v>0</v>
      </c>
      <c r="L112" s="10"/>
    </row>
    <row r="113" spans="1:12" x14ac:dyDescent="0.35">
      <c r="A113" s="49">
        <f>IF(F113&lt;&gt;"",1+MAX($A$7:A112),"")</f>
        <v>79</v>
      </c>
      <c r="B113" s="6"/>
      <c r="C113" s="56" t="s">
        <v>254</v>
      </c>
      <c r="D113" s="61">
        <v>1975.42</v>
      </c>
      <c r="E113" s="51">
        <v>0.1</v>
      </c>
      <c r="F113" s="54">
        <f t="shared" si="24"/>
        <v>2172.9620000000004</v>
      </c>
      <c r="G113" s="52" t="s">
        <v>34</v>
      </c>
      <c r="H113" s="52"/>
      <c r="I113" s="52"/>
      <c r="J113" s="55"/>
      <c r="K113" s="53">
        <f t="shared" si="25"/>
        <v>0</v>
      </c>
      <c r="L113" s="10"/>
    </row>
    <row r="114" spans="1:12" x14ac:dyDescent="0.35">
      <c r="A114" s="49">
        <f>IF(F114&lt;&gt;"",1+MAX($A$7:A113),"")</f>
        <v>80</v>
      </c>
      <c r="B114" s="6"/>
      <c r="C114" s="56" t="s">
        <v>255</v>
      </c>
      <c r="D114" s="61">
        <v>1348.73</v>
      </c>
      <c r="E114" s="51">
        <v>0.1</v>
      </c>
      <c r="F114" s="54">
        <f t="shared" si="24"/>
        <v>1483.6030000000001</v>
      </c>
      <c r="G114" s="52" t="s">
        <v>34</v>
      </c>
      <c r="H114" s="52"/>
      <c r="I114" s="52"/>
      <c r="J114" s="55"/>
      <c r="K114" s="53">
        <f t="shared" si="25"/>
        <v>0</v>
      </c>
      <c r="L114" s="10"/>
    </row>
    <row r="115" spans="1:12" x14ac:dyDescent="0.35">
      <c r="A115" s="49">
        <f>IF(F115&lt;&gt;"",1+MAX($A$7:A114),"")</f>
        <v>81</v>
      </c>
      <c r="B115" s="6"/>
      <c r="C115" s="56" t="s">
        <v>256</v>
      </c>
      <c r="D115" s="61">
        <v>313</v>
      </c>
      <c r="E115" s="51">
        <v>0.1</v>
      </c>
      <c r="F115" s="54">
        <f t="shared" si="24"/>
        <v>344.3</v>
      </c>
      <c r="G115" s="52" t="s">
        <v>34</v>
      </c>
      <c r="H115" s="52"/>
      <c r="I115" s="52"/>
      <c r="J115" s="55"/>
      <c r="K115" s="53">
        <f t="shared" si="25"/>
        <v>0</v>
      </c>
      <c r="L115" s="10"/>
    </row>
    <row r="116" spans="1:12" x14ac:dyDescent="0.35">
      <c r="A116" s="49">
        <f>IF(F116&lt;&gt;"",1+MAX($A$7:A115),"")</f>
        <v>82</v>
      </c>
      <c r="B116" s="6"/>
      <c r="C116" s="56" t="s">
        <v>257</v>
      </c>
      <c r="D116" s="61">
        <v>217.6</v>
      </c>
      <c r="E116" s="51">
        <v>0.1</v>
      </c>
      <c r="F116" s="54">
        <f t="shared" si="24"/>
        <v>239.36</v>
      </c>
      <c r="G116" s="52" t="s">
        <v>34</v>
      </c>
      <c r="H116" s="52"/>
      <c r="I116" s="52"/>
      <c r="J116" s="55"/>
      <c r="K116" s="53">
        <f t="shared" si="25"/>
        <v>0</v>
      </c>
      <c r="L116" s="10"/>
    </row>
    <row r="117" spans="1:12" x14ac:dyDescent="0.35">
      <c r="A117" s="49">
        <f>IF(F117&lt;&gt;"",1+MAX($A$7:A116),"")</f>
        <v>83</v>
      </c>
      <c r="B117" s="6"/>
      <c r="C117" s="56" t="s">
        <v>258</v>
      </c>
      <c r="D117" s="61">
        <v>28.8</v>
      </c>
      <c r="E117" s="51">
        <v>0.1</v>
      </c>
      <c r="F117" s="54">
        <f t="shared" si="24"/>
        <v>31.680000000000003</v>
      </c>
      <c r="G117" s="52" t="s">
        <v>34</v>
      </c>
      <c r="H117" s="52"/>
      <c r="I117" s="52"/>
      <c r="J117" s="55"/>
      <c r="K117" s="53">
        <f t="shared" si="25"/>
        <v>0</v>
      </c>
      <c r="L117" s="10"/>
    </row>
    <row r="118" spans="1:12" x14ac:dyDescent="0.35">
      <c r="A118" s="49">
        <f>IF(F118&lt;&gt;"",1+MAX($A$7:A117),"")</f>
        <v>84</v>
      </c>
      <c r="B118" s="6"/>
      <c r="C118" s="56" t="s">
        <v>259</v>
      </c>
      <c r="D118" s="61">
        <v>9.1300000000000008</v>
      </c>
      <c r="E118" s="51">
        <v>0.1</v>
      </c>
      <c r="F118" s="54">
        <f t="shared" si="24"/>
        <v>10.043000000000001</v>
      </c>
      <c r="G118" s="52" t="s">
        <v>34</v>
      </c>
      <c r="H118" s="52"/>
      <c r="I118" s="52"/>
      <c r="J118" s="55"/>
      <c r="K118" s="53">
        <f t="shared" si="25"/>
        <v>0</v>
      </c>
      <c r="L118" s="10"/>
    </row>
    <row r="119" spans="1:12" x14ac:dyDescent="0.35">
      <c r="A119" s="49">
        <f>IF(F119&lt;&gt;"",1+MAX($A$7:A118),"")</f>
        <v>85</v>
      </c>
      <c r="B119" s="6"/>
      <c r="C119" s="56" t="s">
        <v>260</v>
      </c>
      <c r="D119" s="61">
        <v>44.05</v>
      </c>
      <c r="E119" s="51">
        <v>0.1</v>
      </c>
      <c r="F119" s="54">
        <f t="shared" si="24"/>
        <v>48.454999999999998</v>
      </c>
      <c r="G119" s="52" t="s">
        <v>34</v>
      </c>
      <c r="H119" s="52"/>
      <c r="I119" s="52"/>
      <c r="J119" s="55"/>
      <c r="K119" s="53">
        <f t="shared" si="25"/>
        <v>0</v>
      </c>
      <c r="L119" s="10"/>
    </row>
    <row r="120" spans="1:12" x14ac:dyDescent="0.35">
      <c r="A120" s="49">
        <f>IF(F120&lt;&gt;"",1+MAX($A$7:A119),"")</f>
        <v>86</v>
      </c>
      <c r="B120" s="6"/>
      <c r="C120" s="56" t="s">
        <v>261</v>
      </c>
      <c r="D120" s="61">
        <v>40.65</v>
      </c>
      <c r="E120" s="51">
        <v>0.1</v>
      </c>
      <c r="F120" s="54">
        <f t="shared" si="24"/>
        <v>44.715000000000003</v>
      </c>
      <c r="G120" s="52" t="s">
        <v>34</v>
      </c>
      <c r="H120" s="52"/>
      <c r="I120" s="52"/>
      <c r="J120" s="55"/>
      <c r="K120" s="53">
        <f t="shared" si="25"/>
        <v>0</v>
      </c>
      <c r="L120" s="10"/>
    </row>
    <row r="121" spans="1:12" x14ac:dyDescent="0.35">
      <c r="A121" s="49">
        <f>IF(F121&lt;&gt;"",1+MAX($A$7:A120),"")</f>
        <v>87</v>
      </c>
      <c r="B121" s="6"/>
      <c r="C121" s="56" t="s">
        <v>262</v>
      </c>
      <c r="D121" s="61">
        <v>11.99</v>
      </c>
      <c r="E121" s="51">
        <v>0.1</v>
      </c>
      <c r="F121" s="54">
        <f t="shared" si="24"/>
        <v>13.189000000000002</v>
      </c>
      <c r="G121" s="52" t="s">
        <v>34</v>
      </c>
      <c r="H121" s="52"/>
      <c r="I121" s="52"/>
      <c r="J121" s="55"/>
      <c r="K121" s="53">
        <f t="shared" si="25"/>
        <v>0</v>
      </c>
      <c r="L121" s="10"/>
    </row>
    <row r="122" spans="1:12" x14ac:dyDescent="0.35">
      <c r="A122" s="49">
        <f>IF(F122&lt;&gt;"",1+MAX($A$7:A121),"")</f>
        <v>88</v>
      </c>
      <c r="B122" s="6"/>
      <c r="C122" s="56" t="s">
        <v>263</v>
      </c>
      <c r="D122" s="61">
        <v>28.88</v>
      </c>
      <c r="E122" s="51">
        <v>0.1</v>
      </c>
      <c r="F122" s="54">
        <f t="shared" si="24"/>
        <v>31.768000000000001</v>
      </c>
      <c r="G122" s="52" t="s">
        <v>34</v>
      </c>
      <c r="H122" s="52"/>
      <c r="I122" s="52"/>
      <c r="J122" s="55"/>
      <c r="K122" s="53">
        <f t="shared" si="25"/>
        <v>0</v>
      </c>
      <c r="L122" s="10"/>
    </row>
    <row r="123" spans="1:12" x14ac:dyDescent="0.35">
      <c r="A123" s="49">
        <f>IF(F123&lt;&gt;"",1+MAX($A$7:A122),"")</f>
        <v>89</v>
      </c>
      <c r="B123" s="6"/>
      <c r="C123" s="56" t="s">
        <v>264</v>
      </c>
      <c r="D123" s="61">
        <v>24.99</v>
      </c>
      <c r="E123" s="51">
        <v>0.1</v>
      </c>
      <c r="F123" s="54">
        <f t="shared" si="24"/>
        <v>27.489000000000001</v>
      </c>
      <c r="G123" s="52" t="s">
        <v>34</v>
      </c>
      <c r="H123" s="52"/>
      <c r="I123" s="52"/>
      <c r="J123" s="55"/>
      <c r="K123" s="53">
        <f t="shared" si="25"/>
        <v>0</v>
      </c>
      <c r="L123" s="10"/>
    </row>
    <row r="124" spans="1:12" x14ac:dyDescent="0.35">
      <c r="A124" s="49">
        <f>IF(F124&lt;&gt;"",1+MAX($A$7:A123),"")</f>
        <v>90</v>
      </c>
      <c r="B124" s="6"/>
      <c r="C124" s="56" t="s">
        <v>265</v>
      </c>
      <c r="D124" s="61">
        <v>128.94</v>
      </c>
      <c r="E124" s="51">
        <v>0.1</v>
      </c>
      <c r="F124" s="54">
        <f t="shared" si="24"/>
        <v>141.834</v>
      </c>
      <c r="G124" s="52" t="s">
        <v>34</v>
      </c>
      <c r="H124" s="52"/>
      <c r="I124" s="52"/>
      <c r="J124" s="55"/>
      <c r="K124" s="53">
        <f t="shared" si="25"/>
        <v>0</v>
      </c>
      <c r="L124" s="10"/>
    </row>
    <row r="125" spans="1:12" x14ac:dyDescent="0.35">
      <c r="A125" s="49">
        <f>IF(F125&lt;&gt;"",1+MAX($A$7:A124),"")</f>
        <v>91</v>
      </c>
      <c r="B125" s="6"/>
      <c r="C125" s="56" t="s">
        <v>266</v>
      </c>
      <c r="D125" s="61">
        <v>184.67</v>
      </c>
      <c r="E125" s="51">
        <v>0.1</v>
      </c>
      <c r="F125" s="54">
        <f t="shared" si="24"/>
        <v>203.137</v>
      </c>
      <c r="G125" s="52" t="s">
        <v>34</v>
      </c>
      <c r="H125" s="52"/>
      <c r="I125" s="52"/>
      <c r="J125" s="55"/>
      <c r="K125" s="53">
        <f t="shared" si="25"/>
        <v>0</v>
      </c>
      <c r="L125" s="10"/>
    </row>
    <row r="126" spans="1:12" x14ac:dyDescent="0.35">
      <c r="A126" s="49">
        <f>IF(F126&lt;&gt;"",1+MAX($A$7:A125),"")</f>
        <v>92</v>
      </c>
      <c r="B126" s="6"/>
      <c r="C126" s="56" t="s">
        <v>267</v>
      </c>
      <c r="D126" s="61">
        <v>253.89</v>
      </c>
      <c r="E126" s="51">
        <v>0.1</v>
      </c>
      <c r="F126" s="54">
        <f t="shared" si="24"/>
        <v>279.279</v>
      </c>
      <c r="G126" s="52" t="s">
        <v>34</v>
      </c>
      <c r="H126" s="52"/>
      <c r="I126" s="52"/>
      <c r="J126" s="55"/>
      <c r="K126" s="53">
        <f t="shared" si="25"/>
        <v>0</v>
      </c>
      <c r="L126" s="10"/>
    </row>
    <row r="127" spans="1:12" x14ac:dyDescent="0.35">
      <c r="A127" s="49">
        <f>IF(F127&lt;&gt;"",1+MAX($A$7:A126),"")</f>
        <v>93</v>
      </c>
      <c r="B127" s="6"/>
      <c r="C127" s="56" t="s">
        <v>268</v>
      </c>
      <c r="D127" s="61">
        <v>53.81</v>
      </c>
      <c r="E127" s="51">
        <v>0.1</v>
      </c>
      <c r="F127" s="54">
        <f t="shared" si="24"/>
        <v>59.19100000000001</v>
      </c>
      <c r="G127" s="52" t="s">
        <v>34</v>
      </c>
      <c r="H127" s="52"/>
      <c r="I127" s="52"/>
      <c r="J127" s="55"/>
      <c r="K127" s="53">
        <f t="shared" si="25"/>
        <v>0</v>
      </c>
      <c r="L127" s="10"/>
    </row>
    <row r="128" spans="1:12" x14ac:dyDescent="0.35">
      <c r="A128" s="49">
        <f>IF(F128&lt;&gt;"",1+MAX($A$7:A127),"")</f>
        <v>94</v>
      </c>
      <c r="B128" s="6"/>
      <c r="C128" s="56" t="s">
        <v>269</v>
      </c>
      <c r="D128" s="61">
        <v>27.03</v>
      </c>
      <c r="E128" s="51">
        <v>0.1</v>
      </c>
      <c r="F128" s="54">
        <f t="shared" si="24"/>
        <v>29.733000000000004</v>
      </c>
      <c r="G128" s="52" t="s">
        <v>34</v>
      </c>
      <c r="H128" s="52"/>
      <c r="I128" s="52"/>
      <c r="J128" s="55"/>
      <c r="K128" s="53">
        <f t="shared" si="25"/>
        <v>0</v>
      </c>
      <c r="L128" s="10"/>
    </row>
    <row r="129" spans="1:185" x14ac:dyDescent="0.35">
      <c r="A129" s="49">
        <f>IF(F129&lt;&gt;"",1+MAX($A$7:A128),"")</f>
        <v>95</v>
      </c>
      <c r="B129" s="6"/>
      <c r="C129" s="56" t="s">
        <v>270</v>
      </c>
      <c r="D129" s="61">
        <v>108.36</v>
      </c>
      <c r="E129" s="51">
        <v>0.1</v>
      </c>
      <c r="F129" s="54">
        <f t="shared" si="24"/>
        <v>119.19600000000001</v>
      </c>
      <c r="G129" s="52" t="s">
        <v>34</v>
      </c>
      <c r="H129" s="52"/>
      <c r="I129" s="52"/>
      <c r="J129" s="55"/>
      <c r="K129" s="53">
        <f t="shared" si="25"/>
        <v>0</v>
      </c>
      <c r="L129" s="10"/>
    </row>
    <row r="130" spans="1:185" x14ac:dyDescent="0.35">
      <c r="A130" s="49">
        <f>IF(F130&lt;&gt;"",1+MAX($A$7:A129),"")</f>
        <v>96</v>
      </c>
      <c r="B130" s="6"/>
      <c r="C130" s="56" t="s">
        <v>271</v>
      </c>
      <c r="D130" s="61">
        <v>7.57</v>
      </c>
      <c r="E130" s="51">
        <v>0.1</v>
      </c>
      <c r="F130" s="54">
        <f t="shared" si="24"/>
        <v>8.3270000000000017</v>
      </c>
      <c r="G130" s="52" t="s">
        <v>34</v>
      </c>
      <c r="H130" s="52"/>
      <c r="I130" s="52"/>
      <c r="J130" s="55"/>
      <c r="K130" s="53">
        <f t="shared" si="25"/>
        <v>0</v>
      </c>
      <c r="L130" s="10"/>
    </row>
    <row r="131" spans="1:185" x14ac:dyDescent="0.35">
      <c r="A131" s="49">
        <f>IF(F131&lt;&gt;"",1+MAX($A$7:A130),"")</f>
        <v>97</v>
      </c>
      <c r="B131" s="6"/>
      <c r="C131" s="56" t="s">
        <v>272</v>
      </c>
      <c r="D131" s="61">
        <v>240.94</v>
      </c>
      <c r="E131" s="51">
        <v>0.1</v>
      </c>
      <c r="F131" s="54">
        <f t="shared" si="24"/>
        <v>265.03399999999999</v>
      </c>
      <c r="G131" s="52" t="s">
        <v>34</v>
      </c>
      <c r="H131" s="52"/>
      <c r="I131" s="52"/>
      <c r="J131" s="55"/>
      <c r="K131" s="53">
        <f t="shared" si="25"/>
        <v>0</v>
      </c>
      <c r="L131" s="10"/>
    </row>
    <row r="132" spans="1:185" x14ac:dyDescent="0.35">
      <c r="A132" s="49">
        <f>IF(F132&lt;&gt;"",1+MAX($A$7:A131),"")</f>
        <v>98</v>
      </c>
      <c r="B132" s="6"/>
      <c r="C132" s="56" t="s">
        <v>273</v>
      </c>
      <c r="D132" s="61">
        <v>9.8000000000000007</v>
      </c>
      <c r="E132" s="51">
        <v>0.1</v>
      </c>
      <c r="F132" s="54">
        <f t="shared" si="24"/>
        <v>10.780000000000001</v>
      </c>
      <c r="G132" s="52" t="s">
        <v>34</v>
      </c>
      <c r="H132" s="52"/>
      <c r="I132" s="52"/>
      <c r="J132" s="55"/>
      <c r="K132" s="53">
        <f t="shared" si="25"/>
        <v>0</v>
      </c>
      <c r="L132" s="10"/>
    </row>
    <row r="133" spans="1:185" x14ac:dyDescent="0.35">
      <c r="A133" s="49">
        <f>IF(F133&lt;&gt;"",1+MAX($A$7:A132),"")</f>
        <v>99</v>
      </c>
      <c r="B133" s="6"/>
      <c r="C133" s="56" t="s">
        <v>274</v>
      </c>
      <c r="D133" s="61">
        <v>10</v>
      </c>
      <c r="E133" s="51">
        <v>0.1</v>
      </c>
      <c r="F133" s="54">
        <f t="shared" si="24"/>
        <v>11</v>
      </c>
      <c r="G133" s="52" t="s">
        <v>34</v>
      </c>
      <c r="H133" s="52"/>
      <c r="I133" s="52"/>
      <c r="J133" s="55"/>
      <c r="K133" s="53">
        <f t="shared" si="25"/>
        <v>0</v>
      </c>
      <c r="L133" s="10"/>
    </row>
    <row r="134" spans="1:185" x14ac:dyDescent="0.35">
      <c r="A134" s="49">
        <f>IF(F134&lt;&gt;"",1+MAX($A$7:A133),"")</f>
        <v>100</v>
      </c>
      <c r="B134" s="6"/>
      <c r="C134" s="56" t="s">
        <v>275</v>
      </c>
      <c r="D134" s="61">
        <v>89.79</v>
      </c>
      <c r="E134" s="51">
        <v>0.1</v>
      </c>
      <c r="F134" s="54">
        <f t="shared" si="24"/>
        <v>98.76900000000002</v>
      </c>
      <c r="G134" s="52" t="s">
        <v>34</v>
      </c>
      <c r="H134" s="52"/>
      <c r="I134" s="52"/>
      <c r="J134" s="55"/>
      <c r="K134" s="53">
        <f t="shared" si="25"/>
        <v>0</v>
      </c>
      <c r="L134" s="10"/>
    </row>
    <row r="135" spans="1:185" ht="16" thickBot="1" x14ac:dyDescent="0.4">
      <c r="A135" s="49"/>
      <c r="B135" s="6"/>
      <c r="C135" s="56"/>
      <c r="D135" s="61"/>
      <c r="E135" s="51"/>
      <c r="F135" s="54"/>
      <c r="G135" s="52"/>
      <c r="H135" s="52"/>
      <c r="I135" s="52"/>
      <c r="J135" s="55"/>
      <c r="K135" s="53"/>
      <c r="L135" s="10"/>
    </row>
    <row r="136" spans="1:185" ht="16" thickBot="1" x14ac:dyDescent="0.4">
      <c r="A136" s="41" t="str">
        <f>IF(F136&lt;&gt;"",1+MAX($A$7:A97),"")</f>
        <v/>
      </c>
      <c r="B136" s="42"/>
      <c r="C136" s="47" t="s">
        <v>359</v>
      </c>
      <c r="D136" s="28"/>
      <c r="E136" s="7"/>
      <c r="F136" s="28"/>
      <c r="G136" s="15"/>
      <c r="H136" s="15"/>
      <c r="I136" s="15"/>
      <c r="J136" s="8"/>
      <c r="K136" s="9"/>
      <c r="L136" s="10"/>
    </row>
    <row r="137" spans="1:185" x14ac:dyDescent="0.35">
      <c r="A137" s="49">
        <f>IF(F137&lt;&gt;"",1+MAX($A$7:A136),"")</f>
        <v>101</v>
      </c>
      <c r="B137" s="6"/>
      <c r="C137" s="56" t="s">
        <v>360</v>
      </c>
      <c r="D137" s="61">
        <f>501*3.5</f>
        <v>1753.5</v>
      </c>
      <c r="E137" s="51">
        <v>0.1</v>
      </c>
      <c r="F137" s="54">
        <f t="shared" ref="F137:F138" si="26">D137*(1+E137)</f>
        <v>1928.8500000000001</v>
      </c>
      <c r="G137" s="52" t="s">
        <v>33</v>
      </c>
      <c r="H137" s="52"/>
      <c r="I137" s="52"/>
      <c r="J137" s="55"/>
      <c r="K137" s="53">
        <f t="shared" ref="K137:K138" si="27">J137*F137</f>
        <v>0</v>
      </c>
      <c r="L137" s="10"/>
    </row>
    <row r="138" spans="1:185" x14ac:dyDescent="0.35">
      <c r="A138" s="49">
        <f>IF(F138&lt;&gt;"",1+MAX($A$7:A137),"")</f>
        <v>102</v>
      </c>
      <c r="B138" s="6"/>
      <c r="C138" s="56" t="s">
        <v>361</v>
      </c>
      <c r="D138" s="61">
        <v>7951</v>
      </c>
      <c r="E138" s="51">
        <v>0.1</v>
      </c>
      <c r="F138" s="54">
        <f t="shared" si="26"/>
        <v>8746.1</v>
      </c>
      <c r="G138" s="52" t="s">
        <v>33</v>
      </c>
      <c r="H138" s="52"/>
      <c r="I138" s="52"/>
      <c r="J138" s="55"/>
      <c r="K138" s="53">
        <f t="shared" si="27"/>
        <v>0</v>
      </c>
      <c r="L138" s="10"/>
    </row>
    <row r="139" spans="1:185" ht="16" thickBot="1" x14ac:dyDescent="0.4">
      <c r="A139" s="49"/>
      <c r="B139" s="6"/>
      <c r="C139" s="56"/>
      <c r="D139" s="61"/>
      <c r="E139" s="51"/>
      <c r="F139" s="54"/>
      <c r="G139" s="52"/>
      <c r="H139" s="52"/>
      <c r="I139" s="52"/>
      <c r="J139" s="55"/>
      <c r="K139" s="53"/>
      <c r="L139" s="10"/>
    </row>
    <row r="140" spans="1:185" ht="16" thickBot="1" x14ac:dyDescent="0.4">
      <c r="A140" s="41" t="str">
        <f>IF(F140&lt;&gt;"",1+MAX($A$7:A136),"")</f>
        <v/>
      </c>
      <c r="B140" s="42"/>
      <c r="C140" s="43" t="s">
        <v>513</v>
      </c>
      <c r="D140" s="44"/>
      <c r="E140" s="44"/>
      <c r="F140" s="44"/>
      <c r="G140" s="44"/>
      <c r="H140" s="44"/>
      <c r="I140" s="44"/>
      <c r="J140" s="45"/>
      <c r="K140" s="45"/>
      <c r="L140" s="46">
        <f>SUM(K143:K252)</f>
        <v>0</v>
      </c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  <c r="BM140" s="38"/>
      <c r="BN140" s="38"/>
      <c r="BO140" s="38"/>
      <c r="BP140" s="38"/>
      <c r="BQ140" s="38"/>
      <c r="BR140" s="38"/>
      <c r="BS140" s="38"/>
      <c r="BT140" s="38"/>
      <c r="BU140" s="38"/>
      <c r="BV140" s="38"/>
      <c r="BW140" s="38"/>
      <c r="BX140" s="38"/>
      <c r="BY140" s="38"/>
      <c r="BZ140" s="38"/>
      <c r="CA140" s="38"/>
      <c r="CB140" s="38"/>
      <c r="CC140" s="38"/>
      <c r="CD140" s="38"/>
      <c r="CE140" s="38"/>
      <c r="CF140" s="38"/>
      <c r="CG140" s="38"/>
      <c r="CH140" s="38"/>
      <c r="CI140" s="38"/>
      <c r="CJ140" s="38"/>
      <c r="CK140" s="38"/>
      <c r="CL140" s="38"/>
      <c r="CM140" s="38"/>
      <c r="CN140" s="38"/>
      <c r="CO140" s="38"/>
      <c r="CP140" s="38"/>
      <c r="CQ140" s="38"/>
      <c r="CR140" s="38"/>
      <c r="CS140" s="38"/>
      <c r="CT140" s="38"/>
      <c r="CU140" s="38"/>
      <c r="CV140" s="38"/>
      <c r="CW140" s="38"/>
      <c r="CX140" s="38"/>
      <c r="CY140" s="38"/>
      <c r="CZ140" s="38"/>
      <c r="DA140" s="38"/>
      <c r="DB140" s="38"/>
      <c r="DC140" s="38"/>
      <c r="DD140" s="38"/>
      <c r="DE140" s="38"/>
      <c r="DF140" s="38"/>
      <c r="DG140" s="38"/>
      <c r="DH140" s="38"/>
      <c r="DI140" s="38"/>
      <c r="DJ140" s="38"/>
      <c r="DK140" s="38"/>
      <c r="DL140" s="38"/>
      <c r="DM140" s="38"/>
      <c r="DN140" s="38"/>
      <c r="DO140" s="38"/>
      <c r="DP140" s="38"/>
      <c r="DQ140" s="38"/>
      <c r="DR140" s="38"/>
      <c r="DS140" s="38"/>
      <c r="DT140" s="38"/>
      <c r="DU140" s="38"/>
      <c r="DV140" s="38"/>
      <c r="DW140" s="38"/>
      <c r="DX140" s="38"/>
      <c r="DY140" s="38"/>
      <c r="DZ140" s="38"/>
      <c r="EA140" s="38"/>
      <c r="EB140" s="38"/>
      <c r="EC140" s="38"/>
      <c r="ED140" s="38"/>
      <c r="EE140" s="38"/>
      <c r="EF140" s="38"/>
      <c r="EG140" s="38"/>
      <c r="EH140" s="38"/>
      <c r="EI140" s="38"/>
      <c r="EJ140" s="38"/>
      <c r="EK140" s="38"/>
      <c r="EL140" s="38"/>
      <c r="EM140" s="38"/>
      <c r="EN140" s="38"/>
      <c r="EO140" s="38"/>
      <c r="EP140" s="38"/>
      <c r="EQ140" s="38"/>
      <c r="ER140" s="38"/>
      <c r="ES140" s="38"/>
      <c r="ET140" s="38"/>
      <c r="EU140" s="38"/>
      <c r="EV140" s="38"/>
      <c r="EW140" s="38"/>
      <c r="EX140" s="38"/>
      <c r="EY140" s="38"/>
      <c r="EZ140" s="38"/>
      <c r="FA140" s="38"/>
      <c r="FB140" s="38"/>
      <c r="FC140" s="38"/>
      <c r="FD140" s="38"/>
      <c r="FE140" s="38"/>
      <c r="FF140" s="38"/>
      <c r="FG140" s="38"/>
      <c r="FH140" s="38"/>
      <c r="FI140" s="38"/>
      <c r="FJ140" s="38"/>
      <c r="FK140" s="38"/>
      <c r="FL140" s="38"/>
      <c r="FM140" s="38"/>
      <c r="FN140" s="38"/>
      <c r="FO140" s="38"/>
      <c r="FP140" s="38"/>
      <c r="FQ140" s="38"/>
      <c r="FR140" s="38"/>
      <c r="FS140" s="38"/>
      <c r="FT140" s="38"/>
      <c r="FU140" s="38"/>
      <c r="FV140" s="38"/>
      <c r="FW140" s="38"/>
      <c r="FX140" s="38"/>
      <c r="FY140" s="38"/>
      <c r="FZ140" s="38"/>
      <c r="GA140" s="38"/>
      <c r="GB140" s="38"/>
      <c r="GC140" s="38"/>
    </row>
    <row r="141" spans="1:185" x14ac:dyDescent="0.35">
      <c r="A141" s="49"/>
      <c r="B141" s="6"/>
      <c r="C141" s="56"/>
      <c r="D141" s="61"/>
      <c r="E141" s="51"/>
      <c r="F141" s="54"/>
      <c r="G141" s="52"/>
      <c r="H141" s="52"/>
      <c r="I141" s="52"/>
      <c r="J141" s="55"/>
      <c r="K141" s="53"/>
      <c r="L141" s="10"/>
    </row>
    <row r="142" spans="1:185" x14ac:dyDescent="0.35">
      <c r="A142" s="49"/>
      <c r="B142" s="6"/>
      <c r="C142" s="69" t="s">
        <v>514</v>
      </c>
      <c r="D142" s="68"/>
      <c r="E142" s="51"/>
      <c r="F142" s="54"/>
      <c r="G142" s="52"/>
      <c r="H142" s="52"/>
      <c r="I142" s="52"/>
      <c r="J142" s="55"/>
      <c r="K142" s="53"/>
      <c r="L142" s="10"/>
    </row>
    <row r="143" spans="1:185" x14ac:dyDescent="0.35">
      <c r="A143" s="49">
        <f>IF(F143&lt;&gt;"",1+MAX($A$7:A142),"")</f>
        <v>103</v>
      </c>
      <c r="B143" s="6"/>
      <c r="C143" s="68" t="s">
        <v>515</v>
      </c>
      <c r="D143" s="68">
        <v>10872</v>
      </c>
      <c r="E143" s="51">
        <v>0.1</v>
      </c>
      <c r="F143" s="54">
        <f t="shared" ref="F143:F149" si="28">D143*(1+E143)</f>
        <v>11959.2</v>
      </c>
      <c r="G143" s="52" t="s">
        <v>33</v>
      </c>
      <c r="H143" s="52"/>
      <c r="I143" s="52"/>
      <c r="J143" s="55"/>
      <c r="K143" s="53">
        <f t="shared" ref="K143:K149" si="29">J143*F143</f>
        <v>0</v>
      </c>
      <c r="L143" s="10"/>
    </row>
    <row r="144" spans="1:185" x14ac:dyDescent="0.35">
      <c r="A144" s="49">
        <f>IF(F144&lt;&gt;"",1+MAX($A$7:A143),"")</f>
        <v>104</v>
      </c>
      <c r="B144" s="6"/>
      <c r="C144" s="68" t="s">
        <v>516</v>
      </c>
      <c r="D144" s="68">
        <v>21744</v>
      </c>
      <c r="E144" s="51">
        <v>0.1</v>
      </c>
      <c r="F144" s="54">
        <f t="shared" si="28"/>
        <v>23918.400000000001</v>
      </c>
      <c r="G144" s="52" t="s">
        <v>33</v>
      </c>
      <c r="H144" s="52"/>
      <c r="I144" s="52"/>
      <c r="J144" s="55"/>
      <c r="K144" s="53">
        <f t="shared" si="29"/>
        <v>0</v>
      </c>
      <c r="L144" s="10"/>
    </row>
    <row r="145" spans="1:12" x14ac:dyDescent="0.35">
      <c r="A145" s="49">
        <f>IF(F145&lt;&gt;"",1+MAX($A$7:A144),"")</f>
        <v>105</v>
      </c>
      <c r="B145" s="6"/>
      <c r="C145" s="68" t="s">
        <v>517</v>
      </c>
      <c r="D145" s="68">
        <v>10872</v>
      </c>
      <c r="E145" s="51">
        <v>0.1</v>
      </c>
      <c r="F145" s="54">
        <f t="shared" si="28"/>
        <v>11959.2</v>
      </c>
      <c r="G145" s="52" t="s">
        <v>33</v>
      </c>
      <c r="H145" s="52"/>
      <c r="I145" s="52"/>
      <c r="J145" s="55"/>
      <c r="K145" s="53">
        <f t="shared" si="29"/>
        <v>0</v>
      </c>
      <c r="L145" s="10"/>
    </row>
    <row r="146" spans="1:12" x14ac:dyDescent="0.35">
      <c r="A146" s="49">
        <f>IF(F146&lt;&gt;"",1+MAX($A$7:A145),"")</f>
        <v>106</v>
      </c>
      <c r="B146" s="6"/>
      <c r="C146" s="68" t="s">
        <v>518</v>
      </c>
      <c r="D146" s="68">
        <v>10872</v>
      </c>
      <c r="E146" s="51">
        <v>0.1</v>
      </c>
      <c r="F146" s="54">
        <f t="shared" si="28"/>
        <v>11959.2</v>
      </c>
      <c r="G146" s="52" t="s">
        <v>33</v>
      </c>
      <c r="H146" s="52"/>
      <c r="I146" s="52"/>
      <c r="J146" s="55"/>
      <c r="K146" s="53">
        <f t="shared" si="29"/>
        <v>0</v>
      </c>
      <c r="L146" s="10"/>
    </row>
    <row r="147" spans="1:12" x14ac:dyDescent="0.35">
      <c r="A147" s="49">
        <f>IF(F147&lt;&gt;"",1+MAX($A$7:A146),"")</f>
        <v>107</v>
      </c>
      <c r="B147" s="6"/>
      <c r="C147" s="68" t="s">
        <v>519</v>
      </c>
      <c r="D147" s="68">
        <v>906</v>
      </c>
      <c r="E147" s="51">
        <v>0.1</v>
      </c>
      <c r="F147" s="54">
        <f t="shared" si="28"/>
        <v>996.60000000000014</v>
      </c>
      <c r="G147" s="52" t="s">
        <v>34</v>
      </c>
      <c r="H147" s="52"/>
      <c r="I147" s="52"/>
      <c r="J147" s="55"/>
      <c r="K147" s="53">
        <f t="shared" si="29"/>
        <v>0</v>
      </c>
      <c r="L147" s="10"/>
    </row>
    <row r="148" spans="1:12" x14ac:dyDescent="0.35">
      <c r="A148" s="49">
        <f>IF(F148&lt;&gt;"",1+MAX($A$7:A147),"")</f>
        <v>108</v>
      </c>
      <c r="B148" s="6"/>
      <c r="C148" s="68" t="s">
        <v>520</v>
      </c>
      <c r="D148" s="68">
        <v>1812</v>
      </c>
      <c r="E148" s="51">
        <v>0.1</v>
      </c>
      <c r="F148" s="54">
        <f t="shared" si="28"/>
        <v>1993.2000000000003</v>
      </c>
      <c r="G148" s="52" t="s">
        <v>34</v>
      </c>
      <c r="H148" s="52"/>
      <c r="I148" s="52"/>
      <c r="J148" s="55"/>
      <c r="K148" s="53">
        <f t="shared" si="29"/>
        <v>0</v>
      </c>
      <c r="L148" s="10"/>
    </row>
    <row r="149" spans="1:12" x14ac:dyDescent="0.35">
      <c r="A149" s="49">
        <f>IF(F149&lt;&gt;"",1+MAX($A$7:A148),"")</f>
        <v>109</v>
      </c>
      <c r="B149" s="6"/>
      <c r="C149" s="68" t="s">
        <v>521</v>
      </c>
      <c r="D149" s="68">
        <v>1812</v>
      </c>
      <c r="E149" s="51">
        <v>0.1</v>
      </c>
      <c r="F149" s="54">
        <f t="shared" si="28"/>
        <v>1993.2000000000003</v>
      </c>
      <c r="G149" s="52" t="s">
        <v>34</v>
      </c>
      <c r="H149" s="52"/>
      <c r="I149" s="52"/>
      <c r="J149" s="55"/>
      <c r="K149" s="53">
        <f t="shared" si="29"/>
        <v>0</v>
      </c>
      <c r="L149" s="10"/>
    </row>
    <row r="150" spans="1:12" x14ac:dyDescent="0.35">
      <c r="A150" s="49" t="str">
        <f>IF(F150&lt;&gt;"",1+MAX($A$7:A149),"")</f>
        <v/>
      </c>
      <c r="B150" s="6"/>
      <c r="C150" s="68"/>
      <c r="D150" s="68"/>
      <c r="E150" s="51"/>
      <c r="F150" s="54"/>
      <c r="G150" s="52"/>
      <c r="H150" s="52"/>
      <c r="I150" s="52"/>
      <c r="J150" s="55"/>
      <c r="K150" s="53"/>
      <c r="L150" s="10"/>
    </row>
    <row r="151" spans="1:12" x14ac:dyDescent="0.35">
      <c r="A151" s="49" t="str">
        <f>IF(F151&lt;&gt;"",1+MAX($A$7:A150),"")</f>
        <v/>
      </c>
      <c r="B151" s="6"/>
      <c r="C151" s="69" t="s">
        <v>522</v>
      </c>
      <c r="D151" s="68"/>
      <c r="E151" s="51"/>
      <c r="F151" s="54"/>
      <c r="G151" s="52"/>
      <c r="H151" s="52"/>
      <c r="I151" s="52"/>
      <c r="J151" s="55"/>
      <c r="K151" s="53"/>
      <c r="L151" s="10"/>
    </row>
    <row r="152" spans="1:12" x14ac:dyDescent="0.35">
      <c r="A152" s="49">
        <f>IF(F152&lt;&gt;"",1+MAX($A$7:A151),"")</f>
        <v>110</v>
      </c>
      <c r="B152" s="6"/>
      <c r="C152" s="68" t="s">
        <v>515</v>
      </c>
      <c r="D152" s="68">
        <v>7776</v>
      </c>
      <c r="E152" s="51">
        <v>0.1</v>
      </c>
      <c r="F152" s="54">
        <f t="shared" ref="F152:F160" si="30">D152*(1+E152)</f>
        <v>8553.6</v>
      </c>
      <c r="G152" s="52" t="s">
        <v>33</v>
      </c>
      <c r="H152" s="52"/>
      <c r="I152" s="52"/>
      <c r="J152" s="55"/>
      <c r="K152" s="53">
        <f t="shared" ref="K152:K160" si="31">J152*F152</f>
        <v>0</v>
      </c>
      <c r="L152" s="10"/>
    </row>
    <row r="153" spans="1:12" x14ac:dyDescent="0.35">
      <c r="A153" s="49">
        <f>IF(F153&lt;&gt;"",1+MAX($A$7:A152),"")</f>
        <v>111</v>
      </c>
      <c r="B153" s="6"/>
      <c r="C153" s="68" t="s">
        <v>516</v>
      </c>
      <c r="D153" s="68">
        <v>7776</v>
      </c>
      <c r="E153" s="51">
        <v>0.1</v>
      </c>
      <c r="F153" s="54">
        <f t="shared" si="30"/>
        <v>8553.6</v>
      </c>
      <c r="G153" s="52" t="s">
        <v>33</v>
      </c>
      <c r="H153" s="52"/>
      <c r="I153" s="52"/>
      <c r="J153" s="55"/>
      <c r="K153" s="53">
        <f t="shared" si="31"/>
        <v>0</v>
      </c>
      <c r="L153" s="10"/>
    </row>
    <row r="154" spans="1:12" x14ac:dyDescent="0.35">
      <c r="A154" s="49">
        <f>IF(F154&lt;&gt;"",1+MAX($A$7:A153),"")</f>
        <v>112</v>
      </c>
      <c r="B154" s="6"/>
      <c r="C154" s="68" t="s">
        <v>523</v>
      </c>
      <c r="D154" s="68">
        <v>7776</v>
      </c>
      <c r="E154" s="51">
        <v>0.1</v>
      </c>
      <c r="F154" s="54">
        <f t="shared" si="30"/>
        <v>8553.6</v>
      </c>
      <c r="G154" s="52" t="s">
        <v>33</v>
      </c>
      <c r="H154" s="52"/>
      <c r="I154" s="52"/>
      <c r="J154" s="55"/>
      <c r="K154" s="53">
        <f t="shared" si="31"/>
        <v>0</v>
      </c>
      <c r="L154" s="10"/>
    </row>
    <row r="155" spans="1:12" x14ac:dyDescent="0.35">
      <c r="A155" s="49">
        <f>IF(F155&lt;&gt;"",1+MAX($A$7:A154),"")</f>
        <v>113</v>
      </c>
      <c r="B155" s="6"/>
      <c r="C155" s="68" t="s">
        <v>517</v>
      </c>
      <c r="D155" s="68">
        <v>5184</v>
      </c>
      <c r="E155" s="51">
        <v>0.1</v>
      </c>
      <c r="F155" s="54">
        <f t="shared" si="30"/>
        <v>5702.4000000000005</v>
      </c>
      <c r="G155" s="52" t="s">
        <v>33</v>
      </c>
      <c r="H155" s="52"/>
      <c r="I155" s="52"/>
      <c r="J155" s="55"/>
      <c r="K155" s="53">
        <f t="shared" si="31"/>
        <v>0</v>
      </c>
      <c r="L155" s="10"/>
    </row>
    <row r="156" spans="1:12" x14ac:dyDescent="0.35">
      <c r="A156" s="49">
        <f>IF(F156&lt;&gt;"",1+MAX($A$7:A155),"")</f>
        <v>114</v>
      </c>
      <c r="B156" s="6"/>
      <c r="C156" s="68" t="s">
        <v>524</v>
      </c>
      <c r="D156" s="68">
        <v>2592</v>
      </c>
      <c r="E156" s="51">
        <v>0.1</v>
      </c>
      <c r="F156" s="54">
        <f t="shared" si="30"/>
        <v>2851.2000000000003</v>
      </c>
      <c r="G156" s="52" t="s">
        <v>33</v>
      </c>
      <c r="H156" s="52"/>
      <c r="I156" s="52"/>
      <c r="J156" s="55"/>
      <c r="K156" s="53">
        <f t="shared" si="31"/>
        <v>0</v>
      </c>
      <c r="L156" s="10"/>
    </row>
    <row r="157" spans="1:12" x14ac:dyDescent="0.35">
      <c r="A157" s="49">
        <f>IF(F157&lt;&gt;"",1+MAX($A$7:A156),"")</f>
        <v>115</v>
      </c>
      <c r="B157" s="6"/>
      <c r="C157" s="68" t="s">
        <v>518</v>
      </c>
      <c r="D157" s="68">
        <v>7776</v>
      </c>
      <c r="E157" s="51">
        <v>0.1</v>
      </c>
      <c r="F157" s="54">
        <f t="shared" si="30"/>
        <v>8553.6</v>
      </c>
      <c r="G157" s="52" t="s">
        <v>33</v>
      </c>
      <c r="H157" s="52"/>
      <c r="I157" s="52"/>
      <c r="J157" s="55"/>
      <c r="K157" s="53">
        <f t="shared" si="31"/>
        <v>0</v>
      </c>
      <c r="L157" s="10"/>
    </row>
    <row r="158" spans="1:12" x14ac:dyDescent="0.35">
      <c r="A158" s="49">
        <f>IF(F158&lt;&gt;"",1+MAX($A$7:A157),"")</f>
        <v>116</v>
      </c>
      <c r="B158" s="6"/>
      <c r="C158" s="68" t="s">
        <v>519</v>
      </c>
      <c r="D158" s="68">
        <v>648</v>
      </c>
      <c r="E158" s="51">
        <v>0.1</v>
      </c>
      <c r="F158" s="54">
        <f t="shared" si="30"/>
        <v>712.80000000000007</v>
      </c>
      <c r="G158" s="52" t="s">
        <v>34</v>
      </c>
      <c r="H158" s="52"/>
      <c r="I158" s="52"/>
      <c r="J158" s="55"/>
      <c r="K158" s="53">
        <f t="shared" si="31"/>
        <v>0</v>
      </c>
      <c r="L158" s="10"/>
    </row>
    <row r="159" spans="1:12" x14ac:dyDescent="0.35">
      <c r="A159" s="49">
        <f>IF(F159&lt;&gt;"",1+MAX($A$7:A158),"")</f>
        <v>117</v>
      </c>
      <c r="B159" s="6"/>
      <c r="C159" s="68" t="s">
        <v>520</v>
      </c>
      <c r="D159" s="68">
        <v>1296</v>
      </c>
      <c r="E159" s="51">
        <v>0.1</v>
      </c>
      <c r="F159" s="54">
        <f t="shared" si="30"/>
        <v>1425.6000000000001</v>
      </c>
      <c r="G159" s="52" t="s">
        <v>34</v>
      </c>
      <c r="H159" s="52"/>
      <c r="I159" s="52"/>
      <c r="J159" s="55"/>
      <c r="K159" s="53">
        <f t="shared" si="31"/>
        <v>0</v>
      </c>
      <c r="L159" s="10"/>
    </row>
    <row r="160" spans="1:12" x14ac:dyDescent="0.35">
      <c r="A160" s="49">
        <f>IF(F160&lt;&gt;"",1+MAX($A$7:A159),"")</f>
        <v>118</v>
      </c>
      <c r="B160" s="6"/>
      <c r="C160" s="68" t="s">
        <v>521</v>
      </c>
      <c r="D160" s="68">
        <v>1296</v>
      </c>
      <c r="E160" s="51">
        <v>0.1</v>
      </c>
      <c r="F160" s="54">
        <f t="shared" si="30"/>
        <v>1425.6000000000001</v>
      </c>
      <c r="G160" s="52" t="s">
        <v>34</v>
      </c>
      <c r="H160" s="52"/>
      <c r="I160" s="52"/>
      <c r="J160" s="55"/>
      <c r="K160" s="53">
        <f t="shared" si="31"/>
        <v>0</v>
      </c>
      <c r="L160" s="10"/>
    </row>
    <row r="161" spans="1:12" x14ac:dyDescent="0.35">
      <c r="A161" s="49" t="str">
        <f>IF(F161&lt;&gt;"",1+MAX($A$7:A160),"")</f>
        <v/>
      </c>
      <c r="B161" s="6"/>
      <c r="C161" s="68"/>
      <c r="D161" s="68"/>
      <c r="E161" s="51"/>
      <c r="F161" s="54"/>
      <c r="G161" s="52"/>
      <c r="H161" s="52"/>
      <c r="I161" s="52"/>
      <c r="J161" s="55"/>
      <c r="K161" s="53"/>
      <c r="L161" s="10"/>
    </row>
    <row r="162" spans="1:12" x14ac:dyDescent="0.35">
      <c r="A162" s="49" t="str">
        <f>IF(F162&lt;&gt;"",1+MAX($A$7:A161),"")</f>
        <v/>
      </c>
      <c r="B162" s="6"/>
      <c r="C162" s="69" t="s">
        <v>525</v>
      </c>
      <c r="D162" s="68"/>
      <c r="E162" s="51"/>
      <c r="F162" s="54"/>
      <c r="G162" s="52"/>
      <c r="H162" s="52"/>
      <c r="I162" s="52"/>
      <c r="J162" s="55"/>
      <c r="K162" s="53"/>
      <c r="L162" s="10"/>
    </row>
    <row r="163" spans="1:12" x14ac:dyDescent="0.35">
      <c r="A163" s="49">
        <f>IF(F163&lt;&gt;"",1+MAX($A$7:A162),"")</f>
        <v>119</v>
      </c>
      <c r="B163" s="6"/>
      <c r="C163" s="68" t="s">
        <v>515</v>
      </c>
      <c r="D163" s="68">
        <v>6948</v>
      </c>
      <c r="E163" s="51">
        <v>0.1</v>
      </c>
      <c r="F163" s="54">
        <f t="shared" ref="F163:F169" si="32">D163*(1+E163)</f>
        <v>7642.8</v>
      </c>
      <c r="G163" s="52" t="s">
        <v>33</v>
      </c>
      <c r="H163" s="52"/>
      <c r="I163" s="52"/>
      <c r="J163" s="55"/>
      <c r="K163" s="53">
        <f t="shared" ref="K163:K169" si="33">J163*F163</f>
        <v>0</v>
      </c>
      <c r="L163" s="10"/>
    </row>
    <row r="164" spans="1:12" x14ac:dyDescent="0.35">
      <c r="A164" s="49">
        <f>IF(F164&lt;&gt;"",1+MAX($A$7:A163),"")</f>
        <v>120</v>
      </c>
      <c r="B164" s="6"/>
      <c r="C164" s="68" t="s">
        <v>526</v>
      </c>
      <c r="D164" s="68">
        <v>13896</v>
      </c>
      <c r="E164" s="51">
        <v>0.1</v>
      </c>
      <c r="F164" s="54">
        <f t="shared" si="32"/>
        <v>15285.6</v>
      </c>
      <c r="G164" s="52" t="s">
        <v>33</v>
      </c>
      <c r="H164" s="52"/>
      <c r="I164" s="52"/>
      <c r="J164" s="55"/>
      <c r="K164" s="53">
        <f t="shared" si="33"/>
        <v>0</v>
      </c>
      <c r="L164" s="10"/>
    </row>
    <row r="165" spans="1:12" x14ac:dyDescent="0.35">
      <c r="A165" s="49">
        <f>IF(F165&lt;&gt;"",1+MAX($A$7:A164),"")</f>
        <v>121</v>
      </c>
      <c r="B165" s="6"/>
      <c r="C165" s="68" t="s">
        <v>517</v>
      </c>
      <c r="D165" s="68">
        <v>6948</v>
      </c>
      <c r="E165" s="51">
        <v>0.1</v>
      </c>
      <c r="F165" s="54">
        <f t="shared" si="32"/>
        <v>7642.8</v>
      </c>
      <c r="G165" s="52" t="s">
        <v>33</v>
      </c>
      <c r="H165" s="52"/>
      <c r="I165" s="52"/>
      <c r="J165" s="55"/>
      <c r="K165" s="53">
        <f t="shared" si="33"/>
        <v>0</v>
      </c>
      <c r="L165" s="10"/>
    </row>
    <row r="166" spans="1:12" x14ac:dyDescent="0.35">
      <c r="A166" s="49">
        <f>IF(F166&lt;&gt;"",1+MAX($A$7:A165),"")</f>
        <v>122</v>
      </c>
      <c r="B166" s="6"/>
      <c r="C166" s="68" t="s">
        <v>518</v>
      </c>
      <c r="D166" s="68">
        <v>6948</v>
      </c>
      <c r="E166" s="51">
        <v>0.1</v>
      </c>
      <c r="F166" s="54">
        <f t="shared" si="32"/>
        <v>7642.8</v>
      </c>
      <c r="G166" s="52" t="s">
        <v>33</v>
      </c>
      <c r="H166" s="52"/>
      <c r="I166" s="52"/>
      <c r="J166" s="55"/>
      <c r="K166" s="53">
        <f t="shared" si="33"/>
        <v>0</v>
      </c>
      <c r="L166" s="10"/>
    </row>
    <row r="167" spans="1:12" x14ac:dyDescent="0.35">
      <c r="A167" s="49">
        <f>IF(F167&lt;&gt;"",1+MAX($A$7:A166),"")</f>
        <v>123</v>
      </c>
      <c r="B167" s="6"/>
      <c r="C167" s="68" t="s">
        <v>519</v>
      </c>
      <c r="D167" s="68">
        <v>579</v>
      </c>
      <c r="E167" s="51">
        <v>0.1</v>
      </c>
      <c r="F167" s="54">
        <f t="shared" si="32"/>
        <v>636.90000000000009</v>
      </c>
      <c r="G167" s="52" t="s">
        <v>34</v>
      </c>
      <c r="H167" s="52"/>
      <c r="I167" s="52"/>
      <c r="J167" s="55"/>
      <c r="K167" s="53">
        <f t="shared" si="33"/>
        <v>0</v>
      </c>
      <c r="L167" s="10"/>
    </row>
    <row r="168" spans="1:12" x14ac:dyDescent="0.35">
      <c r="A168" s="49">
        <f>IF(F168&lt;&gt;"",1+MAX($A$7:A167),"")</f>
        <v>124</v>
      </c>
      <c r="B168" s="6"/>
      <c r="C168" s="68" t="s">
        <v>520</v>
      </c>
      <c r="D168" s="68">
        <v>1158</v>
      </c>
      <c r="E168" s="51">
        <v>0.1</v>
      </c>
      <c r="F168" s="54">
        <f t="shared" si="32"/>
        <v>1273.8000000000002</v>
      </c>
      <c r="G168" s="52" t="s">
        <v>34</v>
      </c>
      <c r="H168" s="52"/>
      <c r="I168" s="52"/>
      <c r="J168" s="55"/>
      <c r="K168" s="53">
        <f t="shared" si="33"/>
        <v>0</v>
      </c>
      <c r="L168" s="10"/>
    </row>
    <row r="169" spans="1:12" x14ac:dyDescent="0.35">
      <c r="A169" s="49">
        <f>IF(F169&lt;&gt;"",1+MAX($A$7:A168),"")</f>
        <v>125</v>
      </c>
      <c r="B169" s="6"/>
      <c r="C169" s="68" t="s">
        <v>521</v>
      </c>
      <c r="D169" s="68">
        <v>1158</v>
      </c>
      <c r="E169" s="51">
        <v>0.1</v>
      </c>
      <c r="F169" s="54">
        <f t="shared" si="32"/>
        <v>1273.8000000000002</v>
      </c>
      <c r="G169" s="52" t="s">
        <v>34</v>
      </c>
      <c r="H169" s="52"/>
      <c r="I169" s="52"/>
      <c r="J169" s="55"/>
      <c r="K169" s="53">
        <f t="shared" si="33"/>
        <v>0</v>
      </c>
      <c r="L169" s="10"/>
    </row>
    <row r="170" spans="1:12" x14ac:dyDescent="0.35">
      <c r="A170" s="49" t="str">
        <f>IF(F170&lt;&gt;"",1+MAX($A$7:A169),"")</f>
        <v/>
      </c>
      <c r="B170" s="6"/>
      <c r="C170" s="68"/>
      <c r="D170" s="68"/>
      <c r="E170" s="51"/>
      <c r="F170" s="54"/>
      <c r="G170" s="52"/>
      <c r="H170" s="52"/>
      <c r="I170" s="52"/>
      <c r="J170" s="55"/>
      <c r="K170" s="53"/>
      <c r="L170" s="10"/>
    </row>
    <row r="171" spans="1:12" x14ac:dyDescent="0.35">
      <c r="A171" s="49" t="str">
        <f>IF(F171&lt;&gt;"",1+MAX($A$7:A170),"")</f>
        <v/>
      </c>
      <c r="B171" s="6"/>
      <c r="C171" s="69" t="s">
        <v>527</v>
      </c>
      <c r="D171" s="68"/>
      <c r="E171" s="51"/>
      <c r="F171" s="54"/>
      <c r="G171" s="52"/>
      <c r="H171" s="52"/>
      <c r="I171" s="52"/>
      <c r="J171" s="55"/>
      <c r="K171" s="53"/>
      <c r="L171" s="10"/>
    </row>
    <row r="172" spans="1:12" x14ac:dyDescent="0.35">
      <c r="A172" s="49">
        <f>IF(F172&lt;&gt;"",1+MAX($A$7:A171),"")</f>
        <v>126</v>
      </c>
      <c r="B172" s="6"/>
      <c r="C172" s="68" t="s">
        <v>515</v>
      </c>
      <c r="D172" s="68">
        <v>15888</v>
      </c>
      <c r="E172" s="51">
        <v>0.1</v>
      </c>
      <c r="F172" s="54">
        <f t="shared" ref="F172:F178" si="34">D172*(1+E172)</f>
        <v>17476.800000000003</v>
      </c>
      <c r="G172" s="52" t="s">
        <v>33</v>
      </c>
      <c r="H172" s="52"/>
      <c r="I172" s="52"/>
      <c r="J172" s="55"/>
      <c r="K172" s="53">
        <f t="shared" ref="K172:K178" si="35">J172*F172</f>
        <v>0</v>
      </c>
      <c r="L172" s="10"/>
    </row>
    <row r="173" spans="1:12" x14ac:dyDescent="0.35">
      <c r="A173" s="49">
        <f>IF(F173&lt;&gt;"",1+MAX($A$7:A172),"")</f>
        <v>127</v>
      </c>
      <c r="B173" s="6"/>
      <c r="C173" s="68" t="s">
        <v>516</v>
      </c>
      <c r="D173" s="68">
        <v>31776</v>
      </c>
      <c r="E173" s="51">
        <v>0.1</v>
      </c>
      <c r="F173" s="54">
        <f t="shared" si="34"/>
        <v>34953.600000000006</v>
      </c>
      <c r="G173" s="52" t="s">
        <v>33</v>
      </c>
      <c r="H173" s="52"/>
      <c r="I173" s="52"/>
      <c r="J173" s="55"/>
      <c r="K173" s="53">
        <f t="shared" si="35"/>
        <v>0</v>
      </c>
      <c r="L173" s="10"/>
    </row>
    <row r="174" spans="1:12" x14ac:dyDescent="0.35">
      <c r="A174" s="49">
        <f>IF(F174&lt;&gt;"",1+MAX($A$7:A173),"")</f>
        <v>128</v>
      </c>
      <c r="B174" s="6"/>
      <c r="C174" s="68" t="s">
        <v>517</v>
      </c>
      <c r="D174" s="68">
        <v>15888</v>
      </c>
      <c r="E174" s="51">
        <v>0.1</v>
      </c>
      <c r="F174" s="54">
        <f t="shared" si="34"/>
        <v>17476.800000000003</v>
      </c>
      <c r="G174" s="52" t="s">
        <v>33</v>
      </c>
      <c r="H174" s="52"/>
      <c r="I174" s="52"/>
      <c r="J174" s="55"/>
      <c r="K174" s="53">
        <f t="shared" si="35"/>
        <v>0</v>
      </c>
      <c r="L174" s="10"/>
    </row>
    <row r="175" spans="1:12" x14ac:dyDescent="0.35">
      <c r="A175" s="49">
        <f>IF(F175&lt;&gt;"",1+MAX($A$7:A174),"")</f>
        <v>129</v>
      </c>
      <c r="B175" s="6"/>
      <c r="C175" s="68" t="s">
        <v>518</v>
      </c>
      <c r="D175" s="68">
        <v>15888</v>
      </c>
      <c r="E175" s="51">
        <v>0.1</v>
      </c>
      <c r="F175" s="54">
        <f t="shared" si="34"/>
        <v>17476.800000000003</v>
      </c>
      <c r="G175" s="52" t="s">
        <v>33</v>
      </c>
      <c r="H175" s="52"/>
      <c r="I175" s="52"/>
      <c r="J175" s="55"/>
      <c r="K175" s="53">
        <f t="shared" si="35"/>
        <v>0</v>
      </c>
      <c r="L175" s="10"/>
    </row>
    <row r="176" spans="1:12" x14ac:dyDescent="0.35">
      <c r="A176" s="49">
        <f>IF(F176&lt;&gt;"",1+MAX($A$7:A175),"")</f>
        <v>130</v>
      </c>
      <c r="B176" s="6"/>
      <c r="C176" s="68" t="s">
        <v>519</v>
      </c>
      <c r="D176" s="68">
        <v>1324</v>
      </c>
      <c r="E176" s="51">
        <v>0.1</v>
      </c>
      <c r="F176" s="54">
        <f t="shared" si="34"/>
        <v>1456.4</v>
      </c>
      <c r="G176" s="52" t="s">
        <v>34</v>
      </c>
      <c r="H176" s="52"/>
      <c r="I176" s="52"/>
      <c r="J176" s="55"/>
      <c r="K176" s="53">
        <f t="shared" si="35"/>
        <v>0</v>
      </c>
      <c r="L176" s="10"/>
    </row>
    <row r="177" spans="1:12" x14ac:dyDescent="0.35">
      <c r="A177" s="49">
        <f>IF(F177&lt;&gt;"",1+MAX($A$7:A176),"")</f>
        <v>131</v>
      </c>
      <c r="B177" s="6"/>
      <c r="C177" s="68" t="s">
        <v>520</v>
      </c>
      <c r="D177" s="68">
        <v>2648</v>
      </c>
      <c r="E177" s="51">
        <v>0.1</v>
      </c>
      <c r="F177" s="54">
        <f t="shared" si="34"/>
        <v>2912.8</v>
      </c>
      <c r="G177" s="52" t="s">
        <v>34</v>
      </c>
      <c r="H177" s="52"/>
      <c r="I177" s="52"/>
      <c r="J177" s="55"/>
      <c r="K177" s="53">
        <f t="shared" si="35"/>
        <v>0</v>
      </c>
      <c r="L177" s="10"/>
    </row>
    <row r="178" spans="1:12" x14ac:dyDescent="0.35">
      <c r="A178" s="49">
        <f>IF(F178&lt;&gt;"",1+MAX($A$7:A177),"")</f>
        <v>132</v>
      </c>
      <c r="B178" s="6"/>
      <c r="C178" s="68" t="s">
        <v>521</v>
      </c>
      <c r="D178" s="68">
        <v>2648</v>
      </c>
      <c r="E178" s="51">
        <v>0.1</v>
      </c>
      <c r="F178" s="54">
        <f t="shared" si="34"/>
        <v>2912.8</v>
      </c>
      <c r="G178" s="52" t="s">
        <v>34</v>
      </c>
      <c r="H178" s="52"/>
      <c r="I178" s="52"/>
      <c r="J178" s="55"/>
      <c r="K178" s="53">
        <f t="shared" si="35"/>
        <v>0</v>
      </c>
      <c r="L178" s="10"/>
    </row>
    <row r="179" spans="1:12" x14ac:dyDescent="0.35">
      <c r="A179" s="49" t="str">
        <f>IF(F179&lt;&gt;"",1+MAX($A$7:A178),"")</f>
        <v/>
      </c>
      <c r="B179" s="6"/>
      <c r="C179" s="68"/>
      <c r="D179" s="68"/>
      <c r="E179" s="51"/>
      <c r="F179" s="54"/>
      <c r="G179" s="52"/>
      <c r="H179" s="52"/>
      <c r="I179" s="52"/>
      <c r="J179" s="55"/>
      <c r="K179" s="53"/>
      <c r="L179" s="10"/>
    </row>
    <row r="180" spans="1:12" x14ac:dyDescent="0.35">
      <c r="A180" s="49" t="str">
        <f>IF(F180&lt;&gt;"",1+MAX($A$7:A179),"")</f>
        <v/>
      </c>
      <c r="B180" s="6"/>
      <c r="C180" s="69" t="s">
        <v>528</v>
      </c>
      <c r="D180" s="68"/>
      <c r="E180" s="51"/>
      <c r="F180" s="54"/>
      <c r="G180" s="52"/>
      <c r="H180" s="52"/>
      <c r="I180" s="52"/>
      <c r="J180" s="55"/>
      <c r="K180" s="53"/>
      <c r="L180" s="10"/>
    </row>
    <row r="181" spans="1:12" x14ac:dyDescent="0.35">
      <c r="A181" s="49">
        <f>IF(F181&lt;&gt;"",1+MAX($A$7:A180),"")</f>
        <v>133</v>
      </c>
      <c r="B181" s="6"/>
      <c r="C181" s="68" t="s">
        <v>529</v>
      </c>
      <c r="D181" s="68">
        <v>66144</v>
      </c>
      <c r="E181" s="51">
        <v>0.1</v>
      </c>
      <c r="F181" s="54">
        <f t="shared" ref="F181:F187" si="36">D181*(1+E181)</f>
        <v>72758.400000000009</v>
      </c>
      <c r="G181" s="52" t="s">
        <v>33</v>
      </c>
      <c r="H181" s="52"/>
      <c r="I181" s="52"/>
      <c r="J181" s="55"/>
      <c r="K181" s="53">
        <f t="shared" ref="K181:K187" si="37">J181*F181</f>
        <v>0</v>
      </c>
      <c r="L181" s="10"/>
    </row>
    <row r="182" spans="1:12" x14ac:dyDescent="0.35">
      <c r="A182" s="49">
        <f>IF(F182&lt;&gt;"",1+MAX($A$7:A181),"")</f>
        <v>134</v>
      </c>
      <c r="B182" s="6"/>
      <c r="C182" s="68" t="s">
        <v>516</v>
      </c>
      <c r="D182" s="68">
        <v>132288</v>
      </c>
      <c r="E182" s="51">
        <v>0.1</v>
      </c>
      <c r="F182" s="54">
        <f t="shared" si="36"/>
        <v>145516.80000000002</v>
      </c>
      <c r="G182" s="52" t="s">
        <v>33</v>
      </c>
      <c r="H182" s="52"/>
      <c r="I182" s="52"/>
      <c r="J182" s="55"/>
      <c r="K182" s="53">
        <f t="shared" si="37"/>
        <v>0</v>
      </c>
      <c r="L182" s="10"/>
    </row>
    <row r="183" spans="1:12" x14ac:dyDescent="0.35">
      <c r="A183" s="49">
        <f>IF(F183&lt;&gt;"",1+MAX($A$7:A182),"")</f>
        <v>135</v>
      </c>
      <c r="B183" s="6"/>
      <c r="C183" s="68" t="s">
        <v>517</v>
      </c>
      <c r="D183" s="68">
        <v>66144</v>
      </c>
      <c r="E183" s="51">
        <v>0.1</v>
      </c>
      <c r="F183" s="54">
        <f t="shared" si="36"/>
        <v>72758.400000000009</v>
      </c>
      <c r="G183" s="52" t="s">
        <v>33</v>
      </c>
      <c r="H183" s="52"/>
      <c r="I183" s="52"/>
      <c r="J183" s="55"/>
      <c r="K183" s="53">
        <f t="shared" si="37"/>
        <v>0</v>
      </c>
      <c r="L183" s="10"/>
    </row>
    <row r="184" spans="1:12" x14ac:dyDescent="0.35">
      <c r="A184" s="49">
        <f>IF(F184&lt;&gt;"",1+MAX($A$7:A183),"")</f>
        <v>136</v>
      </c>
      <c r="B184" s="6"/>
      <c r="C184" s="68" t="s">
        <v>518</v>
      </c>
      <c r="D184" s="68">
        <v>66144</v>
      </c>
      <c r="E184" s="51">
        <v>0.1</v>
      </c>
      <c r="F184" s="54">
        <f t="shared" si="36"/>
        <v>72758.400000000009</v>
      </c>
      <c r="G184" s="52" t="s">
        <v>33</v>
      </c>
      <c r="H184" s="52"/>
      <c r="I184" s="52"/>
      <c r="J184" s="55"/>
      <c r="K184" s="53">
        <f t="shared" si="37"/>
        <v>0</v>
      </c>
      <c r="L184" s="10"/>
    </row>
    <row r="185" spans="1:12" x14ac:dyDescent="0.35">
      <c r="A185" s="49">
        <f>IF(F185&lt;&gt;"",1+MAX($A$7:A184),"")</f>
        <v>137</v>
      </c>
      <c r="B185" s="6"/>
      <c r="C185" s="68" t="s">
        <v>519</v>
      </c>
      <c r="D185" s="68">
        <v>5512</v>
      </c>
      <c r="E185" s="51">
        <v>0.1</v>
      </c>
      <c r="F185" s="54">
        <f t="shared" si="36"/>
        <v>6063.2000000000007</v>
      </c>
      <c r="G185" s="52" t="s">
        <v>34</v>
      </c>
      <c r="H185" s="52"/>
      <c r="I185" s="52"/>
      <c r="J185" s="55"/>
      <c r="K185" s="53">
        <f t="shared" si="37"/>
        <v>0</v>
      </c>
      <c r="L185" s="10"/>
    </row>
    <row r="186" spans="1:12" x14ac:dyDescent="0.35">
      <c r="A186" s="49">
        <f>IF(F186&lt;&gt;"",1+MAX($A$7:A185),"")</f>
        <v>138</v>
      </c>
      <c r="B186" s="6"/>
      <c r="C186" s="68" t="s">
        <v>520</v>
      </c>
      <c r="D186" s="68">
        <v>11024</v>
      </c>
      <c r="E186" s="51">
        <v>0.1</v>
      </c>
      <c r="F186" s="54">
        <f t="shared" si="36"/>
        <v>12126.400000000001</v>
      </c>
      <c r="G186" s="52" t="s">
        <v>34</v>
      </c>
      <c r="H186" s="52"/>
      <c r="I186" s="52"/>
      <c r="J186" s="55"/>
      <c r="K186" s="53">
        <f t="shared" si="37"/>
        <v>0</v>
      </c>
      <c r="L186" s="10"/>
    </row>
    <row r="187" spans="1:12" x14ac:dyDescent="0.35">
      <c r="A187" s="49">
        <f>IF(F187&lt;&gt;"",1+MAX($A$7:A186),"")</f>
        <v>139</v>
      </c>
      <c r="B187" s="6"/>
      <c r="C187" s="68" t="s">
        <v>521</v>
      </c>
      <c r="D187" s="68">
        <v>11024</v>
      </c>
      <c r="E187" s="51">
        <v>0.1</v>
      </c>
      <c r="F187" s="54">
        <f t="shared" si="36"/>
        <v>12126.400000000001</v>
      </c>
      <c r="G187" s="52" t="s">
        <v>34</v>
      </c>
      <c r="H187" s="52"/>
      <c r="I187" s="52"/>
      <c r="J187" s="55"/>
      <c r="K187" s="53">
        <f t="shared" si="37"/>
        <v>0</v>
      </c>
      <c r="L187" s="10"/>
    </row>
    <row r="188" spans="1:12" x14ac:dyDescent="0.35">
      <c r="A188" s="49" t="str">
        <f>IF(F188&lt;&gt;"",1+MAX($A$7:A187),"")</f>
        <v/>
      </c>
      <c r="B188" s="6"/>
      <c r="C188" s="68"/>
      <c r="D188" s="68"/>
      <c r="E188" s="51"/>
      <c r="F188" s="54"/>
      <c r="G188" s="52"/>
      <c r="H188" s="52"/>
      <c r="I188" s="52"/>
      <c r="J188" s="55"/>
      <c r="K188" s="53"/>
      <c r="L188" s="10"/>
    </row>
    <row r="189" spans="1:12" x14ac:dyDescent="0.35">
      <c r="A189" s="49" t="str">
        <f>IF(F189&lt;&gt;"",1+MAX($A$7:A188),"")</f>
        <v/>
      </c>
      <c r="B189" s="6"/>
      <c r="C189" s="69" t="s">
        <v>530</v>
      </c>
      <c r="D189" s="68"/>
      <c r="E189" s="51"/>
      <c r="F189" s="54"/>
      <c r="G189" s="52"/>
      <c r="H189" s="52"/>
      <c r="I189" s="52"/>
      <c r="J189" s="55"/>
      <c r="K189" s="53"/>
      <c r="L189" s="10"/>
    </row>
    <row r="190" spans="1:12" x14ac:dyDescent="0.35">
      <c r="A190" s="49">
        <f>IF(F190&lt;&gt;"",1+MAX($A$7:A189),"")</f>
        <v>140</v>
      </c>
      <c r="B190" s="6"/>
      <c r="C190" s="68" t="s">
        <v>529</v>
      </c>
      <c r="D190" s="68">
        <v>11700</v>
      </c>
      <c r="E190" s="51">
        <v>0.1</v>
      </c>
      <c r="F190" s="54">
        <f t="shared" ref="F190:F196" si="38">D190*(1+E190)</f>
        <v>12870.000000000002</v>
      </c>
      <c r="G190" s="52" t="s">
        <v>33</v>
      </c>
      <c r="H190" s="52"/>
      <c r="I190" s="52"/>
      <c r="J190" s="55"/>
      <c r="K190" s="53">
        <f t="shared" ref="K190:K196" si="39">J190*F190</f>
        <v>0</v>
      </c>
      <c r="L190" s="10"/>
    </row>
    <row r="191" spans="1:12" x14ac:dyDescent="0.35">
      <c r="A191" s="49">
        <f>IF(F191&lt;&gt;"",1+MAX($A$7:A190),"")</f>
        <v>141</v>
      </c>
      <c r="B191" s="6"/>
      <c r="C191" s="68" t="s">
        <v>516</v>
      </c>
      <c r="D191" s="68">
        <v>23400</v>
      </c>
      <c r="E191" s="51">
        <v>0.1</v>
      </c>
      <c r="F191" s="54">
        <f t="shared" si="38"/>
        <v>25740.000000000004</v>
      </c>
      <c r="G191" s="52" t="s">
        <v>33</v>
      </c>
      <c r="H191" s="52"/>
      <c r="I191" s="52"/>
      <c r="J191" s="55"/>
      <c r="K191" s="53">
        <f t="shared" si="39"/>
        <v>0</v>
      </c>
      <c r="L191" s="10"/>
    </row>
    <row r="192" spans="1:12" x14ac:dyDescent="0.35">
      <c r="A192" s="49">
        <f>IF(F192&lt;&gt;"",1+MAX($A$7:A191),"")</f>
        <v>142</v>
      </c>
      <c r="B192" s="6"/>
      <c r="C192" s="68" t="s">
        <v>517</v>
      </c>
      <c r="D192" s="68">
        <v>11700</v>
      </c>
      <c r="E192" s="51">
        <v>0.1</v>
      </c>
      <c r="F192" s="54">
        <f t="shared" si="38"/>
        <v>12870.000000000002</v>
      </c>
      <c r="G192" s="52" t="s">
        <v>33</v>
      </c>
      <c r="H192" s="52"/>
      <c r="I192" s="52"/>
      <c r="J192" s="55"/>
      <c r="K192" s="53">
        <f t="shared" si="39"/>
        <v>0</v>
      </c>
      <c r="L192" s="10"/>
    </row>
    <row r="193" spans="1:12" x14ac:dyDescent="0.35">
      <c r="A193" s="49">
        <f>IF(F193&lt;&gt;"",1+MAX($A$7:A192),"")</f>
        <v>143</v>
      </c>
      <c r="B193" s="6"/>
      <c r="C193" s="68" t="s">
        <v>518</v>
      </c>
      <c r="D193" s="68">
        <v>11700</v>
      </c>
      <c r="E193" s="51">
        <v>0.1</v>
      </c>
      <c r="F193" s="54">
        <f t="shared" si="38"/>
        <v>12870.000000000002</v>
      </c>
      <c r="G193" s="52" t="s">
        <v>33</v>
      </c>
      <c r="H193" s="52"/>
      <c r="I193" s="52"/>
      <c r="J193" s="55"/>
      <c r="K193" s="53">
        <f t="shared" si="39"/>
        <v>0</v>
      </c>
      <c r="L193" s="10"/>
    </row>
    <row r="194" spans="1:12" x14ac:dyDescent="0.35">
      <c r="A194" s="49">
        <f>IF(F194&lt;&gt;"",1+MAX($A$7:A193),"")</f>
        <v>144</v>
      </c>
      <c r="B194" s="6"/>
      <c r="C194" s="68" t="s">
        <v>519</v>
      </c>
      <c r="D194" s="68">
        <v>975</v>
      </c>
      <c r="E194" s="51">
        <v>0.1</v>
      </c>
      <c r="F194" s="54">
        <f t="shared" si="38"/>
        <v>1072.5</v>
      </c>
      <c r="G194" s="52" t="s">
        <v>34</v>
      </c>
      <c r="H194" s="52"/>
      <c r="I194" s="52"/>
      <c r="J194" s="55"/>
      <c r="K194" s="53">
        <f t="shared" si="39"/>
        <v>0</v>
      </c>
      <c r="L194" s="10"/>
    </row>
    <row r="195" spans="1:12" x14ac:dyDescent="0.35">
      <c r="A195" s="49">
        <f>IF(F195&lt;&gt;"",1+MAX($A$7:A194),"")</f>
        <v>145</v>
      </c>
      <c r="B195" s="6"/>
      <c r="C195" s="68" t="s">
        <v>520</v>
      </c>
      <c r="D195" s="68">
        <v>1950</v>
      </c>
      <c r="E195" s="51">
        <v>0.1</v>
      </c>
      <c r="F195" s="54">
        <f t="shared" si="38"/>
        <v>2145</v>
      </c>
      <c r="G195" s="52" t="s">
        <v>34</v>
      </c>
      <c r="H195" s="52"/>
      <c r="I195" s="52"/>
      <c r="J195" s="55"/>
      <c r="K195" s="53">
        <f t="shared" si="39"/>
        <v>0</v>
      </c>
      <c r="L195" s="10"/>
    </row>
    <row r="196" spans="1:12" x14ac:dyDescent="0.35">
      <c r="A196" s="49">
        <f>IF(F196&lt;&gt;"",1+MAX($A$7:A195),"")</f>
        <v>146</v>
      </c>
      <c r="B196" s="6"/>
      <c r="C196" s="68" t="s">
        <v>521</v>
      </c>
      <c r="D196" s="68">
        <v>1950</v>
      </c>
      <c r="E196" s="51">
        <v>0.1</v>
      </c>
      <c r="F196" s="54">
        <f t="shared" si="38"/>
        <v>2145</v>
      </c>
      <c r="G196" s="52" t="s">
        <v>34</v>
      </c>
      <c r="H196" s="52"/>
      <c r="I196" s="52"/>
      <c r="J196" s="55"/>
      <c r="K196" s="53">
        <f t="shared" si="39"/>
        <v>0</v>
      </c>
      <c r="L196" s="10"/>
    </row>
    <row r="197" spans="1:12" x14ac:dyDescent="0.35">
      <c r="A197" s="49" t="str">
        <f>IF(F197&lt;&gt;"",1+MAX($A$7:A196),"")</f>
        <v/>
      </c>
      <c r="B197" s="6"/>
      <c r="C197" s="68"/>
      <c r="D197" s="68"/>
      <c r="E197" s="51"/>
      <c r="F197" s="54"/>
      <c r="G197" s="52"/>
      <c r="H197" s="52"/>
      <c r="I197" s="52"/>
      <c r="J197" s="55"/>
      <c r="K197" s="53"/>
      <c r="L197" s="10"/>
    </row>
    <row r="198" spans="1:12" x14ac:dyDescent="0.35">
      <c r="A198" s="49" t="str">
        <f>IF(F198&lt;&gt;"",1+MAX($A$7:A197),"")</f>
        <v/>
      </c>
      <c r="B198" s="6"/>
      <c r="C198" s="69" t="s">
        <v>531</v>
      </c>
      <c r="D198" s="68"/>
      <c r="E198" s="51"/>
      <c r="F198" s="54"/>
      <c r="G198" s="52"/>
      <c r="H198" s="52"/>
      <c r="I198" s="52"/>
      <c r="J198" s="55"/>
      <c r="K198" s="53"/>
      <c r="L198" s="10"/>
    </row>
    <row r="199" spans="1:12" x14ac:dyDescent="0.35">
      <c r="A199" s="49">
        <f>IF(F199&lt;&gt;"",1+MAX($A$7:A198),"")</f>
        <v>147</v>
      </c>
      <c r="B199" s="6"/>
      <c r="C199" s="68" t="s">
        <v>529</v>
      </c>
      <c r="D199" s="68">
        <v>9504</v>
      </c>
      <c r="E199" s="51">
        <v>0.1</v>
      </c>
      <c r="F199" s="54">
        <f t="shared" ref="F199:F206" si="40">D199*(1+E199)</f>
        <v>10454.400000000001</v>
      </c>
      <c r="G199" s="52" t="s">
        <v>33</v>
      </c>
      <c r="H199" s="52"/>
      <c r="I199" s="52"/>
      <c r="J199" s="55"/>
      <c r="K199" s="53">
        <f t="shared" ref="K199:K206" si="41">J199*F199</f>
        <v>0</v>
      </c>
      <c r="L199" s="10"/>
    </row>
    <row r="200" spans="1:12" x14ac:dyDescent="0.35">
      <c r="A200" s="49">
        <f>IF(F200&lt;&gt;"",1+MAX($A$7:A199),"")</f>
        <v>148</v>
      </c>
      <c r="B200" s="6"/>
      <c r="C200" s="68" t="s">
        <v>532</v>
      </c>
      <c r="D200" s="68">
        <v>9504</v>
      </c>
      <c r="E200" s="51">
        <v>0.1</v>
      </c>
      <c r="F200" s="54">
        <f t="shared" si="40"/>
        <v>10454.400000000001</v>
      </c>
      <c r="G200" s="52" t="s">
        <v>33</v>
      </c>
      <c r="H200" s="52"/>
      <c r="I200" s="52"/>
      <c r="J200" s="55"/>
      <c r="K200" s="53">
        <f t="shared" si="41"/>
        <v>0</v>
      </c>
      <c r="L200" s="10"/>
    </row>
    <row r="201" spans="1:12" x14ac:dyDescent="0.35">
      <c r="A201" s="49">
        <f>IF(F201&lt;&gt;"",1+MAX($A$7:A200),"")</f>
        <v>149</v>
      </c>
      <c r="B201" s="6"/>
      <c r="C201" s="68" t="s">
        <v>533</v>
      </c>
      <c r="D201" s="68">
        <v>19008</v>
      </c>
      <c r="E201" s="51">
        <v>0.1</v>
      </c>
      <c r="F201" s="54">
        <f t="shared" si="40"/>
        <v>20908.800000000003</v>
      </c>
      <c r="G201" s="52" t="s">
        <v>33</v>
      </c>
      <c r="H201" s="52"/>
      <c r="I201" s="52"/>
      <c r="J201" s="55"/>
      <c r="K201" s="53">
        <f t="shared" si="41"/>
        <v>0</v>
      </c>
      <c r="L201" s="10"/>
    </row>
    <row r="202" spans="1:12" x14ac:dyDescent="0.35">
      <c r="A202" s="49">
        <f>IF(F202&lt;&gt;"",1+MAX($A$7:A201),"")</f>
        <v>150</v>
      </c>
      <c r="B202" s="6"/>
      <c r="C202" s="68" t="s">
        <v>517</v>
      </c>
      <c r="D202" s="68">
        <v>9504</v>
      </c>
      <c r="E202" s="51">
        <v>0.1</v>
      </c>
      <c r="F202" s="54">
        <f t="shared" si="40"/>
        <v>10454.400000000001</v>
      </c>
      <c r="G202" s="52" t="s">
        <v>33</v>
      </c>
      <c r="H202" s="52"/>
      <c r="I202" s="52"/>
      <c r="J202" s="55"/>
      <c r="K202" s="53">
        <f t="shared" si="41"/>
        <v>0</v>
      </c>
      <c r="L202" s="10"/>
    </row>
    <row r="203" spans="1:12" x14ac:dyDescent="0.35">
      <c r="A203" s="49">
        <f>IF(F203&lt;&gt;"",1+MAX($A$7:A202),"")</f>
        <v>151</v>
      </c>
      <c r="B203" s="6"/>
      <c r="C203" s="68" t="s">
        <v>518</v>
      </c>
      <c r="D203" s="68">
        <v>9504</v>
      </c>
      <c r="E203" s="51">
        <v>0.1</v>
      </c>
      <c r="F203" s="54">
        <f t="shared" si="40"/>
        <v>10454.400000000001</v>
      </c>
      <c r="G203" s="52" t="s">
        <v>33</v>
      </c>
      <c r="H203" s="52"/>
      <c r="I203" s="52"/>
      <c r="J203" s="55"/>
      <c r="K203" s="53">
        <f t="shared" si="41"/>
        <v>0</v>
      </c>
      <c r="L203" s="10"/>
    </row>
    <row r="204" spans="1:12" x14ac:dyDescent="0.35">
      <c r="A204" s="49">
        <f>IF(F204&lt;&gt;"",1+MAX($A$7:A203),"")</f>
        <v>152</v>
      </c>
      <c r="B204" s="6"/>
      <c r="C204" s="68" t="s">
        <v>519</v>
      </c>
      <c r="D204" s="68">
        <v>792</v>
      </c>
      <c r="E204" s="51">
        <v>0.1</v>
      </c>
      <c r="F204" s="54">
        <f t="shared" si="40"/>
        <v>871.2</v>
      </c>
      <c r="G204" s="52" t="s">
        <v>34</v>
      </c>
      <c r="H204" s="52"/>
      <c r="I204" s="52"/>
      <c r="J204" s="55"/>
      <c r="K204" s="53">
        <f t="shared" si="41"/>
        <v>0</v>
      </c>
      <c r="L204" s="10"/>
    </row>
    <row r="205" spans="1:12" x14ac:dyDescent="0.35">
      <c r="A205" s="49">
        <f>IF(F205&lt;&gt;"",1+MAX($A$7:A204),"")</f>
        <v>153</v>
      </c>
      <c r="B205" s="6"/>
      <c r="C205" s="68" t="s">
        <v>520</v>
      </c>
      <c r="D205" s="68">
        <v>1583</v>
      </c>
      <c r="E205" s="51">
        <v>0.1</v>
      </c>
      <c r="F205" s="54">
        <f t="shared" si="40"/>
        <v>1741.3000000000002</v>
      </c>
      <c r="G205" s="52" t="s">
        <v>34</v>
      </c>
      <c r="H205" s="52"/>
      <c r="I205" s="52"/>
      <c r="J205" s="55"/>
      <c r="K205" s="53">
        <f t="shared" si="41"/>
        <v>0</v>
      </c>
      <c r="L205" s="10"/>
    </row>
    <row r="206" spans="1:12" x14ac:dyDescent="0.35">
      <c r="A206" s="49">
        <f>IF(F206&lt;&gt;"",1+MAX($A$7:A205),"")</f>
        <v>154</v>
      </c>
      <c r="B206" s="6"/>
      <c r="C206" s="68" t="s">
        <v>521</v>
      </c>
      <c r="D206" s="68">
        <v>1583</v>
      </c>
      <c r="E206" s="51">
        <v>0.1</v>
      </c>
      <c r="F206" s="54">
        <f t="shared" si="40"/>
        <v>1741.3000000000002</v>
      </c>
      <c r="G206" s="52" t="s">
        <v>34</v>
      </c>
      <c r="H206" s="52"/>
      <c r="I206" s="52"/>
      <c r="J206" s="55"/>
      <c r="K206" s="53">
        <f t="shared" si="41"/>
        <v>0</v>
      </c>
      <c r="L206" s="10"/>
    </row>
    <row r="207" spans="1:12" x14ac:dyDescent="0.35">
      <c r="A207" s="49" t="str">
        <f>IF(F207&lt;&gt;"",1+MAX($A$7:A206),"")</f>
        <v/>
      </c>
      <c r="B207" s="6"/>
      <c r="C207" s="68"/>
      <c r="D207" s="68"/>
      <c r="E207" s="51"/>
      <c r="F207" s="54"/>
      <c r="G207" s="52"/>
      <c r="H207" s="52"/>
      <c r="I207" s="52"/>
      <c r="J207" s="55"/>
      <c r="K207" s="53"/>
      <c r="L207" s="10"/>
    </row>
    <row r="208" spans="1:12" x14ac:dyDescent="0.35">
      <c r="A208" s="49" t="str">
        <f>IF(F208&lt;&gt;"",1+MAX($A$7:A207),"")</f>
        <v/>
      </c>
      <c r="B208" s="6"/>
      <c r="C208" s="69" t="s">
        <v>534</v>
      </c>
      <c r="D208" s="68"/>
      <c r="E208" s="51"/>
      <c r="F208" s="54"/>
      <c r="G208" s="52"/>
      <c r="H208" s="52"/>
      <c r="I208" s="52"/>
      <c r="J208" s="55"/>
      <c r="K208" s="53"/>
      <c r="L208" s="10"/>
    </row>
    <row r="209" spans="1:12" x14ac:dyDescent="0.35">
      <c r="A209" s="49">
        <f>IF(F209&lt;&gt;"",1+MAX($A$7:A208),"")</f>
        <v>155</v>
      </c>
      <c r="B209" s="6"/>
      <c r="C209" s="68" t="s">
        <v>529</v>
      </c>
      <c r="D209" s="68">
        <v>10680</v>
      </c>
      <c r="E209" s="51">
        <v>0.1</v>
      </c>
      <c r="F209" s="54">
        <f t="shared" ref="F209:F216" si="42">D209*(1+E209)</f>
        <v>11748.000000000002</v>
      </c>
      <c r="G209" s="52" t="s">
        <v>33</v>
      </c>
      <c r="H209" s="52"/>
      <c r="I209" s="52"/>
      <c r="J209" s="55"/>
      <c r="K209" s="53">
        <f t="shared" ref="K209:K216" si="43">J209*F209</f>
        <v>0</v>
      </c>
      <c r="L209" s="10"/>
    </row>
    <row r="210" spans="1:12" x14ac:dyDescent="0.35">
      <c r="A210" s="49">
        <f>IF(F210&lt;&gt;"",1+MAX($A$7:A209),"")</f>
        <v>156</v>
      </c>
      <c r="B210" s="6"/>
      <c r="C210" s="68" t="s">
        <v>532</v>
      </c>
      <c r="D210" s="68">
        <v>10680</v>
      </c>
      <c r="E210" s="51">
        <v>0.1</v>
      </c>
      <c r="F210" s="54">
        <f t="shared" si="42"/>
        <v>11748.000000000002</v>
      </c>
      <c r="G210" s="52" t="s">
        <v>33</v>
      </c>
      <c r="H210" s="52"/>
      <c r="I210" s="52"/>
      <c r="J210" s="55"/>
      <c r="K210" s="53">
        <f t="shared" si="43"/>
        <v>0</v>
      </c>
      <c r="L210" s="10"/>
    </row>
    <row r="211" spans="1:12" x14ac:dyDescent="0.35">
      <c r="A211" s="49">
        <f>IF(F211&lt;&gt;"",1+MAX($A$7:A210),"")</f>
        <v>157</v>
      </c>
      <c r="B211" s="6"/>
      <c r="C211" s="68" t="s">
        <v>535</v>
      </c>
      <c r="D211" s="68">
        <v>21360</v>
      </c>
      <c r="E211" s="51">
        <v>0.1</v>
      </c>
      <c r="F211" s="54">
        <f t="shared" si="42"/>
        <v>23496.000000000004</v>
      </c>
      <c r="G211" s="52" t="s">
        <v>33</v>
      </c>
      <c r="H211" s="52"/>
      <c r="I211" s="52"/>
      <c r="J211" s="55"/>
      <c r="K211" s="53">
        <f t="shared" si="43"/>
        <v>0</v>
      </c>
      <c r="L211" s="10"/>
    </row>
    <row r="212" spans="1:12" x14ac:dyDescent="0.35">
      <c r="A212" s="49">
        <f>IF(F212&lt;&gt;"",1+MAX($A$7:A211),"")</f>
        <v>158</v>
      </c>
      <c r="B212" s="6"/>
      <c r="C212" s="68" t="s">
        <v>517</v>
      </c>
      <c r="D212" s="68">
        <v>10680</v>
      </c>
      <c r="E212" s="51">
        <v>0.1</v>
      </c>
      <c r="F212" s="54">
        <f t="shared" si="42"/>
        <v>11748.000000000002</v>
      </c>
      <c r="G212" s="52" t="s">
        <v>33</v>
      </c>
      <c r="H212" s="52"/>
      <c r="I212" s="52"/>
      <c r="J212" s="55"/>
      <c r="K212" s="53">
        <f t="shared" si="43"/>
        <v>0</v>
      </c>
      <c r="L212" s="10"/>
    </row>
    <row r="213" spans="1:12" x14ac:dyDescent="0.35">
      <c r="A213" s="49">
        <f>IF(F213&lt;&gt;"",1+MAX($A$7:A212),"")</f>
        <v>159</v>
      </c>
      <c r="B213" s="6"/>
      <c r="C213" s="68" t="s">
        <v>518</v>
      </c>
      <c r="D213" s="68">
        <v>10680</v>
      </c>
      <c r="E213" s="51">
        <v>0.1</v>
      </c>
      <c r="F213" s="54">
        <f t="shared" si="42"/>
        <v>11748.000000000002</v>
      </c>
      <c r="G213" s="52" t="s">
        <v>33</v>
      </c>
      <c r="H213" s="52"/>
      <c r="I213" s="52"/>
      <c r="J213" s="55"/>
      <c r="K213" s="53">
        <f t="shared" si="43"/>
        <v>0</v>
      </c>
      <c r="L213" s="10"/>
    </row>
    <row r="214" spans="1:12" x14ac:dyDescent="0.35">
      <c r="A214" s="49">
        <f>IF(F214&lt;&gt;"",1+MAX($A$7:A213),"")</f>
        <v>160</v>
      </c>
      <c r="B214" s="6"/>
      <c r="C214" s="68" t="s">
        <v>519</v>
      </c>
      <c r="D214" s="68">
        <v>890</v>
      </c>
      <c r="E214" s="51">
        <v>0.1</v>
      </c>
      <c r="F214" s="54">
        <f t="shared" si="42"/>
        <v>979.00000000000011</v>
      </c>
      <c r="G214" s="52" t="s">
        <v>34</v>
      </c>
      <c r="H214" s="52"/>
      <c r="I214" s="52"/>
      <c r="J214" s="55"/>
      <c r="K214" s="53">
        <f t="shared" si="43"/>
        <v>0</v>
      </c>
      <c r="L214" s="10"/>
    </row>
    <row r="215" spans="1:12" x14ac:dyDescent="0.35">
      <c r="A215" s="49">
        <f>IF(F215&lt;&gt;"",1+MAX($A$7:A214),"")</f>
        <v>161</v>
      </c>
      <c r="B215" s="6"/>
      <c r="C215" s="68" t="s">
        <v>520</v>
      </c>
      <c r="D215" s="68">
        <v>1780</v>
      </c>
      <c r="E215" s="51">
        <v>0.1</v>
      </c>
      <c r="F215" s="54">
        <f t="shared" si="42"/>
        <v>1958.0000000000002</v>
      </c>
      <c r="G215" s="52" t="s">
        <v>34</v>
      </c>
      <c r="H215" s="52"/>
      <c r="I215" s="52"/>
      <c r="J215" s="55"/>
      <c r="K215" s="53">
        <f t="shared" si="43"/>
        <v>0</v>
      </c>
      <c r="L215" s="10"/>
    </row>
    <row r="216" spans="1:12" x14ac:dyDescent="0.35">
      <c r="A216" s="49">
        <f>IF(F216&lt;&gt;"",1+MAX($A$7:A215),"")</f>
        <v>162</v>
      </c>
      <c r="B216" s="6"/>
      <c r="C216" s="68" t="s">
        <v>521</v>
      </c>
      <c r="D216" s="68">
        <v>1780</v>
      </c>
      <c r="E216" s="51">
        <v>0.1</v>
      </c>
      <c r="F216" s="54">
        <f t="shared" si="42"/>
        <v>1958.0000000000002</v>
      </c>
      <c r="G216" s="52" t="s">
        <v>34</v>
      </c>
      <c r="H216" s="52"/>
      <c r="I216" s="52"/>
      <c r="J216" s="55"/>
      <c r="K216" s="53">
        <f t="shared" si="43"/>
        <v>0</v>
      </c>
      <c r="L216" s="10"/>
    </row>
    <row r="217" spans="1:12" x14ac:dyDescent="0.35">
      <c r="A217" s="49" t="str">
        <f>IF(F217&lt;&gt;"",1+MAX($A$7:A216),"")</f>
        <v/>
      </c>
      <c r="B217" s="6"/>
      <c r="C217" s="68"/>
      <c r="D217" s="68"/>
      <c r="E217" s="51"/>
      <c r="F217" s="54"/>
      <c r="G217" s="52"/>
      <c r="H217" s="52"/>
      <c r="I217" s="52"/>
      <c r="J217" s="55"/>
      <c r="K217" s="53"/>
      <c r="L217" s="10"/>
    </row>
    <row r="218" spans="1:12" x14ac:dyDescent="0.35">
      <c r="A218" s="49" t="str">
        <f>IF(F218&lt;&gt;"",1+MAX($A$7:A217),"")</f>
        <v/>
      </c>
      <c r="B218" s="6"/>
      <c r="C218" s="69" t="s">
        <v>536</v>
      </c>
      <c r="D218" s="68"/>
      <c r="E218" s="51"/>
      <c r="F218" s="54"/>
      <c r="G218" s="52"/>
      <c r="H218" s="52"/>
      <c r="I218" s="52"/>
      <c r="J218" s="55"/>
      <c r="K218" s="53"/>
      <c r="L218" s="10"/>
    </row>
    <row r="219" spans="1:12" x14ac:dyDescent="0.35">
      <c r="A219" s="49">
        <f>IF(F219&lt;&gt;"",1+MAX($A$7:A218),"")</f>
        <v>163</v>
      </c>
      <c r="B219" s="6"/>
      <c r="C219" s="68" t="s">
        <v>537</v>
      </c>
      <c r="D219" s="68">
        <v>12744</v>
      </c>
      <c r="E219" s="51">
        <v>0.1</v>
      </c>
      <c r="F219" s="54">
        <f t="shared" ref="F219:F225" si="44">D219*(1+E219)</f>
        <v>14018.400000000001</v>
      </c>
      <c r="G219" s="52" t="s">
        <v>33</v>
      </c>
      <c r="H219" s="52"/>
      <c r="I219" s="52"/>
      <c r="J219" s="55"/>
      <c r="K219" s="53">
        <f t="shared" ref="K219:K225" si="45">J219*F219</f>
        <v>0</v>
      </c>
      <c r="L219" s="10"/>
    </row>
    <row r="220" spans="1:12" x14ac:dyDescent="0.35">
      <c r="A220" s="49">
        <f>IF(F220&lt;&gt;"",1+MAX($A$7:A219),"")</f>
        <v>164</v>
      </c>
      <c r="B220" s="6"/>
      <c r="C220" s="68" t="s">
        <v>538</v>
      </c>
      <c r="D220" s="68">
        <v>12744</v>
      </c>
      <c r="E220" s="51">
        <v>0.1</v>
      </c>
      <c r="F220" s="54">
        <f t="shared" si="44"/>
        <v>14018.400000000001</v>
      </c>
      <c r="G220" s="52" t="s">
        <v>33</v>
      </c>
      <c r="H220" s="52"/>
      <c r="I220" s="52"/>
      <c r="J220" s="55"/>
      <c r="K220" s="53">
        <f t="shared" si="45"/>
        <v>0</v>
      </c>
      <c r="L220" s="10"/>
    </row>
    <row r="221" spans="1:12" x14ac:dyDescent="0.35">
      <c r="A221" s="49">
        <f>IF(F221&lt;&gt;"",1+MAX($A$7:A220),"")</f>
        <v>165</v>
      </c>
      <c r="B221" s="6"/>
      <c r="C221" s="68" t="s">
        <v>539</v>
      </c>
      <c r="D221" s="68">
        <v>12744</v>
      </c>
      <c r="E221" s="51">
        <v>0.1</v>
      </c>
      <c r="F221" s="54">
        <f t="shared" si="44"/>
        <v>14018.400000000001</v>
      </c>
      <c r="G221" s="52" t="s">
        <v>33</v>
      </c>
      <c r="H221" s="52"/>
      <c r="I221" s="52"/>
      <c r="J221" s="55"/>
      <c r="K221" s="53">
        <f t="shared" si="45"/>
        <v>0</v>
      </c>
      <c r="L221" s="10"/>
    </row>
    <row r="222" spans="1:12" x14ac:dyDescent="0.35">
      <c r="A222" s="49">
        <f>IF(F222&lt;&gt;"",1+MAX($A$7:A221),"")</f>
        <v>166</v>
      </c>
      <c r="B222" s="6"/>
      <c r="C222" s="68" t="s">
        <v>517</v>
      </c>
      <c r="D222" s="68">
        <v>12744</v>
      </c>
      <c r="E222" s="51">
        <v>0.1</v>
      </c>
      <c r="F222" s="54">
        <f t="shared" si="44"/>
        <v>14018.400000000001</v>
      </c>
      <c r="G222" s="52" t="s">
        <v>33</v>
      </c>
      <c r="H222" s="52"/>
      <c r="I222" s="52"/>
      <c r="J222" s="55"/>
      <c r="K222" s="53">
        <f t="shared" si="45"/>
        <v>0</v>
      </c>
      <c r="L222" s="10"/>
    </row>
    <row r="223" spans="1:12" x14ac:dyDescent="0.35">
      <c r="A223" s="49">
        <f>IF(F223&lt;&gt;"",1+MAX($A$7:A222),"")</f>
        <v>167</v>
      </c>
      <c r="B223" s="6"/>
      <c r="C223" s="68" t="s">
        <v>520</v>
      </c>
      <c r="D223" s="68">
        <v>2124</v>
      </c>
      <c r="E223" s="51">
        <v>0.1</v>
      </c>
      <c r="F223" s="54">
        <f t="shared" si="44"/>
        <v>2336.4</v>
      </c>
      <c r="G223" s="52" t="s">
        <v>34</v>
      </c>
      <c r="H223" s="52"/>
      <c r="I223" s="52"/>
      <c r="J223" s="55"/>
      <c r="K223" s="53">
        <f t="shared" si="45"/>
        <v>0</v>
      </c>
      <c r="L223" s="10"/>
    </row>
    <row r="224" spans="1:12" x14ac:dyDescent="0.35">
      <c r="A224" s="49">
        <f>IF(F224&lt;&gt;"",1+MAX($A$7:A223),"")</f>
        <v>168</v>
      </c>
      <c r="B224" s="6"/>
      <c r="C224" s="68" t="s">
        <v>540</v>
      </c>
      <c r="D224" s="68">
        <v>1062</v>
      </c>
      <c r="E224" s="51">
        <v>0.1</v>
      </c>
      <c r="F224" s="54">
        <f t="shared" si="44"/>
        <v>1168.2</v>
      </c>
      <c r="G224" s="52" t="s">
        <v>34</v>
      </c>
      <c r="H224" s="52"/>
      <c r="I224" s="52"/>
      <c r="J224" s="55"/>
      <c r="K224" s="53">
        <f t="shared" si="45"/>
        <v>0</v>
      </c>
      <c r="L224" s="10"/>
    </row>
    <row r="225" spans="1:12" x14ac:dyDescent="0.35">
      <c r="A225" s="49">
        <f>IF(F225&lt;&gt;"",1+MAX($A$7:A224),"")</f>
        <v>169</v>
      </c>
      <c r="B225" s="6"/>
      <c r="C225" s="68" t="s">
        <v>521</v>
      </c>
      <c r="D225" s="68">
        <v>1062</v>
      </c>
      <c r="E225" s="51">
        <v>0.1</v>
      </c>
      <c r="F225" s="54">
        <f t="shared" si="44"/>
        <v>1168.2</v>
      </c>
      <c r="G225" s="52" t="s">
        <v>34</v>
      </c>
      <c r="H225" s="52"/>
      <c r="I225" s="52"/>
      <c r="J225" s="55"/>
      <c r="K225" s="53">
        <f t="shared" si="45"/>
        <v>0</v>
      </c>
      <c r="L225" s="10"/>
    </row>
    <row r="226" spans="1:12" x14ac:dyDescent="0.35">
      <c r="A226" s="49" t="str">
        <f>IF(F226&lt;&gt;"",1+MAX($A$7:A225),"")</f>
        <v/>
      </c>
      <c r="B226" s="6"/>
      <c r="C226" s="68"/>
      <c r="D226" s="68"/>
      <c r="E226" s="51"/>
      <c r="F226" s="54"/>
      <c r="G226" s="52"/>
      <c r="H226" s="52"/>
      <c r="I226" s="52"/>
      <c r="J226" s="55"/>
      <c r="K226" s="53"/>
      <c r="L226" s="10"/>
    </row>
    <row r="227" spans="1:12" x14ac:dyDescent="0.35">
      <c r="A227" s="49" t="str">
        <f>IF(F227&lt;&gt;"",1+MAX($A$7:A226),"")</f>
        <v/>
      </c>
      <c r="B227" s="6"/>
      <c r="C227" s="69" t="s">
        <v>541</v>
      </c>
      <c r="D227" s="68"/>
      <c r="E227" s="51"/>
      <c r="F227" s="54"/>
      <c r="G227" s="52"/>
      <c r="H227" s="52"/>
      <c r="I227" s="52"/>
      <c r="J227" s="55"/>
      <c r="K227" s="53"/>
      <c r="L227" s="10"/>
    </row>
    <row r="228" spans="1:12" x14ac:dyDescent="0.35">
      <c r="A228" s="49">
        <f>IF(F228&lt;&gt;"",1+MAX($A$7:A227),"")</f>
        <v>170</v>
      </c>
      <c r="B228" s="6"/>
      <c r="C228" s="68" t="s">
        <v>542</v>
      </c>
      <c r="D228" s="68">
        <v>11232</v>
      </c>
      <c r="E228" s="51">
        <v>0.1</v>
      </c>
      <c r="F228" s="54">
        <f t="shared" ref="F228:F233" si="46">D228*(1+E228)</f>
        <v>12355.2</v>
      </c>
      <c r="G228" s="52" t="s">
        <v>33</v>
      </c>
      <c r="H228" s="52"/>
      <c r="I228" s="52"/>
      <c r="J228" s="55"/>
      <c r="K228" s="53">
        <f t="shared" ref="K228:K233" si="47">J228*F228</f>
        <v>0</v>
      </c>
      <c r="L228" s="10"/>
    </row>
    <row r="229" spans="1:12" x14ac:dyDescent="0.35">
      <c r="A229" s="49">
        <f>IF(F229&lt;&gt;"",1+MAX($A$7:A228),"")</f>
        <v>171</v>
      </c>
      <c r="B229" s="6"/>
      <c r="C229" s="68" t="s">
        <v>538</v>
      </c>
      <c r="D229" s="68">
        <v>11232</v>
      </c>
      <c r="E229" s="51">
        <v>0.1</v>
      </c>
      <c r="F229" s="54">
        <f t="shared" si="46"/>
        <v>12355.2</v>
      </c>
      <c r="G229" s="52" t="s">
        <v>33</v>
      </c>
      <c r="H229" s="52"/>
      <c r="I229" s="52"/>
      <c r="J229" s="55"/>
      <c r="K229" s="53">
        <f t="shared" si="47"/>
        <v>0</v>
      </c>
      <c r="L229" s="10"/>
    </row>
    <row r="230" spans="1:12" x14ac:dyDescent="0.35">
      <c r="A230" s="49">
        <f>IF(F230&lt;&gt;"",1+MAX($A$7:A229),"")</f>
        <v>172</v>
      </c>
      <c r="B230" s="6"/>
      <c r="C230" s="68" t="s">
        <v>526</v>
      </c>
      <c r="D230" s="68">
        <v>22464</v>
      </c>
      <c r="E230" s="51">
        <v>0.1</v>
      </c>
      <c r="F230" s="54">
        <f t="shared" si="46"/>
        <v>24710.400000000001</v>
      </c>
      <c r="G230" s="52" t="s">
        <v>33</v>
      </c>
      <c r="H230" s="52"/>
      <c r="I230" s="52"/>
      <c r="J230" s="55"/>
      <c r="K230" s="53">
        <f t="shared" si="47"/>
        <v>0</v>
      </c>
      <c r="L230" s="10"/>
    </row>
    <row r="231" spans="1:12" x14ac:dyDescent="0.35">
      <c r="A231" s="49">
        <f>IF(F231&lt;&gt;"",1+MAX($A$7:A230),"")</f>
        <v>173</v>
      </c>
      <c r="B231" s="6"/>
      <c r="C231" s="68" t="s">
        <v>517</v>
      </c>
      <c r="D231" s="68">
        <v>11232</v>
      </c>
      <c r="E231" s="51">
        <v>0.1</v>
      </c>
      <c r="F231" s="54">
        <f t="shared" si="46"/>
        <v>12355.2</v>
      </c>
      <c r="G231" s="52" t="s">
        <v>33</v>
      </c>
      <c r="H231" s="52"/>
      <c r="I231" s="52"/>
      <c r="J231" s="55"/>
      <c r="K231" s="53">
        <f t="shared" si="47"/>
        <v>0</v>
      </c>
      <c r="L231" s="10"/>
    </row>
    <row r="232" spans="1:12" x14ac:dyDescent="0.35">
      <c r="A232" s="49">
        <f>IF(F232&lt;&gt;"",1+MAX($A$7:A231),"")</f>
        <v>174</v>
      </c>
      <c r="B232" s="6"/>
      <c r="C232" s="68" t="s">
        <v>543</v>
      </c>
      <c r="D232" s="68">
        <v>936</v>
      </c>
      <c r="E232" s="51">
        <v>0.1</v>
      </c>
      <c r="F232" s="54">
        <f t="shared" si="46"/>
        <v>1029.6000000000001</v>
      </c>
      <c r="G232" s="52" t="s">
        <v>34</v>
      </c>
      <c r="H232" s="52"/>
      <c r="I232" s="52"/>
      <c r="J232" s="55"/>
      <c r="K232" s="53">
        <f t="shared" si="47"/>
        <v>0</v>
      </c>
      <c r="L232" s="10"/>
    </row>
    <row r="233" spans="1:12" x14ac:dyDescent="0.35">
      <c r="A233" s="49">
        <f>IF(F233&lt;&gt;"",1+MAX($A$7:A232),"")</f>
        <v>175</v>
      </c>
      <c r="B233" s="6"/>
      <c r="C233" s="68" t="s">
        <v>521</v>
      </c>
      <c r="D233" s="68">
        <v>936</v>
      </c>
      <c r="E233" s="51">
        <v>0.1</v>
      </c>
      <c r="F233" s="54">
        <f t="shared" si="46"/>
        <v>1029.6000000000001</v>
      </c>
      <c r="G233" s="52" t="s">
        <v>34</v>
      </c>
      <c r="H233" s="52"/>
      <c r="I233" s="52"/>
      <c r="J233" s="55"/>
      <c r="K233" s="53">
        <f t="shared" si="47"/>
        <v>0</v>
      </c>
      <c r="L233" s="10"/>
    </row>
    <row r="234" spans="1:12" x14ac:dyDescent="0.35">
      <c r="A234" s="49" t="str">
        <f>IF(F234&lt;&gt;"",1+MAX($A$7:A233),"")</f>
        <v/>
      </c>
      <c r="B234" s="6"/>
      <c r="C234" s="68"/>
      <c r="D234" s="68"/>
      <c r="E234" s="51"/>
      <c r="F234" s="54"/>
      <c r="G234" s="52"/>
      <c r="H234" s="52"/>
      <c r="I234" s="52"/>
      <c r="J234" s="55"/>
      <c r="K234" s="53"/>
      <c r="L234" s="10"/>
    </row>
    <row r="235" spans="1:12" x14ac:dyDescent="0.35">
      <c r="A235" s="49" t="str">
        <f>IF(F235&lt;&gt;"",1+MAX($A$7:A234),"")</f>
        <v/>
      </c>
      <c r="B235" s="6"/>
      <c r="C235" s="69" t="s">
        <v>544</v>
      </c>
      <c r="D235" s="68"/>
      <c r="E235" s="51"/>
      <c r="F235" s="54"/>
      <c r="G235" s="52"/>
      <c r="H235" s="52"/>
      <c r="I235" s="52"/>
      <c r="J235" s="55"/>
      <c r="K235" s="53"/>
      <c r="L235" s="10"/>
    </row>
    <row r="236" spans="1:12" x14ac:dyDescent="0.35">
      <c r="A236" s="49">
        <f>IF(F236&lt;&gt;"",1+MAX($A$7:A235),"")</f>
        <v>176</v>
      </c>
      <c r="B236" s="6"/>
      <c r="C236" s="68" t="s">
        <v>529</v>
      </c>
      <c r="D236" s="68">
        <v>312</v>
      </c>
      <c r="E236" s="51">
        <v>0.1</v>
      </c>
      <c r="F236" s="54">
        <f t="shared" ref="F236:F243" si="48">D236*(1+E236)</f>
        <v>343.20000000000005</v>
      </c>
      <c r="G236" s="52" t="s">
        <v>33</v>
      </c>
      <c r="H236" s="52"/>
      <c r="I236" s="52"/>
      <c r="J236" s="55"/>
      <c r="K236" s="53">
        <f t="shared" ref="K236:K243" si="49">J236*F236</f>
        <v>0</v>
      </c>
      <c r="L236" s="10"/>
    </row>
    <row r="237" spans="1:12" x14ac:dyDescent="0.35">
      <c r="A237" s="49">
        <f>IF(F237&lt;&gt;"",1+MAX($A$7:A236),"")</f>
        <v>177</v>
      </c>
      <c r="B237" s="6"/>
      <c r="C237" s="68" t="s">
        <v>532</v>
      </c>
      <c r="D237" s="68">
        <v>312</v>
      </c>
      <c r="E237" s="51">
        <v>0.1</v>
      </c>
      <c r="F237" s="54">
        <f t="shared" si="48"/>
        <v>343.20000000000005</v>
      </c>
      <c r="G237" s="52" t="s">
        <v>33</v>
      </c>
      <c r="H237" s="52"/>
      <c r="I237" s="52"/>
      <c r="J237" s="55"/>
      <c r="K237" s="53">
        <f t="shared" si="49"/>
        <v>0</v>
      </c>
      <c r="L237" s="10"/>
    </row>
    <row r="238" spans="1:12" x14ac:dyDescent="0.35">
      <c r="A238" s="49">
        <f>IF(F238&lt;&gt;"",1+MAX($A$7:A237),"")</f>
        <v>178</v>
      </c>
      <c r="B238" s="6"/>
      <c r="C238" s="68" t="s">
        <v>516</v>
      </c>
      <c r="D238" s="68">
        <v>624</v>
      </c>
      <c r="E238" s="51">
        <v>0.1</v>
      </c>
      <c r="F238" s="54">
        <f t="shared" si="48"/>
        <v>686.40000000000009</v>
      </c>
      <c r="G238" s="52" t="s">
        <v>33</v>
      </c>
      <c r="H238" s="52"/>
      <c r="I238" s="52"/>
      <c r="J238" s="55"/>
      <c r="K238" s="53">
        <f t="shared" si="49"/>
        <v>0</v>
      </c>
      <c r="L238" s="10"/>
    </row>
    <row r="239" spans="1:12" x14ac:dyDescent="0.35">
      <c r="A239" s="49">
        <f>IF(F239&lt;&gt;"",1+MAX($A$7:A238),"")</f>
        <v>179</v>
      </c>
      <c r="B239" s="6"/>
      <c r="C239" s="68" t="s">
        <v>517</v>
      </c>
      <c r="D239" s="68">
        <v>312</v>
      </c>
      <c r="E239" s="51">
        <v>0.1</v>
      </c>
      <c r="F239" s="54">
        <f t="shared" si="48"/>
        <v>343.20000000000005</v>
      </c>
      <c r="G239" s="52" t="s">
        <v>33</v>
      </c>
      <c r="H239" s="52"/>
      <c r="I239" s="52"/>
      <c r="J239" s="55"/>
      <c r="K239" s="53">
        <f t="shared" si="49"/>
        <v>0</v>
      </c>
      <c r="L239" s="10"/>
    </row>
    <row r="240" spans="1:12" x14ac:dyDescent="0.35">
      <c r="A240" s="49">
        <f>IF(F240&lt;&gt;"",1+MAX($A$7:A239),"")</f>
        <v>180</v>
      </c>
      <c r="B240" s="6"/>
      <c r="C240" s="68" t="s">
        <v>518</v>
      </c>
      <c r="D240" s="68">
        <v>312</v>
      </c>
      <c r="E240" s="51">
        <v>0.1</v>
      </c>
      <c r="F240" s="54">
        <f t="shared" si="48"/>
        <v>343.20000000000005</v>
      </c>
      <c r="G240" s="52" t="s">
        <v>33</v>
      </c>
      <c r="H240" s="52"/>
      <c r="I240" s="52"/>
      <c r="J240" s="55"/>
      <c r="K240" s="53">
        <f t="shared" si="49"/>
        <v>0</v>
      </c>
      <c r="L240" s="10"/>
    </row>
    <row r="241" spans="1:185" x14ac:dyDescent="0.35">
      <c r="A241" s="49">
        <f>IF(F241&lt;&gt;"",1+MAX($A$7:A240),"")</f>
        <v>181</v>
      </c>
      <c r="B241" s="6"/>
      <c r="C241" s="68" t="s">
        <v>519</v>
      </c>
      <c r="D241" s="68">
        <v>26</v>
      </c>
      <c r="E241" s="51">
        <v>0.1</v>
      </c>
      <c r="F241" s="54">
        <f t="shared" si="48"/>
        <v>28.6</v>
      </c>
      <c r="G241" s="52" t="s">
        <v>33</v>
      </c>
      <c r="H241" s="52"/>
      <c r="I241" s="52"/>
      <c r="J241" s="55"/>
      <c r="K241" s="53">
        <f t="shared" si="49"/>
        <v>0</v>
      </c>
      <c r="L241" s="10"/>
    </row>
    <row r="242" spans="1:185" x14ac:dyDescent="0.35">
      <c r="A242" s="49">
        <f>IF(F242&lt;&gt;"",1+MAX($A$7:A241),"")</f>
        <v>182</v>
      </c>
      <c r="B242" s="6"/>
      <c r="C242" s="68" t="s">
        <v>520</v>
      </c>
      <c r="D242" s="68">
        <v>26</v>
      </c>
      <c r="E242" s="51">
        <v>0.1</v>
      </c>
      <c r="F242" s="54">
        <f t="shared" si="48"/>
        <v>28.6</v>
      </c>
      <c r="G242" s="52" t="s">
        <v>34</v>
      </c>
      <c r="H242" s="52"/>
      <c r="I242" s="52"/>
      <c r="J242" s="55"/>
      <c r="K242" s="53">
        <f t="shared" si="49"/>
        <v>0</v>
      </c>
      <c r="L242" s="10"/>
    </row>
    <row r="243" spans="1:185" x14ac:dyDescent="0.35">
      <c r="A243" s="49">
        <f>IF(F243&lt;&gt;"",1+MAX($A$7:A242),"")</f>
        <v>183</v>
      </c>
      <c r="B243" s="6"/>
      <c r="C243" s="68" t="s">
        <v>521</v>
      </c>
      <c r="D243" s="68">
        <v>26</v>
      </c>
      <c r="E243" s="51">
        <v>0.1</v>
      </c>
      <c r="F243" s="54">
        <f t="shared" si="48"/>
        <v>28.6</v>
      </c>
      <c r="G243" s="52" t="s">
        <v>34</v>
      </c>
      <c r="H243" s="52"/>
      <c r="I243" s="52"/>
      <c r="J243" s="55"/>
      <c r="K243" s="53">
        <f t="shared" si="49"/>
        <v>0</v>
      </c>
      <c r="L243" s="10"/>
    </row>
    <row r="244" spans="1:185" x14ac:dyDescent="0.35">
      <c r="A244" s="49" t="str">
        <f>IF(F244&lt;&gt;"",1+MAX($A$7:A243),"")</f>
        <v/>
      </c>
      <c r="B244" s="6"/>
      <c r="C244" s="68"/>
      <c r="D244" s="68"/>
      <c r="E244" s="51"/>
      <c r="F244" s="54"/>
      <c r="G244" s="52"/>
      <c r="H244" s="52"/>
      <c r="I244" s="52"/>
      <c r="J244" s="55"/>
      <c r="K244" s="53"/>
      <c r="L244" s="10"/>
    </row>
    <row r="245" spans="1:185" x14ac:dyDescent="0.35">
      <c r="A245" s="49" t="str">
        <f>IF(F245&lt;&gt;"",1+MAX($A$7:A244),"")</f>
        <v/>
      </c>
      <c r="B245" s="6"/>
      <c r="C245" s="69" t="s">
        <v>545</v>
      </c>
      <c r="D245" s="68"/>
      <c r="E245" s="51"/>
      <c r="F245" s="54"/>
      <c r="G245" s="52"/>
      <c r="H245" s="52"/>
      <c r="I245" s="52"/>
      <c r="J245" s="55"/>
      <c r="K245" s="53"/>
      <c r="L245" s="10"/>
    </row>
    <row r="246" spans="1:185" x14ac:dyDescent="0.35">
      <c r="A246" s="49">
        <f>IF(F246&lt;&gt;"",1+MAX($A$7:A245),"")</f>
        <v>184</v>
      </c>
      <c r="B246" s="6"/>
      <c r="C246" s="68" t="s">
        <v>546</v>
      </c>
      <c r="D246" s="68">
        <v>882</v>
      </c>
      <c r="E246" s="51">
        <v>0.1</v>
      </c>
      <c r="F246" s="54">
        <f t="shared" ref="F246:F251" si="50">D246*(1+E246)</f>
        <v>970.2</v>
      </c>
      <c r="G246" s="52" t="s">
        <v>33</v>
      </c>
      <c r="H246" s="52"/>
      <c r="I246" s="52"/>
      <c r="J246" s="55"/>
      <c r="K246" s="53">
        <f t="shared" ref="K246:K251" si="51">J246*F246</f>
        <v>0</v>
      </c>
      <c r="L246" s="10"/>
    </row>
    <row r="247" spans="1:185" x14ac:dyDescent="0.35">
      <c r="A247" s="49">
        <f>IF(F247&lt;&gt;"",1+MAX($A$7:A246),"")</f>
        <v>185</v>
      </c>
      <c r="B247" s="6"/>
      <c r="C247" s="68" t="s">
        <v>547</v>
      </c>
      <c r="D247" s="68">
        <v>882</v>
      </c>
      <c r="E247" s="51">
        <v>0.1</v>
      </c>
      <c r="F247" s="54">
        <f t="shared" si="50"/>
        <v>970.2</v>
      </c>
      <c r="G247" s="52" t="s">
        <v>33</v>
      </c>
      <c r="H247" s="52"/>
      <c r="I247" s="52"/>
      <c r="J247" s="55"/>
      <c r="K247" s="53">
        <f t="shared" si="51"/>
        <v>0</v>
      </c>
      <c r="L247" s="10"/>
    </row>
    <row r="248" spans="1:185" x14ac:dyDescent="0.35">
      <c r="A248" s="49">
        <f>IF(F248&lt;&gt;"",1+MAX($A$7:A247),"")</f>
        <v>186</v>
      </c>
      <c r="B248" s="6"/>
      <c r="C248" s="68" t="s">
        <v>533</v>
      </c>
      <c r="D248" s="68">
        <v>882</v>
      </c>
      <c r="E248" s="51">
        <v>0.1</v>
      </c>
      <c r="F248" s="54">
        <f t="shared" si="50"/>
        <v>970.2</v>
      </c>
      <c r="G248" s="52" t="s">
        <v>33</v>
      </c>
      <c r="H248" s="52"/>
      <c r="I248" s="52"/>
      <c r="J248" s="55"/>
      <c r="K248" s="53">
        <f t="shared" si="51"/>
        <v>0</v>
      </c>
      <c r="L248" s="10"/>
    </row>
    <row r="249" spans="1:185" x14ac:dyDescent="0.35">
      <c r="A249" s="49">
        <f>IF(F249&lt;&gt;"",1+MAX($A$7:A248),"")</f>
        <v>187</v>
      </c>
      <c r="B249" s="6"/>
      <c r="C249" s="68" t="s">
        <v>548</v>
      </c>
      <c r="D249" s="68">
        <v>882</v>
      </c>
      <c r="E249" s="51">
        <v>0.1</v>
      </c>
      <c r="F249" s="54">
        <f t="shared" si="50"/>
        <v>970.2</v>
      </c>
      <c r="G249" s="52" t="s">
        <v>33</v>
      </c>
      <c r="H249" s="52"/>
      <c r="I249" s="52"/>
      <c r="J249" s="55"/>
      <c r="K249" s="53">
        <f t="shared" si="51"/>
        <v>0</v>
      </c>
      <c r="L249" s="10"/>
    </row>
    <row r="250" spans="1:185" x14ac:dyDescent="0.35">
      <c r="A250" s="49">
        <f>IF(F250&lt;&gt;"",1+MAX($A$7:A249),"")</f>
        <v>188</v>
      </c>
      <c r="B250" s="6"/>
      <c r="C250" s="68" t="s">
        <v>520</v>
      </c>
      <c r="D250" s="68">
        <v>588</v>
      </c>
      <c r="E250" s="51">
        <v>0.1</v>
      </c>
      <c r="F250" s="54">
        <f t="shared" si="50"/>
        <v>646.80000000000007</v>
      </c>
      <c r="G250" s="52" t="s">
        <v>34</v>
      </c>
      <c r="H250" s="52"/>
      <c r="I250" s="52"/>
      <c r="J250" s="55"/>
      <c r="K250" s="53">
        <f t="shared" si="51"/>
        <v>0</v>
      </c>
      <c r="L250" s="10"/>
    </row>
    <row r="251" spans="1:185" x14ac:dyDescent="0.35">
      <c r="A251" s="49">
        <f>IF(F251&lt;&gt;"",1+MAX($A$7:A250),"")</f>
        <v>189</v>
      </c>
      <c r="B251" s="6"/>
      <c r="C251" s="68" t="s">
        <v>521</v>
      </c>
      <c r="D251" s="68">
        <v>588</v>
      </c>
      <c r="E251" s="51">
        <v>0.1</v>
      </c>
      <c r="F251" s="54">
        <f t="shared" si="50"/>
        <v>646.80000000000007</v>
      </c>
      <c r="G251" s="52" t="s">
        <v>34</v>
      </c>
      <c r="H251" s="52"/>
      <c r="I251" s="52"/>
      <c r="J251" s="55"/>
      <c r="K251" s="53">
        <f t="shared" si="51"/>
        <v>0</v>
      </c>
      <c r="L251" s="10"/>
    </row>
    <row r="252" spans="1:185" ht="16" thickBot="1" x14ac:dyDescent="0.4">
      <c r="A252" s="49"/>
      <c r="B252" s="6"/>
      <c r="C252" s="56"/>
      <c r="D252" s="61"/>
      <c r="E252" s="51"/>
      <c r="F252" s="54"/>
      <c r="G252" s="52"/>
      <c r="H252" s="52"/>
      <c r="I252" s="52"/>
      <c r="J252" s="55"/>
      <c r="K252" s="53"/>
      <c r="L252" s="10"/>
    </row>
    <row r="253" spans="1:185" ht="16" thickBot="1" x14ac:dyDescent="0.4">
      <c r="A253" s="41" t="str">
        <f>IF(F253&lt;&gt;"",1+MAX($A$7:A129),"")</f>
        <v/>
      </c>
      <c r="B253" s="42" t="s">
        <v>362</v>
      </c>
      <c r="C253" s="43" t="s">
        <v>363</v>
      </c>
      <c r="D253" s="44"/>
      <c r="E253" s="44"/>
      <c r="F253" s="44"/>
      <c r="G253" s="44"/>
      <c r="H253" s="44"/>
      <c r="I253" s="44"/>
      <c r="J253" s="45"/>
      <c r="K253" s="45"/>
      <c r="L253" s="46">
        <f>SUM(K256:K261)</f>
        <v>0</v>
      </c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  <c r="BH253" s="38"/>
      <c r="BI253" s="38"/>
      <c r="BJ253" s="38"/>
      <c r="BK253" s="38"/>
      <c r="BL253" s="38"/>
      <c r="BM253" s="38"/>
      <c r="BN253" s="38"/>
      <c r="BO253" s="38"/>
      <c r="BP253" s="38"/>
      <c r="BQ253" s="38"/>
      <c r="BR253" s="38"/>
      <c r="BS253" s="38"/>
      <c r="BT253" s="38"/>
      <c r="BU253" s="38"/>
      <c r="BV253" s="38"/>
      <c r="BW253" s="38"/>
      <c r="BX253" s="38"/>
      <c r="BY253" s="38"/>
      <c r="BZ253" s="38"/>
      <c r="CA253" s="38"/>
      <c r="CB253" s="38"/>
      <c r="CC253" s="38"/>
      <c r="CD253" s="38"/>
      <c r="CE253" s="38"/>
      <c r="CF253" s="38"/>
      <c r="CG253" s="38"/>
      <c r="CH253" s="38"/>
      <c r="CI253" s="38"/>
      <c r="CJ253" s="38"/>
      <c r="CK253" s="38"/>
      <c r="CL253" s="38"/>
      <c r="CM253" s="38"/>
      <c r="CN253" s="38"/>
      <c r="CO253" s="38"/>
      <c r="CP253" s="38"/>
      <c r="CQ253" s="38"/>
      <c r="CR253" s="38"/>
      <c r="CS253" s="38"/>
      <c r="CT253" s="38"/>
      <c r="CU253" s="38"/>
      <c r="CV253" s="38"/>
      <c r="CW253" s="38"/>
      <c r="CX253" s="38"/>
      <c r="CY253" s="38"/>
      <c r="CZ253" s="38"/>
      <c r="DA253" s="38"/>
      <c r="DB253" s="38"/>
      <c r="DC253" s="38"/>
      <c r="DD253" s="38"/>
      <c r="DE253" s="38"/>
      <c r="DF253" s="38"/>
      <c r="DG253" s="38"/>
      <c r="DH253" s="38"/>
      <c r="DI253" s="38"/>
      <c r="DJ253" s="38"/>
      <c r="DK253" s="38"/>
      <c r="DL253" s="38"/>
      <c r="DM253" s="38"/>
      <c r="DN253" s="38"/>
      <c r="DO253" s="38"/>
      <c r="DP253" s="38"/>
      <c r="DQ253" s="38"/>
      <c r="DR253" s="38"/>
      <c r="DS253" s="38"/>
      <c r="DT253" s="38"/>
      <c r="DU253" s="38"/>
      <c r="DV253" s="38"/>
      <c r="DW253" s="38"/>
      <c r="DX253" s="38"/>
      <c r="DY253" s="38"/>
      <c r="DZ253" s="38"/>
      <c r="EA253" s="38"/>
      <c r="EB253" s="38"/>
      <c r="EC253" s="38"/>
      <c r="ED253" s="38"/>
      <c r="EE253" s="38"/>
      <c r="EF253" s="38"/>
      <c r="EG253" s="38"/>
      <c r="EH253" s="38"/>
      <c r="EI253" s="38"/>
      <c r="EJ253" s="38"/>
      <c r="EK253" s="38"/>
      <c r="EL253" s="38"/>
      <c r="EM253" s="38"/>
      <c r="EN253" s="38"/>
      <c r="EO253" s="38"/>
      <c r="EP253" s="38"/>
      <c r="EQ253" s="38"/>
      <c r="ER253" s="38"/>
      <c r="ES253" s="38"/>
      <c r="ET253" s="38"/>
      <c r="EU253" s="38"/>
      <c r="EV253" s="38"/>
      <c r="EW253" s="38"/>
      <c r="EX253" s="38"/>
      <c r="EY253" s="38"/>
      <c r="EZ253" s="38"/>
      <c r="FA253" s="38"/>
      <c r="FB253" s="38"/>
      <c r="FC253" s="38"/>
      <c r="FD253" s="38"/>
      <c r="FE253" s="38"/>
      <c r="FF253" s="38"/>
      <c r="FG253" s="38"/>
      <c r="FH253" s="38"/>
      <c r="FI253" s="38"/>
      <c r="FJ253" s="38"/>
      <c r="FK253" s="38"/>
      <c r="FL253" s="38"/>
      <c r="FM253" s="38"/>
      <c r="FN253" s="38"/>
      <c r="FO253" s="38"/>
      <c r="FP253" s="38"/>
      <c r="FQ253" s="38"/>
      <c r="FR253" s="38"/>
      <c r="FS253" s="38"/>
      <c r="FT253" s="38"/>
      <c r="FU253" s="38"/>
      <c r="FV253" s="38"/>
      <c r="FW253" s="38"/>
      <c r="FX253" s="38"/>
      <c r="FY253" s="38"/>
      <c r="FZ253" s="38"/>
      <c r="GA253" s="38"/>
      <c r="GB253" s="38"/>
      <c r="GC253" s="38"/>
    </row>
    <row r="254" spans="1:185" ht="16" thickBot="1" x14ac:dyDescent="0.4">
      <c r="A254" s="49"/>
      <c r="B254" s="6"/>
      <c r="C254" s="56"/>
      <c r="D254" s="61"/>
      <c r="E254" s="51"/>
      <c r="F254" s="54"/>
      <c r="G254" s="52"/>
      <c r="H254" s="52"/>
      <c r="I254" s="52"/>
      <c r="J254" s="55"/>
      <c r="K254" s="53"/>
      <c r="L254" s="10"/>
    </row>
    <row r="255" spans="1:185" ht="16" thickBot="1" x14ac:dyDescent="0.4">
      <c r="A255" s="41" t="str">
        <f>IF(F255&lt;&gt;"",1+MAX($A$7:A114),"")</f>
        <v/>
      </c>
      <c r="B255" s="42"/>
      <c r="C255" s="47" t="s">
        <v>364</v>
      </c>
      <c r="D255" s="28"/>
      <c r="E255" s="7"/>
      <c r="F255" s="28"/>
      <c r="G255" s="15"/>
      <c r="H255" s="15"/>
      <c r="I255" s="15"/>
      <c r="J255" s="8"/>
      <c r="K255" s="9"/>
      <c r="L255" s="10"/>
    </row>
    <row r="256" spans="1:185" x14ac:dyDescent="0.35">
      <c r="A256" s="49">
        <f>IF(F256&lt;&gt;"",1+MAX($A$7:A255),"")</f>
        <v>190</v>
      </c>
      <c r="B256" s="6"/>
      <c r="C256" s="56" t="s">
        <v>365</v>
      </c>
      <c r="D256" s="61">
        <v>94.75</v>
      </c>
      <c r="E256" s="51">
        <v>0.1</v>
      </c>
      <c r="F256" s="54">
        <f t="shared" ref="F256:F261" si="52">D256*(1+E256)</f>
        <v>104.22500000000001</v>
      </c>
      <c r="G256" s="52" t="s">
        <v>34</v>
      </c>
      <c r="H256" s="52"/>
      <c r="I256" s="52"/>
      <c r="J256" s="55"/>
      <c r="K256" s="53">
        <f t="shared" ref="K256:K261" si="53">J256*F256</f>
        <v>0</v>
      </c>
      <c r="L256" s="10"/>
    </row>
    <row r="257" spans="1:185" x14ac:dyDescent="0.35">
      <c r="A257" s="49">
        <f>IF(F257&lt;&gt;"",1+MAX($A$7:A256),"")</f>
        <v>191</v>
      </c>
      <c r="B257" s="6"/>
      <c r="C257" s="56" t="s">
        <v>366</v>
      </c>
      <c r="D257" s="61">
        <v>62.92</v>
      </c>
      <c r="E257" s="51">
        <v>0.1</v>
      </c>
      <c r="F257" s="54">
        <f t="shared" si="52"/>
        <v>69.212000000000003</v>
      </c>
      <c r="G257" s="52" t="s">
        <v>34</v>
      </c>
      <c r="H257" s="52"/>
      <c r="I257" s="52"/>
      <c r="J257" s="55"/>
      <c r="K257" s="53">
        <f t="shared" si="53"/>
        <v>0</v>
      </c>
      <c r="L257" s="10"/>
    </row>
    <row r="258" spans="1:185" x14ac:dyDescent="0.35">
      <c r="A258" s="49">
        <f>IF(F258&lt;&gt;"",1+MAX($A$7:A257),"")</f>
        <v>192</v>
      </c>
      <c r="B258" s="6"/>
      <c r="C258" s="56" t="s">
        <v>367</v>
      </c>
      <c r="D258" s="61">
        <v>71.84</v>
      </c>
      <c r="E258" s="51">
        <v>0.1</v>
      </c>
      <c r="F258" s="54">
        <f t="shared" si="52"/>
        <v>79.024000000000015</v>
      </c>
      <c r="G258" s="52" t="s">
        <v>34</v>
      </c>
      <c r="H258" s="52"/>
      <c r="I258" s="52"/>
      <c r="J258" s="55"/>
      <c r="K258" s="53">
        <f t="shared" si="53"/>
        <v>0</v>
      </c>
      <c r="L258" s="10"/>
    </row>
    <row r="259" spans="1:185" x14ac:dyDescent="0.35">
      <c r="A259" s="49">
        <f>IF(F259&lt;&gt;"",1+MAX($A$7:A258),"")</f>
        <v>193</v>
      </c>
      <c r="B259" s="6"/>
      <c r="C259" s="56" t="s">
        <v>368</v>
      </c>
      <c r="D259" s="61">
        <v>24.39</v>
      </c>
      <c r="E259" s="51">
        <v>0.1</v>
      </c>
      <c r="F259" s="54">
        <f t="shared" si="52"/>
        <v>26.829000000000004</v>
      </c>
      <c r="G259" s="52" t="s">
        <v>34</v>
      </c>
      <c r="H259" s="52"/>
      <c r="I259" s="52"/>
      <c r="J259" s="55"/>
      <c r="K259" s="53">
        <f t="shared" si="53"/>
        <v>0</v>
      </c>
      <c r="L259" s="10"/>
    </row>
    <row r="260" spans="1:185" x14ac:dyDescent="0.35">
      <c r="A260" s="49">
        <f>IF(F260&lt;&gt;"",1+MAX($A$7:A259),"")</f>
        <v>194</v>
      </c>
      <c r="B260" s="6"/>
      <c r="C260" s="56" t="s">
        <v>369</v>
      </c>
      <c r="D260" s="61">
        <v>20.64</v>
      </c>
      <c r="E260" s="51">
        <v>0.1</v>
      </c>
      <c r="F260" s="54">
        <f t="shared" si="52"/>
        <v>22.704000000000004</v>
      </c>
      <c r="G260" s="52" t="s">
        <v>34</v>
      </c>
      <c r="H260" s="52"/>
      <c r="I260" s="52"/>
      <c r="J260" s="55"/>
      <c r="K260" s="53">
        <f t="shared" si="53"/>
        <v>0</v>
      </c>
      <c r="L260" s="10"/>
    </row>
    <row r="261" spans="1:185" x14ac:dyDescent="0.35">
      <c r="A261" s="49">
        <f>IF(F261&lt;&gt;"",1+MAX($A$7:A260),"")</f>
        <v>195</v>
      </c>
      <c r="B261" s="6"/>
      <c r="C261" s="56" t="s">
        <v>370</v>
      </c>
      <c r="D261" s="61">
        <v>12.81</v>
      </c>
      <c r="E261" s="51">
        <v>0.1</v>
      </c>
      <c r="F261" s="54">
        <f t="shared" si="52"/>
        <v>14.091000000000001</v>
      </c>
      <c r="G261" s="52" t="s">
        <v>34</v>
      </c>
      <c r="H261" s="52"/>
      <c r="I261" s="52"/>
      <c r="J261" s="55"/>
      <c r="K261" s="53">
        <f t="shared" si="53"/>
        <v>0</v>
      </c>
      <c r="L261" s="10"/>
    </row>
    <row r="262" spans="1:185" ht="16" thickBot="1" x14ac:dyDescent="0.4">
      <c r="A262" s="49"/>
      <c r="B262" s="6"/>
      <c r="C262" s="56"/>
      <c r="D262" s="61"/>
      <c r="E262" s="51"/>
      <c r="F262" s="54"/>
      <c r="G262" s="52"/>
      <c r="H262" s="52"/>
      <c r="I262" s="52"/>
      <c r="J262" s="55"/>
      <c r="K262" s="53"/>
      <c r="L262" s="10"/>
    </row>
    <row r="263" spans="1:185" ht="16" thickBot="1" x14ac:dyDescent="0.4">
      <c r="A263" s="41" t="str">
        <f>IF(F263&lt;&gt;"",1+MAX($A$7:A139),"")</f>
        <v/>
      </c>
      <c r="B263" s="42" t="s">
        <v>48</v>
      </c>
      <c r="C263" s="43" t="s">
        <v>49</v>
      </c>
      <c r="D263" s="44"/>
      <c r="E263" s="44"/>
      <c r="F263" s="44"/>
      <c r="G263" s="44"/>
      <c r="H263" s="44"/>
      <c r="I263" s="44"/>
      <c r="J263" s="45"/>
      <c r="K263" s="45"/>
      <c r="L263" s="46">
        <f>SUM(K264:K277)</f>
        <v>0</v>
      </c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  <c r="BM263" s="38"/>
      <c r="BN263" s="38"/>
      <c r="BO263" s="38"/>
      <c r="BP263" s="38"/>
      <c r="BQ263" s="38"/>
      <c r="BR263" s="38"/>
      <c r="BS263" s="38"/>
      <c r="BT263" s="38"/>
      <c r="BU263" s="38"/>
      <c r="BV263" s="38"/>
      <c r="BW263" s="38"/>
      <c r="BX263" s="38"/>
      <c r="BY263" s="38"/>
      <c r="BZ263" s="38"/>
      <c r="CA263" s="38"/>
      <c r="CB263" s="38"/>
      <c r="CC263" s="38"/>
      <c r="CD263" s="38"/>
      <c r="CE263" s="38"/>
      <c r="CF263" s="38"/>
      <c r="CG263" s="38"/>
      <c r="CH263" s="38"/>
      <c r="CI263" s="38"/>
      <c r="CJ263" s="38"/>
      <c r="CK263" s="38"/>
      <c r="CL263" s="38"/>
      <c r="CM263" s="38"/>
      <c r="CN263" s="38"/>
      <c r="CO263" s="38"/>
      <c r="CP263" s="38"/>
      <c r="CQ263" s="38"/>
      <c r="CR263" s="38"/>
      <c r="CS263" s="38"/>
      <c r="CT263" s="38"/>
      <c r="CU263" s="38"/>
      <c r="CV263" s="38"/>
      <c r="CW263" s="38"/>
      <c r="CX263" s="38"/>
      <c r="CY263" s="38"/>
      <c r="CZ263" s="38"/>
      <c r="DA263" s="38"/>
      <c r="DB263" s="38"/>
      <c r="DC263" s="38"/>
      <c r="DD263" s="38"/>
      <c r="DE263" s="38"/>
      <c r="DF263" s="38"/>
      <c r="DG263" s="38"/>
      <c r="DH263" s="38"/>
      <c r="DI263" s="38"/>
      <c r="DJ263" s="38"/>
      <c r="DK263" s="38"/>
      <c r="DL263" s="38"/>
      <c r="DM263" s="38"/>
      <c r="DN263" s="38"/>
      <c r="DO263" s="38"/>
      <c r="DP263" s="38"/>
      <c r="DQ263" s="38"/>
      <c r="DR263" s="38"/>
      <c r="DS263" s="38"/>
      <c r="DT263" s="38"/>
      <c r="DU263" s="38"/>
      <c r="DV263" s="38"/>
      <c r="DW263" s="38"/>
      <c r="DX263" s="38"/>
      <c r="DY263" s="38"/>
      <c r="DZ263" s="38"/>
      <c r="EA263" s="38"/>
      <c r="EB263" s="38"/>
      <c r="EC263" s="38"/>
      <c r="ED263" s="38"/>
      <c r="EE263" s="38"/>
      <c r="EF263" s="38"/>
      <c r="EG263" s="38"/>
      <c r="EH263" s="38"/>
      <c r="EI263" s="38"/>
      <c r="EJ263" s="38"/>
      <c r="EK263" s="38"/>
      <c r="EL263" s="38"/>
      <c r="EM263" s="38"/>
      <c r="EN263" s="38"/>
      <c r="EO263" s="38"/>
      <c r="EP263" s="38"/>
      <c r="EQ263" s="38"/>
      <c r="ER263" s="38"/>
      <c r="ES263" s="38"/>
      <c r="ET263" s="38"/>
      <c r="EU263" s="38"/>
      <c r="EV263" s="38"/>
      <c r="EW263" s="38"/>
      <c r="EX263" s="38"/>
      <c r="EY263" s="38"/>
      <c r="EZ263" s="38"/>
      <c r="FA263" s="38"/>
      <c r="FB263" s="38"/>
      <c r="FC263" s="38"/>
      <c r="FD263" s="38"/>
      <c r="FE263" s="38"/>
      <c r="FF263" s="38"/>
      <c r="FG263" s="38"/>
      <c r="FH263" s="38"/>
      <c r="FI263" s="38"/>
      <c r="FJ263" s="38"/>
      <c r="FK263" s="38"/>
      <c r="FL263" s="38"/>
      <c r="FM263" s="38"/>
      <c r="FN263" s="38"/>
      <c r="FO263" s="38"/>
      <c r="FP263" s="38"/>
      <c r="FQ263" s="38"/>
      <c r="FR263" s="38"/>
      <c r="FS263" s="38"/>
      <c r="FT263" s="38"/>
      <c r="FU263" s="38"/>
      <c r="FV263" s="38"/>
      <c r="FW263" s="38"/>
      <c r="FX263" s="38"/>
      <c r="FY263" s="38"/>
      <c r="FZ263" s="38"/>
      <c r="GA263" s="38"/>
      <c r="GB263" s="38"/>
      <c r="GC263" s="38"/>
    </row>
    <row r="264" spans="1:185" ht="16" thickBot="1" x14ac:dyDescent="0.4">
      <c r="A264" s="49"/>
      <c r="B264" s="6"/>
      <c r="C264" s="56"/>
      <c r="D264" s="61"/>
      <c r="E264" s="51"/>
      <c r="F264" s="54"/>
      <c r="G264" s="52"/>
      <c r="H264" s="52"/>
      <c r="I264" s="52"/>
      <c r="J264" s="55"/>
      <c r="K264" s="53"/>
      <c r="L264" s="10"/>
    </row>
    <row r="265" spans="1:185" ht="16" thickBot="1" x14ac:dyDescent="0.4">
      <c r="A265" s="41" t="str">
        <f>IF(F265&lt;&gt;"",1+MAX($A$7:A124),"")</f>
        <v/>
      </c>
      <c r="B265" s="42"/>
      <c r="C265" s="47" t="s">
        <v>549</v>
      </c>
      <c r="D265" s="28"/>
      <c r="E265" s="7"/>
      <c r="F265" s="28"/>
      <c r="G265" s="15"/>
      <c r="H265" s="15"/>
      <c r="I265" s="15"/>
      <c r="J265" s="8"/>
      <c r="K265" s="9"/>
      <c r="L265" s="10"/>
    </row>
    <row r="266" spans="1:185" x14ac:dyDescent="0.35">
      <c r="A266" s="49">
        <f>IF(F266&lt;&gt;"",1+MAX($A$7:A265),"")</f>
        <v>196</v>
      </c>
      <c r="B266" s="6"/>
      <c r="C266" s="68" t="s">
        <v>550</v>
      </c>
      <c r="D266" s="68">
        <v>12383</v>
      </c>
      <c r="E266" s="51">
        <v>0.1</v>
      </c>
      <c r="F266" s="54">
        <f t="shared" ref="F266:F272" si="54">D266*(1+E266)</f>
        <v>13621.300000000001</v>
      </c>
      <c r="G266" s="52" t="s">
        <v>33</v>
      </c>
      <c r="H266" s="52"/>
      <c r="I266" s="52"/>
      <c r="J266" s="55"/>
      <c r="K266" s="53">
        <f t="shared" ref="K266:K272" si="55">J266*F266</f>
        <v>0</v>
      </c>
      <c r="L266" s="10"/>
    </row>
    <row r="267" spans="1:185" x14ac:dyDescent="0.35">
      <c r="A267" s="49">
        <f>IF(F267&lt;&gt;"",1+MAX($A$7:A266),"")</f>
        <v>197</v>
      </c>
      <c r="B267" s="6"/>
      <c r="C267" s="68" t="s">
        <v>551</v>
      </c>
      <c r="D267" s="68">
        <v>12383</v>
      </c>
      <c r="E267" s="51">
        <v>0.1</v>
      </c>
      <c r="F267" s="54">
        <f t="shared" si="54"/>
        <v>13621.300000000001</v>
      </c>
      <c r="G267" s="52" t="s">
        <v>33</v>
      </c>
      <c r="H267" s="52"/>
      <c r="I267" s="52"/>
      <c r="J267" s="55"/>
      <c r="K267" s="53">
        <f t="shared" si="55"/>
        <v>0</v>
      </c>
      <c r="L267" s="10"/>
    </row>
    <row r="268" spans="1:185" x14ac:dyDescent="0.35">
      <c r="A268" s="49">
        <f>IF(F268&lt;&gt;"",1+MAX($A$7:A267),"")</f>
        <v>198</v>
      </c>
      <c r="B268" s="6"/>
      <c r="C268" s="68" t="s">
        <v>552</v>
      </c>
      <c r="D268" s="68">
        <v>476</v>
      </c>
      <c r="E268" s="51">
        <v>0.1</v>
      </c>
      <c r="F268" s="54">
        <f t="shared" si="54"/>
        <v>523.6</v>
      </c>
      <c r="G268" s="52" t="s">
        <v>34</v>
      </c>
      <c r="H268" s="52"/>
      <c r="I268" s="52"/>
      <c r="J268" s="55"/>
      <c r="K268" s="53">
        <f t="shared" si="55"/>
        <v>0</v>
      </c>
      <c r="L268" s="10"/>
    </row>
    <row r="269" spans="1:185" x14ac:dyDescent="0.35">
      <c r="A269" s="49">
        <f>IF(F269&lt;&gt;"",1+MAX($A$7:A268),"")</f>
        <v>199</v>
      </c>
      <c r="B269" s="6"/>
      <c r="C269" s="68" t="s">
        <v>553</v>
      </c>
      <c r="D269" s="68">
        <v>476</v>
      </c>
      <c r="E269" s="51">
        <v>0.1</v>
      </c>
      <c r="F269" s="54">
        <f t="shared" si="54"/>
        <v>523.6</v>
      </c>
      <c r="G269" s="52" t="s">
        <v>34</v>
      </c>
      <c r="H269" s="52"/>
      <c r="I269" s="52"/>
      <c r="J269" s="55"/>
      <c r="K269" s="53">
        <f t="shared" si="55"/>
        <v>0</v>
      </c>
      <c r="L269" s="10"/>
    </row>
    <row r="270" spans="1:185" x14ac:dyDescent="0.35">
      <c r="A270" s="49">
        <f>IF(F270&lt;&gt;"",1+MAX($A$7:A269),"")</f>
        <v>200</v>
      </c>
      <c r="B270" s="6"/>
      <c r="C270" s="68" t="s">
        <v>554</v>
      </c>
      <c r="D270" s="68">
        <f>2*476</f>
        <v>952</v>
      </c>
      <c r="E270" s="51">
        <v>0.1</v>
      </c>
      <c r="F270" s="54">
        <f t="shared" si="54"/>
        <v>1047.2</v>
      </c>
      <c r="G270" s="52" t="s">
        <v>34</v>
      </c>
      <c r="H270" s="52"/>
      <c r="I270" s="52"/>
      <c r="J270" s="55"/>
      <c r="K270" s="53">
        <f t="shared" si="55"/>
        <v>0</v>
      </c>
      <c r="L270" s="10"/>
    </row>
    <row r="271" spans="1:185" x14ac:dyDescent="0.35">
      <c r="A271" s="49">
        <f>IF(F271&lt;&gt;"",1+MAX($A$7:A270),"")</f>
        <v>201</v>
      </c>
      <c r="B271" s="6"/>
      <c r="C271" s="68" t="s">
        <v>555</v>
      </c>
      <c r="D271" s="68">
        <v>476</v>
      </c>
      <c r="E271" s="51">
        <v>0.1</v>
      </c>
      <c r="F271" s="54">
        <f t="shared" si="54"/>
        <v>523.6</v>
      </c>
      <c r="G271" s="52" t="s">
        <v>34</v>
      </c>
      <c r="H271" s="52"/>
      <c r="I271" s="52"/>
      <c r="J271" s="55"/>
      <c r="K271" s="53">
        <f t="shared" si="55"/>
        <v>0</v>
      </c>
      <c r="L271" s="10"/>
    </row>
    <row r="272" spans="1:185" x14ac:dyDescent="0.35">
      <c r="A272" s="49">
        <f>IF(F272&lt;&gt;"",1+MAX($A$7:A271),"")</f>
        <v>202</v>
      </c>
      <c r="B272" s="6"/>
      <c r="C272" s="68" t="s">
        <v>556</v>
      </c>
      <c r="D272" s="68">
        <v>4760</v>
      </c>
      <c r="E272" s="51">
        <v>0.1</v>
      </c>
      <c r="F272" s="54">
        <f t="shared" si="54"/>
        <v>5236</v>
      </c>
      <c r="G272" s="52" t="s">
        <v>33</v>
      </c>
      <c r="H272" s="52"/>
      <c r="I272" s="52"/>
      <c r="J272" s="55"/>
      <c r="K272" s="53">
        <f t="shared" si="55"/>
        <v>0</v>
      </c>
      <c r="L272" s="10"/>
    </row>
    <row r="273" spans="1:185" ht="16" thickBot="1" x14ac:dyDescent="0.4">
      <c r="A273" s="49"/>
      <c r="B273" s="6"/>
      <c r="C273" s="68"/>
      <c r="D273" s="68"/>
      <c r="E273" s="51"/>
      <c r="F273" s="54"/>
      <c r="G273" s="52"/>
      <c r="H273" s="52"/>
      <c r="I273" s="52"/>
      <c r="J273" s="55"/>
      <c r="K273" s="53"/>
      <c r="L273" s="10"/>
    </row>
    <row r="274" spans="1:185" ht="16" thickBot="1" x14ac:dyDescent="0.4">
      <c r="A274" s="41" t="str">
        <f>IF(F274&lt;&gt;"",1+MAX($A$7:A133),"")</f>
        <v/>
      </c>
      <c r="B274" s="42"/>
      <c r="C274" s="47" t="s">
        <v>557</v>
      </c>
      <c r="D274" s="28"/>
      <c r="E274" s="7"/>
      <c r="F274" s="28"/>
      <c r="G274" s="15"/>
      <c r="H274" s="15"/>
      <c r="I274" s="15"/>
      <c r="J274" s="8"/>
      <c r="K274" s="9"/>
      <c r="L274" s="10"/>
    </row>
    <row r="275" spans="1:185" x14ac:dyDescent="0.35">
      <c r="A275" s="49">
        <f>IF(F275&lt;&gt;"",1+MAX($A$7:A274),"")</f>
        <v>203</v>
      </c>
      <c r="B275" s="6"/>
      <c r="C275" s="56" t="s">
        <v>420</v>
      </c>
      <c r="D275" s="61">
        <v>98050</v>
      </c>
      <c r="E275" s="51">
        <v>0.1</v>
      </c>
      <c r="F275" s="54">
        <f t="shared" ref="F275" si="56">D275*(1+E275)</f>
        <v>107855.00000000001</v>
      </c>
      <c r="G275" s="52" t="s">
        <v>33</v>
      </c>
      <c r="H275" s="52"/>
      <c r="I275" s="52"/>
      <c r="J275" s="55"/>
      <c r="K275" s="53">
        <f t="shared" ref="K275" si="57">J275*F275</f>
        <v>0</v>
      </c>
      <c r="L275" s="10"/>
    </row>
    <row r="276" spans="1:185" ht="29" x14ac:dyDescent="0.35">
      <c r="A276" s="49">
        <f>IF(F276&lt;&gt;"",1+MAX($A$7:A275),"")</f>
        <v>204</v>
      </c>
      <c r="B276" s="6"/>
      <c r="C276" s="50" t="s">
        <v>433</v>
      </c>
      <c r="D276" s="61">
        <f>2260+3508+2531</f>
        <v>8299</v>
      </c>
      <c r="E276" s="51">
        <v>0.1</v>
      </c>
      <c r="F276" s="54">
        <f t="shared" ref="F276" si="58">D276*(1+E276)</f>
        <v>9128.9000000000015</v>
      </c>
      <c r="G276" s="52" t="s">
        <v>33</v>
      </c>
      <c r="H276" s="52"/>
      <c r="I276" s="52"/>
      <c r="J276" s="55"/>
      <c r="K276" s="53">
        <f t="shared" ref="K276" si="59">J276*F276</f>
        <v>0</v>
      </c>
      <c r="L276" s="10"/>
    </row>
    <row r="277" spans="1:185" ht="16" thickBot="1" x14ac:dyDescent="0.4">
      <c r="A277" s="49"/>
      <c r="B277" s="6"/>
      <c r="E277" s="51"/>
      <c r="F277" s="54"/>
      <c r="G277" s="52"/>
      <c r="H277" s="52"/>
      <c r="I277" s="52"/>
      <c r="J277" s="55"/>
      <c r="K277" s="53"/>
      <c r="L277" s="10"/>
    </row>
    <row r="278" spans="1:185" ht="16" thickBot="1" x14ac:dyDescent="0.4">
      <c r="A278" s="41" t="str">
        <f>IF(F278&lt;&gt;"",1+MAX($A$7:A256),"")</f>
        <v/>
      </c>
      <c r="B278" s="42" t="s">
        <v>371</v>
      </c>
      <c r="C278" s="43" t="s">
        <v>372</v>
      </c>
      <c r="D278" s="44"/>
      <c r="E278" s="44"/>
      <c r="F278" s="44"/>
      <c r="G278" s="44"/>
      <c r="H278" s="44"/>
      <c r="I278" s="44"/>
      <c r="J278" s="45"/>
      <c r="K278" s="45"/>
      <c r="L278" s="46">
        <f>SUM(K280:K348)</f>
        <v>0</v>
      </c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</row>
    <row r="279" spans="1:185" ht="16" thickBot="1" x14ac:dyDescent="0.4">
      <c r="A279" s="49"/>
      <c r="B279" s="6"/>
      <c r="E279" s="51"/>
      <c r="F279" s="54"/>
      <c r="G279" s="52"/>
      <c r="H279" s="52"/>
      <c r="I279" s="52"/>
      <c r="J279" s="55"/>
      <c r="K279" s="53"/>
      <c r="L279" s="10"/>
    </row>
    <row r="280" spans="1:185" ht="16" thickBot="1" x14ac:dyDescent="0.4">
      <c r="A280" s="41" t="str">
        <f>IF(F280&lt;&gt;"",1+MAX($A$7:A252),"")</f>
        <v/>
      </c>
      <c r="B280" s="42"/>
      <c r="C280" s="47" t="s">
        <v>373</v>
      </c>
      <c r="D280" s="28"/>
      <c r="E280" s="7"/>
      <c r="F280" s="28"/>
      <c r="G280" s="15"/>
      <c r="H280" s="15"/>
      <c r="I280" s="15"/>
      <c r="J280" s="8"/>
      <c r="K280" s="9"/>
      <c r="L280" s="10"/>
    </row>
    <row r="281" spans="1:185" ht="29" x14ac:dyDescent="0.35">
      <c r="A281" s="49">
        <f>IF(F281&lt;&gt;"",1+MAX($A$7:A280),"")</f>
        <v>205</v>
      </c>
      <c r="B281" s="6"/>
      <c r="C281" s="50" t="s">
        <v>374</v>
      </c>
      <c r="D281" s="61">
        <v>175</v>
      </c>
      <c r="E281" s="51">
        <v>0</v>
      </c>
      <c r="F281" s="54">
        <f t="shared" ref="F281" si="60">D281*(1+E281)</f>
        <v>175</v>
      </c>
      <c r="G281" s="52" t="s">
        <v>50</v>
      </c>
      <c r="H281" s="52"/>
      <c r="I281" s="52"/>
      <c r="J281" s="55"/>
      <c r="K281" s="53">
        <f t="shared" ref="K281" si="61">J281*F281</f>
        <v>0</v>
      </c>
      <c r="L281" s="10"/>
    </row>
    <row r="282" spans="1:185" ht="29" x14ac:dyDescent="0.35">
      <c r="A282" s="49">
        <f>IF(F282&lt;&gt;"",1+MAX($A$7:A281),"")</f>
        <v>206</v>
      </c>
      <c r="B282" s="6"/>
      <c r="C282" s="50" t="s">
        <v>375</v>
      </c>
      <c r="D282" s="61">
        <v>182</v>
      </c>
      <c r="E282" s="51">
        <v>0</v>
      </c>
      <c r="F282" s="54">
        <f t="shared" ref="F282:F290" si="62">D282*(1+E282)</f>
        <v>182</v>
      </c>
      <c r="G282" s="52" t="s">
        <v>50</v>
      </c>
      <c r="H282" s="52"/>
      <c r="I282" s="52"/>
      <c r="J282" s="55"/>
      <c r="K282" s="53">
        <f t="shared" ref="K282:K290" si="63">J282*F282</f>
        <v>0</v>
      </c>
      <c r="L282" s="10"/>
    </row>
    <row r="283" spans="1:185" ht="29" x14ac:dyDescent="0.35">
      <c r="A283" s="49">
        <f>IF(F283&lt;&gt;"",1+MAX($A$7:A282),"")</f>
        <v>207</v>
      </c>
      <c r="B283" s="6"/>
      <c r="C283" s="50" t="s">
        <v>376</v>
      </c>
      <c r="D283" s="61">
        <v>29</v>
      </c>
      <c r="E283" s="51">
        <v>0</v>
      </c>
      <c r="F283" s="54">
        <f t="shared" si="62"/>
        <v>29</v>
      </c>
      <c r="G283" s="52" t="s">
        <v>50</v>
      </c>
      <c r="H283" s="52"/>
      <c r="I283" s="52"/>
      <c r="J283" s="55"/>
      <c r="K283" s="53">
        <f t="shared" si="63"/>
        <v>0</v>
      </c>
      <c r="L283" s="10"/>
    </row>
    <row r="284" spans="1:185" ht="29" x14ac:dyDescent="0.35">
      <c r="A284" s="49">
        <f>IF(F284&lt;&gt;"",1+MAX($A$7:A283),"")</f>
        <v>208</v>
      </c>
      <c r="B284" s="6"/>
      <c r="C284" s="50" t="s">
        <v>377</v>
      </c>
      <c r="D284" s="61">
        <v>2</v>
      </c>
      <c r="E284" s="51">
        <v>0</v>
      </c>
      <c r="F284" s="54">
        <f t="shared" si="62"/>
        <v>2</v>
      </c>
      <c r="G284" s="52" t="s">
        <v>50</v>
      </c>
      <c r="H284" s="52"/>
      <c r="I284" s="52"/>
      <c r="J284" s="55"/>
      <c r="K284" s="53">
        <f t="shared" si="63"/>
        <v>0</v>
      </c>
      <c r="L284" s="10"/>
    </row>
    <row r="285" spans="1:185" ht="29" x14ac:dyDescent="0.35">
      <c r="A285" s="49">
        <f>IF(F285&lt;&gt;"",1+MAX($A$7:A284),"")</f>
        <v>209</v>
      </c>
      <c r="B285" s="6"/>
      <c r="C285" s="50" t="s">
        <v>378</v>
      </c>
      <c r="D285" s="61">
        <v>4</v>
      </c>
      <c r="E285" s="51">
        <v>0</v>
      </c>
      <c r="F285" s="54">
        <f t="shared" si="62"/>
        <v>4</v>
      </c>
      <c r="G285" s="52" t="s">
        <v>50</v>
      </c>
      <c r="H285" s="52"/>
      <c r="I285" s="52"/>
      <c r="J285" s="55"/>
      <c r="K285" s="53">
        <f t="shared" si="63"/>
        <v>0</v>
      </c>
      <c r="L285" s="10"/>
    </row>
    <row r="286" spans="1:185" ht="29" x14ac:dyDescent="0.35">
      <c r="A286" s="49">
        <f>IF(F286&lt;&gt;"",1+MAX($A$7:A285),"")</f>
        <v>210</v>
      </c>
      <c r="B286" s="6"/>
      <c r="C286" s="50" t="s">
        <v>379</v>
      </c>
      <c r="D286" s="61">
        <v>18</v>
      </c>
      <c r="E286" s="51">
        <v>0</v>
      </c>
      <c r="F286" s="54">
        <f t="shared" si="62"/>
        <v>18</v>
      </c>
      <c r="G286" s="52" t="s">
        <v>50</v>
      </c>
      <c r="H286" s="52"/>
      <c r="I286" s="52"/>
      <c r="J286" s="55"/>
      <c r="K286" s="53">
        <f t="shared" si="63"/>
        <v>0</v>
      </c>
      <c r="L286" s="10"/>
    </row>
    <row r="287" spans="1:185" ht="29" x14ac:dyDescent="0.35">
      <c r="A287" s="49">
        <f>IF(F287&lt;&gt;"",1+MAX($A$7:A286),"")</f>
        <v>211</v>
      </c>
      <c r="B287" s="6"/>
      <c r="C287" s="50" t="s">
        <v>374</v>
      </c>
      <c r="D287" s="61">
        <v>28</v>
      </c>
      <c r="E287" s="51">
        <v>0</v>
      </c>
      <c r="F287" s="54">
        <f t="shared" si="62"/>
        <v>28</v>
      </c>
      <c r="G287" s="52" t="s">
        <v>50</v>
      </c>
      <c r="H287" s="52"/>
      <c r="I287" s="52"/>
      <c r="J287" s="55"/>
      <c r="K287" s="53">
        <f t="shared" si="63"/>
        <v>0</v>
      </c>
      <c r="L287" s="10"/>
    </row>
    <row r="288" spans="1:185" ht="29" x14ac:dyDescent="0.35">
      <c r="A288" s="49">
        <f>IF(F288&lt;&gt;"",1+MAX($A$7:A287),"")</f>
        <v>212</v>
      </c>
      <c r="B288" s="6"/>
      <c r="C288" s="50" t="s">
        <v>380</v>
      </c>
      <c r="D288" s="61">
        <v>1</v>
      </c>
      <c r="E288" s="51">
        <v>0</v>
      </c>
      <c r="F288" s="54">
        <f t="shared" si="62"/>
        <v>1</v>
      </c>
      <c r="G288" s="52" t="s">
        <v>50</v>
      </c>
      <c r="H288" s="52"/>
      <c r="I288" s="52"/>
      <c r="J288" s="55"/>
      <c r="K288" s="53">
        <f t="shared" si="63"/>
        <v>0</v>
      </c>
      <c r="L288" s="10"/>
    </row>
    <row r="289" spans="1:12" ht="29" x14ac:dyDescent="0.35">
      <c r="A289" s="49">
        <f>IF(F289&lt;&gt;"",1+MAX($A$7:A288),"")</f>
        <v>213</v>
      </c>
      <c r="B289" s="6"/>
      <c r="C289" s="50" t="s">
        <v>381</v>
      </c>
      <c r="D289" s="61">
        <v>3</v>
      </c>
      <c r="E289" s="51">
        <v>0</v>
      </c>
      <c r="F289" s="54">
        <f t="shared" si="62"/>
        <v>3</v>
      </c>
      <c r="G289" s="52" t="s">
        <v>50</v>
      </c>
      <c r="H289" s="52"/>
      <c r="I289" s="52"/>
      <c r="J289" s="55"/>
      <c r="K289" s="53">
        <f t="shared" si="63"/>
        <v>0</v>
      </c>
      <c r="L289" s="10"/>
    </row>
    <row r="290" spans="1:12" x14ac:dyDescent="0.35">
      <c r="A290" s="49">
        <f>IF(F290&lt;&gt;"",1+MAX($A$7:A289),"")</f>
        <v>214</v>
      </c>
      <c r="B290" s="6"/>
      <c r="C290" s="56" t="s">
        <v>382</v>
      </c>
      <c r="D290" s="61">
        <v>1</v>
      </c>
      <c r="E290" s="51">
        <v>0</v>
      </c>
      <c r="F290" s="54">
        <f t="shared" si="62"/>
        <v>1</v>
      </c>
      <c r="G290" s="52" t="s">
        <v>50</v>
      </c>
      <c r="H290" s="52"/>
      <c r="I290" s="52"/>
      <c r="J290" s="55"/>
      <c r="K290" s="53">
        <f t="shared" si="63"/>
        <v>0</v>
      </c>
      <c r="L290" s="10"/>
    </row>
    <row r="291" spans="1:12" ht="16" thickBot="1" x14ac:dyDescent="0.4">
      <c r="A291" s="49"/>
      <c r="B291" s="6"/>
      <c r="C291" s="50"/>
      <c r="D291" s="61"/>
      <c r="E291" s="51"/>
      <c r="F291" s="54"/>
      <c r="G291" s="52"/>
      <c r="H291" s="52"/>
      <c r="I291" s="52"/>
      <c r="J291" s="55"/>
      <c r="K291" s="53"/>
      <c r="L291" s="10"/>
    </row>
    <row r="292" spans="1:12" ht="16" thickBot="1" x14ac:dyDescent="0.4">
      <c r="A292" s="41" t="str">
        <f>IF(F292&lt;&gt;"",1+MAX($A$7:A264),"")</f>
        <v/>
      </c>
      <c r="B292" s="42"/>
      <c r="C292" s="47" t="s">
        <v>558</v>
      </c>
      <c r="D292" s="28"/>
      <c r="E292" s="7"/>
      <c r="F292" s="28"/>
      <c r="G292" s="15"/>
      <c r="H292" s="15"/>
      <c r="I292" s="15"/>
      <c r="J292" s="8"/>
      <c r="K292" s="9"/>
      <c r="L292" s="10"/>
    </row>
    <row r="293" spans="1:12" x14ac:dyDescent="0.35">
      <c r="A293" s="49">
        <f>IF(F293&lt;&gt;"",1+MAX($A$7:A292),"")</f>
        <v>215</v>
      </c>
      <c r="B293" s="6"/>
      <c r="C293" s="68" t="s">
        <v>559</v>
      </c>
      <c r="D293" s="68">
        <v>1</v>
      </c>
      <c r="E293" s="51">
        <v>0</v>
      </c>
      <c r="F293" s="54">
        <f t="shared" ref="F293:F344" si="64">D293*(1+E293)</f>
        <v>1</v>
      </c>
      <c r="G293" s="52" t="s">
        <v>50</v>
      </c>
      <c r="H293" s="52"/>
      <c r="I293" s="52"/>
      <c r="J293" s="55"/>
      <c r="K293" s="53">
        <f t="shared" ref="K293:K344" si="65">J293*F293</f>
        <v>0</v>
      </c>
      <c r="L293" s="10"/>
    </row>
    <row r="294" spans="1:12" x14ac:dyDescent="0.35">
      <c r="A294" s="49">
        <f>IF(F294&lt;&gt;"",1+MAX($A$7:A293),"")</f>
        <v>216</v>
      </c>
      <c r="B294" s="6"/>
      <c r="C294" s="68" t="s">
        <v>560</v>
      </c>
      <c r="D294" s="68">
        <v>2</v>
      </c>
      <c r="E294" s="51">
        <v>0</v>
      </c>
      <c r="F294" s="54">
        <f t="shared" si="64"/>
        <v>2</v>
      </c>
      <c r="G294" s="52" t="s">
        <v>50</v>
      </c>
      <c r="H294" s="52"/>
      <c r="I294" s="52"/>
      <c r="J294" s="55"/>
      <c r="K294" s="53">
        <f t="shared" si="65"/>
        <v>0</v>
      </c>
      <c r="L294" s="10"/>
    </row>
    <row r="295" spans="1:12" x14ac:dyDescent="0.35">
      <c r="A295" s="49">
        <f>IF(F295&lt;&gt;"",1+MAX($A$7:A294),"")</f>
        <v>217</v>
      </c>
      <c r="B295" s="6"/>
      <c r="C295" s="68" t="s">
        <v>561</v>
      </c>
      <c r="D295" s="68">
        <v>2</v>
      </c>
      <c r="E295" s="51">
        <v>0</v>
      </c>
      <c r="F295" s="54">
        <f t="shared" si="64"/>
        <v>2</v>
      </c>
      <c r="G295" s="52" t="s">
        <v>50</v>
      </c>
      <c r="H295" s="52"/>
      <c r="I295" s="52"/>
      <c r="J295" s="55"/>
      <c r="K295" s="53">
        <f t="shared" si="65"/>
        <v>0</v>
      </c>
      <c r="L295" s="10"/>
    </row>
    <row r="296" spans="1:12" x14ac:dyDescent="0.35">
      <c r="A296" s="49">
        <f>IF(F296&lt;&gt;"",1+MAX($A$7:A295),"")</f>
        <v>218</v>
      </c>
      <c r="B296" s="6"/>
      <c r="C296" s="68" t="s">
        <v>562</v>
      </c>
      <c r="D296" s="68">
        <v>2</v>
      </c>
      <c r="E296" s="51">
        <v>0</v>
      </c>
      <c r="F296" s="54">
        <f t="shared" si="64"/>
        <v>2</v>
      </c>
      <c r="G296" s="52" t="s">
        <v>50</v>
      </c>
      <c r="H296" s="52"/>
      <c r="I296" s="52"/>
      <c r="J296" s="55"/>
      <c r="K296" s="53">
        <f t="shared" si="65"/>
        <v>0</v>
      </c>
      <c r="L296" s="10"/>
    </row>
    <row r="297" spans="1:12" x14ac:dyDescent="0.35">
      <c r="A297" s="49">
        <f>IF(F297&lt;&gt;"",1+MAX($A$7:A296),"")</f>
        <v>219</v>
      </c>
      <c r="B297" s="6"/>
      <c r="C297" s="68" t="s">
        <v>563</v>
      </c>
      <c r="D297" s="68">
        <v>2</v>
      </c>
      <c r="E297" s="51">
        <v>0</v>
      </c>
      <c r="F297" s="54">
        <f t="shared" si="64"/>
        <v>2</v>
      </c>
      <c r="G297" s="52" t="s">
        <v>50</v>
      </c>
      <c r="H297" s="52"/>
      <c r="I297" s="52"/>
      <c r="J297" s="55"/>
      <c r="K297" s="53">
        <f t="shared" si="65"/>
        <v>0</v>
      </c>
      <c r="L297" s="10"/>
    </row>
    <row r="298" spans="1:12" x14ac:dyDescent="0.35">
      <c r="A298" s="49">
        <f>IF(F298&lt;&gt;"",1+MAX($A$7:A297),"")</f>
        <v>220</v>
      </c>
      <c r="B298" s="6"/>
      <c r="C298" s="68" t="s">
        <v>564</v>
      </c>
      <c r="D298" s="68">
        <v>2</v>
      </c>
      <c r="E298" s="51">
        <v>0</v>
      </c>
      <c r="F298" s="54">
        <f t="shared" si="64"/>
        <v>2</v>
      </c>
      <c r="G298" s="52" t="s">
        <v>50</v>
      </c>
      <c r="H298" s="52"/>
      <c r="I298" s="52"/>
      <c r="J298" s="55"/>
      <c r="K298" s="53">
        <f t="shared" si="65"/>
        <v>0</v>
      </c>
      <c r="L298" s="10"/>
    </row>
    <row r="299" spans="1:12" x14ac:dyDescent="0.35">
      <c r="A299" s="49">
        <f>IF(F299&lt;&gt;"",1+MAX($A$7:A298),"")</f>
        <v>221</v>
      </c>
      <c r="B299" s="6"/>
      <c r="C299" s="68" t="s">
        <v>565</v>
      </c>
      <c r="D299" s="68">
        <v>1</v>
      </c>
      <c r="E299" s="51">
        <v>0</v>
      </c>
      <c r="F299" s="54">
        <f t="shared" si="64"/>
        <v>1</v>
      </c>
      <c r="G299" s="52" t="s">
        <v>50</v>
      </c>
      <c r="H299" s="52"/>
      <c r="I299" s="52"/>
      <c r="J299" s="55"/>
      <c r="K299" s="53">
        <f t="shared" si="65"/>
        <v>0</v>
      </c>
      <c r="L299" s="10"/>
    </row>
    <row r="300" spans="1:12" x14ac:dyDescent="0.35">
      <c r="A300" s="49">
        <f>IF(F300&lt;&gt;"",1+MAX($A$7:A299),"")</f>
        <v>222</v>
      </c>
      <c r="B300" s="6"/>
      <c r="C300" s="68" t="s">
        <v>566</v>
      </c>
      <c r="D300" s="68">
        <v>1</v>
      </c>
      <c r="E300" s="51">
        <v>0</v>
      </c>
      <c r="F300" s="54">
        <f t="shared" si="64"/>
        <v>1</v>
      </c>
      <c r="G300" s="52" t="s">
        <v>50</v>
      </c>
      <c r="H300" s="52"/>
      <c r="I300" s="52"/>
      <c r="J300" s="55"/>
      <c r="K300" s="53">
        <f t="shared" si="65"/>
        <v>0</v>
      </c>
      <c r="L300" s="10"/>
    </row>
    <row r="301" spans="1:12" x14ac:dyDescent="0.35">
      <c r="A301" s="49">
        <f>IF(F301&lt;&gt;"",1+MAX($A$7:A300),"")</f>
        <v>223</v>
      </c>
      <c r="B301" s="6"/>
      <c r="C301" s="68" t="s">
        <v>567</v>
      </c>
      <c r="D301" s="68">
        <v>8</v>
      </c>
      <c r="E301" s="51">
        <v>0</v>
      </c>
      <c r="F301" s="54">
        <f t="shared" si="64"/>
        <v>8</v>
      </c>
      <c r="G301" s="52" t="s">
        <v>50</v>
      </c>
      <c r="H301" s="52"/>
      <c r="I301" s="52"/>
      <c r="J301" s="55"/>
      <c r="K301" s="53">
        <f t="shared" si="65"/>
        <v>0</v>
      </c>
      <c r="L301" s="10"/>
    </row>
    <row r="302" spans="1:12" x14ac:dyDescent="0.35">
      <c r="A302" s="49">
        <f>IF(F302&lt;&gt;"",1+MAX($A$7:A301),"")</f>
        <v>224</v>
      </c>
      <c r="B302" s="6"/>
      <c r="C302" s="68" t="s">
        <v>568</v>
      </c>
      <c r="D302" s="68">
        <v>1</v>
      </c>
      <c r="E302" s="51">
        <v>0</v>
      </c>
      <c r="F302" s="54">
        <f t="shared" si="64"/>
        <v>1</v>
      </c>
      <c r="G302" s="52" t="s">
        <v>50</v>
      </c>
      <c r="H302" s="52"/>
      <c r="I302" s="52"/>
      <c r="J302" s="55"/>
      <c r="K302" s="53">
        <f t="shared" si="65"/>
        <v>0</v>
      </c>
      <c r="L302" s="10"/>
    </row>
    <row r="303" spans="1:12" x14ac:dyDescent="0.35">
      <c r="A303" s="49">
        <f>IF(F303&lt;&gt;"",1+MAX($A$7:A302),"")</f>
        <v>225</v>
      </c>
      <c r="B303" s="6"/>
      <c r="C303" s="68" t="s">
        <v>569</v>
      </c>
      <c r="D303" s="68">
        <v>1</v>
      </c>
      <c r="E303" s="51">
        <v>0</v>
      </c>
      <c r="F303" s="54">
        <f t="shared" si="64"/>
        <v>1</v>
      </c>
      <c r="G303" s="52" t="s">
        <v>50</v>
      </c>
      <c r="H303" s="52"/>
      <c r="I303" s="52"/>
      <c r="J303" s="55"/>
      <c r="K303" s="53">
        <f t="shared" si="65"/>
        <v>0</v>
      </c>
      <c r="L303" s="10"/>
    </row>
    <row r="304" spans="1:12" x14ac:dyDescent="0.35">
      <c r="A304" s="49">
        <f>IF(F304&lt;&gt;"",1+MAX($A$7:A303),"")</f>
        <v>226</v>
      </c>
      <c r="B304" s="6"/>
      <c r="C304" s="68" t="s">
        <v>570</v>
      </c>
      <c r="D304" s="68">
        <v>1</v>
      </c>
      <c r="E304" s="51">
        <v>0</v>
      </c>
      <c r="F304" s="54">
        <f t="shared" si="64"/>
        <v>1</v>
      </c>
      <c r="G304" s="52" t="s">
        <v>50</v>
      </c>
      <c r="H304" s="52"/>
      <c r="I304" s="52"/>
      <c r="J304" s="55"/>
      <c r="K304" s="53">
        <f t="shared" si="65"/>
        <v>0</v>
      </c>
      <c r="L304" s="10"/>
    </row>
    <row r="305" spans="1:12" x14ac:dyDescent="0.35">
      <c r="A305" s="49">
        <f>IF(F305&lt;&gt;"",1+MAX($A$7:A304),"")</f>
        <v>227</v>
      </c>
      <c r="B305" s="6"/>
      <c r="C305" s="68" t="s">
        <v>571</v>
      </c>
      <c r="D305" s="68">
        <v>1</v>
      </c>
      <c r="E305" s="51">
        <v>0</v>
      </c>
      <c r="F305" s="54">
        <f t="shared" si="64"/>
        <v>1</v>
      </c>
      <c r="G305" s="52" t="s">
        <v>50</v>
      </c>
      <c r="H305" s="52"/>
      <c r="I305" s="52"/>
      <c r="J305" s="55"/>
      <c r="K305" s="53">
        <f t="shared" si="65"/>
        <v>0</v>
      </c>
      <c r="L305" s="10"/>
    </row>
    <row r="306" spans="1:12" x14ac:dyDescent="0.35">
      <c r="A306" s="49">
        <f>IF(F306&lt;&gt;"",1+MAX($A$7:A305),"")</f>
        <v>228</v>
      </c>
      <c r="B306" s="6"/>
      <c r="C306" s="68" t="s">
        <v>572</v>
      </c>
      <c r="D306" s="68">
        <v>1</v>
      </c>
      <c r="E306" s="51">
        <v>0</v>
      </c>
      <c r="F306" s="54">
        <f t="shared" si="64"/>
        <v>1</v>
      </c>
      <c r="G306" s="52" t="s">
        <v>50</v>
      </c>
      <c r="H306" s="52"/>
      <c r="I306" s="52"/>
      <c r="J306" s="55"/>
      <c r="K306" s="53">
        <f t="shared" si="65"/>
        <v>0</v>
      </c>
      <c r="L306" s="10"/>
    </row>
    <row r="307" spans="1:12" x14ac:dyDescent="0.35">
      <c r="A307" s="49">
        <f>IF(F307&lt;&gt;"",1+MAX($A$7:A306),"")</f>
        <v>229</v>
      </c>
      <c r="B307" s="6"/>
      <c r="C307" s="68" t="s">
        <v>573</v>
      </c>
      <c r="D307" s="68">
        <v>1</v>
      </c>
      <c r="E307" s="51">
        <v>0</v>
      </c>
      <c r="F307" s="54">
        <f t="shared" si="64"/>
        <v>1</v>
      </c>
      <c r="G307" s="52" t="s">
        <v>50</v>
      </c>
      <c r="H307" s="52"/>
      <c r="I307" s="52"/>
      <c r="J307" s="55"/>
      <c r="K307" s="53">
        <f t="shared" si="65"/>
        <v>0</v>
      </c>
      <c r="L307" s="10"/>
    </row>
    <row r="308" spans="1:12" x14ac:dyDescent="0.35">
      <c r="A308" s="49">
        <f>IF(F308&lt;&gt;"",1+MAX($A$7:A307),"")</f>
        <v>230</v>
      </c>
      <c r="B308" s="6"/>
      <c r="C308" s="68" t="s">
        <v>574</v>
      </c>
      <c r="D308" s="68">
        <v>3</v>
      </c>
      <c r="E308" s="51">
        <v>0</v>
      </c>
      <c r="F308" s="54">
        <f t="shared" si="64"/>
        <v>3</v>
      </c>
      <c r="G308" s="52" t="s">
        <v>50</v>
      </c>
      <c r="H308" s="52"/>
      <c r="I308" s="52"/>
      <c r="J308" s="55"/>
      <c r="K308" s="53">
        <f t="shared" si="65"/>
        <v>0</v>
      </c>
      <c r="L308" s="10"/>
    </row>
    <row r="309" spans="1:12" x14ac:dyDescent="0.35">
      <c r="A309" s="49">
        <f>IF(F309&lt;&gt;"",1+MAX($A$7:A308),"")</f>
        <v>231</v>
      </c>
      <c r="B309" s="6"/>
      <c r="C309" s="68" t="s">
        <v>575</v>
      </c>
      <c r="D309" s="68">
        <v>3</v>
      </c>
      <c r="E309" s="51">
        <v>0</v>
      </c>
      <c r="F309" s="54">
        <f t="shared" si="64"/>
        <v>3</v>
      </c>
      <c r="G309" s="52" t="s">
        <v>50</v>
      </c>
      <c r="H309" s="52"/>
      <c r="I309" s="52"/>
      <c r="J309" s="55"/>
      <c r="K309" s="53">
        <f t="shared" si="65"/>
        <v>0</v>
      </c>
      <c r="L309" s="10"/>
    </row>
    <row r="310" spans="1:12" x14ac:dyDescent="0.35">
      <c r="A310" s="49">
        <f>IF(F310&lt;&gt;"",1+MAX($A$7:A309),"")</f>
        <v>232</v>
      </c>
      <c r="B310" s="6"/>
      <c r="C310" s="68" t="s">
        <v>576</v>
      </c>
      <c r="D310" s="68">
        <v>1</v>
      </c>
      <c r="E310" s="51">
        <v>0</v>
      </c>
      <c r="F310" s="54">
        <f t="shared" si="64"/>
        <v>1</v>
      </c>
      <c r="G310" s="52" t="s">
        <v>50</v>
      </c>
      <c r="H310" s="52"/>
      <c r="I310" s="52"/>
      <c r="J310" s="55"/>
      <c r="K310" s="53">
        <f t="shared" si="65"/>
        <v>0</v>
      </c>
      <c r="L310" s="10"/>
    </row>
    <row r="311" spans="1:12" x14ac:dyDescent="0.35">
      <c r="A311" s="49">
        <f>IF(F311&lt;&gt;"",1+MAX($A$7:A310),"")</f>
        <v>233</v>
      </c>
      <c r="B311" s="6"/>
      <c r="C311" s="68" t="s">
        <v>577</v>
      </c>
      <c r="D311" s="68">
        <v>1</v>
      </c>
      <c r="E311" s="51">
        <v>0</v>
      </c>
      <c r="F311" s="54">
        <f t="shared" si="64"/>
        <v>1</v>
      </c>
      <c r="G311" s="52" t="s">
        <v>50</v>
      </c>
      <c r="H311" s="52"/>
      <c r="I311" s="52"/>
      <c r="J311" s="55"/>
      <c r="K311" s="53">
        <f t="shared" si="65"/>
        <v>0</v>
      </c>
      <c r="L311" s="10"/>
    </row>
    <row r="312" spans="1:12" x14ac:dyDescent="0.35">
      <c r="A312" s="49">
        <f>IF(F312&lt;&gt;"",1+MAX($A$7:A311),"")</f>
        <v>234</v>
      </c>
      <c r="B312" s="6"/>
      <c r="C312" s="68" t="s">
        <v>578</v>
      </c>
      <c r="D312" s="68">
        <v>10</v>
      </c>
      <c r="E312" s="51">
        <v>0</v>
      </c>
      <c r="F312" s="54">
        <f t="shared" si="64"/>
        <v>10</v>
      </c>
      <c r="G312" s="52" t="s">
        <v>50</v>
      </c>
      <c r="H312" s="52"/>
      <c r="I312" s="52"/>
      <c r="J312" s="55"/>
      <c r="K312" s="53">
        <f t="shared" si="65"/>
        <v>0</v>
      </c>
      <c r="L312" s="10"/>
    </row>
    <row r="313" spans="1:12" x14ac:dyDescent="0.35">
      <c r="A313" s="49">
        <f>IF(F313&lt;&gt;"",1+MAX($A$7:A312),"")</f>
        <v>235</v>
      </c>
      <c r="B313" s="6"/>
      <c r="C313" s="68" t="s">
        <v>579</v>
      </c>
      <c r="D313" s="68">
        <v>60</v>
      </c>
      <c r="E313" s="51">
        <v>0</v>
      </c>
      <c r="F313" s="54">
        <f t="shared" si="64"/>
        <v>60</v>
      </c>
      <c r="G313" s="52" t="s">
        <v>50</v>
      </c>
      <c r="H313" s="52"/>
      <c r="I313" s="52"/>
      <c r="J313" s="55"/>
      <c r="K313" s="53">
        <f t="shared" si="65"/>
        <v>0</v>
      </c>
      <c r="L313" s="10"/>
    </row>
    <row r="314" spans="1:12" x14ac:dyDescent="0.35">
      <c r="A314" s="49">
        <f>IF(F314&lt;&gt;"",1+MAX($A$7:A313),"")</f>
        <v>236</v>
      </c>
      <c r="B314" s="6"/>
      <c r="C314" s="68" t="s">
        <v>580</v>
      </c>
      <c r="D314" s="68">
        <v>1</v>
      </c>
      <c r="E314" s="51">
        <v>0</v>
      </c>
      <c r="F314" s="54">
        <f t="shared" si="64"/>
        <v>1</v>
      </c>
      <c r="G314" s="52" t="s">
        <v>50</v>
      </c>
      <c r="H314" s="52"/>
      <c r="I314" s="52"/>
      <c r="J314" s="55"/>
      <c r="K314" s="53">
        <f t="shared" si="65"/>
        <v>0</v>
      </c>
      <c r="L314" s="10"/>
    </row>
    <row r="315" spans="1:12" x14ac:dyDescent="0.35">
      <c r="A315" s="49">
        <f>IF(F315&lt;&gt;"",1+MAX($A$7:A314),"")</f>
        <v>237</v>
      </c>
      <c r="B315" s="6"/>
      <c r="C315" s="68" t="s">
        <v>581</v>
      </c>
      <c r="D315" s="68">
        <v>6</v>
      </c>
      <c r="E315" s="51">
        <v>0</v>
      </c>
      <c r="F315" s="54">
        <f t="shared" si="64"/>
        <v>6</v>
      </c>
      <c r="G315" s="52" t="s">
        <v>50</v>
      </c>
      <c r="H315" s="52"/>
      <c r="I315" s="52"/>
      <c r="J315" s="55"/>
      <c r="K315" s="53">
        <f t="shared" si="65"/>
        <v>0</v>
      </c>
      <c r="L315" s="10"/>
    </row>
    <row r="316" spans="1:12" x14ac:dyDescent="0.35">
      <c r="A316" s="49">
        <f>IF(F316&lt;&gt;"",1+MAX($A$7:A315),"")</f>
        <v>238</v>
      </c>
      <c r="B316" s="6"/>
      <c r="C316" s="68" t="s">
        <v>582</v>
      </c>
      <c r="D316" s="68">
        <v>1</v>
      </c>
      <c r="E316" s="51">
        <v>0</v>
      </c>
      <c r="F316" s="54">
        <f t="shared" si="64"/>
        <v>1</v>
      </c>
      <c r="G316" s="52" t="s">
        <v>50</v>
      </c>
      <c r="H316" s="52"/>
      <c r="I316" s="52"/>
      <c r="J316" s="55"/>
      <c r="K316" s="53">
        <f t="shared" si="65"/>
        <v>0</v>
      </c>
      <c r="L316" s="10"/>
    </row>
    <row r="317" spans="1:12" x14ac:dyDescent="0.35">
      <c r="A317" s="49">
        <f>IF(F317&lt;&gt;"",1+MAX($A$7:A316),"")</f>
        <v>239</v>
      </c>
      <c r="B317" s="6"/>
      <c r="C317" s="68" t="s">
        <v>583</v>
      </c>
      <c r="D317" s="68">
        <v>6</v>
      </c>
      <c r="E317" s="51">
        <v>0</v>
      </c>
      <c r="F317" s="54">
        <f t="shared" si="64"/>
        <v>6</v>
      </c>
      <c r="G317" s="52" t="s">
        <v>50</v>
      </c>
      <c r="H317" s="52"/>
      <c r="I317" s="52"/>
      <c r="J317" s="55"/>
      <c r="K317" s="53">
        <f t="shared" si="65"/>
        <v>0</v>
      </c>
      <c r="L317" s="10"/>
    </row>
    <row r="318" spans="1:12" x14ac:dyDescent="0.35">
      <c r="A318" s="49">
        <f>IF(F318&lt;&gt;"",1+MAX($A$7:A317),"")</f>
        <v>240</v>
      </c>
      <c r="B318" s="6"/>
      <c r="C318" s="68" t="s">
        <v>584</v>
      </c>
      <c r="D318" s="68">
        <v>7</v>
      </c>
      <c r="E318" s="51">
        <v>0</v>
      </c>
      <c r="F318" s="54">
        <f t="shared" si="64"/>
        <v>7</v>
      </c>
      <c r="G318" s="52" t="s">
        <v>50</v>
      </c>
      <c r="H318" s="52"/>
      <c r="I318" s="52"/>
      <c r="J318" s="55"/>
      <c r="K318" s="53">
        <f t="shared" si="65"/>
        <v>0</v>
      </c>
      <c r="L318" s="10"/>
    </row>
    <row r="319" spans="1:12" x14ac:dyDescent="0.35">
      <c r="A319" s="49">
        <f>IF(F319&lt;&gt;"",1+MAX($A$7:A318),"")</f>
        <v>241</v>
      </c>
      <c r="B319" s="6"/>
      <c r="C319" s="68" t="s">
        <v>585</v>
      </c>
      <c r="D319" s="68">
        <v>1</v>
      </c>
      <c r="E319" s="51">
        <v>0</v>
      </c>
      <c r="F319" s="54">
        <f t="shared" si="64"/>
        <v>1</v>
      </c>
      <c r="G319" s="52" t="s">
        <v>50</v>
      </c>
      <c r="H319" s="52"/>
      <c r="I319" s="52"/>
      <c r="J319" s="55"/>
      <c r="K319" s="53">
        <f t="shared" si="65"/>
        <v>0</v>
      </c>
      <c r="L319" s="10"/>
    </row>
    <row r="320" spans="1:12" x14ac:dyDescent="0.35">
      <c r="A320" s="49">
        <f>IF(F320&lt;&gt;"",1+MAX($A$7:A319),"")</f>
        <v>242</v>
      </c>
      <c r="B320" s="6"/>
      <c r="C320" s="68" t="s">
        <v>586</v>
      </c>
      <c r="D320" s="68">
        <v>3</v>
      </c>
      <c r="E320" s="51">
        <v>0</v>
      </c>
      <c r="F320" s="54">
        <f t="shared" si="64"/>
        <v>3</v>
      </c>
      <c r="G320" s="52" t="s">
        <v>50</v>
      </c>
      <c r="H320" s="52"/>
      <c r="I320" s="52"/>
      <c r="J320" s="55"/>
      <c r="K320" s="53">
        <f t="shared" si="65"/>
        <v>0</v>
      </c>
      <c r="L320" s="10"/>
    </row>
    <row r="321" spans="1:12" x14ac:dyDescent="0.35">
      <c r="A321" s="49">
        <f>IF(F321&lt;&gt;"",1+MAX($A$7:A320),"")</f>
        <v>243</v>
      </c>
      <c r="B321" s="6"/>
      <c r="C321" s="68" t="s">
        <v>587</v>
      </c>
      <c r="D321" s="68">
        <v>3</v>
      </c>
      <c r="E321" s="51">
        <v>0</v>
      </c>
      <c r="F321" s="54">
        <f t="shared" si="64"/>
        <v>3</v>
      </c>
      <c r="G321" s="52" t="s">
        <v>50</v>
      </c>
      <c r="H321" s="52"/>
      <c r="I321" s="52"/>
      <c r="J321" s="55"/>
      <c r="K321" s="53">
        <f t="shared" si="65"/>
        <v>0</v>
      </c>
      <c r="L321" s="10"/>
    </row>
    <row r="322" spans="1:12" x14ac:dyDescent="0.35">
      <c r="A322" s="49">
        <f>IF(F322&lt;&gt;"",1+MAX($A$7:A321),"")</f>
        <v>244</v>
      </c>
      <c r="B322" s="6"/>
      <c r="C322" s="68" t="s">
        <v>588</v>
      </c>
      <c r="D322" s="68">
        <v>7</v>
      </c>
      <c r="E322" s="51">
        <v>0</v>
      </c>
      <c r="F322" s="54">
        <f t="shared" si="64"/>
        <v>7</v>
      </c>
      <c r="G322" s="52" t="s">
        <v>50</v>
      </c>
      <c r="H322" s="52"/>
      <c r="I322" s="52"/>
      <c r="J322" s="55"/>
      <c r="K322" s="53">
        <f t="shared" si="65"/>
        <v>0</v>
      </c>
      <c r="L322" s="10"/>
    </row>
    <row r="323" spans="1:12" x14ac:dyDescent="0.35">
      <c r="A323" s="49">
        <f>IF(F323&lt;&gt;"",1+MAX($A$7:A322),"")</f>
        <v>245</v>
      </c>
      <c r="B323" s="6"/>
      <c r="C323" s="68" t="s">
        <v>589</v>
      </c>
      <c r="D323" s="68">
        <v>1</v>
      </c>
      <c r="E323" s="51">
        <v>0</v>
      </c>
      <c r="F323" s="54">
        <f t="shared" si="64"/>
        <v>1</v>
      </c>
      <c r="G323" s="52" t="s">
        <v>50</v>
      </c>
      <c r="H323" s="52"/>
      <c r="I323" s="52"/>
      <c r="J323" s="55"/>
      <c r="K323" s="53">
        <f t="shared" si="65"/>
        <v>0</v>
      </c>
      <c r="L323" s="10"/>
    </row>
    <row r="324" spans="1:12" x14ac:dyDescent="0.35">
      <c r="A324" s="49">
        <f>IF(F324&lt;&gt;"",1+MAX($A$7:A323),"")</f>
        <v>246</v>
      </c>
      <c r="B324" s="6"/>
      <c r="C324" s="68" t="s">
        <v>590</v>
      </c>
      <c r="D324" s="68">
        <v>6</v>
      </c>
      <c r="E324" s="51">
        <v>0</v>
      </c>
      <c r="F324" s="54">
        <f t="shared" si="64"/>
        <v>6</v>
      </c>
      <c r="G324" s="52" t="s">
        <v>50</v>
      </c>
      <c r="H324" s="52"/>
      <c r="I324" s="52"/>
      <c r="J324" s="55"/>
      <c r="K324" s="53">
        <f t="shared" si="65"/>
        <v>0</v>
      </c>
      <c r="L324" s="10"/>
    </row>
    <row r="325" spans="1:12" x14ac:dyDescent="0.35">
      <c r="A325" s="49">
        <f>IF(F325&lt;&gt;"",1+MAX($A$7:A324),"")</f>
        <v>247</v>
      </c>
      <c r="B325" s="6"/>
      <c r="C325" s="68" t="s">
        <v>591</v>
      </c>
      <c r="D325" s="68">
        <v>3</v>
      </c>
      <c r="E325" s="51">
        <v>0</v>
      </c>
      <c r="F325" s="54">
        <f t="shared" si="64"/>
        <v>3</v>
      </c>
      <c r="G325" s="52" t="s">
        <v>50</v>
      </c>
      <c r="H325" s="52"/>
      <c r="I325" s="52"/>
      <c r="J325" s="55"/>
      <c r="K325" s="53">
        <f t="shared" si="65"/>
        <v>0</v>
      </c>
      <c r="L325" s="10"/>
    </row>
    <row r="326" spans="1:12" x14ac:dyDescent="0.35">
      <c r="A326" s="49">
        <f>IF(F326&lt;&gt;"",1+MAX($A$7:A325),"")</f>
        <v>248</v>
      </c>
      <c r="B326" s="6"/>
      <c r="C326" s="68" t="s">
        <v>592</v>
      </c>
      <c r="D326" s="68">
        <v>3</v>
      </c>
      <c r="E326" s="51">
        <v>0</v>
      </c>
      <c r="F326" s="54">
        <f t="shared" si="64"/>
        <v>3</v>
      </c>
      <c r="G326" s="52" t="s">
        <v>50</v>
      </c>
      <c r="H326" s="52"/>
      <c r="I326" s="52"/>
      <c r="J326" s="55"/>
      <c r="K326" s="53">
        <f t="shared" si="65"/>
        <v>0</v>
      </c>
      <c r="L326" s="10"/>
    </row>
    <row r="327" spans="1:12" x14ac:dyDescent="0.35">
      <c r="A327" s="49">
        <f>IF(F327&lt;&gt;"",1+MAX($A$7:A326),"")</f>
        <v>249</v>
      </c>
      <c r="B327" s="6"/>
      <c r="C327" s="68" t="s">
        <v>593</v>
      </c>
      <c r="D327" s="68">
        <v>1</v>
      </c>
      <c r="E327" s="51">
        <v>0</v>
      </c>
      <c r="F327" s="54">
        <f t="shared" si="64"/>
        <v>1</v>
      </c>
      <c r="G327" s="52" t="s">
        <v>50</v>
      </c>
      <c r="H327" s="52"/>
      <c r="I327" s="52"/>
      <c r="J327" s="55"/>
      <c r="K327" s="53">
        <f t="shared" si="65"/>
        <v>0</v>
      </c>
      <c r="L327" s="10"/>
    </row>
    <row r="328" spans="1:12" x14ac:dyDescent="0.35">
      <c r="A328" s="49">
        <f>IF(F328&lt;&gt;"",1+MAX($A$7:A327),"")</f>
        <v>250</v>
      </c>
      <c r="B328" s="6"/>
      <c r="C328" s="68" t="s">
        <v>594</v>
      </c>
      <c r="D328" s="68">
        <v>3</v>
      </c>
      <c r="E328" s="51">
        <v>0</v>
      </c>
      <c r="F328" s="54">
        <f t="shared" si="64"/>
        <v>3</v>
      </c>
      <c r="G328" s="52" t="s">
        <v>50</v>
      </c>
      <c r="H328" s="52"/>
      <c r="I328" s="52"/>
      <c r="J328" s="55"/>
      <c r="K328" s="53">
        <f t="shared" si="65"/>
        <v>0</v>
      </c>
      <c r="L328" s="10"/>
    </row>
    <row r="329" spans="1:12" x14ac:dyDescent="0.35">
      <c r="A329" s="49">
        <f>IF(F329&lt;&gt;"",1+MAX($A$7:A328),"")</f>
        <v>251</v>
      </c>
      <c r="B329" s="6"/>
      <c r="C329" s="68" t="s">
        <v>595</v>
      </c>
      <c r="D329" s="68">
        <v>4</v>
      </c>
      <c r="E329" s="51">
        <v>0</v>
      </c>
      <c r="F329" s="54">
        <f t="shared" si="64"/>
        <v>4</v>
      </c>
      <c r="G329" s="52" t="s">
        <v>50</v>
      </c>
      <c r="H329" s="52"/>
      <c r="I329" s="52"/>
      <c r="J329" s="55"/>
      <c r="K329" s="53">
        <f t="shared" si="65"/>
        <v>0</v>
      </c>
      <c r="L329" s="10"/>
    </row>
    <row r="330" spans="1:12" x14ac:dyDescent="0.35">
      <c r="A330" s="49">
        <f>IF(F330&lt;&gt;"",1+MAX($A$7:A329),"")</f>
        <v>252</v>
      </c>
      <c r="B330" s="6"/>
      <c r="C330" s="68" t="s">
        <v>596</v>
      </c>
      <c r="D330" s="68">
        <v>2</v>
      </c>
      <c r="E330" s="51">
        <v>0</v>
      </c>
      <c r="F330" s="54">
        <f t="shared" si="64"/>
        <v>2</v>
      </c>
      <c r="G330" s="52" t="s">
        <v>50</v>
      </c>
      <c r="H330" s="52"/>
      <c r="I330" s="52"/>
      <c r="J330" s="55"/>
      <c r="K330" s="53">
        <f t="shared" si="65"/>
        <v>0</v>
      </c>
      <c r="L330" s="10"/>
    </row>
    <row r="331" spans="1:12" x14ac:dyDescent="0.35">
      <c r="A331" s="49">
        <f>IF(F331&lt;&gt;"",1+MAX($A$7:A330),"")</f>
        <v>253</v>
      </c>
      <c r="B331" s="6"/>
      <c r="C331" s="68" t="s">
        <v>597</v>
      </c>
      <c r="D331" s="68">
        <v>12</v>
      </c>
      <c r="E331" s="51">
        <v>0</v>
      </c>
      <c r="F331" s="54">
        <f t="shared" si="64"/>
        <v>12</v>
      </c>
      <c r="G331" s="52" t="s">
        <v>50</v>
      </c>
      <c r="H331" s="52"/>
      <c r="I331" s="52"/>
      <c r="J331" s="55"/>
      <c r="K331" s="53">
        <f t="shared" si="65"/>
        <v>0</v>
      </c>
      <c r="L331" s="10"/>
    </row>
    <row r="332" spans="1:12" x14ac:dyDescent="0.35">
      <c r="A332" s="49">
        <f>IF(F332&lt;&gt;"",1+MAX($A$7:A331),"")</f>
        <v>254</v>
      </c>
      <c r="B332" s="6"/>
      <c r="C332" s="68" t="s">
        <v>598</v>
      </c>
      <c r="D332" s="68">
        <v>3</v>
      </c>
      <c r="E332" s="51">
        <v>0</v>
      </c>
      <c r="F332" s="54">
        <f t="shared" si="64"/>
        <v>3</v>
      </c>
      <c r="G332" s="52" t="s">
        <v>50</v>
      </c>
      <c r="H332" s="52"/>
      <c r="I332" s="52"/>
      <c r="J332" s="55"/>
      <c r="K332" s="53">
        <f t="shared" si="65"/>
        <v>0</v>
      </c>
      <c r="L332" s="10"/>
    </row>
    <row r="333" spans="1:12" x14ac:dyDescent="0.35">
      <c r="A333" s="49">
        <f>IF(F333&lt;&gt;"",1+MAX($A$7:A332),"")</f>
        <v>255</v>
      </c>
      <c r="B333" s="6"/>
      <c r="C333" s="68" t="s">
        <v>599</v>
      </c>
      <c r="D333" s="68">
        <v>3</v>
      </c>
      <c r="E333" s="51">
        <v>0</v>
      </c>
      <c r="F333" s="54">
        <f t="shared" si="64"/>
        <v>3</v>
      </c>
      <c r="G333" s="52" t="s">
        <v>50</v>
      </c>
      <c r="H333" s="52"/>
      <c r="I333" s="52"/>
      <c r="J333" s="55"/>
      <c r="K333" s="53">
        <f t="shared" si="65"/>
        <v>0</v>
      </c>
      <c r="L333" s="10"/>
    </row>
    <row r="334" spans="1:12" x14ac:dyDescent="0.35">
      <c r="A334" s="49">
        <f>IF(F334&lt;&gt;"",1+MAX($A$7:A333),"")</f>
        <v>256</v>
      </c>
      <c r="B334" s="6"/>
      <c r="C334" s="68" t="s">
        <v>600</v>
      </c>
      <c r="D334" s="68">
        <v>1</v>
      </c>
      <c r="E334" s="51">
        <v>0</v>
      </c>
      <c r="F334" s="54">
        <f t="shared" si="64"/>
        <v>1</v>
      </c>
      <c r="G334" s="52" t="s">
        <v>50</v>
      </c>
      <c r="H334" s="52"/>
      <c r="I334" s="52"/>
      <c r="J334" s="55"/>
      <c r="K334" s="53">
        <f t="shared" si="65"/>
        <v>0</v>
      </c>
      <c r="L334" s="10"/>
    </row>
    <row r="335" spans="1:12" x14ac:dyDescent="0.35">
      <c r="A335" s="49">
        <f>IF(F335&lt;&gt;"",1+MAX($A$7:A334),"")</f>
        <v>257</v>
      </c>
      <c r="B335" s="6"/>
      <c r="C335" s="68" t="s">
        <v>601</v>
      </c>
      <c r="D335" s="68">
        <v>3</v>
      </c>
      <c r="E335" s="51">
        <v>0</v>
      </c>
      <c r="F335" s="54">
        <f t="shared" si="64"/>
        <v>3</v>
      </c>
      <c r="G335" s="52" t="s">
        <v>50</v>
      </c>
      <c r="H335" s="52"/>
      <c r="I335" s="52"/>
      <c r="J335" s="55"/>
      <c r="K335" s="53">
        <f t="shared" si="65"/>
        <v>0</v>
      </c>
      <c r="L335" s="10"/>
    </row>
    <row r="336" spans="1:12" x14ac:dyDescent="0.35">
      <c r="A336" s="49">
        <f>IF(F336&lt;&gt;"",1+MAX($A$7:A335),"")</f>
        <v>258</v>
      </c>
      <c r="B336" s="6"/>
      <c r="C336" s="68" t="s">
        <v>602</v>
      </c>
      <c r="D336" s="68">
        <v>3</v>
      </c>
      <c r="E336" s="51">
        <v>0</v>
      </c>
      <c r="F336" s="54">
        <f t="shared" si="64"/>
        <v>3</v>
      </c>
      <c r="G336" s="52" t="s">
        <v>50</v>
      </c>
      <c r="H336" s="52"/>
      <c r="I336" s="52"/>
      <c r="J336" s="55"/>
      <c r="K336" s="53">
        <f t="shared" si="65"/>
        <v>0</v>
      </c>
      <c r="L336" s="10"/>
    </row>
    <row r="337" spans="1:185" x14ac:dyDescent="0.35">
      <c r="A337" s="49">
        <f>IF(F337&lt;&gt;"",1+MAX($A$7:A336),"")</f>
        <v>259</v>
      </c>
      <c r="B337" s="6"/>
      <c r="C337" s="68" t="s">
        <v>603</v>
      </c>
      <c r="D337" s="68">
        <v>3</v>
      </c>
      <c r="E337" s="51">
        <v>0</v>
      </c>
      <c r="F337" s="54">
        <f t="shared" si="64"/>
        <v>3</v>
      </c>
      <c r="G337" s="52" t="s">
        <v>50</v>
      </c>
      <c r="H337" s="52"/>
      <c r="I337" s="52"/>
      <c r="J337" s="55"/>
      <c r="K337" s="53">
        <f t="shared" si="65"/>
        <v>0</v>
      </c>
      <c r="L337" s="10"/>
    </row>
    <row r="338" spans="1:185" x14ac:dyDescent="0.35">
      <c r="A338" s="49">
        <f>IF(F338&lt;&gt;"",1+MAX($A$7:A337),"")</f>
        <v>260</v>
      </c>
      <c r="B338" s="6"/>
      <c r="C338" s="68" t="s">
        <v>604</v>
      </c>
      <c r="D338" s="68">
        <v>25</v>
      </c>
      <c r="E338" s="51">
        <v>0</v>
      </c>
      <c r="F338" s="54">
        <f t="shared" si="64"/>
        <v>25</v>
      </c>
      <c r="G338" s="52" t="s">
        <v>50</v>
      </c>
      <c r="H338" s="52"/>
      <c r="I338" s="52"/>
      <c r="J338" s="55"/>
      <c r="K338" s="53">
        <f t="shared" si="65"/>
        <v>0</v>
      </c>
      <c r="L338" s="10"/>
    </row>
    <row r="339" spans="1:185" x14ac:dyDescent="0.35">
      <c r="A339" s="49">
        <f>IF(F339&lt;&gt;"",1+MAX($A$7:A338),"")</f>
        <v>261</v>
      </c>
      <c r="B339" s="6"/>
      <c r="C339" s="68" t="s">
        <v>605</v>
      </c>
      <c r="D339" s="68">
        <v>2</v>
      </c>
      <c r="E339" s="51">
        <v>0</v>
      </c>
      <c r="F339" s="54">
        <f t="shared" si="64"/>
        <v>2</v>
      </c>
      <c r="G339" s="52" t="s">
        <v>50</v>
      </c>
      <c r="H339" s="52"/>
      <c r="I339" s="52"/>
      <c r="J339" s="55"/>
      <c r="K339" s="53">
        <f t="shared" si="65"/>
        <v>0</v>
      </c>
      <c r="L339" s="10"/>
    </row>
    <row r="340" spans="1:185" x14ac:dyDescent="0.35">
      <c r="A340" s="49">
        <f>IF(F340&lt;&gt;"",1+MAX($A$7:A339),"")</f>
        <v>262</v>
      </c>
      <c r="B340" s="6"/>
      <c r="C340" s="68" t="s">
        <v>606</v>
      </c>
      <c r="D340" s="68">
        <v>7</v>
      </c>
      <c r="E340" s="51">
        <v>0</v>
      </c>
      <c r="F340" s="54">
        <f t="shared" si="64"/>
        <v>7</v>
      </c>
      <c r="G340" s="52" t="s">
        <v>50</v>
      </c>
      <c r="H340" s="52"/>
      <c r="I340" s="52"/>
      <c r="J340" s="55"/>
      <c r="K340" s="53">
        <f t="shared" si="65"/>
        <v>0</v>
      </c>
      <c r="L340" s="10"/>
    </row>
    <row r="341" spans="1:185" x14ac:dyDescent="0.35">
      <c r="A341" s="49">
        <f>IF(F341&lt;&gt;"",1+MAX($A$7:A340),"")</f>
        <v>263</v>
      </c>
      <c r="B341" s="6"/>
      <c r="C341" s="68" t="s">
        <v>607</v>
      </c>
      <c r="D341" s="68">
        <v>1</v>
      </c>
      <c r="E341" s="51">
        <v>0</v>
      </c>
      <c r="F341" s="54">
        <f t="shared" si="64"/>
        <v>1</v>
      </c>
      <c r="G341" s="52" t="s">
        <v>50</v>
      </c>
      <c r="H341" s="52"/>
      <c r="I341" s="52"/>
      <c r="J341" s="55"/>
      <c r="K341" s="53">
        <f t="shared" si="65"/>
        <v>0</v>
      </c>
      <c r="L341" s="10"/>
    </row>
    <row r="342" spans="1:185" x14ac:dyDescent="0.35">
      <c r="A342" s="49">
        <f>IF(F342&lt;&gt;"",1+MAX($A$7:A341),"")</f>
        <v>264</v>
      </c>
      <c r="B342" s="6"/>
      <c r="C342" s="68" t="s">
        <v>608</v>
      </c>
      <c r="D342" s="68">
        <v>6</v>
      </c>
      <c r="E342" s="51">
        <v>0</v>
      </c>
      <c r="F342" s="54">
        <f t="shared" si="64"/>
        <v>6</v>
      </c>
      <c r="G342" s="52" t="s">
        <v>50</v>
      </c>
      <c r="H342" s="52"/>
      <c r="I342" s="52"/>
      <c r="J342" s="55"/>
      <c r="K342" s="53">
        <f t="shared" si="65"/>
        <v>0</v>
      </c>
      <c r="L342" s="10"/>
    </row>
    <row r="343" spans="1:185" x14ac:dyDescent="0.35">
      <c r="A343" s="49">
        <f>IF(F343&lt;&gt;"",1+MAX($A$7:A342),"")</f>
        <v>265</v>
      </c>
      <c r="B343" s="6"/>
      <c r="C343" s="68" t="s">
        <v>609</v>
      </c>
      <c r="D343" s="68">
        <v>1</v>
      </c>
      <c r="E343" s="51">
        <v>0</v>
      </c>
      <c r="F343" s="54">
        <f t="shared" si="64"/>
        <v>1</v>
      </c>
      <c r="G343" s="52" t="s">
        <v>50</v>
      </c>
      <c r="H343" s="52"/>
      <c r="I343" s="52"/>
      <c r="J343" s="55"/>
      <c r="K343" s="53">
        <f t="shared" si="65"/>
        <v>0</v>
      </c>
      <c r="L343" s="10"/>
    </row>
    <row r="344" spans="1:185" x14ac:dyDescent="0.35">
      <c r="A344" s="49">
        <f>IF(F344&lt;&gt;"",1+MAX($A$7:A343),"")</f>
        <v>266</v>
      </c>
      <c r="B344" s="6"/>
      <c r="C344" s="68" t="s">
        <v>610</v>
      </c>
      <c r="D344" s="68">
        <v>1</v>
      </c>
      <c r="E344" s="51">
        <v>0</v>
      </c>
      <c r="F344" s="54">
        <f t="shared" si="64"/>
        <v>1</v>
      </c>
      <c r="G344" s="52" t="s">
        <v>50</v>
      </c>
      <c r="H344" s="52"/>
      <c r="I344" s="52"/>
      <c r="J344" s="55"/>
      <c r="K344" s="53">
        <f t="shared" si="65"/>
        <v>0</v>
      </c>
      <c r="L344" s="10"/>
    </row>
    <row r="345" spans="1:185" ht="16" thickBot="1" x14ac:dyDescent="0.4">
      <c r="A345" s="49"/>
      <c r="B345" s="6"/>
      <c r="C345" s="50"/>
      <c r="D345" s="61"/>
      <c r="E345" s="51"/>
      <c r="F345" s="54"/>
      <c r="G345" s="52"/>
      <c r="H345" s="52"/>
      <c r="I345" s="52"/>
      <c r="J345" s="55"/>
      <c r="K345" s="53"/>
      <c r="L345" s="10"/>
    </row>
    <row r="346" spans="1:185" ht="16" thickBot="1" x14ac:dyDescent="0.4">
      <c r="A346" s="41" t="str">
        <f>IF(F346&lt;&gt;"",1+MAX($A$7:A318),"")</f>
        <v/>
      </c>
      <c r="B346" s="42"/>
      <c r="C346" s="47" t="s">
        <v>611</v>
      </c>
      <c r="D346" s="28"/>
      <c r="E346" s="7"/>
      <c r="F346" s="28"/>
      <c r="G346" s="15"/>
      <c r="H346" s="15"/>
      <c r="I346" s="15"/>
      <c r="J346" s="8"/>
      <c r="K346" s="9"/>
      <c r="L346" s="10"/>
    </row>
    <row r="347" spans="1:185" x14ac:dyDescent="0.35">
      <c r="A347" s="49">
        <f>IF(F347&lt;&gt;"",1+MAX($A$7:A346),"")</f>
        <v>267</v>
      </c>
      <c r="B347" s="6"/>
      <c r="C347" s="50" t="s">
        <v>612</v>
      </c>
      <c r="D347" s="61">
        <v>1</v>
      </c>
      <c r="E347" s="51">
        <v>0</v>
      </c>
      <c r="F347" s="54">
        <f t="shared" ref="F347" si="66">D347*(1+E347)</f>
        <v>1</v>
      </c>
      <c r="G347" s="52" t="s">
        <v>16</v>
      </c>
      <c r="H347" s="52"/>
      <c r="I347" s="52"/>
      <c r="J347" s="55"/>
      <c r="K347" s="53">
        <f t="shared" ref="K347" si="67">J347*F347</f>
        <v>0</v>
      </c>
      <c r="L347" s="10"/>
    </row>
    <row r="348" spans="1:185" ht="16" thickBot="1" x14ac:dyDescent="0.4">
      <c r="A348" s="49"/>
      <c r="B348" s="6"/>
      <c r="E348" s="51"/>
      <c r="F348" s="54"/>
      <c r="G348" s="52"/>
      <c r="H348" s="52"/>
      <c r="I348" s="52"/>
      <c r="J348" s="55"/>
      <c r="K348" s="53"/>
      <c r="L348" s="10"/>
    </row>
    <row r="349" spans="1:185" ht="16" thickBot="1" x14ac:dyDescent="0.4">
      <c r="A349" s="41" t="str">
        <f>IF(F349&lt;&gt;"",1+MAX($A$7:A272),"")</f>
        <v/>
      </c>
      <c r="B349" s="42" t="s">
        <v>383</v>
      </c>
      <c r="C349" s="43" t="s">
        <v>384</v>
      </c>
      <c r="D349" s="44"/>
      <c r="E349" s="44"/>
      <c r="F349" s="44"/>
      <c r="G349" s="44"/>
      <c r="H349" s="44"/>
      <c r="I349" s="44"/>
      <c r="J349" s="45"/>
      <c r="K349" s="45"/>
      <c r="L349" s="46">
        <f>SUM(K352:K387)</f>
        <v>0</v>
      </c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  <c r="BJ349" s="38"/>
      <c r="BK349" s="38"/>
      <c r="BL349" s="38"/>
      <c r="BM349" s="38"/>
      <c r="BN349" s="38"/>
      <c r="BO349" s="38"/>
      <c r="BP349" s="38"/>
      <c r="BQ349" s="38"/>
      <c r="BR349" s="38"/>
      <c r="BS349" s="38"/>
      <c r="BT349" s="38"/>
      <c r="BU349" s="38"/>
      <c r="BV349" s="38"/>
      <c r="BW349" s="38"/>
      <c r="BX349" s="38"/>
      <c r="BY349" s="38"/>
      <c r="BZ349" s="38"/>
      <c r="CA349" s="38"/>
      <c r="CB349" s="38"/>
      <c r="CC349" s="38"/>
      <c r="CD349" s="38"/>
      <c r="CE349" s="38"/>
      <c r="CF349" s="38"/>
      <c r="CG349" s="38"/>
      <c r="CH349" s="38"/>
      <c r="CI349" s="38"/>
      <c r="CJ349" s="38"/>
      <c r="CK349" s="38"/>
      <c r="CL349" s="38"/>
      <c r="CM349" s="38"/>
      <c r="CN349" s="38"/>
      <c r="CO349" s="38"/>
      <c r="CP349" s="38"/>
      <c r="CQ349" s="38"/>
      <c r="CR349" s="38"/>
      <c r="CS349" s="38"/>
      <c r="CT349" s="38"/>
      <c r="CU349" s="38"/>
      <c r="CV349" s="38"/>
      <c r="CW349" s="38"/>
      <c r="CX349" s="38"/>
      <c r="CY349" s="38"/>
      <c r="CZ349" s="38"/>
      <c r="DA349" s="38"/>
      <c r="DB349" s="38"/>
      <c r="DC349" s="38"/>
      <c r="DD349" s="38"/>
      <c r="DE349" s="38"/>
      <c r="DF349" s="38"/>
      <c r="DG349" s="38"/>
      <c r="DH349" s="38"/>
      <c r="DI349" s="38"/>
      <c r="DJ349" s="38"/>
      <c r="DK349" s="38"/>
      <c r="DL349" s="38"/>
      <c r="DM349" s="38"/>
      <c r="DN349" s="38"/>
      <c r="DO349" s="38"/>
      <c r="DP349" s="38"/>
      <c r="DQ349" s="38"/>
      <c r="DR349" s="38"/>
      <c r="DS349" s="38"/>
      <c r="DT349" s="38"/>
      <c r="DU349" s="38"/>
      <c r="DV349" s="38"/>
      <c r="DW349" s="38"/>
      <c r="DX349" s="38"/>
      <c r="DY349" s="38"/>
      <c r="DZ349" s="38"/>
      <c r="EA349" s="38"/>
      <c r="EB349" s="38"/>
      <c r="EC349" s="38"/>
      <c r="ED349" s="38"/>
      <c r="EE349" s="38"/>
      <c r="EF349" s="38"/>
      <c r="EG349" s="38"/>
      <c r="EH349" s="38"/>
      <c r="EI349" s="38"/>
      <c r="EJ349" s="38"/>
      <c r="EK349" s="38"/>
      <c r="EL349" s="38"/>
      <c r="EM349" s="38"/>
      <c r="EN349" s="38"/>
      <c r="EO349" s="38"/>
      <c r="EP349" s="38"/>
      <c r="EQ349" s="38"/>
      <c r="ER349" s="38"/>
      <c r="ES349" s="38"/>
      <c r="ET349" s="38"/>
      <c r="EU349" s="38"/>
      <c r="EV349" s="38"/>
      <c r="EW349" s="38"/>
      <c r="EX349" s="38"/>
      <c r="EY349" s="38"/>
      <c r="EZ349" s="38"/>
      <c r="FA349" s="38"/>
      <c r="FB349" s="38"/>
      <c r="FC349" s="38"/>
      <c r="FD349" s="38"/>
      <c r="FE349" s="38"/>
      <c r="FF349" s="38"/>
      <c r="FG349" s="38"/>
      <c r="FH349" s="38"/>
      <c r="FI349" s="38"/>
      <c r="FJ349" s="38"/>
      <c r="FK349" s="38"/>
      <c r="FL349" s="38"/>
      <c r="FM349" s="38"/>
      <c r="FN349" s="38"/>
      <c r="FO349" s="38"/>
      <c r="FP349" s="38"/>
      <c r="FQ349" s="38"/>
      <c r="FR349" s="38"/>
      <c r="FS349" s="38"/>
      <c r="FT349" s="38"/>
      <c r="FU349" s="38"/>
      <c r="FV349" s="38"/>
      <c r="FW349" s="38"/>
      <c r="FX349" s="38"/>
      <c r="FY349" s="38"/>
      <c r="FZ349" s="38"/>
      <c r="GA349" s="38"/>
      <c r="GB349" s="38"/>
      <c r="GC349" s="38"/>
    </row>
    <row r="350" spans="1:185" ht="16" thickBot="1" x14ac:dyDescent="0.4">
      <c r="A350" s="49"/>
      <c r="B350" s="6"/>
      <c r="E350" s="51"/>
      <c r="F350" s="54"/>
      <c r="G350" s="52"/>
      <c r="H350" s="52"/>
      <c r="I350" s="52"/>
      <c r="J350" s="55"/>
      <c r="K350" s="53"/>
      <c r="L350" s="10"/>
    </row>
    <row r="351" spans="1:185" ht="16" thickBot="1" x14ac:dyDescent="0.4">
      <c r="A351" s="41" t="str">
        <f>IF(F351&lt;&gt;"",1+MAX($A$7:A272),"")</f>
        <v/>
      </c>
      <c r="B351" s="42"/>
      <c r="C351" s="47" t="s">
        <v>410</v>
      </c>
      <c r="D351" s="28"/>
      <c r="E351" s="7"/>
      <c r="F351" s="28"/>
      <c r="G351" s="15"/>
      <c r="H351" s="15"/>
      <c r="I351" s="15"/>
      <c r="J351" s="8"/>
      <c r="K351" s="9"/>
      <c r="L351" s="10"/>
    </row>
    <row r="352" spans="1:185" x14ac:dyDescent="0.35">
      <c r="A352" s="49">
        <f>IF(F352&lt;&gt;"",1+MAX($A$7:A351),"")</f>
        <v>268</v>
      </c>
      <c r="B352" s="6"/>
      <c r="C352" s="50" t="s">
        <v>421</v>
      </c>
      <c r="D352" s="61">
        <v>4267.5600000000004</v>
      </c>
      <c r="E352" s="51">
        <v>0.1</v>
      </c>
      <c r="F352" s="54">
        <f t="shared" ref="F352:F359" si="68">D352*(1+E352)</f>
        <v>4694.3160000000007</v>
      </c>
      <c r="G352" s="52" t="s">
        <v>33</v>
      </c>
      <c r="H352" s="52"/>
      <c r="I352" s="52"/>
      <c r="J352" s="55"/>
      <c r="K352" s="53">
        <f t="shared" ref="K352:K359" si="69">J352*F352</f>
        <v>0</v>
      </c>
      <c r="L352" s="10"/>
    </row>
    <row r="353" spans="1:12" x14ac:dyDescent="0.35">
      <c r="A353" s="49">
        <f>IF(F353&lt;&gt;"",1+MAX($A$7:A352),"")</f>
        <v>269</v>
      </c>
      <c r="B353" s="6"/>
      <c r="C353" s="50" t="s">
        <v>422</v>
      </c>
      <c r="D353" s="61">
        <v>10134.620000000001</v>
      </c>
      <c r="E353" s="51">
        <v>0.1</v>
      </c>
      <c r="F353" s="54">
        <f t="shared" si="68"/>
        <v>11148.082000000002</v>
      </c>
      <c r="G353" s="52" t="s">
        <v>33</v>
      </c>
      <c r="H353" s="52"/>
      <c r="I353" s="52"/>
      <c r="J353" s="55"/>
      <c r="K353" s="53">
        <f t="shared" si="69"/>
        <v>0</v>
      </c>
      <c r="L353" s="10"/>
    </row>
    <row r="354" spans="1:12" x14ac:dyDescent="0.35">
      <c r="A354" s="49">
        <f>IF(F354&lt;&gt;"",1+MAX($A$7:A353),"")</f>
        <v>270</v>
      </c>
      <c r="B354" s="6"/>
      <c r="C354" s="50" t="s">
        <v>423</v>
      </c>
      <c r="D354" s="61">
        <v>1474.81</v>
      </c>
      <c r="E354" s="51">
        <v>0.1</v>
      </c>
      <c r="F354" s="54">
        <f t="shared" si="68"/>
        <v>1622.2910000000002</v>
      </c>
      <c r="G354" s="52" t="s">
        <v>33</v>
      </c>
      <c r="H354" s="52"/>
      <c r="I354" s="52"/>
      <c r="J354" s="55"/>
      <c r="K354" s="53">
        <f t="shared" si="69"/>
        <v>0</v>
      </c>
      <c r="L354" s="10"/>
    </row>
    <row r="355" spans="1:12" x14ac:dyDescent="0.35">
      <c r="A355" s="49">
        <f>IF(F355&lt;&gt;"",1+MAX($A$7:A354),"")</f>
        <v>271</v>
      </c>
      <c r="B355" s="6"/>
      <c r="C355" s="50" t="s">
        <v>424</v>
      </c>
      <c r="D355" s="61">
        <v>6822.97</v>
      </c>
      <c r="E355" s="51">
        <v>0.1</v>
      </c>
      <c r="F355" s="54">
        <f t="shared" si="68"/>
        <v>7505.2670000000007</v>
      </c>
      <c r="G355" s="52" t="s">
        <v>33</v>
      </c>
      <c r="H355" s="52"/>
      <c r="I355" s="52"/>
      <c r="J355" s="55"/>
      <c r="K355" s="53">
        <f t="shared" si="69"/>
        <v>0</v>
      </c>
      <c r="L355" s="10"/>
    </row>
    <row r="356" spans="1:12" x14ac:dyDescent="0.35">
      <c r="A356" s="49">
        <f>IF(F356&lt;&gt;"",1+MAX($A$7:A355),"")</f>
        <v>272</v>
      </c>
      <c r="B356" s="6"/>
      <c r="C356" s="50" t="s">
        <v>425</v>
      </c>
      <c r="D356" s="61">
        <v>5768</v>
      </c>
      <c r="E356" s="51">
        <v>0.1</v>
      </c>
      <c r="F356" s="54">
        <f t="shared" si="68"/>
        <v>6344.8</v>
      </c>
      <c r="G356" s="52" t="s">
        <v>33</v>
      </c>
      <c r="H356" s="52"/>
      <c r="I356" s="52"/>
      <c r="J356" s="55"/>
      <c r="K356" s="53">
        <f t="shared" si="69"/>
        <v>0</v>
      </c>
      <c r="L356" s="10"/>
    </row>
    <row r="357" spans="1:12" x14ac:dyDescent="0.35">
      <c r="A357" s="49">
        <f>IF(F357&lt;&gt;"",1+MAX($A$7:A356),"")</f>
        <v>273</v>
      </c>
      <c r="B357" s="6"/>
      <c r="C357" s="50" t="s">
        <v>426</v>
      </c>
      <c r="D357" s="61">
        <v>724</v>
      </c>
      <c r="E357" s="51">
        <v>0.1</v>
      </c>
      <c r="F357" s="54">
        <f t="shared" si="68"/>
        <v>796.40000000000009</v>
      </c>
      <c r="G357" s="52" t="s">
        <v>33</v>
      </c>
      <c r="H357" s="52"/>
      <c r="I357" s="52"/>
      <c r="J357" s="55"/>
      <c r="K357" s="53">
        <f t="shared" si="69"/>
        <v>0</v>
      </c>
      <c r="L357" s="10"/>
    </row>
    <row r="358" spans="1:12" x14ac:dyDescent="0.35">
      <c r="A358" s="49">
        <f>IF(F358&lt;&gt;"",1+MAX($A$7:A357),"")</f>
        <v>274</v>
      </c>
      <c r="B358" s="6"/>
      <c r="C358" s="50" t="s">
        <v>427</v>
      </c>
      <c r="D358" s="61">
        <v>2531</v>
      </c>
      <c r="E358" s="51">
        <v>0.1</v>
      </c>
      <c r="F358" s="54">
        <f t="shared" si="68"/>
        <v>2784.1000000000004</v>
      </c>
      <c r="G358" s="52" t="s">
        <v>33</v>
      </c>
      <c r="H358" s="52"/>
      <c r="I358" s="52"/>
      <c r="J358" s="55"/>
      <c r="K358" s="53">
        <f t="shared" si="69"/>
        <v>0</v>
      </c>
      <c r="L358" s="10"/>
    </row>
    <row r="359" spans="1:12" x14ac:dyDescent="0.35">
      <c r="A359" s="49">
        <f>IF(F359&lt;&gt;"",1+MAX($A$7:A358),"")</f>
        <v>275</v>
      </c>
      <c r="B359" s="6"/>
      <c r="C359" s="50" t="s">
        <v>428</v>
      </c>
      <c r="D359" s="61">
        <v>269.56</v>
      </c>
      <c r="E359" s="51">
        <v>0.1</v>
      </c>
      <c r="F359" s="54">
        <f t="shared" si="68"/>
        <v>296.51600000000002</v>
      </c>
      <c r="G359" s="52" t="s">
        <v>33</v>
      </c>
      <c r="H359" s="52"/>
      <c r="I359" s="52"/>
      <c r="J359" s="55"/>
      <c r="K359" s="53">
        <f t="shared" si="69"/>
        <v>0</v>
      </c>
      <c r="L359" s="10"/>
    </row>
    <row r="360" spans="1:12" x14ac:dyDescent="0.35">
      <c r="A360" s="49">
        <f>IF(F360&lt;&gt;"",1+MAX($A$7:A359),"")</f>
        <v>276</v>
      </c>
      <c r="B360" s="6"/>
      <c r="C360" s="68" t="s">
        <v>618</v>
      </c>
      <c r="D360" s="68">
        <v>8553</v>
      </c>
      <c r="E360" s="51">
        <v>0.1</v>
      </c>
      <c r="F360" s="54">
        <f t="shared" ref="F360:F362" si="70">D360*(1+E360)</f>
        <v>9408.3000000000011</v>
      </c>
      <c r="G360" s="52" t="s">
        <v>33</v>
      </c>
      <c r="H360" s="52"/>
      <c r="I360" s="52"/>
      <c r="J360" s="55"/>
      <c r="K360" s="53">
        <f t="shared" ref="K360:K362" si="71">J360*F360</f>
        <v>0</v>
      </c>
      <c r="L360" s="10"/>
    </row>
    <row r="361" spans="1:12" x14ac:dyDescent="0.35">
      <c r="A361" s="49">
        <f>IF(F361&lt;&gt;"",1+MAX($A$7:A360),"")</f>
        <v>277</v>
      </c>
      <c r="B361" s="6"/>
      <c r="C361" s="68" t="s">
        <v>619</v>
      </c>
      <c r="D361" s="68">
        <v>5892</v>
      </c>
      <c r="E361" s="51">
        <v>0.1</v>
      </c>
      <c r="F361" s="54">
        <f t="shared" si="70"/>
        <v>6481.2000000000007</v>
      </c>
      <c r="G361" s="52" t="s">
        <v>33</v>
      </c>
      <c r="H361" s="52"/>
      <c r="I361" s="52"/>
      <c r="J361" s="55"/>
      <c r="K361" s="53">
        <f t="shared" si="71"/>
        <v>0</v>
      </c>
      <c r="L361" s="10"/>
    </row>
    <row r="362" spans="1:12" x14ac:dyDescent="0.35">
      <c r="A362" s="49">
        <f>IF(F362&lt;&gt;"",1+MAX($A$7:A361),"")</f>
        <v>278</v>
      </c>
      <c r="B362" s="6"/>
      <c r="C362" s="68" t="s">
        <v>620</v>
      </c>
      <c r="D362" s="68">
        <v>35019</v>
      </c>
      <c r="E362" s="51">
        <v>0.1</v>
      </c>
      <c r="F362" s="54">
        <f t="shared" si="70"/>
        <v>38520.9</v>
      </c>
      <c r="G362" s="52" t="s">
        <v>33</v>
      </c>
      <c r="H362" s="52"/>
      <c r="I362" s="52"/>
      <c r="J362" s="55"/>
      <c r="K362" s="53">
        <f t="shared" si="71"/>
        <v>0</v>
      </c>
      <c r="L362" s="10"/>
    </row>
    <row r="363" spans="1:12" ht="16" thickBot="1" x14ac:dyDescent="0.4">
      <c r="A363" s="49"/>
      <c r="B363" s="6"/>
      <c r="E363" s="51"/>
      <c r="F363" s="54"/>
      <c r="G363" s="52"/>
      <c r="H363" s="52"/>
      <c r="I363" s="52"/>
      <c r="J363" s="55"/>
      <c r="K363" s="53"/>
      <c r="L363" s="10"/>
    </row>
    <row r="364" spans="1:12" ht="16" thickBot="1" x14ac:dyDescent="0.4">
      <c r="A364" s="41" t="str">
        <f>IF(F364&lt;&gt;"",1+MAX($A$7:A274),"")</f>
        <v/>
      </c>
      <c r="B364" s="42"/>
      <c r="C364" s="47" t="s">
        <v>411</v>
      </c>
      <c r="D364" s="28"/>
      <c r="E364" s="7"/>
      <c r="F364" s="28"/>
      <c r="G364" s="15"/>
      <c r="H364" s="15"/>
      <c r="I364" s="15"/>
      <c r="J364" s="8"/>
      <c r="K364" s="9"/>
      <c r="L364" s="10"/>
    </row>
    <row r="365" spans="1:12" x14ac:dyDescent="0.35">
      <c r="A365" s="49">
        <f>IF(F365&lt;&gt;"",1+MAX($A$7:A364),"")</f>
        <v>279</v>
      </c>
      <c r="B365" s="6"/>
      <c r="C365" s="50" t="s">
        <v>429</v>
      </c>
      <c r="D365" s="61">
        <v>99</v>
      </c>
      <c r="E365" s="51">
        <v>0.1</v>
      </c>
      <c r="F365" s="54">
        <f t="shared" ref="F365" si="72">D365*(1+E365)</f>
        <v>108.9</v>
      </c>
      <c r="G365" s="52" t="s">
        <v>34</v>
      </c>
      <c r="H365" s="52"/>
      <c r="I365" s="52"/>
      <c r="J365" s="55"/>
      <c r="K365" s="53">
        <f t="shared" ref="K365" si="73">J365*F365</f>
        <v>0</v>
      </c>
      <c r="L365" s="10"/>
    </row>
    <row r="366" spans="1:12" x14ac:dyDescent="0.35">
      <c r="A366" s="49">
        <f>IF(F366&lt;&gt;"",1+MAX($A$7:A365),"")</f>
        <v>280</v>
      </c>
      <c r="B366" s="6"/>
      <c r="C366" s="50" t="s">
        <v>430</v>
      </c>
      <c r="D366" s="61">
        <v>1317</v>
      </c>
      <c r="E366" s="51">
        <v>0.1</v>
      </c>
      <c r="F366" s="54">
        <f t="shared" ref="F366:F367" si="74">D366*(1+E366)</f>
        <v>1448.7</v>
      </c>
      <c r="G366" s="52" t="s">
        <v>34</v>
      </c>
      <c r="H366" s="52"/>
      <c r="I366" s="52"/>
      <c r="J366" s="55"/>
      <c r="K366" s="53">
        <f t="shared" ref="K366:K367" si="75">J366*F366</f>
        <v>0</v>
      </c>
      <c r="L366" s="10"/>
    </row>
    <row r="367" spans="1:12" x14ac:dyDescent="0.35">
      <c r="A367" s="49">
        <f>IF(F367&lt;&gt;"",1+MAX($A$7:A366),"")</f>
        <v>281</v>
      </c>
      <c r="B367" s="6"/>
      <c r="C367" s="50" t="s">
        <v>431</v>
      </c>
      <c r="D367" s="61">
        <v>72</v>
      </c>
      <c r="E367" s="51">
        <v>0.1</v>
      </c>
      <c r="F367" s="54">
        <f t="shared" si="74"/>
        <v>79.2</v>
      </c>
      <c r="G367" s="52" t="s">
        <v>34</v>
      </c>
      <c r="H367" s="52"/>
      <c r="I367" s="52"/>
      <c r="J367" s="55"/>
      <c r="K367" s="53">
        <f t="shared" si="75"/>
        <v>0</v>
      </c>
      <c r="L367" s="10"/>
    </row>
    <row r="368" spans="1:12" ht="16" thickBot="1" x14ac:dyDescent="0.4">
      <c r="A368" s="49" t="str">
        <f>IF(F368&lt;&gt;"",1+MAX($A$7:A367),"")</f>
        <v/>
      </c>
      <c r="B368" s="6"/>
      <c r="E368" s="51"/>
      <c r="F368" s="54"/>
      <c r="G368" s="52"/>
      <c r="H368" s="52"/>
      <c r="I368" s="52"/>
      <c r="J368" s="55"/>
      <c r="K368" s="53"/>
      <c r="L368" s="10"/>
    </row>
    <row r="369" spans="1:12" ht="16" thickBot="1" x14ac:dyDescent="0.4">
      <c r="A369" s="41" t="str">
        <f>IF(F369&lt;&gt;"",1+MAX($A$7:A283),"")</f>
        <v/>
      </c>
      <c r="B369" s="42"/>
      <c r="C369" s="47" t="s">
        <v>412</v>
      </c>
      <c r="D369" s="28"/>
      <c r="E369" s="7"/>
      <c r="F369" s="28"/>
      <c r="G369" s="15"/>
      <c r="H369" s="15"/>
      <c r="I369" s="15"/>
      <c r="J369" s="8"/>
      <c r="K369" s="9"/>
      <c r="L369" s="10"/>
    </row>
    <row r="370" spans="1:12" x14ac:dyDescent="0.35">
      <c r="A370" s="49">
        <f>IF(F370&lt;&gt;"",1+MAX($A$7:A369),"")</f>
        <v>282</v>
      </c>
      <c r="B370" s="6"/>
      <c r="C370" s="50" t="s">
        <v>432</v>
      </c>
      <c r="D370" s="61">
        <f>183*6</f>
        <v>1098</v>
      </c>
      <c r="E370" s="51">
        <v>0.1</v>
      </c>
      <c r="F370" s="54">
        <f t="shared" ref="F370" si="76">D370*(1+E370)</f>
        <v>1207.8000000000002</v>
      </c>
      <c r="G370" s="52" t="s">
        <v>33</v>
      </c>
      <c r="H370" s="52"/>
      <c r="I370" s="52"/>
      <c r="J370" s="55"/>
      <c r="K370" s="53">
        <f t="shared" ref="K370" si="77">J370*F370</f>
        <v>0</v>
      </c>
      <c r="L370" s="10"/>
    </row>
    <row r="371" spans="1:12" ht="16" thickBot="1" x14ac:dyDescent="0.4">
      <c r="A371" s="49"/>
      <c r="B371" s="6"/>
      <c r="E371" s="51"/>
      <c r="F371" s="54"/>
      <c r="G371" s="52"/>
      <c r="H371" s="52"/>
      <c r="I371" s="52"/>
      <c r="J371" s="55"/>
      <c r="K371" s="53"/>
      <c r="L371" s="10"/>
    </row>
    <row r="372" spans="1:12" ht="16" thickBot="1" x14ac:dyDescent="0.4">
      <c r="A372" s="41" t="str">
        <f>IF(F372&lt;&gt;"",1+MAX($A$7:A290),"")</f>
        <v/>
      </c>
      <c r="B372" s="42"/>
      <c r="C372" s="47" t="s">
        <v>413</v>
      </c>
      <c r="D372" s="28"/>
      <c r="E372" s="7"/>
      <c r="F372" s="28"/>
      <c r="G372" s="15"/>
      <c r="H372" s="15"/>
      <c r="I372" s="15"/>
      <c r="J372" s="8"/>
      <c r="K372" s="9"/>
      <c r="L372" s="10"/>
    </row>
    <row r="373" spans="1:12" x14ac:dyDescent="0.35">
      <c r="A373" s="49">
        <f>IF(F373&lt;&gt;"",1+MAX($A$7:A372),"")</f>
        <v>283</v>
      </c>
      <c r="B373" s="6"/>
      <c r="C373" s="50" t="s">
        <v>434</v>
      </c>
      <c r="D373" s="61">
        <v>7014</v>
      </c>
      <c r="E373" s="51">
        <v>0.1</v>
      </c>
      <c r="F373" s="54">
        <f t="shared" ref="F373:F374" si="78">D373*(1+E373)</f>
        <v>7715.4000000000005</v>
      </c>
      <c r="G373" s="52" t="s">
        <v>33</v>
      </c>
      <c r="H373" s="52"/>
      <c r="I373" s="52"/>
      <c r="J373" s="55"/>
      <c r="K373" s="53">
        <f t="shared" ref="K373:K374" si="79">J373*F373</f>
        <v>0</v>
      </c>
      <c r="L373" s="10"/>
    </row>
    <row r="374" spans="1:12" x14ac:dyDescent="0.35">
      <c r="A374" s="49">
        <f>IF(F374&lt;&gt;"",1+MAX($A$7:A373),"")</f>
        <v>284</v>
      </c>
      <c r="B374" s="6"/>
      <c r="C374" s="50" t="s">
        <v>435</v>
      </c>
      <c r="D374" s="61">
        <f>D373</f>
        <v>7014</v>
      </c>
      <c r="E374" s="51">
        <v>0.1</v>
      </c>
      <c r="F374" s="54">
        <f t="shared" si="78"/>
        <v>7715.4000000000005</v>
      </c>
      <c r="G374" s="52" t="s">
        <v>33</v>
      </c>
      <c r="H374" s="52"/>
      <c r="I374" s="52"/>
      <c r="J374" s="55"/>
      <c r="K374" s="53">
        <f t="shared" si="79"/>
        <v>0</v>
      </c>
      <c r="L374" s="10"/>
    </row>
    <row r="375" spans="1:12" ht="16" thickBot="1" x14ac:dyDescent="0.4">
      <c r="A375" s="49" t="str">
        <f>IF(F375&lt;&gt;"",1+MAX($A$7:A374),"")</f>
        <v/>
      </c>
      <c r="B375" s="6"/>
      <c r="E375" s="51"/>
      <c r="F375" s="54"/>
      <c r="G375" s="52"/>
      <c r="H375" s="52"/>
      <c r="I375" s="52"/>
      <c r="J375" s="55"/>
      <c r="K375" s="53"/>
      <c r="L375" s="10"/>
    </row>
    <row r="376" spans="1:12" ht="16" thickBot="1" x14ac:dyDescent="0.4">
      <c r="A376" s="41" t="str">
        <f>IF(F376&lt;&gt;"",1+MAX($A$7:A356),"")</f>
        <v/>
      </c>
      <c r="B376" s="42"/>
      <c r="C376" s="47" t="s">
        <v>414</v>
      </c>
      <c r="D376" s="28"/>
      <c r="E376" s="7"/>
      <c r="F376" s="28"/>
      <c r="G376" s="15"/>
      <c r="H376" s="15"/>
      <c r="I376" s="15"/>
      <c r="J376" s="8"/>
      <c r="K376" s="9"/>
      <c r="L376" s="10"/>
    </row>
    <row r="377" spans="1:12" ht="29" x14ac:dyDescent="0.35">
      <c r="A377" s="49">
        <f>IF(F377&lt;&gt;"",1+MAX($A$7:A376),"")</f>
        <v>285</v>
      </c>
      <c r="B377" s="6"/>
      <c r="C377" s="50" t="s">
        <v>415</v>
      </c>
      <c r="D377" s="61">
        <v>3069.33</v>
      </c>
      <c r="E377" s="51">
        <v>0.1</v>
      </c>
      <c r="F377" s="54">
        <f t="shared" ref="F377:F381" si="80">D377*(1+E377)</f>
        <v>3376.2630000000004</v>
      </c>
      <c r="G377" s="52" t="s">
        <v>33</v>
      </c>
      <c r="H377" s="52"/>
      <c r="I377" s="52"/>
      <c r="J377" s="55"/>
      <c r="K377" s="53">
        <f t="shared" ref="K377:K381" si="81">J377*F377</f>
        <v>0</v>
      </c>
      <c r="L377" s="10"/>
    </row>
    <row r="378" spans="1:12" x14ac:dyDescent="0.35">
      <c r="A378" s="49">
        <f>IF(F378&lt;&gt;"",1+MAX($A$7:A377),"")</f>
        <v>286</v>
      </c>
      <c r="B378" s="6"/>
      <c r="C378" s="50" t="s">
        <v>416</v>
      </c>
      <c r="D378" s="61">
        <v>15901.08</v>
      </c>
      <c r="E378" s="51">
        <v>0.1</v>
      </c>
      <c r="F378" s="54">
        <f t="shared" si="80"/>
        <v>17491.188000000002</v>
      </c>
      <c r="G378" s="52" t="s">
        <v>33</v>
      </c>
      <c r="H378" s="52"/>
      <c r="I378" s="52"/>
      <c r="J378" s="55"/>
      <c r="K378" s="53">
        <f t="shared" si="81"/>
        <v>0</v>
      </c>
      <c r="L378" s="10"/>
    </row>
    <row r="379" spans="1:12" x14ac:dyDescent="0.35">
      <c r="A379" s="49">
        <f>IF(F379&lt;&gt;"",1+MAX($A$7:A378),"")</f>
        <v>287</v>
      </c>
      <c r="B379" s="6"/>
      <c r="C379" s="50" t="s">
        <v>417</v>
      </c>
      <c r="D379" s="61">
        <v>47407.45</v>
      </c>
      <c r="E379" s="51">
        <v>0.1</v>
      </c>
      <c r="F379" s="54">
        <f t="shared" si="80"/>
        <v>52148.195</v>
      </c>
      <c r="G379" s="52" t="s">
        <v>33</v>
      </c>
      <c r="H379" s="52"/>
      <c r="I379" s="52"/>
      <c r="J379" s="55"/>
      <c r="K379" s="53">
        <f t="shared" si="81"/>
        <v>0</v>
      </c>
      <c r="L379" s="10"/>
    </row>
    <row r="380" spans="1:12" x14ac:dyDescent="0.35">
      <c r="A380" s="49">
        <f>IF(F380&lt;&gt;"",1+MAX($A$7:A379),"")</f>
        <v>288</v>
      </c>
      <c r="B380" s="6"/>
      <c r="C380" s="50" t="s">
        <v>418</v>
      </c>
      <c r="D380" s="61">
        <v>31672.32</v>
      </c>
      <c r="E380" s="51">
        <v>0.1</v>
      </c>
      <c r="F380" s="54">
        <f t="shared" si="80"/>
        <v>34839.552000000003</v>
      </c>
      <c r="G380" s="52" t="s">
        <v>33</v>
      </c>
      <c r="H380" s="52"/>
      <c r="I380" s="52"/>
      <c r="J380" s="55"/>
      <c r="K380" s="53">
        <f t="shared" si="81"/>
        <v>0</v>
      </c>
      <c r="L380" s="10"/>
    </row>
    <row r="381" spans="1:12" x14ac:dyDescent="0.35">
      <c r="A381" s="49">
        <f>IF(F381&lt;&gt;"",1+MAX($A$7:A380),"")</f>
        <v>289</v>
      </c>
      <c r="B381" s="6"/>
      <c r="C381" s="50" t="s">
        <v>419</v>
      </c>
      <c r="D381" s="61">
        <v>7951</v>
      </c>
      <c r="E381" s="51">
        <v>0.1</v>
      </c>
      <c r="F381" s="54">
        <f t="shared" si="80"/>
        <v>8746.1</v>
      </c>
      <c r="G381" s="52" t="s">
        <v>33</v>
      </c>
      <c r="H381" s="52"/>
      <c r="I381" s="52"/>
      <c r="J381" s="55"/>
      <c r="K381" s="53">
        <f t="shared" si="81"/>
        <v>0</v>
      </c>
      <c r="L381" s="10"/>
    </row>
    <row r="382" spans="1:12" ht="16" thickBot="1" x14ac:dyDescent="0.4">
      <c r="A382" s="49"/>
      <c r="B382" s="6"/>
      <c r="C382" s="50"/>
      <c r="D382" s="61"/>
      <c r="E382" s="51"/>
      <c r="F382" s="54"/>
      <c r="G382" s="52"/>
      <c r="H382" s="52"/>
      <c r="I382" s="52"/>
      <c r="J382" s="55"/>
      <c r="K382" s="53"/>
      <c r="L382" s="10"/>
    </row>
    <row r="383" spans="1:12" ht="16" thickBot="1" x14ac:dyDescent="0.4">
      <c r="A383" s="41" t="str">
        <f>IF(F383&lt;&gt;"",1+MAX($A$7:A366),"")</f>
        <v/>
      </c>
      <c r="B383" s="42"/>
      <c r="C383" s="47" t="s">
        <v>613</v>
      </c>
      <c r="D383" s="28"/>
      <c r="E383" s="7"/>
      <c r="F383" s="28"/>
      <c r="G383" s="15"/>
      <c r="H383" s="15"/>
      <c r="I383" s="15"/>
      <c r="J383" s="8"/>
      <c r="K383" s="9"/>
      <c r="L383" s="10"/>
    </row>
    <row r="384" spans="1:12" x14ac:dyDescent="0.35">
      <c r="A384" s="49">
        <f>IF(F384&lt;&gt;"",1+MAX($A$7:A383),"")</f>
        <v>290</v>
      </c>
      <c r="B384" s="6"/>
      <c r="C384" s="68" t="s">
        <v>614</v>
      </c>
      <c r="D384" s="57">
        <v>7216.19</v>
      </c>
      <c r="E384" s="51">
        <v>0.1</v>
      </c>
      <c r="F384" s="54">
        <f t="shared" ref="F384:F387" si="82">D384*(1+E384)</f>
        <v>7937.8090000000002</v>
      </c>
      <c r="G384" s="52" t="s">
        <v>33</v>
      </c>
      <c r="H384" s="52"/>
      <c r="I384" s="52"/>
      <c r="J384" s="55"/>
      <c r="K384" s="53">
        <f t="shared" ref="K384:K387" si="83">J384*F384</f>
        <v>0</v>
      </c>
      <c r="L384" s="10"/>
    </row>
    <row r="385" spans="1:185" x14ac:dyDescent="0.35">
      <c r="A385" s="49">
        <f>IF(F385&lt;&gt;"",1+MAX($A$7:A384),"")</f>
        <v>291</v>
      </c>
      <c r="B385" s="6"/>
      <c r="C385" s="68" t="s">
        <v>615</v>
      </c>
      <c r="D385" s="57">
        <v>22736.68</v>
      </c>
      <c r="E385" s="51">
        <v>0.1</v>
      </c>
      <c r="F385" s="54">
        <f t="shared" si="82"/>
        <v>25010.348000000002</v>
      </c>
      <c r="G385" s="52" t="s">
        <v>33</v>
      </c>
      <c r="H385" s="52"/>
      <c r="I385" s="52"/>
      <c r="J385" s="55"/>
      <c r="K385" s="53">
        <f t="shared" si="83"/>
        <v>0</v>
      </c>
      <c r="L385" s="10"/>
    </row>
    <row r="386" spans="1:185" x14ac:dyDescent="0.35">
      <c r="A386" s="49">
        <f>IF(F386&lt;&gt;"",1+MAX($A$7:A385),"")</f>
        <v>292</v>
      </c>
      <c r="B386" s="6"/>
      <c r="C386" s="68" t="s">
        <v>616</v>
      </c>
      <c r="D386" s="57">
        <v>1313.29</v>
      </c>
      <c r="E386" s="51">
        <v>0.1</v>
      </c>
      <c r="F386" s="54">
        <f t="shared" si="82"/>
        <v>1444.6190000000001</v>
      </c>
      <c r="G386" s="52" t="s">
        <v>34</v>
      </c>
      <c r="H386" s="52"/>
      <c r="I386" s="52"/>
      <c r="J386" s="55"/>
      <c r="K386" s="53">
        <f t="shared" si="83"/>
        <v>0</v>
      </c>
      <c r="L386" s="10"/>
    </row>
    <row r="387" spans="1:185" x14ac:dyDescent="0.35">
      <c r="A387" s="49">
        <f>IF(F387&lt;&gt;"",1+MAX($A$7:A386),"")</f>
        <v>293</v>
      </c>
      <c r="B387" s="6"/>
      <c r="C387" s="68" t="s">
        <v>617</v>
      </c>
      <c r="D387" s="57">
        <v>1059.72</v>
      </c>
      <c r="E387" s="51">
        <v>0.1</v>
      </c>
      <c r="F387" s="54">
        <f t="shared" si="82"/>
        <v>1165.6920000000002</v>
      </c>
      <c r="G387" s="52" t="s">
        <v>33</v>
      </c>
      <c r="H387" s="52"/>
      <c r="I387" s="52"/>
      <c r="J387" s="55"/>
      <c r="K387" s="53">
        <f t="shared" si="83"/>
        <v>0</v>
      </c>
      <c r="L387" s="10"/>
    </row>
    <row r="388" spans="1:185" ht="16" thickBot="1" x14ac:dyDescent="0.4">
      <c r="A388" s="49" t="str">
        <f>IF(F388&lt;&gt;"",1+MAX($A$7:A381),"")</f>
        <v/>
      </c>
      <c r="B388" s="6"/>
      <c r="E388" s="51"/>
      <c r="F388" s="54"/>
      <c r="G388" s="52"/>
      <c r="H388" s="52"/>
      <c r="I388" s="52"/>
      <c r="J388" s="55"/>
      <c r="K388" s="53"/>
      <c r="L388" s="10"/>
    </row>
    <row r="389" spans="1:185" ht="16" thickBot="1" x14ac:dyDescent="0.4">
      <c r="A389" s="41" t="str">
        <f>IF(F389&lt;&gt;"",1+MAX($A$7:A275),"")</f>
        <v/>
      </c>
      <c r="B389" s="42"/>
      <c r="C389" s="43" t="s">
        <v>436</v>
      </c>
      <c r="D389" s="44"/>
      <c r="E389" s="44"/>
      <c r="F389" s="44"/>
      <c r="G389" s="44"/>
      <c r="H389" s="44"/>
      <c r="I389" s="44"/>
      <c r="J389" s="45"/>
      <c r="K389" s="45"/>
      <c r="L389" s="46">
        <f>SUM(K391:K396)</f>
        <v>0</v>
      </c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  <c r="BC389" s="38"/>
      <c r="BD389" s="38"/>
      <c r="BE389" s="38"/>
      <c r="BF389" s="38"/>
      <c r="BG389" s="38"/>
      <c r="BH389" s="38"/>
      <c r="BI389" s="38"/>
      <c r="BJ389" s="38"/>
      <c r="BK389" s="38"/>
      <c r="BL389" s="38"/>
      <c r="BM389" s="38"/>
      <c r="BN389" s="38"/>
      <c r="BO389" s="38"/>
      <c r="BP389" s="38"/>
      <c r="BQ389" s="38"/>
      <c r="BR389" s="38"/>
      <c r="BS389" s="38"/>
      <c r="BT389" s="38"/>
      <c r="BU389" s="38"/>
      <c r="BV389" s="38"/>
      <c r="BW389" s="38"/>
      <c r="BX389" s="38"/>
      <c r="BY389" s="38"/>
      <c r="BZ389" s="38"/>
      <c r="CA389" s="38"/>
      <c r="CB389" s="38"/>
      <c r="CC389" s="38"/>
      <c r="CD389" s="38"/>
      <c r="CE389" s="38"/>
      <c r="CF389" s="38"/>
      <c r="CG389" s="38"/>
      <c r="CH389" s="38"/>
      <c r="CI389" s="38"/>
      <c r="CJ389" s="38"/>
      <c r="CK389" s="38"/>
      <c r="CL389" s="38"/>
      <c r="CM389" s="38"/>
      <c r="CN389" s="38"/>
      <c r="CO389" s="38"/>
      <c r="CP389" s="38"/>
      <c r="CQ389" s="38"/>
      <c r="CR389" s="38"/>
      <c r="CS389" s="38"/>
      <c r="CT389" s="38"/>
      <c r="CU389" s="38"/>
      <c r="CV389" s="38"/>
      <c r="CW389" s="38"/>
      <c r="CX389" s="38"/>
      <c r="CY389" s="38"/>
      <c r="CZ389" s="38"/>
      <c r="DA389" s="38"/>
      <c r="DB389" s="38"/>
      <c r="DC389" s="38"/>
      <c r="DD389" s="38"/>
      <c r="DE389" s="38"/>
      <c r="DF389" s="38"/>
      <c r="DG389" s="38"/>
      <c r="DH389" s="38"/>
      <c r="DI389" s="38"/>
      <c r="DJ389" s="38"/>
      <c r="DK389" s="38"/>
      <c r="DL389" s="38"/>
      <c r="DM389" s="38"/>
      <c r="DN389" s="38"/>
      <c r="DO389" s="38"/>
      <c r="DP389" s="38"/>
      <c r="DQ389" s="38"/>
      <c r="DR389" s="38"/>
      <c r="DS389" s="38"/>
      <c r="DT389" s="38"/>
      <c r="DU389" s="38"/>
      <c r="DV389" s="38"/>
      <c r="DW389" s="38"/>
      <c r="DX389" s="38"/>
      <c r="DY389" s="38"/>
      <c r="DZ389" s="38"/>
      <c r="EA389" s="38"/>
      <c r="EB389" s="38"/>
      <c r="EC389" s="38"/>
      <c r="ED389" s="38"/>
      <c r="EE389" s="38"/>
      <c r="EF389" s="38"/>
      <c r="EG389" s="38"/>
      <c r="EH389" s="38"/>
      <c r="EI389" s="38"/>
      <c r="EJ389" s="38"/>
      <c r="EK389" s="38"/>
      <c r="EL389" s="38"/>
      <c r="EM389" s="38"/>
      <c r="EN389" s="38"/>
      <c r="EO389" s="38"/>
      <c r="EP389" s="38"/>
      <c r="EQ389" s="38"/>
      <c r="ER389" s="38"/>
      <c r="ES389" s="38"/>
      <c r="ET389" s="38"/>
      <c r="EU389" s="38"/>
      <c r="EV389" s="38"/>
      <c r="EW389" s="38"/>
      <c r="EX389" s="38"/>
      <c r="EY389" s="38"/>
      <c r="EZ389" s="38"/>
      <c r="FA389" s="38"/>
      <c r="FB389" s="38"/>
      <c r="FC389" s="38"/>
      <c r="FD389" s="38"/>
      <c r="FE389" s="38"/>
      <c r="FF389" s="38"/>
      <c r="FG389" s="38"/>
      <c r="FH389" s="38"/>
      <c r="FI389" s="38"/>
      <c r="FJ389" s="38"/>
      <c r="FK389" s="38"/>
      <c r="FL389" s="38"/>
      <c r="FM389" s="38"/>
      <c r="FN389" s="38"/>
      <c r="FO389" s="38"/>
      <c r="FP389" s="38"/>
      <c r="FQ389" s="38"/>
      <c r="FR389" s="38"/>
      <c r="FS389" s="38"/>
      <c r="FT389" s="38"/>
      <c r="FU389" s="38"/>
      <c r="FV389" s="38"/>
      <c r="FW389" s="38"/>
      <c r="FX389" s="38"/>
      <c r="FY389" s="38"/>
      <c r="FZ389" s="38"/>
      <c r="GA389" s="38"/>
      <c r="GB389" s="38"/>
      <c r="GC389" s="38"/>
    </row>
    <row r="390" spans="1:185" x14ac:dyDescent="0.35">
      <c r="A390" s="49"/>
      <c r="B390" s="6"/>
      <c r="E390" s="51"/>
      <c r="F390" s="54"/>
      <c r="G390" s="52"/>
      <c r="H390" s="52"/>
      <c r="I390" s="52"/>
      <c r="J390" s="55"/>
      <c r="K390" s="53"/>
      <c r="L390" s="10"/>
    </row>
    <row r="391" spans="1:185" ht="29" x14ac:dyDescent="0.35">
      <c r="A391" s="49">
        <f>IF(F391&lt;&gt;"",1+MAX($A$7:A390),"")</f>
        <v>294</v>
      </c>
      <c r="B391" s="6"/>
      <c r="C391" s="50" t="s">
        <v>437</v>
      </c>
      <c r="D391" s="61">
        <v>168</v>
      </c>
      <c r="E391" s="51">
        <v>0</v>
      </c>
      <c r="F391" s="54">
        <f t="shared" ref="F391:F393" si="84">D391*(1+E391)</f>
        <v>168</v>
      </c>
      <c r="G391" s="52" t="s">
        <v>442</v>
      </c>
      <c r="H391" s="52"/>
      <c r="I391" s="52"/>
      <c r="J391" s="55"/>
      <c r="K391" s="53">
        <f t="shared" ref="K391:K395" si="85">J391*F391</f>
        <v>0</v>
      </c>
      <c r="L391" s="10"/>
    </row>
    <row r="392" spans="1:185" ht="29" x14ac:dyDescent="0.35">
      <c r="A392" s="49">
        <f>IF(F392&lt;&gt;"",1+MAX($A$7:A391),"")</f>
        <v>295</v>
      </c>
      <c r="B392" s="6"/>
      <c r="C392" s="50" t="s">
        <v>438</v>
      </c>
      <c r="D392" s="61">
        <v>184</v>
      </c>
      <c r="E392" s="51">
        <v>0</v>
      </c>
      <c r="F392" s="54">
        <f t="shared" si="84"/>
        <v>184</v>
      </c>
      <c r="G392" s="52" t="s">
        <v>442</v>
      </c>
      <c r="H392" s="52"/>
      <c r="I392" s="52"/>
      <c r="J392" s="55"/>
      <c r="K392" s="53">
        <f t="shared" si="85"/>
        <v>0</v>
      </c>
      <c r="L392" s="10"/>
    </row>
    <row r="393" spans="1:185" x14ac:dyDescent="0.35">
      <c r="A393" s="49">
        <f>IF(F393&lt;&gt;"",1+MAX($A$7:A392),"")</f>
        <v>296</v>
      </c>
      <c r="B393" s="6"/>
      <c r="C393" s="50" t="s">
        <v>439</v>
      </c>
      <c r="D393" s="61">
        <v>32</v>
      </c>
      <c r="E393" s="51">
        <v>0</v>
      </c>
      <c r="F393" s="54">
        <f t="shared" si="84"/>
        <v>32</v>
      </c>
      <c r="G393" s="52" t="s">
        <v>442</v>
      </c>
      <c r="H393" s="52"/>
      <c r="I393" s="52"/>
      <c r="J393" s="55"/>
      <c r="K393" s="53">
        <f t="shared" si="85"/>
        <v>0</v>
      </c>
      <c r="L393" s="10"/>
    </row>
    <row r="394" spans="1:185" x14ac:dyDescent="0.35">
      <c r="A394" s="49">
        <f>IF(F394&lt;&gt;"",1+MAX($A$7:A393),"")</f>
        <v>297</v>
      </c>
      <c r="B394" s="6"/>
      <c r="C394" s="50" t="s">
        <v>440</v>
      </c>
      <c r="D394" s="61">
        <v>500.84</v>
      </c>
      <c r="E394" s="51">
        <v>0.1</v>
      </c>
      <c r="F394" s="54">
        <f t="shared" ref="F394:F395" si="86">D394*(1+E394)</f>
        <v>550.92399999999998</v>
      </c>
      <c r="G394" s="52" t="s">
        <v>34</v>
      </c>
      <c r="H394" s="52"/>
      <c r="I394" s="52"/>
      <c r="J394" s="55"/>
      <c r="K394" s="53">
        <f t="shared" si="85"/>
        <v>0</v>
      </c>
      <c r="L394" s="10"/>
    </row>
    <row r="395" spans="1:185" x14ac:dyDescent="0.35">
      <c r="A395" s="49">
        <f>IF(F395&lt;&gt;"",1+MAX($A$7:A394),"")</f>
        <v>298</v>
      </c>
      <c r="B395" s="6"/>
      <c r="C395" s="50" t="s">
        <v>441</v>
      </c>
      <c r="D395" s="61">
        <v>118.8</v>
      </c>
      <c r="E395" s="51">
        <v>0.1</v>
      </c>
      <c r="F395" s="54">
        <f t="shared" si="86"/>
        <v>130.68</v>
      </c>
      <c r="G395" s="52" t="s">
        <v>34</v>
      </c>
      <c r="H395" s="52"/>
      <c r="I395" s="52"/>
      <c r="J395" s="55"/>
      <c r="K395" s="53">
        <f t="shared" si="85"/>
        <v>0</v>
      </c>
      <c r="L395" s="10"/>
    </row>
    <row r="396" spans="1:185" ht="16" thickBot="1" x14ac:dyDescent="0.4">
      <c r="A396" s="49"/>
      <c r="B396" s="6"/>
      <c r="C396" s="50"/>
      <c r="D396" s="61"/>
      <c r="E396" s="51"/>
      <c r="F396" s="54"/>
      <c r="G396" s="52"/>
      <c r="H396" s="52"/>
      <c r="I396" s="52"/>
      <c r="J396" s="55"/>
      <c r="K396" s="53"/>
      <c r="L396" s="10"/>
    </row>
    <row r="397" spans="1:185" ht="16" thickBot="1" x14ac:dyDescent="0.4">
      <c r="A397" s="41" t="str">
        <f>IF(F397&lt;&gt;"",1+MAX($A$7:A288),"")</f>
        <v/>
      </c>
      <c r="B397" s="42" t="s">
        <v>385</v>
      </c>
      <c r="C397" s="43" t="s">
        <v>386</v>
      </c>
      <c r="D397" s="44"/>
      <c r="E397" s="44"/>
      <c r="F397" s="44"/>
      <c r="G397" s="44"/>
      <c r="H397" s="44"/>
      <c r="I397" s="44"/>
      <c r="J397" s="45"/>
      <c r="K397" s="45"/>
      <c r="L397" s="46">
        <f>SUM(K398:K412)</f>
        <v>0</v>
      </c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  <c r="BE397" s="38"/>
      <c r="BF397" s="38"/>
      <c r="BG397" s="38"/>
      <c r="BH397" s="38"/>
      <c r="BI397" s="38"/>
      <c r="BJ397" s="38"/>
      <c r="BK397" s="38"/>
      <c r="BL397" s="38"/>
      <c r="BM397" s="38"/>
      <c r="BN397" s="38"/>
      <c r="BO397" s="38"/>
      <c r="BP397" s="38"/>
      <c r="BQ397" s="38"/>
      <c r="BR397" s="38"/>
      <c r="BS397" s="38"/>
      <c r="BT397" s="38"/>
      <c r="BU397" s="38"/>
      <c r="BV397" s="38"/>
      <c r="BW397" s="38"/>
      <c r="BX397" s="38"/>
      <c r="BY397" s="38"/>
      <c r="BZ397" s="38"/>
      <c r="CA397" s="38"/>
      <c r="CB397" s="38"/>
      <c r="CC397" s="38"/>
      <c r="CD397" s="38"/>
      <c r="CE397" s="38"/>
      <c r="CF397" s="38"/>
      <c r="CG397" s="38"/>
      <c r="CH397" s="38"/>
      <c r="CI397" s="38"/>
      <c r="CJ397" s="38"/>
      <c r="CK397" s="38"/>
      <c r="CL397" s="38"/>
      <c r="CM397" s="38"/>
      <c r="CN397" s="38"/>
      <c r="CO397" s="38"/>
      <c r="CP397" s="38"/>
      <c r="CQ397" s="38"/>
      <c r="CR397" s="38"/>
      <c r="CS397" s="38"/>
      <c r="CT397" s="38"/>
      <c r="CU397" s="38"/>
      <c r="CV397" s="38"/>
      <c r="CW397" s="38"/>
      <c r="CX397" s="38"/>
      <c r="CY397" s="38"/>
      <c r="CZ397" s="38"/>
      <c r="DA397" s="38"/>
      <c r="DB397" s="38"/>
      <c r="DC397" s="38"/>
      <c r="DD397" s="38"/>
      <c r="DE397" s="38"/>
      <c r="DF397" s="38"/>
      <c r="DG397" s="38"/>
      <c r="DH397" s="38"/>
      <c r="DI397" s="38"/>
      <c r="DJ397" s="38"/>
      <c r="DK397" s="38"/>
      <c r="DL397" s="38"/>
      <c r="DM397" s="38"/>
      <c r="DN397" s="38"/>
      <c r="DO397" s="38"/>
      <c r="DP397" s="38"/>
      <c r="DQ397" s="38"/>
      <c r="DR397" s="38"/>
      <c r="DS397" s="38"/>
      <c r="DT397" s="38"/>
      <c r="DU397" s="38"/>
      <c r="DV397" s="38"/>
      <c r="DW397" s="38"/>
      <c r="DX397" s="38"/>
      <c r="DY397" s="38"/>
      <c r="DZ397" s="38"/>
      <c r="EA397" s="38"/>
      <c r="EB397" s="38"/>
      <c r="EC397" s="38"/>
      <c r="ED397" s="38"/>
      <c r="EE397" s="38"/>
      <c r="EF397" s="38"/>
      <c r="EG397" s="38"/>
      <c r="EH397" s="38"/>
      <c r="EI397" s="38"/>
      <c r="EJ397" s="38"/>
      <c r="EK397" s="38"/>
      <c r="EL397" s="38"/>
      <c r="EM397" s="38"/>
      <c r="EN397" s="38"/>
      <c r="EO397" s="38"/>
      <c r="EP397" s="38"/>
      <c r="EQ397" s="38"/>
      <c r="ER397" s="38"/>
      <c r="ES397" s="38"/>
      <c r="ET397" s="38"/>
      <c r="EU397" s="38"/>
      <c r="EV397" s="38"/>
      <c r="EW397" s="38"/>
      <c r="EX397" s="38"/>
      <c r="EY397" s="38"/>
      <c r="EZ397" s="38"/>
      <c r="FA397" s="38"/>
      <c r="FB397" s="38"/>
      <c r="FC397" s="38"/>
      <c r="FD397" s="38"/>
      <c r="FE397" s="38"/>
      <c r="FF397" s="38"/>
      <c r="FG397" s="38"/>
      <c r="FH397" s="38"/>
      <c r="FI397" s="38"/>
      <c r="FJ397" s="38"/>
      <c r="FK397" s="38"/>
      <c r="FL397" s="38"/>
      <c r="FM397" s="38"/>
      <c r="FN397" s="38"/>
      <c r="FO397" s="38"/>
      <c r="FP397" s="38"/>
      <c r="FQ397" s="38"/>
      <c r="FR397" s="38"/>
      <c r="FS397" s="38"/>
      <c r="FT397" s="38"/>
      <c r="FU397" s="38"/>
      <c r="FV397" s="38"/>
      <c r="FW397" s="38"/>
      <c r="FX397" s="38"/>
      <c r="FY397" s="38"/>
      <c r="FZ397" s="38"/>
      <c r="GA397" s="38"/>
      <c r="GB397" s="38"/>
      <c r="GC397" s="38"/>
    </row>
    <row r="398" spans="1:185" x14ac:dyDescent="0.35">
      <c r="A398" s="49"/>
      <c r="B398" s="6"/>
      <c r="E398" s="51"/>
      <c r="F398" s="54"/>
      <c r="G398" s="52"/>
      <c r="H398" s="52"/>
      <c r="I398" s="52"/>
      <c r="J398" s="55"/>
      <c r="K398" s="53"/>
      <c r="L398" s="10"/>
    </row>
    <row r="399" spans="1:185" x14ac:dyDescent="0.35">
      <c r="A399" s="49">
        <f>IF(F399&lt;&gt;"",1+MAX($A$7:A398),"")</f>
        <v>299</v>
      </c>
      <c r="B399" s="6"/>
      <c r="C399" s="50" t="s">
        <v>400</v>
      </c>
      <c r="D399" s="61">
        <v>63</v>
      </c>
      <c r="E399" s="51">
        <v>0</v>
      </c>
      <c r="F399" s="54">
        <f t="shared" ref="F399:F401" si="87">D399*(1+E399)</f>
        <v>63</v>
      </c>
      <c r="G399" s="52" t="s">
        <v>50</v>
      </c>
      <c r="H399" s="52"/>
      <c r="I399" s="52"/>
      <c r="J399" s="55"/>
      <c r="K399" s="53">
        <f t="shared" ref="K399:K408" si="88">J399*F399</f>
        <v>0</v>
      </c>
      <c r="L399" s="10"/>
    </row>
    <row r="400" spans="1:185" x14ac:dyDescent="0.35">
      <c r="A400" s="49">
        <f>IF(F400&lt;&gt;"",1+MAX($A$7:A399),"")</f>
        <v>300</v>
      </c>
      <c r="B400" s="6"/>
      <c r="C400" s="50" t="s">
        <v>401</v>
      </c>
      <c r="D400" s="61">
        <f>14*25.94</f>
        <v>363.16</v>
      </c>
      <c r="E400" s="51">
        <v>0.1</v>
      </c>
      <c r="F400" s="54">
        <f t="shared" si="87"/>
        <v>399.47600000000006</v>
      </c>
      <c r="G400" s="52" t="s">
        <v>33</v>
      </c>
      <c r="H400" s="52"/>
      <c r="I400" s="52"/>
      <c r="J400" s="55"/>
      <c r="K400" s="53">
        <f t="shared" si="88"/>
        <v>0</v>
      </c>
      <c r="L400" s="10"/>
    </row>
    <row r="401" spans="1:185" x14ac:dyDescent="0.35">
      <c r="A401" s="49">
        <f>IF(F401&lt;&gt;"",1+MAX($A$7:A400),"")</f>
        <v>301</v>
      </c>
      <c r="B401" s="6"/>
      <c r="C401" s="50" t="s">
        <v>402</v>
      </c>
      <c r="D401" s="61">
        <v>39.6</v>
      </c>
      <c r="E401" s="51">
        <v>0.1</v>
      </c>
      <c r="F401" s="54">
        <f t="shared" si="87"/>
        <v>43.56</v>
      </c>
      <c r="G401" s="52" t="s">
        <v>34</v>
      </c>
      <c r="H401" s="52"/>
      <c r="I401" s="52"/>
      <c r="J401" s="55"/>
      <c r="K401" s="53">
        <f t="shared" si="88"/>
        <v>0</v>
      </c>
      <c r="L401" s="10"/>
    </row>
    <row r="402" spans="1:185" x14ac:dyDescent="0.35">
      <c r="A402" s="49">
        <f>IF(F402&lt;&gt;"",1+MAX($A$7:A401),"")</f>
        <v>302</v>
      </c>
      <c r="B402" s="6"/>
      <c r="C402" s="50" t="s">
        <v>403</v>
      </c>
      <c r="D402" s="61">
        <v>1</v>
      </c>
      <c r="E402" s="51">
        <v>0</v>
      </c>
      <c r="F402" s="54">
        <f t="shared" ref="F402:F408" si="89">D402*(1+E402)</f>
        <v>1</v>
      </c>
      <c r="G402" s="52" t="s">
        <v>16</v>
      </c>
      <c r="H402" s="52"/>
      <c r="I402" s="52"/>
      <c r="J402" s="55"/>
      <c r="K402" s="53">
        <f t="shared" si="88"/>
        <v>0</v>
      </c>
      <c r="L402" s="10"/>
    </row>
    <row r="403" spans="1:185" x14ac:dyDescent="0.35">
      <c r="A403" s="49">
        <f>IF(F403&lt;&gt;"",1+MAX($A$7:A402),"")</f>
        <v>303</v>
      </c>
      <c r="B403" s="6"/>
      <c r="C403" s="50" t="s">
        <v>404</v>
      </c>
      <c r="D403" s="61">
        <v>8</v>
      </c>
      <c r="E403" s="51">
        <v>0</v>
      </c>
      <c r="F403" s="54">
        <f t="shared" si="89"/>
        <v>8</v>
      </c>
      <c r="G403" s="52" t="s">
        <v>50</v>
      </c>
      <c r="H403" s="52"/>
      <c r="I403" s="52"/>
      <c r="J403" s="55"/>
      <c r="K403" s="53">
        <f t="shared" si="88"/>
        <v>0</v>
      </c>
      <c r="L403" s="10"/>
    </row>
    <row r="404" spans="1:185" x14ac:dyDescent="0.35">
      <c r="A404" s="49">
        <f>IF(F404&lt;&gt;"",1+MAX($A$7:A403),"")</f>
        <v>304</v>
      </c>
      <c r="B404" s="6"/>
      <c r="C404" s="50" t="s">
        <v>405</v>
      </c>
      <c r="D404" s="61">
        <v>8</v>
      </c>
      <c r="E404" s="51">
        <v>0</v>
      </c>
      <c r="F404" s="54">
        <f t="shared" si="89"/>
        <v>8</v>
      </c>
      <c r="G404" s="52" t="s">
        <v>50</v>
      </c>
      <c r="H404" s="52"/>
      <c r="I404" s="52"/>
      <c r="J404" s="55"/>
      <c r="K404" s="53">
        <f t="shared" si="88"/>
        <v>0</v>
      </c>
      <c r="L404" s="10"/>
    </row>
    <row r="405" spans="1:185" x14ac:dyDescent="0.35">
      <c r="A405" s="49">
        <f>IF(F405&lt;&gt;"",1+MAX($A$7:A404),"")</f>
        <v>305</v>
      </c>
      <c r="B405" s="6"/>
      <c r="C405" s="50" t="s">
        <v>406</v>
      </c>
      <c r="D405" s="61">
        <v>8</v>
      </c>
      <c r="E405" s="51">
        <v>0</v>
      </c>
      <c r="F405" s="54">
        <f t="shared" si="89"/>
        <v>8</v>
      </c>
      <c r="G405" s="52" t="s">
        <v>50</v>
      </c>
      <c r="H405" s="52"/>
      <c r="I405" s="52"/>
      <c r="J405" s="55"/>
      <c r="K405" s="53">
        <f t="shared" si="88"/>
        <v>0</v>
      </c>
      <c r="L405" s="10"/>
    </row>
    <row r="406" spans="1:185" x14ac:dyDescent="0.35">
      <c r="A406" s="49">
        <f>IF(F406&lt;&gt;"",1+MAX($A$7:A405),"")</f>
        <v>306</v>
      </c>
      <c r="B406" s="6"/>
      <c r="C406" s="50" t="s">
        <v>407</v>
      </c>
      <c r="D406" s="61">
        <v>8</v>
      </c>
      <c r="E406" s="51">
        <v>0</v>
      </c>
      <c r="F406" s="54">
        <f t="shared" si="89"/>
        <v>8</v>
      </c>
      <c r="G406" s="52" t="s">
        <v>50</v>
      </c>
      <c r="H406" s="52"/>
      <c r="I406" s="52"/>
      <c r="J406" s="55"/>
      <c r="K406" s="53">
        <f t="shared" si="88"/>
        <v>0</v>
      </c>
      <c r="L406" s="10"/>
    </row>
    <row r="407" spans="1:185" x14ac:dyDescent="0.35">
      <c r="A407" s="49">
        <f>IF(F407&lt;&gt;"",1+MAX($A$7:A406),"")</f>
        <v>307</v>
      </c>
      <c r="B407" s="6"/>
      <c r="C407" s="50" t="s">
        <v>408</v>
      </c>
      <c r="D407" s="61">
        <v>8</v>
      </c>
      <c r="E407" s="51">
        <v>0</v>
      </c>
      <c r="F407" s="54">
        <f t="shared" si="89"/>
        <v>8</v>
      </c>
      <c r="G407" s="52" t="s">
        <v>50</v>
      </c>
      <c r="H407" s="52"/>
      <c r="I407" s="52"/>
      <c r="J407" s="55"/>
      <c r="K407" s="53">
        <f t="shared" si="88"/>
        <v>0</v>
      </c>
      <c r="L407" s="10"/>
    </row>
    <row r="408" spans="1:185" x14ac:dyDescent="0.35">
      <c r="A408" s="49">
        <f>IF(F408&lt;&gt;"",1+MAX($A$7:A407),"")</f>
        <v>308</v>
      </c>
      <c r="B408" s="6"/>
      <c r="C408" s="50" t="s">
        <v>409</v>
      </c>
      <c r="D408" s="61">
        <v>8</v>
      </c>
      <c r="E408" s="51">
        <v>0</v>
      </c>
      <c r="F408" s="54">
        <f t="shared" si="89"/>
        <v>8</v>
      </c>
      <c r="G408" s="52" t="s">
        <v>50</v>
      </c>
      <c r="H408" s="52"/>
      <c r="I408" s="52"/>
      <c r="J408" s="55"/>
      <c r="K408" s="53">
        <f t="shared" si="88"/>
        <v>0</v>
      </c>
      <c r="L408" s="10"/>
    </row>
    <row r="409" spans="1:185" x14ac:dyDescent="0.35">
      <c r="A409" s="49">
        <f>IF(F409&lt;&gt;"",1+MAX($A$7:A408),"")</f>
        <v>309</v>
      </c>
      <c r="B409" s="6"/>
      <c r="C409" s="68" t="s">
        <v>692</v>
      </c>
      <c r="D409" s="68">
        <v>364</v>
      </c>
      <c r="E409" s="51">
        <v>0</v>
      </c>
      <c r="F409" s="54">
        <f t="shared" ref="F409:F411" si="90">D409*(1+E409)</f>
        <v>364</v>
      </c>
      <c r="G409" s="52" t="s">
        <v>50</v>
      </c>
      <c r="H409" s="52"/>
      <c r="I409" s="52"/>
      <c r="J409" s="55"/>
      <c r="K409" s="53">
        <f t="shared" ref="K409:K411" si="91">J409*F409</f>
        <v>0</v>
      </c>
      <c r="L409" s="10"/>
    </row>
    <row r="410" spans="1:185" x14ac:dyDescent="0.35">
      <c r="A410" s="49">
        <f>IF(F410&lt;&gt;"",1+MAX($A$7:A409),"")</f>
        <v>310</v>
      </c>
      <c r="B410" s="6"/>
      <c r="C410" s="68" t="s">
        <v>693</v>
      </c>
      <c r="D410" s="68">
        <v>182</v>
      </c>
      <c r="E410" s="51">
        <v>0</v>
      </c>
      <c r="F410" s="54">
        <f t="shared" si="90"/>
        <v>182</v>
      </c>
      <c r="G410" s="52" t="s">
        <v>50</v>
      </c>
      <c r="H410" s="52"/>
      <c r="I410" s="52"/>
      <c r="J410" s="55"/>
      <c r="K410" s="53">
        <f t="shared" si="91"/>
        <v>0</v>
      </c>
      <c r="L410" s="10"/>
    </row>
    <row r="411" spans="1:185" x14ac:dyDescent="0.35">
      <c r="A411" s="49">
        <f>IF(F411&lt;&gt;"",1+MAX($A$7:A410),"")</f>
        <v>311</v>
      </c>
      <c r="B411" s="6"/>
      <c r="C411" s="68" t="s">
        <v>694</v>
      </c>
      <c r="D411" s="68">
        <v>805</v>
      </c>
      <c r="E411" s="51">
        <v>0.1</v>
      </c>
      <c r="F411" s="54">
        <f t="shared" si="90"/>
        <v>885.50000000000011</v>
      </c>
      <c r="G411" s="52" t="s">
        <v>34</v>
      </c>
      <c r="H411" s="52"/>
      <c r="I411" s="52"/>
      <c r="J411" s="55"/>
      <c r="K411" s="53">
        <f t="shared" si="91"/>
        <v>0</v>
      </c>
      <c r="L411" s="10"/>
    </row>
    <row r="412" spans="1:185" ht="16" thickBot="1" x14ac:dyDescent="0.4">
      <c r="A412" s="49"/>
      <c r="B412" s="6"/>
      <c r="E412" s="51"/>
      <c r="F412" s="54"/>
      <c r="G412" s="52"/>
      <c r="H412" s="52"/>
      <c r="I412" s="52"/>
      <c r="J412" s="55"/>
      <c r="K412" s="53"/>
      <c r="L412" s="10"/>
    </row>
    <row r="413" spans="1:185" ht="16" thickBot="1" x14ac:dyDescent="0.4">
      <c r="A413" s="41" t="str">
        <f>IF(F413&lt;&gt;"",1+MAX($A$7:A353),"")</f>
        <v/>
      </c>
      <c r="B413" s="42" t="s">
        <v>387</v>
      </c>
      <c r="C413" s="43" t="s">
        <v>388</v>
      </c>
      <c r="D413" s="44"/>
      <c r="E413" s="44"/>
      <c r="F413" s="44"/>
      <c r="G413" s="44"/>
      <c r="H413" s="44"/>
      <c r="I413" s="44"/>
      <c r="J413" s="45"/>
      <c r="K413" s="45"/>
      <c r="L413" s="46">
        <f>SUM(K415:K421)</f>
        <v>0</v>
      </c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  <c r="BH413" s="38"/>
      <c r="BI413" s="38"/>
      <c r="BJ413" s="38"/>
      <c r="BK413" s="38"/>
      <c r="BL413" s="38"/>
      <c r="BM413" s="38"/>
      <c r="BN413" s="38"/>
      <c r="BO413" s="38"/>
      <c r="BP413" s="38"/>
      <c r="BQ413" s="38"/>
      <c r="BR413" s="38"/>
      <c r="BS413" s="38"/>
      <c r="BT413" s="38"/>
      <c r="BU413" s="38"/>
      <c r="BV413" s="38"/>
      <c r="BW413" s="38"/>
      <c r="BX413" s="38"/>
      <c r="BY413" s="38"/>
      <c r="BZ413" s="38"/>
      <c r="CA413" s="38"/>
      <c r="CB413" s="38"/>
      <c r="CC413" s="38"/>
      <c r="CD413" s="38"/>
      <c r="CE413" s="38"/>
      <c r="CF413" s="38"/>
      <c r="CG413" s="38"/>
      <c r="CH413" s="38"/>
      <c r="CI413" s="38"/>
      <c r="CJ413" s="38"/>
      <c r="CK413" s="38"/>
      <c r="CL413" s="38"/>
      <c r="CM413" s="38"/>
      <c r="CN413" s="38"/>
      <c r="CO413" s="38"/>
      <c r="CP413" s="38"/>
      <c r="CQ413" s="38"/>
      <c r="CR413" s="38"/>
      <c r="CS413" s="38"/>
      <c r="CT413" s="38"/>
      <c r="CU413" s="38"/>
      <c r="CV413" s="38"/>
      <c r="CW413" s="38"/>
      <c r="CX413" s="38"/>
      <c r="CY413" s="38"/>
      <c r="CZ413" s="38"/>
      <c r="DA413" s="38"/>
      <c r="DB413" s="38"/>
      <c r="DC413" s="38"/>
      <c r="DD413" s="38"/>
      <c r="DE413" s="38"/>
      <c r="DF413" s="38"/>
      <c r="DG413" s="38"/>
      <c r="DH413" s="38"/>
      <c r="DI413" s="38"/>
      <c r="DJ413" s="38"/>
      <c r="DK413" s="38"/>
      <c r="DL413" s="38"/>
      <c r="DM413" s="38"/>
      <c r="DN413" s="38"/>
      <c r="DO413" s="38"/>
      <c r="DP413" s="38"/>
      <c r="DQ413" s="38"/>
      <c r="DR413" s="38"/>
      <c r="DS413" s="38"/>
      <c r="DT413" s="38"/>
      <c r="DU413" s="38"/>
      <c r="DV413" s="38"/>
      <c r="DW413" s="38"/>
      <c r="DX413" s="38"/>
      <c r="DY413" s="38"/>
      <c r="DZ413" s="38"/>
      <c r="EA413" s="38"/>
      <c r="EB413" s="38"/>
      <c r="EC413" s="38"/>
      <c r="ED413" s="38"/>
      <c r="EE413" s="38"/>
      <c r="EF413" s="38"/>
      <c r="EG413" s="38"/>
      <c r="EH413" s="38"/>
      <c r="EI413" s="38"/>
      <c r="EJ413" s="38"/>
      <c r="EK413" s="38"/>
      <c r="EL413" s="38"/>
      <c r="EM413" s="38"/>
      <c r="EN413" s="38"/>
      <c r="EO413" s="38"/>
      <c r="EP413" s="38"/>
      <c r="EQ413" s="38"/>
      <c r="ER413" s="38"/>
      <c r="ES413" s="38"/>
      <c r="ET413" s="38"/>
      <c r="EU413" s="38"/>
      <c r="EV413" s="38"/>
      <c r="EW413" s="38"/>
      <c r="EX413" s="38"/>
      <c r="EY413" s="38"/>
      <c r="EZ413" s="38"/>
      <c r="FA413" s="38"/>
      <c r="FB413" s="38"/>
      <c r="FC413" s="38"/>
      <c r="FD413" s="38"/>
      <c r="FE413" s="38"/>
      <c r="FF413" s="38"/>
      <c r="FG413" s="38"/>
      <c r="FH413" s="38"/>
      <c r="FI413" s="38"/>
      <c r="FJ413" s="38"/>
      <c r="FK413" s="38"/>
      <c r="FL413" s="38"/>
      <c r="FM413" s="38"/>
      <c r="FN413" s="38"/>
      <c r="FO413" s="38"/>
      <c r="FP413" s="38"/>
      <c r="FQ413" s="38"/>
      <c r="FR413" s="38"/>
      <c r="FS413" s="38"/>
      <c r="FT413" s="38"/>
      <c r="FU413" s="38"/>
      <c r="FV413" s="38"/>
      <c r="FW413" s="38"/>
      <c r="FX413" s="38"/>
      <c r="FY413" s="38"/>
      <c r="FZ413" s="38"/>
      <c r="GA413" s="38"/>
      <c r="GB413" s="38"/>
      <c r="GC413" s="38"/>
    </row>
    <row r="414" spans="1:185" x14ac:dyDescent="0.35">
      <c r="A414" s="49"/>
      <c r="B414" s="6"/>
      <c r="E414" s="51"/>
      <c r="F414" s="54"/>
      <c r="G414" s="52"/>
      <c r="H414" s="52"/>
      <c r="I414" s="52"/>
      <c r="J414" s="55"/>
      <c r="K414" s="53"/>
      <c r="L414" s="10"/>
    </row>
    <row r="415" spans="1:185" x14ac:dyDescent="0.35">
      <c r="A415" s="49">
        <f>IF(F415&lt;&gt;"",1+MAX($A$7:A414),"")</f>
        <v>312</v>
      </c>
      <c r="B415" s="6"/>
      <c r="C415" s="50" t="s">
        <v>394</v>
      </c>
      <c r="D415" s="61">
        <v>1</v>
      </c>
      <c r="E415" s="51">
        <v>0</v>
      </c>
      <c r="F415" s="54">
        <f t="shared" ref="F415:F420" si="92">D415*(1+E415)</f>
        <v>1</v>
      </c>
      <c r="G415" s="52" t="s">
        <v>50</v>
      </c>
      <c r="H415" s="52"/>
      <c r="I415" s="52"/>
      <c r="J415" s="55"/>
      <c r="K415" s="53">
        <f t="shared" ref="K415:K420" si="93">J415*F415</f>
        <v>0</v>
      </c>
      <c r="L415" s="10"/>
    </row>
    <row r="416" spans="1:185" x14ac:dyDescent="0.35">
      <c r="A416" s="49">
        <f>IF(F416&lt;&gt;"",1+MAX($A$7:A415),"")</f>
        <v>313</v>
      </c>
      <c r="B416" s="6"/>
      <c r="C416" s="50" t="s">
        <v>395</v>
      </c>
      <c r="D416" s="61">
        <v>1</v>
      </c>
      <c r="E416" s="51">
        <v>0</v>
      </c>
      <c r="F416" s="54">
        <f t="shared" si="92"/>
        <v>1</v>
      </c>
      <c r="G416" s="52" t="s">
        <v>50</v>
      </c>
      <c r="H416" s="52"/>
      <c r="I416" s="52"/>
      <c r="J416" s="55"/>
      <c r="K416" s="53">
        <f t="shared" si="93"/>
        <v>0</v>
      </c>
      <c r="L416" s="10"/>
    </row>
    <row r="417" spans="1:185" x14ac:dyDescent="0.35">
      <c r="A417" s="49">
        <f>IF(F417&lt;&gt;"",1+MAX($A$7:A416),"")</f>
        <v>314</v>
      </c>
      <c r="B417" s="6"/>
      <c r="C417" s="50" t="s">
        <v>396</v>
      </c>
      <c r="D417" s="61">
        <v>1</v>
      </c>
      <c r="E417" s="51">
        <v>0</v>
      </c>
      <c r="F417" s="54">
        <f t="shared" si="92"/>
        <v>1</v>
      </c>
      <c r="G417" s="52" t="s">
        <v>50</v>
      </c>
      <c r="H417" s="52"/>
      <c r="I417" s="52"/>
      <c r="J417" s="55"/>
      <c r="K417" s="53">
        <f t="shared" si="93"/>
        <v>0</v>
      </c>
      <c r="L417" s="10"/>
    </row>
    <row r="418" spans="1:185" x14ac:dyDescent="0.35">
      <c r="A418" s="49">
        <f>IF(F418&lt;&gt;"",1+MAX($A$7:A417),"")</f>
        <v>315</v>
      </c>
      <c r="B418" s="6"/>
      <c r="C418" s="50" t="s">
        <v>397</v>
      </c>
      <c r="D418" s="61">
        <v>1</v>
      </c>
      <c r="E418" s="51">
        <v>0</v>
      </c>
      <c r="F418" s="54">
        <f t="shared" si="92"/>
        <v>1</v>
      </c>
      <c r="G418" s="52" t="s">
        <v>50</v>
      </c>
      <c r="H418" s="52"/>
      <c r="I418" s="52"/>
      <c r="J418" s="55"/>
      <c r="K418" s="53">
        <f t="shared" si="93"/>
        <v>0</v>
      </c>
      <c r="L418" s="10"/>
    </row>
    <row r="419" spans="1:185" x14ac:dyDescent="0.35">
      <c r="A419" s="49">
        <f>IF(F419&lt;&gt;"",1+MAX($A$7:A418),"")</f>
        <v>316</v>
      </c>
      <c r="B419" s="6"/>
      <c r="C419" s="50" t="s">
        <v>398</v>
      </c>
      <c r="D419" s="61">
        <v>1</v>
      </c>
      <c r="E419" s="51">
        <v>0</v>
      </c>
      <c r="F419" s="54">
        <f t="shared" si="92"/>
        <v>1</v>
      </c>
      <c r="G419" s="52" t="s">
        <v>50</v>
      </c>
      <c r="H419" s="52"/>
      <c r="I419" s="52"/>
      <c r="J419" s="55"/>
      <c r="K419" s="53">
        <f t="shared" si="93"/>
        <v>0</v>
      </c>
      <c r="L419" s="10"/>
    </row>
    <row r="420" spans="1:185" x14ac:dyDescent="0.35">
      <c r="A420" s="49">
        <f>IF(F420&lt;&gt;"",1+MAX($A$7:A419),"")</f>
        <v>317</v>
      </c>
      <c r="B420" s="6"/>
      <c r="C420" s="50" t="s">
        <v>399</v>
      </c>
      <c r="D420" s="61">
        <v>2</v>
      </c>
      <c r="E420" s="51">
        <v>0</v>
      </c>
      <c r="F420" s="54">
        <f t="shared" si="92"/>
        <v>2</v>
      </c>
      <c r="G420" s="52" t="s">
        <v>50</v>
      </c>
      <c r="H420" s="52"/>
      <c r="I420" s="52"/>
      <c r="J420" s="55"/>
      <c r="K420" s="53">
        <f t="shared" si="93"/>
        <v>0</v>
      </c>
      <c r="L420" s="10"/>
    </row>
    <row r="421" spans="1:185" x14ac:dyDescent="0.35">
      <c r="A421" s="49">
        <f>IF(F421&lt;&gt;"",1+MAX($A$7:A420),"")</f>
        <v>318</v>
      </c>
      <c r="B421" s="6"/>
      <c r="C421" s="68" t="s">
        <v>623</v>
      </c>
      <c r="D421" s="68">
        <v>3</v>
      </c>
      <c r="E421" s="51">
        <v>0</v>
      </c>
      <c r="F421" s="54">
        <f t="shared" ref="F421" si="94">D421*(1+E421)</f>
        <v>3</v>
      </c>
      <c r="G421" s="52" t="s">
        <v>50</v>
      </c>
      <c r="H421" s="52"/>
      <c r="I421" s="52"/>
      <c r="J421" s="55"/>
      <c r="K421" s="53">
        <f t="shared" ref="K421" si="95">J421*F421</f>
        <v>0</v>
      </c>
      <c r="L421" s="10"/>
    </row>
    <row r="422" spans="1:185" ht="16" thickBot="1" x14ac:dyDescent="0.4">
      <c r="A422" s="49" t="str">
        <f>IF(F422&lt;&gt;"",1+MAX($A$7:A420),"")</f>
        <v/>
      </c>
      <c r="B422" s="6"/>
      <c r="E422" s="51"/>
      <c r="F422" s="54"/>
      <c r="G422" s="52"/>
      <c r="H422" s="52"/>
      <c r="I422" s="52"/>
      <c r="J422" s="55"/>
      <c r="K422" s="53"/>
      <c r="L422" s="10"/>
    </row>
    <row r="423" spans="1:185" ht="16" thickBot="1" x14ac:dyDescent="0.4">
      <c r="A423" s="41" t="str">
        <f>IF(F423&lt;&gt;"",1+MAX($A$7:A422),"")</f>
        <v/>
      </c>
      <c r="B423" s="42" t="s">
        <v>389</v>
      </c>
      <c r="C423" s="43" t="s">
        <v>390</v>
      </c>
      <c r="D423" s="44"/>
      <c r="E423" s="44"/>
      <c r="F423" s="44"/>
      <c r="G423" s="44"/>
      <c r="H423" s="44"/>
      <c r="I423" s="44"/>
      <c r="J423" s="45"/>
      <c r="K423" s="45"/>
      <c r="L423" s="46">
        <f>SUM(K425:K429)</f>
        <v>0</v>
      </c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  <c r="BH423" s="38"/>
      <c r="BI423" s="38"/>
      <c r="BJ423" s="38"/>
      <c r="BK423" s="38"/>
      <c r="BL423" s="38"/>
      <c r="BM423" s="38"/>
      <c r="BN423" s="38"/>
      <c r="BO423" s="38"/>
      <c r="BP423" s="38"/>
      <c r="BQ423" s="38"/>
      <c r="BR423" s="38"/>
      <c r="BS423" s="38"/>
      <c r="BT423" s="38"/>
      <c r="BU423" s="38"/>
      <c r="BV423" s="38"/>
      <c r="BW423" s="38"/>
      <c r="BX423" s="38"/>
      <c r="BY423" s="38"/>
      <c r="BZ423" s="38"/>
      <c r="CA423" s="38"/>
      <c r="CB423" s="38"/>
      <c r="CC423" s="38"/>
      <c r="CD423" s="38"/>
      <c r="CE423" s="38"/>
      <c r="CF423" s="38"/>
      <c r="CG423" s="38"/>
      <c r="CH423" s="38"/>
      <c r="CI423" s="38"/>
      <c r="CJ423" s="38"/>
      <c r="CK423" s="38"/>
      <c r="CL423" s="38"/>
      <c r="CM423" s="38"/>
      <c r="CN423" s="38"/>
      <c r="CO423" s="38"/>
      <c r="CP423" s="38"/>
      <c r="CQ423" s="38"/>
      <c r="CR423" s="38"/>
      <c r="CS423" s="38"/>
      <c r="CT423" s="38"/>
      <c r="CU423" s="38"/>
      <c r="CV423" s="38"/>
      <c r="CW423" s="38"/>
      <c r="CX423" s="38"/>
      <c r="CY423" s="38"/>
      <c r="CZ423" s="38"/>
      <c r="DA423" s="38"/>
      <c r="DB423" s="38"/>
      <c r="DC423" s="38"/>
      <c r="DD423" s="38"/>
      <c r="DE423" s="38"/>
      <c r="DF423" s="38"/>
      <c r="DG423" s="38"/>
      <c r="DH423" s="38"/>
      <c r="DI423" s="38"/>
      <c r="DJ423" s="38"/>
      <c r="DK423" s="38"/>
      <c r="DL423" s="38"/>
      <c r="DM423" s="38"/>
      <c r="DN423" s="38"/>
      <c r="DO423" s="38"/>
      <c r="DP423" s="38"/>
      <c r="DQ423" s="38"/>
      <c r="DR423" s="38"/>
      <c r="DS423" s="38"/>
      <c r="DT423" s="38"/>
      <c r="DU423" s="38"/>
      <c r="DV423" s="38"/>
      <c r="DW423" s="38"/>
      <c r="DX423" s="38"/>
      <c r="DY423" s="38"/>
      <c r="DZ423" s="38"/>
      <c r="EA423" s="38"/>
      <c r="EB423" s="38"/>
      <c r="EC423" s="38"/>
      <c r="ED423" s="38"/>
      <c r="EE423" s="38"/>
      <c r="EF423" s="38"/>
      <c r="EG423" s="38"/>
      <c r="EH423" s="38"/>
      <c r="EI423" s="38"/>
      <c r="EJ423" s="38"/>
      <c r="EK423" s="38"/>
      <c r="EL423" s="38"/>
      <c r="EM423" s="38"/>
      <c r="EN423" s="38"/>
      <c r="EO423" s="38"/>
      <c r="EP423" s="38"/>
      <c r="EQ423" s="38"/>
      <c r="ER423" s="38"/>
      <c r="ES423" s="38"/>
      <c r="ET423" s="38"/>
      <c r="EU423" s="38"/>
      <c r="EV423" s="38"/>
      <c r="EW423" s="38"/>
      <c r="EX423" s="38"/>
      <c r="EY423" s="38"/>
      <c r="EZ423" s="38"/>
      <c r="FA423" s="38"/>
      <c r="FB423" s="38"/>
      <c r="FC423" s="38"/>
      <c r="FD423" s="38"/>
      <c r="FE423" s="38"/>
      <c r="FF423" s="38"/>
      <c r="FG423" s="38"/>
      <c r="FH423" s="38"/>
      <c r="FI423" s="38"/>
      <c r="FJ423" s="38"/>
      <c r="FK423" s="38"/>
      <c r="FL423" s="38"/>
      <c r="FM423" s="38"/>
      <c r="FN423" s="38"/>
      <c r="FO423" s="38"/>
      <c r="FP423" s="38"/>
      <c r="FQ423" s="38"/>
      <c r="FR423" s="38"/>
      <c r="FS423" s="38"/>
      <c r="FT423" s="38"/>
      <c r="FU423" s="38"/>
      <c r="FV423" s="38"/>
      <c r="FW423" s="38"/>
      <c r="FX423" s="38"/>
      <c r="FY423" s="38"/>
      <c r="FZ423" s="38"/>
      <c r="GA423" s="38"/>
      <c r="GB423" s="38"/>
      <c r="GC423" s="38"/>
    </row>
    <row r="424" spans="1:185" x14ac:dyDescent="0.35">
      <c r="A424" s="49"/>
      <c r="B424" s="6"/>
      <c r="E424" s="51"/>
      <c r="F424" s="54"/>
      <c r="G424" s="52"/>
      <c r="H424" s="52"/>
      <c r="I424" s="52"/>
      <c r="J424" s="55"/>
      <c r="K424" s="53"/>
      <c r="L424" s="10"/>
    </row>
    <row r="425" spans="1:185" x14ac:dyDescent="0.35">
      <c r="A425" s="49">
        <f>IF(F425&lt;&gt;"",1+MAX($A$7:A424),"")</f>
        <v>319</v>
      </c>
      <c r="B425" s="6"/>
      <c r="C425" s="50" t="s">
        <v>391</v>
      </c>
      <c r="D425" s="61">
        <v>299.62</v>
      </c>
      <c r="E425" s="51">
        <v>0.1</v>
      </c>
      <c r="F425" s="54">
        <f t="shared" ref="F425:F427" si="96">D425*(1+E425)</f>
        <v>329.58200000000005</v>
      </c>
      <c r="G425" s="52" t="s">
        <v>33</v>
      </c>
      <c r="H425" s="52"/>
      <c r="I425" s="52"/>
      <c r="J425" s="55"/>
      <c r="K425" s="53">
        <f t="shared" ref="K425:K427" si="97">J425*F425</f>
        <v>0</v>
      </c>
      <c r="L425" s="10"/>
    </row>
    <row r="426" spans="1:185" x14ac:dyDescent="0.35">
      <c r="A426" s="49">
        <f>IF(F426&lt;&gt;"",1+MAX($A$7:A425),"")</f>
        <v>320</v>
      </c>
      <c r="B426" s="6"/>
      <c r="C426" s="50" t="s">
        <v>392</v>
      </c>
      <c r="D426" s="61">
        <v>204.78</v>
      </c>
      <c r="E426" s="51">
        <v>0.1</v>
      </c>
      <c r="F426" s="54">
        <f t="shared" si="96"/>
        <v>225.25800000000001</v>
      </c>
      <c r="G426" s="52" t="s">
        <v>33</v>
      </c>
      <c r="H426" s="52"/>
      <c r="I426" s="52"/>
      <c r="J426" s="55"/>
      <c r="K426" s="53">
        <f t="shared" si="97"/>
        <v>0</v>
      </c>
      <c r="L426" s="10"/>
    </row>
    <row r="427" spans="1:185" x14ac:dyDescent="0.35">
      <c r="A427" s="49">
        <f>IF(F427&lt;&gt;"",1+MAX($A$7:A426),"")</f>
        <v>321</v>
      </c>
      <c r="B427" s="6"/>
      <c r="C427" s="50" t="s">
        <v>393</v>
      </c>
      <c r="D427" s="61">
        <v>24.24</v>
      </c>
      <c r="E427" s="51">
        <v>0.1</v>
      </c>
      <c r="F427" s="54">
        <f t="shared" si="96"/>
        <v>26.664000000000001</v>
      </c>
      <c r="G427" s="52" t="s">
        <v>33</v>
      </c>
      <c r="H427" s="52"/>
      <c r="I427" s="52"/>
      <c r="J427" s="55"/>
      <c r="K427" s="53">
        <f t="shared" si="97"/>
        <v>0</v>
      </c>
      <c r="L427" s="10"/>
    </row>
    <row r="428" spans="1:185" x14ac:dyDescent="0.35">
      <c r="A428" s="49">
        <f>IF(F428&lt;&gt;"",1+MAX($A$7:A427),"")</f>
        <v>322</v>
      </c>
      <c r="B428" s="6"/>
      <c r="C428" s="68" t="s">
        <v>622</v>
      </c>
      <c r="D428" s="68">
        <v>698</v>
      </c>
      <c r="E428" s="51">
        <v>0.1</v>
      </c>
      <c r="F428" s="54">
        <f t="shared" ref="F428:F429" si="98">D428*(1+E428)</f>
        <v>767.80000000000007</v>
      </c>
      <c r="G428" s="52" t="s">
        <v>33</v>
      </c>
      <c r="H428" s="52"/>
      <c r="I428" s="52"/>
      <c r="J428" s="55"/>
      <c r="K428" s="53">
        <f t="shared" ref="K428:K429" si="99">J428*F428</f>
        <v>0</v>
      </c>
      <c r="L428" s="10"/>
    </row>
    <row r="429" spans="1:185" x14ac:dyDescent="0.35">
      <c r="A429" s="49">
        <f>IF(F429&lt;&gt;"",1+MAX($A$7:A428),"")</f>
        <v>323</v>
      </c>
      <c r="B429" s="6"/>
      <c r="C429" s="68" t="s">
        <v>621</v>
      </c>
      <c r="D429" s="68">
        <v>63</v>
      </c>
      <c r="E429" s="51">
        <v>0.1</v>
      </c>
      <c r="F429" s="54">
        <f t="shared" si="98"/>
        <v>69.300000000000011</v>
      </c>
      <c r="G429" s="52" t="s">
        <v>33</v>
      </c>
      <c r="H429" s="52"/>
      <c r="I429" s="52"/>
      <c r="J429" s="55"/>
      <c r="K429" s="53">
        <f t="shared" si="99"/>
        <v>0</v>
      </c>
      <c r="L429" s="10"/>
    </row>
    <row r="430" spans="1:185" ht="16" thickBot="1" x14ac:dyDescent="0.4">
      <c r="A430" s="49"/>
      <c r="B430" s="6"/>
      <c r="C430" s="68"/>
      <c r="D430" s="68"/>
      <c r="E430" s="51"/>
      <c r="F430" s="54"/>
      <c r="G430" s="52"/>
      <c r="H430" s="52"/>
      <c r="I430" s="52"/>
      <c r="J430" s="55"/>
      <c r="K430" s="53"/>
      <c r="L430" s="10"/>
    </row>
    <row r="431" spans="1:185" ht="16" thickBot="1" x14ac:dyDescent="0.4">
      <c r="A431" s="41" t="str">
        <f>IF(F431&lt;&gt;"",1+MAX($A$7:A430),"")</f>
        <v/>
      </c>
      <c r="B431" s="42" t="s">
        <v>624</v>
      </c>
      <c r="C431" s="43" t="s">
        <v>625</v>
      </c>
      <c r="D431" s="44"/>
      <c r="E431" s="44"/>
      <c r="F431" s="44"/>
      <c r="G431" s="44"/>
      <c r="H431" s="44"/>
      <c r="I431" s="44"/>
      <c r="J431" s="45"/>
      <c r="K431" s="45"/>
      <c r="L431" s="46">
        <f>SUM(K434:K500)</f>
        <v>0</v>
      </c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H431" s="38"/>
      <c r="BI431" s="38"/>
      <c r="BJ431" s="38"/>
      <c r="BK431" s="38"/>
      <c r="BL431" s="38"/>
      <c r="BM431" s="38"/>
      <c r="BN431" s="38"/>
      <c r="BO431" s="38"/>
      <c r="BP431" s="38"/>
      <c r="BQ431" s="38"/>
      <c r="BR431" s="38"/>
      <c r="BS431" s="38"/>
      <c r="BT431" s="38"/>
      <c r="BU431" s="38"/>
      <c r="BV431" s="38"/>
      <c r="BW431" s="38"/>
      <c r="BX431" s="38"/>
      <c r="BY431" s="38"/>
      <c r="BZ431" s="38"/>
      <c r="CA431" s="38"/>
      <c r="CB431" s="38"/>
      <c r="CC431" s="38"/>
      <c r="CD431" s="38"/>
      <c r="CE431" s="38"/>
      <c r="CF431" s="38"/>
      <c r="CG431" s="38"/>
      <c r="CH431" s="38"/>
      <c r="CI431" s="38"/>
      <c r="CJ431" s="38"/>
      <c r="CK431" s="38"/>
      <c r="CL431" s="38"/>
      <c r="CM431" s="38"/>
      <c r="CN431" s="38"/>
      <c r="CO431" s="38"/>
      <c r="CP431" s="38"/>
      <c r="CQ431" s="38"/>
      <c r="CR431" s="38"/>
      <c r="CS431" s="38"/>
      <c r="CT431" s="38"/>
      <c r="CU431" s="38"/>
      <c r="CV431" s="38"/>
      <c r="CW431" s="38"/>
      <c r="CX431" s="38"/>
      <c r="CY431" s="38"/>
      <c r="CZ431" s="38"/>
      <c r="DA431" s="38"/>
      <c r="DB431" s="38"/>
      <c r="DC431" s="38"/>
      <c r="DD431" s="38"/>
      <c r="DE431" s="38"/>
      <c r="DF431" s="38"/>
      <c r="DG431" s="38"/>
      <c r="DH431" s="38"/>
      <c r="DI431" s="38"/>
      <c r="DJ431" s="38"/>
      <c r="DK431" s="38"/>
      <c r="DL431" s="38"/>
      <c r="DM431" s="38"/>
      <c r="DN431" s="38"/>
      <c r="DO431" s="38"/>
      <c r="DP431" s="38"/>
      <c r="DQ431" s="38"/>
      <c r="DR431" s="38"/>
      <c r="DS431" s="38"/>
      <c r="DT431" s="38"/>
      <c r="DU431" s="38"/>
      <c r="DV431" s="38"/>
      <c r="DW431" s="38"/>
      <c r="DX431" s="38"/>
      <c r="DY431" s="38"/>
      <c r="DZ431" s="38"/>
      <c r="EA431" s="38"/>
      <c r="EB431" s="38"/>
      <c r="EC431" s="38"/>
      <c r="ED431" s="38"/>
      <c r="EE431" s="38"/>
      <c r="EF431" s="38"/>
      <c r="EG431" s="38"/>
      <c r="EH431" s="38"/>
      <c r="EI431" s="38"/>
      <c r="EJ431" s="38"/>
      <c r="EK431" s="38"/>
      <c r="EL431" s="38"/>
      <c r="EM431" s="38"/>
      <c r="EN431" s="38"/>
      <c r="EO431" s="38"/>
      <c r="EP431" s="38"/>
      <c r="EQ431" s="38"/>
      <c r="ER431" s="38"/>
      <c r="ES431" s="38"/>
      <c r="ET431" s="38"/>
      <c r="EU431" s="38"/>
      <c r="EV431" s="38"/>
      <c r="EW431" s="38"/>
      <c r="EX431" s="38"/>
      <c r="EY431" s="38"/>
      <c r="EZ431" s="38"/>
      <c r="FA431" s="38"/>
      <c r="FB431" s="38"/>
      <c r="FC431" s="38"/>
      <c r="FD431" s="38"/>
      <c r="FE431" s="38"/>
      <c r="FF431" s="38"/>
      <c r="FG431" s="38"/>
      <c r="FH431" s="38"/>
      <c r="FI431" s="38"/>
      <c r="FJ431" s="38"/>
      <c r="FK431" s="38"/>
      <c r="FL431" s="38"/>
      <c r="FM431" s="38"/>
      <c r="FN431" s="38"/>
      <c r="FO431" s="38"/>
      <c r="FP431" s="38"/>
      <c r="FQ431" s="38"/>
      <c r="FR431" s="38"/>
      <c r="FS431" s="38"/>
      <c r="FT431" s="38"/>
      <c r="FU431" s="38"/>
      <c r="FV431" s="38"/>
      <c r="FW431" s="38"/>
      <c r="FX431" s="38"/>
      <c r="FY431" s="38"/>
      <c r="FZ431" s="38"/>
      <c r="GA431" s="38"/>
      <c r="GB431" s="38"/>
      <c r="GC431" s="38"/>
    </row>
    <row r="432" spans="1:185" ht="16" thickBot="1" x14ac:dyDescent="0.4">
      <c r="A432" s="49"/>
      <c r="B432" s="6"/>
      <c r="C432" s="68"/>
      <c r="D432" s="68"/>
      <c r="E432" s="51"/>
      <c r="F432" s="54"/>
      <c r="G432" s="52"/>
      <c r="H432" s="52"/>
      <c r="I432" s="52"/>
      <c r="J432" s="55"/>
      <c r="K432" s="53"/>
      <c r="L432" s="10"/>
    </row>
    <row r="433" spans="1:12" ht="16" thickBot="1" x14ac:dyDescent="0.4">
      <c r="A433" s="41" t="str">
        <f>IF(F433&lt;&gt;"",1+MAX($A$7:A16),"")</f>
        <v/>
      </c>
      <c r="B433" s="42"/>
      <c r="C433" s="47" t="s">
        <v>626</v>
      </c>
      <c r="D433" s="62"/>
      <c r="E433" s="7"/>
      <c r="F433" s="28"/>
      <c r="G433" s="15"/>
      <c r="H433" s="15"/>
      <c r="I433" s="15"/>
      <c r="J433" s="8"/>
      <c r="K433" s="9"/>
      <c r="L433" s="10"/>
    </row>
    <row r="434" spans="1:12" x14ac:dyDescent="0.35">
      <c r="A434" s="49">
        <f>IF(F434&lt;&gt;"",1+MAX($A$7:A433),"")</f>
        <v>324</v>
      </c>
      <c r="B434" s="6"/>
      <c r="C434" s="50" t="s">
        <v>627</v>
      </c>
      <c r="D434" s="61">
        <v>286.93</v>
      </c>
      <c r="E434" s="51">
        <v>0.1</v>
      </c>
      <c r="F434" s="54">
        <f t="shared" ref="F434:F458" si="100">D434*(1+E434)</f>
        <v>315.62300000000005</v>
      </c>
      <c r="G434" s="52" t="s">
        <v>34</v>
      </c>
      <c r="H434" s="52"/>
      <c r="I434" s="52"/>
      <c r="J434" s="55"/>
      <c r="K434" s="53">
        <f t="shared" ref="K434:K458" si="101">J434*F434</f>
        <v>0</v>
      </c>
      <c r="L434" s="10"/>
    </row>
    <row r="435" spans="1:12" x14ac:dyDescent="0.35">
      <c r="A435" s="49">
        <f>IF(F435&lt;&gt;"",1+MAX($A$7:A434),"")</f>
        <v>325</v>
      </c>
      <c r="B435" s="6"/>
      <c r="C435" s="50" t="s">
        <v>628</v>
      </c>
      <c r="D435" s="61">
        <v>91.94</v>
      </c>
      <c r="E435" s="51">
        <v>0.1</v>
      </c>
      <c r="F435" s="54">
        <f t="shared" si="100"/>
        <v>101.134</v>
      </c>
      <c r="G435" s="52" t="s">
        <v>34</v>
      </c>
      <c r="H435" s="52"/>
      <c r="I435" s="52"/>
      <c r="J435" s="55"/>
      <c r="K435" s="53">
        <f t="shared" si="101"/>
        <v>0</v>
      </c>
      <c r="L435" s="10"/>
    </row>
    <row r="436" spans="1:12" x14ac:dyDescent="0.35">
      <c r="A436" s="49">
        <f>IF(F436&lt;&gt;"",1+MAX($A$7:A435),"")</f>
        <v>326</v>
      </c>
      <c r="B436" s="6"/>
      <c r="C436" s="50" t="s">
        <v>629</v>
      </c>
      <c r="D436" s="61">
        <v>48.4</v>
      </c>
      <c r="E436" s="51">
        <v>0.1</v>
      </c>
      <c r="F436" s="54">
        <f t="shared" si="100"/>
        <v>53.24</v>
      </c>
      <c r="G436" s="52" t="s">
        <v>34</v>
      </c>
      <c r="H436" s="52"/>
      <c r="I436" s="52"/>
      <c r="J436" s="55"/>
      <c r="K436" s="53">
        <f t="shared" si="101"/>
        <v>0</v>
      </c>
      <c r="L436" s="10"/>
    </row>
    <row r="437" spans="1:12" x14ac:dyDescent="0.35">
      <c r="A437" s="49">
        <f>IF(F437&lt;&gt;"",1+MAX($A$7:A436),"")</f>
        <v>327</v>
      </c>
      <c r="B437" s="6"/>
      <c r="C437" s="50" t="s">
        <v>630</v>
      </c>
      <c r="D437" s="61">
        <v>45.84</v>
      </c>
      <c r="E437" s="51">
        <v>0.1</v>
      </c>
      <c r="F437" s="54">
        <f t="shared" si="100"/>
        <v>50.424000000000007</v>
      </c>
      <c r="G437" s="52" t="s">
        <v>34</v>
      </c>
      <c r="H437" s="52"/>
      <c r="I437" s="52"/>
      <c r="J437" s="55"/>
      <c r="K437" s="53">
        <f t="shared" si="101"/>
        <v>0</v>
      </c>
      <c r="L437" s="10"/>
    </row>
    <row r="438" spans="1:12" x14ac:dyDescent="0.35">
      <c r="A438" s="49">
        <f>IF(F438&lt;&gt;"",1+MAX($A$7:A437),"")</f>
        <v>328</v>
      </c>
      <c r="B438" s="6"/>
      <c r="C438" s="50" t="s">
        <v>631</v>
      </c>
      <c r="D438" s="61">
        <v>41.41</v>
      </c>
      <c r="E438" s="51">
        <v>0.1</v>
      </c>
      <c r="F438" s="54">
        <f t="shared" si="100"/>
        <v>45.551000000000002</v>
      </c>
      <c r="G438" s="52" t="s">
        <v>34</v>
      </c>
      <c r="H438" s="52"/>
      <c r="I438" s="52"/>
      <c r="J438" s="55"/>
      <c r="K438" s="53">
        <f t="shared" si="101"/>
        <v>0</v>
      </c>
      <c r="L438" s="10"/>
    </row>
    <row r="439" spans="1:12" x14ac:dyDescent="0.35">
      <c r="A439" s="49">
        <f>IF(F439&lt;&gt;"",1+MAX($A$7:A438),"")</f>
        <v>329</v>
      </c>
      <c r="B439" s="6"/>
      <c r="C439" s="50" t="s">
        <v>632</v>
      </c>
      <c r="D439" s="61">
        <v>58.95</v>
      </c>
      <c r="E439" s="51">
        <v>0.1</v>
      </c>
      <c r="F439" s="54">
        <f t="shared" si="100"/>
        <v>64.845000000000013</v>
      </c>
      <c r="G439" s="52" t="s">
        <v>34</v>
      </c>
      <c r="H439" s="52"/>
      <c r="I439" s="52"/>
      <c r="J439" s="55"/>
      <c r="K439" s="53">
        <f t="shared" si="101"/>
        <v>0</v>
      </c>
      <c r="L439" s="10"/>
    </row>
    <row r="440" spans="1:12" x14ac:dyDescent="0.35">
      <c r="A440" s="49">
        <f>IF(F440&lt;&gt;"",1+MAX($A$7:A439),"")</f>
        <v>330</v>
      </c>
      <c r="B440" s="6"/>
      <c r="C440" s="50" t="s">
        <v>633</v>
      </c>
      <c r="D440" s="61">
        <v>1086.72</v>
      </c>
      <c r="E440" s="51">
        <v>0.1</v>
      </c>
      <c r="F440" s="54">
        <f t="shared" si="100"/>
        <v>1195.3920000000001</v>
      </c>
      <c r="G440" s="52" t="s">
        <v>34</v>
      </c>
      <c r="H440" s="52"/>
      <c r="I440" s="52"/>
      <c r="J440" s="55"/>
      <c r="K440" s="53">
        <f t="shared" si="101"/>
        <v>0</v>
      </c>
      <c r="L440" s="10"/>
    </row>
    <row r="441" spans="1:12" x14ac:dyDescent="0.35">
      <c r="A441" s="49">
        <f>IF(F441&lt;&gt;"",1+MAX($A$7:A440),"")</f>
        <v>331</v>
      </c>
      <c r="B441" s="6"/>
      <c r="C441" s="50" t="s">
        <v>634</v>
      </c>
      <c r="D441" s="61">
        <v>339.7</v>
      </c>
      <c r="E441" s="51">
        <v>0.1</v>
      </c>
      <c r="F441" s="54">
        <f t="shared" si="100"/>
        <v>373.67</v>
      </c>
      <c r="G441" s="52" t="s">
        <v>34</v>
      </c>
      <c r="H441" s="52"/>
      <c r="I441" s="52"/>
      <c r="J441" s="55"/>
      <c r="K441" s="53">
        <f t="shared" si="101"/>
        <v>0</v>
      </c>
      <c r="L441" s="10"/>
    </row>
    <row r="442" spans="1:12" x14ac:dyDescent="0.35">
      <c r="A442" s="49">
        <f>IF(F442&lt;&gt;"",1+MAX($A$7:A441),"")</f>
        <v>332</v>
      </c>
      <c r="B442" s="6"/>
      <c r="C442" s="50" t="s">
        <v>635</v>
      </c>
      <c r="D442" s="61">
        <v>1162.43</v>
      </c>
      <c r="E442" s="51">
        <v>0.1</v>
      </c>
      <c r="F442" s="54">
        <f t="shared" si="100"/>
        <v>1278.6730000000002</v>
      </c>
      <c r="G442" s="52" t="s">
        <v>34</v>
      </c>
      <c r="H442" s="52"/>
      <c r="I442" s="52"/>
      <c r="J442" s="55"/>
      <c r="K442" s="53">
        <f t="shared" si="101"/>
        <v>0</v>
      </c>
      <c r="L442" s="10"/>
    </row>
    <row r="443" spans="1:12" x14ac:dyDescent="0.35">
      <c r="A443" s="49">
        <f>IF(F443&lt;&gt;"",1+MAX($A$7:A442),"")</f>
        <v>333</v>
      </c>
      <c r="B443" s="6"/>
      <c r="C443" s="50" t="s">
        <v>636</v>
      </c>
      <c r="D443" s="61">
        <v>603.46</v>
      </c>
      <c r="E443" s="51">
        <v>0.1</v>
      </c>
      <c r="F443" s="54">
        <f t="shared" si="100"/>
        <v>663.80600000000004</v>
      </c>
      <c r="G443" s="52" t="s">
        <v>34</v>
      </c>
      <c r="H443" s="52"/>
      <c r="I443" s="52"/>
      <c r="J443" s="55"/>
      <c r="K443" s="53">
        <f t="shared" si="101"/>
        <v>0</v>
      </c>
      <c r="L443" s="10"/>
    </row>
    <row r="444" spans="1:12" x14ac:dyDescent="0.35">
      <c r="A444" s="49">
        <f>IF(F444&lt;&gt;"",1+MAX($A$7:A443),"")</f>
        <v>334</v>
      </c>
      <c r="B444" s="6"/>
      <c r="C444" s="50" t="s">
        <v>637</v>
      </c>
      <c r="D444" s="61">
        <v>201.92</v>
      </c>
      <c r="E444" s="51">
        <v>0.1</v>
      </c>
      <c r="F444" s="54">
        <f t="shared" si="100"/>
        <v>222.11199999999999</v>
      </c>
      <c r="G444" s="52" t="s">
        <v>34</v>
      </c>
      <c r="H444" s="52"/>
      <c r="I444" s="52"/>
      <c r="J444" s="55"/>
      <c r="K444" s="53">
        <f t="shared" si="101"/>
        <v>0</v>
      </c>
      <c r="L444" s="10"/>
    </row>
    <row r="445" spans="1:12" x14ac:dyDescent="0.35">
      <c r="A445" s="49">
        <f>IF(F445&lt;&gt;"",1+MAX($A$7:A444),"")</f>
        <v>335</v>
      </c>
      <c r="B445" s="6"/>
      <c r="C445" s="50" t="s">
        <v>638</v>
      </c>
      <c r="D445" s="61">
        <v>257.08999999999997</v>
      </c>
      <c r="E445" s="51">
        <v>0.1</v>
      </c>
      <c r="F445" s="54">
        <f t="shared" si="100"/>
        <v>282.79899999999998</v>
      </c>
      <c r="G445" s="52" t="s">
        <v>34</v>
      </c>
      <c r="H445" s="52"/>
      <c r="I445" s="52"/>
      <c r="J445" s="55"/>
      <c r="K445" s="53">
        <f t="shared" si="101"/>
        <v>0</v>
      </c>
      <c r="L445" s="10"/>
    </row>
    <row r="446" spans="1:12" x14ac:dyDescent="0.35">
      <c r="A446" s="49">
        <f>IF(F446&lt;&gt;"",1+MAX($A$7:A445),"")</f>
        <v>336</v>
      </c>
      <c r="B446" s="6"/>
      <c r="C446" s="50" t="s">
        <v>639</v>
      </c>
      <c r="D446" s="61">
        <v>238.46</v>
      </c>
      <c r="E446" s="51">
        <v>0.1</v>
      </c>
      <c r="F446" s="54">
        <f t="shared" si="100"/>
        <v>262.30600000000004</v>
      </c>
      <c r="G446" s="52" t="s">
        <v>34</v>
      </c>
      <c r="H446" s="52"/>
      <c r="I446" s="52"/>
      <c r="J446" s="55"/>
      <c r="K446" s="53">
        <f t="shared" si="101"/>
        <v>0</v>
      </c>
      <c r="L446" s="10"/>
    </row>
    <row r="447" spans="1:12" x14ac:dyDescent="0.35">
      <c r="A447" s="49">
        <f>IF(F447&lt;&gt;"",1+MAX($A$7:A446),"")</f>
        <v>337</v>
      </c>
      <c r="B447" s="6"/>
      <c r="C447" s="50" t="s">
        <v>640</v>
      </c>
      <c r="D447" s="61">
        <v>16.43</v>
      </c>
      <c r="E447" s="51">
        <v>0.1</v>
      </c>
      <c r="F447" s="54">
        <f t="shared" si="100"/>
        <v>18.073</v>
      </c>
      <c r="G447" s="52" t="s">
        <v>34</v>
      </c>
      <c r="H447" s="52"/>
      <c r="I447" s="52"/>
      <c r="J447" s="55"/>
      <c r="K447" s="53">
        <f t="shared" si="101"/>
        <v>0</v>
      </c>
      <c r="L447" s="10"/>
    </row>
    <row r="448" spans="1:12" x14ac:dyDescent="0.35">
      <c r="A448" s="49">
        <f>IF(F448&lt;&gt;"",1+MAX($A$7:A447),"")</f>
        <v>338</v>
      </c>
      <c r="B448" s="6"/>
      <c r="C448" s="50" t="s">
        <v>641</v>
      </c>
      <c r="D448" s="61">
        <v>110.35</v>
      </c>
      <c r="E448" s="51">
        <v>0.1</v>
      </c>
      <c r="F448" s="54">
        <f t="shared" si="100"/>
        <v>121.38500000000001</v>
      </c>
      <c r="G448" s="52" t="s">
        <v>34</v>
      </c>
      <c r="H448" s="52"/>
      <c r="I448" s="52"/>
      <c r="J448" s="55"/>
      <c r="K448" s="53">
        <f t="shared" si="101"/>
        <v>0</v>
      </c>
      <c r="L448" s="10"/>
    </row>
    <row r="449" spans="1:12" x14ac:dyDescent="0.35">
      <c r="A449" s="49">
        <f>IF(F449&lt;&gt;"",1+MAX($A$7:A448),"")</f>
        <v>339</v>
      </c>
      <c r="B449" s="6"/>
      <c r="C449" s="50" t="s">
        <v>642</v>
      </c>
      <c r="D449" s="61">
        <v>51.57</v>
      </c>
      <c r="E449" s="51">
        <v>0.1</v>
      </c>
      <c r="F449" s="54">
        <f t="shared" si="100"/>
        <v>56.727000000000004</v>
      </c>
      <c r="G449" s="52" t="s">
        <v>34</v>
      </c>
      <c r="H449" s="52"/>
      <c r="I449" s="52"/>
      <c r="J449" s="55"/>
      <c r="K449" s="53">
        <f t="shared" si="101"/>
        <v>0</v>
      </c>
      <c r="L449" s="10"/>
    </row>
    <row r="450" spans="1:12" x14ac:dyDescent="0.35">
      <c r="A450" s="49">
        <f>IF(F450&lt;&gt;"",1+MAX($A$7:A449),"")</f>
        <v>340</v>
      </c>
      <c r="B450" s="6"/>
      <c r="C450" s="50" t="s">
        <v>643</v>
      </c>
      <c r="D450" s="61">
        <v>212.24</v>
      </c>
      <c r="E450" s="51">
        <v>0.1</v>
      </c>
      <c r="F450" s="54">
        <f t="shared" si="100"/>
        <v>233.46400000000003</v>
      </c>
      <c r="G450" s="52" t="s">
        <v>34</v>
      </c>
      <c r="H450" s="52"/>
      <c r="I450" s="52"/>
      <c r="J450" s="55"/>
      <c r="K450" s="53">
        <f t="shared" si="101"/>
        <v>0</v>
      </c>
      <c r="L450" s="10"/>
    </row>
    <row r="451" spans="1:12" x14ac:dyDescent="0.35">
      <c r="A451" s="49">
        <f>IF(F451&lt;&gt;"",1+MAX($A$7:A450),"")</f>
        <v>341</v>
      </c>
      <c r="B451" s="6"/>
      <c r="C451" s="50" t="s">
        <v>644</v>
      </c>
      <c r="D451" s="61">
        <v>6.59</v>
      </c>
      <c r="E451" s="51">
        <v>0.1</v>
      </c>
      <c r="F451" s="54">
        <f t="shared" si="100"/>
        <v>7.2490000000000006</v>
      </c>
      <c r="G451" s="52" t="s">
        <v>34</v>
      </c>
      <c r="H451" s="52"/>
      <c r="I451" s="52"/>
      <c r="J451" s="55"/>
      <c r="K451" s="53">
        <f t="shared" si="101"/>
        <v>0</v>
      </c>
      <c r="L451" s="10"/>
    </row>
    <row r="452" spans="1:12" x14ac:dyDescent="0.35">
      <c r="A452" s="49">
        <f>IF(F452&lt;&gt;"",1+MAX($A$7:A451),"")</f>
        <v>342</v>
      </c>
      <c r="B452" s="6"/>
      <c r="C452" s="50" t="s">
        <v>645</v>
      </c>
      <c r="D452" s="61">
        <v>6.59</v>
      </c>
      <c r="E452" s="51">
        <v>0.1</v>
      </c>
      <c r="F452" s="54">
        <f t="shared" si="100"/>
        <v>7.2490000000000006</v>
      </c>
      <c r="G452" s="52" t="s">
        <v>34</v>
      </c>
      <c r="H452" s="52"/>
      <c r="I452" s="52"/>
      <c r="J452" s="55"/>
      <c r="K452" s="53">
        <f t="shared" si="101"/>
        <v>0</v>
      </c>
      <c r="L452" s="10"/>
    </row>
    <row r="453" spans="1:12" x14ac:dyDescent="0.35">
      <c r="A453" s="49">
        <f>IF(F453&lt;&gt;"",1+MAX($A$7:A452),"")</f>
        <v>343</v>
      </c>
      <c r="B453" s="6"/>
      <c r="C453" s="50" t="s">
        <v>646</v>
      </c>
      <c r="D453" s="61">
        <v>6.59</v>
      </c>
      <c r="E453" s="51">
        <v>0.1</v>
      </c>
      <c r="F453" s="54">
        <f t="shared" si="100"/>
        <v>7.2490000000000006</v>
      </c>
      <c r="G453" s="52" t="s">
        <v>34</v>
      </c>
      <c r="H453" s="52"/>
      <c r="I453" s="52"/>
      <c r="J453" s="55"/>
      <c r="K453" s="53">
        <f t="shared" si="101"/>
        <v>0</v>
      </c>
      <c r="L453" s="10"/>
    </row>
    <row r="454" spans="1:12" x14ac:dyDescent="0.35">
      <c r="A454" s="49">
        <f>IF(F454&lt;&gt;"",1+MAX($A$7:A453),"")</f>
        <v>344</v>
      </c>
      <c r="B454" s="6"/>
      <c r="C454" s="50" t="s">
        <v>647</v>
      </c>
      <c r="D454" s="61">
        <v>1647.86</v>
      </c>
      <c r="E454" s="51">
        <v>0.1</v>
      </c>
      <c r="F454" s="54">
        <f t="shared" si="100"/>
        <v>1812.646</v>
      </c>
      <c r="G454" s="52" t="s">
        <v>34</v>
      </c>
      <c r="H454" s="52"/>
      <c r="I454" s="52"/>
      <c r="J454" s="55"/>
      <c r="K454" s="53">
        <f t="shared" si="101"/>
        <v>0</v>
      </c>
      <c r="L454" s="10"/>
    </row>
    <row r="455" spans="1:12" x14ac:dyDescent="0.35">
      <c r="A455" s="49">
        <f>IF(F455&lt;&gt;"",1+MAX($A$7:A454),"")</f>
        <v>345</v>
      </c>
      <c r="B455" s="6"/>
      <c r="C455" s="50" t="s">
        <v>648</v>
      </c>
      <c r="D455" s="61">
        <v>1647.86</v>
      </c>
      <c r="E455" s="51">
        <v>0.1</v>
      </c>
      <c r="F455" s="54">
        <f t="shared" si="100"/>
        <v>1812.646</v>
      </c>
      <c r="G455" s="52" t="s">
        <v>34</v>
      </c>
      <c r="H455" s="52"/>
      <c r="I455" s="52"/>
      <c r="J455" s="55"/>
      <c r="K455" s="53">
        <f t="shared" si="101"/>
        <v>0</v>
      </c>
      <c r="L455" s="10"/>
    </row>
    <row r="456" spans="1:12" x14ac:dyDescent="0.35">
      <c r="A456" s="49">
        <f>IF(F456&lt;&gt;"",1+MAX($A$7:A455),"")</f>
        <v>346</v>
      </c>
      <c r="B456" s="6"/>
      <c r="C456" s="50" t="s">
        <v>649</v>
      </c>
      <c r="D456" s="61">
        <v>1647.86</v>
      </c>
      <c r="E456" s="51">
        <v>0.1</v>
      </c>
      <c r="F456" s="54">
        <f t="shared" si="100"/>
        <v>1812.646</v>
      </c>
      <c r="G456" s="52" t="s">
        <v>34</v>
      </c>
      <c r="H456" s="52"/>
      <c r="I456" s="52"/>
      <c r="J456" s="55"/>
      <c r="K456" s="53">
        <f t="shared" si="101"/>
        <v>0</v>
      </c>
      <c r="L456" s="10"/>
    </row>
    <row r="457" spans="1:12" x14ac:dyDescent="0.35">
      <c r="A457" s="49">
        <f>IF(F457&lt;&gt;"",1+MAX($A$7:A456),"")</f>
        <v>347</v>
      </c>
      <c r="B457" s="6"/>
      <c r="C457" s="50" t="s">
        <v>650</v>
      </c>
      <c r="D457" s="61">
        <v>1051.6500000000001</v>
      </c>
      <c r="E457" s="51">
        <v>0.1</v>
      </c>
      <c r="F457" s="54">
        <f t="shared" si="100"/>
        <v>1156.8150000000003</v>
      </c>
      <c r="G457" s="52" t="s">
        <v>34</v>
      </c>
      <c r="H457" s="52"/>
      <c r="I457" s="52"/>
      <c r="J457" s="55"/>
      <c r="K457" s="53">
        <f t="shared" si="101"/>
        <v>0</v>
      </c>
      <c r="L457" s="10"/>
    </row>
    <row r="458" spans="1:12" x14ac:dyDescent="0.35">
      <c r="A458" s="49">
        <f>IF(F458&lt;&gt;"",1+MAX($A$7:A457),"")</f>
        <v>348</v>
      </c>
      <c r="B458" s="6"/>
      <c r="C458" s="50" t="s">
        <v>651</v>
      </c>
      <c r="D458" s="61">
        <v>287.27999999999997</v>
      </c>
      <c r="E458" s="51">
        <v>0.1</v>
      </c>
      <c r="F458" s="54">
        <f t="shared" si="100"/>
        <v>316.00799999999998</v>
      </c>
      <c r="G458" s="52" t="s">
        <v>34</v>
      </c>
      <c r="H458" s="52"/>
      <c r="I458" s="52"/>
      <c r="J458" s="55"/>
      <c r="K458" s="53">
        <f t="shared" si="101"/>
        <v>0</v>
      </c>
      <c r="L458" s="10"/>
    </row>
    <row r="459" spans="1:12" ht="16" thickBot="1" x14ac:dyDescent="0.4">
      <c r="A459" s="49"/>
      <c r="B459" s="6"/>
      <c r="C459" s="68"/>
      <c r="D459" s="68"/>
      <c r="E459" s="51"/>
      <c r="F459" s="54"/>
      <c r="G459" s="52"/>
      <c r="H459" s="52"/>
      <c r="I459" s="52"/>
      <c r="J459" s="55"/>
      <c r="K459" s="53"/>
      <c r="L459" s="10"/>
    </row>
    <row r="460" spans="1:12" ht="16" thickBot="1" x14ac:dyDescent="0.4">
      <c r="A460" s="41" t="str">
        <f>IF(F460&lt;&gt;"",1+MAX($A$7:A43),"")</f>
        <v/>
      </c>
      <c r="B460" s="42"/>
      <c r="C460" s="47" t="s">
        <v>652</v>
      </c>
      <c r="D460" s="62"/>
      <c r="E460" s="7"/>
      <c r="F460" s="28"/>
      <c r="G460" s="15"/>
      <c r="H460" s="15"/>
      <c r="I460" s="15"/>
      <c r="J460" s="8"/>
      <c r="K460" s="9"/>
      <c r="L460" s="10"/>
    </row>
    <row r="461" spans="1:12" x14ac:dyDescent="0.35">
      <c r="A461" s="49">
        <f>IF(F461&lt;&gt;"",1+MAX($A$7:A460),"")</f>
        <v>349</v>
      </c>
      <c r="B461" s="6"/>
      <c r="C461" s="50" t="s">
        <v>653</v>
      </c>
      <c r="D461" s="61">
        <v>2</v>
      </c>
      <c r="E461" s="51">
        <v>0</v>
      </c>
      <c r="F461" s="54">
        <f t="shared" ref="F461:F491" si="102">D461*(1+E461)</f>
        <v>2</v>
      </c>
      <c r="G461" s="52" t="s">
        <v>50</v>
      </c>
      <c r="H461" s="52"/>
      <c r="I461" s="52"/>
      <c r="J461" s="55"/>
      <c r="K461" s="53">
        <f t="shared" ref="K461:K491" si="103">J461*F461</f>
        <v>0</v>
      </c>
      <c r="L461" s="10"/>
    </row>
    <row r="462" spans="1:12" ht="29" x14ac:dyDescent="0.35">
      <c r="A462" s="49">
        <f>IF(F462&lt;&gt;"",1+MAX($A$7:A461),"")</f>
        <v>350</v>
      </c>
      <c r="B462" s="6"/>
      <c r="C462" s="50" t="s">
        <v>654</v>
      </c>
      <c r="D462" s="61">
        <v>1</v>
      </c>
      <c r="E462" s="51">
        <v>0</v>
      </c>
      <c r="F462" s="54">
        <f t="shared" si="102"/>
        <v>1</v>
      </c>
      <c r="G462" s="52" t="s">
        <v>50</v>
      </c>
      <c r="H462" s="52"/>
      <c r="I462" s="52"/>
      <c r="J462" s="55"/>
      <c r="K462" s="53">
        <f t="shared" si="103"/>
        <v>0</v>
      </c>
      <c r="L462" s="10"/>
    </row>
    <row r="463" spans="1:12" x14ac:dyDescent="0.35">
      <c r="A463" s="49">
        <f>IF(F463&lt;&gt;"",1+MAX($A$7:A462),"")</f>
        <v>351</v>
      </c>
      <c r="B463" s="6"/>
      <c r="C463" s="50" t="s">
        <v>655</v>
      </c>
      <c r="D463" s="61">
        <v>1</v>
      </c>
      <c r="E463" s="51">
        <v>0</v>
      </c>
      <c r="F463" s="54">
        <f t="shared" si="102"/>
        <v>1</v>
      </c>
      <c r="G463" s="52" t="s">
        <v>50</v>
      </c>
      <c r="H463" s="52"/>
      <c r="I463" s="52"/>
      <c r="J463" s="55"/>
      <c r="K463" s="53">
        <f t="shared" si="103"/>
        <v>0</v>
      </c>
      <c r="L463" s="10"/>
    </row>
    <row r="464" spans="1:12" x14ac:dyDescent="0.35">
      <c r="A464" s="49">
        <f>IF(F464&lt;&gt;"",1+MAX($A$7:A463),"")</f>
        <v>352</v>
      </c>
      <c r="B464" s="6"/>
      <c r="C464" s="50" t="s">
        <v>656</v>
      </c>
      <c r="D464" s="61">
        <v>2</v>
      </c>
      <c r="E464" s="51">
        <v>0</v>
      </c>
      <c r="F464" s="54">
        <f t="shared" si="102"/>
        <v>2</v>
      </c>
      <c r="G464" s="52" t="s">
        <v>50</v>
      </c>
      <c r="H464" s="52"/>
      <c r="I464" s="52"/>
      <c r="J464" s="55"/>
      <c r="K464" s="53">
        <f t="shared" si="103"/>
        <v>0</v>
      </c>
      <c r="L464" s="10"/>
    </row>
    <row r="465" spans="1:12" x14ac:dyDescent="0.35">
      <c r="A465" s="49">
        <f>IF(F465&lt;&gt;"",1+MAX($A$7:A464),"")</f>
        <v>353</v>
      </c>
      <c r="B465" s="6"/>
      <c r="C465" s="50" t="s">
        <v>657</v>
      </c>
      <c r="D465" s="61">
        <v>3</v>
      </c>
      <c r="E465" s="51">
        <v>0</v>
      </c>
      <c r="F465" s="54">
        <f t="shared" si="102"/>
        <v>3</v>
      </c>
      <c r="G465" s="52" t="s">
        <v>50</v>
      </c>
      <c r="H465" s="52"/>
      <c r="I465" s="52"/>
      <c r="J465" s="55"/>
      <c r="K465" s="53">
        <f t="shared" si="103"/>
        <v>0</v>
      </c>
      <c r="L465" s="10"/>
    </row>
    <row r="466" spans="1:12" x14ac:dyDescent="0.35">
      <c r="A466" s="49">
        <f>IF(F466&lt;&gt;"",1+MAX($A$7:A465),"")</f>
        <v>354</v>
      </c>
      <c r="B466" s="6"/>
      <c r="C466" s="50" t="s">
        <v>658</v>
      </c>
      <c r="D466" s="61">
        <v>2</v>
      </c>
      <c r="E466" s="51">
        <v>0</v>
      </c>
      <c r="F466" s="54">
        <f t="shared" si="102"/>
        <v>2</v>
      </c>
      <c r="G466" s="52" t="s">
        <v>50</v>
      </c>
      <c r="H466" s="52"/>
      <c r="I466" s="52"/>
      <c r="J466" s="55"/>
      <c r="K466" s="53">
        <f t="shared" si="103"/>
        <v>0</v>
      </c>
      <c r="L466" s="10"/>
    </row>
    <row r="467" spans="1:12" x14ac:dyDescent="0.35">
      <c r="A467" s="49">
        <f>IF(F467&lt;&gt;"",1+MAX($A$7:A466),"")</f>
        <v>355</v>
      </c>
      <c r="B467" s="6"/>
      <c r="C467" s="50" t="s">
        <v>659</v>
      </c>
      <c r="D467" s="61">
        <v>1</v>
      </c>
      <c r="E467" s="51">
        <v>0</v>
      </c>
      <c r="F467" s="54">
        <f t="shared" si="102"/>
        <v>1</v>
      </c>
      <c r="G467" s="52" t="s">
        <v>50</v>
      </c>
      <c r="H467" s="52"/>
      <c r="I467" s="52"/>
      <c r="J467" s="55"/>
      <c r="K467" s="53">
        <f t="shared" si="103"/>
        <v>0</v>
      </c>
      <c r="L467" s="10"/>
    </row>
    <row r="468" spans="1:12" x14ac:dyDescent="0.35">
      <c r="A468" s="49">
        <f>IF(F468&lt;&gt;"",1+MAX($A$7:A467),"")</f>
        <v>356</v>
      </c>
      <c r="B468" s="6"/>
      <c r="C468" s="50" t="s">
        <v>660</v>
      </c>
      <c r="D468" s="61">
        <v>14</v>
      </c>
      <c r="E468" s="51">
        <v>0</v>
      </c>
      <c r="F468" s="54">
        <f t="shared" si="102"/>
        <v>14</v>
      </c>
      <c r="G468" s="52" t="s">
        <v>50</v>
      </c>
      <c r="H468" s="52"/>
      <c r="I468" s="52"/>
      <c r="J468" s="55"/>
      <c r="K468" s="53">
        <f t="shared" si="103"/>
        <v>0</v>
      </c>
      <c r="L468" s="10"/>
    </row>
    <row r="469" spans="1:12" x14ac:dyDescent="0.35">
      <c r="A469" s="49">
        <f>IF(F469&lt;&gt;"",1+MAX($A$7:A468),"")</f>
        <v>357</v>
      </c>
      <c r="B469" s="6"/>
      <c r="C469" s="50" t="s">
        <v>661</v>
      </c>
      <c r="D469" s="61">
        <v>1</v>
      </c>
      <c r="E469" s="51">
        <v>0</v>
      </c>
      <c r="F469" s="54">
        <f t="shared" si="102"/>
        <v>1</v>
      </c>
      <c r="G469" s="52" t="s">
        <v>50</v>
      </c>
      <c r="H469" s="52"/>
      <c r="I469" s="52"/>
      <c r="J469" s="55"/>
      <c r="K469" s="53">
        <f t="shared" si="103"/>
        <v>0</v>
      </c>
      <c r="L469" s="10"/>
    </row>
    <row r="470" spans="1:12" x14ac:dyDescent="0.35">
      <c r="A470" s="49">
        <f>IF(F470&lt;&gt;"",1+MAX($A$7:A469),"")</f>
        <v>358</v>
      </c>
      <c r="B470" s="6"/>
      <c r="C470" s="50" t="s">
        <v>662</v>
      </c>
      <c r="D470" s="61">
        <v>8</v>
      </c>
      <c r="E470" s="51">
        <v>0</v>
      </c>
      <c r="F470" s="54">
        <f t="shared" si="102"/>
        <v>8</v>
      </c>
      <c r="G470" s="52" t="s">
        <v>50</v>
      </c>
      <c r="H470" s="52"/>
      <c r="I470" s="52"/>
      <c r="J470" s="55"/>
      <c r="K470" s="53">
        <f t="shared" si="103"/>
        <v>0</v>
      </c>
      <c r="L470" s="10"/>
    </row>
    <row r="471" spans="1:12" x14ac:dyDescent="0.35">
      <c r="A471" s="49">
        <f>IF(F471&lt;&gt;"",1+MAX($A$7:A470),"")</f>
        <v>359</v>
      </c>
      <c r="B471" s="6"/>
      <c r="C471" s="50" t="s">
        <v>663</v>
      </c>
      <c r="D471" s="61">
        <v>1</v>
      </c>
      <c r="E471" s="51">
        <v>0</v>
      </c>
      <c r="F471" s="54">
        <f t="shared" si="102"/>
        <v>1</v>
      </c>
      <c r="G471" s="52" t="s">
        <v>50</v>
      </c>
      <c r="H471" s="52"/>
      <c r="I471" s="52"/>
      <c r="J471" s="55"/>
      <c r="K471" s="53">
        <f t="shared" si="103"/>
        <v>0</v>
      </c>
      <c r="L471" s="10"/>
    </row>
    <row r="472" spans="1:12" x14ac:dyDescent="0.35">
      <c r="A472" s="49">
        <f>IF(F472&lt;&gt;"",1+MAX($A$7:A471),"")</f>
        <v>360</v>
      </c>
      <c r="B472" s="6"/>
      <c r="C472" s="50" t="s">
        <v>664</v>
      </c>
      <c r="D472" s="61">
        <v>1</v>
      </c>
      <c r="E472" s="51">
        <v>0</v>
      </c>
      <c r="F472" s="54">
        <f t="shared" si="102"/>
        <v>1</v>
      </c>
      <c r="G472" s="52" t="s">
        <v>50</v>
      </c>
      <c r="H472" s="52"/>
      <c r="I472" s="52"/>
      <c r="J472" s="55"/>
      <c r="K472" s="53">
        <f t="shared" si="103"/>
        <v>0</v>
      </c>
      <c r="L472" s="10"/>
    </row>
    <row r="473" spans="1:12" x14ac:dyDescent="0.35">
      <c r="A473" s="49">
        <f>IF(F473&lt;&gt;"",1+MAX($A$7:A472),"")</f>
        <v>361</v>
      </c>
      <c r="B473" s="6"/>
      <c r="C473" s="50" t="s">
        <v>665</v>
      </c>
      <c r="D473" s="61">
        <v>1</v>
      </c>
      <c r="E473" s="51">
        <v>0</v>
      </c>
      <c r="F473" s="54">
        <f t="shared" si="102"/>
        <v>1</v>
      </c>
      <c r="G473" s="52" t="s">
        <v>50</v>
      </c>
      <c r="H473" s="52"/>
      <c r="I473" s="52"/>
      <c r="J473" s="55"/>
      <c r="K473" s="53">
        <f t="shared" si="103"/>
        <v>0</v>
      </c>
      <c r="L473" s="10"/>
    </row>
    <row r="474" spans="1:12" x14ac:dyDescent="0.35">
      <c r="A474" s="49">
        <f>IF(F474&lt;&gt;"",1+MAX($A$7:A473),"")</f>
        <v>362</v>
      </c>
      <c r="B474" s="6"/>
      <c r="C474" s="50" t="s">
        <v>666</v>
      </c>
      <c r="D474" s="61">
        <v>1</v>
      </c>
      <c r="E474" s="51">
        <v>0</v>
      </c>
      <c r="F474" s="54">
        <f t="shared" si="102"/>
        <v>1</v>
      </c>
      <c r="G474" s="52" t="s">
        <v>50</v>
      </c>
      <c r="H474" s="52"/>
      <c r="I474" s="52"/>
      <c r="J474" s="55"/>
      <c r="K474" s="53">
        <f t="shared" si="103"/>
        <v>0</v>
      </c>
      <c r="L474" s="10"/>
    </row>
    <row r="475" spans="1:12" x14ac:dyDescent="0.35">
      <c r="A475" s="49">
        <f>IF(F475&lt;&gt;"",1+MAX($A$7:A474),"")</f>
        <v>363</v>
      </c>
      <c r="B475" s="6"/>
      <c r="C475" s="50" t="s">
        <v>667</v>
      </c>
      <c r="D475" s="61">
        <v>1</v>
      </c>
      <c r="E475" s="51">
        <v>0</v>
      </c>
      <c r="F475" s="54">
        <f t="shared" si="102"/>
        <v>1</v>
      </c>
      <c r="G475" s="52" t="s">
        <v>50</v>
      </c>
      <c r="H475" s="52"/>
      <c r="I475" s="52"/>
      <c r="J475" s="55"/>
      <c r="K475" s="53">
        <f t="shared" si="103"/>
        <v>0</v>
      </c>
      <c r="L475" s="10"/>
    </row>
    <row r="476" spans="1:12" x14ac:dyDescent="0.35">
      <c r="A476" s="49">
        <f>IF(F476&lt;&gt;"",1+MAX($A$7:A475),"")</f>
        <v>364</v>
      </c>
      <c r="B476" s="6"/>
      <c r="C476" s="50" t="s">
        <v>668</v>
      </c>
      <c r="D476" s="61">
        <v>1</v>
      </c>
      <c r="E476" s="51">
        <v>0</v>
      </c>
      <c r="F476" s="54">
        <f t="shared" si="102"/>
        <v>1</v>
      </c>
      <c r="G476" s="52" t="s">
        <v>50</v>
      </c>
      <c r="H476" s="52"/>
      <c r="I476" s="52"/>
      <c r="J476" s="55"/>
      <c r="K476" s="53">
        <f t="shared" si="103"/>
        <v>0</v>
      </c>
      <c r="L476" s="10"/>
    </row>
    <row r="477" spans="1:12" x14ac:dyDescent="0.35">
      <c r="A477" s="49">
        <f>IF(F477&lt;&gt;"",1+MAX($A$7:A476),"")</f>
        <v>365</v>
      </c>
      <c r="B477" s="6"/>
      <c r="C477" s="50" t="s">
        <v>669</v>
      </c>
      <c r="D477" s="70">
        <v>3</v>
      </c>
      <c r="E477" s="51">
        <v>0</v>
      </c>
      <c r="F477" s="54">
        <f t="shared" si="102"/>
        <v>3</v>
      </c>
      <c r="G477" s="52" t="s">
        <v>50</v>
      </c>
      <c r="H477" s="52"/>
      <c r="I477" s="52"/>
      <c r="J477" s="55"/>
      <c r="K477" s="53">
        <f t="shared" si="103"/>
        <v>0</v>
      </c>
      <c r="L477" s="10"/>
    </row>
    <row r="478" spans="1:12" ht="29" x14ac:dyDescent="0.35">
      <c r="A478" s="49">
        <f>IF(F478&lt;&gt;"",1+MAX($A$7:A477),"")</f>
        <v>366</v>
      </c>
      <c r="B478" s="6"/>
      <c r="C478" s="50" t="s">
        <v>670</v>
      </c>
      <c r="D478" s="70">
        <v>1</v>
      </c>
      <c r="E478" s="51">
        <v>0</v>
      </c>
      <c r="F478" s="54">
        <f t="shared" si="102"/>
        <v>1</v>
      </c>
      <c r="G478" s="52" t="s">
        <v>50</v>
      </c>
      <c r="H478" s="52"/>
      <c r="I478" s="52"/>
      <c r="J478" s="55"/>
      <c r="K478" s="53">
        <f t="shared" si="103"/>
        <v>0</v>
      </c>
      <c r="L478" s="10"/>
    </row>
    <row r="479" spans="1:12" ht="29" x14ac:dyDescent="0.35">
      <c r="A479" s="49">
        <f>IF(F479&lt;&gt;"",1+MAX($A$7:A478),"")</f>
        <v>367</v>
      </c>
      <c r="B479" s="6"/>
      <c r="C479" s="50" t="s">
        <v>671</v>
      </c>
      <c r="D479" s="70">
        <v>1</v>
      </c>
      <c r="E479" s="51">
        <v>0</v>
      </c>
      <c r="F479" s="54">
        <f t="shared" si="102"/>
        <v>1</v>
      </c>
      <c r="G479" s="52" t="s">
        <v>50</v>
      </c>
      <c r="H479" s="52"/>
      <c r="I479" s="52"/>
      <c r="J479" s="55"/>
      <c r="K479" s="53">
        <f t="shared" si="103"/>
        <v>0</v>
      </c>
      <c r="L479" s="10"/>
    </row>
    <row r="480" spans="1:12" ht="29" x14ac:dyDescent="0.35">
      <c r="A480" s="49">
        <f>IF(F480&lt;&gt;"",1+MAX($A$7:A479),"")</f>
        <v>368</v>
      </c>
      <c r="B480" s="6"/>
      <c r="C480" s="50" t="s">
        <v>672</v>
      </c>
      <c r="D480" s="70">
        <v>1</v>
      </c>
      <c r="E480" s="51">
        <v>0</v>
      </c>
      <c r="F480" s="54">
        <f t="shared" si="102"/>
        <v>1</v>
      </c>
      <c r="G480" s="52" t="s">
        <v>50</v>
      </c>
      <c r="H480" s="52"/>
      <c r="I480" s="52"/>
      <c r="J480" s="55"/>
      <c r="K480" s="53">
        <f t="shared" si="103"/>
        <v>0</v>
      </c>
      <c r="L480" s="10"/>
    </row>
    <row r="481" spans="1:12" ht="29" x14ac:dyDescent="0.35">
      <c r="A481" s="49">
        <f>IF(F481&lt;&gt;"",1+MAX($A$7:A480),"")</f>
        <v>369</v>
      </c>
      <c r="B481" s="6"/>
      <c r="C481" s="50" t="s">
        <v>673</v>
      </c>
      <c r="D481" s="70">
        <v>1</v>
      </c>
      <c r="E481" s="51">
        <v>0</v>
      </c>
      <c r="F481" s="54">
        <f t="shared" si="102"/>
        <v>1</v>
      </c>
      <c r="G481" s="52" t="s">
        <v>50</v>
      </c>
      <c r="H481" s="52"/>
      <c r="I481" s="52"/>
      <c r="J481" s="55"/>
      <c r="K481" s="53">
        <f t="shared" si="103"/>
        <v>0</v>
      </c>
      <c r="L481" s="10"/>
    </row>
    <row r="482" spans="1:12" x14ac:dyDescent="0.35">
      <c r="A482" s="49">
        <f>IF(F482&lt;&gt;"",1+MAX($A$7:A481),"")</f>
        <v>370</v>
      </c>
      <c r="B482" s="6"/>
      <c r="C482" s="50" t="s">
        <v>674</v>
      </c>
      <c r="D482" s="70">
        <v>1</v>
      </c>
      <c r="E482" s="51">
        <v>0</v>
      </c>
      <c r="F482" s="54">
        <f t="shared" si="102"/>
        <v>1</v>
      </c>
      <c r="G482" s="52" t="s">
        <v>50</v>
      </c>
      <c r="H482" s="52"/>
      <c r="I482" s="52"/>
      <c r="J482" s="55"/>
      <c r="K482" s="53">
        <f t="shared" si="103"/>
        <v>0</v>
      </c>
      <c r="L482" s="10"/>
    </row>
    <row r="483" spans="1:12" x14ac:dyDescent="0.35">
      <c r="A483" s="49">
        <f>IF(F483&lt;&gt;"",1+MAX($A$7:A482),"")</f>
        <v>371</v>
      </c>
      <c r="B483" s="6"/>
      <c r="C483" s="50" t="s">
        <v>675</v>
      </c>
      <c r="D483" s="70">
        <v>1</v>
      </c>
      <c r="E483" s="51">
        <v>0</v>
      </c>
      <c r="F483" s="54">
        <f t="shared" si="102"/>
        <v>1</v>
      </c>
      <c r="G483" s="52" t="s">
        <v>50</v>
      </c>
      <c r="H483" s="52"/>
      <c r="I483" s="52"/>
      <c r="J483" s="55"/>
      <c r="K483" s="53">
        <f t="shared" si="103"/>
        <v>0</v>
      </c>
      <c r="L483" s="10"/>
    </row>
    <row r="484" spans="1:12" ht="29" x14ac:dyDescent="0.35">
      <c r="A484" s="49">
        <f>IF(F484&lt;&gt;"",1+MAX($A$7:A483),"")</f>
        <v>372</v>
      </c>
      <c r="B484" s="6"/>
      <c r="C484" s="50" t="s">
        <v>676</v>
      </c>
      <c r="D484" s="70">
        <v>1</v>
      </c>
      <c r="E484" s="51">
        <v>0</v>
      </c>
      <c r="F484" s="54">
        <f t="shared" si="102"/>
        <v>1</v>
      </c>
      <c r="G484" s="52" t="s">
        <v>50</v>
      </c>
      <c r="H484" s="52"/>
      <c r="I484" s="52"/>
      <c r="J484" s="55"/>
      <c r="K484" s="53">
        <f t="shared" si="103"/>
        <v>0</v>
      </c>
      <c r="L484" s="10"/>
    </row>
    <row r="485" spans="1:12" ht="29" x14ac:dyDescent="0.35">
      <c r="A485" s="49">
        <f>IF(F485&lt;&gt;"",1+MAX($A$7:A484),"")</f>
        <v>373</v>
      </c>
      <c r="B485" s="6"/>
      <c r="C485" s="50" t="s">
        <v>677</v>
      </c>
      <c r="D485" s="70">
        <v>1</v>
      </c>
      <c r="E485" s="51">
        <v>0</v>
      </c>
      <c r="F485" s="54">
        <f t="shared" si="102"/>
        <v>1</v>
      </c>
      <c r="G485" s="52" t="s">
        <v>50</v>
      </c>
      <c r="H485" s="52"/>
      <c r="I485" s="52"/>
      <c r="J485" s="55"/>
      <c r="K485" s="53">
        <f t="shared" si="103"/>
        <v>0</v>
      </c>
      <c r="L485" s="10"/>
    </row>
    <row r="486" spans="1:12" x14ac:dyDescent="0.35">
      <c r="A486" s="49">
        <f>IF(F486&lt;&gt;"",1+MAX($A$7:A485),"")</f>
        <v>374</v>
      </c>
      <c r="B486" s="6"/>
      <c r="C486" s="50" t="s">
        <v>678</v>
      </c>
      <c r="D486" s="70">
        <v>2</v>
      </c>
      <c r="E486" s="51">
        <v>0</v>
      </c>
      <c r="F486" s="54">
        <f t="shared" si="102"/>
        <v>2</v>
      </c>
      <c r="G486" s="52" t="s">
        <v>50</v>
      </c>
      <c r="H486" s="52"/>
      <c r="I486" s="52"/>
      <c r="J486" s="55"/>
      <c r="K486" s="53">
        <f t="shared" si="103"/>
        <v>0</v>
      </c>
      <c r="L486" s="10"/>
    </row>
    <row r="487" spans="1:12" ht="29" x14ac:dyDescent="0.35">
      <c r="A487" s="49">
        <f>IF(F487&lt;&gt;"",1+MAX($A$7:A486),"")</f>
        <v>375</v>
      </c>
      <c r="B487" s="6"/>
      <c r="C487" s="50" t="s">
        <v>679</v>
      </c>
      <c r="D487" s="70">
        <v>1</v>
      </c>
      <c r="E487" s="51">
        <v>0</v>
      </c>
      <c r="F487" s="54">
        <f t="shared" si="102"/>
        <v>1</v>
      </c>
      <c r="G487" s="52" t="s">
        <v>50</v>
      </c>
      <c r="H487" s="52"/>
      <c r="I487" s="52"/>
      <c r="J487" s="55"/>
      <c r="K487" s="53">
        <f t="shared" si="103"/>
        <v>0</v>
      </c>
      <c r="L487" s="10"/>
    </row>
    <row r="488" spans="1:12" x14ac:dyDescent="0.35">
      <c r="A488" s="49">
        <f>IF(F488&lt;&gt;"",1+MAX($A$7:A487),"")</f>
        <v>376</v>
      </c>
      <c r="B488" s="6"/>
      <c r="C488" s="50" t="s">
        <v>680</v>
      </c>
      <c r="D488" s="70">
        <v>1</v>
      </c>
      <c r="E488" s="51">
        <v>0</v>
      </c>
      <c r="F488" s="54">
        <f t="shared" si="102"/>
        <v>1</v>
      </c>
      <c r="G488" s="52" t="s">
        <v>50</v>
      </c>
      <c r="H488" s="52"/>
      <c r="I488" s="52"/>
      <c r="J488" s="55"/>
      <c r="K488" s="53">
        <f t="shared" si="103"/>
        <v>0</v>
      </c>
      <c r="L488" s="10"/>
    </row>
    <row r="489" spans="1:12" x14ac:dyDescent="0.35">
      <c r="A489" s="49">
        <f>IF(F489&lt;&gt;"",1+MAX($A$7:A488),"")</f>
        <v>377</v>
      </c>
      <c r="B489" s="6"/>
      <c r="C489" s="50" t="s">
        <v>681</v>
      </c>
      <c r="D489" s="70">
        <v>1</v>
      </c>
      <c r="E489" s="51">
        <v>0</v>
      </c>
      <c r="F489" s="54">
        <f t="shared" si="102"/>
        <v>1</v>
      </c>
      <c r="G489" s="52" t="s">
        <v>50</v>
      </c>
      <c r="H489" s="52"/>
      <c r="I489" s="52"/>
      <c r="J489" s="55"/>
      <c r="K489" s="53">
        <f t="shared" si="103"/>
        <v>0</v>
      </c>
      <c r="L489" s="10"/>
    </row>
    <row r="490" spans="1:12" x14ac:dyDescent="0.35">
      <c r="A490" s="49">
        <f>IF(F490&lt;&gt;"",1+MAX($A$7:A489),"")</f>
        <v>378</v>
      </c>
      <c r="B490" s="6"/>
      <c r="C490" s="50" t="s">
        <v>682</v>
      </c>
      <c r="D490" s="70">
        <v>2</v>
      </c>
      <c r="E490" s="51">
        <v>0</v>
      </c>
      <c r="F490" s="54">
        <f t="shared" si="102"/>
        <v>2</v>
      </c>
      <c r="G490" s="52" t="s">
        <v>50</v>
      </c>
      <c r="H490" s="52"/>
      <c r="I490" s="52"/>
      <c r="J490" s="55"/>
      <c r="K490" s="53">
        <f t="shared" si="103"/>
        <v>0</v>
      </c>
      <c r="L490" s="10"/>
    </row>
    <row r="491" spans="1:12" x14ac:dyDescent="0.35">
      <c r="A491" s="49">
        <f>IF(F491&lt;&gt;"",1+MAX($A$7:A490),"")</f>
        <v>379</v>
      </c>
      <c r="B491" s="6"/>
      <c r="C491" s="50" t="s">
        <v>683</v>
      </c>
      <c r="D491" s="70">
        <v>1</v>
      </c>
      <c r="E491" s="51">
        <v>0</v>
      </c>
      <c r="F491" s="54">
        <f t="shared" si="102"/>
        <v>1</v>
      </c>
      <c r="G491" s="52" t="s">
        <v>50</v>
      </c>
      <c r="H491" s="52"/>
      <c r="I491" s="52"/>
      <c r="J491" s="55"/>
      <c r="K491" s="53">
        <f t="shared" si="103"/>
        <v>0</v>
      </c>
      <c r="L491" s="10"/>
    </row>
    <row r="492" spans="1:12" ht="16" thickBot="1" x14ac:dyDescent="0.4">
      <c r="A492" s="49"/>
      <c r="B492" s="6"/>
      <c r="C492" s="68"/>
      <c r="D492" s="68"/>
      <c r="E492" s="51"/>
      <c r="F492" s="54"/>
      <c r="G492" s="52"/>
      <c r="H492" s="52"/>
      <c r="I492" s="52"/>
      <c r="J492" s="55"/>
      <c r="K492" s="53"/>
      <c r="L492" s="10"/>
    </row>
    <row r="493" spans="1:12" ht="16" thickBot="1" x14ac:dyDescent="0.4">
      <c r="A493" s="41" t="str">
        <f>IF(F493&lt;&gt;"",1+MAX($A$7:A76),"")</f>
        <v/>
      </c>
      <c r="B493" s="42"/>
      <c r="C493" s="47" t="s">
        <v>684</v>
      </c>
      <c r="D493" s="62"/>
      <c r="E493" s="7"/>
      <c r="F493" s="28"/>
      <c r="G493" s="15"/>
      <c r="H493" s="15"/>
      <c r="I493" s="15"/>
      <c r="J493" s="8"/>
      <c r="K493" s="9"/>
      <c r="L493" s="10"/>
    </row>
    <row r="494" spans="1:12" x14ac:dyDescent="0.35">
      <c r="A494" s="49">
        <f>IF(F494&lt;&gt;"",1+MAX($A$7:A493),"")</f>
        <v>380</v>
      </c>
      <c r="B494" s="6"/>
      <c r="C494" s="50" t="s">
        <v>685</v>
      </c>
      <c r="D494" s="70">
        <v>1</v>
      </c>
      <c r="E494" s="51">
        <v>0</v>
      </c>
      <c r="F494" s="54">
        <f t="shared" ref="F494:F500" si="104">D494*(1+E494)</f>
        <v>1</v>
      </c>
      <c r="G494" s="52" t="s">
        <v>50</v>
      </c>
      <c r="H494" s="52"/>
      <c r="I494" s="52"/>
      <c r="J494" s="55"/>
      <c r="K494" s="53">
        <f t="shared" ref="K494:K500" si="105">J494*F494</f>
        <v>0</v>
      </c>
      <c r="L494" s="10"/>
    </row>
    <row r="495" spans="1:12" x14ac:dyDescent="0.35">
      <c r="A495" s="49">
        <f>IF(F495&lt;&gt;"",1+MAX($A$7:A494),"")</f>
        <v>381</v>
      </c>
      <c r="B495" s="6"/>
      <c r="C495" s="50" t="s">
        <v>686</v>
      </c>
      <c r="D495" s="70">
        <v>10</v>
      </c>
      <c r="E495" s="51">
        <v>0</v>
      </c>
      <c r="F495" s="54">
        <f t="shared" si="104"/>
        <v>10</v>
      </c>
      <c r="G495" s="52" t="s">
        <v>50</v>
      </c>
      <c r="H495" s="52"/>
      <c r="I495" s="52"/>
      <c r="J495" s="55"/>
      <c r="K495" s="53">
        <f t="shared" si="105"/>
        <v>0</v>
      </c>
      <c r="L495" s="10"/>
    </row>
    <row r="496" spans="1:12" x14ac:dyDescent="0.35">
      <c r="A496" s="49">
        <f>IF(F496&lt;&gt;"",1+MAX($A$7:A495),"")</f>
        <v>382</v>
      </c>
      <c r="B496" s="6"/>
      <c r="C496" s="50" t="s">
        <v>687</v>
      </c>
      <c r="D496" s="70">
        <v>1</v>
      </c>
      <c r="E496" s="51">
        <v>0</v>
      </c>
      <c r="F496" s="54">
        <f t="shared" si="104"/>
        <v>1</v>
      </c>
      <c r="G496" s="52" t="s">
        <v>50</v>
      </c>
      <c r="H496" s="52"/>
      <c r="I496" s="52"/>
      <c r="J496" s="55"/>
      <c r="K496" s="53">
        <f t="shared" si="105"/>
        <v>0</v>
      </c>
      <c r="L496" s="10"/>
    </row>
    <row r="497" spans="1:185" x14ac:dyDescent="0.35">
      <c r="A497" s="49">
        <f>IF(F497&lt;&gt;"",1+MAX($A$7:A496),"")</f>
        <v>383</v>
      </c>
      <c r="B497" s="6"/>
      <c r="C497" s="50" t="s">
        <v>688</v>
      </c>
      <c r="D497" s="70">
        <v>1</v>
      </c>
      <c r="E497" s="51">
        <v>0</v>
      </c>
      <c r="F497" s="54">
        <f t="shared" si="104"/>
        <v>1</v>
      </c>
      <c r="G497" s="52" t="s">
        <v>50</v>
      </c>
      <c r="H497" s="52"/>
      <c r="I497" s="52"/>
      <c r="J497" s="55"/>
      <c r="K497" s="53">
        <f t="shared" si="105"/>
        <v>0</v>
      </c>
      <c r="L497" s="10"/>
    </row>
    <row r="498" spans="1:185" x14ac:dyDescent="0.35">
      <c r="A498" s="49">
        <f>IF(F498&lt;&gt;"",1+MAX($A$7:A497),"")</f>
        <v>384</v>
      </c>
      <c r="B498" s="6"/>
      <c r="C498" s="68" t="s">
        <v>689</v>
      </c>
      <c r="D498" s="68">
        <v>182</v>
      </c>
      <c r="E498" s="51">
        <v>0</v>
      </c>
      <c r="F498" s="54">
        <f t="shared" si="104"/>
        <v>182</v>
      </c>
      <c r="G498" s="52" t="s">
        <v>50</v>
      </c>
      <c r="H498" s="52"/>
      <c r="I498" s="52"/>
      <c r="J498" s="55"/>
      <c r="K498" s="53">
        <f t="shared" si="105"/>
        <v>0</v>
      </c>
      <c r="L498" s="10"/>
    </row>
    <row r="499" spans="1:185" x14ac:dyDescent="0.35">
      <c r="A499" s="49">
        <f>IF(F499&lt;&gt;"",1+MAX($A$7:A498),"")</f>
        <v>385</v>
      </c>
      <c r="B499" s="6"/>
      <c r="C499" s="68" t="s">
        <v>690</v>
      </c>
      <c r="D499" s="68">
        <v>175</v>
      </c>
      <c r="E499" s="51">
        <v>0</v>
      </c>
      <c r="F499" s="54">
        <f t="shared" si="104"/>
        <v>175</v>
      </c>
      <c r="G499" s="52" t="s">
        <v>50</v>
      </c>
      <c r="H499" s="52"/>
      <c r="I499" s="52"/>
      <c r="J499" s="55"/>
      <c r="K499" s="53">
        <f t="shared" si="105"/>
        <v>0</v>
      </c>
      <c r="L499" s="10"/>
    </row>
    <row r="500" spans="1:185" x14ac:dyDescent="0.35">
      <c r="A500" s="49">
        <f>IF(F500&lt;&gt;"",1+MAX($A$7:A499),"")</f>
        <v>386</v>
      </c>
      <c r="B500" s="6"/>
      <c r="C500" s="68" t="s">
        <v>691</v>
      </c>
      <c r="D500" s="68">
        <v>182</v>
      </c>
      <c r="E500" s="51">
        <v>0</v>
      </c>
      <c r="F500" s="54">
        <f t="shared" si="104"/>
        <v>182</v>
      </c>
      <c r="G500" s="52" t="s">
        <v>50</v>
      </c>
      <c r="H500" s="52"/>
      <c r="I500" s="52"/>
      <c r="J500" s="55"/>
      <c r="K500" s="53">
        <f t="shared" si="105"/>
        <v>0</v>
      </c>
      <c r="L500" s="10"/>
    </row>
    <row r="501" spans="1:185" ht="16" thickBot="1" x14ac:dyDescent="0.4">
      <c r="A501" s="49" t="str">
        <f>IF(F501&lt;&gt;"",1+MAX($A$7:A427),"")</f>
        <v/>
      </c>
      <c r="B501" s="6"/>
      <c r="E501" s="51"/>
      <c r="F501" s="54"/>
      <c r="G501" s="52"/>
      <c r="H501" s="52"/>
      <c r="I501" s="52"/>
      <c r="J501" s="55"/>
      <c r="K501" s="53"/>
      <c r="L501" s="10"/>
    </row>
    <row r="502" spans="1:185" ht="16" thickBot="1" x14ac:dyDescent="0.4">
      <c r="A502" s="41" t="str">
        <f>IF(F502&lt;&gt;"",1+MAX($A$7:A276),"")</f>
        <v/>
      </c>
      <c r="B502" s="42" t="s">
        <v>51</v>
      </c>
      <c r="C502" s="43" t="s">
        <v>52</v>
      </c>
      <c r="D502" s="44"/>
      <c r="E502" s="44"/>
      <c r="F502" s="44"/>
      <c r="G502" s="44"/>
      <c r="H502" s="44"/>
      <c r="I502" s="44"/>
      <c r="J502" s="45"/>
      <c r="K502" s="45"/>
      <c r="L502" s="46">
        <f>SUM(K503:K751)</f>
        <v>0</v>
      </c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  <c r="BB502" s="38"/>
      <c r="BC502" s="38"/>
      <c r="BD502" s="38"/>
      <c r="BE502" s="38"/>
      <c r="BF502" s="38"/>
      <c r="BG502" s="38"/>
      <c r="BH502" s="38"/>
      <c r="BI502" s="38"/>
      <c r="BJ502" s="38"/>
      <c r="BK502" s="38"/>
      <c r="BL502" s="38"/>
      <c r="BM502" s="38"/>
      <c r="BN502" s="38"/>
      <c r="BO502" s="38"/>
      <c r="BP502" s="38"/>
      <c r="BQ502" s="38"/>
      <c r="BR502" s="38"/>
      <c r="BS502" s="38"/>
      <c r="BT502" s="38"/>
      <c r="BU502" s="38"/>
      <c r="BV502" s="38"/>
      <c r="BW502" s="38"/>
      <c r="BX502" s="38"/>
      <c r="BY502" s="38"/>
      <c r="BZ502" s="38"/>
      <c r="CA502" s="38"/>
      <c r="CB502" s="38"/>
      <c r="CC502" s="38"/>
      <c r="CD502" s="38"/>
      <c r="CE502" s="38"/>
      <c r="CF502" s="38"/>
      <c r="CG502" s="38"/>
      <c r="CH502" s="38"/>
      <c r="CI502" s="38"/>
      <c r="CJ502" s="38"/>
      <c r="CK502" s="38"/>
      <c r="CL502" s="38"/>
      <c r="CM502" s="38"/>
      <c r="CN502" s="38"/>
      <c r="CO502" s="38"/>
      <c r="CP502" s="38"/>
      <c r="CQ502" s="38"/>
      <c r="CR502" s="38"/>
      <c r="CS502" s="38"/>
      <c r="CT502" s="38"/>
      <c r="CU502" s="38"/>
      <c r="CV502" s="38"/>
      <c r="CW502" s="38"/>
      <c r="CX502" s="38"/>
      <c r="CY502" s="38"/>
      <c r="CZ502" s="38"/>
      <c r="DA502" s="38"/>
      <c r="DB502" s="38"/>
      <c r="DC502" s="38"/>
      <c r="DD502" s="38"/>
      <c r="DE502" s="38"/>
      <c r="DF502" s="38"/>
      <c r="DG502" s="38"/>
      <c r="DH502" s="38"/>
      <c r="DI502" s="38"/>
      <c r="DJ502" s="38"/>
      <c r="DK502" s="38"/>
      <c r="DL502" s="38"/>
      <c r="DM502" s="38"/>
      <c r="DN502" s="38"/>
      <c r="DO502" s="38"/>
      <c r="DP502" s="38"/>
      <c r="DQ502" s="38"/>
      <c r="DR502" s="38"/>
      <c r="DS502" s="38"/>
      <c r="DT502" s="38"/>
      <c r="DU502" s="38"/>
      <c r="DV502" s="38"/>
      <c r="DW502" s="38"/>
      <c r="DX502" s="38"/>
      <c r="DY502" s="38"/>
      <c r="DZ502" s="38"/>
      <c r="EA502" s="38"/>
      <c r="EB502" s="38"/>
      <c r="EC502" s="38"/>
      <c r="ED502" s="38"/>
      <c r="EE502" s="38"/>
      <c r="EF502" s="38"/>
      <c r="EG502" s="38"/>
      <c r="EH502" s="38"/>
      <c r="EI502" s="38"/>
      <c r="EJ502" s="38"/>
      <c r="EK502" s="38"/>
      <c r="EL502" s="38"/>
      <c r="EM502" s="38"/>
      <c r="EN502" s="38"/>
      <c r="EO502" s="38"/>
      <c r="EP502" s="38"/>
      <c r="EQ502" s="38"/>
      <c r="ER502" s="38"/>
      <c r="ES502" s="38"/>
      <c r="ET502" s="38"/>
      <c r="EU502" s="38"/>
      <c r="EV502" s="38"/>
      <c r="EW502" s="38"/>
      <c r="EX502" s="38"/>
      <c r="EY502" s="38"/>
      <c r="EZ502" s="38"/>
      <c r="FA502" s="38"/>
      <c r="FB502" s="38"/>
      <c r="FC502" s="38"/>
      <c r="FD502" s="38"/>
      <c r="FE502" s="38"/>
      <c r="FF502" s="38"/>
      <c r="FG502" s="38"/>
      <c r="FH502" s="38"/>
      <c r="FI502" s="38"/>
      <c r="FJ502" s="38"/>
      <c r="FK502" s="38"/>
      <c r="FL502" s="38"/>
      <c r="FM502" s="38"/>
      <c r="FN502" s="38"/>
      <c r="FO502" s="38"/>
      <c r="FP502" s="38"/>
      <c r="FQ502" s="38"/>
      <c r="FR502" s="38"/>
      <c r="FS502" s="38"/>
      <c r="FT502" s="38"/>
      <c r="FU502" s="38"/>
      <c r="FV502" s="38"/>
      <c r="FW502" s="38"/>
      <c r="FX502" s="38"/>
      <c r="FY502" s="38"/>
      <c r="FZ502" s="38"/>
      <c r="GA502" s="38"/>
      <c r="GB502" s="38"/>
      <c r="GC502" s="38"/>
    </row>
    <row r="503" spans="1:185" ht="16" thickBot="1" x14ac:dyDescent="0.4">
      <c r="A503" s="49"/>
      <c r="B503" s="6"/>
      <c r="C503" s="50"/>
      <c r="D503" s="62"/>
      <c r="E503" s="51"/>
      <c r="F503" s="54"/>
      <c r="G503" s="52"/>
      <c r="H503" s="52"/>
      <c r="I503" s="52"/>
      <c r="J503" s="55"/>
      <c r="K503" s="53"/>
      <c r="L503" s="10"/>
    </row>
    <row r="504" spans="1:185" ht="16" thickBot="1" x14ac:dyDescent="0.4">
      <c r="A504" s="41" t="str">
        <f>IF(F504&lt;&gt;"",1+MAX($A$7:A52),"")</f>
        <v/>
      </c>
      <c r="B504" s="42"/>
      <c r="C504" s="47" t="s">
        <v>498</v>
      </c>
      <c r="D504" s="62"/>
      <c r="E504" s="7"/>
      <c r="F504" s="28"/>
      <c r="G504" s="15"/>
      <c r="H504" s="15"/>
      <c r="I504" s="15"/>
      <c r="J504" s="8"/>
      <c r="K504" s="9"/>
      <c r="L504" s="10"/>
    </row>
    <row r="505" spans="1:185" x14ac:dyDescent="0.35">
      <c r="A505" s="49">
        <f>IF(F505&lt;&gt;"",1+MAX($A$7:A504),"")</f>
        <v>387</v>
      </c>
      <c r="B505" s="6"/>
      <c r="C505" s="50" t="s">
        <v>109</v>
      </c>
      <c r="D505" s="61">
        <v>122</v>
      </c>
      <c r="E505" s="51">
        <v>0.1</v>
      </c>
      <c r="F505" s="54">
        <f t="shared" ref="F505:F511" si="106">D505*(1+E505)</f>
        <v>134.20000000000002</v>
      </c>
      <c r="G505" s="52" t="s">
        <v>34</v>
      </c>
      <c r="H505" s="52"/>
      <c r="I505" s="52"/>
      <c r="J505" s="55"/>
      <c r="K505" s="53">
        <f t="shared" ref="K505:K511" si="107">J505*F505</f>
        <v>0</v>
      </c>
      <c r="L505" s="10"/>
    </row>
    <row r="506" spans="1:185" x14ac:dyDescent="0.35">
      <c r="A506" s="49">
        <f>IF(F506&lt;&gt;"",1+MAX($A$7:A505),"")</f>
        <v>388</v>
      </c>
      <c r="B506" s="6"/>
      <c r="C506" s="50" t="s">
        <v>110</v>
      </c>
      <c r="D506" s="61">
        <v>65</v>
      </c>
      <c r="E506" s="51">
        <v>0.1</v>
      </c>
      <c r="F506" s="54">
        <f t="shared" si="106"/>
        <v>71.5</v>
      </c>
      <c r="G506" s="52" t="s">
        <v>34</v>
      </c>
      <c r="H506" s="52"/>
      <c r="I506" s="52"/>
      <c r="J506" s="55"/>
      <c r="K506" s="53">
        <f t="shared" si="107"/>
        <v>0</v>
      </c>
      <c r="L506" s="10"/>
    </row>
    <row r="507" spans="1:185" x14ac:dyDescent="0.35">
      <c r="A507" s="49">
        <f>IF(F507&lt;&gt;"",1+MAX($A$7:A506),"")</f>
        <v>389</v>
      </c>
      <c r="B507" s="6"/>
      <c r="C507" s="50" t="s">
        <v>111</v>
      </c>
      <c r="D507" s="61">
        <v>831</v>
      </c>
      <c r="E507" s="51">
        <v>0.1</v>
      </c>
      <c r="F507" s="54">
        <f t="shared" si="106"/>
        <v>914.1</v>
      </c>
      <c r="G507" s="52" t="s">
        <v>34</v>
      </c>
      <c r="H507" s="52"/>
      <c r="I507" s="52"/>
      <c r="J507" s="55"/>
      <c r="K507" s="53">
        <f t="shared" si="107"/>
        <v>0</v>
      </c>
      <c r="L507" s="10"/>
    </row>
    <row r="508" spans="1:185" x14ac:dyDescent="0.35">
      <c r="A508" s="49">
        <f>IF(F508&lt;&gt;"",1+MAX($A$7:A507),"")</f>
        <v>390</v>
      </c>
      <c r="B508" s="6"/>
      <c r="C508" s="50" t="s">
        <v>112</v>
      </c>
      <c r="D508" s="61">
        <v>1172</v>
      </c>
      <c r="E508" s="51">
        <v>0.1</v>
      </c>
      <c r="F508" s="54">
        <f t="shared" si="106"/>
        <v>1289.2</v>
      </c>
      <c r="G508" s="52" t="s">
        <v>34</v>
      </c>
      <c r="H508" s="52"/>
      <c r="I508" s="52"/>
      <c r="J508" s="55"/>
      <c r="K508" s="53">
        <f t="shared" si="107"/>
        <v>0</v>
      </c>
      <c r="L508" s="10"/>
    </row>
    <row r="509" spans="1:185" x14ac:dyDescent="0.35">
      <c r="A509" s="49">
        <f>IF(F509&lt;&gt;"",1+MAX($A$7:A508),"")</f>
        <v>391</v>
      </c>
      <c r="B509" s="6"/>
      <c r="C509" s="50" t="s">
        <v>113</v>
      </c>
      <c r="D509" s="61">
        <v>142.26</v>
      </c>
      <c r="E509" s="51">
        <v>0.1</v>
      </c>
      <c r="F509" s="54">
        <f t="shared" si="106"/>
        <v>156.48599999999999</v>
      </c>
      <c r="G509" s="52" t="s">
        <v>34</v>
      </c>
      <c r="H509" s="52"/>
      <c r="I509" s="52"/>
      <c r="J509" s="55"/>
      <c r="K509" s="53">
        <f t="shared" si="107"/>
        <v>0</v>
      </c>
      <c r="L509" s="10"/>
    </row>
    <row r="510" spans="1:185" x14ac:dyDescent="0.35">
      <c r="A510" s="49">
        <f>IF(F510&lt;&gt;"",1+MAX($A$7:A509),"")</f>
        <v>392</v>
      </c>
      <c r="B510" s="6"/>
      <c r="C510" s="50" t="s">
        <v>114</v>
      </c>
      <c r="D510" s="61">
        <v>148.53</v>
      </c>
      <c r="E510" s="51">
        <v>0.1</v>
      </c>
      <c r="F510" s="54">
        <f t="shared" si="106"/>
        <v>163.38300000000001</v>
      </c>
      <c r="G510" s="52" t="s">
        <v>34</v>
      </c>
      <c r="H510" s="52"/>
      <c r="I510" s="52"/>
      <c r="J510" s="55"/>
      <c r="K510" s="53">
        <f t="shared" si="107"/>
        <v>0</v>
      </c>
      <c r="L510" s="10"/>
    </row>
    <row r="511" spans="1:185" x14ac:dyDescent="0.35">
      <c r="A511" s="49">
        <f>IF(F511&lt;&gt;"",1+MAX($A$7:A510),"")</f>
        <v>393</v>
      </c>
      <c r="B511" s="6"/>
      <c r="C511" s="50" t="s">
        <v>115</v>
      </c>
      <c r="D511" s="61">
        <v>72.8</v>
      </c>
      <c r="E511" s="51">
        <v>0.1</v>
      </c>
      <c r="F511" s="54">
        <f t="shared" si="106"/>
        <v>80.08</v>
      </c>
      <c r="G511" s="52" t="s">
        <v>34</v>
      </c>
      <c r="H511" s="52"/>
      <c r="I511" s="52"/>
      <c r="J511" s="55"/>
      <c r="K511" s="53">
        <f t="shared" si="107"/>
        <v>0</v>
      </c>
      <c r="L511" s="10"/>
    </row>
    <row r="512" spans="1:185" x14ac:dyDescent="0.35">
      <c r="A512" s="49">
        <f>IF(F512&lt;&gt;"",1+MAX($A$7:A511),"")</f>
        <v>394</v>
      </c>
      <c r="B512" s="6"/>
      <c r="C512" s="50" t="s">
        <v>116</v>
      </c>
      <c r="D512" s="61">
        <v>349</v>
      </c>
      <c r="E512" s="51">
        <v>0.1</v>
      </c>
      <c r="F512" s="54">
        <f t="shared" ref="F512:F541" si="108">D512*(1+E512)</f>
        <v>383.90000000000003</v>
      </c>
      <c r="G512" s="52" t="s">
        <v>34</v>
      </c>
      <c r="H512" s="52"/>
      <c r="I512" s="52"/>
      <c r="J512" s="55"/>
      <c r="K512" s="53">
        <f t="shared" ref="K512:K541" si="109">J512*F512</f>
        <v>0</v>
      </c>
      <c r="L512" s="10"/>
    </row>
    <row r="513" spans="1:12" x14ac:dyDescent="0.35">
      <c r="A513" s="49">
        <f>IF(F513&lt;&gt;"",1+MAX($A$7:A512),"")</f>
        <v>395</v>
      </c>
      <c r="B513" s="6"/>
      <c r="C513" s="50" t="s">
        <v>117</v>
      </c>
      <c r="D513" s="61">
        <v>49.59</v>
      </c>
      <c r="E513" s="51">
        <v>0.1</v>
      </c>
      <c r="F513" s="54">
        <f t="shared" si="108"/>
        <v>54.549000000000007</v>
      </c>
      <c r="G513" s="52" t="s">
        <v>34</v>
      </c>
      <c r="H513" s="52"/>
      <c r="I513" s="52"/>
      <c r="J513" s="55"/>
      <c r="K513" s="53">
        <f t="shared" si="109"/>
        <v>0</v>
      </c>
      <c r="L513" s="10"/>
    </row>
    <row r="514" spans="1:12" x14ac:dyDescent="0.35">
      <c r="A514" s="49">
        <f>IF(F514&lt;&gt;"",1+MAX($A$7:A513),"")</f>
        <v>396</v>
      </c>
      <c r="B514" s="6"/>
      <c r="C514" s="50" t="s">
        <v>118</v>
      </c>
      <c r="D514" s="61">
        <v>26.77</v>
      </c>
      <c r="E514" s="51">
        <v>0.1</v>
      </c>
      <c r="F514" s="54">
        <f t="shared" si="108"/>
        <v>29.447000000000003</v>
      </c>
      <c r="G514" s="52" t="s">
        <v>34</v>
      </c>
      <c r="H514" s="52"/>
      <c r="I514" s="52"/>
      <c r="J514" s="55"/>
      <c r="K514" s="53">
        <f t="shared" si="109"/>
        <v>0</v>
      </c>
      <c r="L514" s="10"/>
    </row>
    <row r="515" spans="1:12" x14ac:dyDescent="0.35">
      <c r="A515" s="49">
        <f>IF(F515&lt;&gt;"",1+MAX($A$7:A514),"")</f>
        <v>397</v>
      </c>
      <c r="B515" s="6"/>
      <c r="C515" s="50" t="s">
        <v>119</v>
      </c>
      <c r="D515" s="61">
        <v>38.159999999999997</v>
      </c>
      <c r="E515" s="51">
        <v>0.1</v>
      </c>
      <c r="F515" s="54">
        <f t="shared" si="108"/>
        <v>41.975999999999999</v>
      </c>
      <c r="G515" s="52" t="s">
        <v>34</v>
      </c>
      <c r="H515" s="52"/>
      <c r="I515" s="52"/>
      <c r="J515" s="55"/>
      <c r="K515" s="53">
        <f t="shared" si="109"/>
        <v>0</v>
      </c>
      <c r="L515" s="10"/>
    </row>
    <row r="516" spans="1:12" x14ac:dyDescent="0.35">
      <c r="A516" s="49">
        <f>IF(F516&lt;&gt;"",1+MAX($A$7:A515),"")</f>
        <v>398</v>
      </c>
      <c r="B516" s="6"/>
      <c r="C516" s="50" t="s">
        <v>120</v>
      </c>
      <c r="D516" s="61">
        <v>35.78</v>
      </c>
      <c r="E516" s="51">
        <v>0.1</v>
      </c>
      <c r="F516" s="54">
        <f t="shared" si="108"/>
        <v>39.358000000000004</v>
      </c>
      <c r="G516" s="52" t="s">
        <v>34</v>
      </c>
      <c r="H516" s="52"/>
      <c r="I516" s="52"/>
      <c r="J516" s="55"/>
      <c r="K516" s="53">
        <f t="shared" si="109"/>
        <v>0</v>
      </c>
      <c r="L516" s="10"/>
    </row>
    <row r="517" spans="1:12" x14ac:dyDescent="0.35">
      <c r="A517" s="49">
        <f>IF(F517&lt;&gt;"",1+MAX($A$7:A516),"")</f>
        <v>399</v>
      </c>
      <c r="B517" s="6"/>
      <c r="C517" s="50" t="s">
        <v>121</v>
      </c>
      <c r="D517" s="61">
        <v>8.86</v>
      </c>
      <c r="E517" s="51">
        <v>0.1</v>
      </c>
      <c r="F517" s="54">
        <f t="shared" si="108"/>
        <v>9.7460000000000004</v>
      </c>
      <c r="G517" s="52" t="s">
        <v>34</v>
      </c>
      <c r="H517" s="52"/>
      <c r="I517" s="52"/>
      <c r="J517" s="55"/>
      <c r="K517" s="53">
        <f t="shared" si="109"/>
        <v>0</v>
      </c>
      <c r="L517" s="10"/>
    </row>
    <row r="518" spans="1:12" x14ac:dyDescent="0.35">
      <c r="A518" s="49">
        <f>IF(F518&lt;&gt;"",1+MAX($A$7:A517),"")</f>
        <v>400</v>
      </c>
      <c r="B518" s="6"/>
      <c r="C518" s="50" t="s">
        <v>122</v>
      </c>
      <c r="D518" s="61">
        <v>174</v>
      </c>
      <c r="E518" s="51">
        <v>0.1</v>
      </c>
      <c r="F518" s="54">
        <f t="shared" si="108"/>
        <v>191.4</v>
      </c>
      <c r="G518" s="52" t="s">
        <v>34</v>
      </c>
      <c r="H518" s="52"/>
      <c r="I518" s="52"/>
      <c r="J518" s="55"/>
      <c r="K518" s="53">
        <f t="shared" si="109"/>
        <v>0</v>
      </c>
      <c r="L518" s="10"/>
    </row>
    <row r="519" spans="1:12" x14ac:dyDescent="0.35">
      <c r="A519" s="49">
        <f>IF(F519&lt;&gt;"",1+MAX($A$7:A518),"")</f>
        <v>401</v>
      </c>
      <c r="B519" s="6"/>
      <c r="C519" s="50" t="s">
        <v>123</v>
      </c>
      <c r="D519" s="61">
        <v>20.61</v>
      </c>
      <c r="E519" s="51">
        <v>0.1</v>
      </c>
      <c r="F519" s="54">
        <f t="shared" si="108"/>
        <v>22.671000000000003</v>
      </c>
      <c r="G519" s="52" t="s">
        <v>34</v>
      </c>
      <c r="H519" s="52"/>
      <c r="I519" s="52"/>
      <c r="J519" s="55"/>
      <c r="K519" s="53">
        <f t="shared" si="109"/>
        <v>0</v>
      </c>
      <c r="L519" s="10"/>
    </row>
    <row r="520" spans="1:12" x14ac:dyDescent="0.35">
      <c r="A520" s="49">
        <f>IF(F520&lt;&gt;"",1+MAX($A$7:A519),"")</f>
        <v>402</v>
      </c>
      <c r="B520" s="6"/>
      <c r="C520" s="50" t="s">
        <v>124</v>
      </c>
      <c r="D520" s="61">
        <v>70.81</v>
      </c>
      <c r="E520" s="51">
        <v>0.1</v>
      </c>
      <c r="F520" s="54">
        <f t="shared" si="108"/>
        <v>77.891000000000005</v>
      </c>
      <c r="G520" s="52" t="s">
        <v>34</v>
      </c>
      <c r="H520" s="52"/>
      <c r="I520" s="52"/>
      <c r="J520" s="55"/>
      <c r="K520" s="53">
        <f t="shared" si="109"/>
        <v>0</v>
      </c>
      <c r="L520" s="10"/>
    </row>
    <row r="521" spans="1:12" x14ac:dyDescent="0.35">
      <c r="A521" s="49">
        <f>IF(F521&lt;&gt;"",1+MAX($A$7:A520),"")</f>
        <v>403</v>
      </c>
      <c r="B521" s="6"/>
      <c r="C521" s="50" t="s">
        <v>125</v>
      </c>
      <c r="D521" s="61">
        <v>28.95</v>
      </c>
      <c r="E521" s="51">
        <v>0.1</v>
      </c>
      <c r="F521" s="54">
        <f t="shared" si="108"/>
        <v>31.845000000000002</v>
      </c>
      <c r="G521" s="52" t="s">
        <v>34</v>
      </c>
      <c r="H521" s="52"/>
      <c r="I521" s="52"/>
      <c r="J521" s="55"/>
      <c r="K521" s="53">
        <f t="shared" si="109"/>
        <v>0</v>
      </c>
      <c r="L521" s="10"/>
    </row>
    <row r="522" spans="1:12" x14ac:dyDescent="0.35">
      <c r="A522" s="49">
        <f>IF(F522&lt;&gt;"",1+MAX($A$7:A521),"")</f>
        <v>404</v>
      </c>
      <c r="B522" s="6"/>
      <c r="C522" s="50" t="s">
        <v>126</v>
      </c>
      <c r="D522" s="61">
        <v>39</v>
      </c>
      <c r="E522" s="51">
        <v>0.1</v>
      </c>
      <c r="F522" s="54">
        <f t="shared" si="108"/>
        <v>42.900000000000006</v>
      </c>
      <c r="G522" s="52" t="s">
        <v>34</v>
      </c>
      <c r="H522" s="52"/>
      <c r="I522" s="52"/>
      <c r="J522" s="55"/>
      <c r="K522" s="53">
        <f t="shared" si="109"/>
        <v>0</v>
      </c>
      <c r="L522" s="10"/>
    </row>
    <row r="523" spans="1:12" x14ac:dyDescent="0.35">
      <c r="A523" s="49">
        <f>IF(F523&lt;&gt;"",1+MAX($A$7:A522),"")</f>
        <v>405</v>
      </c>
      <c r="B523" s="6"/>
      <c r="C523" s="50" t="s">
        <v>127</v>
      </c>
      <c r="D523" s="61">
        <v>65.27</v>
      </c>
      <c r="E523" s="51">
        <v>0.1</v>
      </c>
      <c r="F523" s="54">
        <f t="shared" si="108"/>
        <v>71.796999999999997</v>
      </c>
      <c r="G523" s="52" t="s">
        <v>34</v>
      </c>
      <c r="H523" s="52"/>
      <c r="I523" s="52"/>
      <c r="J523" s="55"/>
      <c r="K523" s="53">
        <f t="shared" si="109"/>
        <v>0</v>
      </c>
      <c r="L523" s="10"/>
    </row>
    <row r="524" spans="1:12" x14ac:dyDescent="0.35">
      <c r="A524" s="49">
        <f>IF(F524&lt;&gt;"",1+MAX($A$7:A523),"")</f>
        <v>406</v>
      </c>
      <c r="B524" s="6"/>
      <c r="C524" s="50" t="s">
        <v>128</v>
      </c>
      <c r="D524" s="61">
        <v>185.38</v>
      </c>
      <c r="E524" s="51">
        <v>0.1</v>
      </c>
      <c r="F524" s="54">
        <f t="shared" si="108"/>
        <v>203.91800000000001</v>
      </c>
      <c r="G524" s="52" t="s">
        <v>34</v>
      </c>
      <c r="H524" s="52"/>
      <c r="I524" s="52"/>
      <c r="J524" s="55"/>
      <c r="K524" s="53">
        <f t="shared" si="109"/>
        <v>0</v>
      </c>
      <c r="L524" s="10"/>
    </row>
    <row r="525" spans="1:12" x14ac:dyDescent="0.35">
      <c r="A525" s="49">
        <f>IF(F525&lt;&gt;"",1+MAX($A$7:A524),"")</f>
        <v>407</v>
      </c>
      <c r="B525" s="6"/>
      <c r="C525" s="50" t="s">
        <v>110</v>
      </c>
      <c r="D525" s="61">
        <v>107.35</v>
      </c>
      <c r="E525" s="51">
        <v>0.1</v>
      </c>
      <c r="F525" s="54">
        <f t="shared" si="108"/>
        <v>118.08500000000001</v>
      </c>
      <c r="G525" s="52" t="s">
        <v>34</v>
      </c>
      <c r="H525" s="52"/>
      <c r="I525" s="52"/>
      <c r="J525" s="55"/>
      <c r="K525" s="53">
        <f t="shared" si="109"/>
        <v>0</v>
      </c>
      <c r="L525" s="10"/>
    </row>
    <row r="526" spans="1:12" x14ac:dyDescent="0.35">
      <c r="A526" s="49">
        <f>IF(F526&lt;&gt;"",1+MAX($A$7:A525),"")</f>
        <v>408</v>
      </c>
      <c r="B526" s="6"/>
      <c r="C526" s="50" t="s">
        <v>129</v>
      </c>
      <c r="D526" s="61">
        <v>115</v>
      </c>
      <c r="E526" s="51">
        <v>0.1</v>
      </c>
      <c r="F526" s="54">
        <f t="shared" si="108"/>
        <v>126.50000000000001</v>
      </c>
      <c r="G526" s="52" t="s">
        <v>34</v>
      </c>
      <c r="H526" s="52"/>
      <c r="I526" s="52"/>
      <c r="J526" s="55"/>
      <c r="K526" s="53">
        <f t="shared" si="109"/>
        <v>0</v>
      </c>
      <c r="L526" s="10"/>
    </row>
    <row r="527" spans="1:12" x14ac:dyDescent="0.35">
      <c r="A527" s="49">
        <f>IF(F527&lt;&gt;"",1+MAX($A$7:A526),"")</f>
        <v>409</v>
      </c>
      <c r="B527" s="6"/>
      <c r="C527" s="50" t="s">
        <v>117</v>
      </c>
      <c r="D527" s="61">
        <v>96</v>
      </c>
      <c r="E527" s="51">
        <v>0.1</v>
      </c>
      <c r="F527" s="54">
        <f t="shared" si="108"/>
        <v>105.60000000000001</v>
      </c>
      <c r="G527" s="52" t="s">
        <v>34</v>
      </c>
      <c r="H527" s="52"/>
      <c r="I527" s="52"/>
      <c r="J527" s="55"/>
      <c r="K527" s="53">
        <f t="shared" si="109"/>
        <v>0</v>
      </c>
      <c r="L527" s="10"/>
    </row>
    <row r="528" spans="1:12" x14ac:dyDescent="0.35">
      <c r="A528" s="49">
        <f>IF(F528&lt;&gt;"",1+MAX($A$7:A527),"")</f>
        <v>410</v>
      </c>
      <c r="B528" s="6"/>
      <c r="C528" s="50" t="s">
        <v>130</v>
      </c>
      <c r="D528" s="61">
        <v>242</v>
      </c>
      <c r="E528" s="51">
        <v>0.1</v>
      </c>
      <c r="F528" s="54">
        <f t="shared" si="108"/>
        <v>266.20000000000005</v>
      </c>
      <c r="G528" s="52" t="s">
        <v>34</v>
      </c>
      <c r="H528" s="52"/>
      <c r="I528" s="52"/>
      <c r="J528" s="55"/>
      <c r="K528" s="53">
        <f t="shared" si="109"/>
        <v>0</v>
      </c>
      <c r="L528" s="10"/>
    </row>
    <row r="529" spans="1:12" x14ac:dyDescent="0.35">
      <c r="A529" s="49">
        <f>IF(F529&lt;&gt;"",1+MAX($A$7:A528),"")</f>
        <v>411</v>
      </c>
      <c r="B529" s="6"/>
      <c r="C529" s="50" t="s">
        <v>131</v>
      </c>
      <c r="D529" s="61">
        <v>94.36</v>
      </c>
      <c r="E529" s="51">
        <v>0.1</v>
      </c>
      <c r="F529" s="54">
        <f t="shared" si="108"/>
        <v>103.79600000000001</v>
      </c>
      <c r="G529" s="52" t="s">
        <v>34</v>
      </c>
      <c r="H529" s="52"/>
      <c r="I529" s="52"/>
      <c r="J529" s="55"/>
      <c r="K529" s="53">
        <f t="shared" si="109"/>
        <v>0</v>
      </c>
      <c r="L529" s="10"/>
    </row>
    <row r="530" spans="1:12" x14ac:dyDescent="0.35">
      <c r="A530" s="49">
        <f>IF(F530&lt;&gt;"",1+MAX($A$7:A529),"")</f>
        <v>412</v>
      </c>
      <c r="B530" s="6"/>
      <c r="C530" s="50" t="s">
        <v>132</v>
      </c>
      <c r="D530" s="61">
        <v>18</v>
      </c>
      <c r="E530" s="51">
        <v>0.1</v>
      </c>
      <c r="F530" s="54">
        <f t="shared" si="108"/>
        <v>19.8</v>
      </c>
      <c r="G530" s="52" t="s">
        <v>34</v>
      </c>
      <c r="H530" s="52"/>
      <c r="I530" s="52"/>
      <c r="J530" s="55"/>
      <c r="K530" s="53">
        <f t="shared" si="109"/>
        <v>0</v>
      </c>
      <c r="L530" s="10"/>
    </row>
    <row r="531" spans="1:12" x14ac:dyDescent="0.35">
      <c r="A531" s="49">
        <f>IF(F531&lt;&gt;"",1+MAX($A$7:A530),"")</f>
        <v>413</v>
      </c>
      <c r="B531" s="6"/>
      <c r="C531" s="50" t="s">
        <v>133</v>
      </c>
      <c r="D531" s="61">
        <v>102.86</v>
      </c>
      <c r="E531" s="51">
        <v>0.1</v>
      </c>
      <c r="F531" s="54">
        <f t="shared" si="108"/>
        <v>113.14600000000002</v>
      </c>
      <c r="G531" s="52" t="s">
        <v>34</v>
      </c>
      <c r="H531" s="52"/>
      <c r="I531" s="52"/>
      <c r="J531" s="55"/>
      <c r="K531" s="53">
        <f t="shared" si="109"/>
        <v>0</v>
      </c>
      <c r="L531" s="10"/>
    </row>
    <row r="532" spans="1:12" x14ac:dyDescent="0.35">
      <c r="A532" s="49">
        <f>IF(F532&lt;&gt;"",1+MAX($A$7:A531),"")</f>
        <v>414</v>
      </c>
      <c r="B532" s="6"/>
      <c r="C532" s="50" t="s">
        <v>134</v>
      </c>
      <c r="D532" s="61">
        <v>38.299999999999997</v>
      </c>
      <c r="E532" s="51">
        <v>0.1</v>
      </c>
      <c r="F532" s="54">
        <f t="shared" si="108"/>
        <v>42.13</v>
      </c>
      <c r="G532" s="52" t="s">
        <v>34</v>
      </c>
      <c r="H532" s="52"/>
      <c r="I532" s="52"/>
      <c r="J532" s="55"/>
      <c r="K532" s="53">
        <f t="shared" si="109"/>
        <v>0</v>
      </c>
      <c r="L532" s="10"/>
    </row>
    <row r="533" spans="1:12" x14ac:dyDescent="0.35">
      <c r="A533" s="49">
        <f>IF(F533&lt;&gt;"",1+MAX($A$7:A532),"")</f>
        <v>415</v>
      </c>
      <c r="B533" s="6"/>
      <c r="C533" s="50" t="s">
        <v>135</v>
      </c>
      <c r="D533" s="61">
        <v>13.7</v>
      </c>
      <c r="E533" s="51">
        <v>0.1</v>
      </c>
      <c r="F533" s="54">
        <f t="shared" si="108"/>
        <v>15.07</v>
      </c>
      <c r="G533" s="52" t="s">
        <v>34</v>
      </c>
      <c r="H533" s="52"/>
      <c r="I533" s="52"/>
      <c r="J533" s="55"/>
      <c r="K533" s="53">
        <f t="shared" si="109"/>
        <v>0</v>
      </c>
      <c r="L533" s="10"/>
    </row>
    <row r="534" spans="1:12" x14ac:dyDescent="0.35">
      <c r="A534" s="49">
        <f>IF(F534&lt;&gt;"",1+MAX($A$7:A533),"")</f>
        <v>416</v>
      </c>
      <c r="B534" s="6"/>
      <c r="C534" s="50" t="s">
        <v>136</v>
      </c>
      <c r="D534" s="61">
        <v>21.74</v>
      </c>
      <c r="E534" s="51">
        <v>0.1</v>
      </c>
      <c r="F534" s="54">
        <f t="shared" si="108"/>
        <v>23.914000000000001</v>
      </c>
      <c r="G534" s="52" t="s">
        <v>34</v>
      </c>
      <c r="H534" s="52"/>
      <c r="I534" s="52"/>
      <c r="J534" s="55"/>
      <c r="K534" s="53">
        <f t="shared" si="109"/>
        <v>0</v>
      </c>
      <c r="L534" s="10"/>
    </row>
    <row r="535" spans="1:12" x14ac:dyDescent="0.35">
      <c r="A535" s="49">
        <f>IF(F535&lt;&gt;"",1+MAX($A$7:A534),"")</f>
        <v>417</v>
      </c>
      <c r="B535" s="6"/>
      <c r="C535" s="50" t="s">
        <v>137</v>
      </c>
      <c r="D535" s="61">
        <v>42.69</v>
      </c>
      <c r="E535" s="51">
        <v>0.1</v>
      </c>
      <c r="F535" s="54">
        <f t="shared" si="108"/>
        <v>46.959000000000003</v>
      </c>
      <c r="G535" s="52" t="s">
        <v>34</v>
      </c>
      <c r="H535" s="52"/>
      <c r="I535" s="52"/>
      <c r="J535" s="55"/>
      <c r="K535" s="53">
        <f t="shared" si="109"/>
        <v>0</v>
      </c>
      <c r="L535" s="10"/>
    </row>
    <row r="536" spans="1:12" x14ac:dyDescent="0.35">
      <c r="A536" s="49">
        <f>IF(F536&lt;&gt;"",1+MAX($A$7:A535),"")</f>
        <v>418</v>
      </c>
      <c r="B536" s="6"/>
      <c r="C536" s="50" t="s">
        <v>138</v>
      </c>
      <c r="D536" s="61">
        <v>43.81</v>
      </c>
      <c r="E536" s="51">
        <v>0.1</v>
      </c>
      <c r="F536" s="54">
        <f t="shared" si="108"/>
        <v>48.19100000000001</v>
      </c>
      <c r="G536" s="52" t="s">
        <v>34</v>
      </c>
      <c r="H536" s="52"/>
      <c r="I536" s="52"/>
      <c r="J536" s="55"/>
      <c r="K536" s="53">
        <f t="shared" si="109"/>
        <v>0</v>
      </c>
      <c r="L536" s="10"/>
    </row>
    <row r="537" spans="1:12" x14ac:dyDescent="0.35">
      <c r="A537" s="49">
        <f>IF(F537&lt;&gt;"",1+MAX($A$7:A536),"")</f>
        <v>419</v>
      </c>
      <c r="B537" s="6"/>
      <c r="C537" s="50" t="s">
        <v>139</v>
      </c>
      <c r="D537" s="61">
        <v>355.77</v>
      </c>
      <c r="E537" s="51">
        <v>0.1</v>
      </c>
      <c r="F537" s="54">
        <f t="shared" si="108"/>
        <v>391.34700000000004</v>
      </c>
      <c r="G537" s="52" t="s">
        <v>34</v>
      </c>
      <c r="H537" s="52"/>
      <c r="I537" s="52"/>
      <c r="J537" s="55"/>
      <c r="K537" s="53">
        <f t="shared" si="109"/>
        <v>0</v>
      </c>
      <c r="L537" s="10"/>
    </row>
    <row r="538" spans="1:12" x14ac:dyDescent="0.35">
      <c r="A538" s="49">
        <f>IF(F538&lt;&gt;"",1+MAX($A$7:A537),"")</f>
        <v>420</v>
      </c>
      <c r="B538" s="6"/>
      <c r="C538" s="50" t="s">
        <v>140</v>
      </c>
      <c r="D538" s="61">
        <v>18.579999999999998</v>
      </c>
      <c r="E538" s="51">
        <v>0.1</v>
      </c>
      <c r="F538" s="54">
        <f t="shared" si="108"/>
        <v>20.437999999999999</v>
      </c>
      <c r="G538" s="52" t="s">
        <v>34</v>
      </c>
      <c r="H538" s="52"/>
      <c r="I538" s="52"/>
      <c r="J538" s="55"/>
      <c r="K538" s="53">
        <f t="shared" si="109"/>
        <v>0</v>
      </c>
      <c r="L538" s="10"/>
    </row>
    <row r="539" spans="1:12" x14ac:dyDescent="0.35">
      <c r="A539" s="49">
        <f>IF(F539&lt;&gt;"",1+MAX($A$7:A538),"")</f>
        <v>421</v>
      </c>
      <c r="B539" s="6"/>
      <c r="C539" s="50" t="s">
        <v>141</v>
      </c>
      <c r="D539" s="61">
        <v>86.39</v>
      </c>
      <c r="E539" s="51">
        <v>0.1</v>
      </c>
      <c r="F539" s="54">
        <f t="shared" si="108"/>
        <v>95.029000000000011</v>
      </c>
      <c r="G539" s="52" t="s">
        <v>34</v>
      </c>
      <c r="H539" s="52"/>
      <c r="I539" s="52"/>
      <c r="J539" s="55"/>
      <c r="K539" s="53">
        <f t="shared" si="109"/>
        <v>0</v>
      </c>
      <c r="L539" s="10"/>
    </row>
    <row r="540" spans="1:12" x14ac:dyDescent="0.35">
      <c r="A540" s="49">
        <f>IF(F540&lt;&gt;"",1+MAX($A$7:A539),"")</f>
        <v>422</v>
      </c>
      <c r="B540" s="6"/>
      <c r="C540" s="50" t="s">
        <v>142</v>
      </c>
      <c r="D540" s="61">
        <v>75.98</v>
      </c>
      <c r="E540" s="51">
        <v>0.1</v>
      </c>
      <c r="F540" s="54">
        <f t="shared" si="108"/>
        <v>83.578000000000017</v>
      </c>
      <c r="G540" s="52" t="s">
        <v>34</v>
      </c>
      <c r="H540" s="52"/>
      <c r="I540" s="52"/>
      <c r="J540" s="55"/>
      <c r="K540" s="53">
        <f t="shared" si="109"/>
        <v>0</v>
      </c>
      <c r="L540" s="10"/>
    </row>
    <row r="541" spans="1:12" x14ac:dyDescent="0.35">
      <c r="A541" s="49">
        <f>IF(F541&lt;&gt;"",1+MAX($A$7:A540),"")</f>
        <v>423</v>
      </c>
      <c r="B541" s="6"/>
      <c r="C541" s="50" t="s">
        <v>143</v>
      </c>
      <c r="D541" s="61">
        <v>77.41</v>
      </c>
      <c r="E541" s="51">
        <v>0.1</v>
      </c>
      <c r="F541" s="54">
        <f t="shared" si="108"/>
        <v>85.150999999999996</v>
      </c>
      <c r="G541" s="52" t="s">
        <v>34</v>
      </c>
      <c r="H541" s="52"/>
      <c r="I541" s="52"/>
      <c r="J541" s="55"/>
      <c r="K541" s="53">
        <f t="shared" si="109"/>
        <v>0</v>
      </c>
      <c r="L541" s="10"/>
    </row>
    <row r="542" spans="1:12" ht="16" thickBot="1" x14ac:dyDescent="0.4">
      <c r="A542" s="49"/>
      <c r="B542" s="6"/>
      <c r="C542" s="50"/>
      <c r="D542" s="62"/>
      <c r="E542" s="51"/>
      <c r="F542" s="54"/>
      <c r="G542" s="52"/>
      <c r="H542" s="52"/>
      <c r="I542" s="52"/>
      <c r="J542" s="55"/>
      <c r="K542" s="53"/>
      <c r="L542" s="10"/>
    </row>
    <row r="543" spans="1:12" ht="16" thickBot="1" x14ac:dyDescent="0.4">
      <c r="A543" s="41"/>
      <c r="B543" s="42"/>
      <c r="C543" s="47" t="s">
        <v>499</v>
      </c>
      <c r="D543" s="62"/>
      <c r="E543" s="7"/>
      <c r="F543" s="28"/>
      <c r="G543" s="15"/>
      <c r="H543" s="15"/>
      <c r="I543" s="15"/>
      <c r="J543" s="8"/>
      <c r="K543" s="9"/>
      <c r="L543" s="10"/>
    </row>
    <row r="544" spans="1:12" x14ac:dyDescent="0.35">
      <c r="A544" s="49">
        <f>IF(F544&lt;&gt;"",1+MAX($A$7:A543),"")</f>
        <v>424</v>
      </c>
      <c r="B544" s="6"/>
      <c r="C544" s="50" t="s">
        <v>144</v>
      </c>
      <c r="D544" s="61">
        <v>19.82</v>
      </c>
      <c r="E544" s="51">
        <v>0.1</v>
      </c>
      <c r="F544" s="54">
        <f t="shared" ref="F544:F546" si="110">D544*(1+E544)</f>
        <v>21.802000000000003</v>
      </c>
      <c r="G544" s="52" t="s">
        <v>34</v>
      </c>
      <c r="H544" s="52"/>
      <c r="I544" s="52"/>
      <c r="J544" s="55"/>
      <c r="K544" s="53">
        <f t="shared" ref="K544:K546" si="111">J544*F544</f>
        <v>0</v>
      </c>
      <c r="L544" s="10"/>
    </row>
    <row r="545" spans="1:12" x14ac:dyDescent="0.35">
      <c r="A545" s="49">
        <f>IF(F545&lt;&gt;"",1+MAX($A$7:A544),"")</f>
        <v>425</v>
      </c>
      <c r="B545" s="6"/>
      <c r="C545" s="50" t="s">
        <v>145</v>
      </c>
      <c r="D545" s="61">
        <v>36.450000000000003</v>
      </c>
      <c r="E545" s="51">
        <v>0.1</v>
      </c>
      <c r="F545" s="54">
        <f t="shared" si="110"/>
        <v>40.095000000000006</v>
      </c>
      <c r="G545" s="52" t="s">
        <v>34</v>
      </c>
      <c r="H545" s="52"/>
      <c r="I545" s="52"/>
      <c r="J545" s="55"/>
      <c r="K545" s="53">
        <f t="shared" si="111"/>
        <v>0</v>
      </c>
      <c r="L545" s="10"/>
    </row>
    <row r="546" spans="1:12" x14ac:dyDescent="0.35">
      <c r="A546" s="49">
        <f>IF(F546&lt;&gt;"",1+MAX($A$7:A545),"")</f>
        <v>426</v>
      </c>
      <c r="B546" s="6"/>
      <c r="C546" s="50" t="s">
        <v>146</v>
      </c>
      <c r="D546" s="61">
        <v>1</v>
      </c>
      <c r="E546" s="51">
        <v>0</v>
      </c>
      <c r="F546" s="54">
        <f t="shared" si="110"/>
        <v>1</v>
      </c>
      <c r="G546" s="52" t="s">
        <v>50</v>
      </c>
      <c r="H546" s="52"/>
      <c r="I546" s="52"/>
      <c r="J546" s="55"/>
      <c r="K546" s="53">
        <f t="shared" si="111"/>
        <v>0</v>
      </c>
      <c r="L546" s="10"/>
    </row>
    <row r="547" spans="1:12" ht="16" thickBot="1" x14ac:dyDescent="0.4">
      <c r="A547" s="49"/>
      <c r="B547" s="6"/>
      <c r="C547" s="50"/>
      <c r="D547" s="62"/>
      <c r="E547" s="51"/>
      <c r="F547" s="54"/>
      <c r="G547" s="52"/>
      <c r="H547" s="52"/>
      <c r="I547" s="52"/>
      <c r="J547" s="55"/>
      <c r="K547" s="53"/>
      <c r="L547" s="10"/>
    </row>
    <row r="548" spans="1:12" ht="16" thickBot="1" x14ac:dyDescent="0.4">
      <c r="A548" s="41"/>
      <c r="B548" s="42"/>
      <c r="C548" s="47" t="s">
        <v>504</v>
      </c>
      <c r="D548" s="62"/>
      <c r="E548" s="7"/>
      <c r="F548" s="28"/>
      <c r="G548" s="15"/>
      <c r="H548" s="15"/>
      <c r="I548" s="15"/>
      <c r="J548" s="8"/>
      <c r="K548" s="9"/>
      <c r="L548" s="10"/>
    </row>
    <row r="549" spans="1:12" ht="29" x14ac:dyDescent="0.35">
      <c r="A549" s="49">
        <f>IF(F549&lt;&gt;"",1+MAX($A$7:A548),"")</f>
        <v>427</v>
      </c>
      <c r="B549" s="6"/>
      <c r="C549" s="50" t="s">
        <v>147</v>
      </c>
      <c r="D549" s="61">
        <v>15</v>
      </c>
      <c r="E549" s="51">
        <v>0</v>
      </c>
      <c r="F549" s="54">
        <f t="shared" ref="F549:F555" si="112">D549*(1+E549)</f>
        <v>15</v>
      </c>
      <c r="G549" s="52" t="s">
        <v>50</v>
      </c>
      <c r="H549" s="52"/>
      <c r="I549" s="52"/>
      <c r="J549" s="55"/>
      <c r="K549" s="53">
        <f t="shared" ref="K549:K555" si="113">J549*F549</f>
        <v>0</v>
      </c>
      <c r="L549" s="10"/>
    </row>
    <row r="550" spans="1:12" ht="29" x14ac:dyDescent="0.35">
      <c r="A550" s="49">
        <f>IF(F550&lt;&gt;"",1+MAX($A$7:A549),"")</f>
        <v>428</v>
      </c>
      <c r="B550" s="6"/>
      <c r="C550" s="50" t="s">
        <v>148</v>
      </c>
      <c r="D550" s="61">
        <v>8</v>
      </c>
      <c r="E550" s="51">
        <v>0</v>
      </c>
      <c r="F550" s="54">
        <f t="shared" si="112"/>
        <v>8</v>
      </c>
      <c r="G550" s="52" t="s">
        <v>50</v>
      </c>
      <c r="H550" s="52"/>
      <c r="I550" s="52"/>
      <c r="J550" s="55"/>
      <c r="K550" s="53">
        <f t="shared" si="113"/>
        <v>0</v>
      </c>
      <c r="L550" s="10"/>
    </row>
    <row r="551" spans="1:12" ht="29" x14ac:dyDescent="0.35">
      <c r="A551" s="49">
        <f>IF(F551&lt;&gt;"",1+MAX($A$7:A550),"")</f>
        <v>429</v>
      </c>
      <c r="B551" s="6"/>
      <c r="C551" s="50" t="s">
        <v>149</v>
      </c>
      <c r="D551" s="61">
        <v>105</v>
      </c>
      <c r="E551" s="51">
        <v>0</v>
      </c>
      <c r="F551" s="54">
        <f t="shared" si="112"/>
        <v>105</v>
      </c>
      <c r="G551" s="52" t="s">
        <v>50</v>
      </c>
      <c r="H551" s="52"/>
      <c r="I551" s="52"/>
      <c r="J551" s="55"/>
      <c r="K551" s="53">
        <f t="shared" si="113"/>
        <v>0</v>
      </c>
      <c r="L551" s="10"/>
    </row>
    <row r="552" spans="1:12" ht="29" x14ac:dyDescent="0.35">
      <c r="A552" s="49">
        <f>IF(F552&lt;&gt;"",1+MAX($A$7:A551),"")</f>
        <v>430</v>
      </c>
      <c r="B552" s="6"/>
      <c r="C552" s="50" t="s">
        <v>150</v>
      </c>
      <c r="D552" s="61">
        <v>20</v>
      </c>
      <c r="E552" s="51">
        <v>0</v>
      </c>
      <c r="F552" s="54">
        <f t="shared" si="112"/>
        <v>20</v>
      </c>
      <c r="G552" s="52" t="s">
        <v>50</v>
      </c>
      <c r="H552" s="52"/>
      <c r="I552" s="52"/>
      <c r="J552" s="55"/>
      <c r="K552" s="53">
        <f t="shared" si="113"/>
        <v>0</v>
      </c>
      <c r="L552" s="10"/>
    </row>
    <row r="553" spans="1:12" ht="29" x14ac:dyDescent="0.35">
      <c r="A553" s="49">
        <f>IF(F553&lt;&gt;"",1+MAX($A$7:A552),"")</f>
        <v>431</v>
      </c>
      <c r="B553" s="6"/>
      <c r="C553" s="50" t="s">
        <v>151</v>
      </c>
      <c r="D553" s="61">
        <v>9</v>
      </c>
      <c r="E553" s="51">
        <v>0</v>
      </c>
      <c r="F553" s="54">
        <f t="shared" si="112"/>
        <v>9</v>
      </c>
      <c r="G553" s="52" t="s">
        <v>50</v>
      </c>
      <c r="H553" s="52"/>
      <c r="I553" s="52"/>
      <c r="J553" s="55"/>
      <c r="K553" s="53">
        <f t="shared" si="113"/>
        <v>0</v>
      </c>
      <c r="L553" s="10"/>
    </row>
    <row r="554" spans="1:12" ht="29" x14ac:dyDescent="0.35">
      <c r="A554" s="49">
        <f>IF(F554&lt;&gt;"",1+MAX($A$7:A553),"")</f>
        <v>432</v>
      </c>
      <c r="B554" s="6"/>
      <c r="C554" s="50" t="s">
        <v>152</v>
      </c>
      <c r="D554" s="61">
        <v>6</v>
      </c>
      <c r="E554" s="51">
        <v>0</v>
      </c>
      <c r="F554" s="54">
        <f t="shared" si="112"/>
        <v>6</v>
      </c>
      <c r="G554" s="52" t="s">
        <v>50</v>
      </c>
      <c r="H554" s="52"/>
      <c r="I554" s="52"/>
      <c r="J554" s="55"/>
      <c r="K554" s="53">
        <f t="shared" si="113"/>
        <v>0</v>
      </c>
      <c r="L554" s="10"/>
    </row>
    <row r="555" spans="1:12" ht="29" x14ac:dyDescent="0.35">
      <c r="A555" s="49">
        <f>IF(F555&lt;&gt;"",1+MAX($A$7:A554),"")</f>
        <v>433</v>
      </c>
      <c r="B555" s="6"/>
      <c r="C555" s="50" t="s">
        <v>153</v>
      </c>
      <c r="D555" s="61">
        <v>1</v>
      </c>
      <c r="E555" s="51">
        <v>0</v>
      </c>
      <c r="F555" s="54">
        <f t="shared" si="112"/>
        <v>1</v>
      </c>
      <c r="G555" s="52" t="s">
        <v>50</v>
      </c>
      <c r="H555" s="52"/>
      <c r="I555" s="52"/>
      <c r="J555" s="55"/>
      <c r="K555" s="53">
        <f t="shared" si="113"/>
        <v>0</v>
      </c>
      <c r="L555" s="10"/>
    </row>
    <row r="556" spans="1:12" ht="16" thickBot="1" x14ac:dyDescent="0.4">
      <c r="A556" s="49"/>
      <c r="B556" s="6"/>
      <c r="C556" s="50"/>
      <c r="D556" s="62"/>
      <c r="E556" s="51"/>
      <c r="F556" s="54"/>
      <c r="G556" s="52"/>
      <c r="H556" s="52"/>
      <c r="I556" s="52"/>
      <c r="J556" s="55"/>
      <c r="K556" s="53"/>
      <c r="L556" s="10"/>
    </row>
    <row r="557" spans="1:12" ht="16" thickBot="1" x14ac:dyDescent="0.4">
      <c r="A557" s="41"/>
      <c r="B557" s="42"/>
      <c r="C557" s="47" t="s">
        <v>503</v>
      </c>
      <c r="D557" s="62"/>
      <c r="E557" s="7"/>
      <c r="F557" s="28"/>
      <c r="G557" s="15"/>
      <c r="H557" s="15"/>
      <c r="I557" s="15"/>
      <c r="J557" s="8"/>
      <c r="K557" s="9"/>
      <c r="L557" s="10"/>
    </row>
    <row r="558" spans="1:12" ht="30.75" customHeight="1" x14ac:dyDescent="0.35">
      <c r="A558" s="49">
        <f>IF(F558&lt;&gt;"",1+MAX($A$7:A557),"")</f>
        <v>434</v>
      </c>
      <c r="B558" s="6"/>
      <c r="C558" s="50" t="s">
        <v>154</v>
      </c>
      <c r="D558" s="61">
        <v>20</v>
      </c>
      <c r="E558" s="51">
        <v>0</v>
      </c>
      <c r="F558" s="54">
        <f t="shared" ref="F558:F566" si="114">D558*(1+E558)</f>
        <v>20</v>
      </c>
      <c r="G558" s="52" t="s">
        <v>50</v>
      </c>
      <c r="H558" s="52"/>
      <c r="I558" s="52"/>
      <c r="J558" s="55"/>
      <c r="K558" s="53">
        <f t="shared" ref="K558:K566" si="115">J558*F558</f>
        <v>0</v>
      </c>
      <c r="L558" s="10"/>
    </row>
    <row r="559" spans="1:12" ht="30.75" customHeight="1" x14ac:dyDescent="0.35">
      <c r="A559" s="49">
        <f>IF(F559&lt;&gt;"",1+MAX($A$7:A558),"")</f>
        <v>435</v>
      </c>
      <c r="B559" s="6"/>
      <c r="C559" s="50" t="s">
        <v>155</v>
      </c>
      <c r="D559" s="61">
        <v>6</v>
      </c>
      <c r="E559" s="51">
        <v>0</v>
      </c>
      <c r="F559" s="54">
        <f t="shared" si="114"/>
        <v>6</v>
      </c>
      <c r="G559" s="52" t="s">
        <v>50</v>
      </c>
      <c r="H559" s="52"/>
      <c r="I559" s="52"/>
      <c r="J559" s="55"/>
      <c r="K559" s="53">
        <f t="shared" si="115"/>
        <v>0</v>
      </c>
      <c r="L559" s="10"/>
    </row>
    <row r="560" spans="1:12" ht="30.75" customHeight="1" x14ac:dyDescent="0.35">
      <c r="A560" s="49">
        <f>IF(F560&lt;&gt;"",1+MAX($A$7:A559),"")</f>
        <v>436</v>
      </c>
      <c r="B560" s="6"/>
      <c r="C560" s="50" t="s">
        <v>156</v>
      </c>
      <c r="D560" s="61">
        <v>7</v>
      </c>
      <c r="E560" s="51">
        <v>0</v>
      </c>
      <c r="F560" s="54">
        <f t="shared" si="114"/>
        <v>7</v>
      </c>
      <c r="G560" s="52" t="s">
        <v>50</v>
      </c>
      <c r="H560" s="52"/>
      <c r="I560" s="52"/>
      <c r="J560" s="55"/>
      <c r="K560" s="53">
        <f t="shared" si="115"/>
        <v>0</v>
      </c>
      <c r="L560" s="10"/>
    </row>
    <row r="561" spans="1:12" ht="30.75" customHeight="1" x14ac:dyDescent="0.35">
      <c r="A561" s="49">
        <f>IF(F561&lt;&gt;"",1+MAX($A$7:A560),"")</f>
        <v>437</v>
      </c>
      <c r="B561" s="6"/>
      <c r="C561" s="50" t="s">
        <v>157</v>
      </c>
      <c r="D561" s="61">
        <v>18</v>
      </c>
      <c r="E561" s="51">
        <v>0</v>
      </c>
      <c r="F561" s="54">
        <f t="shared" si="114"/>
        <v>18</v>
      </c>
      <c r="G561" s="52" t="s">
        <v>50</v>
      </c>
      <c r="H561" s="52"/>
      <c r="I561" s="52"/>
      <c r="J561" s="55"/>
      <c r="K561" s="53">
        <f t="shared" si="115"/>
        <v>0</v>
      </c>
      <c r="L561" s="10"/>
    </row>
    <row r="562" spans="1:12" ht="30.75" customHeight="1" x14ac:dyDescent="0.35">
      <c r="A562" s="49">
        <f>IF(F562&lt;&gt;"",1+MAX($A$7:A561),"")</f>
        <v>438</v>
      </c>
      <c r="B562" s="6"/>
      <c r="C562" s="50" t="s">
        <v>158</v>
      </c>
      <c r="D562" s="61">
        <v>18</v>
      </c>
      <c r="E562" s="51">
        <v>0</v>
      </c>
      <c r="F562" s="54">
        <f t="shared" si="114"/>
        <v>18</v>
      </c>
      <c r="G562" s="52" t="s">
        <v>50</v>
      </c>
      <c r="H562" s="52"/>
      <c r="I562" s="52"/>
      <c r="J562" s="55"/>
      <c r="K562" s="53">
        <f t="shared" si="115"/>
        <v>0</v>
      </c>
      <c r="L562" s="10"/>
    </row>
    <row r="563" spans="1:12" ht="30.75" customHeight="1" x14ac:dyDescent="0.35">
      <c r="A563" s="49">
        <f>IF(F563&lt;&gt;"",1+MAX($A$7:A562),"")</f>
        <v>439</v>
      </c>
      <c r="B563" s="6"/>
      <c r="C563" s="50" t="s">
        <v>159</v>
      </c>
      <c r="D563" s="61">
        <v>7</v>
      </c>
      <c r="E563" s="51">
        <v>0</v>
      </c>
      <c r="F563" s="54">
        <f t="shared" si="114"/>
        <v>7</v>
      </c>
      <c r="G563" s="52" t="s">
        <v>50</v>
      </c>
      <c r="H563" s="52"/>
      <c r="I563" s="52"/>
      <c r="J563" s="55"/>
      <c r="K563" s="53">
        <f t="shared" si="115"/>
        <v>0</v>
      </c>
      <c r="L563" s="10"/>
    </row>
    <row r="564" spans="1:12" ht="30.75" customHeight="1" x14ac:dyDescent="0.35">
      <c r="A564" s="49">
        <f>IF(F564&lt;&gt;"",1+MAX($A$7:A563),"")</f>
        <v>440</v>
      </c>
      <c r="B564" s="6"/>
      <c r="C564" s="50" t="s">
        <v>160</v>
      </c>
      <c r="D564" s="61">
        <v>3</v>
      </c>
      <c r="E564" s="51">
        <v>0</v>
      </c>
      <c r="F564" s="54">
        <f t="shared" si="114"/>
        <v>3</v>
      </c>
      <c r="G564" s="52" t="s">
        <v>50</v>
      </c>
      <c r="H564" s="52"/>
      <c r="I564" s="52"/>
      <c r="J564" s="55"/>
      <c r="K564" s="53">
        <f t="shared" si="115"/>
        <v>0</v>
      </c>
      <c r="L564" s="10"/>
    </row>
    <row r="565" spans="1:12" ht="30.75" customHeight="1" x14ac:dyDescent="0.35">
      <c r="A565" s="49">
        <f>IF(F565&lt;&gt;"",1+MAX($A$7:A564),"")</f>
        <v>441</v>
      </c>
      <c r="B565" s="6"/>
      <c r="C565" s="50" t="s">
        <v>161</v>
      </c>
      <c r="D565" s="61">
        <v>6</v>
      </c>
      <c r="E565" s="51">
        <v>0</v>
      </c>
      <c r="F565" s="54">
        <f t="shared" si="114"/>
        <v>6</v>
      </c>
      <c r="G565" s="52" t="s">
        <v>50</v>
      </c>
      <c r="H565" s="52"/>
      <c r="I565" s="52"/>
      <c r="J565" s="55"/>
      <c r="K565" s="53">
        <f t="shared" si="115"/>
        <v>0</v>
      </c>
      <c r="L565" s="10"/>
    </row>
    <row r="566" spans="1:12" s="67" customFormat="1" ht="30.75" customHeight="1" x14ac:dyDescent="0.35">
      <c r="A566" s="49">
        <f>IF(F566&lt;&gt;"",1+MAX($A$7:A565),"")</f>
        <v>442</v>
      </c>
      <c r="B566" s="65"/>
      <c r="C566" s="50" t="s">
        <v>162</v>
      </c>
      <c r="D566" s="61">
        <v>4</v>
      </c>
      <c r="E566" s="51">
        <v>0</v>
      </c>
      <c r="F566" s="54">
        <f t="shared" si="114"/>
        <v>4</v>
      </c>
      <c r="G566" s="52" t="s">
        <v>50</v>
      </c>
      <c r="H566" s="52"/>
      <c r="I566" s="52"/>
      <c r="J566" s="55"/>
      <c r="K566" s="53">
        <f t="shared" si="115"/>
        <v>0</v>
      </c>
      <c r="L566" s="66"/>
    </row>
    <row r="567" spans="1:12" ht="16" thickBot="1" x14ac:dyDescent="0.4">
      <c r="A567" s="49"/>
      <c r="B567" s="6"/>
      <c r="C567" s="50"/>
      <c r="D567" s="61"/>
      <c r="E567" s="51"/>
      <c r="F567" s="54"/>
      <c r="G567" s="52"/>
      <c r="H567" s="52"/>
      <c r="I567" s="52"/>
      <c r="J567" s="55"/>
      <c r="K567" s="53"/>
      <c r="L567" s="10"/>
    </row>
    <row r="568" spans="1:12" ht="16" thickBot="1" x14ac:dyDescent="0.4">
      <c r="A568" s="41"/>
      <c r="B568" s="42"/>
      <c r="C568" s="47" t="s">
        <v>502</v>
      </c>
      <c r="D568" s="62"/>
      <c r="E568" s="7"/>
      <c r="F568" s="28"/>
      <c r="G568" s="15"/>
      <c r="H568" s="15"/>
      <c r="I568" s="15"/>
      <c r="J568" s="8"/>
      <c r="K568" s="9"/>
      <c r="L568" s="10"/>
    </row>
    <row r="569" spans="1:12" s="67" customFormat="1" ht="30.75" customHeight="1" x14ac:dyDescent="0.35">
      <c r="A569" s="49">
        <f>IF(F569&lt;&gt;"",1+MAX($A$7:A568),"")</f>
        <v>443</v>
      </c>
      <c r="B569" s="65"/>
      <c r="C569" s="50" t="s">
        <v>163</v>
      </c>
      <c r="D569" s="61">
        <v>14</v>
      </c>
      <c r="E569" s="51">
        <v>0</v>
      </c>
      <c r="F569" s="54">
        <f t="shared" ref="F569:F571" si="116">D569*(1+E569)</f>
        <v>14</v>
      </c>
      <c r="G569" s="52" t="s">
        <v>50</v>
      </c>
      <c r="H569" s="52"/>
      <c r="I569" s="52"/>
      <c r="J569" s="55"/>
      <c r="K569" s="53">
        <f t="shared" ref="K569:K571" si="117">J569*F569</f>
        <v>0</v>
      </c>
      <c r="L569" s="66"/>
    </row>
    <row r="570" spans="1:12" s="67" customFormat="1" ht="30.75" customHeight="1" x14ac:dyDescent="0.35">
      <c r="A570" s="49">
        <f>IF(F570&lt;&gt;"",1+MAX($A$7:A569),"")</f>
        <v>444</v>
      </c>
      <c r="B570" s="65"/>
      <c r="C570" s="50" t="s">
        <v>198</v>
      </c>
      <c r="D570" s="61">
        <v>125</v>
      </c>
      <c r="E570" s="51">
        <v>0</v>
      </c>
      <c r="F570" s="54">
        <f t="shared" si="116"/>
        <v>125</v>
      </c>
      <c r="G570" s="52" t="s">
        <v>50</v>
      </c>
      <c r="H570" s="52"/>
      <c r="I570" s="52"/>
      <c r="J570" s="55"/>
      <c r="K570" s="53">
        <f t="shared" si="117"/>
        <v>0</v>
      </c>
      <c r="L570" s="66"/>
    </row>
    <row r="571" spans="1:12" s="67" customFormat="1" ht="30.75" customHeight="1" x14ac:dyDescent="0.35">
      <c r="A571" s="49">
        <f>IF(F571&lt;&gt;"",1+MAX($A$7:A570),"")</f>
        <v>445</v>
      </c>
      <c r="B571" s="65"/>
      <c r="C571" s="50" t="s">
        <v>199</v>
      </c>
      <c r="D571" s="61">
        <v>14</v>
      </c>
      <c r="E571" s="51">
        <v>0</v>
      </c>
      <c r="F571" s="54">
        <f t="shared" si="116"/>
        <v>14</v>
      </c>
      <c r="G571" s="52" t="s">
        <v>50</v>
      </c>
      <c r="H571" s="52"/>
      <c r="I571" s="52"/>
      <c r="J571" s="55"/>
      <c r="K571" s="53">
        <f t="shared" si="117"/>
        <v>0</v>
      </c>
      <c r="L571" s="66"/>
    </row>
    <row r="572" spans="1:12" ht="16" thickBot="1" x14ac:dyDescent="0.4">
      <c r="A572" s="49"/>
      <c r="B572" s="6"/>
      <c r="C572" s="50"/>
      <c r="D572" s="62"/>
      <c r="E572" s="51"/>
      <c r="F572" s="54"/>
      <c r="G572" s="52"/>
      <c r="H572" s="52"/>
      <c r="I572" s="52"/>
      <c r="J572" s="55"/>
      <c r="K572" s="53"/>
      <c r="L572" s="10"/>
    </row>
    <row r="573" spans="1:12" ht="16" thickBot="1" x14ac:dyDescent="0.4">
      <c r="A573" s="41"/>
      <c r="B573" s="42"/>
      <c r="C573" s="47" t="s">
        <v>500</v>
      </c>
      <c r="D573" s="62"/>
      <c r="E573" s="7"/>
      <c r="F573" s="28"/>
      <c r="G573" s="15"/>
      <c r="H573" s="15"/>
      <c r="I573" s="15"/>
      <c r="J573" s="8"/>
      <c r="K573" s="9"/>
      <c r="L573" s="10"/>
    </row>
    <row r="574" spans="1:12" ht="29" x14ac:dyDescent="0.35">
      <c r="A574" s="49">
        <f>IF(F574&lt;&gt;"",1+MAX($A$7:A573),"")</f>
        <v>446</v>
      </c>
      <c r="B574" s="6"/>
      <c r="C574" s="50" t="s">
        <v>173</v>
      </c>
      <c r="D574" s="62">
        <v>3</v>
      </c>
      <c r="E574" s="51">
        <v>0</v>
      </c>
      <c r="F574" s="54">
        <f t="shared" ref="F574:F576" si="118">D574*(1+E574)</f>
        <v>3</v>
      </c>
      <c r="G574" s="52" t="s">
        <v>50</v>
      </c>
      <c r="H574" s="52"/>
      <c r="I574" s="52"/>
      <c r="J574" s="55"/>
      <c r="K574" s="53">
        <f t="shared" ref="K574:K576" si="119">J574*F574</f>
        <v>0</v>
      </c>
      <c r="L574" s="10"/>
    </row>
    <row r="575" spans="1:12" ht="29" x14ac:dyDescent="0.35">
      <c r="A575" s="49">
        <f>IF(F575&lt;&gt;"",1+MAX($A$7:A574),"")</f>
        <v>447</v>
      </c>
      <c r="B575" s="6"/>
      <c r="C575" s="50" t="s">
        <v>174</v>
      </c>
      <c r="D575" s="62">
        <v>4</v>
      </c>
      <c r="E575" s="51">
        <v>0</v>
      </c>
      <c r="F575" s="54">
        <f t="shared" si="118"/>
        <v>4</v>
      </c>
      <c r="G575" s="52" t="s">
        <v>50</v>
      </c>
      <c r="H575" s="52"/>
      <c r="I575" s="52"/>
      <c r="J575" s="55"/>
      <c r="K575" s="53">
        <f t="shared" si="119"/>
        <v>0</v>
      </c>
      <c r="L575" s="10"/>
    </row>
    <row r="576" spans="1:12" ht="29" x14ac:dyDescent="0.35">
      <c r="A576" s="49">
        <f>IF(F576&lt;&gt;"",1+MAX($A$7:A575),"")</f>
        <v>448</v>
      </c>
      <c r="B576" s="6"/>
      <c r="C576" s="50" t="s">
        <v>175</v>
      </c>
      <c r="D576" s="62">
        <v>1</v>
      </c>
      <c r="E576" s="51">
        <v>0</v>
      </c>
      <c r="F576" s="54">
        <f t="shared" si="118"/>
        <v>1</v>
      </c>
      <c r="G576" s="52" t="s">
        <v>50</v>
      </c>
      <c r="H576" s="52"/>
      <c r="I576" s="52"/>
      <c r="J576" s="55"/>
      <c r="K576" s="53">
        <f t="shared" si="119"/>
        <v>0</v>
      </c>
      <c r="L576" s="10"/>
    </row>
    <row r="577" spans="1:12" ht="16" thickBot="1" x14ac:dyDescent="0.4">
      <c r="A577" s="49"/>
      <c r="B577" s="6"/>
      <c r="C577" s="50"/>
      <c r="D577" s="62"/>
      <c r="E577" s="51"/>
      <c r="F577" s="54"/>
      <c r="G577" s="52"/>
      <c r="H577" s="52"/>
      <c r="I577" s="52"/>
      <c r="J577" s="55"/>
      <c r="K577" s="53"/>
      <c r="L577" s="10"/>
    </row>
    <row r="578" spans="1:12" ht="16" thickBot="1" x14ac:dyDescent="0.4">
      <c r="A578" s="41"/>
      <c r="B578" s="42"/>
      <c r="C578" s="47" t="s">
        <v>200</v>
      </c>
      <c r="D578" s="62"/>
      <c r="E578" s="7"/>
      <c r="F578" s="28"/>
      <c r="G578" s="15"/>
      <c r="H578" s="15"/>
      <c r="I578" s="15"/>
      <c r="J578" s="8"/>
      <c r="K578" s="9"/>
      <c r="L578" s="10"/>
    </row>
    <row r="579" spans="1:12" x14ac:dyDescent="0.35">
      <c r="A579" s="49">
        <f>IF(F579&lt;&gt;"",1+MAX($A$7:A578),"")</f>
        <v>449</v>
      </c>
      <c r="B579" s="6"/>
      <c r="C579" s="50" t="s">
        <v>183</v>
      </c>
      <c r="D579" s="62">
        <v>2</v>
      </c>
      <c r="E579" s="51">
        <v>0</v>
      </c>
      <c r="F579" s="54">
        <f t="shared" ref="F579:F583" si="120">D579*(1+E579)</f>
        <v>2</v>
      </c>
      <c r="G579" s="52" t="s">
        <v>50</v>
      </c>
      <c r="H579" s="52"/>
      <c r="I579" s="52"/>
      <c r="J579" s="55"/>
      <c r="K579" s="53">
        <f t="shared" ref="K579:K583" si="121">J579*F579</f>
        <v>0</v>
      </c>
      <c r="L579" s="10"/>
    </row>
    <row r="580" spans="1:12" x14ac:dyDescent="0.35">
      <c r="A580" s="49">
        <f>IF(F580&lt;&gt;"",1+MAX($A$7:A579),"")</f>
        <v>450</v>
      </c>
      <c r="B580" s="6"/>
      <c r="C580" s="50" t="s">
        <v>184</v>
      </c>
      <c r="D580" s="62">
        <v>1</v>
      </c>
      <c r="E580" s="51">
        <v>0</v>
      </c>
      <c r="F580" s="54">
        <f t="shared" si="120"/>
        <v>1</v>
      </c>
      <c r="G580" s="52" t="s">
        <v>50</v>
      </c>
      <c r="H580" s="52"/>
      <c r="I580" s="52"/>
      <c r="J580" s="55"/>
      <c r="K580" s="53">
        <f t="shared" si="121"/>
        <v>0</v>
      </c>
      <c r="L580" s="10"/>
    </row>
    <row r="581" spans="1:12" x14ac:dyDescent="0.35">
      <c r="A581" s="49">
        <f>IF(F581&lt;&gt;"",1+MAX($A$7:A580),"")</f>
        <v>451</v>
      </c>
      <c r="B581" s="6"/>
      <c r="C581" s="50" t="s">
        <v>185</v>
      </c>
      <c r="D581" s="62">
        <v>3</v>
      </c>
      <c r="E581" s="51">
        <v>0</v>
      </c>
      <c r="F581" s="54">
        <f t="shared" si="120"/>
        <v>3</v>
      </c>
      <c r="G581" s="52" t="s">
        <v>50</v>
      </c>
      <c r="H581" s="52"/>
      <c r="I581" s="52"/>
      <c r="J581" s="55"/>
      <c r="K581" s="53">
        <f t="shared" si="121"/>
        <v>0</v>
      </c>
      <c r="L581" s="10"/>
    </row>
    <row r="582" spans="1:12" x14ac:dyDescent="0.35">
      <c r="A582" s="49">
        <f>IF(F582&lt;&gt;"",1+MAX($A$7:A581),"")</f>
        <v>452</v>
      </c>
      <c r="B582" s="6"/>
      <c r="C582" s="50" t="s">
        <v>181</v>
      </c>
      <c r="D582" s="62">
        <v>1</v>
      </c>
      <c r="E582" s="51">
        <v>0</v>
      </c>
      <c r="F582" s="54">
        <f t="shared" si="120"/>
        <v>1</v>
      </c>
      <c r="G582" s="52" t="s">
        <v>50</v>
      </c>
      <c r="H582" s="52"/>
      <c r="I582" s="52"/>
      <c r="J582" s="55"/>
      <c r="K582" s="53">
        <f t="shared" si="121"/>
        <v>0</v>
      </c>
      <c r="L582" s="10"/>
    </row>
    <row r="583" spans="1:12" x14ac:dyDescent="0.35">
      <c r="A583" s="49">
        <f>IF(F583&lt;&gt;"",1+MAX($A$7:A582),"")</f>
        <v>453</v>
      </c>
      <c r="B583" s="6"/>
      <c r="C583" s="50" t="s">
        <v>182</v>
      </c>
      <c r="D583" s="62">
        <v>1</v>
      </c>
      <c r="E583" s="51">
        <v>0</v>
      </c>
      <c r="F583" s="54">
        <f t="shared" si="120"/>
        <v>1</v>
      </c>
      <c r="G583" s="52" t="s">
        <v>50</v>
      </c>
      <c r="H583" s="52"/>
      <c r="I583" s="52"/>
      <c r="J583" s="55"/>
      <c r="K583" s="53">
        <f t="shared" si="121"/>
        <v>0</v>
      </c>
      <c r="L583" s="10"/>
    </row>
    <row r="584" spans="1:12" ht="16" thickBot="1" x14ac:dyDescent="0.4">
      <c r="A584" s="49"/>
      <c r="B584" s="6"/>
      <c r="C584" s="50"/>
      <c r="D584" s="62"/>
      <c r="E584" s="51"/>
      <c r="F584" s="54"/>
      <c r="G584" s="52"/>
      <c r="H584" s="52"/>
      <c r="I584" s="52"/>
      <c r="J584" s="55"/>
      <c r="K584" s="53"/>
      <c r="L584" s="10"/>
    </row>
    <row r="585" spans="1:12" ht="16" thickBot="1" x14ac:dyDescent="0.4">
      <c r="A585" s="41"/>
      <c r="B585" s="42"/>
      <c r="C585" s="47" t="s">
        <v>501</v>
      </c>
      <c r="D585" s="62"/>
      <c r="E585" s="7"/>
      <c r="F585" s="28"/>
      <c r="G585" s="15"/>
      <c r="H585" s="15"/>
      <c r="I585" s="15"/>
      <c r="J585" s="8"/>
      <c r="K585" s="9"/>
      <c r="L585" s="10"/>
    </row>
    <row r="586" spans="1:12" ht="43.5" x14ac:dyDescent="0.35">
      <c r="A586" s="49">
        <f>IF(F586&lt;&gt;"",1+MAX($A$7:A585),"")</f>
        <v>454</v>
      </c>
      <c r="B586" s="6"/>
      <c r="C586" s="50" t="s">
        <v>330</v>
      </c>
      <c r="D586" s="62">
        <v>1</v>
      </c>
      <c r="E586" s="51">
        <v>0</v>
      </c>
      <c r="F586" s="54">
        <f t="shared" ref="F586:F589" si="122">D586*(1+E586)</f>
        <v>1</v>
      </c>
      <c r="G586" s="52" t="s">
        <v>50</v>
      </c>
      <c r="H586" s="52"/>
      <c r="I586" s="52"/>
      <c r="J586" s="55"/>
      <c r="K586" s="53">
        <f t="shared" ref="K586:K589" si="123">J586*F586</f>
        <v>0</v>
      </c>
      <c r="L586" s="10"/>
    </row>
    <row r="587" spans="1:12" ht="43.5" x14ac:dyDescent="0.35">
      <c r="A587" s="49">
        <f>IF(F587&lt;&gt;"",1+MAX($A$7:A586),"")</f>
        <v>455</v>
      </c>
      <c r="B587" s="6"/>
      <c r="C587" s="50" t="s">
        <v>331</v>
      </c>
      <c r="D587" s="62">
        <v>1</v>
      </c>
      <c r="E587" s="51">
        <v>0</v>
      </c>
      <c r="F587" s="54">
        <f t="shared" si="122"/>
        <v>1</v>
      </c>
      <c r="G587" s="52" t="s">
        <v>50</v>
      </c>
      <c r="H587" s="52"/>
      <c r="I587" s="52"/>
      <c r="J587" s="55"/>
      <c r="K587" s="53">
        <f t="shared" si="123"/>
        <v>0</v>
      </c>
      <c r="L587" s="10"/>
    </row>
    <row r="588" spans="1:12" ht="43.5" x14ac:dyDescent="0.35">
      <c r="A588" s="49">
        <f>IF(F588&lt;&gt;"",1+MAX($A$7:A587),"")</f>
        <v>456</v>
      </c>
      <c r="B588" s="6"/>
      <c r="C588" s="50" t="s">
        <v>332</v>
      </c>
      <c r="D588" s="62">
        <v>1</v>
      </c>
      <c r="E588" s="51">
        <v>0</v>
      </c>
      <c r="F588" s="54">
        <f t="shared" si="122"/>
        <v>1</v>
      </c>
      <c r="G588" s="52" t="s">
        <v>50</v>
      </c>
      <c r="H588" s="52"/>
      <c r="I588" s="52"/>
      <c r="J588" s="55"/>
      <c r="K588" s="53">
        <f t="shared" si="123"/>
        <v>0</v>
      </c>
      <c r="L588" s="10"/>
    </row>
    <row r="589" spans="1:12" ht="43.5" x14ac:dyDescent="0.35">
      <c r="A589" s="49">
        <f>IF(F589&lt;&gt;"",1+MAX($A$7:A588),"")</f>
        <v>457</v>
      </c>
      <c r="B589" s="6"/>
      <c r="C589" s="50" t="s">
        <v>333</v>
      </c>
      <c r="D589" s="62">
        <v>1</v>
      </c>
      <c r="E589" s="51">
        <v>0</v>
      </c>
      <c r="F589" s="54">
        <f t="shared" si="122"/>
        <v>1</v>
      </c>
      <c r="G589" s="52" t="s">
        <v>50</v>
      </c>
      <c r="H589" s="52"/>
      <c r="I589" s="52"/>
      <c r="J589" s="55"/>
      <c r="K589" s="53">
        <f t="shared" si="123"/>
        <v>0</v>
      </c>
      <c r="L589" s="10"/>
    </row>
    <row r="590" spans="1:12" ht="29" x14ac:dyDescent="0.35">
      <c r="A590" s="49">
        <f>IF(F590&lt;&gt;"",1+MAX($A$7:A589),"")</f>
        <v>458</v>
      </c>
      <c r="B590" s="6"/>
      <c r="C590" s="50" t="s">
        <v>334</v>
      </c>
      <c r="D590" s="62">
        <v>1</v>
      </c>
      <c r="E590" s="51">
        <v>0</v>
      </c>
      <c r="F590" s="54">
        <f t="shared" ref="F590:F609" si="124">D590*(1+E590)</f>
        <v>1</v>
      </c>
      <c r="G590" s="52" t="s">
        <v>50</v>
      </c>
      <c r="H590" s="52"/>
      <c r="I590" s="52"/>
      <c r="J590" s="55"/>
      <c r="K590" s="53">
        <f t="shared" ref="K590:K609" si="125">J590*F590</f>
        <v>0</v>
      </c>
      <c r="L590" s="53"/>
    </row>
    <row r="591" spans="1:12" ht="29" x14ac:dyDescent="0.35">
      <c r="A591" s="49">
        <f>IF(F591&lt;&gt;"",1+MAX($A$7:A590),"")</f>
        <v>459</v>
      </c>
      <c r="B591" s="6"/>
      <c r="C591" s="50" t="s">
        <v>335</v>
      </c>
      <c r="D591" s="62">
        <v>1</v>
      </c>
      <c r="E591" s="51">
        <v>0</v>
      </c>
      <c r="F591" s="54">
        <f t="shared" si="124"/>
        <v>1</v>
      </c>
      <c r="G591" s="52" t="s">
        <v>50</v>
      </c>
      <c r="H591" s="52"/>
      <c r="I591" s="52"/>
      <c r="J591" s="55"/>
      <c r="K591" s="53">
        <f t="shared" si="125"/>
        <v>0</v>
      </c>
      <c r="L591" s="10"/>
    </row>
    <row r="592" spans="1:12" ht="29" x14ac:dyDescent="0.35">
      <c r="A592" s="49">
        <f>IF(F592&lt;&gt;"",1+MAX($A$7:A591),"")</f>
        <v>460</v>
      </c>
      <c r="B592" s="6"/>
      <c r="C592" s="50" t="s">
        <v>336</v>
      </c>
      <c r="D592" s="62">
        <v>1</v>
      </c>
      <c r="E592" s="51">
        <v>0</v>
      </c>
      <c r="F592" s="54">
        <f t="shared" si="124"/>
        <v>1</v>
      </c>
      <c r="G592" s="52" t="s">
        <v>50</v>
      </c>
      <c r="H592" s="52"/>
      <c r="I592" s="52"/>
      <c r="J592" s="55"/>
      <c r="K592" s="53">
        <f t="shared" si="125"/>
        <v>0</v>
      </c>
      <c r="L592" s="10"/>
    </row>
    <row r="593" spans="1:12" ht="29" x14ac:dyDescent="0.35">
      <c r="A593" s="49">
        <f>IF(F593&lt;&gt;"",1+MAX($A$7:A592),"")</f>
        <v>461</v>
      </c>
      <c r="B593" s="6"/>
      <c r="C593" s="50" t="s">
        <v>337</v>
      </c>
      <c r="D593" s="62">
        <v>1</v>
      </c>
      <c r="E593" s="51">
        <v>0</v>
      </c>
      <c r="F593" s="54">
        <f t="shared" si="124"/>
        <v>1</v>
      </c>
      <c r="G593" s="52" t="s">
        <v>50</v>
      </c>
      <c r="H593" s="52"/>
      <c r="I593" s="52"/>
      <c r="J593" s="55"/>
      <c r="K593" s="53">
        <f t="shared" si="125"/>
        <v>0</v>
      </c>
      <c r="L593" s="10"/>
    </row>
    <row r="594" spans="1:12" ht="29" x14ac:dyDescent="0.35">
      <c r="A594" s="49">
        <f>IF(F594&lt;&gt;"",1+MAX($A$7:A593),"")</f>
        <v>462</v>
      </c>
      <c r="B594" s="6"/>
      <c r="C594" s="50" t="s">
        <v>338</v>
      </c>
      <c r="D594" s="62">
        <v>1</v>
      </c>
      <c r="E594" s="51">
        <v>0</v>
      </c>
      <c r="F594" s="54">
        <f t="shared" si="124"/>
        <v>1</v>
      </c>
      <c r="G594" s="52" t="s">
        <v>50</v>
      </c>
      <c r="H594" s="52"/>
      <c r="I594" s="52"/>
      <c r="J594" s="55"/>
      <c r="K594" s="53">
        <f t="shared" si="125"/>
        <v>0</v>
      </c>
      <c r="L594" s="10"/>
    </row>
    <row r="595" spans="1:12" ht="29" x14ac:dyDescent="0.35">
      <c r="A595" s="49">
        <f>IF(F595&lt;&gt;"",1+MAX($A$7:A594),"")</f>
        <v>463</v>
      </c>
      <c r="B595" s="6"/>
      <c r="C595" s="50" t="s">
        <v>339</v>
      </c>
      <c r="D595" s="62">
        <v>1</v>
      </c>
      <c r="E595" s="51">
        <v>0</v>
      </c>
      <c r="F595" s="54">
        <f t="shared" si="124"/>
        <v>1</v>
      </c>
      <c r="G595" s="52" t="s">
        <v>50</v>
      </c>
      <c r="H595" s="52"/>
      <c r="I595" s="52"/>
      <c r="J595" s="55"/>
      <c r="K595" s="53">
        <f t="shared" si="125"/>
        <v>0</v>
      </c>
      <c r="L595" s="10"/>
    </row>
    <row r="596" spans="1:12" ht="29" x14ac:dyDescent="0.35">
      <c r="A596" s="49">
        <f>IF(F596&lt;&gt;"",1+MAX($A$7:A595),"")</f>
        <v>464</v>
      </c>
      <c r="B596" s="6"/>
      <c r="C596" s="50" t="s">
        <v>340</v>
      </c>
      <c r="D596" s="62">
        <v>1</v>
      </c>
      <c r="E596" s="51">
        <v>0</v>
      </c>
      <c r="F596" s="54">
        <f t="shared" si="124"/>
        <v>1</v>
      </c>
      <c r="G596" s="52" t="s">
        <v>50</v>
      </c>
      <c r="H596" s="52"/>
      <c r="I596" s="52"/>
      <c r="J596" s="55"/>
      <c r="K596" s="53">
        <f t="shared" si="125"/>
        <v>0</v>
      </c>
      <c r="L596" s="10"/>
    </row>
    <row r="597" spans="1:12" ht="29" x14ac:dyDescent="0.35">
      <c r="A597" s="49">
        <f>IF(F597&lt;&gt;"",1+MAX($A$7:A596),"")</f>
        <v>465</v>
      </c>
      <c r="B597" s="6"/>
      <c r="C597" s="50" t="s">
        <v>341</v>
      </c>
      <c r="D597" s="62">
        <v>1</v>
      </c>
      <c r="E597" s="51">
        <v>0</v>
      </c>
      <c r="F597" s="54">
        <f t="shared" si="124"/>
        <v>1</v>
      </c>
      <c r="G597" s="52" t="s">
        <v>50</v>
      </c>
      <c r="H597" s="52"/>
      <c r="I597" s="52"/>
      <c r="J597" s="55"/>
      <c r="K597" s="53">
        <f t="shared" si="125"/>
        <v>0</v>
      </c>
      <c r="L597" s="10"/>
    </row>
    <row r="598" spans="1:12" ht="29" x14ac:dyDescent="0.35">
      <c r="A598" s="49">
        <f>IF(F598&lt;&gt;"",1+MAX($A$7:A597),"")</f>
        <v>466</v>
      </c>
      <c r="B598" s="6"/>
      <c r="C598" s="50" t="s">
        <v>342</v>
      </c>
      <c r="D598" s="62">
        <v>1</v>
      </c>
      <c r="E598" s="51">
        <v>0</v>
      </c>
      <c r="F598" s="54">
        <f t="shared" si="124"/>
        <v>1</v>
      </c>
      <c r="G598" s="52" t="s">
        <v>50</v>
      </c>
      <c r="H598" s="52"/>
      <c r="I598" s="52"/>
      <c r="J598" s="55"/>
      <c r="K598" s="53">
        <f t="shared" si="125"/>
        <v>0</v>
      </c>
      <c r="L598" s="10"/>
    </row>
    <row r="599" spans="1:12" ht="29" x14ac:dyDescent="0.35">
      <c r="A599" s="49">
        <f>IF(F599&lt;&gt;"",1+MAX($A$7:A598),"")</f>
        <v>467</v>
      </c>
      <c r="B599" s="6"/>
      <c r="C599" s="50" t="s">
        <v>343</v>
      </c>
      <c r="D599" s="62">
        <v>1</v>
      </c>
      <c r="E599" s="51">
        <v>0</v>
      </c>
      <c r="F599" s="54">
        <f t="shared" si="124"/>
        <v>1</v>
      </c>
      <c r="G599" s="52" t="s">
        <v>50</v>
      </c>
      <c r="H599" s="52"/>
      <c r="I599" s="52"/>
      <c r="J599" s="55"/>
      <c r="K599" s="53">
        <f t="shared" si="125"/>
        <v>0</v>
      </c>
      <c r="L599" s="10"/>
    </row>
    <row r="600" spans="1:12" ht="29" x14ac:dyDescent="0.35">
      <c r="A600" s="49">
        <f>IF(F600&lt;&gt;"",1+MAX($A$7:A599),"")</f>
        <v>468</v>
      </c>
      <c r="B600" s="6"/>
      <c r="C600" s="50" t="s">
        <v>344</v>
      </c>
      <c r="D600" s="62">
        <v>1</v>
      </c>
      <c r="E600" s="51">
        <v>0</v>
      </c>
      <c r="F600" s="54">
        <f t="shared" si="124"/>
        <v>1</v>
      </c>
      <c r="G600" s="52" t="s">
        <v>50</v>
      </c>
      <c r="H600" s="52"/>
      <c r="I600" s="52"/>
      <c r="J600" s="55"/>
      <c r="K600" s="53">
        <f t="shared" si="125"/>
        <v>0</v>
      </c>
      <c r="L600" s="10"/>
    </row>
    <row r="601" spans="1:12" ht="29" x14ac:dyDescent="0.35">
      <c r="A601" s="49">
        <f>IF(F601&lt;&gt;"",1+MAX($A$7:A600),"")</f>
        <v>469</v>
      </c>
      <c r="B601" s="6"/>
      <c r="C601" s="50" t="s">
        <v>345</v>
      </c>
      <c r="D601" s="62">
        <v>1</v>
      </c>
      <c r="E601" s="51">
        <v>0</v>
      </c>
      <c r="F601" s="54">
        <f t="shared" si="124"/>
        <v>1</v>
      </c>
      <c r="G601" s="52" t="s">
        <v>50</v>
      </c>
      <c r="H601" s="52"/>
      <c r="I601" s="52"/>
      <c r="J601" s="55"/>
      <c r="K601" s="53">
        <f t="shared" si="125"/>
        <v>0</v>
      </c>
      <c r="L601" s="10"/>
    </row>
    <row r="602" spans="1:12" ht="29" x14ac:dyDescent="0.35">
      <c r="A602" s="49">
        <f>IF(F602&lt;&gt;"",1+MAX($A$7:A601),"")</f>
        <v>470</v>
      </c>
      <c r="B602" s="6"/>
      <c r="C602" s="50" t="s">
        <v>346</v>
      </c>
      <c r="D602" s="62">
        <v>1</v>
      </c>
      <c r="E602" s="51">
        <v>0</v>
      </c>
      <c r="F602" s="54">
        <f t="shared" si="124"/>
        <v>1</v>
      </c>
      <c r="G602" s="52" t="s">
        <v>50</v>
      </c>
      <c r="H602" s="52"/>
      <c r="I602" s="52"/>
      <c r="J602" s="55"/>
      <c r="K602" s="53">
        <f t="shared" si="125"/>
        <v>0</v>
      </c>
      <c r="L602" s="10"/>
    </row>
    <row r="603" spans="1:12" ht="29" x14ac:dyDescent="0.35">
      <c r="A603" s="49">
        <f>IF(F603&lt;&gt;"",1+MAX($A$7:A602),"")</f>
        <v>471</v>
      </c>
      <c r="B603" s="6"/>
      <c r="C603" s="50" t="s">
        <v>347</v>
      </c>
      <c r="D603" s="62">
        <v>1</v>
      </c>
      <c r="E603" s="51">
        <v>0</v>
      </c>
      <c r="F603" s="54">
        <f t="shared" si="124"/>
        <v>1</v>
      </c>
      <c r="G603" s="52" t="s">
        <v>50</v>
      </c>
      <c r="H603" s="52"/>
      <c r="I603" s="52"/>
      <c r="J603" s="55"/>
      <c r="K603" s="53">
        <f t="shared" si="125"/>
        <v>0</v>
      </c>
      <c r="L603" s="10"/>
    </row>
    <row r="604" spans="1:12" ht="29" x14ac:dyDescent="0.35">
      <c r="A604" s="49">
        <f>IF(F604&lt;&gt;"",1+MAX($A$7:A603),"")</f>
        <v>472</v>
      </c>
      <c r="B604" s="6"/>
      <c r="C604" s="50" t="s">
        <v>348</v>
      </c>
      <c r="D604" s="62">
        <v>1</v>
      </c>
      <c r="E604" s="51">
        <v>0</v>
      </c>
      <c r="F604" s="54">
        <f t="shared" si="124"/>
        <v>1</v>
      </c>
      <c r="G604" s="52" t="s">
        <v>50</v>
      </c>
      <c r="H604" s="52"/>
      <c r="I604" s="52"/>
      <c r="J604" s="55"/>
      <c r="K604" s="53">
        <f t="shared" si="125"/>
        <v>0</v>
      </c>
      <c r="L604" s="10"/>
    </row>
    <row r="605" spans="1:12" ht="29" x14ac:dyDescent="0.35">
      <c r="A605" s="49">
        <f>IF(F605&lt;&gt;"",1+MAX($A$7:A604),"")</f>
        <v>473</v>
      </c>
      <c r="B605" s="6"/>
      <c r="C605" s="50" t="s">
        <v>349</v>
      </c>
      <c r="D605" s="62">
        <v>1</v>
      </c>
      <c r="E605" s="51">
        <v>0</v>
      </c>
      <c r="F605" s="54">
        <f t="shared" si="124"/>
        <v>1</v>
      </c>
      <c r="G605" s="52" t="s">
        <v>50</v>
      </c>
      <c r="H605" s="52"/>
      <c r="I605" s="52"/>
      <c r="J605" s="55"/>
      <c r="K605" s="53">
        <f t="shared" si="125"/>
        <v>0</v>
      </c>
      <c r="L605" s="10"/>
    </row>
    <row r="606" spans="1:12" ht="29" x14ac:dyDescent="0.35">
      <c r="A606" s="49">
        <f>IF(F606&lt;&gt;"",1+MAX($A$7:A605),"")</f>
        <v>474</v>
      </c>
      <c r="B606" s="6"/>
      <c r="C606" s="50" t="s">
        <v>350</v>
      </c>
      <c r="D606" s="62">
        <v>1</v>
      </c>
      <c r="E606" s="51">
        <v>0</v>
      </c>
      <c r="F606" s="54">
        <f t="shared" si="124"/>
        <v>1</v>
      </c>
      <c r="G606" s="52" t="s">
        <v>50</v>
      </c>
      <c r="H606" s="52"/>
      <c r="I606" s="52"/>
      <c r="J606" s="55"/>
      <c r="K606" s="53">
        <f t="shared" si="125"/>
        <v>0</v>
      </c>
      <c r="L606" s="10"/>
    </row>
    <row r="607" spans="1:12" ht="29" x14ac:dyDescent="0.35">
      <c r="A607" s="49">
        <f>IF(F607&lt;&gt;"",1+MAX($A$7:A606),"")</f>
        <v>475</v>
      </c>
      <c r="B607" s="6"/>
      <c r="C607" s="50" t="s">
        <v>351</v>
      </c>
      <c r="D607" s="62">
        <v>1</v>
      </c>
      <c r="E607" s="51">
        <v>0</v>
      </c>
      <c r="F607" s="54">
        <f t="shared" si="124"/>
        <v>1</v>
      </c>
      <c r="G607" s="52" t="s">
        <v>50</v>
      </c>
      <c r="H607" s="52"/>
      <c r="I607" s="52"/>
      <c r="J607" s="55"/>
      <c r="K607" s="53">
        <f t="shared" si="125"/>
        <v>0</v>
      </c>
      <c r="L607" s="10"/>
    </row>
    <row r="608" spans="1:12" ht="29" x14ac:dyDescent="0.35">
      <c r="A608" s="49">
        <f>IF(F608&lt;&gt;"",1+MAX($A$7:A607),"")</f>
        <v>476</v>
      </c>
      <c r="B608" s="6"/>
      <c r="C608" s="50" t="s">
        <v>352</v>
      </c>
      <c r="D608" s="62">
        <v>1</v>
      </c>
      <c r="E608" s="51">
        <v>0</v>
      </c>
      <c r="F608" s="54">
        <f t="shared" si="124"/>
        <v>1</v>
      </c>
      <c r="G608" s="52" t="s">
        <v>50</v>
      </c>
      <c r="H608" s="52"/>
      <c r="I608" s="52"/>
      <c r="J608" s="55"/>
      <c r="K608" s="53">
        <f t="shared" si="125"/>
        <v>0</v>
      </c>
      <c r="L608" s="10"/>
    </row>
    <row r="609" spans="1:12" ht="29" x14ac:dyDescent="0.35">
      <c r="A609" s="49">
        <f>IF(F609&lt;&gt;"",1+MAX($A$7:A608),"")</f>
        <v>477</v>
      </c>
      <c r="B609" s="6"/>
      <c r="C609" s="50" t="s">
        <v>353</v>
      </c>
      <c r="D609" s="62">
        <v>1</v>
      </c>
      <c r="E609" s="51">
        <v>0</v>
      </c>
      <c r="F609" s="54">
        <f t="shared" si="124"/>
        <v>1</v>
      </c>
      <c r="G609" s="52" t="s">
        <v>50</v>
      </c>
      <c r="H609" s="52"/>
      <c r="I609" s="52"/>
      <c r="J609" s="55"/>
      <c r="K609" s="53">
        <f t="shared" si="125"/>
        <v>0</v>
      </c>
      <c r="L609" s="10"/>
    </row>
    <row r="610" spans="1:12" ht="16" thickBot="1" x14ac:dyDescent="0.4">
      <c r="A610" s="49"/>
      <c r="B610" s="6"/>
      <c r="C610" s="50"/>
      <c r="D610" s="62"/>
      <c r="E610" s="51"/>
      <c r="F610" s="54"/>
      <c r="G610" s="52"/>
      <c r="H610" s="52"/>
      <c r="I610" s="52"/>
      <c r="J610" s="55"/>
      <c r="K610" s="53"/>
      <c r="L610" s="10"/>
    </row>
    <row r="611" spans="1:12" ht="16" thickBot="1" x14ac:dyDescent="0.4">
      <c r="A611" s="41"/>
      <c r="B611" s="42"/>
      <c r="C611" s="47" t="s">
        <v>505</v>
      </c>
      <c r="D611" s="62"/>
      <c r="E611" s="7"/>
      <c r="F611" s="28"/>
      <c r="G611" s="15"/>
      <c r="H611" s="15"/>
      <c r="I611" s="15"/>
      <c r="J611" s="8"/>
      <c r="K611" s="9"/>
      <c r="L611" s="10"/>
    </row>
    <row r="612" spans="1:12" ht="29" x14ac:dyDescent="0.35">
      <c r="A612" s="49">
        <f>IF(F612&lt;&gt;"",1+MAX($A$7:A611),"")</f>
        <v>478</v>
      </c>
      <c r="B612" s="6"/>
      <c r="C612" s="50" t="s">
        <v>176</v>
      </c>
      <c r="D612" s="62">
        <v>1</v>
      </c>
      <c r="E612" s="51">
        <v>0</v>
      </c>
      <c r="F612" s="54">
        <f t="shared" ref="F612:F616" si="126">D612*(1+E612)</f>
        <v>1</v>
      </c>
      <c r="G612" s="52" t="s">
        <v>50</v>
      </c>
      <c r="H612" s="52"/>
      <c r="I612" s="52"/>
      <c r="J612" s="55"/>
      <c r="K612" s="53">
        <f t="shared" ref="K612:K616" si="127">J612*F612</f>
        <v>0</v>
      </c>
      <c r="L612" s="10"/>
    </row>
    <row r="613" spans="1:12" ht="29" x14ac:dyDescent="0.35">
      <c r="A613" s="49">
        <f>IF(F613&lt;&gt;"",1+MAX($A$7:A612),"")</f>
        <v>479</v>
      </c>
      <c r="B613" s="6"/>
      <c r="C613" s="50" t="s">
        <v>177</v>
      </c>
      <c r="D613" s="62">
        <v>2</v>
      </c>
      <c r="E613" s="51">
        <v>0</v>
      </c>
      <c r="F613" s="54">
        <f t="shared" si="126"/>
        <v>2</v>
      </c>
      <c r="G613" s="52" t="s">
        <v>50</v>
      </c>
      <c r="H613" s="52"/>
      <c r="I613" s="52"/>
      <c r="J613" s="55"/>
      <c r="K613" s="53">
        <f t="shared" si="127"/>
        <v>0</v>
      </c>
      <c r="L613" s="10"/>
    </row>
    <row r="614" spans="1:12" ht="29" x14ac:dyDescent="0.35">
      <c r="A614" s="49">
        <f>IF(F614&lt;&gt;"",1+MAX($A$7:A613),"")</f>
        <v>480</v>
      </c>
      <c r="B614" s="6"/>
      <c r="C614" s="50" t="s">
        <v>178</v>
      </c>
      <c r="D614" s="62">
        <v>1</v>
      </c>
      <c r="E614" s="51">
        <v>0</v>
      </c>
      <c r="F614" s="54">
        <f t="shared" si="126"/>
        <v>1</v>
      </c>
      <c r="G614" s="52" t="s">
        <v>50</v>
      </c>
      <c r="H614" s="52"/>
      <c r="I614" s="52"/>
      <c r="J614" s="55"/>
      <c r="K614" s="53">
        <f t="shared" si="127"/>
        <v>0</v>
      </c>
      <c r="L614" s="10"/>
    </row>
    <row r="615" spans="1:12" ht="29" x14ac:dyDescent="0.35">
      <c r="A615" s="49">
        <f>IF(F615&lt;&gt;"",1+MAX($A$7:A614),"")</f>
        <v>481</v>
      </c>
      <c r="B615" s="6"/>
      <c r="C615" s="50" t="s">
        <v>179</v>
      </c>
      <c r="D615" s="62">
        <v>1</v>
      </c>
      <c r="E615" s="51">
        <v>0</v>
      </c>
      <c r="F615" s="54">
        <f t="shared" si="126"/>
        <v>1</v>
      </c>
      <c r="G615" s="52" t="s">
        <v>50</v>
      </c>
      <c r="H615" s="52"/>
      <c r="I615" s="52"/>
      <c r="J615" s="55"/>
      <c r="K615" s="53">
        <f t="shared" si="127"/>
        <v>0</v>
      </c>
      <c r="L615" s="10"/>
    </row>
    <row r="616" spans="1:12" ht="29" x14ac:dyDescent="0.35">
      <c r="A616" s="49">
        <f>IF(F616&lt;&gt;"",1+MAX($A$7:A615),"")</f>
        <v>482</v>
      </c>
      <c r="B616" s="6"/>
      <c r="C616" s="50" t="s">
        <v>180</v>
      </c>
      <c r="D616" s="62">
        <v>8</v>
      </c>
      <c r="E616" s="51">
        <v>0</v>
      </c>
      <c r="F616" s="54">
        <f t="shared" si="126"/>
        <v>8</v>
      </c>
      <c r="G616" s="52" t="s">
        <v>50</v>
      </c>
      <c r="H616" s="52"/>
      <c r="I616" s="52"/>
      <c r="J616" s="55"/>
      <c r="K616" s="53">
        <f t="shared" si="127"/>
        <v>0</v>
      </c>
      <c r="L616" s="10"/>
    </row>
    <row r="617" spans="1:12" ht="16" thickBot="1" x14ac:dyDescent="0.4">
      <c r="A617" s="49"/>
      <c r="B617" s="6"/>
      <c r="C617" s="50"/>
      <c r="D617" s="62"/>
      <c r="E617" s="51"/>
      <c r="F617" s="54"/>
      <c r="G617" s="52"/>
      <c r="H617" s="52"/>
      <c r="I617" s="52"/>
      <c r="J617" s="55"/>
      <c r="K617" s="53"/>
      <c r="L617" s="10"/>
    </row>
    <row r="618" spans="1:12" ht="16" thickBot="1" x14ac:dyDescent="0.4">
      <c r="A618" s="41"/>
      <c r="B618" s="42"/>
      <c r="C618" s="47" t="s">
        <v>506</v>
      </c>
      <c r="D618" s="62"/>
      <c r="E618" s="7"/>
      <c r="F618" s="28"/>
      <c r="G618" s="15"/>
      <c r="H618" s="15"/>
      <c r="I618" s="15"/>
      <c r="J618" s="8"/>
      <c r="K618" s="9"/>
      <c r="L618" s="10"/>
    </row>
    <row r="619" spans="1:12" x14ac:dyDescent="0.35">
      <c r="A619" s="49">
        <f>IF(F619&lt;&gt;"",1+MAX($A$7:A618),"")</f>
        <v>483</v>
      </c>
      <c r="B619" s="6"/>
      <c r="C619" s="50" t="s">
        <v>164</v>
      </c>
      <c r="D619" s="62">
        <v>1</v>
      </c>
      <c r="E619" s="51">
        <v>0</v>
      </c>
      <c r="F619" s="54">
        <f t="shared" ref="F619:F627" si="128">D619*(1+E619)</f>
        <v>1</v>
      </c>
      <c r="G619" s="52" t="s">
        <v>50</v>
      </c>
      <c r="H619" s="52"/>
      <c r="I619" s="52"/>
      <c r="J619" s="55"/>
      <c r="K619" s="53">
        <f t="shared" ref="K619:K627" si="129">J619*F619</f>
        <v>0</v>
      </c>
      <c r="L619" s="10"/>
    </row>
    <row r="620" spans="1:12" x14ac:dyDescent="0.35">
      <c r="A620" s="49">
        <f>IF(F620&lt;&gt;"",1+MAX($A$7:A619),"")</f>
        <v>484</v>
      </c>
      <c r="B620" s="6"/>
      <c r="C620" s="50" t="s">
        <v>165</v>
      </c>
      <c r="D620" s="62">
        <v>2</v>
      </c>
      <c r="E620" s="51">
        <v>0</v>
      </c>
      <c r="F620" s="54">
        <f t="shared" si="128"/>
        <v>2</v>
      </c>
      <c r="G620" s="52" t="s">
        <v>50</v>
      </c>
      <c r="H620" s="52"/>
      <c r="I620" s="52"/>
      <c r="J620" s="55"/>
      <c r="K620" s="53">
        <f t="shared" si="129"/>
        <v>0</v>
      </c>
      <c r="L620" s="10"/>
    </row>
    <row r="621" spans="1:12" x14ac:dyDescent="0.35">
      <c r="A621" s="49">
        <f>IF(F621&lt;&gt;"",1+MAX($A$7:A620),"")</f>
        <v>485</v>
      </c>
      <c r="B621" s="6"/>
      <c r="C621" s="50" t="s">
        <v>166</v>
      </c>
      <c r="D621" s="62">
        <v>33</v>
      </c>
      <c r="E621" s="51">
        <v>0</v>
      </c>
      <c r="F621" s="54">
        <f t="shared" si="128"/>
        <v>33</v>
      </c>
      <c r="G621" s="52" t="s">
        <v>50</v>
      </c>
      <c r="H621" s="52"/>
      <c r="I621" s="52"/>
      <c r="J621" s="55"/>
      <c r="K621" s="53">
        <f t="shared" si="129"/>
        <v>0</v>
      </c>
      <c r="L621" s="10"/>
    </row>
    <row r="622" spans="1:12" x14ac:dyDescent="0.35">
      <c r="A622" s="49">
        <f>IF(F622&lt;&gt;"",1+MAX($A$7:A621),"")</f>
        <v>486</v>
      </c>
      <c r="B622" s="6"/>
      <c r="C622" s="50" t="s">
        <v>167</v>
      </c>
      <c r="D622" s="62">
        <v>5</v>
      </c>
      <c r="E622" s="51">
        <v>0</v>
      </c>
      <c r="F622" s="54">
        <f t="shared" si="128"/>
        <v>5</v>
      </c>
      <c r="G622" s="52" t="s">
        <v>50</v>
      </c>
      <c r="H622" s="52"/>
      <c r="I622" s="52"/>
      <c r="J622" s="55"/>
      <c r="K622" s="53">
        <f t="shared" si="129"/>
        <v>0</v>
      </c>
      <c r="L622" s="10"/>
    </row>
    <row r="623" spans="1:12" x14ac:dyDescent="0.35">
      <c r="A623" s="49">
        <f>IF(F623&lt;&gt;"",1+MAX($A$7:A622),"")</f>
        <v>487</v>
      </c>
      <c r="B623" s="6"/>
      <c r="C623" s="50" t="s">
        <v>168</v>
      </c>
      <c r="D623" s="62">
        <v>1</v>
      </c>
      <c r="E623" s="51">
        <v>0</v>
      </c>
      <c r="F623" s="54">
        <f t="shared" si="128"/>
        <v>1</v>
      </c>
      <c r="G623" s="52" t="s">
        <v>50</v>
      </c>
      <c r="H623" s="52"/>
      <c r="I623" s="52"/>
      <c r="J623" s="55"/>
      <c r="K623" s="53">
        <f t="shared" si="129"/>
        <v>0</v>
      </c>
      <c r="L623" s="10"/>
    </row>
    <row r="624" spans="1:12" x14ac:dyDescent="0.35">
      <c r="A624" s="49">
        <f>IF(F624&lt;&gt;"",1+MAX($A$7:A623),"")</f>
        <v>488</v>
      </c>
      <c r="B624" s="6"/>
      <c r="C624" s="50" t="s">
        <v>169</v>
      </c>
      <c r="D624" s="62">
        <v>1</v>
      </c>
      <c r="E624" s="51">
        <v>0</v>
      </c>
      <c r="F624" s="54">
        <f t="shared" si="128"/>
        <v>1</v>
      </c>
      <c r="G624" s="52" t="s">
        <v>50</v>
      </c>
      <c r="H624" s="52"/>
      <c r="I624" s="52"/>
      <c r="J624" s="55"/>
      <c r="K624" s="53">
        <f t="shared" si="129"/>
        <v>0</v>
      </c>
      <c r="L624" s="10"/>
    </row>
    <row r="625" spans="1:12" x14ac:dyDescent="0.35">
      <c r="A625" s="49">
        <f>IF(F625&lt;&gt;"",1+MAX($A$7:A624),"")</f>
        <v>489</v>
      </c>
      <c r="B625" s="6"/>
      <c r="C625" s="50" t="s">
        <v>170</v>
      </c>
      <c r="D625" s="62">
        <v>2</v>
      </c>
      <c r="E625" s="51">
        <v>0</v>
      </c>
      <c r="F625" s="54">
        <f t="shared" si="128"/>
        <v>2</v>
      </c>
      <c r="G625" s="52" t="s">
        <v>50</v>
      </c>
      <c r="H625" s="52"/>
      <c r="I625" s="52"/>
      <c r="J625" s="55"/>
      <c r="K625" s="53">
        <f t="shared" si="129"/>
        <v>0</v>
      </c>
      <c r="L625" s="10"/>
    </row>
    <row r="626" spans="1:12" x14ac:dyDescent="0.35">
      <c r="A626" s="49">
        <f>IF(F626&lt;&gt;"",1+MAX($A$7:A625),"")</f>
        <v>490</v>
      </c>
      <c r="B626" s="6"/>
      <c r="C626" s="50" t="s">
        <v>171</v>
      </c>
      <c r="D626" s="62">
        <v>2</v>
      </c>
      <c r="E626" s="51">
        <v>0</v>
      </c>
      <c r="F626" s="54">
        <f t="shared" si="128"/>
        <v>2</v>
      </c>
      <c r="G626" s="52" t="s">
        <v>50</v>
      </c>
      <c r="H626" s="52"/>
      <c r="I626" s="52"/>
      <c r="J626" s="55"/>
      <c r="K626" s="53">
        <f t="shared" si="129"/>
        <v>0</v>
      </c>
      <c r="L626" s="10"/>
    </row>
    <row r="627" spans="1:12" x14ac:dyDescent="0.35">
      <c r="A627" s="49">
        <f>IF(F627&lt;&gt;"",1+MAX($A$7:A626),"")</f>
        <v>491</v>
      </c>
      <c r="B627" s="6"/>
      <c r="C627" s="50" t="s">
        <v>172</v>
      </c>
      <c r="D627" s="62">
        <v>1</v>
      </c>
      <c r="E627" s="51">
        <v>0</v>
      </c>
      <c r="F627" s="54">
        <f t="shared" si="128"/>
        <v>1</v>
      </c>
      <c r="G627" s="52" t="s">
        <v>50</v>
      </c>
      <c r="H627" s="52"/>
      <c r="I627" s="52"/>
      <c r="J627" s="55"/>
      <c r="K627" s="53">
        <f t="shared" si="129"/>
        <v>0</v>
      </c>
      <c r="L627" s="10"/>
    </row>
    <row r="628" spans="1:12" ht="16" thickBot="1" x14ac:dyDescent="0.4">
      <c r="A628" s="49"/>
      <c r="B628" s="6"/>
      <c r="C628" s="50"/>
      <c r="D628" s="62"/>
      <c r="E628" s="51"/>
      <c r="F628" s="54"/>
      <c r="G628" s="52"/>
      <c r="H628" s="52"/>
      <c r="I628" s="52"/>
      <c r="J628" s="55"/>
      <c r="K628" s="53"/>
      <c r="L628" s="10"/>
    </row>
    <row r="629" spans="1:12" ht="16" thickBot="1" x14ac:dyDescent="0.4">
      <c r="A629" s="41" t="str">
        <f>IF(F629&lt;&gt;"",1+MAX($A$7:A136),"")</f>
        <v/>
      </c>
      <c r="B629" s="42"/>
      <c r="C629" s="47" t="s">
        <v>507</v>
      </c>
      <c r="D629" s="62"/>
      <c r="E629" s="7"/>
      <c r="F629" s="28"/>
      <c r="G629" s="15"/>
      <c r="H629" s="15"/>
      <c r="I629" s="15"/>
      <c r="J629" s="8"/>
      <c r="K629" s="9"/>
      <c r="L629" s="10"/>
    </row>
    <row r="630" spans="1:12" x14ac:dyDescent="0.35">
      <c r="A630" s="49">
        <f>IF(F630&lt;&gt;"",1+MAX($A$7:A629),"")</f>
        <v>492</v>
      </c>
      <c r="B630" s="6"/>
      <c r="C630" s="50" t="s">
        <v>186</v>
      </c>
      <c r="D630" s="62">
        <v>195</v>
      </c>
      <c r="E630" s="51">
        <v>0</v>
      </c>
      <c r="F630" s="54">
        <f t="shared" ref="F630" si="130">D630*(1+E630)</f>
        <v>195</v>
      </c>
      <c r="G630" s="52" t="s">
        <v>50</v>
      </c>
      <c r="H630" s="52"/>
      <c r="I630" s="52"/>
      <c r="J630" s="55"/>
      <c r="K630" s="53">
        <f t="shared" ref="K630" si="131">J630*F630</f>
        <v>0</v>
      </c>
      <c r="L630" s="10"/>
    </row>
    <row r="631" spans="1:12" ht="16" thickBot="1" x14ac:dyDescent="0.4">
      <c r="A631" s="49"/>
      <c r="B631" s="6"/>
      <c r="C631" s="50"/>
      <c r="D631" s="62"/>
      <c r="E631" s="51"/>
      <c r="F631" s="54"/>
      <c r="G631" s="52"/>
      <c r="H631" s="52"/>
      <c r="I631" s="52"/>
      <c r="J631" s="55"/>
      <c r="K631" s="53"/>
      <c r="L631" s="10"/>
    </row>
    <row r="632" spans="1:12" ht="16" thickBot="1" x14ac:dyDescent="0.4">
      <c r="A632" s="41" t="str">
        <f>IF(F632&lt;&gt;"",1+MAX($A$7:A54),"")</f>
        <v/>
      </c>
      <c r="B632" s="42"/>
      <c r="C632" s="47" t="s">
        <v>508</v>
      </c>
      <c r="D632" s="62"/>
      <c r="E632" s="7"/>
      <c r="F632" s="28"/>
      <c r="G632" s="15"/>
      <c r="H632" s="15"/>
      <c r="I632" s="15"/>
      <c r="J632" s="8"/>
      <c r="K632" s="9"/>
      <c r="L632" s="10"/>
    </row>
    <row r="633" spans="1:12" ht="58" x14ac:dyDescent="0.35">
      <c r="A633" s="49">
        <f>IF(F633&lt;&gt;"",1+MAX($A$7:A632),"")</f>
        <v>493</v>
      </c>
      <c r="B633" s="6"/>
      <c r="C633" s="50" t="s">
        <v>288</v>
      </c>
      <c r="D633" s="62">
        <v>27</v>
      </c>
      <c r="E633" s="51">
        <v>0</v>
      </c>
      <c r="F633" s="54">
        <f t="shared" ref="F633:F653" si="132">D633*(1+E633)</f>
        <v>27</v>
      </c>
      <c r="G633" s="52" t="s">
        <v>50</v>
      </c>
      <c r="H633" s="52"/>
      <c r="I633" s="52"/>
      <c r="J633" s="55"/>
      <c r="K633" s="53">
        <f t="shared" ref="K633:K653" si="133">J633*F633</f>
        <v>0</v>
      </c>
      <c r="L633" s="10"/>
    </row>
    <row r="634" spans="1:12" ht="58" x14ac:dyDescent="0.35">
      <c r="A634" s="49">
        <f>IF(F634&lt;&gt;"",1+MAX($A$7:A633),"")</f>
        <v>494</v>
      </c>
      <c r="B634" s="6"/>
      <c r="C634" s="50" t="s">
        <v>287</v>
      </c>
      <c r="D634" s="62">
        <v>98</v>
      </c>
      <c r="E634" s="51">
        <v>0</v>
      </c>
      <c r="F634" s="54">
        <f t="shared" si="132"/>
        <v>98</v>
      </c>
      <c r="G634" s="52" t="s">
        <v>50</v>
      </c>
      <c r="H634" s="52"/>
      <c r="I634" s="52"/>
      <c r="J634" s="55"/>
      <c r="K634" s="53">
        <f t="shared" si="133"/>
        <v>0</v>
      </c>
      <c r="L634" s="10"/>
    </row>
    <row r="635" spans="1:12" ht="58" x14ac:dyDescent="0.35">
      <c r="A635" s="49">
        <f>IF(F635&lt;&gt;"",1+MAX($A$7:A634),"")</f>
        <v>495</v>
      </c>
      <c r="B635" s="6"/>
      <c r="C635" s="50" t="s">
        <v>289</v>
      </c>
      <c r="D635" s="62">
        <v>15</v>
      </c>
      <c r="E635" s="51">
        <v>0</v>
      </c>
      <c r="F635" s="54">
        <f t="shared" si="132"/>
        <v>15</v>
      </c>
      <c r="G635" s="52" t="s">
        <v>50</v>
      </c>
      <c r="H635" s="52"/>
      <c r="I635" s="52"/>
      <c r="J635" s="55"/>
      <c r="K635" s="53">
        <f t="shared" si="133"/>
        <v>0</v>
      </c>
      <c r="L635" s="10"/>
    </row>
    <row r="636" spans="1:12" ht="58" x14ac:dyDescent="0.35">
      <c r="A636" s="49">
        <f>IF(F636&lt;&gt;"",1+MAX($A$7:A635),"")</f>
        <v>496</v>
      </c>
      <c r="B636" s="6"/>
      <c r="C636" s="50" t="s">
        <v>290</v>
      </c>
      <c r="D636" s="62">
        <v>26</v>
      </c>
      <c r="E636" s="51">
        <v>0</v>
      </c>
      <c r="F636" s="54">
        <f t="shared" si="132"/>
        <v>26</v>
      </c>
      <c r="G636" s="52" t="s">
        <v>50</v>
      </c>
      <c r="H636" s="52"/>
      <c r="I636" s="52"/>
      <c r="J636" s="55"/>
      <c r="K636" s="53">
        <f t="shared" si="133"/>
        <v>0</v>
      </c>
      <c r="L636" s="10"/>
    </row>
    <row r="637" spans="1:12" ht="58" x14ac:dyDescent="0.35">
      <c r="A637" s="49">
        <f>IF(F637&lt;&gt;"",1+MAX($A$7:A636),"")</f>
        <v>497</v>
      </c>
      <c r="B637" s="6"/>
      <c r="C637" s="50" t="s">
        <v>291</v>
      </c>
      <c r="D637" s="62">
        <v>7</v>
      </c>
      <c r="E637" s="51">
        <v>0</v>
      </c>
      <c r="F637" s="54">
        <f t="shared" si="132"/>
        <v>7</v>
      </c>
      <c r="G637" s="52" t="s">
        <v>50</v>
      </c>
      <c r="H637" s="52"/>
      <c r="I637" s="52"/>
      <c r="J637" s="55"/>
      <c r="K637" s="53">
        <f t="shared" si="133"/>
        <v>0</v>
      </c>
      <c r="L637" s="10"/>
    </row>
    <row r="638" spans="1:12" ht="58" x14ac:dyDescent="0.35">
      <c r="A638" s="49">
        <f>IF(F638&lt;&gt;"",1+MAX($A$7:A637),"")</f>
        <v>498</v>
      </c>
      <c r="B638" s="6"/>
      <c r="C638" s="50" t="s">
        <v>292</v>
      </c>
      <c r="D638" s="62">
        <v>8</v>
      </c>
      <c r="E638" s="51">
        <v>0</v>
      </c>
      <c r="F638" s="54">
        <f t="shared" si="132"/>
        <v>8</v>
      </c>
      <c r="G638" s="52" t="s">
        <v>50</v>
      </c>
      <c r="H638" s="52"/>
      <c r="I638" s="52"/>
      <c r="J638" s="55"/>
      <c r="K638" s="53">
        <f t="shared" si="133"/>
        <v>0</v>
      </c>
      <c r="L638" s="10"/>
    </row>
    <row r="639" spans="1:12" ht="58" x14ac:dyDescent="0.35">
      <c r="A639" s="49">
        <f>IF(F639&lt;&gt;"",1+MAX($A$7:A638),"")</f>
        <v>499</v>
      </c>
      <c r="B639" s="6"/>
      <c r="C639" s="50" t="s">
        <v>293</v>
      </c>
      <c r="D639" s="62">
        <v>7</v>
      </c>
      <c r="E639" s="51">
        <v>0</v>
      </c>
      <c r="F639" s="54">
        <f t="shared" si="132"/>
        <v>7</v>
      </c>
      <c r="G639" s="52" t="s">
        <v>50</v>
      </c>
      <c r="H639" s="52"/>
      <c r="I639" s="52"/>
      <c r="J639" s="55"/>
      <c r="K639" s="53">
        <f t="shared" si="133"/>
        <v>0</v>
      </c>
      <c r="L639" s="10"/>
    </row>
    <row r="640" spans="1:12" ht="58" x14ac:dyDescent="0.35">
      <c r="A640" s="49">
        <f>IF(F640&lt;&gt;"",1+MAX($A$7:A639),"")</f>
        <v>500</v>
      </c>
      <c r="B640" s="6"/>
      <c r="C640" s="50" t="s">
        <v>294</v>
      </c>
      <c r="D640" s="62">
        <v>1</v>
      </c>
      <c r="E640" s="51">
        <v>0</v>
      </c>
      <c r="F640" s="54">
        <f t="shared" si="132"/>
        <v>1</v>
      </c>
      <c r="G640" s="52" t="s">
        <v>50</v>
      </c>
      <c r="H640" s="52"/>
      <c r="I640" s="52"/>
      <c r="J640" s="55"/>
      <c r="K640" s="53">
        <f t="shared" si="133"/>
        <v>0</v>
      </c>
      <c r="L640" s="10"/>
    </row>
    <row r="641" spans="1:12" ht="58" x14ac:dyDescent="0.35">
      <c r="A641" s="49">
        <f>IF(F641&lt;&gt;"",1+MAX($A$7:A640),"")</f>
        <v>501</v>
      </c>
      <c r="B641" s="6"/>
      <c r="C641" s="50" t="s">
        <v>295</v>
      </c>
      <c r="D641" s="62">
        <v>1</v>
      </c>
      <c r="E641" s="51">
        <v>0</v>
      </c>
      <c r="F641" s="54">
        <f t="shared" si="132"/>
        <v>1</v>
      </c>
      <c r="G641" s="52" t="s">
        <v>50</v>
      </c>
      <c r="H641" s="52"/>
      <c r="I641" s="52"/>
      <c r="J641" s="55"/>
      <c r="K641" s="53">
        <f t="shared" si="133"/>
        <v>0</v>
      </c>
      <c r="L641" s="10"/>
    </row>
    <row r="642" spans="1:12" ht="58" x14ac:dyDescent="0.35">
      <c r="A642" s="49">
        <f>IF(F642&lt;&gt;"",1+MAX($A$7:A641),"")</f>
        <v>502</v>
      </c>
      <c r="B642" s="6"/>
      <c r="C642" s="50" t="s">
        <v>296</v>
      </c>
      <c r="D642" s="62">
        <v>1</v>
      </c>
      <c r="E642" s="51">
        <v>0</v>
      </c>
      <c r="F642" s="54">
        <f t="shared" si="132"/>
        <v>1</v>
      </c>
      <c r="G642" s="52" t="s">
        <v>50</v>
      </c>
      <c r="H642" s="52"/>
      <c r="I642" s="52"/>
      <c r="J642" s="55"/>
      <c r="K642" s="53">
        <f t="shared" si="133"/>
        <v>0</v>
      </c>
      <c r="L642" s="10"/>
    </row>
    <row r="643" spans="1:12" ht="58" x14ac:dyDescent="0.35">
      <c r="A643" s="49">
        <f>IF(F643&lt;&gt;"",1+MAX($A$7:A642),"")</f>
        <v>503</v>
      </c>
      <c r="B643" s="6"/>
      <c r="C643" s="50" t="s">
        <v>297</v>
      </c>
      <c r="D643" s="62">
        <v>1</v>
      </c>
      <c r="E643" s="51">
        <v>0</v>
      </c>
      <c r="F643" s="54">
        <f t="shared" si="132"/>
        <v>1</v>
      </c>
      <c r="G643" s="52" t="s">
        <v>50</v>
      </c>
      <c r="H643" s="52"/>
      <c r="I643" s="52"/>
      <c r="J643" s="55"/>
      <c r="K643" s="53">
        <f t="shared" si="133"/>
        <v>0</v>
      </c>
      <c r="L643" s="10"/>
    </row>
    <row r="644" spans="1:12" ht="58" x14ac:dyDescent="0.35">
      <c r="A644" s="49">
        <f>IF(F644&lt;&gt;"",1+MAX($A$7:A643),"")</f>
        <v>504</v>
      </c>
      <c r="B644" s="6"/>
      <c r="C644" s="50" t="s">
        <v>298</v>
      </c>
      <c r="D644" s="62">
        <v>1</v>
      </c>
      <c r="E644" s="51">
        <v>0</v>
      </c>
      <c r="F644" s="54">
        <f t="shared" si="132"/>
        <v>1</v>
      </c>
      <c r="G644" s="52" t="s">
        <v>50</v>
      </c>
      <c r="H644" s="52"/>
      <c r="I644" s="52"/>
      <c r="J644" s="55"/>
      <c r="K644" s="53">
        <f t="shared" si="133"/>
        <v>0</v>
      </c>
      <c r="L644" s="10"/>
    </row>
    <row r="645" spans="1:12" ht="58" x14ac:dyDescent="0.35">
      <c r="A645" s="49">
        <f>IF(F645&lt;&gt;"",1+MAX($A$7:A644),"")</f>
        <v>505</v>
      </c>
      <c r="B645" s="6"/>
      <c r="C645" s="50" t="s">
        <v>299</v>
      </c>
      <c r="D645" s="62">
        <v>1</v>
      </c>
      <c r="E645" s="51">
        <v>0</v>
      </c>
      <c r="F645" s="54">
        <f t="shared" si="132"/>
        <v>1</v>
      </c>
      <c r="G645" s="52" t="s">
        <v>50</v>
      </c>
      <c r="H645" s="52"/>
      <c r="I645" s="52"/>
      <c r="J645" s="55"/>
      <c r="K645" s="53">
        <f t="shared" si="133"/>
        <v>0</v>
      </c>
      <c r="L645" s="10"/>
    </row>
    <row r="646" spans="1:12" ht="58" x14ac:dyDescent="0.35">
      <c r="A646" s="49">
        <f>IF(F646&lt;&gt;"",1+MAX($A$7:A645),"")</f>
        <v>506</v>
      </c>
      <c r="B646" s="6"/>
      <c r="C646" s="50" t="s">
        <v>300</v>
      </c>
      <c r="D646" s="62">
        <v>1</v>
      </c>
      <c r="E646" s="51">
        <v>0</v>
      </c>
      <c r="F646" s="54">
        <f t="shared" si="132"/>
        <v>1</v>
      </c>
      <c r="G646" s="52" t="s">
        <v>50</v>
      </c>
      <c r="H646" s="52"/>
      <c r="I646" s="52"/>
      <c r="J646" s="55"/>
      <c r="K646" s="53">
        <f t="shared" si="133"/>
        <v>0</v>
      </c>
      <c r="L646" s="10"/>
    </row>
    <row r="647" spans="1:12" ht="58" x14ac:dyDescent="0.35">
      <c r="A647" s="49">
        <f>IF(F647&lt;&gt;"",1+MAX($A$7:A646),"")</f>
        <v>507</v>
      </c>
      <c r="B647" s="6"/>
      <c r="C647" s="50" t="s">
        <v>301</v>
      </c>
      <c r="D647" s="62">
        <v>1</v>
      </c>
      <c r="E647" s="51">
        <v>0</v>
      </c>
      <c r="F647" s="54">
        <f t="shared" si="132"/>
        <v>1</v>
      </c>
      <c r="G647" s="52" t="s">
        <v>50</v>
      </c>
      <c r="H647" s="52"/>
      <c r="I647" s="52"/>
      <c r="J647" s="55"/>
      <c r="K647" s="53">
        <f t="shared" si="133"/>
        <v>0</v>
      </c>
      <c r="L647" s="10"/>
    </row>
    <row r="648" spans="1:12" ht="58" x14ac:dyDescent="0.35">
      <c r="A648" s="49">
        <f>IF(F648&lt;&gt;"",1+MAX($A$7:A647),"")</f>
        <v>508</v>
      </c>
      <c r="B648" s="6"/>
      <c r="C648" s="50" t="s">
        <v>302</v>
      </c>
      <c r="D648" s="62">
        <v>1</v>
      </c>
      <c r="E648" s="51">
        <v>0</v>
      </c>
      <c r="F648" s="54">
        <f t="shared" si="132"/>
        <v>1</v>
      </c>
      <c r="G648" s="52" t="s">
        <v>50</v>
      </c>
      <c r="H648" s="52"/>
      <c r="I648" s="52"/>
      <c r="J648" s="55"/>
      <c r="K648" s="53">
        <f t="shared" si="133"/>
        <v>0</v>
      </c>
      <c r="L648" s="10"/>
    </row>
    <row r="649" spans="1:12" ht="58" x14ac:dyDescent="0.35">
      <c r="A649" s="49">
        <f>IF(F649&lt;&gt;"",1+MAX($A$7:A648),"")</f>
        <v>509</v>
      </c>
      <c r="B649" s="6"/>
      <c r="C649" s="50" t="s">
        <v>303</v>
      </c>
      <c r="D649" s="62">
        <v>1</v>
      </c>
      <c r="E649" s="51">
        <v>0</v>
      </c>
      <c r="F649" s="54">
        <f t="shared" si="132"/>
        <v>1</v>
      </c>
      <c r="G649" s="52" t="s">
        <v>50</v>
      </c>
      <c r="H649" s="52"/>
      <c r="I649" s="52"/>
      <c r="J649" s="55"/>
      <c r="K649" s="53">
        <f t="shared" si="133"/>
        <v>0</v>
      </c>
      <c r="L649" s="10"/>
    </row>
    <row r="650" spans="1:12" ht="58" x14ac:dyDescent="0.35">
      <c r="A650" s="49">
        <f>IF(F650&lt;&gt;"",1+MAX($A$7:A649),"")</f>
        <v>510</v>
      </c>
      <c r="B650" s="6"/>
      <c r="C650" s="50" t="s">
        <v>304</v>
      </c>
      <c r="D650" s="62">
        <v>1</v>
      </c>
      <c r="E650" s="51">
        <v>0</v>
      </c>
      <c r="F650" s="54">
        <f t="shared" si="132"/>
        <v>1</v>
      </c>
      <c r="G650" s="52" t="s">
        <v>50</v>
      </c>
      <c r="H650" s="52"/>
      <c r="I650" s="52"/>
      <c r="J650" s="55"/>
      <c r="K650" s="53">
        <f t="shared" si="133"/>
        <v>0</v>
      </c>
      <c r="L650" s="10"/>
    </row>
    <row r="651" spans="1:12" ht="58" x14ac:dyDescent="0.35">
      <c r="A651" s="49">
        <f>IF(F651&lt;&gt;"",1+MAX($A$7:A650),"")</f>
        <v>511</v>
      </c>
      <c r="B651" s="6"/>
      <c r="C651" s="50" t="s">
        <v>305</v>
      </c>
      <c r="D651" s="62">
        <v>1</v>
      </c>
      <c r="E651" s="51">
        <v>0</v>
      </c>
      <c r="F651" s="54">
        <f t="shared" si="132"/>
        <v>1</v>
      </c>
      <c r="G651" s="52" t="s">
        <v>50</v>
      </c>
      <c r="H651" s="52"/>
      <c r="I651" s="52"/>
      <c r="J651" s="55"/>
      <c r="K651" s="53">
        <f t="shared" si="133"/>
        <v>0</v>
      </c>
      <c r="L651" s="10"/>
    </row>
    <row r="652" spans="1:12" ht="58" x14ac:dyDescent="0.35">
      <c r="A652" s="49">
        <f>IF(F652&lt;&gt;"",1+MAX($A$7:A651),"")</f>
        <v>512</v>
      </c>
      <c r="B652" s="6"/>
      <c r="C652" s="50" t="s">
        <v>306</v>
      </c>
      <c r="D652" s="62">
        <v>1</v>
      </c>
      <c r="E652" s="51">
        <v>0</v>
      </c>
      <c r="F652" s="54">
        <f t="shared" si="132"/>
        <v>1</v>
      </c>
      <c r="G652" s="52" t="s">
        <v>50</v>
      </c>
      <c r="H652" s="52"/>
      <c r="I652" s="52"/>
      <c r="J652" s="55"/>
      <c r="K652" s="53">
        <f t="shared" si="133"/>
        <v>0</v>
      </c>
      <c r="L652" s="10"/>
    </row>
    <row r="653" spans="1:12" ht="58" x14ac:dyDescent="0.35">
      <c r="A653" s="49">
        <f>IF(F653&lt;&gt;"",1+MAX($A$7:A652),"")</f>
        <v>513</v>
      </c>
      <c r="B653" s="6"/>
      <c r="C653" s="50" t="s">
        <v>307</v>
      </c>
      <c r="D653" s="62">
        <v>1</v>
      </c>
      <c r="E653" s="51">
        <v>0</v>
      </c>
      <c r="F653" s="54">
        <f t="shared" si="132"/>
        <v>1</v>
      </c>
      <c r="G653" s="52" t="s">
        <v>50</v>
      </c>
      <c r="H653" s="52"/>
      <c r="I653" s="52"/>
      <c r="J653" s="55"/>
      <c r="K653" s="53">
        <f t="shared" si="133"/>
        <v>0</v>
      </c>
      <c r="L653" s="10"/>
    </row>
    <row r="654" spans="1:12" ht="58" x14ac:dyDescent="0.35">
      <c r="A654" s="49">
        <f>IF(F654&lt;&gt;"",1+MAX($A$7:A653),"")</f>
        <v>514</v>
      </c>
      <c r="B654" s="6"/>
      <c r="C654" s="50" t="s">
        <v>308</v>
      </c>
      <c r="D654" s="62">
        <v>1</v>
      </c>
      <c r="E654" s="51">
        <v>0</v>
      </c>
      <c r="F654" s="54">
        <f t="shared" ref="F654:F657" si="134">D654*(1+E654)</f>
        <v>1</v>
      </c>
      <c r="G654" s="52" t="s">
        <v>50</v>
      </c>
      <c r="H654" s="52"/>
      <c r="I654" s="52"/>
      <c r="J654" s="55"/>
      <c r="K654" s="53">
        <f t="shared" ref="K654:K657" si="135">J654*F654</f>
        <v>0</v>
      </c>
      <c r="L654" s="10"/>
    </row>
    <row r="655" spans="1:12" ht="58" x14ac:dyDescent="0.35">
      <c r="A655" s="49">
        <f>IF(F655&lt;&gt;"",1+MAX($A$7:A654),"")</f>
        <v>515</v>
      </c>
      <c r="B655" s="6"/>
      <c r="C655" s="50" t="s">
        <v>309</v>
      </c>
      <c r="D655" s="62">
        <v>1</v>
      </c>
      <c r="E655" s="51">
        <v>0</v>
      </c>
      <c r="F655" s="54">
        <f t="shared" si="134"/>
        <v>1</v>
      </c>
      <c r="G655" s="52" t="s">
        <v>50</v>
      </c>
      <c r="H655" s="52"/>
      <c r="I655" s="52"/>
      <c r="J655" s="55"/>
      <c r="K655" s="53">
        <f t="shared" si="135"/>
        <v>0</v>
      </c>
      <c r="L655" s="10"/>
    </row>
    <row r="656" spans="1:12" ht="58" x14ac:dyDescent="0.35">
      <c r="A656" s="49">
        <f>IF(F656&lt;&gt;"",1+MAX($A$7:A655),"")</f>
        <v>516</v>
      </c>
      <c r="B656" s="6"/>
      <c r="C656" s="50" t="s">
        <v>310</v>
      </c>
      <c r="D656" s="62">
        <v>1</v>
      </c>
      <c r="E656" s="51">
        <v>0</v>
      </c>
      <c r="F656" s="54">
        <f t="shared" si="134"/>
        <v>1</v>
      </c>
      <c r="G656" s="52" t="s">
        <v>50</v>
      </c>
      <c r="H656" s="52"/>
      <c r="I656" s="52"/>
      <c r="J656" s="55"/>
      <c r="K656" s="53">
        <f t="shared" si="135"/>
        <v>0</v>
      </c>
      <c r="L656" s="10"/>
    </row>
    <row r="657" spans="1:12" ht="58" x14ac:dyDescent="0.35">
      <c r="A657" s="49">
        <f>IF(F657&lt;&gt;"",1+MAX($A$7:A656),"")</f>
        <v>517</v>
      </c>
      <c r="B657" s="6"/>
      <c r="C657" s="50" t="s">
        <v>311</v>
      </c>
      <c r="D657" s="62">
        <v>1</v>
      </c>
      <c r="E657" s="51">
        <v>0</v>
      </c>
      <c r="F657" s="54">
        <f t="shared" si="134"/>
        <v>1</v>
      </c>
      <c r="G657" s="52" t="s">
        <v>50</v>
      </c>
      <c r="H657" s="52"/>
      <c r="I657" s="52"/>
      <c r="J657" s="55"/>
      <c r="K657" s="53">
        <f t="shared" si="135"/>
        <v>0</v>
      </c>
      <c r="L657" s="10"/>
    </row>
    <row r="658" spans="1:12" ht="16" thickBot="1" x14ac:dyDescent="0.4">
      <c r="A658" s="49"/>
      <c r="B658" s="6"/>
      <c r="C658" s="50"/>
      <c r="D658" s="62"/>
      <c r="E658" s="51"/>
      <c r="F658" s="54"/>
      <c r="G658" s="52"/>
      <c r="H658" s="52"/>
      <c r="I658" s="52"/>
      <c r="J658" s="55"/>
      <c r="K658" s="53"/>
      <c r="L658" s="10"/>
    </row>
    <row r="659" spans="1:12" ht="16" thickBot="1" x14ac:dyDescent="0.4">
      <c r="A659" s="41" t="str">
        <f>IF(F659&lt;&gt;"",1+MAX($A$7:A136),"")</f>
        <v/>
      </c>
      <c r="B659" s="42"/>
      <c r="C659" s="47" t="s">
        <v>509</v>
      </c>
      <c r="D659" s="62"/>
      <c r="E659" s="7"/>
      <c r="F659" s="28"/>
      <c r="G659" s="15"/>
      <c r="H659" s="15"/>
      <c r="I659" s="15"/>
      <c r="J659" s="8"/>
      <c r="K659" s="9"/>
      <c r="L659" s="10"/>
    </row>
    <row r="660" spans="1:12" ht="58" x14ac:dyDescent="0.35">
      <c r="A660" s="49">
        <f>IF(F660&lt;&gt;"",1+MAX($A$7:A659),"")</f>
        <v>518</v>
      </c>
      <c r="B660" s="6"/>
      <c r="C660" s="50" t="s">
        <v>312</v>
      </c>
      <c r="D660" s="62">
        <v>1</v>
      </c>
      <c r="E660" s="51">
        <v>0</v>
      </c>
      <c r="F660" s="54">
        <f t="shared" ref="F660:F676" si="136">D660*(1+E660)</f>
        <v>1</v>
      </c>
      <c r="G660" s="52" t="s">
        <v>50</v>
      </c>
      <c r="H660" s="52"/>
      <c r="I660" s="52"/>
      <c r="J660" s="55"/>
      <c r="K660" s="53">
        <f t="shared" ref="K660:K676" si="137">J660*F660</f>
        <v>0</v>
      </c>
      <c r="L660" s="10"/>
    </row>
    <row r="661" spans="1:12" ht="58" x14ac:dyDescent="0.35">
      <c r="A661" s="49">
        <f>IF(F661&lt;&gt;"",1+MAX($A$7:A660),"")</f>
        <v>519</v>
      </c>
      <c r="B661" s="6"/>
      <c r="C661" s="50" t="s">
        <v>313</v>
      </c>
      <c r="D661" s="62">
        <v>1</v>
      </c>
      <c r="E661" s="51">
        <v>0</v>
      </c>
      <c r="F661" s="54">
        <f t="shared" si="136"/>
        <v>1</v>
      </c>
      <c r="G661" s="52" t="s">
        <v>50</v>
      </c>
      <c r="H661" s="52"/>
      <c r="I661" s="52"/>
      <c r="J661" s="55"/>
      <c r="K661" s="53">
        <f t="shared" si="137"/>
        <v>0</v>
      </c>
      <c r="L661" s="10"/>
    </row>
    <row r="662" spans="1:12" ht="58" x14ac:dyDescent="0.35">
      <c r="A662" s="49">
        <f>IF(F662&lt;&gt;"",1+MAX($A$7:A661),"")</f>
        <v>520</v>
      </c>
      <c r="B662" s="6"/>
      <c r="C662" s="50" t="s">
        <v>314</v>
      </c>
      <c r="D662" s="62">
        <v>1</v>
      </c>
      <c r="E662" s="51">
        <v>0</v>
      </c>
      <c r="F662" s="54">
        <f t="shared" si="136"/>
        <v>1</v>
      </c>
      <c r="G662" s="52" t="s">
        <v>50</v>
      </c>
      <c r="H662" s="52"/>
      <c r="I662" s="52"/>
      <c r="J662" s="55"/>
      <c r="K662" s="53">
        <f t="shared" si="137"/>
        <v>0</v>
      </c>
      <c r="L662" s="10"/>
    </row>
    <row r="663" spans="1:12" ht="58" x14ac:dyDescent="0.35">
      <c r="A663" s="49">
        <f>IF(F663&lt;&gt;"",1+MAX($A$7:A662),"")</f>
        <v>521</v>
      </c>
      <c r="B663" s="6"/>
      <c r="C663" s="50" t="s">
        <v>315</v>
      </c>
      <c r="D663" s="62">
        <v>1</v>
      </c>
      <c r="E663" s="51">
        <v>0</v>
      </c>
      <c r="F663" s="54">
        <f t="shared" si="136"/>
        <v>1</v>
      </c>
      <c r="G663" s="52" t="s">
        <v>50</v>
      </c>
      <c r="H663" s="52"/>
      <c r="I663" s="52"/>
      <c r="J663" s="55"/>
      <c r="K663" s="53">
        <f t="shared" si="137"/>
        <v>0</v>
      </c>
      <c r="L663" s="10"/>
    </row>
    <row r="664" spans="1:12" ht="58" x14ac:dyDescent="0.35">
      <c r="A664" s="49">
        <f>IF(F664&lt;&gt;"",1+MAX($A$7:A663),"")</f>
        <v>522</v>
      </c>
      <c r="B664" s="6"/>
      <c r="C664" s="50" t="s">
        <v>316</v>
      </c>
      <c r="D664" s="62">
        <v>1</v>
      </c>
      <c r="E664" s="51">
        <v>0</v>
      </c>
      <c r="F664" s="54">
        <f t="shared" si="136"/>
        <v>1</v>
      </c>
      <c r="G664" s="52" t="s">
        <v>50</v>
      </c>
      <c r="H664" s="52"/>
      <c r="I664" s="52"/>
      <c r="J664" s="55"/>
      <c r="K664" s="53">
        <f t="shared" si="137"/>
        <v>0</v>
      </c>
      <c r="L664" s="10"/>
    </row>
    <row r="665" spans="1:12" ht="58" x14ac:dyDescent="0.35">
      <c r="A665" s="49">
        <f>IF(F665&lt;&gt;"",1+MAX($A$7:A664),"")</f>
        <v>523</v>
      </c>
      <c r="B665" s="6"/>
      <c r="C665" s="50" t="s">
        <v>328</v>
      </c>
      <c r="D665" s="62">
        <v>1</v>
      </c>
      <c r="E665" s="51">
        <v>0</v>
      </c>
      <c r="F665" s="54">
        <f t="shared" si="136"/>
        <v>1</v>
      </c>
      <c r="G665" s="52" t="s">
        <v>50</v>
      </c>
      <c r="H665" s="52"/>
      <c r="I665" s="52"/>
      <c r="J665" s="55"/>
      <c r="K665" s="53">
        <f t="shared" si="137"/>
        <v>0</v>
      </c>
      <c r="L665" s="10"/>
    </row>
    <row r="666" spans="1:12" ht="58" x14ac:dyDescent="0.35">
      <c r="A666" s="49">
        <f>IF(F666&lt;&gt;"",1+MAX($A$7:A665),"")</f>
        <v>524</v>
      </c>
      <c r="B666" s="6"/>
      <c r="C666" s="50" t="s">
        <v>318</v>
      </c>
      <c r="D666" s="62">
        <v>1</v>
      </c>
      <c r="E666" s="51">
        <v>0</v>
      </c>
      <c r="F666" s="54">
        <f t="shared" si="136"/>
        <v>1</v>
      </c>
      <c r="G666" s="52" t="s">
        <v>50</v>
      </c>
      <c r="H666" s="52"/>
      <c r="I666" s="52"/>
      <c r="J666" s="55"/>
      <c r="K666" s="53">
        <f t="shared" si="137"/>
        <v>0</v>
      </c>
      <c r="L666" s="10"/>
    </row>
    <row r="667" spans="1:12" ht="58" x14ac:dyDescent="0.35">
      <c r="A667" s="49">
        <f>IF(F667&lt;&gt;"",1+MAX($A$7:A666),"")</f>
        <v>525</v>
      </c>
      <c r="B667" s="6"/>
      <c r="C667" s="50" t="s">
        <v>319</v>
      </c>
      <c r="D667" s="62">
        <v>1</v>
      </c>
      <c r="E667" s="51">
        <v>0</v>
      </c>
      <c r="F667" s="54">
        <f t="shared" si="136"/>
        <v>1</v>
      </c>
      <c r="G667" s="52" t="s">
        <v>50</v>
      </c>
      <c r="H667" s="52"/>
      <c r="I667" s="52"/>
      <c r="J667" s="55"/>
      <c r="K667" s="53">
        <f t="shared" si="137"/>
        <v>0</v>
      </c>
      <c r="L667" s="10"/>
    </row>
    <row r="668" spans="1:12" ht="58" x14ac:dyDescent="0.35">
      <c r="A668" s="49">
        <f>IF(F668&lt;&gt;"",1+MAX($A$7:A667),"")</f>
        <v>526</v>
      </c>
      <c r="B668" s="6"/>
      <c r="C668" s="50" t="s">
        <v>320</v>
      </c>
      <c r="D668" s="62">
        <v>1</v>
      </c>
      <c r="E668" s="51">
        <v>0</v>
      </c>
      <c r="F668" s="54">
        <f t="shared" si="136"/>
        <v>1</v>
      </c>
      <c r="G668" s="52" t="s">
        <v>50</v>
      </c>
      <c r="H668" s="52"/>
      <c r="I668" s="52"/>
      <c r="J668" s="55"/>
      <c r="K668" s="53">
        <f t="shared" si="137"/>
        <v>0</v>
      </c>
      <c r="L668" s="10"/>
    </row>
    <row r="669" spans="1:12" ht="58" x14ac:dyDescent="0.35">
      <c r="A669" s="49">
        <f>IF(F669&lt;&gt;"",1+MAX($A$7:A668),"")</f>
        <v>527</v>
      </c>
      <c r="B669" s="6"/>
      <c r="C669" s="50" t="s">
        <v>321</v>
      </c>
      <c r="D669" s="62">
        <v>1</v>
      </c>
      <c r="E669" s="51">
        <v>0</v>
      </c>
      <c r="F669" s="54">
        <f t="shared" si="136"/>
        <v>1</v>
      </c>
      <c r="G669" s="52" t="s">
        <v>50</v>
      </c>
      <c r="H669" s="52"/>
      <c r="I669" s="52"/>
      <c r="J669" s="55"/>
      <c r="K669" s="53">
        <f t="shared" si="137"/>
        <v>0</v>
      </c>
      <c r="L669" s="10"/>
    </row>
    <row r="670" spans="1:12" ht="58" x14ac:dyDescent="0.35">
      <c r="A670" s="49">
        <f>IF(F670&lt;&gt;"",1+MAX($A$7:A669),"")</f>
        <v>528</v>
      </c>
      <c r="B670" s="6"/>
      <c r="C670" s="50" t="s">
        <v>317</v>
      </c>
      <c r="D670" s="62">
        <v>1</v>
      </c>
      <c r="E670" s="51">
        <v>0</v>
      </c>
      <c r="F670" s="54">
        <f t="shared" si="136"/>
        <v>1</v>
      </c>
      <c r="G670" s="52" t="s">
        <v>50</v>
      </c>
      <c r="H670" s="52"/>
      <c r="I670" s="52"/>
      <c r="J670" s="55"/>
      <c r="K670" s="53">
        <f t="shared" si="137"/>
        <v>0</v>
      </c>
      <c r="L670" s="10"/>
    </row>
    <row r="671" spans="1:12" ht="58" x14ac:dyDescent="0.35">
      <c r="A671" s="49">
        <f>IF(F671&lt;&gt;"",1+MAX($A$7:A670),"")</f>
        <v>529</v>
      </c>
      <c r="B671" s="6"/>
      <c r="C671" s="50" t="s">
        <v>322</v>
      </c>
      <c r="D671" s="62">
        <v>1</v>
      </c>
      <c r="E671" s="51">
        <v>0</v>
      </c>
      <c r="F671" s="54">
        <f t="shared" si="136"/>
        <v>1</v>
      </c>
      <c r="G671" s="52" t="s">
        <v>50</v>
      </c>
      <c r="H671" s="52"/>
      <c r="I671" s="52"/>
      <c r="J671" s="55"/>
      <c r="K671" s="53">
        <f t="shared" si="137"/>
        <v>0</v>
      </c>
      <c r="L671" s="10"/>
    </row>
    <row r="672" spans="1:12" ht="58" x14ac:dyDescent="0.35">
      <c r="A672" s="49">
        <f>IF(F672&lt;&gt;"",1+MAX($A$7:A671),"")</f>
        <v>530</v>
      </c>
      <c r="B672" s="6"/>
      <c r="C672" s="50" t="s">
        <v>323</v>
      </c>
      <c r="D672" s="62">
        <v>1</v>
      </c>
      <c r="E672" s="51">
        <v>0</v>
      </c>
      <c r="F672" s="54">
        <f t="shared" si="136"/>
        <v>1</v>
      </c>
      <c r="G672" s="52" t="s">
        <v>50</v>
      </c>
      <c r="H672" s="52"/>
      <c r="I672" s="52"/>
      <c r="J672" s="55"/>
      <c r="K672" s="53">
        <f t="shared" si="137"/>
        <v>0</v>
      </c>
      <c r="L672" s="10"/>
    </row>
    <row r="673" spans="1:12" ht="58" x14ac:dyDescent="0.35">
      <c r="A673" s="49">
        <f>IF(F673&lt;&gt;"",1+MAX($A$7:A672),"")</f>
        <v>531</v>
      </c>
      <c r="B673" s="6"/>
      <c r="C673" s="50" t="s">
        <v>324</v>
      </c>
      <c r="D673" s="62">
        <v>1</v>
      </c>
      <c r="E673" s="51">
        <v>0</v>
      </c>
      <c r="F673" s="54">
        <f t="shared" si="136"/>
        <v>1</v>
      </c>
      <c r="G673" s="52" t="s">
        <v>50</v>
      </c>
      <c r="H673" s="52"/>
      <c r="I673" s="52"/>
      <c r="J673" s="55"/>
      <c r="K673" s="53">
        <f t="shared" si="137"/>
        <v>0</v>
      </c>
      <c r="L673" s="10"/>
    </row>
    <row r="674" spans="1:12" ht="58" x14ac:dyDescent="0.35">
      <c r="A674" s="49">
        <f>IF(F674&lt;&gt;"",1+MAX($A$7:A673),"")</f>
        <v>532</v>
      </c>
      <c r="B674" s="6"/>
      <c r="C674" s="50" t="s">
        <v>325</v>
      </c>
      <c r="D674" s="62">
        <v>1</v>
      </c>
      <c r="E674" s="51">
        <v>0</v>
      </c>
      <c r="F674" s="54">
        <f t="shared" si="136"/>
        <v>1</v>
      </c>
      <c r="G674" s="52" t="s">
        <v>50</v>
      </c>
      <c r="H674" s="52"/>
      <c r="I674" s="52"/>
      <c r="J674" s="55"/>
      <c r="K674" s="53">
        <f t="shared" si="137"/>
        <v>0</v>
      </c>
      <c r="L674" s="10"/>
    </row>
    <row r="675" spans="1:12" ht="58" x14ac:dyDescent="0.35">
      <c r="A675" s="49">
        <f>IF(F675&lt;&gt;"",1+MAX($A$7:A674),"")</f>
        <v>533</v>
      </c>
      <c r="B675" s="6"/>
      <c r="C675" s="50" t="s">
        <v>326</v>
      </c>
      <c r="D675" s="62">
        <v>1</v>
      </c>
      <c r="E675" s="51">
        <v>0</v>
      </c>
      <c r="F675" s="54">
        <f t="shared" si="136"/>
        <v>1</v>
      </c>
      <c r="G675" s="52" t="s">
        <v>50</v>
      </c>
      <c r="H675" s="52"/>
      <c r="I675" s="52"/>
      <c r="J675" s="55"/>
      <c r="K675" s="53">
        <f t="shared" si="137"/>
        <v>0</v>
      </c>
      <c r="L675" s="10"/>
    </row>
    <row r="676" spans="1:12" ht="58" x14ac:dyDescent="0.35">
      <c r="A676" s="49">
        <f>IF(F676&lt;&gt;"",1+MAX($A$7:A675),"")</f>
        <v>534</v>
      </c>
      <c r="B676" s="6"/>
      <c r="C676" s="50" t="s">
        <v>327</v>
      </c>
      <c r="D676" s="62">
        <v>1</v>
      </c>
      <c r="E676" s="51">
        <v>0</v>
      </c>
      <c r="F676" s="54">
        <f t="shared" si="136"/>
        <v>1</v>
      </c>
      <c r="G676" s="52" t="s">
        <v>50</v>
      </c>
      <c r="H676" s="52"/>
      <c r="I676" s="52"/>
      <c r="J676" s="55"/>
      <c r="K676" s="53">
        <f t="shared" si="137"/>
        <v>0</v>
      </c>
      <c r="L676" s="10"/>
    </row>
    <row r="677" spans="1:12" ht="16" thickBot="1" x14ac:dyDescent="0.4">
      <c r="A677" s="49"/>
      <c r="B677" s="6"/>
      <c r="C677" s="50"/>
      <c r="D677" s="62"/>
      <c r="E677" s="51"/>
      <c r="F677" s="54"/>
      <c r="G677" s="52"/>
      <c r="H677" s="52"/>
      <c r="I677" s="52"/>
      <c r="J677" s="55"/>
      <c r="K677" s="53"/>
      <c r="L677" s="10"/>
    </row>
    <row r="678" spans="1:12" ht="16" thickBot="1" x14ac:dyDescent="0.4">
      <c r="A678" s="41"/>
      <c r="B678" s="42"/>
      <c r="C678" s="47" t="s">
        <v>510</v>
      </c>
      <c r="D678" s="62"/>
      <c r="E678" s="7"/>
      <c r="F678" s="28"/>
      <c r="G678" s="15"/>
      <c r="H678" s="15"/>
      <c r="I678" s="15"/>
      <c r="J678" s="8"/>
      <c r="K678" s="9"/>
      <c r="L678" s="10"/>
    </row>
    <row r="679" spans="1:12" ht="33.75" customHeight="1" x14ac:dyDescent="0.35">
      <c r="A679" s="49">
        <f>IF(F679&lt;&gt;"",1+MAX($A$7:A678),"")</f>
        <v>535</v>
      </c>
      <c r="B679" s="6"/>
      <c r="C679" s="50" t="s">
        <v>55</v>
      </c>
      <c r="D679" s="62">
        <v>1</v>
      </c>
      <c r="E679" s="51">
        <v>0</v>
      </c>
      <c r="F679" s="54">
        <f t="shared" ref="F679:F732" si="138">D679*(1+E679)</f>
        <v>1</v>
      </c>
      <c r="G679" s="52" t="s">
        <v>50</v>
      </c>
      <c r="H679" s="52"/>
      <c r="I679" s="52"/>
      <c r="J679" s="55"/>
      <c r="K679" s="53">
        <f t="shared" ref="K679:K732" si="139">J679*F679</f>
        <v>0</v>
      </c>
      <c r="L679" s="10"/>
    </row>
    <row r="680" spans="1:12" ht="33.75" customHeight="1" x14ac:dyDescent="0.35">
      <c r="A680" s="49">
        <f>IF(F680&lt;&gt;"",1+MAX($A$7:A679),"")</f>
        <v>536</v>
      </c>
      <c r="B680" s="6"/>
      <c r="C680" s="50" t="s">
        <v>56</v>
      </c>
      <c r="D680" s="62">
        <v>1</v>
      </c>
      <c r="E680" s="51">
        <v>0</v>
      </c>
      <c r="F680" s="54">
        <f t="shared" si="138"/>
        <v>1</v>
      </c>
      <c r="G680" s="52" t="s">
        <v>50</v>
      </c>
      <c r="H680" s="52"/>
      <c r="I680" s="52"/>
      <c r="J680" s="55"/>
      <c r="K680" s="53">
        <f t="shared" si="139"/>
        <v>0</v>
      </c>
      <c r="L680" s="10"/>
    </row>
    <row r="681" spans="1:12" ht="33.75" customHeight="1" x14ac:dyDescent="0.35">
      <c r="A681" s="49">
        <f>IF(F681&lt;&gt;"",1+MAX($A$7:A680),"")</f>
        <v>537</v>
      </c>
      <c r="B681" s="6"/>
      <c r="C681" s="50" t="s">
        <v>57</v>
      </c>
      <c r="D681" s="62">
        <v>1</v>
      </c>
      <c r="E681" s="51">
        <v>0</v>
      </c>
      <c r="F681" s="54">
        <f t="shared" si="138"/>
        <v>1</v>
      </c>
      <c r="G681" s="52" t="s">
        <v>50</v>
      </c>
      <c r="H681" s="52"/>
      <c r="I681" s="52"/>
      <c r="J681" s="55"/>
      <c r="K681" s="53">
        <f t="shared" si="139"/>
        <v>0</v>
      </c>
      <c r="L681" s="10"/>
    </row>
    <row r="682" spans="1:12" ht="33.75" customHeight="1" x14ac:dyDescent="0.35">
      <c r="A682" s="49">
        <f>IF(F682&lt;&gt;"",1+MAX($A$7:A681),"")</f>
        <v>538</v>
      </c>
      <c r="B682" s="6"/>
      <c r="C682" s="50" t="s">
        <v>58</v>
      </c>
      <c r="D682" s="62">
        <v>1</v>
      </c>
      <c r="E682" s="51">
        <v>0</v>
      </c>
      <c r="F682" s="54">
        <f t="shared" si="138"/>
        <v>1</v>
      </c>
      <c r="G682" s="52" t="s">
        <v>50</v>
      </c>
      <c r="H682" s="52"/>
      <c r="I682" s="52"/>
      <c r="J682" s="55"/>
      <c r="K682" s="53">
        <f t="shared" si="139"/>
        <v>0</v>
      </c>
      <c r="L682" s="10"/>
    </row>
    <row r="683" spans="1:12" ht="33.75" customHeight="1" x14ac:dyDescent="0.35">
      <c r="A683" s="49">
        <f>IF(F683&lt;&gt;"",1+MAX($A$7:A682),"")</f>
        <v>539</v>
      </c>
      <c r="B683" s="6"/>
      <c r="C683" s="50" t="s">
        <v>59</v>
      </c>
      <c r="D683" s="62">
        <v>1</v>
      </c>
      <c r="E683" s="51">
        <v>0</v>
      </c>
      <c r="F683" s="54">
        <f t="shared" si="138"/>
        <v>1</v>
      </c>
      <c r="G683" s="52" t="s">
        <v>50</v>
      </c>
      <c r="H683" s="52"/>
      <c r="I683" s="52"/>
      <c r="J683" s="55"/>
      <c r="K683" s="53">
        <f t="shared" si="139"/>
        <v>0</v>
      </c>
      <c r="L683" s="10"/>
    </row>
    <row r="684" spans="1:12" ht="33.75" customHeight="1" x14ac:dyDescent="0.35">
      <c r="A684" s="49">
        <f>IF(F684&lt;&gt;"",1+MAX($A$7:A683),"")</f>
        <v>540</v>
      </c>
      <c r="B684" s="6"/>
      <c r="C684" s="50" t="s">
        <v>60</v>
      </c>
      <c r="D684" s="62">
        <v>1</v>
      </c>
      <c r="E684" s="51">
        <v>0</v>
      </c>
      <c r="F684" s="54">
        <f t="shared" si="138"/>
        <v>1</v>
      </c>
      <c r="G684" s="52" t="s">
        <v>50</v>
      </c>
      <c r="H684" s="52"/>
      <c r="I684" s="52"/>
      <c r="J684" s="55"/>
      <c r="K684" s="53">
        <f t="shared" si="139"/>
        <v>0</v>
      </c>
      <c r="L684" s="10"/>
    </row>
    <row r="685" spans="1:12" ht="33.75" customHeight="1" x14ac:dyDescent="0.35">
      <c r="A685" s="49">
        <f>IF(F685&lt;&gt;"",1+MAX($A$7:A684),"")</f>
        <v>541</v>
      </c>
      <c r="B685" s="6"/>
      <c r="C685" s="50" t="s">
        <v>61</v>
      </c>
      <c r="D685" s="62">
        <v>1</v>
      </c>
      <c r="E685" s="51">
        <v>0</v>
      </c>
      <c r="F685" s="54">
        <f t="shared" si="138"/>
        <v>1</v>
      </c>
      <c r="G685" s="52" t="s">
        <v>50</v>
      </c>
      <c r="H685" s="52"/>
      <c r="I685" s="52"/>
      <c r="J685" s="55"/>
      <c r="K685" s="53">
        <f t="shared" si="139"/>
        <v>0</v>
      </c>
      <c r="L685" s="10"/>
    </row>
    <row r="686" spans="1:12" ht="33.75" customHeight="1" x14ac:dyDescent="0.35">
      <c r="A686" s="49">
        <f>IF(F686&lt;&gt;"",1+MAX($A$7:A685),"")</f>
        <v>542</v>
      </c>
      <c r="B686" s="6"/>
      <c r="C686" s="50" t="s">
        <v>62</v>
      </c>
      <c r="D686" s="62">
        <v>1</v>
      </c>
      <c r="E686" s="51">
        <v>0</v>
      </c>
      <c r="F686" s="54">
        <f t="shared" si="138"/>
        <v>1</v>
      </c>
      <c r="G686" s="52" t="s">
        <v>50</v>
      </c>
      <c r="H686" s="52"/>
      <c r="I686" s="52"/>
      <c r="J686" s="55"/>
      <c r="K686" s="53">
        <f t="shared" si="139"/>
        <v>0</v>
      </c>
      <c r="L686" s="10"/>
    </row>
    <row r="687" spans="1:12" ht="33.75" customHeight="1" x14ac:dyDescent="0.35">
      <c r="A687" s="49">
        <f>IF(F687&lt;&gt;"",1+MAX($A$7:A686),"")</f>
        <v>543</v>
      </c>
      <c r="B687" s="6"/>
      <c r="C687" s="50" t="s">
        <v>63</v>
      </c>
      <c r="D687" s="62">
        <v>1</v>
      </c>
      <c r="E687" s="51">
        <v>0</v>
      </c>
      <c r="F687" s="54">
        <f t="shared" si="138"/>
        <v>1</v>
      </c>
      <c r="G687" s="52" t="s">
        <v>50</v>
      </c>
      <c r="H687" s="52"/>
      <c r="I687" s="52"/>
      <c r="J687" s="55"/>
      <c r="K687" s="53">
        <f t="shared" si="139"/>
        <v>0</v>
      </c>
      <c r="L687" s="10"/>
    </row>
    <row r="688" spans="1:12" ht="33.75" customHeight="1" x14ac:dyDescent="0.35">
      <c r="A688" s="49">
        <f>IF(F688&lt;&gt;"",1+MAX($A$7:A687),"")</f>
        <v>544</v>
      </c>
      <c r="B688" s="6"/>
      <c r="C688" s="50" t="s">
        <v>64</v>
      </c>
      <c r="D688" s="62">
        <v>1</v>
      </c>
      <c r="E688" s="51">
        <v>0</v>
      </c>
      <c r="F688" s="54">
        <f t="shared" si="138"/>
        <v>1</v>
      </c>
      <c r="G688" s="52" t="s">
        <v>50</v>
      </c>
      <c r="H688" s="52"/>
      <c r="I688" s="52"/>
      <c r="J688" s="55"/>
      <c r="K688" s="53">
        <f t="shared" si="139"/>
        <v>0</v>
      </c>
      <c r="L688" s="10"/>
    </row>
    <row r="689" spans="1:12" ht="33.75" customHeight="1" x14ac:dyDescent="0.35">
      <c r="A689" s="49">
        <f>IF(F689&lt;&gt;"",1+MAX($A$7:A688),"")</f>
        <v>545</v>
      </c>
      <c r="B689" s="6"/>
      <c r="C689" s="50" t="s">
        <v>65</v>
      </c>
      <c r="D689" s="62">
        <v>1</v>
      </c>
      <c r="E689" s="51">
        <v>0</v>
      </c>
      <c r="F689" s="54">
        <f t="shared" si="138"/>
        <v>1</v>
      </c>
      <c r="G689" s="52" t="s">
        <v>50</v>
      </c>
      <c r="H689" s="52"/>
      <c r="I689" s="52"/>
      <c r="J689" s="55"/>
      <c r="K689" s="53">
        <f t="shared" si="139"/>
        <v>0</v>
      </c>
      <c r="L689" s="10"/>
    </row>
    <row r="690" spans="1:12" ht="33.75" customHeight="1" x14ac:dyDescent="0.35">
      <c r="A690" s="49">
        <f>IF(F690&lt;&gt;"",1+MAX($A$7:A689),"")</f>
        <v>546</v>
      </c>
      <c r="B690" s="6"/>
      <c r="C690" s="50" t="s">
        <v>66</v>
      </c>
      <c r="D690" s="62">
        <v>1</v>
      </c>
      <c r="E690" s="51">
        <v>0</v>
      </c>
      <c r="F690" s="54">
        <f t="shared" si="138"/>
        <v>1</v>
      </c>
      <c r="G690" s="52" t="s">
        <v>50</v>
      </c>
      <c r="H690" s="52"/>
      <c r="I690" s="52"/>
      <c r="J690" s="55"/>
      <c r="K690" s="53">
        <f t="shared" si="139"/>
        <v>0</v>
      </c>
      <c r="L690" s="10"/>
    </row>
    <row r="691" spans="1:12" ht="33.75" customHeight="1" x14ac:dyDescent="0.35">
      <c r="A691" s="49">
        <f>IF(F691&lt;&gt;"",1+MAX($A$7:A690),"")</f>
        <v>547</v>
      </c>
      <c r="B691" s="6"/>
      <c r="C691" s="50" t="s">
        <v>67</v>
      </c>
      <c r="D691" s="62">
        <v>1</v>
      </c>
      <c r="E691" s="51">
        <v>0</v>
      </c>
      <c r="F691" s="54">
        <f t="shared" si="138"/>
        <v>1</v>
      </c>
      <c r="G691" s="52" t="s">
        <v>50</v>
      </c>
      <c r="H691" s="52"/>
      <c r="I691" s="52"/>
      <c r="J691" s="55"/>
      <c r="K691" s="53">
        <f t="shared" si="139"/>
        <v>0</v>
      </c>
      <c r="L691" s="10"/>
    </row>
    <row r="692" spans="1:12" ht="33.75" customHeight="1" x14ac:dyDescent="0.35">
      <c r="A692" s="49">
        <f>IF(F692&lt;&gt;"",1+MAX($A$7:A691),"")</f>
        <v>548</v>
      </c>
      <c r="B692" s="6"/>
      <c r="C692" s="50" t="s">
        <v>68</v>
      </c>
      <c r="D692" s="62">
        <v>1</v>
      </c>
      <c r="E692" s="51">
        <v>0</v>
      </c>
      <c r="F692" s="54">
        <f t="shared" si="138"/>
        <v>1</v>
      </c>
      <c r="G692" s="52" t="s">
        <v>50</v>
      </c>
      <c r="H692" s="52"/>
      <c r="I692" s="52"/>
      <c r="J692" s="55"/>
      <c r="K692" s="53">
        <f t="shared" si="139"/>
        <v>0</v>
      </c>
      <c r="L692" s="10"/>
    </row>
    <row r="693" spans="1:12" ht="33.75" customHeight="1" x14ac:dyDescent="0.35">
      <c r="A693" s="49">
        <f>IF(F693&lt;&gt;"",1+MAX($A$7:A692),"")</f>
        <v>549</v>
      </c>
      <c r="B693" s="6"/>
      <c r="C693" s="50" t="s">
        <v>69</v>
      </c>
      <c r="D693" s="62">
        <v>1</v>
      </c>
      <c r="E693" s="51">
        <v>0</v>
      </c>
      <c r="F693" s="54">
        <f t="shared" si="138"/>
        <v>1</v>
      </c>
      <c r="G693" s="52" t="s">
        <v>50</v>
      </c>
      <c r="H693" s="52"/>
      <c r="I693" s="52"/>
      <c r="J693" s="55"/>
      <c r="K693" s="53">
        <f t="shared" si="139"/>
        <v>0</v>
      </c>
      <c r="L693" s="10"/>
    </row>
    <row r="694" spans="1:12" ht="33.75" customHeight="1" x14ac:dyDescent="0.35">
      <c r="A694" s="49">
        <f>IF(F694&lt;&gt;"",1+MAX($A$7:A693),"")</f>
        <v>550</v>
      </c>
      <c r="B694" s="6"/>
      <c r="C694" s="50" t="s">
        <v>70</v>
      </c>
      <c r="D694" s="62">
        <v>1</v>
      </c>
      <c r="E694" s="51">
        <v>0</v>
      </c>
      <c r="F694" s="54">
        <f t="shared" si="138"/>
        <v>1</v>
      </c>
      <c r="G694" s="52" t="s">
        <v>50</v>
      </c>
      <c r="H694" s="52"/>
      <c r="I694" s="52"/>
      <c r="J694" s="55"/>
      <c r="K694" s="53">
        <f t="shared" si="139"/>
        <v>0</v>
      </c>
      <c r="L694" s="10"/>
    </row>
    <row r="695" spans="1:12" ht="33.75" customHeight="1" x14ac:dyDescent="0.35">
      <c r="A695" s="49">
        <f>IF(F695&lt;&gt;"",1+MAX($A$7:A694),"")</f>
        <v>551</v>
      </c>
      <c r="B695" s="6"/>
      <c r="C695" s="50" t="s">
        <v>71</v>
      </c>
      <c r="D695" s="62">
        <v>1</v>
      </c>
      <c r="E695" s="51">
        <v>0</v>
      </c>
      <c r="F695" s="54">
        <f t="shared" si="138"/>
        <v>1</v>
      </c>
      <c r="G695" s="52" t="s">
        <v>50</v>
      </c>
      <c r="H695" s="52"/>
      <c r="I695" s="52"/>
      <c r="J695" s="55"/>
      <c r="K695" s="53">
        <f t="shared" si="139"/>
        <v>0</v>
      </c>
      <c r="L695" s="10"/>
    </row>
    <row r="696" spans="1:12" ht="33.75" customHeight="1" x14ac:dyDescent="0.35">
      <c r="A696" s="49">
        <f>IF(F696&lt;&gt;"",1+MAX($A$7:A695),"")</f>
        <v>552</v>
      </c>
      <c r="B696" s="6"/>
      <c r="C696" s="50" t="s">
        <v>72</v>
      </c>
      <c r="D696" s="62">
        <v>1</v>
      </c>
      <c r="E696" s="51">
        <v>0</v>
      </c>
      <c r="F696" s="54">
        <f t="shared" si="138"/>
        <v>1</v>
      </c>
      <c r="G696" s="52" t="s">
        <v>50</v>
      </c>
      <c r="H696" s="52"/>
      <c r="I696" s="52"/>
      <c r="J696" s="55"/>
      <c r="K696" s="53">
        <f t="shared" si="139"/>
        <v>0</v>
      </c>
      <c r="L696" s="10"/>
    </row>
    <row r="697" spans="1:12" ht="33.75" customHeight="1" x14ac:dyDescent="0.35">
      <c r="A697" s="49">
        <f>IF(F697&lt;&gt;"",1+MAX($A$7:A696),"")</f>
        <v>553</v>
      </c>
      <c r="B697" s="6"/>
      <c r="C697" s="50" t="s">
        <v>73</v>
      </c>
      <c r="D697" s="62">
        <v>1</v>
      </c>
      <c r="E697" s="51">
        <v>0</v>
      </c>
      <c r="F697" s="54">
        <f t="shared" si="138"/>
        <v>1</v>
      </c>
      <c r="G697" s="52" t="s">
        <v>50</v>
      </c>
      <c r="H697" s="52"/>
      <c r="I697" s="52"/>
      <c r="J697" s="55"/>
      <c r="K697" s="53">
        <f t="shared" si="139"/>
        <v>0</v>
      </c>
      <c r="L697" s="10"/>
    </row>
    <row r="698" spans="1:12" ht="33.75" customHeight="1" x14ac:dyDescent="0.35">
      <c r="A698" s="49">
        <f>IF(F698&lt;&gt;"",1+MAX($A$7:A697),"")</f>
        <v>554</v>
      </c>
      <c r="B698" s="6"/>
      <c r="C698" s="50" t="s">
        <v>74</v>
      </c>
      <c r="D698" s="62">
        <v>1</v>
      </c>
      <c r="E698" s="51">
        <v>0</v>
      </c>
      <c r="F698" s="54">
        <f t="shared" si="138"/>
        <v>1</v>
      </c>
      <c r="G698" s="52" t="s">
        <v>50</v>
      </c>
      <c r="H698" s="52"/>
      <c r="I698" s="52"/>
      <c r="J698" s="55"/>
      <c r="K698" s="53">
        <f t="shared" si="139"/>
        <v>0</v>
      </c>
      <c r="L698" s="10"/>
    </row>
    <row r="699" spans="1:12" ht="33.75" customHeight="1" x14ac:dyDescent="0.35">
      <c r="A699" s="49">
        <f>IF(F699&lt;&gt;"",1+MAX($A$7:A698),"")</f>
        <v>555</v>
      </c>
      <c r="B699" s="6"/>
      <c r="C699" s="50" t="s">
        <v>75</v>
      </c>
      <c r="D699" s="62">
        <v>1</v>
      </c>
      <c r="E699" s="51">
        <v>0</v>
      </c>
      <c r="F699" s="54">
        <f t="shared" si="138"/>
        <v>1</v>
      </c>
      <c r="G699" s="52" t="s">
        <v>50</v>
      </c>
      <c r="H699" s="52"/>
      <c r="I699" s="52"/>
      <c r="J699" s="55"/>
      <c r="K699" s="53">
        <f t="shared" si="139"/>
        <v>0</v>
      </c>
      <c r="L699" s="10"/>
    </row>
    <row r="700" spans="1:12" ht="33.75" customHeight="1" x14ac:dyDescent="0.35">
      <c r="A700" s="49">
        <f>IF(F700&lt;&gt;"",1+MAX($A$7:A699),"")</f>
        <v>556</v>
      </c>
      <c r="B700" s="6"/>
      <c r="C700" s="50" t="s">
        <v>76</v>
      </c>
      <c r="D700" s="62">
        <v>1</v>
      </c>
      <c r="E700" s="51">
        <v>0</v>
      </c>
      <c r="F700" s="54">
        <f t="shared" si="138"/>
        <v>1</v>
      </c>
      <c r="G700" s="52" t="s">
        <v>50</v>
      </c>
      <c r="H700" s="52"/>
      <c r="I700" s="52"/>
      <c r="J700" s="55"/>
      <c r="K700" s="53">
        <f t="shared" si="139"/>
        <v>0</v>
      </c>
      <c r="L700" s="10"/>
    </row>
    <row r="701" spans="1:12" ht="33.75" customHeight="1" x14ac:dyDescent="0.35">
      <c r="A701" s="49">
        <f>IF(F701&lt;&gt;"",1+MAX($A$7:A700),"")</f>
        <v>557</v>
      </c>
      <c r="B701" s="6"/>
      <c r="C701" s="50" t="s">
        <v>77</v>
      </c>
      <c r="D701" s="62">
        <v>1</v>
      </c>
      <c r="E701" s="51">
        <v>0</v>
      </c>
      <c r="F701" s="54">
        <f t="shared" si="138"/>
        <v>1</v>
      </c>
      <c r="G701" s="52" t="s">
        <v>50</v>
      </c>
      <c r="H701" s="52"/>
      <c r="I701" s="52"/>
      <c r="J701" s="55"/>
      <c r="K701" s="53">
        <f t="shared" si="139"/>
        <v>0</v>
      </c>
      <c r="L701" s="10"/>
    </row>
    <row r="702" spans="1:12" ht="33.75" customHeight="1" x14ac:dyDescent="0.35">
      <c r="A702" s="49">
        <f>IF(F702&lt;&gt;"",1+MAX($A$7:A701),"")</f>
        <v>558</v>
      </c>
      <c r="B702" s="6"/>
      <c r="C702" s="50" t="s">
        <v>78</v>
      </c>
      <c r="D702" s="62">
        <v>1</v>
      </c>
      <c r="E702" s="51">
        <v>0</v>
      </c>
      <c r="F702" s="54">
        <f t="shared" si="138"/>
        <v>1</v>
      </c>
      <c r="G702" s="52" t="s">
        <v>50</v>
      </c>
      <c r="H702" s="52"/>
      <c r="I702" s="52"/>
      <c r="J702" s="55"/>
      <c r="K702" s="53">
        <f t="shared" si="139"/>
        <v>0</v>
      </c>
      <c r="L702" s="10"/>
    </row>
    <row r="703" spans="1:12" ht="33.75" customHeight="1" x14ac:dyDescent="0.35">
      <c r="A703" s="49">
        <f>IF(F703&lt;&gt;"",1+MAX($A$7:A702),"")</f>
        <v>559</v>
      </c>
      <c r="B703" s="6"/>
      <c r="C703" s="50" t="s">
        <v>79</v>
      </c>
      <c r="D703" s="62">
        <v>1</v>
      </c>
      <c r="E703" s="51">
        <v>0</v>
      </c>
      <c r="F703" s="54">
        <f t="shared" si="138"/>
        <v>1</v>
      </c>
      <c r="G703" s="52" t="s">
        <v>50</v>
      </c>
      <c r="H703" s="52"/>
      <c r="I703" s="52"/>
      <c r="J703" s="55"/>
      <c r="K703" s="53">
        <f t="shared" si="139"/>
        <v>0</v>
      </c>
      <c r="L703" s="10"/>
    </row>
    <row r="704" spans="1:12" ht="33.75" customHeight="1" x14ac:dyDescent="0.35">
      <c r="A704" s="49">
        <f>IF(F704&lt;&gt;"",1+MAX($A$7:A703),"")</f>
        <v>560</v>
      </c>
      <c r="B704" s="6"/>
      <c r="C704" s="50" t="s">
        <v>80</v>
      </c>
      <c r="D704" s="62">
        <v>1</v>
      </c>
      <c r="E704" s="51">
        <v>0</v>
      </c>
      <c r="F704" s="54">
        <f t="shared" si="138"/>
        <v>1</v>
      </c>
      <c r="G704" s="52" t="s">
        <v>50</v>
      </c>
      <c r="H704" s="52"/>
      <c r="I704" s="52"/>
      <c r="J704" s="55"/>
      <c r="K704" s="53">
        <f t="shared" si="139"/>
        <v>0</v>
      </c>
      <c r="L704" s="10"/>
    </row>
    <row r="705" spans="1:12" ht="33.75" customHeight="1" x14ac:dyDescent="0.35">
      <c r="A705" s="49">
        <f>IF(F705&lt;&gt;"",1+MAX($A$7:A704),"")</f>
        <v>561</v>
      </c>
      <c r="B705" s="6"/>
      <c r="C705" s="50" t="s">
        <v>81</v>
      </c>
      <c r="D705" s="62">
        <v>1</v>
      </c>
      <c r="E705" s="51">
        <v>0</v>
      </c>
      <c r="F705" s="54">
        <f t="shared" si="138"/>
        <v>1</v>
      </c>
      <c r="G705" s="52" t="s">
        <v>50</v>
      </c>
      <c r="H705" s="52"/>
      <c r="I705" s="52"/>
      <c r="J705" s="55"/>
      <c r="K705" s="53">
        <f t="shared" si="139"/>
        <v>0</v>
      </c>
      <c r="L705" s="10"/>
    </row>
    <row r="706" spans="1:12" ht="33.75" customHeight="1" x14ac:dyDescent="0.35">
      <c r="A706" s="49">
        <f>IF(F706&lt;&gt;"",1+MAX($A$7:A705),"")</f>
        <v>562</v>
      </c>
      <c r="B706" s="6"/>
      <c r="C706" s="50" t="s">
        <v>82</v>
      </c>
      <c r="D706" s="62">
        <v>1</v>
      </c>
      <c r="E706" s="51">
        <v>0</v>
      </c>
      <c r="F706" s="54">
        <f t="shared" si="138"/>
        <v>1</v>
      </c>
      <c r="G706" s="52" t="s">
        <v>50</v>
      </c>
      <c r="H706" s="52"/>
      <c r="I706" s="52"/>
      <c r="J706" s="55"/>
      <c r="K706" s="53">
        <f t="shared" si="139"/>
        <v>0</v>
      </c>
      <c r="L706" s="10"/>
    </row>
    <row r="707" spans="1:12" ht="33.75" customHeight="1" x14ac:dyDescent="0.35">
      <c r="A707" s="49">
        <f>IF(F707&lt;&gt;"",1+MAX($A$7:A706),"")</f>
        <v>563</v>
      </c>
      <c r="B707" s="6"/>
      <c r="C707" s="50" t="s">
        <v>83</v>
      </c>
      <c r="D707" s="62">
        <v>1</v>
      </c>
      <c r="E707" s="51">
        <v>0</v>
      </c>
      <c r="F707" s="54">
        <f t="shared" si="138"/>
        <v>1</v>
      </c>
      <c r="G707" s="52" t="s">
        <v>50</v>
      </c>
      <c r="H707" s="52"/>
      <c r="I707" s="52"/>
      <c r="J707" s="55"/>
      <c r="K707" s="53">
        <f t="shared" si="139"/>
        <v>0</v>
      </c>
      <c r="L707" s="10"/>
    </row>
    <row r="708" spans="1:12" ht="33.75" customHeight="1" x14ac:dyDescent="0.35">
      <c r="A708" s="49">
        <f>IF(F708&lt;&gt;"",1+MAX($A$7:A707),"")</f>
        <v>564</v>
      </c>
      <c r="B708" s="6"/>
      <c r="C708" s="50" t="s">
        <v>84</v>
      </c>
      <c r="D708" s="62">
        <v>1</v>
      </c>
      <c r="E708" s="51">
        <v>0</v>
      </c>
      <c r="F708" s="54">
        <f t="shared" si="138"/>
        <v>1</v>
      </c>
      <c r="G708" s="52" t="s">
        <v>50</v>
      </c>
      <c r="H708" s="52"/>
      <c r="I708" s="52"/>
      <c r="J708" s="55"/>
      <c r="K708" s="53">
        <f t="shared" si="139"/>
        <v>0</v>
      </c>
      <c r="L708" s="10"/>
    </row>
    <row r="709" spans="1:12" ht="33.75" customHeight="1" x14ac:dyDescent="0.35">
      <c r="A709" s="49">
        <f>IF(F709&lt;&gt;"",1+MAX($A$7:A708),"")</f>
        <v>565</v>
      </c>
      <c r="B709" s="6"/>
      <c r="C709" s="50" t="s">
        <v>85</v>
      </c>
      <c r="D709" s="62">
        <v>1</v>
      </c>
      <c r="E709" s="51">
        <v>0</v>
      </c>
      <c r="F709" s="54">
        <f t="shared" si="138"/>
        <v>1</v>
      </c>
      <c r="G709" s="52" t="s">
        <v>50</v>
      </c>
      <c r="H709" s="52"/>
      <c r="I709" s="52"/>
      <c r="J709" s="55"/>
      <c r="K709" s="53">
        <f t="shared" si="139"/>
        <v>0</v>
      </c>
      <c r="L709" s="10"/>
    </row>
    <row r="710" spans="1:12" ht="33.75" customHeight="1" x14ac:dyDescent="0.35">
      <c r="A710" s="49">
        <f>IF(F710&lt;&gt;"",1+MAX($A$7:A709),"")</f>
        <v>566</v>
      </c>
      <c r="B710" s="6"/>
      <c r="C710" s="50" t="s">
        <v>86</v>
      </c>
      <c r="D710" s="62">
        <v>1</v>
      </c>
      <c r="E710" s="51">
        <v>0</v>
      </c>
      <c r="F710" s="54">
        <f t="shared" si="138"/>
        <v>1</v>
      </c>
      <c r="G710" s="52" t="s">
        <v>50</v>
      </c>
      <c r="H710" s="52"/>
      <c r="I710" s="52"/>
      <c r="J710" s="55"/>
      <c r="K710" s="53">
        <f t="shared" si="139"/>
        <v>0</v>
      </c>
      <c r="L710" s="10"/>
    </row>
    <row r="711" spans="1:12" ht="33.75" customHeight="1" x14ac:dyDescent="0.35">
      <c r="A711" s="49">
        <f>IF(F711&lt;&gt;"",1+MAX($A$7:A710),"")</f>
        <v>567</v>
      </c>
      <c r="B711" s="6"/>
      <c r="C711" s="50" t="s">
        <v>87</v>
      </c>
      <c r="D711" s="62">
        <v>1</v>
      </c>
      <c r="E711" s="51">
        <v>0</v>
      </c>
      <c r="F711" s="54">
        <f t="shared" si="138"/>
        <v>1</v>
      </c>
      <c r="G711" s="52" t="s">
        <v>50</v>
      </c>
      <c r="H711" s="52"/>
      <c r="I711" s="52"/>
      <c r="J711" s="55"/>
      <c r="K711" s="53">
        <f t="shared" si="139"/>
        <v>0</v>
      </c>
      <c r="L711" s="10"/>
    </row>
    <row r="712" spans="1:12" ht="33.75" customHeight="1" x14ac:dyDescent="0.35">
      <c r="A712" s="49">
        <f>IF(F712&lt;&gt;"",1+MAX($A$7:A711),"")</f>
        <v>568</v>
      </c>
      <c r="B712" s="6"/>
      <c r="C712" s="50" t="s">
        <v>88</v>
      </c>
      <c r="D712" s="62">
        <v>1</v>
      </c>
      <c r="E712" s="51">
        <v>0</v>
      </c>
      <c r="F712" s="54">
        <f t="shared" si="138"/>
        <v>1</v>
      </c>
      <c r="G712" s="52" t="s">
        <v>50</v>
      </c>
      <c r="H712" s="52"/>
      <c r="I712" s="52"/>
      <c r="J712" s="55"/>
      <c r="K712" s="53">
        <f t="shared" si="139"/>
        <v>0</v>
      </c>
      <c r="L712" s="10"/>
    </row>
    <row r="713" spans="1:12" ht="33.75" customHeight="1" x14ac:dyDescent="0.35">
      <c r="A713" s="49">
        <f>IF(F713&lt;&gt;"",1+MAX($A$7:A712),"")</f>
        <v>569</v>
      </c>
      <c r="B713" s="6"/>
      <c r="C713" s="50" t="s">
        <v>89</v>
      </c>
      <c r="D713" s="62">
        <v>1</v>
      </c>
      <c r="E713" s="51">
        <v>0</v>
      </c>
      <c r="F713" s="54">
        <f t="shared" si="138"/>
        <v>1</v>
      </c>
      <c r="G713" s="52" t="s">
        <v>50</v>
      </c>
      <c r="H713" s="52"/>
      <c r="I713" s="52"/>
      <c r="J713" s="55"/>
      <c r="K713" s="53">
        <f t="shared" si="139"/>
        <v>0</v>
      </c>
      <c r="L713" s="10"/>
    </row>
    <row r="714" spans="1:12" ht="33.75" customHeight="1" x14ac:dyDescent="0.35">
      <c r="A714" s="49">
        <f>IF(F714&lt;&gt;"",1+MAX($A$7:A713),"")</f>
        <v>570</v>
      </c>
      <c r="B714" s="6"/>
      <c r="C714" s="50" t="s">
        <v>90</v>
      </c>
      <c r="D714" s="62">
        <v>1</v>
      </c>
      <c r="E714" s="51">
        <v>0</v>
      </c>
      <c r="F714" s="54">
        <f t="shared" si="138"/>
        <v>1</v>
      </c>
      <c r="G714" s="52" t="s">
        <v>50</v>
      </c>
      <c r="H714" s="52"/>
      <c r="I714" s="52"/>
      <c r="J714" s="55"/>
      <c r="K714" s="53">
        <f t="shared" si="139"/>
        <v>0</v>
      </c>
      <c r="L714" s="10"/>
    </row>
    <row r="715" spans="1:12" ht="33.75" customHeight="1" x14ac:dyDescent="0.35">
      <c r="A715" s="49">
        <f>IF(F715&lt;&gt;"",1+MAX($A$7:A714),"")</f>
        <v>571</v>
      </c>
      <c r="B715" s="6"/>
      <c r="C715" s="50" t="s">
        <v>91</v>
      </c>
      <c r="D715" s="62">
        <v>1</v>
      </c>
      <c r="E715" s="51">
        <v>0</v>
      </c>
      <c r="F715" s="54">
        <f t="shared" si="138"/>
        <v>1</v>
      </c>
      <c r="G715" s="52" t="s">
        <v>50</v>
      </c>
      <c r="H715" s="52"/>
      <c r="I715" s="52"/>
      <c r="J715" s="55"/>
      <c r="K715" s="53">
        <f t="shared" si="139"/>
        <v>0</v>
      </c>
      <c r="L715" s="10"/>
    </row>
    <row r="716" spans="1:12" ht="33.75" customHeight="1" x14ac:dyDescent="0.35">
      <c r="A716" s="49">
        <f>IF(F716&lt;&gt;"",1+MAX($A$7:A715),"")</f>
        <v>572</v>
      </c>
      <c r="B716" s="6"/>
      <c r="C716" s="50" t="s">
        <v>92</v>
      </c>
      <c r="D716" s="62">
        <v>1</v>
      </c>
      <c r="E716" s="51">
        <v>0</v>
      </c>
      <c r="F716" s="54">
        <f t="shared" si="138"/>
        <v>1</v>
      </c>
      <c r="G716" s="52" t="s">
        <v>50</v>
      </c>
      <c r="H716" s="52"/>
      <c r="I716" s="52"/>
      <c r="J716" s="55"/>
      <c r="K716" s="53">
        <f t="shared" si="139"/>
        <v>0</v>
      </c>
      <c r="L716" s="10"/>
    </row>
    <row r="717" spans="1:12" ht="33.75" customHeight="1" x14ac:dyDescent="0.35">
      <c r="A717" s="49">
        <f>IF(F717&lt;&gt;"",1+MAX($A$7:A716),"")</f>
        <v>573</v>
      </c>
      <c r="B717" s="6"/>
      <c r="C717" s="50" t="s">
        <v>93</v>
      </c>
      <c r="D717" s="62">
        <v>1</v>
      </c>
      <c r="E717" s="51">
        <v>0</v>
      </c>
      <c r="F717" s="54">
        <f t="shared" si="138"/>
        <v>1</v>
      </c>
      <c r="G717" s="52" t="s">
        <v>50</v>
      </c>
      <c r="H717" s="52"/>
      <c r="I717" s="52"/>
      <c r="J717" s="55"/>
      <c r="K717" s="53">
        <f t="shared" si="139"/>
        <v>0</v>
      </c>
      <c r="L717" s="10"/>
    </row>
    <row r="718" spans="1:12" ht="33.75" customHeight="1" x14ac:dyDescent="0.35">
      <c r="A718" s="49">
        <f>IF(F718&lt;&gt;"",1+MAX($A$7:A717),"")</f>
        <v>574</v>
      </c>
      <c r="B718" s="6"/>
      <c r="C718" s="50" t="s">
        <v>94</v>
      </c>
      <c r="D718" s="62">
        <v>1</v>
      </c>
      <c r="E718" s="51">
        <v>0</v>
      </c>
      <c r="F718" s="54">
        <f t="shared" si="138"/>
        <v>1</v>
      </c>
      <c r="G718" s="52" t="s">
        <v>50</v>
      </c>
      <c r="H718" s="52"/>
      <c r="I718" s="52"/>
      <c r="J718" s="55"/>
      <c r="K718" s="53">
        <f t="shared" si="139"/>
        <v>0</v>
      </c>
      <c r="L718" s="10"/>
    </row>
    <row r="719" spans="1:12" ht="33.75" customHeight="1" x14ac:dyDescent="0.35">
      <c r="A719" s="49">
        <f>IF(F719&lt;&gt;"",1+MAX($A$7:A718),"")</f>
        <v>575</v>
      </c>
      <c r="B719" s="6"/>
      <c r="C719" s="50" t="s">
        <v>95</v>
      </c>
      <c r="D719" s="62">
        <v>1</v>
      </c>
      <c r="E719" s="51">
        <v>0</v>
      </c>
      <c r="F719" s="54">
        <f t="shared" si="138"/>
        <v>1</v>
      </c>
      <c r="G719" s="52" t="s">
        <v>50</v>
      </c>
      <c r="H719" s="52"/>
      <c r="I719" s="52"/>
      <c r="J719" s="55"/>
      <c r="K719" s="53">
        <f t="shared" si="139"/>
        <v>0</v>
      </c>
      <c r="L719" s="10"/>
    </row>
    <row r="720" spans="1:12" ht="33.75" customHeight="1" x14ac:dyDescent="0.35">
      <c r="A720" s="49">
        <f>IF(F720&lt;&gt;"",1+MAX($A$7:A719),"")</f>
        <v>576</v>
      </c>
      <c r="B720" s="6"/>
      <c r="C720" s="50" t="s">
        <v>96</v>
      </c>
      <c r="D720" s="62">
        <v>1</v>
      </c>
      <c r="E720" s="51">
        <v>0</v>
      </c>
      <c r="F720" s="54">
        <f t="shared" si="138"/>
        <v>1</v>
      </c>
      <c r="G720" s="52" t="s">
        <v>50</v>
      </c>
      <c r="H720" s="52"/>
      <c r="I720" s="52"/>
      <c r="J720" s="55"/>
      <c r="K720" s="53">
        <f t="shared" si="139"/>
        <v>0</v>
      </c>
      <c r="L720" s="10"/>
    </row>
    <row r="721" spans="1:12" ht="33.75" customHeight="1" x14ac:dyDescent="0.35">
      <c r="A721" s="49">
        <f>IF(F721&lt;&gt;"",1+MAX($A$7:A720),"")</f>
        <v>577</v>
      </c>
      <c r="B721" s="6"/>
      <c r="C721" s="50" t="s">
        <v>97</v>
      </c>
      <c r="D721" s="62">
        <v>1</v>
      </c>
      <c r="E721" s="51">
        <v>0</v>
      </c>
      <c r="F721" s="54">
        <f t="shared" si="138"/>
        <v>1</v>
      </c>
      <c r="G721" s="52" t="s">
        <v>50</v>
      </c>
      <c r="H721" s="52"/>
      <c r="I721" s="52"/>
      <c r="J721" s="55"/>
      <c r="K721" s="53">
        <f t="shared" si="139"/>
        <v>0</v>
      </c>
      <c r="L721" s="10"/>
    </row>
    <row r="722" spans="1:12" ht="33.75" customHeight="1" x14ac:dyDescent="0.35">
      <c r="A722" s="49">
        <f>IF(F722&lt;&gt;"",1+MAX($A$7:A721),"")</f>
        <v>578</v>
      </c>
      <c r="B722" s="6"/>
      <c r="C722" s="50" t="s">
        <v>98</v>
      </c>
      <c r="D722" s="62">
        <v>1</v>
      </c>
      <c r="E722" s="51">
        <v>0</v>
      </c>
      <c r="F722" s="54">
        <f t="shared" si="138"/>
        <v>1</v>
      </c>
      <c r="G722" s="52" t="s">
        <v>50</v>
      </c>
      <c r="H722" s="52"/>
      <c r="I722" s="52"/>
      <c r="J722" s="55"/>
      <c r="K722" s="53">
        <f t="shared" si="139"/>
        <v>0</v>
      </c>
      <c r="L722" s="10"/>
    </row>
    <row r="723" spans="1:12" ht="33.75" customHeight="1" x14ac:dyDescent="0.35">
      <c r="A723" s="49">
        <f>IF(F723&lt;&gt;"",1+MAX($A$7:A722),"")</f>
        <v>579</v>
      </c>
      <c r="B723" s="6"/>
      <c r="C723" s="50" t="s">
        <v>99</v>
      </c>
      <c r="D723" s="62">
        <v>1</v>
      </c>
      <c r="E723" s="51">
        <v>0</v>
      </c>
      <c r="F723" s="54">
        <f t="shared" si="138"/>
        <v>1</v>
      </c>
      <c r="G723" s="52" t="s">
        <v>50</v>
      </c>
      <c r="H723" s="52"/>
      <c r="I723" s="52"/>
      <c r="J723" s="55"/>
      <c r="K723" s="53">
        <f t="shared" si="139"/>
        <v>0</v>
      </c>
      <c r="L723" s="10"/>
    </row>
    <row r="724" spans="1:12" ht="33.75" customHeight="1" x14ac:dyDescent="0.35">
      <c r="A724" s="49">
        <f>IF(F724&lt;&gt;"",1+MAX($A$7:A723),"")</f>
        <v>580</v>
      </c>
      <c r="B724" s="6"/>
      <c r="C724" s="50" t="s">
        <v>100</v>
      </c>
      <c r="D724" s="62">
        <v>1</v>
      </c>
      <c r="E724" s="51">
        <v>0</v>
      </c>
      <c r="F724" s="54">
        <f t="shared" si="138"/>
        <v>1</v>
      </c>
      <c r="G724" s="52" t="s">
        <v>50</v>
      </c>
      <c r="H724" s="52"/>
      <c r="I724" s="52"/>
      <c r="J724" s="55"/>
      <c r="K724" s="53">
        <f t="shared" si="139"/>
        <v>0</v>
      </c>
      <c r="L724" s="10"/>
    </row>
    <row r="725" spans="1:12" ht="33.75" customHeight="1" x14ac:dyDescent="0.35">
      <c r="A725" s="49">
        <f>IF(F725&lt;&gt;"",1+MAX($A$7:A724),"")</f>
        <v>581</v>
      </c>
      <c r="B725" s="6"/>
      <c r="C725" s="50" t="s">
        <v>101</v>
      </c>
      <c r="D725" s="62">
        <v>1</v>
      </c>
      <c r="E725" s="51">
        <v>0</v>
      </c>
      <c r="F725" s="54">
        <f t="shared" si="138"/>
        <v>1</v>
      </c>
      <c r="G725" s="52" t="s">
        <v>50</v>
      </c>
      <c r="H725" s="52"/>
      <c r="I725" s="52"/>
      <c r="J725" s="55"/>
      <c r="K725" s="53">
        <f t="shared" si="139"/>
        <v>0</v>
      </c>
      <c r="L725" s="10"/>
    </row>
    <row r="726" spans="1:12" ht="33.75" customHeight="1" x14ac:dyDescent="0.35">
      <c r="A726" s="49">
        <f>IF(F726&lt;&gt;"",1+MAX($A$7:A725),"")</f>
        <v>582</v>
      </c>
      <c r="B726" s="6"/>
      <c r="C726" s="50" t="s">
        <v>102</v>
      </c>
      <c r="D726" s="62">
        <v>1</v>
      </c>
      <c r="E726" s="51">
        <v>0</v>
      </c>
      <c r="F726" s="54">
        <f t="shared" si="138"/>
        <v>1</v>
      </c>
      <c r="G726" s="52" t="s">
        <v>50</v>
      </c>
      <c r="H726" s="52"/>
      <c r="I726" s="52"/>
      <c r="J726" s="55"/>
      <c r="K726" s="53">
        <f t="shared" si="139"/>
        <v>0</v>
      </c>
      <c r="L726" s="10"/>
    </row>
    <row r="727" spans="1:12" ht="33.75" customHeight="1" x14ac:dyDescent="0.35">
      <c r="A727" s="49">
        <f>IF(F727&lt;&gt;"",1+MAX($A$7:A726),"")</f>
        <v>583</v>
      </c>
      <c r="B727" s="6"/>
      <c r="C727" s="50" t="s">
        <v>103</v>
      </c>
      <c r="D727" s="62">
        <v>1</v>
      </c>
      <c r="E727" s="51">
        <v>0</v>
      </c>
      <c r="F727" s="54">
        <f t="shared" si="138"/>
        <v>1</v>
      </c>
      <c r="G727" s="52" t="s">
        <v>50</v>
      </c>
      <c r="H727" s="52"/>
      <c r="I727" s="52"/>
      <c r="J727" s="55"/>
      <c r="K727" s="53">
        <f t="shared" si="139"/>
        <v>0</v>
      </c>
      <c r="L727" s="10"/>
    </row>
    <row r="728" spans="1:12" ht="33.75" customHeight="1" x14ac:dyDescent="0.35">
      <c r="A728" s="49">
        <f>IF(F728&lt;&gt;"",1+MAX($A$7:A727),"")</f>
        <v>584</v>
      </c>
      <c r="B728" s="6"/>
      <c r="C728" s="50" t="s">
        <v>104</v>
      </c>
      <c r="D728" s="62">
        <v>1</v>
      </c>
      <c r="E728" s="51">
        <v>0</v>
      </c>
      <c r="F728" s="54">
        <f t="shared" si="138"/>
        <v>1</v>
      </c>
      <c r="G728" s="52" t="s">
        <v>50</v>
      </c>
      <c r="H728" s="52"/>
      <c r="I728" s="52"/>
      <c r="J728" s="55"/>
      <c r="K728" s="53">
        <f t="shared" si="139"/>
        <v>0</v>
      </c>
      <c r="L728" s="10"/>
    </row>
    <row r="729" spans="1:12" ht="33.75" customHeight="1" x14ac:dyDescent="0.35">
      <c r="A729" s="49">
        <f>IF(F729&lt;&gt;"",1+MAX($A$7:A728),"")</f>
        <v>585</v>
      </c>
      <c r="B729" s="6"/>
      <c r="C729" s="50" t="s">
        <v>105</v>
      </c>
      <c r="D729" s="62">
        <v>1</v>
      </c>
      <c r="E729" s="51">
        <v>0</v>
      </c>
      <c r="F729" s="54">
        <f t="shared" si="138"/>
        <v>1</v>
      </c>
      <c r="G729" s="52" t="s">
        <v>50</v>
      </c>
      <c r="H729" s="52"/>
      <c r="I729" s="52"/>
      <c r="J729" s="55"/>
      <c r="K729" s="53">
        <f t="shared" si="139"/>
        <v>0</v>
      </c>
      <c r="L729" s="10"/>
    </row>
    <row r="730" spans="1:12" ht="33.75" customHeight="1" x14ac:dyDescent="0.35">
      <c r="A730" s="49">
        <f>IF(F730&lt;&gt;"",1+MAX($A$7:A729),"")</f>
        <v>586</v>
      </c>
      <c r="B730" s="6"/>
      <c r="C730" s="50" t="s">
        <v>106</v>
      </c>
      <c r="D730" s="62">
        <v>1</v>
      </c>
      <c r="E730" s="51">
        <v>0</v>
      </c>
      <c r="F730" s="54">
        <f t="shared" si="138"/>
        <v>1</v>
      </c>
      <c r="G730" s="52" t="s">
        <v>50</v>
      </c>
      <c r="H730" s="52"/>
      <c r="I730" s="52"/>
      <c r="J730" s="55"/>
      <c r="K730" s="53">
        <f t="shared" si="139"/>
        <v>0</v>
      </c>
      <c r="L730" s="10"/>
    </row>
    <row r="731" spans="1:12" ht="33.75" customHeight="1" x14ac:dyDescent="0.35">
      <c r="A731" s="49">
        <f>IF(F731&lt;&gt;"",1+MAX($A$7:A730),"")</f>
        <v>587</v>
      </c>
      <c r="B731" s="6"/>
      <c r="C731" s="50" t="s">
        <v>107</v>
      </c>
      <c r="D731" s="62">
        <v>1</v>
      </c>
      <c r="E731" s="51">
        <v>0</v>
      </c>
      <c r="F731" s="54">
        <f t="shared" si="138"/>
        <v>1</v>
      </c>
      <c r="G731" s="52" t="s">
        <v>50</v>
      </c>
      <c r="H731" s="52"/>
      <c r="I731" s="52"/>
      <c r="J731" s="55"/>
      <c r="K731" s="53">
        <f t="shared" si="139"/>
        <v>0</v>
      </c>
      <c r="L731" s="10"/>
    </row>
    <row r="732" spans="1:12" ht="33.75" customHeight="1" x14ac:dyDescent="0.35">
      <c r="A732" s="49">
        <f>IF(F732&lt;&gt;"",1+MAX($A$7:A731),"")</f>
        <v>588</v>
      </c>
      <c r="B732" s="6"/>
      <c r="C732" s="50" t="s">
        <v>108</v>
      </c>
      <c r="D732" s="62">
        <v>1</v>
      </c>
      <c r="E732" s="51">
        <v>0</v>
      </c>
      <c r="F732" s="54">
        <f t="shared" si="138"/>
        <v>1</v>
      </c>
      <c r="G732" s="52" t="s">
        <v>50</v>
      </c>
      <c r="H732" s="52"/>
      <c r="I732" s="52"/>
      <c r="J732" s="55"/>
      <c r="K732" s="53">
        <f t="shared" si="139"/>
        <v>0</v>
      </c>
      <c r="L732" s="10"/>
    </row>
    <row r="733" spans="1:12" ht="16" thickBot="1" x14ac:dyDescent="0.4">
      <c r="A733" s="49"/>
      <c r="B733" s="6"/>
      <c r="C733" s="50"/>
      <c r="D733" s="62"/>
      <c r="E733" s="51"/>
      <c r="F733" s="54"/>
      <c r="G733" s="52"/>
      <c r="H733" s="52"/>
      <c r="I733" s="52"/>
      <c r="J733" s="55"/>
      <c r="K733" s="53"/>
      <c r="L733" s="10"/>
    </row>
    <row r="734" spans="1:12" ht="16" thickBot="1" x14ac:dyDescent="0.4">
      <c r="A734" s="41"/>
      <c r="B734" s="42"/>
      <c r="C734" s="47" t="s">
        <v>511</v>
      </c>
      <c r="D734" s="62"/>
      <c r="E734" s="7"/>
      <c r="F734" s="28"/>
      <c r="G734" s="15"/>
      <c r="H734" s="15"/>
      <c r="I734" s="15"/>
      <c r="J734" s="8"/>
      <c r="K734" s="9"/>
      <c r="L734" s="10"/>
    </row>
    <row r="735" spans="1:12" x14ac:dyDescent="0.35">
      <c r="A735" s="49">
        <f>IF(F735&lt;&gt;"",1+MAX($A$7:A734),"")</f>
        <v>589</v>
      </c>
      <c r="B735" s="6"/>
      <c r="C735" s="50" t="s">
        <v>201</v>
      </c>
      <c r="D735" s="62">
        <v>1</v>
      </c>
      <c r="E735" s="51">
        <v>0</v>
      </c>
      <c r="F735" s="54">
        <f t="shared" ref="F735:F738" si="140">D735*(1+E735)</f>
        <v>1</v>
      </c>
      <c r="G735" s="52" t="s">
        <v>50</v>
      </c>
      <c r="H735" s="52"/>
      <c r="I735" s="52"/>
      <c r="J735" s="55"/>
      <c r="K735" s="53">
        <f t="shared" ref="K735:K738" si="141">J735*F735</f>
        <v>0</v>
      </c>
      <c r="L735" s="10"/>
    </row>
    <row r="736" spans="1:12" x14ac:dyDescent="0.35">
      <c r="A736" s="49">
        <f>IF(F736&lt;&gt;"",1+MAX($A$7:A735),"")</f>
        <v>590</v>
      </c>
      <c r="B736" s="6"/>
      <c r="C736" s="50" t="s">
        <v>202</v>
      </c>
      <c r="D736" s="62">
        <v>1</v>
      </c>
      <c r="E736" s="51">
        <v>0</v>
      </c>
      <c r="F736" s="54">
        <f t="shared" si="140"/>
        <v>1</v>
      </c>
      <c r="G736" s="52" t="s">
        <v>50</v>
      </c>
      <c r="H736" s="52"/>
      <c r="I736" s="52"/>
      <c r="J736" s="55"/>
      <c r="K736" s="53">
        <f t="shared" si="141"/>
        <v>0</v>
      </c>
      <c r="L736" s="10"/>
    </row>
    <row r="737" spans="1:12" x14ac:dyDescent="0.35">
      <c r="A737" s="49">
        <f>IF(F737&lt;&gt;"",1+MAX($A$7:A736),"")</f>
        <v>591</v>
      </c>
      <c r="B737" s="6"/>
      <c r="C737" s="50" t="s">
        <v>187</v>
      </c>
      <c r="D737" s="62">
        <v>2</v>
      </c>
      <c r="E737" s="51">
        <v>0</v>
      </c>
      <c r="F737" s="54">
        <f t="shared" si="140"/>
        <v>2</v>
      </c>
      <c r="G737" s="52" t="s">
        <v>50</v>
      </c>
      <c r="H737" s="52"/>
      <c r="I737" s="52"/>
      <c r="J737" s="55"/>
      <c r="K737" s="53">
        <f t="shared" si="141"/>
        <v>0</v>
      </c>
      <c r="L737" s="10"/>
    </row>
    <row r="738" spans="1:12" x14ac:dyDescent="0.35">
      <c r="A738" s="49">
        <f>IF(F738&lt;&gt;"",1+MAX($A$7:A737),"")</f>
        <v>592</v>
      </c>
      <c r="B738" s="6"/>
      <c r="C738" s="50" t="s">
        <v>188</v>
      </c>
      <c r="D738" s="62">
        <v>2</v>
      </c>
      <c r="E738" s="51">
        <v>0</v>
      </c>
      <c r="F738" s="54">
        <f t="shared" si="140"/>
        <v>2</v>
      </c>
      <c r="G738" s="52" t="s">
        <v>50</v>
      </c>
      <c r="H738" s="52"/>
      <c r="I738" s="52"/>
      <c r="J738" s="55"/>
      <c r="K738" s="53">
        <f t="shared" si="141"/>
        <v>0</v>
      </c>
      <c r="L738" s="10"/>
    </row>
    <row r="739" spans="1:12" ht="16" thickBot="1" x14ac:dyDescent="0.4">
      <c r="A739" s="49"/>
      <c r="B739" s="6"/>
      <c r="C739" s="50"/>
      <c r="D739" s="62"/>
      <c r="E739" s="51"/>
      <c r="F739" s="54"/>
      <c r="G739" s="52"/>
      <c r="H739" s="52"/>
      <c r="I739" s="52"/>
      <c r="J739" s="55"/>
      <c r="K739" s="53"/>
      <c r="L739" s="10"/>
    </row>
    <row r="740" spans="1:12" ht="16" thickBot="1" x14ac:dyDescent="0.4">
      <c r="A740" s="41"/>
      <c r="B740" s="42"/>
      <c r="C740" s="47" t="s">
        <v>189</v>
      </c>
      <c r="D740" s="62"/>
      <c r="E740" s="7"/>
      <c r="F740" s="28"/>
      <c r="G740" s="15"/>
      <c r="H740" s="15"/>
      <c r="I740" s="15"/>
      <c r="J740" s="8"/>
      <c r="K740" s="9"/>
      <c r="L740" s="10"/>
    </row>
    <row r="741" spans="1:12" ht="29" x14ac:dyDescent="0.35">
      <c r="A741" s="49">
        <f>IF(F741&lt;&gt;"",1+MAX($A$7:A740),"")</f>
        <v>593</v>
      </c>
      <c r="B741" s="6"/>
      <c r="C741" s="50" t="s">
        <v>190</v>
      </c>
      <c r="D741" s="62">
        <v>1</v>
      </c>
      <c r="E741" s="51">
        <v>0</v>
      </c>
      <c r="F741" s="54">
        <f t="shared" ref="F741:F745" si="142">D741*(1+E741)</f>
        <v>1</v>
      </c>
      <c r="G741" s="52" t="s">
        <v>50</v>
      </c>
      <c r="H741" s="52"/>
      <c r="I741" s="52"/>
      <c r="J741" s="55"/>
      <c r="K741" s="53">
        <f t="shared" ref="K741:K745" si="143">J741*F741</f>
        <v>0</v>
      </c>
      <c r="L741" s="10"/>
    </row>
    <row r="742" spans="1:12" ht="29" x14ac:dyDescent="0.35">
      <c r="A742" s="49">
        <f>IF(F742&lt;&gt;"",1+MAX($A$7:A741),"")</f>
        <v>594</v>
      </c>
      <c r="B742" s="6"/>
      <c r="C742" s="50" t="s">
        <v>191</v>
      </c>
      <c r="D742" s="62">
        <v>1</v>
      </c>
      <c r="E742" s="51">
        <v>0</v>
      </c>
      <c r="F742" s="54">
        <f t="shared" si="142"/>
        <v>1</v>
      </c>
      <c r="G742" s="52" t="s">
        <v>50</v>
      </c>
      <c r="H742" s="52"/>
      <c r="I742" s="52"/>
      <c r="J742" s="55"/>
      <c r="K742" s="53">
        <f t="shared" si="143"/>
        <v>0</v>
      </c>
      <c r="L742" s="10"/>
    </row>
    <row r="743" spans="1:12" ht="29" x14ac:dyDescent="0.35">
      <c r="A743" s="49">
        <f>IF(F743&lt;&gt;"",1+MAX($A$7:A742),"")</f>
        <v>595</v>
      </c>
      <c r="B743" s="6"/>
      <c r="C743" s="50" t="s">
        <v>192</v>
      </c>
      <c r="D743" s="62">
        <v>1</v>
      </c>
      <c r="E743" s="51">
        <v>0</v>
      </c>
      <c r="F743" s="54">
        <f t="shared" si="142"/>
        <v>1</v>
      </c>
      <c r="G743" s="52" t="s">
        <v>50</v>
      </c>
      <c r="H743" s="52"/>
      <c r="I743" s="52"/>
      <c r="J743" s="55"/>
      <c r="K743" s="53">
        <f t="shared" si="143"/>
        <v>0</v>
      </c>
      <c r="L743" s="10"/>
    </row>
    <row r="744" spans="1:12" ht="29" x14ac:dyDescent="0.35">
      <c r="A744" s="49">
        <f>IF(F744&lt;&gt;"",1+MAX($A$7:A743),"")</f>
        <v>596</v>
      </c>
      <c r="B744" s="6"/>
      <c r="C744" s="50" t="s">
        <v>193</v>
      </c>
      <c r="D744" s="62">
        <v>1</v>
      </c>
      <c r="E744" s="51">
        <v>0</v>
      </c>
      <c r="F744" s="54">
        <f t="shared" si="142"/>
        <v>1</v>
      </c>
      <c r="G744" s="52" t="s">
        <v>50</v>
      </c>
      <c r="H744" s="52"/>
      <c r="I744" s="52"/>
      <c r="J744" s="55"/>
      <c r="K744" s="53">
        <f t="shared" si="143"/>
        <v>0</v>
      </c>
      <c r="L744" s="10"/>
    </row>
    <row r="745" spans="1:12" ht="29" x14ac:dyDescent="0.35">
      <c r="A745" s="49">
        <f>IF(F745&lt;&gt;"",1+MAX($A$7:A744),"")</f>
        <v>597</v>
      </c>
      <c r="B745" s="6"/>
      <c r="C745" s="50" t="s">
        <v>194</v>
      </c>
      <c r="D745" s="62">
        <v>1</v>
      </c>
      <c r="E745" s="51">
        <v>0</v>
      </c>
      <c r="F745" s="54">
        <f t="shared" si="142"/>
        <v>1</v>
      </c>
      <c r="G745" s="52" t="s">
        <v>50</v>
      </c>
      <c r="H745" s="52"/>
      <c r="I745" s="52"/>
      <c r="J745" s="55"/>
      <c r="K745" s="53">
        <f t="shared" si="143"/>
        <v>0</v>
      </c>
      <c r="L745" s="10"/>
    </row>
    <row r="746" spans="1:12" ht="16" thickBot="1" x14ac:dyDescent="0.4">
      <c r="A746" s="49"/>
      <c r="B746" s="6"/>
      <c r="C746" s="50"/>
      <c r="D746" s="62"/>
      <c r="E746" s="51"/>
      <c r="F746" s="54"/>
      <c r="G746" s="52"/>
      <c r="H746" s="52"/>
      <c r="I746" s="52"/>
      <c r="J746" s="55"/>
      <c r="K746" s="53"/>
      <c r="L746" s="10"/>
    </row>
    <row r="747" spans="1:12" ht="16" thickBot="1" x14ac:dyDescent="0.4">
      <c r="A747" s="41" t="str">
        <f>IF(F747&lt;&gt;"",1+MAX($A$7:A136),"")</f>
        <v/>
      </c>
      <c r="B747" s="42"/>
      <c r="C747" s="47" t="s">
        <v>195</v>
      </c>
      <c r="D747" s="62"/>
      <c r="E747" s="7"/>
      <c r="F747" s="28"/>
      <c r="G747" s="15"/>
      <c r="H747" s="15"/>
      <c r="I747" s="15"/>
      <c r="J747" s="8"/>
      <c r="K747" s="9"/>
      <c r="L747" s="10"/>
    </row>
    <row r="748" spans="1:12" ht="35.25" customHeight="1" x14ac:dyDescent="0.35">
      <c r="A748" s="49">
        <f>IF(F748&lt;&gt;"",1+MAX($A$7:A747),"")</f>
        <v>598</v>
      </c>
      <c r="B748" s="64"/>
      <c r="C748" s="50" t="s">
        <v>196</v>
      </c>
      <c r="D748" s="62">
        <v>1</v>
      </c>
      <c r="E748" s="51">
        <v>0</v>
      </c>
      <c r="F748" s="54">
        <f t="shared" ref="F748" si="144">D748*(1+E748)</f>
        <v>1</v>
      </c>
      <c r="G748" s="52" t="s">
        <v>50</v>
      </c>
      <c r="H748" s="52"/>
      <c r="I748" s="52"/>
      <c r="J748" s="55"/>
      <c r="K748" s="53">
        <f t="shared" ref="K748" si="145">J748*F748</f>
        <v>0</v>
      </c>
      <c r="L748" s="10"/>
    </row>
    <row r="749" spans="1:12" ht="16" thickBot="1" x14ac:dyDescent="0.4">
      <c r="A749" s="49"/>
      <c r="B749" s="6"/>
      <c r="C749" s="50"/>
      <c r="D749" s="62"/>
      <c r="E749" s="51"/>
      <c r="F749" s="54"/>
      <c r="G749" s="52"/>
      <c r="H749" s="52"/>
      <c r="I749" s="52"/>
      <c r="J749" s="55"/>
      <c r="K749" s="53"/>
      <c r="L749" s="10"/>
    </row>
    <row r="750" spans="1:12" ht="16" thickBot="1" x14ac:dyDescent="0.4">
      <c r="A750" s="41" t="str">
        <f>IF(F750&lt;&gt;"",1+MAX($A$7:A136),"")</f>
        <v/>
      </c>
      <c r="B750" s="42"/>
      <c r="C750" s="47" t="s">
        <v>512</v>
      </c>
      <c r="D750" s="62"/>
      <c r="E750" s="7"/>
      <c r="F750" s="28"/>
      <c r="G750" s="15"/>
      <c r="H750" s="15"/>
      <c r="I750" s="15"/>
      <c r="J750" s="8"/>
      <c r="K750" s="9"/>
      <c r="L750" s="10"/>
    </row>
    <row r="751" spans="1:12" ht="29" x14ac:dyDescent="0.35">
      <c r="A751" s="49">
        <f>IF(F751&lt;&gt;"",1+MAX($A$7:A750),"")</f>
        <v>599</v>
      </c>
      <c r="B751" s="6"/>
      <c r="C751" s="50" t="s">
        <v>197</v>
      </c>
      <c r="D751" s="62">
        <v>6</v>
      </c>
      <c r="E751" s="51">
        <v>0</v>
      </c>
      <c r="F751" s="54">
        <f t="shared" ref="F751" si="146">D751*(1+E751)</f>
        <v>6</v>
      </c>
      <c r="G751" s="52" t="s">
        <v>50</v>
      </c>
      <c r="H751" s="52"/>
      <c r="I751" s="52"/>
      <c r="J751" s="55"/>
      <c r="K751" s="53">
        <f t="shared" ref="K751" si="147">J751*F751</f>
        <v>0</v>
      </c>
      <c r="L751" s="10"/>
    </row>
    <row r="752" spans="1:12" ht="16" thickBot="1" x14ac:dyDescent="0.4">
      <c r="A752" s="49"/>
      <c r="B752" s="6"/>
      <c r="C752" s="50"/>
      <c r="D752" s="60"/>
      <c r="E752" s="51"/>
      <c r="F752" s="54"/>
      <c r="G752" s="52"/>
      <c r="H752" s="52"/>
      <c r="I752" s="52"/>
      <c r="J752" s="55"/>
      <c r="K752" s="53"/>
      <c r="L752" s="10"/>
    </row>
    <row r="753" spans="1:185" ht="16" thickBot="1" x14ac:dyDescent="0.4">
      <c r="A753" s="41" t="str">
        <f>IF(F753&lt;&gt;"",1+MAX($A$7:A108),"")</f>
        <v/>
      </c>
      <c r="B753" s="42" t="s">
        <v>443</v>
      </c>
      <c r="C753" s="43" t="s">
        <v>444</v>
      </c>
      <c r="D753" s="44"/>
      <c r="E753" s="44"/>
      <c r="F753" s="44"/>
      <c r="G753" s="44"/>
      <c r="H753" s="44"/>
      <c r="I753" s="44"/>
      <c r="J753" s="45"/>
      <c r="K753" s="45"/>
      <c r="L753" s="46">
        <f>SUM(K756:K813)</f>
        <v>0</v>
      </c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/>
      <c r="AP753" s="38"/>
      <c r="AQ753" s="38"/>
      <c r="AR753" s="38"/>
      <c r="AS753" s="38"/>
      <c r="AT753" s="38"/>
      <c r="AU753" s="38"/>
      <c r="AV753" s="38"/>
      <c r="AW753" s="38"/>
      <c r="AX753" s="38"/>
      <c r="AY753" s="38"/>
      <c r="AZ753" s="38"/>
      <c r="BA753" s="38"/>
      <c r="BB753" s="38"/>
      <c r="BC753" s="38"/>
      <c r="BD753" s="38"/>
      <c r="BE753" s="38"/>
      <c r="BF753" s="38"/>
      <c r="BG753" s="38"/>
      <c r="BH753" s="38"/>
      <c r="BI753" s="38"/>
      <c r="BJ753" s="38"/>
      <c r="BK753" s="38"/>
      <c r="BL753" s="38"/>
      <c r="BM753" s="38"/>
      <c r="BN753" s="38"/>
      <c r="BO753" s="38"/>
      <c r="BP753" s="38"/>
      <c r="BQ753" s="38"/>
      <c r="BR753" s="38"/>
      <c r="BS753" s="38"/>
      <c r="BT753" s="38"/>
      <c r="BU753" s="38"/>
      <c r="BV753" s="38"/>
      <c r="BW753" s="38"/>
      <c r="BX753" s="38"/>
      <c r="BY753" s="38"/>
      <c r="BZ753" s="38"/>
      <c r="CA753" s="38"/>
      <c r="CB753" s="38"/>
      <c r="CC753" s="38"/>
      <c r="CD753" s="38"/>
      <c r="CE753" s="38"/>
      <c r="CF753" s="38"/>
      <c r="CG753" s="38"/>
      <c r="CH753" s="38"/>
      <c r="CI753" s="38"/>
      <c r="CJ753" s="38"/>
      <c r="CK753" s="38"/>
      <c r="CL753" s="38"/>
      <c r="CM753" s="38"/>
      <c r="CN753" s="38"/>
      <c r="CO753" s="38"/>
      <c r="CP753" s="38"/>
      <c r="CQ753" s="38"/>
      <c r="CR753" s="38"/>
      <c r="CS753" s="38"/>
      <c r="CT753" s="38"/>
      <c r="CU753" s="38"/>
      <c r="CV753" s="38"/>
      <c r="CW753" s="38"/>
      <c r="CX753" s="38"/>
      <c r="CY753" s="38"/>
      <c r="CZ753" s="38"/>
      <c r="DA753" s="38"/>
      <c r="DB753" s="38"/>
      <c r="DC753" s="38"/>
      <c r="DD753" s="38"/>
      <c r="DE753" s="38"/>
      <c r="DF753" s="38"/>
      <c r="DG753" s="38"/>
      <c r="DH753" s="38"/>
      <c r="DI753" s="38"/>
      <c r="DJ753" s="38"/>
      <c r="DK753" s="38"/>
      <c r="DL753" s="38"/>
      <c r="DM753" s="38"/>
      <c r="DN753" s="38"/>
      <c r="DO753" s="38"/>
      <c r="DP753" s="38"/>
      <c r="DQ753" s="38"/>
      <c r="DR753" s="38"/>
      <c r="DS753" s="38"/>
      <c r="DT753" s="38"/>
      <c r="DU753" s="38"/>
      <c r="DV753" s="38"/>
      <c r="DW753" s="38"/>
      <c r="DX753" s="38"/>
      <c r="DY753" s="38"/>
      <c r="DZ753" s="38"/>
      <c r="EA753" s="38"/>
      <c r="EB753" s="38"/>
      <c r="EC753" s="38"/>
      <c r="ED753" s="38"/>
      <c r="EE753" s="38"/>
      <c r="EF753" s="38"/>
      <c r="EG753" s="38"/>
      <c r="EH753" s="38"/>
      <c r="EI753" s="38"/>
      <c r="EJ753" s="38"/>
      <c r="EK753" s="38"/>
      <c r="EL753" s="38"/>
      <c r="EM753" s="38"/>
      <c r="EN753" s="38"/>
      <c r="EO753" s="38"/>
      <c r="EP753" s="38"/>
      <c r="EQ753" s="38"/>
      <c r="ER753" s="38"/>
      <c r="ES753" s="38"/>
      <c r="ET753" s="38"/>
      <c r="EU753" s="38"/>
      <c r="EV753" s="38"/>
      <c r="EW753" s="38"/>
      <c r="EX753" s="38"/>
      <c r="EY753" s="38"/>
      <c r="EZ753" s="38"/>
      <c r="FA753" s="38"/>
      <c r="FB753" s="38"/>
      <c r="FC753" s="38"/>
      <c r="FD753" s="38"/>
      <c r="FE753" s="38"/>
      <c r="FF753" s="38"/>
      <c r="FG753" s="38"/>
      <c r="FH753" s="38"/>
      <c r="FI753" s="38"/>
      <c r="FJ753" s="38"/>
      <c r="FK753" s="38"/>
      <c r="FL753" s="38"/>
      <c r="FM753" s="38"/>
      <c r="FN753" s="38"/>
      <c r="FO753" s="38"/>
      <c r="FP753" s="38"/>
      <c r="FQ753" s="38"/>
      <c r="FR753" s="38"/>
      <c r="FS753" s="38"/>
      <c r="FT753" s="38"/>
      <c r="FU753" s="38"/>
      <c r="FV753" s="38"/>
      <c r="FW753" s="38"/>
      <c r="FX753" s="38"/>
      <c r="FY753" s="38"/>
      <c r="FZ753" s="38"/>
      <c r="GA753" s="38"/>
      <c r="GB753" s="38"/>
      <c r="GC753" s="38"/>
    </row>
    <row r="754" spans="1:185" ht="16" thickBot="1" x14ac:dyDescent="0.4">
      <c r="A754" s="49"/>
      <c r="B754" s="6"/>
      <c r="C754" s="50"/>
      <c r="D754" s="60"/>
      <c r="E754" s="51"/>
      <c r="F754" s="54"/>
      <c r="G754" s="52"/>
      <c r="H754" s="52"/>
      <c r="I754" s="52"/>
      <c r="J754" s="55"/>
      <c r="K754" s="53"/>
      <c r="L754" s="10"/>
    </row>
    <row r="755" spans="1:185" ht="16" thickBot="1" x14ac:dyDescent="0.4">
      <c r="A755" s="41" t="str">
        <f>IF(F755&lt;&gt;"",1+MAX($A$7:A253),"")</f>
        <v/>
      </c>
      <c r="B755" s="42"/>
      <c r="C755" s="47" t="s">
        <v>445</v>
      </c>
      <c r="D755" s="62"/>
      <c r="E755" s="7"/>
      <c r="F755" s="28"/>
      <c r="G755" s="15"/>
      <c r="H755" s="15"/>
      <c r="I755" s="15"/>
      <c r="J755" s="8"/>
      <c r="K755" s="9"/>
      <c r="L755" s="10"/>
    </row>
    <row r="756" spans="1:185" x14ac:dyDescent="0.35">
      <c r="A756" s="49">
        <f>IF(F756&lt;&gt;"",1+MAX($A$7:A755),"")</f>
        <v>600</v>
      </c>
      <c r="B756" s="6"/>
      <c r="C756" s="50" t="s">
        <v>488</v>
      </c>
      <c r="D756" s="60">
        <v>177</v>
      </c>
      <c r="E756" s="51">
        <v>0</v>
      </c>
      <c r="F756" s="54">
        <f t="shared" ref="F756:F765" si="148">D756*(1+E756)</f>
        <v>177</v>
      </c>
      <c r="G756" s="52" t="s">
        <v>50</v>
      </c>
      <c r="H756" s="52"/>
      <c r="I756" s="52"/>
      <c r="J756" s="55"/>
      <c r="K756" s="53">
        <f t="shared" ref="K756:K765" si="149">J756*F756</f>
        <v>0</v>
      </c>
      <c r="L756" s="10"/>
    </row>
    <row r="757" spans="1:185" ht="29" x14ac:dyDescent="0.35">
      <c r="A757" s="49">
        <f>IF(F757&lt;&gt;"",1+MAX($A$7:A756),"")</f>
        <v>601</v>
      </c>
      <c r="B757" s="6"/>
      <c r="C757" s="50" t="s">
        <v>489</v>
      </c>
      <c r="D757" s="60">
        <v>59</v>
      </c>
      <c r="E757" s="51">
        <v>0</v>
      </c>
      <c r="F757" s="54">
        <f t="shared" si="148"/>
        <v>59</v>
      </c>
      <c r="G757" s="52" t="s">
        <v>50</v>
      </c>
      <c r="H757" s="52"/>
      <c r="I757" s="52"/>
      <c r="J757" s="55"/>
      <c r="K757" s="53">
        <f t="shared" si="149"/>
        <v>0</v>
      </c>
      <c r="L757" s="10"/>
    </row>
    <row r="758" spans="1:185" x14ac:dyDescent="0.35">
      <c r="A758" s="49">
        <f>IF(F758&lt;&gt;"",1+MAX($A$7:A757),"")</f>
        <v>602</v>
      </c>
      <c r="B758" s="6"/>
      <c r="C758" s="50" t="s">
        <v>490</v>
      </c>
      <c r="D758" s="60">
        <v>41</v>
      </c>
      <c r="E758" s="51">
        <v>0</v>
      </c>
      <c r="F758" s="54">
        <f t="shared" si="148"/>
        <v>41</v>
      </c>
      <c r="G758" s="52" t="s">
        <v>50</v>
      </c>
      <c r="H758" s="52"/>
      <c r="I758" s="52"/>
      <c r="J758" s="55"/>
      <c r="K758" s="53">
        <f t="shared" si="149"/>
        <v>0</v>
      </c>
      <c r="L758" s="10"/>
    </row>
    <row r="759" spans="1:185" ht="29" x14ac:dyDescent="0.35">
      <c r="A759" s="49">
        <f>IF(F759&lt;&gt;"",1+MAX($A$7:A758),"")</f>
        <v>603</v>
      </c>
      <c r="B759" s="6"/>
      <c r="C759" s="50" t="s">
        <v>491</v>
      </c>
      <c r="D759" s="60">
        <v>17</v>
      </c>
      <c r="E759" s="51">
        <v>0</v>
      </c>
      <c r="F759" s="54">
        <f t="shared" si="148"/>
        <v>17</v>
      </c>
      <c r="G759" s="52" t="s">
        <v>50</v>
      </c>
      <c r="H759" s="52"/>
      <c r="I759" s="52"/>
      <c r="J759" s="55"/>
      <c r="K759" s="53">
        <f t="shared" si="149"/>
        <v>0</v>
      </c>
      <c r="L759" s="10"/>
    </row>
    <row r="760" spans="1:185" x14ac:dyDescent="0.35">
      <c r="A760" s="49">
        <f>IF(F760&lt;&gt;"",1+MAX($A$7:A759),"")</f>
        <v>604</v>
      </c>
      <c r="B760" s="6"/>
      <c r="C760" s="50" t="s">
        <v>492</v>
      </c>
      <c r="D760" s="60">
        <v>850</v>
      </c>
      <c r="E760" s="51">
        <v>0</v>
      </c>
      <c r="F760" s="54">
        <f t="shared" si="148"/>
        <v>850</v>
      </c>
      <c r="G760" s="52" t="s">
        <v>50</v>
      </c>
      <c r="H760" s="52"/>
      <c r="I760" s="52"/>
      <c r="J760" s="55"/>
      <c r="K760" s="53">
        <f t="shared" si="149"/>
        <v>0</v>
      </c>
      <c r="L760" s="10"/>
    </row>
    <row r="761" spans="1:185" x14ac:dyDescent="0.35">
      <c r="A761" s="49">
        <f>IF(F761&lt;&gt;"",1+MAX($A$7:A760),"")</f>
        <v>605</v>
      </c>
      <c r="B761" s="6"/>
      <c r="C761" s="50" t="s">
        <v>493</v>
      </c>
      <c r="D761" s="60">
        <v>102</v>
      </c>
      <c r="E761" s="51">
        <v>0</v>
      </c>
      <c r="F761" s="54">
        <f t="shared" si="148"/>
        <v>102</v>
      </c>
      <c r="G761" s="52" t="s">
        <v>50</v>
      </c>
      <c r="H761" s="52"/>
      <c r="I761" s="52"/>
      <c r="J761" s="55"/>
      <c r="K761" s="53">
        <f t="shared" si="149"/>
        <v>0</v>
      </c>
      <c r="L761" s="10"/>
    </row>
    <row r="762" spans="1:185" x14ac:dyDescent="0.35">
      <c r="A762" s="49">
        <f>IF(F762&lt;&gt;"",1+MAX($A$7:A761),"")</f>
        <v>606</v>
      </c>
      <c r="B762" s="6"/>
      <c r="C762" s="50" t="s">
        <v>494</v>
      </c>
      <c r="D762" s="60">
        <v>19</v>
      </c>
      <c r="E762" s="51">
        <v>0</v>
      </c>
      <c r="F762" s="54">
        <f t="shared" si="148"/>
        <v>19</v>
      </c>
      <c r="G762" s="52" t="s">
        <v>50</v>
      </c>
      <c r="H762" s="52"/>
      <c r="I762" s="52"/>
      <c r="J762" s="55"/>
      <c r="K762" s="53">
        <f t="shared" si="149"/>
        <v>0</v>
      </c>
      <c r="L762" s="10"/>
    </row>
    <row r="763" spans="1:185" x14ac:dyDescent="0.35">
      <c r="A763" s="49">
        <f>IF(F763&lt;&gt;"",1+MAX($A$7:A762),"")</f>
        <v>607</v>
      </c>
      <c r="B763" s="6"/>
      <c r="C763" s="50" t="s">
        <v>495</v>
      </c>
      <c r="D763" s="60">
        <v>7</v>
      </c>
      <c r="E763" s="51">
        <v>0</v>
      </c>
      <c r="F763" s="54">
        <f t="shared" si="148"/>
        <v>7</v>
      </c>
      <c r="G763" s="52" t="s">
        <v>50</v>
      </c>
      <c r="H763" s="52"/>
      <c r="I763" s="52"/>
      <c r="J763" s="55"/>
      <c r="K763" s="53">
        <f t="shared" si="149"/>
        <v>0</v>
      </c>
      <c r="L763" s="10"/>
    </row>
    <row r="764" spans="1:185" x14ac:dyDescent="0.35">
      <c r="A764" s="49">
        <f>IF(F764&lt;&gt;"",1+MAX($A$7:A763),"")</f>
        <v>608</v>
      </c>
      <c r="B764" s="6"/>
      <c r="C764" s="50" t="s">
        <v>496</v>
      </c>
      <c r="D764" s="60">
        <v>32</v>
      </c>
      <c r="E764" s="51">
        <v>0</v>
      </c>
      <c r="F764" s="54">
        <f t="shared" si="148"/>
        <v>32</v>
      </c>
      <c r="G764" s="52" t="s">
        <v>50</v>
      </c>
      <c r="H764" s="52"/>
      <c r="I764" s="52"/>
      <c r="J764" s="55"/>
      <c r="K764" s="53">
        <f t="shared" si="149"/>
        <v>0</v>
      </c>
      <c r="L764" s="10"/>
    </row>
    <row r="765" spans="1:185" x14ac:dyDescent="0.35">
      <c r="A765" s="49">
        <f>IF(F765&lt;&gt;"",1+MAX($A$7:A764),"")</f>
        <v>609</v>
      </c>
      <c r="B765" s="6"/>
      <c r="C765" s="50" t="s">
        <v>497</v>
      </c>
      <c r="D765" s="60">
        <v>97</v>
      </c>
      <c r="E765" s="51">
        <v>0</v>
      </c>
      <c r="F765" s="54">
        <f t="shared" si="148"/>
        <v>97</v>
      </c>
      <c r="G765" s="52" t="s">
        <v>50</v>
      </c>
      <c r="H765" s="52"/>
      <c r="I765" s="52"/>
      <c r="J765" s="55"/>
      <c r="K765" s="53">
        <f t="shared" si="149"/>
        <v>0</v>
      </c>
      <c r="L765" s="10"/>
    </row>
    <row r="766" spans="1:185" ht="16" thickBot="1" x14ac:dyDescent="0.4">
      <c r="A766" s="49"/>
      <c r="B766" s="6"/>
      <c r="C766" s="50"/>
      <c r="D766" s="60"/>
      <c r="E766" s="51"/>
      <c r="F766" s="54"/>
      <c r="G766" s="52"/>
      <c r="H766" s="52"/>
      <c r="I766" s="52"/>
      <c r="J766" s="55"/>
      <c r="K766" s="53"/>
      <c r="L766" s="10"/>
    </row>
    <row r="767" spans="1:185" ht="16" thickBot="1" x14ac:dyDescent="0.4">
      <c r="A767" s="41" t="str">
        <f>IF(F767&lt;&gt;"",1+MAX($A$7:A259),"")</f>
        <v/>
      </c>
      <c r="B767" s="42"/>
      <c r="C767" s="47" t="s">
        <v>446</v>
      </c>
      <c r="D767" s="62"/>
      <c r="E767" s="7"/>
      <c r="F767" s="28"/>
      <c r="G767" s="15"/>
      <c r="H767" s="15"/>
      <c r="I767" s="15"/>
      <c r="J767" s="8"/>
      <c r="K767" s="9"/>
      <c r="L767" s="10"/>
    </row>
    <row r="768" spans="1:185" x14ac:dyDescent="0.35">
      <c r="A768" s="49">
        <f>IF(F768&lt;&gt;"",1+MAX($A$7:A767),"")</f>
        <v>610</v>
      </c>
      <c r="B768" s="6"/>
      <c r="C768" s="50" t="s">
        <v>457</v>
      </c>
      <c r="D768" s="60">
        <v>603</v>
      </c>
      <c r="E768" s="51">
        <v>0</v>
      </c>
      <c r="F768" s="54">
        <f t="shared" ref="F768:F782" si="150">D768*(1+E768)</f>
        <v>603</v>
      </c>
      <c r="G768" s="52" t="s">
        <v>50</v>
      </c>
      <c r="H768" s="52"/>
      <c r="I768" s="52"/>
      <c r="J768" s="55"/>
      <c r="K768" s="53">
        <f t="shared" ref="K768:K782" si="151">J768*F768</f>
        <v>0</v>
      </c>
      <c r="L768" s="10"/>
    </row>
    <row r="769" spans="1:12" x14ac:dyDescent="0.35">
      <c r="A769" s="49">
        <f>IF(F769&lt;&gt;"",1+MAX($A$7:A768),"")</f>
        <v>611</v>
      </c>
      <c r="B769" s="6"/>
      <c r="C769" s="50" t="s">
        <v>458</v>
      </c>
      <c r="D769" s="60">
        <v>134</v>
      </c>
      <c r="E769" s="51">
        <v>0</v>
      </c>
      <c r="F769" s="54">
        <f t="shared" si="150"/>
        <v>134</v>
      </c>
      <c r="G769" s="52" t="s">
        <v>50</v>
      </c>
      <c r="H769" s="52"/>
      <c r="I769" s="52"/>
      <c r="J769" s="55"/>
      <c r="K769" s="53">
        <f t="shared" si="151"/>
        <v>0</v>
      </c>
      <c r="L769" s="10"/>
    </row>
    <row r="770" spans="1:12" x14ac:dyDescent="0.35">
      <c r="A770" s="49">
        <f>IF(F770&lt;&gt;"",1+MAX($A$7:A769),"")</f>
        <v>612</v>
      </c>
      <c r="B770" s="6"/>
      <c r="C770" s="50" t="s">
        <v>459</v>
      </c>
      <c r="D770" s="60">
        <v>32</v>
      </c>
      <c r="E770" s="51">
        <v>0</v>
      </c>
      <c r="F770" s="54">
        <f t="shared" si="150"/>
        <v>32</v>
      </c>
      <c r="G770" s="52" t="s">
        <v>50</v>
      </c>
      <c r="H770" s="52"/>
      <c r="I770" s="52"/>
      <c r="J770" s="55"/>
      <c r="K770" s="53">
        <f t="shared" si="151"/>
        <v>0</v>
      </c>
      <c r="L770" s="10"/>
    </row>
    <row r="771" spans="1:12" x14ac:dyDescent="0.35">
      <c r="A771" s="49">
        <f>IF(F771&lt;&gt;"",1+MAX($A$7:A770),"")</f>
        <v>613</v>
      </c>
      <c r="B771" s="6"/>
      <c r="C771" s="50" t="s">
        <v>460</v>
      </c>
      <c r="D771" s="60">
        <v>1</v>
      </c>
      <c r="E771" s="51">
        <v>0</v>
      </c>
      <c r="F771" s="54">
        <f t="shared" si="150"/>
        <v>1</v>
      </c>
      <c r="G771" s="52" t="s">
        <v>50</v>
      </c>
      <c r="H771" s="52"/>
      <c r="I771" s="52"/>
      <c r="J771" s="55"/>
      <c r="K771" s="53">
        <f t="shared" si="151"/>
        <v>0</v>
      </c>
      <c r="L771" s="10"/>
    </row>
    <row r="772" spans="1:12" x14ac:dyDescent="0.35">
      <c r="A772" s="49">
        <f>IF(F772&lt;&gt;"",1+MAX($A$7:A771),"")</f>
        <v>614</v>
      </c>
      <c r="B772" s="6"/>
      <c r="C772" s="50" t="s">
        <v>461</v>
      </c>
      <c r="D772" s="60">
        <v>38</v>
      </c>
      <c r="E772" s="51">
        <v>0</v>
      </c>
      <c r="F772" s="54">
        <f t="shared" si="150"/>
        <v>38</v>
      </c>
      <c r="G772" s="52" t="s">
        <v>50</v>
      </c>
      <c r="H772" s="52"/>
      <c r="I772" s="52"/>
      <c r="J772" s="55"/>
      <c r="K772" s="53">
        <f t="shared" si="151"/>
        <v>0</v>
      </c>
      <c r="L772" s="10"/>
    </row>
    <row r="773" spans="1:12" x14ac:dyDescent="0.35">
      <c r="A773" s="49">
        <f>IF(F773&lt;&gt;"",1+MAX($A$7:A772),"")</f>
        <v>615</v>
      </c>
      <c r="B773" s="6"/>
      <c r="C773" s="50" t="s">
        <v>462</v>
      </c>
      <c r="D773" s="60">
        <v>1</v>
      </c>
      <c r="E773" s="51">
        <v>0</v>
      </c>
      <c r="F773" s="54">
        <f t="shared" si="150"/>
        <v>1</v>
      </c>
      <c r="G773" s="52" t="s">
        <v>50</v>
      </c>
      <c r="H773" s="52"/>
      <c r="I773" s="52"/>
      <c r="J773" s="55"/>
      <c r="K773" s="53">
        <f t="shared" si="151"/>
        <v>0</v>
      </c>
      <c r="L773" s="10"/>
    </row>
    <row r="774" spans="1:12" x14ac:dyDescent="0.35">
      <c r="A774" s="49">
        <f>IF(F774&lt;&gt;"",1+MAX($A$7:A773),"")</f>
        <v>616</v>
      </c>
      <c r="B774" s="6"/>
      <c r="C774" s="50" t="s">
        <v>463</v>
      </c>
      <c r="D774" s="60">
        <v>461</v>
      </c>
      <c r="E774" s="51">
        <v>0</v>
      </c>
      <c r="F774" s="54">
        <f t="shared" si="150"/>
        <v>461</v>
      </c>
      <c r="G774" s="52" t="s">
        <v>50</v>
      </c>
      <c r="H774" s="52"/>
      <c r="I774" s="52"/>
      <c r="J774" s="55"/>
      <c r="K774" s="53">
        <f t="shared" si="151"/>
        <v>0</v>
      </c>
      <c r="L774" s="10"/>
    </row>
    <row r="775" spans="1:12" x14ac:dyDescent="0.35">
      <c r="A775" s="49">
        <f>IF(F775&lt;&gt;"",1+MAX($A$7:A774),"")</f>
        <v>617</v>
      </c>
      <c r="B775" s="6"/>
      <c r="C775" s="50" t="s">
        <v>464</v>
      </c>
      <c r="D775" s="60">
        <v>59</v>
      </c>
      <c r="E775" s="51">
        <v>0</v>
      </c>
      <c r="F775" s="54">
        <f t="shared" si="150"/>
        <v>59</v>
      </c>
      <c r="G775" s="52" t="s">
        <v>50</v>
      </c>
      <c r="H775" s="52"/>
      <c r="I775" s="52"/>
      <c r="J775" s="55"/>
      <c r="K775" s="53">
        <f t="shared" si="151"/>
        <v>0</v>
      </c>
      <c r="L775" s="10"/>
    </row>
    <row r="776" spans="1:12" x14ac:dyDescent="0.35">
      <c r="A776" s="49">
        <f>IF(F776&lt;&gt;"",1+MAX($A$7:A775),"")</f>
        <v>618</v>
      </c>
      <c r="B776" s="6"/>
      <c r="C776" s="50" t="s">
        <v>464</v>
      </c>
      <c r="D776" s="60">
        <v>26</v>
      </c>
      <c r="E776" s="51">
        <v>0</v>
      </c>
      <c r="F776" s="54">
        <f t="shared" si="150"/>
        <v>26</v>
      </c>
      <c r="G776" s="52" t="s">
        <v>50</v>
      </c>
      <c r="H776" s="52"/>
      <c r="I776" s="52"/>
      <c r="J776" s="55"/>
      <c r="K776" s="53">
        <f t="shared" si="151"/>
        <v>0</v>
      </c>
      <c r="L776" s="10"/>
    </row>
    <row r="777" spans="1:12" x14ac:dyDescent="0.35">
      <c r="A777" s="49">
        <f>IF(F777&lt;&gt;"",1+MAX($A$7:A776),"")</f>
        <v>619</v>
      </c>
      <c r="B777" s="6"/>
      <c r="C777" s="50" t="s">
        <v>464</v>
      </c>
      <c r="D777" s="60">
        <v>336</v>
      </c>
      <c r="E777" s="51">
        <v>0</v>
      </c>
      <c r="F777" s="54">
        <f t="shared" si="150"/>
        <v>336</v>
      </c>
      <c r="G777" s="52" t="s">
        <v>50</v>
      </c>
      <c r="H777" s="52"/>
      <c r="I777" s="52"/>
      <c r="J777" s="55"/>
      <c r="K777" s="53">
        <f t="shared" si="151"/>
        <v>0</v>
      </c>
      <c r="L777" s="10"/>
    </row>
    <row r="778" spans="1:12" x14ac:dyDescent="0.35">
      <c r="A778" s="49">
        <f>IF(F778&lt;&gt;"",1+MAX($A$7:A777),"")</f>
        <v>620</v>
      </c>
      <c r="B778" s="6"/>
      <c r="C778" s="50" t="s">
        <v>465</v>
      </c>
      <c r="D778" s="60">
        <v>182</v>
      </c>
      <c r="E778" s="51">
        <v>0</v>
      </c>
      <c r="F778" s="54">
        <f t="shared" si="150"/>
        <v>182</v>
      </c>
      <c r="G778" s="52" t="s">
        <v>50</v>
      </c>
      <c r="H778" s="52"/>
      <c r="I778" s="52"/>
      <c r="J778" s="55"/>
      <c r="K778" s="53">
        <f t="shared" si="151"/>
        <v>0</v>
      </c>
      <c r="L778" s="10"/>
    </row>
    <row r="779" spans="1:12" x14ac:dyDescent="0.35">
      <c r="A779" s="49">
        <f>IF(F779&lt;&gt;"",1+MAX($A$7:A778),"")</f>
        <v>621</v>
      </c>
      <c r="B779" s="6"/>
      <c r="C779" s="50" t="s">
        <v>466</v>
      </c>
      <c r="D779" s="60">
        <v>2</v>
      </c>
      <c r="E779" s="51">
        <v>0</v>
      </c>
      <c r="F779" s="54">
        <f t="shared" si="150"/>
        <v>2</v>
      </c>
      <c r="G779" s="52" t="s">
        <v>50</v>
      </c>
      <c r="H779" s="52"/>
      <c r="I779" s="52"/>
      <c r="J779" s="55"/>
      <c r="K779" s="53">
        <f t="shared" si="151"/>
        <v>0</v>
      </c>
      <c r="L779" s="10"/>
    </row>
    <row r="780" spans="1:12" x14ac:dyDescent="0.35">
      <c r="A780" s="49">
        <f>IF(F780&lt;&gt;"",1+MAX($A$7:A779),"")</f>
        <v>622</v>
      </c>
      <c r="B780" s="6"/>
      <c r="C780" s="50" t="s">
        <v>467</v>
      </c>
      <c r="D780" s="60">
        <v>13</v>
      </c>
      <c r="E780" s="51">
        <v>0</v>
      </c>
      <c r="F780" s="54">
        <f t="shared" si="150"/>
        <v>13</v>
      </c>
      <c r="G780" s="52" t="s">
        <v>50</v>
      </c>
      <c r="H780" s="52"/>
      <c r="I780" s="52"/>
      <c r="J780" s="55"/>
      <c r="K780" s="53">
        <f t="shared" si="151"/>
        <v>0</v>
      </c>
      <c r="L780" s="10"/>
    </row>
    <row r="781" spans="1:12" x14ac:dyDescent="0.35">
      <c r="A781" s="49">
        <f>IF(F781&lt;&gt;"",1+MAX($A$7:A780),"")</f>
        <v>623</v>
      </c>
      <c r="B781" s="6"/>
      <c r="C781" s="50" t="s">
        <v>468</v>
      </c>
      <c r="D781" s="60">
        <v>29</v>
      </c>
      <c r="E781" s="51">
        <v>0</v>
      </c>
      <c r="F781" s="54">
        <f t="shared" si="150"/>
        <v>29</v>
      </c>
      <c r="G781" s="52" t="s">
        <v>50</v>
      </c>
      <c r="H781" s="52"/>
      <c r="I781" s="52"/>
      <c r="J781" s="55"/>
      <c r="K781" s="53">
        <f t="shared" si="151"/>
        <v>0</v>
      </c>
      <c r="L781" s="10"/>
    </row>
    <row r="782" spans="1:12" x14ac:dyDescent="0.35">
      <c r="A782" s="49">
        <f>IF(F782&lt;&gt;"",1+MAX($A$7:A781),"")</f>
        <v>624</v>
      </c>
      <c r="B782" s="6"/>
      <c r="C782" s="50" t="s">
        <v>469</v>
      </c>
      <c r="D782" s="60">
        <v>3</v>
      </c>
      <c r="E782" s="51">
        <v>0</v>
      </c>
      <c r="F782" s="54">
        <f t="shared" si="150"/>
        <v>3</v>
      </c>
      <c r="G782" s="52" t="s">
        <v>50</v>
      </c>
      <c r="H782" s="52"/>
      <c r="I782" s="52"/>
      <c r="J782" s="55"/>
      <c r="K782" s="53">
        <f t="shared" si="151"/>
        <v>0</v>
      </c>
      <c r="L782" s="10"/>
    </row>
    <row r="783" spans="1:12" ht="16" thickBot="1" x14ac:dyDescent="0.4">
      <c r="A783" s="49"/>
      <c r="B783" s="6"/>
      <c r="C783" s="50"/>
      <c r="D783" s="60"/>
      <c r="E783" s="51"/>
      <c r="F783" s="54"/>
      <c r="G783" s="52"/>
      <c r="H783" s="52"/>
      <c r="I783" s="52"/>
      <c r="J783" s="55"/>
      <c r="K783" s="53"/>
      <c r="L783" s="10"/>
    </row>
    <row r="784" spans="1:12" ht="16" thickBot="1" x14ac:dyDescent="0.4">
      <c r="A784" s="41" t="str">
        <f>IF(F784&lt;&gt;"",1+MAX($A$7:A272),"")</f>
        <v/>
      </c>
      <c r="B784" s="42"/>
      <c r="C784" s="47" t="s">
        <v>447</v>
      </c>
      <c r="D784" s="62"/>
      <c r="E784" s="7"/>
      <c r="F784" s="28"/>
      <c r="G784" s="15"/>
      <c r="H784" s="15"/>
      <c r="I784" s="15"/>
      <c r="J784" s="8"/>
      <c r="K784" s="9"/>
      <c r="L784" s="10"/>
    </row>
    <row r="785" spans="1:12" x14ac:dyDescent="0.35">
      <c r="A785" s="49">
        <f>IF(F785&lt;&gt;"",1+MAX($A$7:A784),"")</f>
        <v>625</v>
      </c>
      <c r="B785" s="6"/>
      <c r="C785" s="50" t="s">
        <v>470</v>
      </c>
      <c r="D785" s="60">
        <v>1</v>
      </c>
      <c r="E785" s="51">
        <v>0</v>
      </c>
      <c r="F785" s="54">
        <f t="shared" ref="F785:F802" si="152">D785*(1+E785)</f>
        <v>1</v>
      </c>
      <c r="G785" s="52" t="s">
        <v>50</v>
      </c>
      <c r="H785" s="52"/>
      <c r="I785" s="52"/>
      <c r="J785" s="55"/>
      <c r="K785" s="53">
        <f t="shared" ref="K785:K802" si="153">J785*F785</f>
        <v>0</v>
      </c>
      <c r="L785" s="10"/>
    </row>
    <row r="786" spans="1:12" x14ac:dyDescent="0.35">
      <c r="A786" s="49">
        <f>IF(F786&lt;&gt;"",1+MAX($A$7:A785),"")</f>
        <v>626</v>
      </c>
      <c r="B786" s="6"/>
      <c r="C786" s="50" t="s">
        <v>471</v>
      </c>
      <c r="D786" s="60">
        <v>1</v>
      </c>
      <c r="E786" s="51">
        <v>0</v>
      </c>
      <c r="F786" s="54">
        <f t="shared" si="152"/>
        <v>1</v>
      </c>
      <c r="G786" s="52" t="s">
        <v>50</v>
      </c>
      <c r="H786" s="52"/>
      <c r="I786" s="52"/>
      <c r="J786" s="55"/>
      <c r="K786" s="53">
        <f t="shared" si="153"/>
        <v>0</v>
      </c>
      <c r="L786" s="10"/>
    </row>
    <row r="787" spans="1:12" ht="35.25" customHeight="1" x14ac:dyDescent="0.35">
      <c r="A787" s="49">
        <f>IF(F787&lt;&gt;"",1+MAX($A$7:A786),"")</f>
        <v>627</v>
      </c>
      <c r="B787" s="6"/>
      <c r="C787" s="50" t="s">
        <v>472</v>
      </c>
      <c r="D787" s="60">
        <v>2</v>
      </c>
      <c r="E787" s="51">
        <v>0</v>
      </c>
      <c r="F787" s="54">
        <f t="shared" si="152"/>
        <v>2</v>
      </c>
      <c r="G787" s="52" t="s">
        <v>50</v>
      </c>
      <c r="H787" s="52"/>
      <c r="I787" s="52"/>
      <c r="J787" s="55"/>
      <c r="K787" s="53">
        <f t="shared" si="153"/>
        <v>0</v>
      </c>
      <c r="L787" s="10"/>
    </row>
    <row r="788" spans="1:12" x14ac:dyDescent="0.35">
      <c r="A788" s="49">
        <f>IF(F788&lt;&gt;"",1+MAX($A$7:A787),"")</f>
        <v>628</v>
      </c>
      <c r="B788" s="6"/>
      <c r="C788" s="50" t="s">
        <v>473</v>
      </c>
      <c r="D788" s="60">
        <v>1</v>
      </c>
      <c r="E788" s="51">
        <v>0</v>
      </c>
      <c r="F788" s="54">
        <f t="shared" si="152"/>
        <v>1</v>
      </c>
      <c r="G788" s="52" t="s">
        <v>50</v>
      </c>
      <c r="H788" s="52"/>
      <c r="I788" s="52"/>
      <c r="J788" s="55"/>
      <c r="K788" s="53">
        <f t="shared" si="153"/>
        <v>0</v>
      </c>
      <c r="L788" s="10"/>
    </row>
    <row r="789" spans="1:12" x14ac:dyDescent="0.35">
      <c r="A789" s="49">
        <f>IF(F789&lt;&gt;"",1+MAX($A$7:A788),"")</f>
        <v>629</v>
      </c>
      <c r="B789" s="6"/>
      <c r="C789" s="50" t="s">
        <v>474</v>
      </c>
      <c r="D789" s="60">
        <v>1</v>
      </c>
      <c r="E789" s="51">
        <v>0</v>
      </c>
      <c r="F789" s="54">
        <f t="shared" si="152"/>
        <v>1</v>
      </c>
      <c r="G789" s="52" t="s">
        <v>50</v>
      </c>
      <c r="H789" s="52"/>
      <c r="I789" s="52"/>
      <c r="J789" s="55"/>
      <c r="K789" s="53">
        <f t="shared" si="153"/>
        <v>0</v>
      </c>
      <c r="L789" s="10"/>
    </row>
    <row r="790" spans="1:12" x14ac:dyDescent="0.35">
      <c r="A790" s="49">
        <f>IF(F790&lt;&gt;"",1+MAX($A$7:A789),"")</f>
        <v>630</v>
      </c>
      <c r="B790" s="6"/>
      <c r="C790" s="50" t="s">
        <v>475</v>
      </c>
      <c r="D790" s="60">
        <v>1</v>
      </c>
      <c r="E790" s="51">
        <v>0</v>
      </c>
      <c r="F790" s="54">
        <f t="shared" si="152"/>
        <v>1</v>
      </c>
      <c r="G790" s="52" t="s">
        <v>50</v>
      </c>
      <c r="H790" s="52"/>
      <c r="I790" s="52"/>
      <c r="J790" s="55"/>
      <c r="K790" s="53">
        <f t="shared" si="153"/>
        <v>0</v>
      </c>
      <c r="L790" s="10"/>
    </row>
    <row r="791" spans="1:12" x14ac:dyDescent="0.35">
      <c r="A791" s="49">
        <f>IF(F791&lt;&gt;"",1+MAX($A$7:A790),"")</f>
        <v>631</v>
      </c>
      <c r="B791" s="6"/>
      <c r="C791" s="50" t="s">
        <v>476</v>
      </c>
      <c r="D791" s="60">
        <v>1</v>
      </c>
      <c r="E791" s="51">
        <v>0</v>
      </c>
      <c r="F791" s="54">
        <f t="shared" si="152"/>
        <v>1</v>
      </c>
      <c r="G791" s="52" t="s">
        <v>50</v>
      </c>
      <c r="H791" s="52"/>
      <c r="I791" s="52"/>
      <c r="J791" s="55"/>
      <c r="K791" s="53">
        <f t="shared" si="153"/>
        <v>0</v>
      </c>
      <c r="L791" s="10"/>
    </row>
    <row r="792" spans="1:12" x14ac:dyDescent="0.35">
      <c r="A792" s="49">
        <f>IF(F792&lt;&gt;"",1+MAX($A$7:A791),"")</f>
        <v>632</v>
      </c>
      <c r="B792" s="6"/>
      <c r="C792" s="50" t="s">
        <v>477</v>
      </c>
      <c r="D792" s="60">
        <v>1</v>
      </c>
      <c r="E792" s="51">
        <v>0</v>
      </c>
      <c r="F792" s="54">
        <f t="shared" si="152"/>
        <v>1</v>
      </c>
      <c r="G792" s="52" t="s">
        <v>50</v>
      </c>
      <c r="H792" s="52"/>
      <c r="I792" s="52"/>
      <c r="J792" s="55"/>
      <c r="K792" s="53">
        <f t="shared" si="153"/>
        <v>0</v>
      </c>
      <c r="L792" s="10"/>
    </row>
    <row r="793" spans="1:12" x14ac:dyDescent="0.35">
      <c r="A793" s="49">
        <f>IF(F793&lt;&gt;"",1+MAX($A$7:A792),"")</f>
        <v>633</v>
      </c>
      <c r="B793" s="6"/>
      <c r="C793" s="50" t="s">
        <v>478</v>
      </c>
      <c r="D793" s="60">
        <v>1</v>
      </c>
      <c r="E793" s="51">
        <v>0</v>
      </c>
      <c r="F793" s="54">
        <f t="shared" si="152"/>
        <v>1</v>
      </c>
      <c r="G793" s="52" t="s">
        <v>50</v>
      </c>
      <c r="H793" s="52"/>
      <c r="I793" s="52"/>
      <c r="J793" s="55"/>
      <c r="K793" s="53">
        <f t="shared" si="153"/>
        <v>0</v>
      </c>
      <c r="L793" s="10"/>
    </row>
    <row r="794" spans="1:12" x14ac:dyDescent="0.35">
      <c r="A794" s="49">
        <f>IF(F794&lt;&gt;"",1+MAX($A$7:A793),"")</f>
        <v>634</v>
      </c>
      <c r="B794" s="6"/>
      <c r="C794" s="50" t="s">
        <v>479</v>
      </c>
      <c r="D794" s="60">
        <v>1</v>
      </c>
      <c r="E794" s="51">
        <v>0</v>
      </c>
      <c r="F794" s="54">
        <f t="shared" si="152"/>
        <v>1</v>
      </c>
      <c r="G794" s="52" t="s">
        <v>50</v>
      </c>
      <c r="H794" s="52"/>
      <c r="I794" s="52"/>
      <c r="J794" s="55"/>
      <c r="K794" s="53">
        <f t="shared" si="153"/>
        <v>0</v>
      </c>
      <c r="L794" s="10"/>
    </row>
    <row r="795" spans="1:12" x14ac:dyDescent="0.35">
      <c r="A795" s="49">
        <f>IF(F795&lt;&gt;"",1+MAX($A$7:A794),"")</f>
        <v>635</v>
      </c>
      <c r="B795" s="6"/>
      <c r="C795" s="50" t="s">
        <v>480</v>
      </c>
      <c r="D795" s="60">
        <v>1</v>
      </c>
      <c r="E795" s="51">
        <v>0</v>
      </c>
      <c r="F795" s="54">
        <f t="shared" si="152"/>
        <v>1</v>
      </c>
      <c r="G795" s="52" t="s">
        <v>50</v>
      </c>
      <c r="H795" s="52"/>
      <c r="I795" s="52"/>
      <c r="J795" s="55"/>
      <c r="K795" s="53">
        <f t="shared" si="153"/>
        <v>0</v>
      </c>
      <c r="L795" s="10"/>
    </row>
    <row r="796" spans="1:12" x14ac:dyDescent="0.35">
      <c r="A796" s="49">
        <f>IF(F796&lt;&gt;"",1+MAX($A$7:A795),"")</f>
        <v>636</v>
      </c>
      <c r="B796" s="6"/>
      <c r="C796" s="50" t="s">
        <v>481</v>
      </c>
      <c r="D796" s="60">
        <v>1</v>
      </c>
      <c r="E796" s="51">
        <v>0</v>
      </c>
      <c r="F796" s="54">
        <f t="shared" si="152"/>
        <v>1</v>
      </c>
      <c r="G796" s="52" t="s">
        <v>50</v>
      </c>
      <c r="H796" s="52"/>
      <c r="I796" s="52"/>
      <c r="J796" s="55"/>
      <c r="K796" s="53">
        <f t="shared" si="153"/>
        <v>0</v>
      </c>
      <c r="L796" s="10"/>
    </row>
    <row r="797" spans="1:12" x14ac:dyDescent="0.35">
      <c r="A797" s="49">
        <f>IF(F797&lt;&gt;"",1+MAX($A$7:A796),"")</f>
        <v>637</v>
      </c>
      <c r="B797" s="6"/>
      <c r="C797" s="50" t="s">
        <v>482</v>
      </c>
      <c r="D797" s="60">
        <v>1</v>
      </c>
      <c r="E797" s="51">
        <v>0</v>
      </c>
      <c r="F797" s="54">
        <f t="shared" si="152"/>
        <v>1</v>
      </c>
      <c r="G797" s="52" t="s">
        <v>50</v>
      </c>
      <c r="H797" s="52"/>
      <c r="I797" s="52"/>
      <c r="J797" s="55"/>
      <c r="K797" s="53">
        <f t="shared" si="153"/>
        <v>0</v>
      </c>
      <c r="L797" s="10"/>
    </row>
    <row r="798" spans="1:12" x14ac:dyDescent="0.35">
      <c r="A798" s="49">
        <f>IF(F798&lt;&gt;"",1+MAX($A$7:A797),"")</f>
        <v>638</v>
      </c>
      <c r="B798" s="6"/>
      <c r="C798" s="50" t="s">
        <v>483</v>
      </c>
      <c r="D798" s="60">
        <v>1</v>
      </c>
      <c r="E798" s="51">
        <v>0</v>
      </c>
      <c r="F798" s="54">
        <f t="shared" si="152"/>
        <v>1</v>
      </c>
      <c r="G798" s="52" t="s">
        <v>50</v>
      </c>
      <c r="H798" s="52"/>
      <c r="I798" s="52"/>
      <c r="J798" s="55"/>
      <c r="K798" s="53">
        <f t="shared" si="153"/>
        <v>0</v>
      </c>
      <c r="L798" s="10"/>
    </row>
    <row r="799" spans="1:12" x14ac:dyDescent="0.35">
      <c r="A799" s="49">
        <f>IF(F799&lt;&gt;"",1+MAX($A$7:A798),"")</f>
        <v>639</v>
      </c>
      <c r="B799" s="6"/>
      <c r="C799" s="50" t="s">
        <v>484</v>
      </c>
      <c r="D799" s="60">
        <v>1</v>
      </c>
      <c r="E799" s="51">
        <v>0</v>
      </c>
      <c r="F799" s="54">
        <f t="shared" si="152"/>
        <v>1</v>
      </c>
      <c r="G799" s="52" t="s">
        <v>50</v>
      </c>
      <c r="H799" s="52"/>
      <c r="I799" s="52"/>
      <c r="J799" s="55"/>
      <c r="K799" s="53">
        <f t="shared" si="153"/>
        <v>0</v>
      </c>
      <c r="L799" s="10"/>
    </row>
    <row r="800" spans="1:12" x14ac:dyDescent="0.35">
      <c r="A800" s="49">
        <f>IF(F800&lt;&gt;"",1+MAX($A$7:A799),"")</f>
        <v>640</v>
      </c>
      <c r="B800" s="6"/>
      <c r="C800" s="50" t="s">
        <v>485</v>
      </c>
      <c r="D800" s="60">
        <v>1</v>
      </c>
      <c r="E800" s="51">
        <v>0</v>
      </c>
      <c r="F800" s="54">
        <f t="shared" si="152"/>
        <v>1</v>
      </c>
      <c r="G800" s="52" t="s">
        <v>50</v>
      </c>
      <c r="H800" s="52"/>
      <c r="I800" s="52"/>
      <c r="J800" s="55"/>
      <c r="K800" s="53">
        <f t="shared" si="153"/>
        <v>0</v>
      </c>
      <c r="L800" s="10"/>
    </row>
    <row r="801" spans="1:185" x14ac:dyDescent="0.35">
      <c r="A801" s="49">
        <f>IF(F801&lt;&gt;"",1+MAX($A$7:A800),"")</f>
        <v>641</v>
      </c>
      <c r="B801" s="6"/>
      <c r="C801" s="50" t="s">
        <v>486</v>
      </c>
      <c r="D801" s="60">
        <v>1</v>
      </c>
      <c r="E801" s="51">
        <v>0</v>
      </c>
      <c r="F801" s="54">
        <f t="shared" si="152"/>
        <v>1</v>
      </c>
      <c r="G801" s="52" t="s">
        <v>50</v>
      </c>
      <c r="H801" s="52"/>
      <c r="I801" s="52"/>
      <c r="J801" s="55"/>
      <c r="K801" s="53">
        <f t="shared" si="153"/>
        <v>0</v>
      </c>
      <c r="L801" s="10"/>
    </row>
    <row r="802" spans="1:185" x14ac:dyDescent="0.35">
      <c r="A802" s="49">
        <f>IF(F802&lt;&gt;"",1+MAX($A$7:A801),"")</f>
        <v>642</v>
      </c>
      <c r="B802" s="6"/>
      <c r="C802" s="50" t="s">
        <v>487</v>
      </c>
      <c r="D802" s="60">
        <v>1</v>
      </c>
      <c r="E802" s="51">
        <v>0</v>
      </c>
      <c r="F802" s="54">
        <f t="shared" si="152"/>
        <v>1</v>
      </c>
      <c r="G802" s="52" t="s">
        <v>50</v>
      </c>
      <c r="H802" s="52"/>
      <c r="I802" s="52"/>
      <c r="J802" s="55"/>
      <c r="K802" s="53">
        <f t="shared" si="153"/>
        <v>0</v>
      </c>
      <c r="L802" s="10"/>
    </row>
    <row r="803" spans="1:185" ht="16" thickBot="1" x14ac:dyDescent="0.4">
      <c r="A803" s="49" t="str">
        <f>IF(F803&lt;&gt;"",1+MAX($A$7:A802),"")</f>
        <v/>
      </c>
      <c r="B803" s="6"/>
      <c r="C803" s="50"/>
      <c r="D803" s="60"/>
      <c r="E803" s="51"/>
      <c r="F803" s="54"/>
      <c r="G803" s="52"/>
      <c r="H803" s="52"/>
      <c r="I803" s="52"/>
      <c r="J803" s="55"/>
      <c r="K803" s="53"/>
      <c r="L803" s="10"/>
    </row>
    <row r="804" spans="1:185" ht="16" thickBot="1" x14ac:dyDescent="0.4">
      <c r="A804" s="41" t="str">
        <f>IF(F804&lt;&gt;"",1+MAX($A$7:A272),"")</f>
        <v/>
      </c>
      <c r="B804" s="42"/>
      <c r="C804" s="47" t="s">
        <v>448</v>
      </c>
      <c r="D804" s="62"/>
      <c r="E804" s="7"/>
      <c r="F804" s="28"/>
      <c r="G804" s="15"/>
      <c r="H804" s="15"/>
      <c r="I804" s="15"/>
      <c r="J804" s="8"/>
      <c r="K804" s="9"/>
      <c r="L804" s="10"/>
    </row>
    <row r="805" spans="1:185" x14ac:dyDescent="0.35">
      <c r="A805" s="49">
        <f>IF(F805&lt;&gt;"",1+MAX($A$7:A804),"")</f>
        <v>643</v>
      </c>
      <c r="B805" s="6"/>
      <c r="C805" s="50" t="s">
        <v>449</v>
      </c>
      <c r="D805" s="60">
        <v>10</v>
      </c>
      <c r="E805" s="51">
        <v>0</v>
      </c>
      <c r="F805" s="54">
        <f t="shared" ref="F805:F812" si="154">D805*(1+E805)</f>
        <v>10</v>
      </c>
      <c r="G805" s="52" t="s">
        <v>50</v>
      </c>
      <c r="H805" s="52"/>
      <c r="I805" s="52"/>
      <c r="J805" s="55"/>
      <c r="K805" s="53">
        <f t="shared" ref="K805:K812" si="155">J805*F805</f>
        <v>0</v>
      </c>
      <c r="L805" s="10"/>
    </row>
    <row r="806" spans="1:185" x14ac:dyDescent="0.35">
      <c r="A806" s="49">
        <f>IF(F806&lt;&gt;"",1+MAX($A$7:A805),"")</f>
        <v>644</v>
      </c>
      <c r="B806" s="6"/>
      <c r="C806" s="50" t="s">
        <v>450</v>
      </c>
      <c r="D806" s="60">
        <v>22</v>
      </c>
      <c r="E806" s="51">
        <v>0</v>
      </c>
      <c r="F806" s="54">
        <f t="shared" si="154"/>
        <v>22</v>
      </c>
      <c r="G806" s="52" t="s">
        <v>50</v>
      </c>
      <c r="H806" s="52"/>
      <c r="I806" s="52"/>
      <c r="J806" s="55"/>
      <c r="K806" s="53">
        <f t="shared" si="155"/>
        <v>0</v>
      </c>
      <c r="L806" s="10"/>
    </row>
    <row r="807" spans="1:185" x14ac:dyDescent="0.35">
      <c r="A807" s="49">
        <f>IF(F807&lt;&gt;"",1+MAX($A$7:A806),"")</f>
        <v>645</v>
      </c>
      <c r="B807" s="6"/>
      <c r="C807" s="50" t="s">
        <v>451</v>
      </c>
      <c r="D807" s="60">
        <v>139</v>
      </c>
      <c r="E807" s="51">
        <v>0</v>
      </c>
      <c r="F807" s="54">
        <f t="shared" si="154"/>
        <v>139</v>
      </c>
      <c r="G807" s="52" t="s">
        <v>50</v>
      </c>
      <c r="H807" s="52"/>
      <c r="I807" s="52"/>
      <c r="J807" s="55"/>
      <c r="K807" s="53">
        <f t="shared" si="155"/>
        <v>0</v>
      </c>
      <c r="L807" s="10"/>
    </row>
    <row r="808" spans="1:185" x14ac:dyDescent="0.35">
      <c r="A808" s="49">
        <f>IF(F808&lt;&gt;"",1+MAX($A$7:A807),"")</f>
        <v>646</v>
      </c>
      <c r="B808" s="6"/>
      <c r="C808" s="50" t="s">
        <v>452</v>
      </c>
      <c r="D808" s="60">
        <v>6</v>
      </c>
      <c r="E808" s="51">
        <v>0</v>
      </c>
      <c r="F808" s="54">
        <f t="shared" si="154"/>
        <v>6</v>
      </c>
      <c r="G808" s="52" t="s">
        <v>50</v>
      </c>
      <c r="H808" s="52"/>
      <c r="I808" s="52"/>
      <c r="J808" s="55"/>
      <c r="K808" s="53">
        <f t="shared" si="155"/>
        <v>0</v>
      </c>
      <c r="L808" s="10"/>
    </row>
    <row r="809" spans="1:185" x14ac:dyDescent="0.35">
      <c r="A809" s="49">
        <f>IF(F809&lt;&gt;"",1+MAX($A$7:A808),"")</f>
        <v>647</v>
      </c>
      <c r="B809" s="6"/>
      <c r="C809" s="50" t="s">
        <v>453</v>
      </c>
      <c r="D809" s="60">
        <v>21</v>
      </c>
      <c r="E809" s="51">
        <v>0</v>
      </c>
      <c r="F809" s="54">
        <f t="shared" si="154"/>
        <v>21</v>
      </c>
      <c r="G809" s="52" t="s">
        <v>50</v>
      </c>
      <c r="H809" s="52"/>
      <c r="I809" s="52"/>
      <c r="J809" s="55"/>
      <c r="K809" s="53">
        <f t="shared" si="155"/>
        <v>0</v>
      </c>
      <c r="L809" s="10"/>
    </row>
    <row r="810" spans="1:185" x14ac:dyDescent="0.35">
      <c r="A810" s="49">
        <f>IF(F810&lt;&gt;"",1+MAX($A$7:A809),"")</f>
        <v>648</v>
      </c>
      <c r="B810" s="6"/>
      <c r="C810" s="50" t="s">
        <v>454</v>
      </c>
      <c r="D810" s="60">
        <v>35</v>
      </c>
      <c r="E810" s="51">
        <v>0</v>
      </c>
      <c r="F810" s="54">
        <f t="shared" si="154"/>
        <v>35</v>
      </c>
      <c r="G810" s="52" t="s">
        <v>50</v>
      </c>
      <c r="H810" s="52"/>
      <c r="I810" s="52"/>
      <c r="J810" s="55"/>
      <c r="K810" s="53">
        <f t="shared" si="155"/>
        <v>0</v>
      </c>
      <c r="L810" s="10"/>
    </row>
    <row r="811" spans="1:185" x14ac:dyDescent="0.35">
      <c r="A811" s="49">
        <f>IF(F811&lt;&gt;"",1+MAX($A$7:A810),"")</f>
        <v>649</v>
      </c>
      <c r="B811" s="6"/>
      <c r="C811" s="50" t="s">
        <v>455</v>
      </c>
      <c r="D811" s="60">
        <v>21</v>
      </c>
      <c r="E811" s="51">
        <v>0</v>
      </c>
      <c r="F811" s="54">
        <f t="shared" si="154"/>
        <v>21</v>
      </c>
      <c r="G811" s="52" t="s">
        <v>50</v>
      </c>
      <c r="H811" s="52"/>
      <c r="I811" s="52"/>
      <c r="J811" s="55"/>
      <c r="K811" s="53">
        <f t="shared" si="155"/>
        <v>0</v>
      </c>
      <c r="L811" s="10"/>
    </row>
    <row r="812" spans="1:185" x14ac:dyDescent="0.35">
      <c r="A812" s="49">
        <f>IF(F812&lt;&gt;"",1+MAX($A$7:A811),"")</f>
        <v>650</v>
      </c>
      <c r="B812" s="6"/>
      <c r="C812" s="50" t="s">
        <v>456</v>
      </c>
      <c r="D812" s="60">
        <v>21</v>
      </c>
      <c r="E812" s="51">
        <v>0</v>
      </c>
      <c r="F812" s="54">
        <f t="shared" si="154"/>
        <v>21</v>
      </c>
      <c r="G812" s="52" t="s">
        <v>50</v>
      </c>
      <c r="H812" s="52"/>
      <c r="I812" s="52"/>
      <c r="J812" s="55"/>
      <c r="K812" s="53">
        <f t="shared" si="155"/>
        <v>0</v>
      </c>
      <c r="L812" s="10"/>
    </row>
    <row r="813" spans="1:185" ht="16" thickBot="1" x14ac:dyDescent="0.4">
      <c r="A813" s="49" t="str">
        <f>IF(F813&lt;&gt;"",1+MAX($A$7:A812),"")</f>
        <v/>
      </c>
      <c r="B813" s="6"/>
      <c r="C813" s="50"/>
      <c r="D813" s="60"/>
      <c r="E813" s="51"/>
      <c r="F813" s="54"/>
      <c r="G813" s="52"/>
      <c r="H813" s="52"/>
      <c r="I813" s="52"/>
      <c r="J813" s="55"/>
      <c r="K813" s="53"/>
      <c r="L813" s="10"/>
    </row>
    <row r="814" spans="1:185" ht="16" thickBot="1" x14ac:dyDescent="0.4">
      <c r="A814" s="41" t="str">
        <f>IF(F814&lt;&gt;"",1+MAX($A$7:A136),"")</f>
        <v/>
      </c>
      <c r="B814" s="42" t="s">
        <v>45</v>
      </c>
      <c r="C814" s="43" t="s">
        <v>46</v>
      </c>
      <c r="D814" s="44"/>
      <c r="E814" s="44"/>
      <c r="F814" s="44"/>
      <c r="G814" s="44"/>
      <c r="H814" s="44"/>
      <c r="I814" s="44"/>
      <c r="J814" s="45"/>
      <c r="K814" s="45"/>
      <c r="L814" s="46">
        <f>SUM(K817)</f>
        <v>0</v>
      </c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  <c r="AS814" s="38"/>
      <c r="AT814" s="38"/>
      <c r="AU814" s="38"/>
      <c r="AV814" s="38"/>
      <c r="AW814" s="38"/>
      <c r="AX814" s="38"/>
      <c r="AY814" s="38"/>
      <c r="AZ814" s="38"/>
      <c r="BA814" s="38"/>
      <c r="BB814" s="38"/>
      <c r="BC814" s="38"/>
      <c r="BD814" s="38"/>
      <c r="BE814" s="38"/>
      <c r="BF814" s="38"/>
      <c r="BG814" s="38"/>
      <c r="BH814" s="38"/>
      <c r="BI814" s="38"/>
      <c r="BJ814" s="38"/>
      <c r="BK814" s="38"/>
      <c r="BL814" s="38"/>
      <c r="BM814" s="38"/>
      <c r="BN814" s="38"/>
      <c r="BO814" s="38"/>
      <c r="BP814" s="38"/>
      <c r="BQ814" s="38"/>
      <c r="BR814" s="38"/>
      <c r="BS814" s="38"/>
      <c r="BT814" s="38"/>
      <c r="BU814" s="38"/>
      <c r="BV814" s="38"/>
      <c r="BW814" s="38"/>
      <c r="BX814" s="38"/>
      <c r="BY814" s="38"/>
      <c r="BZ814" s="38"/>
      <c r="CA814" s="38"/>
      <c r="CB814" s="38"/>
      <c r="CC814" s="38"/>
      <c r="CD814" s="38"/>
      <c r="CE814" s="38"/>
      <c r="CF814" s="38"/>
      <c r="CG814" s="38"/>
      <c r="CH814" s="38"/>
      <c r="CI814" s="38"/>
      <c r="CJ814" s="38"/>
      <c r="CK814" s="38"/>
      <c r="CL814" s="38"/>
      <c r="CM814" s="38"/>
      <c r="CN814" s="38"/>
      <c r="CO814" s="38"/>
      <c r="CP814" s="38"/>
      <c r="CQ814" s="38"/>
      <c r="CR814" s="38"/>
      <c r="CS814" s="38"/>
      <c r="CT814" s="38"/>
      <c r="CU814" s="38"/>
      <c r="CV814" s="38"/>
      <c r="CW814" s="38"/>
      <c r="CX814" s="38"/>
      <c r="CY814" s="38"/>
      <c r="CZ814" s="38"/>
      <c r="DA814" s="38"/>
      <c r="DB814" s="38"/>
      <c r="DC814" s="38"/>
      <c r="DD814" s="38"/>
      <c r="DE814" s="38"/>
      <c r="DF814" s="38"/>
      <c r="DG814" s="38"/>
      <c r="DH814" s="38"/>
      <c r="DI814" s="38"/>
      <c r="DJ814" s="38"/>
      <c r="DK814" s="38"/>
      <c r="DL814" s="38"/>
      <c r="DM814" s="38"/>
      <c r="DN814" s="38"/>
      <c r="DO814" s="38"/>
      <c r="DP814" s="38"/>
      <c r="DQ814" s="38"/>
      <c r="DR814" s="38"/>
      <c r="DS814" s="38"/>
      <c r="DT814" s="38"/>
      <c r="DU814" s="38"/>
      <c r="DV814" s="38"/>
      <c r="DW814" s="38"/>
      <c r="DX814" s="38"/>
      <c r="DY814" s="38"/>
      <c r="DZ814" s="38"/>
      <c r="EA814" s="38"/>
      <c r="EB814" s="38"/>
      <c r="EC814" s="38"/>
      <c r="ED814" s="38"/>
      <c r="EE814" s="38"/>
      <c r="EF814" s="38"/>
      <c r="EG814" s="38"/>
      <c r="EH814" s="38"/>
      <c r="EI814" s="38"/>
      <c r="EJ814" s="38"/>
      <c r="EK814" s="38"/>
      <c r="EL814" s="38"/>
      <c r="EM814" s="38"/>
      <c r="EN814" s="38"/>
      <c r="EO814" s="38"/>
      <c r="EP814" s="38"/>
      <c r="EQ814" s="38"/>
      <c r="ER814" s="38"/>
      <c r="ES814" s="38"/>
      <c r="ET814" s="38"/>
      <c r="EU814" s="38"/>
      <c r="EV814" s="38"/>
      <c r="EW814" s="38"/>
      <c r="EX814" s="38"/>
      <c r="EY814" s="38"/>
      <c r="EZ814" s="38"/>
      <c r="FA814" s="38"/>
      <c r="FB814" s="38"/>
      <c r="FC814" s="38"/>
      <c r="FD814" s="38"/>
      <c r="FE814" s="38"/>
      <c r="FF814" s="38"/>
      <c r="FG814" s="38"/>
      <c r="FH814" s="38"/>
      <c r="FI814" s="38"/>
      <c r="FJ814" s="38"/>
      <c r="FK814" s="38"/>
      <c r="FL814" s="38"/>
      <c r="FM814" s="38"/>
      <c r="FN814" s="38"/>
      <c r="FO814" s="38"/>
      <c r="FP814" s="38"/>
      <c r="FQ814" s="38"/>
      <c r="FR814" s="38"/>
      <c r="FS814" s="38"/>
      <c r="FT814" s="38"/>
      <c r="FU814" s="38"/>
      <c r="FV814" s="38"/>
      <c r="FW814" s="38"/>
      <c r="FX814" s="38"/>
      <c r="FY814" s="38"/>
      <c r="FZ814" s="38"/>
      <c r="GA814" s="38"/>
      <c r="GB814" s="38"/>
      <c r="GC814" s="38"/>
    </row>
    <row r="815" spans="1:185" ht="16" thickBot="1" x14ac:dyDescent="0.4">
      <c r="A815" s="49"/>
      <c r="B815" s="6"/>
      <c r="C815" s="50"/>
      <c r="D815" s="62"/>
      <c r="E815" s="51"/>
      <c r="F815" s="54"/>
      <c r="G815" s="52"/>
      <c r="H815" s="52"/>
      <c r="I815" s="52"/>
      <c r="J815" s="55"/>
      <c r="K815" s="53"/>
      <c r="L815" s="10"/>
    </row>
    <row r="816" spans="1:185" ht="16" thickBot="1" x14ac:dyDescent="0.4">
      <c r="A816" s="41" t="str">
        <f>IF(F816&lt;&gt;"",1+MAX($A$7:A136),"")</f>
        <v/>
      </c>
      <c r="B816" s="42"/>
      <c r="C816" s="47" t="s">
        <v>47</v>
      </c>
      <c r="D816" s="28"/>
      <c r="E816" s="7"/>
      <c r="F816" s="28"/>
      <c r="G816" s="15"/>
      <c r="H816" s="15"/>
      <c r="I816" s="15"/>
      <c r="J816" s="8"/>
      <c r="K816" s="9"/>
      <c r="L816" s="10"/>
    </row>
    <row r="817" spans="1:12" x14ac:dyDescent="0.35">
      <c r="A817" s="49">
        <f>IF(F817&lt;&gt;"",1+MAX($A$7:A816),"")</f>
        <v>651</v>
      </c>
      <c r="B817" s="6"/>
      <c r="C817" s="50" t="s">
        <v>286</v>
      </c>
      <c r="D817" s="60">
        <v>7774</v>
      </c>
      <c r="E817" s="51">
        <v>0.1</v>
      </c>
      <c r="F817" s="54">
        <f t="shared" ref="F817" si="156">D817*(1+E817)</f>
        <v>8551.4000000000015</v>
      </c>
      <c r="G817" s="52" t="s">
        <v>38</v>
      </c>
      <c r="H817" s="52"/>
      <c r="I817" s="52"/>
      <c r="J817" s="55"/>
      <c r="K817" s="53">
        <f t="shared" ref="K817" si="157">J817*F817</f>
        <v>0</v>
      </c>
      <c r="L817" s="10"/>
    </row>
    <row r="818" spans="1:12" x14ac:dyDescent="0.35">
      <c r="A818" s="49"/>
      <c r="B818" s="6"/>
      <c r="C818" s="50"/>
      <c r="D818" s="60"/>
      <c r="E818" s="51"/>
      <c r="F818" s="54"/>
      <c r="G818" s="52"/>
      <c r="H818" s="52"/>
      <c r="I818" s="52"/>
      <c r="J818" s="55"/>
      <c r="K818" s="53"/>
      <c r="L818" s="10"/>
    </row>
    <row r="819" spans="1:12" ht="16" thickBot="1" x14ac:dyDescent="0.4">
      <c r="A819" s="25"/>
      <c r="B819" s="16"/>
      <c r="C819" s="17"/>
      <c r="D819" s="18"/>
      <c r="E819" s="19"/>
      <c r="F819" s="20"/>
      <c r="G819" s="21"/>
      <c r="H819" s="21"/>
      <c r="I819" s="21"/>
      <c r="J819" s="22"/>
      <c r="K819" s="23"/>
      <c r="L819" s="24"/>
    </row>
    <row r="820" spans="1:12" ht="16" thickBot="1" x14ac:dyDescent="0.4">
      <c r="A820" s="11" t="s">
        <v>1</v>
      </c>
      <c r="B820" s="1"/>
      <c r="C820" s="1"/>
      <c r="D820" s="2"/>
      <c r="E820" s="2"/>
      <c r="F820" s="2"/>
      <c r="G820" s="3"/>
      <c r="H820" s="3"/>
      <c r="I820" s="3"/>
      <c r="J820" s="1"/>
      <c r="K820" s="5">
        <f>SUM(K7:K819)</f>
        <v>0</v>
      </c>
      <c r="L820" s="12">
        <f>SUM(L7:L819)</f>
        <v>0</v>
      </c>
    </row>
    <row r="821" spans="1:12" ht="16" thickBot="1" x14ac:dyDescent="0.4">
      <c r="A821" s="11" t="s">
        <v>10</v>
      </c>
      <c r="B821" s="1"/>
      <c r="C821" s="1"/>
      <c r="D821" s="2"/>
      <c r="E821" s="2"/>
      <c r="F821" s="2"/>
      <c r="G821" s="3"/>
      <c r="H821" s="3"/>
      <c r="I821" s="3"/>
      <c r="J821" s="4">
        <v>0.25</v>
      </c>
      <c r="K821" s="5">
        <f>J821*K820</f>
        <v>0</v>
      </c>
      <c r="L821" s="12">
        <f>J821*L820</f>
        <v>0</v>
      </c>
    </row>
    <row r="822" spans="1:12" ht="16" thickBot="1" x14ac:dyDescent="0.4">
      <c r="A822" s="11" t="s">
        <v>9</v>
      </c>
      <c r="B822" s="1"/>
      <c r="C822" s="1"/>
      <c r="D822" s="2"/>
      <c r="E822" s="2"/>
      <c r="F822" s="2"/>
      <c r="G822" s="3"/>
      <c r="H822" s="3"/>
      <c r="I822" s="3"/>
      <c r="J822" s="1"/>
      <c r="K822" s="5">
        <f>SUM(K820:K821)</f>
        <v>0</v>
      </c>
      <c r="L822" s="12">
        <f>SUM(L820:L821)</f>
        <v>0</v>
      </c>
    </row>
    <row r="823" spans="1:12" ht="16" thickBot="1" x14ac:dyDescent="0.4">
      <c r="A823" s="74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6"/>
    </row>
    <row r="824" spans="1:12" ht="16.5" customHeight="1" thickBot="1" x14ac:dyDescent="0.4">
      <c r="A824" s="74" t="s">
        <v>39</v>
      </c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6"/>
    </row>
    <row r="825" spans="1:12" ht="15" customHeight="1" thickBot="1" x14ac:dyDescent="0.4">
      <c r="A825" s="74" t="s">
        <v>40</v>
      </c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6"/>
    </row>
    <row r="826" spans="1:12" ht="15" customHeight="1" thickBot="1" x14ac:dyDescent="0.4">
      <c r="A826" s="11" t="s">
        <v>41</v>
      </c>
      <c r="B826" s="58"/>
      <c r="C826" s="58"/>
      <c r="D826" s="58"/>
      <c r="E826" s="58"/>
      <c r="F826" s="58"/>
      <c r="G826" s="58"/>
      <c r="H826" s="71"/>
      <c r="I826" s="71"/>
      <c r="J826" s="58"/>
      <c r="K826" s="58"/>
      <c r="L826" s="59"/>
    </row>
  </sheetData>
  <mergeCells count="8">
    <mergeCell ref="A825:L825"/>
    <mergeCell ref="F2:F3"/>
    <mergeCell ref="G2:L3"/>
    <mergeCell ref="A1:C1"/>
    <mergeCell ref="A2:C2"/>
    <mergeCell ref="A3:C3"/>
    <mergeCell ref="A823:L823"/>
    <mergeCell ref="A824:L824"/>
  </mergeCells>
  <printOptions horizontalCentered="1" verticalCentered="1"/>
  <pageMargins left="0.7" right="0.7" top="0.75" bottom="0.75" header="0.3" footer="0.3"/>
  <pageSetup scale="53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 altText="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3</xdr:col>
                    <xdr:colOff>260350</xdr:colOff>
                    <xdr:row>829</xdr:row>
                    <xdr:rowOff>57150</xdr:rowOff>
                  </from>
                  <to>
                    <xdr:col>3</xdr:col>
                    <xdr:colOff>533400</xdr:colOff>
                    <xdr:row>830</xdr:row>
                    <xdr:rowOff>88900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133199-4600-4939-83EF-AB661A97656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Detailed Estimate IE</vt:lpstr>
      <vt:lpstr>Chart1</vt:lpstr>
      <vt:lpstr>'Detailed Estimate IE'!Print_Area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Sammy</dc:creator>
  <cp:lastModifiedBy>City</cp:lastModifiedBy>
  <cp:lastPrinted>2017-06-21T10:20:41Z</cp:lastPrinted>
  <dcterms:created xsi:type="dcterms:W3CDTF">2004-05-05T14:08:18Z</dcterms:created>
  <dcterms:modified xsi:type="dcterms:W3CDTF">2023-03-17T13:43:43Z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{42133199-4600-4939-83EF-AB661A976569}</vt:lpwstr>
  </property>
</Properties>
</file>