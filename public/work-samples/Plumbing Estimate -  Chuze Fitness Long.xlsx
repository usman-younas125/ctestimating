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General Summary" sheetId="4" r:id="rId1"/>
    <sheet name="Base Bid" sheetId="1" r:id="rId2"/>
    <sheet name="Alternate" sheetId="7" r:id="rId3"/>
    <sheet name="LABOR SHEET" sheetId="6" r:id="rId4"/>
  </sheets>
  <definedNames>
    <definedName name="_xlnm._FilterDatabase" localSheetId="2" hidden="1">Alternate!$A$15:$AJ$371</definedName>
    <definedName name="_xlnm._FilterDatabase" localSheetId="1" hidden="1">'Base Bid'!$A$15:$AJ$371</definedName>
    <definedName name="_xlnm.Print_Area" localSheetId="2">Alternate!$A$3:$Q$371</definedName>
    <definedName name="_xlnm.Print_Area" localSheetId="1">'Base Bid'!$A$3:$Q$371</definedName>
    <definedName name="_xlnm.Print_Area" localSheetId="0">'General Summary'!$A$1:$P$26</definedName>
    <definedName name="_xlnm.Print_Titles" localSheetId="2">Alternate!$2:$3</definedName>
    <definedName name="_xlnm.Print_Titles" localSheetId="1">'Base Bid'!$2:$3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<sst xmlns="http://schemas.openxmlformats.org/spreadsheetml/2006/main" count="1395" uniqueCount="421">
  <si>
    <t>GENERAL SUMMARY</t>
  </si>
  <si>
    <t>DIVISION NO.</t>
  </si>
  <si>
    <t>DESCRIPTION</t>
  </si>
  <si>
    <t>TOTAL DIV. COST</t>
  </si>
  <si>
    <t>General Requirments</t>
  </si>
  <si>
    <t>Plumbing</t>
  </si>
  <si>
    <t>TOTAL COST</t>
  </si>
  <si>
    <t>CONTIGENCIES</t>
  </si>
  <si>
    <t>OVERHEAD AND PROFIT</t>
  </si>
  <si>
    <t>TAX</t>
  </si>
  <si>
    <t>PERFORMANCE AND PAYMENT BONDS</t>
  </si>
  <si>
    <t>TOTAL BASEBID</t>
  </si>
  <si>
    <t>TOTAL ALTERNATE BID</t>
  </si>
  <si>
    <t>DETAILED BREAKDOWN OF ITEMS</t>
  </si>
  <si>
    <t>Project Name: CHUZE FITNESS LONG BEACH CA</t>
  </si>
  <si>
    <t>Address: 2185E. SOUTH STREET LONG BEACH, CA 90805</t>
  </si>
  <si>
    <t>S#</t>
  </si>
  <si>
    <t>Dwg.</t>
  </si>
  <si>
    <t>CSI NO</t>
  </si>
  <si>
    <t>QTY.</t>
  </si>
  <si>
    <t>UNIT</t>
  </si>
  <si>
    <t>WASTAGE</t>
  </si>
  <si>
    <t>QTY. W/ WASTAGE</t>
  </si>
  <si>
    <t>UNIT MATERIAL  COST</t>
  </si>
  <si>
    <t>TOTAL MATERIAL COST</t>
  </si>
  <si>
    <t>UNIT
LABOR
HOUR</t>
  </si>
  <si>
    <t>TOTAL LABOR
HOUR</t>
  </si>
  <si>
    <t>LABOR WAGE/ HOUR</t>
  </si>
  <si>
    <t>UNIT LABOR COST</t>
  </si>
  <si>
    <t>TOTAL LABOR
COST</t>
  </si>
  <si>
    <t>UNIT COST (Labor + Material)</t>
  </si>
  <si>
    <t>TOTAL
COST</t>
  </si>
  <si>
    <t>TRADE
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</si>
  <si>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</si>
  <si>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</si>
  <si>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</si>
  <si>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</si>
  <si>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</si>
  <si>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</si>
  <si>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</si>
  <si>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</si>
  <si>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</si>
  <si>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</si>
  <si>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22- PLUMBING</t>
  </si>
  <si>
    <t>GAS PIPES</t>
  </si>
  <si>
    <t>SCHEDULE 40 BLACK STEEL PIPE ASTM A53, W/ FITTINGS ASME B16.3 W/ WEATHER PROOF COAT</t>
  </si>
  <si>
    <t>3/4" Dia Gas Pipe</t>
  </si>
  <si>
    <t>LF</t>
  </si>
  <si>
    <t>1" Dia Gas Pipe</t>
  </si>
  <si>
    <t>1-1/4" Dia Gas Pipe</t>
  </si>
  <si>
    <t>1-1/2" Dia Gas Pipe</t>
  </si>
  <si>
    <t>2" Dia Gas Pipe</t>
  </si>
  <si>
    <t>2-1/2" Dia Gas Pipe</t>
  </si>
  <si>
    <t>3" Dia Gas Pipe</t>
  </si>
  <si>
    <t>4" Dia Gas Pipe</t>
  </si>
  <si>
    <t>FITTINGS</t>
  </si>
  <si>
    <t>3/4" Dia Gas Pipe 90 Deg Elbow</t>
  </si>
  <si>
    <t>EA</t>
  </si>
  <si>
    <t>1" Dia Gas Pipe 90 Deg Elbow</t>
  </si>
  <si>
    <t>1-1/4" Dia Gas Pipe 90 Deg Elbow</t>
  </si>
  <si>
    <t>1-1/2" Dia Gas Pipe 90 Deg Elbow</t>
  </si>
  <si>
    <t>2" Dia Gas Pipe 90 Deg Elbow</t>
  </si>
  <si>
    <t>2-1/2" Dia Gas Pipe 90 Deg Elbow</t>
  </si>
  <si>
    <t>3" Dia Gas Pipe 90 Deg Elbow</t>
  </si>
  <si>
    <t>3/4" Dia Gas Pipe Tee</t>
  </si>
  <si>
    <t>1" Dia Gas Pipe Tee</t>
  </si>
  <si>
    <t>1-1/4" / 1" Dia Gas Pipe Tee</t>
  </si>
  <si>
    <t>1-1/4" Dia Gas Pipe Tee</t>
  </si>
  <si>
    <t>2" / 3/4" Dia Gas Pipe Tee</t>
  </si>
  <si>
    <t>2" / 1" Dia Gas Pipe Tee</t>
  </si>
  <si>
    <t>2" / 1-1/4" Dia Gas Pipe Tee</t>
  </si>
  <si>
    <t>2" Dia Gas Pipe Tee</t>
  </si>
  <si>
    <t>2-1/2" / 1-1/4" Dia Gas Pipe Tee</t>
  </si>
  <si>
    <t>3" / 3/4" Dia Gas Pipe Tee</t>
  </si>
  <si>
    <t>3" / 1-1/4" Dia Gas Pipe Tee</t>
  </si>
  <si>
    <t>3" / 2" Dia Gas Pipe Tee</t>
  </si>
  <si>
    <t>3" Dia Gas Pipe Tee</t>
  </si>
  <si>
    <t>4" / 3" Dia Gas Pipe Tee</t>
  </si>
  <si>
    <t>1-1/2" / 1-1/4" Dia Gas Pipe Reducer</t>
  </si>
  <si>
    <t>2" / 1-1/4" Dia Gas Pipe Reducer</t>
  </si>
  <si>
    <t>2" / 1-1/2" Dia Gas Pipe Reducer</t>
  </si>
  <si>
    <t>2-1/2" / 2" Dia Gas Pipe Reducer</t>
  </si>
  <si>
    <t>3" / 1-1/4" Dia Gas Pipe Reducer</t>
  </si>
  <si>
    <t>3" / 2" Dia Gas Pipe Reducer</t>
  </si>
  <si>
    <t>3" / 2-1/2" Dia Gas Pipe Reducer</t>
  </si>
  <si>
    <t>4" / 3" Dia Gas Pipe Reducer</t>
  </si>
  <si>
    <t>ACCESSORIES</t>
  </si>
  <si>
    <t>3/4" Dia Flexible Connector</t>
  </si>
  <si>
    <t>3/4" Dia Gas Shut-Off Valve</t>
  </si>
  <si>
    <t>3/4" Dia Gas Union</t>
  </si>
  <si>
    <t>3/4" Dia Sediment Trap W/ Cap</t>
  </si>
  <si>
    <t>1" Dia Flexible Connector</t>
  </si>
  <si>
    <t>1" Dia Gas Shut-Off Valve</t>
  </si>
  <si>
    <t>1" Dia Gas Union</t>
  </si>
  <si>
    <t>1" Dia Sediment Trap W/ Cap</t>
  </si>
  <si>
    <t>1-1/4" Dia Flexible Connector</t>
  </si>
  <si>
    <t>1-1/4" Dia Gas Shut-Off Valve</t>
  </si>
  <si>
    <t>1-1/4" Dia Gas Union</t>
  </si>
  <si>
    <t>1-1/4" Dia Sediment Trap W/ Cap</t>
  </si>
  <si>
    <t>2" Dia Flexible Connector</t>
  </si>
  <si>
    <t>2" Dia Gas Shut-Off Valve</t>
  </si>
  <si>
    <t>2" Dia Gas Union</t>
  </si>
  <si>
    <t>2" Dia Sediment Trap W/ Cap</t>
  </si>
  <si>
    <t>VENT PIPES</t>
  </si>
  <si>
    <t>SCHEDULE 40 PVC PIPE ASTM A53, W/ FITTINGS ASTM D2665</t>
  </si>
  <si>
    <t>1-1/2" Dia Vent Pipe</t>
  </si>
  <si>
    <t>2" Dia Vent Pipe</t>
  </si>
  <si>
    <t>3" Dia Vent Pipe</t>
  </si>
  <si>
    <t>4" Dia Vent Pipe</t>
  </si>
  <si>
    <t>1-1/2" Dia Vent Pipe 45 Deg Elbow</t>
  </si>
  <si>
    <t>2" Dia Vent Pipe 45 Deg Elbow</t>
  </si>
  <si>
    <t>1-1/2" Dia Vent Pipe 90 Deg Elbow</t>
  </si>
  <si>
    <t>2" Dia Vent Pipe 90 Deg Elbow</t>
  </si>
  <si>
    <t>1-1/2" Dia Vent Pipe Tee</t>
  </si>
  <si>
    <t>2" / 1-1/2" Dia Vent Pipe Tee</t>
  </si>
  <si>
    <t>2" Dia Vent Pipe Tee</t>
  </si>
  <si>
    <t>3" / 1-1/2" Dia Vent Pipe Tee</t>
  </si>
  <si>
    <t>3" / 2" Dia Vent Pipe Tee</t>
  </si>
  <si>
    <t>3" Dia Vent Pipe Tee</t>
  </si>
  <si>
    <t>4" Dia Vent Pipe Tee</t>
  </si>
  <si>
    <t>2" / 1-1/2" Dia Vent Pipe Reducer</t>
  </si>
  <si>
    <t>3" / 1-1/2" Dia Vent Pipe Reducer</t>
  </si>
  <si>
    <t>3" / 2" Dia Vent Pipe Reducer</t>
  </si>
  <si>
    <t>4" / 2" Dia Vent Pipe Reducer</t>
  </si>
  <si>
    <t>4" / 3" Dia Vent Pipe Reducer</t>
  </si>
  <si>
    <t>SANITARY PIPES - BELOW GRADE</t>
  </si>
  <si>
    <t>2" Dia Sanitary Pipe</t>
  </si>
  <si>
    <t>3" Dia Sanitary Pipe</t>
  </si>
  <si>
    <t>4" Dia Sanitary Pipe</t>
  </si>
  <si>
    <t>6" Dia Sanitary Pipe</t>
  </si>
  <si>
    <t>2" Dia PVC Pipe 90 Deg Elbow</t>
  </si>
  <si>
    <t>3" Dia PVC Pipe 90 Deg Elbow</t>
  </si>
  <si>
    <t>4" Dia PVC Pipe 90 Deg Elbow</t>
  </si>
  <si>
    <t>2" Dia PVC Pipe 45 Deg Elbow</t>
  </si>
  <si>
    <t>3" Dia PVC Pipe 45 Deg Elbow</t>
  </si>
  <si>
    <t>4" Dia PVC Pipe 45 Deg Elbow</t>
  </si>
  <si>
    <t>2" Dia PVC Pipe Combination Wye</t>
  </si>
  <si>
    <t>3" / 1-1/2" Dia PVC Pipe Combination Wye</t>
  </si>
  <si>
    <t>3" / 2" Dia PVC Pipe Wye</t>
  </si>
  <si>
    <t>3" Dia PVC Pipe Wye</t>
  </si>
  <si>
    <t>3" Dia PVC Pipe Combination Wye</t>
  </si>
  <si>
    <t>4" / 2" Dia PVC Pipe Combination Wye</t>
  </si>
  <si>
    <t>4" / 3" Dia PVC Pipe Combination Wye</t>
  </si>
  <si>
    <t>4" Dia PVC Pipe Wye</t>
  </si>
  <si>
    <t>4" Dia PVC Pipe Combination Wye</t>
  </si>
  <si>
    <t>6" / 2" Dia PVC Pipe Wye</t>
  </si>
  <si>
    <t>6" / 3" Dia PVC Pipe Wye</t>
  </si>
  <si>
    <t>6" / 4" Dia PVC Pipe Wye</t>
  </si>
  <si>
    <t>6" / 4" Dia PVC Pipe Combination Wye</t>
  </si>
  <si>
    <t>2" / 1-1/2" Dia PVC Pipe Reducer</t>
  </si>
  <si>
    <t>3" / 1-1/2" Dia PVC Pipe Reducer</t>
  </si>
  <si>
    <t>3" / 2" Dia PVC Pipe Reducer</t>
  </si>
  <si>
    <t>4" / 2" Dia PVC Pipe Reducer</t>
  </si>
  <si>
    <t>4" / 3" Dia PVC Pipe Reducer</t>
  </si>
  <si>
    <t>6" / 4" Dia PVC Pipe Reducer</t>
  </si>
  <si>
    <t>6" Dia Coupling</t>
  </si>
  <si>
    <t>GREASE WASTE PIPES - BELOW GRADE</t>
  </si>
  <si>
    <t>NO-HUB CAST IRON PIPE ASTM A888, W/ FITTINGS ASTM A888</t>
  </si>
  <si>
    <t>2" Dia Grease Waste Pipe</t>
  </si>
  <si>
    <t>3" Dia Grease Waste Pipe</t>
  </si>
  <si>
    <t>2" Dia CAST IRON Pipe 90 Deg Elbow</t>
  </si>
  <si>
    <t>3" Dia CAST IRON Pipe 90 Deg Elbow</t>
  </si>
  <si>
    <t>2" Dia CAST IRON Pipe 45 Deg Elbow</t>
  </si>
  <si>
    <t>3" Dia CAST IRON Pipe 45 Deg Elbow</t>
  </si>
  <si>
    <t>2" Dia CAST IRON Pipe Combination Wye</t>
  </si>
  <si>
    <t>3" / 2" Dia CAST IRON Pipe Wye</t>
  </si>
  <si>
    <t>3" Dia CAST IRON Pipe Wye</t>
  </si>
  <si>
    <t>2" / 1-1/2" Dia CAST IRON Pipe Reducer</t>
  </si>
  <si>
    <t>3" Dia Coupling</t>
  </si>
  <si>
    <t>DOMESTIC WATER PIPES</t>
  </si>
  <si>
    <t>TYPE L COPPER PIPE ASTM B88, W/ FITTINGS B16.22</t>
  </si>
  <si>
    <t>3/8" Dia Cold Water Pipe</t>
  </si>
  <si>
    <t>1/2" Dia Cold Water Pipe</t>
  </si>
  <si>
    <t>3/4" Dia Cold Water Pipe</t>
  </si>
  <si>
    <t>1" Dia Cold Water Pipe</t>
  </si>
  <si>
    <t>1-1/4" Dia Cold Water Pipe</t>
  </si>
  <si>
    <t>1-1/2" Dia Cold Water Pipe</t>
  </si>
  <si>
    <t>2" Dia Cold Water Pipe</t>
  </si>
  <si>
    <t>2-1/2" Dia Cold Water Pipe</t>
  </si>
  <si>
    <t>1/2" Dia Hot Water Return Pipe</t>
  </si>
  <si>
    <t>3/8" Dia Hot Water Pipe</t>
  </si>
  <si>
    <t>1/2" Dia Hot Water Pipe</t>
  </si>
  <si>
    <t>3/4" Dia Hot Water Pipe</t>
  </si>
  <si>
    <t>1" Dia Hot Water Pipe</t>
  </si>
  <si>
    <t>1-1/4" Dia Hot Water Pipe</t>
  </si>
  <si>
    <t>1-1/2" Dia Hot Water Pipe</t>
  </si>
  <si>
    <r>
      <rPr>
        <sz val="12"/>
        <color theme="1"/>
        <rFont val="Calibri"/>
        <charset val="134"/>
      </rPr>
      <t>1/2" Dia Trap Primer Pipe</t>
    </r>
    <r>
      <rPr>
        <sz val="12"/>
        <color rgb="FFFF0000"/>
        <rFont val="Calibri"/>
        <charset val="134"/>
      </rPr>
      <t xml:space="preserve"> (TYPE K COPPER  - ASSUMED)</t>
    </r>
  </si>
  <si>
    <t>1/2" THICK FIBERGLASS PIPE INSULATION (ASSUMED)</t>
  </si>
  <si>
    <t>1" THICK FIBERGLASS PIPE INSULATION (ASSUMED)</t>
  </si>
  <si>
    <t>1-1/2" THICK FIBERGLASS PIPE INSULATION (ASSUMED)</t>
  </si>
  <si>
    <t>1/2" Dia Copper Pipe 90 Deg Elbow</t>
  </si>
  <si>
    <t>3/4" Dia Copper Pipe 90 Deg Elbow</t>
  </si>
  <si>
    <t>1" Dia Copper Pipe 90 Deg Elbow</t>
  </si>
  <si>
    <t>1-1/4" Dia Copper Pipe 90 Deg Elbow</t>
  </si>
  <si>
    <t>1-1/2" Dia Copper Pipe 90 Deg Elbow</t>
  </si>
  <si>
    <t>2-1/2" Dia Copper Pipe 90 Deg Elbow</t>
  </si>
  <si>
    <t>1/2" Dia Copper Pipe Tee</t>
  </si>
  <si>
    <t>3/4" / 1/2" Dia Copper Pipe Tee</t>
  </si>
  <si>
    <t>3/4" Dia Copper Pipe Tee</t>
  </si>
  <si>
    <t>1" / 1/2" Dia Copper Pipe Tee</t>
  </si>
  <si>
    <t>1" / 3/4" Dia Copper Pipe Tee</t>
  </si>
  <si>
    <t>1" Dia Copper Pipe Tee</t>
  </si>
  <si>
    <t>1-1/4" / 1" Dia Copper Pipe Tee</t>
  </si>
  <si>
    <t>1-1/4" / 3/4" Dia Copper Pipe Tee</t>
  </si>
  <si>
    <t>1-1/2" / 1/2" Dia Copper Pipe Tee</t>
  </si>
  <si>
    <t>1-1/2" / 3/4" Dia Copper Pipe Tee</t>
  </si>
  <si>
    <t>1-1/2" / 1" Dia Copper Pipe Tee</t>
  </si>
  <si>
    <t>1-1/2" / 1-1/4" Dia Copper Pipe Tee</t>
  </si>
  <si>
    <t>1-1/2" Dia Copper Pipe Tee</t>
  </si>
  <si>
    <t>2" / 3/4" Dia Copper Pipe Tee</t>
  </si>
  <si>
    <t>2" / 1-1/4" Dia Copper Pipe Tee</t>
  </si>
  <si>
    <t>2" / 1-1/2" Dia Copper Pipe Tee</t>
  </si>
  <si>
    <t>2" Dia Copper Pipe Tee</t>
  </si>
  <si>
    <t>2-1/2" / 1/2" Dia Copper Pipe Tee</t>
  </si>
  <si>
    <t>2-1/2" / 3/4" Dia Copper Pipe Tee</t>
  </si>
  <si>
    <t>2-1/2" / 1-1/2" Dia Copper Pipe Tee</t>
  </si>
  <si>
    <t>2-1/2" / 2" Dia Copper Pipe Tee</t>
  </si>
  <si>
    <t>2-1/2" Dia Copper Pipe Tee</t>
  </si>
  <si>
    <t>1/2" / 3/8" Dia Copper Pipe Reducer</t>
  </si>
  <si>
    <t>3/4" / 1/2" Dia Copper Pipe Reducer</t>
  </si>
  <si>
    <t>1" / 1/2" Dia Copper Pipe Reducer</t>
  </si>
  <si>
    <t>1" / 3/4" Dia Copper Pipe Reducer</t>
  </si>
  <si>
    <t>1-1/4" / 3/4" Dia Copper Pipe Reducer</t>
  </si>
  <si>
    <t>1-1/4" / 1" Dia Copper Pipe Reducer</t>
  </si>
  <si>
    <t>1-1/2" / 3/4" Dia Copper Pipe Reducer</t>
  </si>
  <si>
    <t>1-1/2" / 1" Dia Copper Pipe Reducer</t>
  </si>
  <si>
    <t>1-1/2" / 1-1/4" Dia Copper Pipe Reducer</t>
  </si>
  <si>
    <t>2" / 1-1/4" Dia Copper Pipe Reducer</t>
  </si>
  <si>
    <t>2" / 1-1/2" Dia Copper Pipe Reducer</t>
  </si>
  <si>
    <t>2-1/2" / 1-1/2" Dia Copper Pipe Reducer</t>
  </si>
  <si>
    <t>2-1/2" / 2" Dia Copper Pipe Reducer</t>
  </si>
  <si>
    <t>CONDENSATE DRAIN PIPES</t>
  </si>
  <si>
    <t>TYPE M COPPER PIPE ASTM B88, W/ FITTINGS B16.22 (ASSUMED)</t>
  </si>
  <si>
    <t>3/4" Dia Condensate Drain Pipe</t>
  </si>
  <si>
    <t>1" Dia Condensate Drain Pipe</t>
  </si>
  <si>
    <t>1-1/4" Dia Condensate Drain Pipe</t>
  </si>
  <si>
    <t>1/2" THICK FIBERGLASS PIPE INSULATION W/ WEATHER PROOF JACKET (ASSUMED)</t>
  </si>
  <si>
    <t>3/4" Dia Condensate Drain Pipe 90 Deg Elbow</t>
  </si>
  <si>
    <t>1" Dia Condensate Drain Pipe 90 Deg Elbow</t>
  </si>
  <si>
    <t>1-1/4" Dia Condensate Drain Pipe 90 Deg Elbow</t>
  </si>
  <si>
    <t>3/4" Dia Condensate Drain Pipe Tee</t>
  </si>
  <si>
    <t>1" / 3/4" Dia Condensate Drain Pipe Tee</t>
  </si>
  <si>
    <t>1-1/4" / 3/4" Dia Condensate Drain Pipe Tee</t>
  </si>
  <si>
    <t>1" / 3/4" Dia Condensate Drain Pipe Reducer</t>
  </si>
  <si>
    <t>1-1/4" / 1" Dia Condensate Drain Pipe Reducer</t>
  </si>
  <si>
    <t>3/4" Dia P-Trap Assembly W/ Union</t>
  </si>
  <si>
    <t>1" Dia P-Trap Assembly W/ Union</t>
  </si>
  <si>
    <t>2" Dia VTR</t>
  </si>
  <si>
    <t>3" Dia VTR</t>
  </si>
  <si>
    <t>4" Dia VTR</t>
  </si>
  <si>
    <t>2" Dia P-TRAP</t>
  </si>
  <si>
    <t>3" Dia P-TRAP</t>
  </si>
  <si>
    <t>1-1/2" Dia Union</t>
  </si>
  <si>
    <t>1/2" Dia Mixing Valve</t>
  </si>
  <si>
    <t>1/2" Dia Shut-Off Valve</t>
  </si>
  <si>
    <t>3/4" Dia Shut-Off Valve</t>
  </si>
  <si>
    <t>1" Dia Shut-Off Valve</t>
  </si>
  <si>
    <t>1-1/2" Dia Shut-Off Valve</t>
  </si>
  <si>
    <t>2" Dia Shut-Off Valve</t>
  </si>
  <si>
    <t>1/2" Dia Balancing Valve Assembly</t>
  </si>
  <si>
    <t>1-1/2" Dia Normally Closed Bypass Valve</t>
  </si>
  <si>
    <t>1/2" Dia Trap Primer, ASSE 1018 COMPLIANT, W/ 12"x12" Access Panel</t>
  </si>
  <si>
    <t>2" Dia WCO, WALL CLEANOUT</t>
  </si>
  <si>
    <t>3" Dia WCO, WALL CLEANOUT</t>
  </si>
  <si>
    <t>3" Dia FCO, FLOOR CLEANOUT</t>
  </si>
  <si>
    <t>4" Dia FCO, FLOOR CLEANOUT</t>
  </si>
  <si>
    <t>EQUIPMENTS</t>
  </si>
  <si>
    <t>WH-1, GAS-FIRED WATER HEATER, BRADFORD WHITE EF120T5003NA, 119.0 GAL, WEIGHT 2128 LB, PROVIDE ASSE 1017 COMPLIANT MIXING
VALVE; POWERS SERIES LFSH OR EQUAL</t>
  </si>
  <si>
    <t>WH-2, GAS-FIRED WATER HEATER, BRADFORD WHITE EF120T5003NA, 119.0 GAL, WEIGHT 2128 LB, PROVIDE ASSE 1017 COMPLIANT MIXING
VALVE; POWERS SERIES LFSH OR EQUAL</t>
  </si>
  <si>
    <t>CP-1, DOMESTIC CIRCULATING PUMP, INLINE,  TACO 009-SF5-IFC, 7.5 HEAD FT, 10 LB WEIGHT.</t>
  </si>
  <si>
    <t>CP-2, DOMESTIC CIRCULATING PUMP, INLINE,  TACO 009-SF5-IFC, 7.5 HEAD FT, 10 LB WEIGHT.</t>
  </si>
  <si>
    <t>DBP-1, DOMESTIC BOOSTER PUMP, GOULDS WATER
TECHNOLOGY
AQUABOOST VS
2B204A-VS
BOOSTER PUMP PACKAGE DUPLEX 100 GPM 30 PSI, 2 MOTOR, WEIGHT 335 LB.</t>
  </si>
  <si>
    <t>DET-1, DOMESTIC EXPANSION TANK,  AMTROL ST-12C DOM. WATER FIXED
DIAPHRAM
INLINE 6.4 gal 0.50 3.2 gal 100 psi 55 psi 12" 18" Yes 70 lb</t>
  </si>
  <si>
    <t>DET-2, DOMESTIC EXPANSION TANK,  AMTROL ST-12C DOM. WATER FIXED
DIAPHRAM
INLINE 6.4 gal 0.50 3.2 gal 100 psi 55 psi 12" 18" Yes 70 lb</t>
  </si>
  <si>
    <t>WATER HEATER DETAIL</t>
  </si>
  <si>
    <t>Aquastat</t>
  </si>
  <si>
    <t>1/2" Dia Union</t>
  </si>
  <si>
    <t>2"x20 Gauge Straps</t>
  </si>
  <si>
    <t>#12-14 Tek Per Strap</t>
  </si>
  <si>
    <t>3/4" Dia Drain Valve</t>
  </si>
  <si>
    <t>1/2" Dia Check Valve</t>
  </si>
  <si>
    <t>1-1/2" Dia Check Valve</t>
  </si>
  <si>
    <t>1/2" Dia Balancing Valve</t>
  </si>
  <si>
    <t>3/4" Dia T&amp;P Relief Valve</t>
  </si>
  <si>
    <t>Housekeeping Pad</t>
  </si>
  <si>
    <t>High Steel Ring 3" On Mounting Water Heater</t>
  </si>
  <si>
    <t>Rigid Insulation 6"X12", Use PL300 To Glue Insulation To Wall</t>
  </si>
  <si>
    <t>BOOSTER PUMP DETAIL</t>
  </si>
  <si>
    <t>Concrete Pad</t>
  </si>
  <si>
    <t>Pressure Gauge</t>
  </si>
  <si>
    <t>2-1/2" Dia Union</t>
  </si>
  <si>
    <t>2-1/2" Dia Strainer</t>
  </si>
  <si>
    <t>2-1/2" Dia Check Valve</t>
  </si>
  <si>
    <t>2-1/2" Dia Shut-Off Valve</t>
  </si>
  <si>
    <t>2-1/2" Dia Flexible Connector</t>
  </si>
  <si>
    <t>FIXTURES</t>
  </si>
  <si>
    <t>1/2" Dia HB-1,  HOSE BIBB ZURN Z1341XL-P34</t>
  </si>
  <si>
    <t>3/4" Dia HB-1,  HOSE BIBB ZURN Z1341XL-P34</t>
  </si>
  <si>
    <t>3/4" Dia RH-1,  ROOF HYDRANT ZURN Z1388XL-VB</t>
  </si>
  <si>
    <t>OB-3,  YANGA WATER OUTLET BOX SIOUX CHIEF 696-R2313MF ABS PLASTIC WHITE</t>
  </si>
  <si>
    <t>WS-1, WATER SOFTENER,  WATTS PWS1512E11, 23.0 GPM 15.0 psi 0.5 1 1/2" 1 1/2" 320 lb</t>
  </si>
  <si>
    <t>DF-2,  DRINKING FOUNTAIN ELKAY LZSTLDDLC GALVANIZED STEEL STAINLESS STEEL CABINET.</t>
  </si>
  <si>
    <t>LV-2B,  LAVATORY BASIN SOPHSTONE SLANT (ST) STONE COMPOSITE ASH SEE LV-2F SEE LV-2F</t>
  </si>
  <si>
    <t>LV-2F, LAVATORY FAUCET DYSON WD04 (247959-01) SEE LV-2B SEE LV-2B ELECTRONIC</t>
  </si>
  <si>
    <t>SH-1, SHOWER HEAD SYMMONS 432SH-1.5 SYMMONS S-3500-CYL-B-TRM MANUAL</t>
  </si>
  <si>
    <t>SH-2, SHOWER SYSTEM - ADA SYMMONS H35-36-1.5 SYMMONS S-3500-CYL-B-TRM MANUAL</t>
  </si>
  <si>
    <t>S-1,  SINGLE BOWL SINK ELKAY CDKAD251765 STAINLESS STEEL STAINLESS STEEL DELTA 9192T-DST MANUAL</t>
  </si>
  <si>
    <t>S-2B,  4-COMPARTMENT SINK ADVANCE TABCO FC43-1818-18RL STAINLESS STEEL STAINLESS STEEL SEE S-2F SEE S-2F</t>
  </si>
  <si>
    <t>EWC-1,  WATER COOLER - ADA ELKAY LZSTL8WSLK GALVANIZED STEEL STAINLESS STEEL
CABINET.</t>
  </si>
  <si>
    <t>HS-1, HAND SINK REGENCY 600HSI7AUTO STAINLESS STEEL STAINLESS STEEL REGENCY INCLUDED MANUAL.</t>
  </si>
  <si>
    <t>JS-1, JANITOR SINK ZURN Z1996-24 HIGH DENSITY
COMPOSITE
ZURN Z843M1-RC MANUAL</t>
  </si>
  <si>
    <t>LV-1, LAVATORY - WALL HUNG - ADA AMERICAN
STANDARD
355.012 WHITE VITREOUS
CHINA
WHITE SYMMONS SLS-7000 METERING</t>
  </si>
  <si>
    <t>OB-1, ICE MAKER OUTLET BOX OATEY 38628 HIGH IMPACT
POLYSTRENE
WHITE</t>
  </si>
  <si>
    <t>S-2F, 4-COMPARTMENT SINK
FAUCET
COMPONENT
HARDWARE
TLL13-8112-SE1Z STAINLESS STEEL STAINLESS STEEL SEE S-2B SEE S-2B MANUAL</t>
  </si>
  <si>
    <t>UR-1A, URINAL TOTO UT105UG WHITE VITREOUS
CHINA
WHITE TOTO TEU1UA12#CP SENSOR</t>
  </si>
  <si>
    <t>WB-1, WASHING MACHINE OUTLET
BOX
IPS 82158 ABS PLASTIC WHITE</t>
  </si>
  <si>
    <t>WC-1A,  WATER CLOSET - FLOOR -
FLUSH VALVE - ADA
TOTO CT705UN(G) WHITE VITREOUS
CHINA
WHITE TOTO TET1LA32#CP-w SENSOR</t>
  </si>
  <si>
    <t>WC-2,  WATER CLOSET - FLOOR -
TANK TYPE - ADA
ZURN Z5555-K WHITE VITREOUS
CHINA
WHITE TANK TYPE</t>
  </si>
  <si>
    <t>WC-3, WATER CLOSET - FLOOR -
TANK TYPE -10" RIM HEIGHT
AMERICAN
STANDARD
2315.228 WHITE VITREOUS
CHINA
WHITE TANK TYPE</t>
  </si>
  <si>
    <t>2" Dia FD-1P,  FLOOR DRAIN WATTS FD-100-A EPOXY COATED
CAST IRON
NICKEL BRONZE Yes EPOXY COATED CAST IRON FLOOR DRAIN WITH ANCHOR FLANGE, REVERSIBLE CLAMPING COLLAR WITH
PRIMARY &amp; SECONDARY WEEPHOLES, 8"Ø ADJUSTABLE ROUND HEEL PROOF NICKEL BRONZE STRAINER, AND
NO HUB OUTLET</t>
  </si>
  <si>
    <t>2" Dia FS-2,  FLOOR SINK WATTS FS-740 EPOXY COATED
CAST IRON
ALUMINUM 12" SQUARE X 8" DEEP SANITARY FLOOR SINK WITH WHITE PORCELAIN ENAMEL COATED INTERIOR, LOOSE SET
PORCELAIN ENAMEL COATED CAST IRON GRATE, ALUMINUM DOME BOTTOM STRAINER, AND NO HUB OUTLET</t>
  </si>
  <si>
    <t>3" Dia FS-1, FLOOR SINK ZURN FS-750 EPOXY COATED
CAST IRON
ALUMINUM 16" SQUARE X 12" DEEP SANITARY FLOOR SINK WITH WHITE ACID RESISTANT PORCELAIN ENAMEL COATED
INTERIOR, LOOSE SET PORCELAIN ENAMEL COATED CAST IRON GRATE, ALUMINUM DOME BOTTOM STRAINER,
AND NO HUB OUTLET.</t>
  </si>
  <si>
    <t>3" Dia TD-1, TRENCH DRAIN Specially Industries
Slot Drain Systems
6000 SERIES POLYPROPYLENE 0.5% Pre-Sloped T316 SS 1/2" Slot Drain with 12 x 12 Catch Basins, Cleaning Paddle, Self-Flushing Water Connections, Run
Type 12 or 102B, End Type-Open, End Cap, Flush Nipple</t>
  </si>
  <si>
    <t>3" Dia TD-2,  TRENCH DRAIN ZURN ZA880-300B-AZ ALUMINUM ALUMINUM 1.5 MODULAR, WIDE-REVEAL TRENCH DRAIN SYSTEM. VIERFY MODULE LENGTH WITH ARCHITECTURAL PRIOR TO
ORDERING.</t>
  </si>
  <si>
    <r>
      <rPr>
        <sz val="12"/>
        <color theme="1"/>
        <rFont val="Calibri"/>
        <charset val="134"/>
      </rPr>
      <t xml:space="preserve">GI-1, GREASE INTERSEPTOR, JR Smith 8035-B-H20-ARIO, HYDROMECHANICAL 35.0 GPM 216 lb, GREASE INTERCEPTOR SIZING:
</t>
    </r>
    <r>
      <rPr>
        <sz val="12"/>
        <color rgb="FFFF0000"/>
        <rFont val="Calibri"/>
        <charset val="134"/>
      </rPr>
      <t>FOUR COMPARTMENT SINK= [4 BOWLS]x18"x18"x14" / [231] = 78.55 GAL.
78.55 GAL. x [0.75 FILL FACTOR] / [2 MINUTE DRAIN PERIOD] = 29.5 GPM
**GREASE INTERCEPTOR INSTALLED BY SHELL CONTRACTOR, DATA SHOWN FOR INFORMATION ONLY**</t>
    </r>
  </si>
  <si>
    <t>MISC</t>
  </si>
  <si>
    <t>1/2" Dia PVC Sleeve</t>
  </si>
  <si>
    <t>3/4" Dia Polyvinyl Chloride Boot W/ Stainless Steel Adjustable Clamps</t>
  </si>
  <si>
    <t>TRENCHING &amp; BACKFILLING</t>
  </si>
  <si>
    <t>CY</t>
  </si>
  <si>
    <t>TOTAL LABOR HOURS</t>
  </si>
  <si>
    <t>TOTAL LABOR COST</t>
  </si>
  <si>
    <t>TOTAL AMOUNT</t>
  </si>
  <si>
    <t>CONTIGENCIES (5%)</t>
  </si>
  <si>
    <t>OVERHEAD AND PROFIT (10%)</t>
  </si>
  <si>
    <t>TAX (8.5%)</t>
  </si>
  <si>
    <t>PEX A PIPE W/ ASTM F1960 FITTINGS</t>
  </si>
  <si>
    <t>1/2" Dia PEX Pipe 90 Deg Elbow</t>
  </si>
  <si>
    <t>3/4" Dia PEX Pipe 90 Deg Elbow</t>
  </si>
  <si>
    <t>1" Dia PEX Pipe 90 Deg Elbow</t>
  </si>
  <si>
    <t>1-1/4" Dia PEX Pipe 90 Deg Elbow</t>
  </si>
  <si>
    <t>1-1/2" Dia PEX Pipe 90 Deg Elbow</t>
  </si>
  <si>
    <t>2-1/2" Dia PEX Pipe 90 Deg Elbow</t>
  </si>
  <si>
    <t>1/2" Dia PEX Pipe Tee</t>
  </si>
  <si>
    <t>3/4" / 1/2" Dia PEX Pipe Tee</t>
  </si>
  <si>
    <t>3/4" Dia PEX Pipe Tee</t>
  </si>
  <si>
    <t>1" / 1/2" Dia PEX Pipe Tee</t>
  </si>
  <si>
    <t>1" / 3/4" Dia PEX Pipe Tee</t>
  </si>
  <si>
    <t>1" Dia PEX Pipe Tee</t>
  </si>
  <si>
    <t>1-1/4" / 1" Dia PEX Pipe Tee</t>
  </si>
  <si>
    <t>1-1/4" / 3/4" Dia PEX Pipe Tee</t>
  </si>
  <si>
    <t>1-1/2" / 1/2" Dia PEX Pipe Tee</t>
  </si>
  <si>
    <t>1-1/2" / 3/4" Dia PEX Pipe Tee</t>
  </si>
  <si>
    <t>1-1/2" / 1" Dia PEX Pipe Tee</t>
  </si>
  <si>
    <t>1-1/2" / 1-1/4" Dia PEX Pipe Tee</t>
  </si>
  <si>
    <t>1-1/2" Dia PEX Pipe Tee</t>
  </si>
  <si>
    <t>2" / 3/4" Dia PEX Pipe Tee</t>
  </si>
  <si>
    <t>2" / 1-1/4" Dia PEX Pipe Tee</t>
  </si>
  <si>
    <t>2" / 1-1/2" Dia PEX Pipe Tee</t>
  </si>
  <si>
    <t>2" Dia PEX Pipe Tee</t>
  </si>
  <si>
    <t>2-1/2" / 1/2" Dia PEX Pipe Tee</t>
  </si>
  <si>
    <t>2-1/2" / 3/4" Dia PEX Pipe Tee</t>
  </si>
  <si>
    <t>2-1/2" / 1-1/2" Dia PEX Pipe Tee</t>
  </si>
  <si>
    <t>2-1/2" / 2" Dia PEX Pipe Tee</t>
  </si>
  <si>
    <t>2-1/2" Dia PEX Pipe Tee</t>
  </si>
  <si>
    <t>1/2" / 3/8" Dia PEX Pipe Reducer</t>
  </si>
  <si>
    <t>3/4" / 1/2" Dia PEX Pipe Reducer</t>
  </si>
  <si>
    <t>1" / 1/2" Dia PEX Pipe Reducer</t>
  </si>
  <si>
    <t>1" / 3/4" Dia PEX Pipe Reducer</t>
  </si>
  <si>
    <t>1-1/4" / 3/4" Dia PEX Pipe Reducer</t>
  </si>
  <si>
    <t>1-1/4" / 1" Dia PEX Pipe Reducer</t>
  </si>
  <si>
    <t>1-1/2" / 3/4" Dia PEX Pipe Reducer</t>
  </si>
  <si>
    <t>1-1/2" / 1" Dia PEX Pipe Reducer</t>
  </si>
  <si>
    <t>1-1/2" / 1-1/4" Dia PEX Pipe Reducer</t>
  </si>
  <si>
    <t>2" / 1-1/4" Dia PEX Pipe Reducer</t>
  </si>
  <si>
    <t>2" / 1-1/2" Dia PEX Pipe Reducer</t>
  </si>
  <si>
    <t>2-1/2" / 1-1/2" Dia PEX Pipe Reducer</t>
  </si>
  <si>
    <t>2-1/2" / 2" Dia PEX Pipe Reducer</t>
  </si>
  <si>
    <t>Labor Type</t>
  </si>
  <si>
    <t>Labor Rate</t>
  </si>
  <si>
    <t>Plum</t>
  </si>
  <si>
    <t>Wastage</t>
  </si>
  <si>
    <t>Each/Count</t>
  </si>
  <si>
    <t>Linear Footage</t>
  </si>
  <si>
    <t>Square Footage</t>
  </si>
  <si>
    <t>SF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</si>
  <si>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</si>
  <si>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</si>
  <si>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</si>
  <si>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</si>
  <si>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</si>
  <si>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</si>
  <si>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</si>
  <si>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</si>
  <si>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</si>
  <si>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</si>
  <si>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</si>
  <si>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</si>
  <si>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</si>
  <si>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</si>
  <si>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</si>
  <si>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LBS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</si>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</sst>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000000"/>
    <numFmt numFmtId="180" formatCode="_(&quot;$&quot;* #,##0.0_);_(&quot;$&quot;* \(#,##0.0\);_(&quot;$&quot;* &quot;-&quot;??_);_(@_)"/>
    <numFmt numFmtId="181" formatCode="0.000"/>
    <numFmt numFmtId="182" formatCode="0.0"/>
    <numFmt numFmtId="183" formatCode="0.0%"/>
    <numFmt numFmtId="184" formatCode="_-[$$-409]* #,##0_ ;_-[$$-409]* \-#,##0\ ;_-[$$-409]* &quot;-&quot;??_ ;_-@_ "/>
    <numFmt numFmtId="185" formatCode="_-[$$-409]* #,##0.00_ ;_-[$$-409]* \-#,##0.00\ ;_-[$$-409]* &quot;-&quot;??_ ;_-@_ "/>
    <numFmt numFmtId="186" formatCode="_-* #,##0.00_-;\-* #,##0.00_-;_-* &quot;-&quot;??_-;_-@_-"/>
  </numFmts>
  <fonts count="60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4"/>
      <color theme="1"/>
      <name val="Calibri"/>
      <charset val="134"/>
    </font>
    <font>
      <sz val="14"/>
      <color indexed="8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6"/>
      <color theme="0"/>
      <name val="Calibri"/>
      <charset val="134"/>
    </font>
    <font>
      <b/>
      <sz val="24"/>
      <color rgb="FF000000"/>
      <name val="Calibri"/>
      <charset val="134"/>
    </font>
    <font>
      <b/>
      <sz val="14"/>
      <color rgb="FFFFFFFF"/>
      <name val="Calibri"/>
      <charset val="134"/>
    </font>
    <font>
      <b/>
      <sz val="18"/>
      <color rgb="FFFFFFFF"/>
      <name val="Calibri"/>
      <charset val="134"/>
    </font>
    <font>
      <sz val="14"/>
      <color indexed="9"/>
      <name val="Calibri"/>
      <charset val="134"/>
    </font>
    <font>
      <sz val="14"/>
      <color rgb="FFFFFFFF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color indexed="8"/>
      <name val="Calibri"/>
      <charset val="134"/>
    </font>
    <font>
      <b/>
      <sz val="14"/>
      <color theme="0"/>
      <name val="Calibri"/>
      <charset val="134"/>
    </font>
    <font>
      <u/>
      <sz val="12"/>
      <color indexed="10"/>
      <name val="Calibri"/>
      <charset val="134"/>
    </font>
    <font>
      <b/>
      <i/>
      <u/>
      <sz val="12"/>
      <color rgb="FFFF0000"/>
      <name val="Calibri"/>
      <charset val="134"/>
    </font>
    <font>
      <sz val="12"/>
      <color rgb="FF0C0C0C"/>
      <name val="Calibri"/>
      <charset val="134"/>
    </font>
    <font>
      <b/>
      <sz val="12"/>
      <color indexed="8"/>
      <name val="Calibri"/>
      <charset val="134"/>
    </font>
    <font>
      <sz val="16"/>
      <name val="Calibri"/>
      <charset val="134"/>
    </font>
    <font>
      <b/>
      <sz val="16"/>
      <name val="Calibri"/>
      <charset val="134"/>
    </font>
    <font>
      <b/>
      <sz val="16"/>
      <color rgb="FF000000"/>
      <name val="Calibri"/>
      <charset val="134"/>
    </font>
    <font>
      <sz val="16"/>
      <color rgb="FF000000"/>
      <name val="Calibri"/>
      <charset val="134"/>
    </font>
    <font>
      <b/>
      <sz val="16"/>
      <color rgb="FF0C0C0C"/>
      <name val="Calibri"/>
      <charset val="134"/>
    </font>
    <font>
      <sz val="16"/>
      <color theme="1"/>
      <name val="Calibri"/>
      <charset val="134"/>
    </font>
    <font>
      <b/>
      <sz val="12"/>
      <color rgb="FF000000"/>
      <name val="Calibri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6"/>
      <color theme="0"/>
      <name val="Times New Roman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b/>
      <sz val="12"/>
      <color theme="1"/>
      <name val="Tw Cen MT"/>
      <charset val="134"/>
      <scheme val="minor"/>
    </font>
    <font>
      <sz val="12"/>
      <color rgb="FFFF000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66092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002060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7" borderId="44" applyNumberFormat="0" applyFont="0" applyAlignment="0" applyProtection="0"/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5" fillId="0" borderId="4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8" borderId="47" applyNumberFormat="0" applyAlignment="0" applyProtection="0">
      <alignment vertical="center"/>
    </xf>
    <xf numFmtId="0" fontId="47" fillId="19" borderId="48" applyNumberFormat="0" applyAlignment="0" applyProtection="0">
      <alignment vertical="center"/>
    </xf>
    <xf numFmtId="0" fontId="48" fillId="19" borderId="47" applyNumberFormat="0" applyAlignment="0" applyProtection="0">
      <alignment vertical="center"/>
    </xf>
    <xf numFmtId="0" fontId="49" fillId="20" borderId="49" applyNumberFormat="0" applyAlignment="0" applyProtection="0">
      <alignment vertical="center"/>
    </xf>
    <xf numFmtId="0" fontId="50" fillId="0" borderId="50" applyNumberFormat="0" applyFill="0" applyAlignment="0" applyProtection="0">
      <alignment vertical="center"/>
    </xf>
    <xf numFmtId="0" fontId="51" fillId="0" borderId="51" applyNumberFormat="0" applyFill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57" fillId="0" borderId="0"/>
    <xf numFmtId="0" fontId="6" fillId="0" borderId="0">
      <protection locked="0"/>
    </xf>
    <xf numFmtId="9" fontId="57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58" fillId="2" borderId="15">
      <alignment horizontal="center" vertical="center"/>
    </xf>
  </cellStyleXfs>
  <cellXfs count="235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2" borderId="0" xfId="52" applyFont="1" applyFill="1"/>
    <xf numFmtId="0" fontId="5" fillId="3" borderId="1" xfId="52" applyFont="1" applyFill="1" applyBorder="1" applyAlignment="1">
      <alignment horizontal="center"/>
    </xf>
    <xf numFmtId="0" fontId="5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5" fillId="4" borderId="4" xfId="52" applyFont="1" applyFill="1" applyBorder="1"/>
    <xf numFmtId="44" fontId="5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5" fillId="4" borderId="0" xfId="52" applyFont="1" applyFill="1" applyAlignment="1">
      <alignment horizontal="center"/>
    </xf>
    <xf numFmtId="44" fontId="5" fillId="4" borderId="7" xfId="51" applyFont="1" applyFill="1" applyBorder="1"/>
    <xf numFmtId="0" fontId="3" fillId="4" borderId="8" xfId="52" applyFont="1" applyFill="1" applyBorder="1" applyAlignment="1">
      <alignment horizontal="right"/>
    </xf>
    <xf numFmtId="0" fontId="5" fillId="4" borderId="9" xfId="52" applyFont="1" applyFill="1" applyBorder="1"/>
    <xf numFmtId="178" fontId="5" fillId="4" borderId="10" xfId="51" applyNumberFormat="1" applyFont="1" applyFill="1" applyBorder="1"/>
    <xf numFmtId="0" fontId="5" fillId="3" borderId="3" xfId="52" applyFont="1" applyFill="1" applyBorder="1" applyAlignment="1">
      <alignment horizontal="center"/>
    </xf>
    <xf numFmtId="0" fontId="5" fillId="3" borderId="5" xfId="52" applyFont="1" applyFill="1" applyBorder="1" applyAlignment="1">
      <alignment horizontal="center"/>
    </xf>
    <xf numFmtId="0" fontId="5" fillId="5" borderId="3" xfId="52" applyFont="1" applyFill="1" applyBorder="1" applyAlignment="1">
      <alignment horizontal="left"/>
    </xf>
    <xf numFmtId="0" fontId="5" fillId="5" borderId="4" xfId="52" applyFont="1" applyFill="1" applyBorder="1"/>
    <xf numFmtId="9" fontId="5" fillId="5" borderId="5" xfId="56" applyFont="1" applyFill="1" applyBorder="1"/>
    <xf numFmtId="0" fontId="5" fillId="5" borderId="6" xfId="52" applyFont="1" applyFill="1" applyBorder="1"/>
    <xf numFmtId="0" fontId="5" fillId="5" borderId="0" xfId="52" applyFont="1" applyFill="1"/>
    <xf numFmtId="9" fontId="5" fillId="5" borderId="7" xfId="56" applyFont="1" applyFill="1" applyBorder="1"/>
    <xf numFmtId="0" fontId="5" fillId="5" borderId="8" xfId="52" applyFont="1" applyFill="1" applyBorder="1"/>
    <xf numFmtId="0" fontId="5" fillId="5" borderId="9" xfId="52" applyFont="1" applyFill="1" applyBorder="1"/>
    <xf numFmtId="9" fontId="5" fillId="5" borderId="10" xfId="56" applyFont="1" applyFill="1" applyBorder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9" fontId="14" fillId="7" borderId="12" xfId="0" applyNumberFormat="1" applyFont="1" applyFill="1" applyBorder="1" applyAlignment="1">
      <alignment horizontal="center" vertical="center" wrapText="1"/>
    </xf>
    <xf numFmtId="179" fontId="14" fillId="7" borderId="13" xfId="0" applyNumberFormat="1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179" fontId="16" fillId="6" borderId="14" xfId="0" applyNumberFormat="1" applyFont="1" applyFill="1" applyBorder="1" applyAlignment="1">
      <alignment horizontal="center" vertical="center" wrapText="1"/>
    </xf>
    <xf numFmtId="179" fontId="16" fillId="6" borderId="15" xfId="0" applyNumberFormat="1" applyFont="1" applyFill="1" applyBorder="1" applyAlignment="1">
      <alignment horizontal="center" vertical="center" wrapText="1"/>
    </xf>
    <xf numFmtId="179" fontId="17" fillId="7" borderId="15" xfId="0" applyNumberFormat="1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left" vertical="center" wrapText="1"/>
    </xf>
    <xf numFmtId="1" fontId="18" fillId="2" borderId="12" xfId="8" applyNumberFormat="1" applyFont="1" applyFill="1" applyBorder="1" applyAlignment="1">
      <alignment horizontal="center" vertical="center"/>
    </xf>
    <xf numFmtId="1" fontId="18" fillId="0" borderId="15" xfId="8" applyNumberFormat="1" applyFont="1" applyFill="1" applyBorder="1" applyAlignment="1">
      <alignment vertical="center"/>
    </xf>
    <xf numFmtId="1" fontId="18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8" fillId="2" borderId="14" xfId="8" applyNumberFormat="1" applyFont="1" applyFill="1" applyBorder="1" applyAlignment="1">
      <alignment horizontal="center" vertical="center"/>
    </xf>
    <xf numFmtId="1" fontId="18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" fontId="18" fillId="2" borderId="18" xfId="8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1" fontId="18" fillId="2" borderId="15" xfId="8" applyNumberFormat="1" applyFont="1" applyFill="1" applyBorder="1" applyAlignment="1">
      <alignment horizontal="center" vertical="center"/>
    </xf>
    <xf numFmtId="9" fontId="7" fillId="0" borderId="19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0" fontId="20" fillId="0" borderId="21" xfId="0" applyFont="1" applyBorder="1" applyAlignment="1">
      <alignment horizontal="right" vertical="center" wrapText="1"/>
    </xf>
    <xf numFmtId="0" fontId="19" fillId="0" borderId="22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1" fontId="18" fillId="2" borderId="24" xfId="8" applyNumberFormat="1" applyFont="1" applyFill="1" applyBorder="1" applyAlignment="1">
      <alignment horizontal="center" vertical="center"/>
    </xf>
    <xf numFmtId="1" fontId="18" fillId="2" borderId="25" xfId="8" applyNumberFormat="1" applyFont="1" applyFill="1" applyBorder="1" applyAlignment="1">
      <alignment horizontal="center" vertical="center"/>
    </xf>
    <xf numFmtId="1" fontId="18" fillId="6" borderId="12" xfId="8" applyNumberFormat="1" applyFont="1" applyFill="1" applyBorder="1" applyAlignment="1">
      <alignment horizontal="center" vertical="center"/>
    </xf>
    <xf numFmtId="179" fontId="16" fillId="6" borderId="13" xfId="0" applyNumberFormat="1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left"/>
    </xf>
    <xf numFmtId="0" fontId="22" fillId="0" borderId="15" xfId="0" applyFont="1" applyBorder="1" applyAlignment="1">
      <alignment vertical="center" wrapText="1"/>
    </xf>
    <xf numFmtId="1" fontId="7" fillId="0" borderId="15" xfId="0" applyNumberFormat="1" applyFont="1" applyBorder="1" applyAlignment="1">
      <alignment horizontal="center" vertical="center"/>
    </xf>
    <xf numFmtId="0" fontId="21" fillId="6" borderId="15" xfId="0" applyFont="1" applyFill="1" applyBorder="1" applyAlignment="1">
      <alignment horizontal="center"/>
    </xf>
    <xf numFmtId="0" fontId="10" fillId="0" borderId="26" xfId="0" applyFont="1" applyBorder="1" applyAlignment="1">
      <alignment horizontal="center" vertical="center" wrapText="1"/>
    </xf>
    <xf numFmtId="1" fontId="7" fillId="0" borderId="17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/>
    </xf>
    <xf numFmtId="9" fontId="24" fillId="0" borderId="15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0" fontId="19" fillId="8" borderId="15" xfId="0" applyFont="1" applyFill="1" applyBorder="1" applyAlignment="1">
      <alignment horizontal="left" vertical="center"/>
    </xf>
    <xf numFmtId="180" fontId="7" fillId="0" borderId="15" xfId="0" applyNumberFormat="1" applyFont="1" applyBorder="1" applyAlignment="1">
      <alignment horizontal="left" vertical="center"/>
    </xf>
    <xf numFmtId="181" fontId="11" fillId="0" borderId="15" xfId="0" applyNumberFormat="1" applyFont="1" applyBorder="1" applyAlignment="1">
      <alignment horizontal="center" vertical="center"/>
    </xf>
    <xf numFmtId="182" fontId="11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80" fontId="7" fillId="0" borderId="19" xfId="0" applyNumberFormat="1" applyFont="1" applyBorder="1" applyAlignment="1">
      <alignment horizontal="left" vertical="center"/>
    </xf>
    <xf numFmtId="181" fontId="11" fillId="0" borderId="19" xfId="0" applyNumberFormat="1" applyFont="1" applyBorder="1" applyAlignment="1">
      <alignment horizontal="center" vertical="center"/>
    </xf>
    <xf numFmtId="182" fontId="11" fillId="0" borderId="19" xfId="0" applyNumberFormat="1" applyFont="1" applyBorder="1" applyAlignment="1">
      <alignment horizontal="center" vertical="center"/>
    </xf>
    <xf numFmtId="44" fontId="7" fillId="0" borderId="19" xfId="2" applyFont="1" applyBorder="1" applyAlignment="1" applyProtection="1">
      <alignment horizontal="center" vertical="center"/>
    </xf>
    <xf numFmtId="44" fontId="19" fillId="0" borderId="23" xfId="2" applyFont="1" applyFill="1" applyBorder="1" applyAlignment="1">
      <alignment horizontal="right" vertical="center"/>
    </xf>
    <xf numFmtId="181" fontId="10" fillId="0" borderId="15" xfId="0" applyNumberFormat="1" applyFont="1" applyBorder="1" applyAlignment="1">
      <alignment horizontal="center" vertical="center"/>
    </xf>
    <xf numFmtId="182" fontId="10" fillId="0" borderId="15" xfId="0" applyNumberFormat="1" applyFont="1" applyBorder="1" applyAlignment="1">
      <alignment horizontal="center" vertical="center"/>
    </xf>
    <xf numFmtId="44" fontId="10" fillId="0" borderId="15" xfId="0" applyNumberFormat="1" applyFont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179" fontId="14" fillId="7" borderId="20" xfId="0" applyNumberFormat="1" applyFont="1" applyFill="1" applyBorder="1" applyAlignment="1">
      <alignment horizontal="center" vertical="center" wrapText="1"/>
    </xf>
    <xf numFmtId="179" fontId="14" fillId="7" borderId="27" xfId="0" applyNumberFormat="1" applyFont="1" applyFill="1" applyBorder="1" applyAlignment="1">
      <alignment horizontal="center" vertical="center" wrapText="1"/>
    </xf>
    <xf numFmtId="179" fontId="16" fillId="6" borderId="28" xfId="0" applyNumberFormat="1" applyFont="1" applyFill="1" applyBorder="1" applyAlignment="1">
      <alignment horizontal="center" vertical="center" wrapText="1"/>
    </xf>
    <xf numFmtId="179" fontId="16" fillId="6" borderId="27" xfId="0" applyNumberFormat="1" applyFont="1" applyFill="1" applyBorder="1" applyAlignment="1">
      <alignment horizontal="center" vertical="center" wrapText="1"/>
    </xf>
    <xf numFmtId="44" fontId="7" fillId="0" borderId="19" xfId="0" applyNumberFormat="1" applyFont="1" applyBorder="1" applyAlignment="1">
      <alignment horizontal="center" vertical="center" wrapText="1"/>
    </xf>
    <xf numFmtId="44" fontId="7" fillId="0" borderId="27" xfId="0" applyNumberFormat="1" applyFont="1" applyBorder="1" applyAlignment="1">
      <alignment horizontal="center" vertical="center" wrapText="1"/>
    </xf>
    <xf numFmtId="44" fontId="7" fillId="0" borderId="26" xfId="0" applyNumberFormat="1" applyFont="1" applyBorder="1" applyAlignment="1">
      <alignment horizontal="center" vertical="center" wrapText="1"/>
    </xf>
    <xf numFmtId="44" fontId="7" fillId="0" borderId="13" xfId="0" applyNumberFormat="1" applyFont="1" applyBorder="1" applyAlignment="1">
      <alignment horizontal="center" vertical="center" wrapText="1"/>
    </xf>
    <xf numFmtId="44" fontId="7" fillId="0" borderId="29" xfId="0" applyNumberFormat="1" applyFont="1" applyBorder="1" applyAlignment="1">
      <alignment horizontal="center" vertical="center" wrapText="1"/>
    </xf>
    <xf numFmtId="44" fontId="19" fillId="0" borderId="30" xfId="2" applyFont="1" applyFill="1" applyBorder="1" applyAlignment="1">
      <alignment horizontal="right" vertical="center"/>
    </xf>
    <xf numFmtId="178" fontId="25" fillId="9" borderId="21" xfId="0" applyNumberFormat="1" applyFont="1" applyFill="1" applyBorder="1" applyAlignment="1">
      <alignment horizontal="center" vertical="center"/>
    </xf>
    <xf numFmtId="1" fontId="18" fillId="2" borderId="31" xfId="8" applyNumberFormat="1" applyFont="1" applyFill="1" applyBorder="1" applyAlignment="1">
      <alignment horizontal="center" vertical="center"/>
    </xf>
    <xf numFmtId="179" fontId="16" fillId="6" borderId="20" xfId="0" applyNumberFormat="1" applyFont="1" applyFill="1" applyBorder="1" applyAlignment="1">
      <alignment horizontal="center" vertical="center" wrapText="1"/>
    </xf>
    <xf numFmtId="179" fontId="16" fillId="6" borderId="3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180" fontId="7" fillId="0" borderId="28" xfId="0" applyNumberFormat="1" applyFont="1" applyBorder="1" applyAlignment="1">
      <alignment horizontal="center" vertical="center"/>
    </xf>
    <xf numFmtId="180" fontId="7" fillId="0" borderId="27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44" fontId="7" fillId="0" borderId="20" xfId="0" applyNumberFormat="1" applyFont="1" applyBorder="1" applyAlignment="1">
      <alignment horizontal="center" vertical="center" wrapText="1"/>
    </xf>
    <xf numFmtId="9" fontId="24" fillId="0" borderId="19" xfId="0" applyNumberFormat="1" applyFont="1" applyBorder="1" applyAlignment="1">
      <alignment horizontal="center" vertical="center"/>
    </xf>
    <xf numFmtId="1" fontId="24" fillId="0" borderId="19" xfId="0" applyNumberFormat="1" applyFont="1" applyBorder="1" applyAlignment="1">
      <alignment horizontal="center" vertical="center"/>
    </xf>
    <xf numFmtId="180" fontId="7" fillId="0" borderId="33" xfId="0" applyNumberFormat="1" applyFont="1" applyBorder="1" applyAlignment="1">
      <alignment horizontal="center" vertical="center"/>
    </xf>
    <xf numFmtId="180" fontId="7" fillId="0" borderId="29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9" fontId="24" fillId="10" borderId="15" xfId="0" applyNumberFormat="1" applyFont="1" applyFill="1" applyBorder="1" applyAlignment="1">
      <alignment horizontal="center" vertical="center"/>
    </xf>
    <xf numFmtId="1" fontId="24" fillId="10" borderId="15" xfId="0" applyNumberFormat="1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" fontId="10" fillId="0" borderId="23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180" fontId="27" fillId="12" borderId="1" xfId="0" applyNumberFormat="1" applyFont="1" applyFill="1" applyBorder="1" applyAlignment="1">
      <alignment horizontal="center" vertical="center"/>
    </xf>
    <xf numFmtId="0" fontId="28" fillId="13" borderId="14" xfId="0" applyFont="1" applyFill="1" applyBorder="1" applyAlignment="1">
      <alignment horizontal="left" vertical="center"/>
    </xf>
    <xf numFmtId="0" fontId="29" fillId="13" borderId="15" xfId="0" applyFont="1" applyFill="1" applyBorder="1" applyAlignment="1">
      <alignment horizontal="center" vertical="center"/>
    </xf>
    <xf numFmtId="0" fontId="28" fillId="13" borderId="15" xfId="0" applyFont="1" applyFill="1" applyBorder="1" applyAlignment="1">
      <alignment horizontal="center" vertical="center"/>
    </xf>
    <xf numFmtId="0" fontId="28" fillId="13" borderId="15" xfId="0" applyFont="1" applyFill="1" applyBorder="1" applyAlignment="1">
      <alignment horizontal="left" vertical="center" wrapText="1"/>
    </xf>
    <xf numFmtId="0" fontId="30" fillId="13" borderId="13" xfId="0" applyFont="1" applyFill="1" applyBorder="1" applyAlignment="1">
      <alignment horizontal="center" vertical="center"/>
    </xf>
    <xf numFmtId="1" fontId="30" fillId="13" borderId="13" xfId="0" applyNumberFormat="1" applyFont="1" applyFill="1" applyBorder="1" applyAlignment="1">
      <alignment horizontal="center" vertical="center"/>
    </xf>
    <xf numFmtId="0" fontId="28" fillId="13" borderId="15" xfId="0" applyFont="1" applyFill="1" applyBorder="1" applyAlignment="1">
      <alignment horizontal="center"/>
    </xf>
    <xf numFmtId="0" fontId="28" fillId="13" borderId="15" xfId="0" applyFont="1" applyFill="1" applyBorder="1" applyAlignment="1">
      <alignment horizontal="left"/>
    </xf>
    <xf numFmtId="1" fontId="28" fillId="13" borderId="15" xfId="0" applyNumberFormat="1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left" vertical="center"/>
    </xf>
    <xf numFmtId="0" fontId="29" fillId="14" borderId="15" xfId="0" applyFont="1" applyFill="1" applyBorder="1" applyAlignment="1">
      <alignment horizontal="center" vertical="center"/>
    </xf>
    <xf numFmtId="0" fontId="28" fillId="14" borderId="15" xfId="0" applyFont="1" applyFill="1" applyBorder="1" applyAlignment="1">
      <alignment horizontal="center"/>
    </xf>
    <xf numFmtId="0" fontId="28" fillId="14" borderId="15" xfId="0" applyFont="1" applyFill="1" applyBorder="1" applyAlignment="1">
      <alignment horizontal="left"/>
    </xf>
    <xf numFmtId="1" fontId="28" fillId="14" borderId="15" xfId="0" applyNumberFormat="1" applyFont="1" applyFill="1" applyBorder="1" applyAlignment="1">
      <alignment horizontal="center" vertical="center"/>
    </xf>
    <xf numFmtId="0" fontId="28" fillId="14" borderId="15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left" vertical="center"/>
    </xf>
    <xf numFmtId="0" fontId="29" fillId="15" borderId="15" xfId="0" applyFont="1" applyFill="1" applyBorder="1" applyAlignment="1">
      <alignment horizontal="center" vertical="center"/>
    </xf>
    <xf numFmtId="0" fontId="28" fillId="15" borderId="15" xfId="0" applyFont="1" applyFill="1" applyBorder="1" applyAlignment="1">
      <alignment horizontal="center"/>
    </xf>
    <xf numFmtId="0" fontId="28" fillId="15" borderId="15" xfId="0" applyFont="1" applyFill="1" applyBorder="1" applyAlignment="1">
      <alignment horizontal="left"/>
    </xf>
    <xf numFmtId="1" fontId="28" fillId="15" borderId="15" xfId="0" applyNumberFormat="1" applyFont="1" applyFill="1" applyBorder="1" applyAlignment="1">
      <alignment horizontal="center" vertical="center"/>
    </xf>
    <xf numFmtId="0" fontId="28" fillId="15" borderId="15" xfId="0" applyFont="1" applyFill="1" applyBorder="1" applyAlignment="1">
      <alignment horizontal="center" vertical="center"/>
    </xf>
    <xf numFmtId="0" fontId="28" fillId="15" borderId="34" xfId="0" applyFont="1" applyFill="1" applyBorder="1" applyAlignment="1">
      <alignment horizontal="left" vertical="center"/>
    </xf>
    <xf numFmtId="0" fontId="29" fillId="15" borderId="35" xfId="0" applyFont="1" applyFill="1" applyBorder="1" applyAlignment="1">
      <alignment horizontal="center" vertical="center"/>
    </xf>
    <xf numFmtId="179" fontId="28" fillId="15" borderId="35" xfId="0" applyNumberFormat="1" applyFont="1" applyFill="1" applyBorder="1" applyAlignment="1">
      <alignment horizontal="center" vertical="center"/>
    </xf>
    <xf numFmtId="0" fontId="28" fillId="15" borderId="35" xfId="0" applyFont="1" applyFill="1" applyBorder="1" applyAlignment="1">
      <alignment horizontal="left" vertical="center" wrapText="1"/>
    </xf>
    <xf numFmtId="0" fontId="30" fillId="15" borderId="35" xfId="0" applyFont="1" applyFill="1" applyBorder="1" applyAlignment="1">
      <alignment horizontal="center" vertical="center"/>
    </xf>
    <xf numFmtId="1" fontId="30" fillId="15" borderId="35" xfId="0" applyNumberFormat="1" applyFont="1" applyFill="1" applyBorder="1" applyAlignment="1">
      <alignment horizontal="center" vertical="center"/>
    </xf>
    <xf numFmtId="44" fontId="7" fillId="10" borderId="15" xfId="2" applyFont="1" applyFill="1" applyBorder="1" applyAlignment="1" applyProtection="1">
      <alignment horizontal="center" vertical="center"/>
    </xf>
    <xf numFmtId="180" fontId="7" fillId="10" borderId="15" xfId="0" applyNumberFormat="1" applyFont="1" applyFill="1" applyBorder="1" applyAlignment="1">
      <alignment horizontal="left" vertical="center"/>
    </xf>
    <xf numFmtId="178" fontId="25" fillId="0" borderId="23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180" fontId="25" fillId="0" borderId="23" xfId="0" applyNumberFormat="1" applyFont="1" applyBorder="1" applyAlignment="1">
      <alignment vertical="center"/>
    </xf>
    <xf numFmtId="180" fontId="10" fillId="0" borderId="23" xfId="0" applyNumberFormat="1" applyFont="1" applyBorder="1" applyAlignment="1">
      <alignment horizontal="center" vertical="center"/>
    </xf>
    <xf numFmtId="180" fontId="27" fillId="12" borderId="2" xfId="0" applyNumberFormat="1" applyFont="1" applyFill="1" applyBorder="1" applyAlignment="1">
      <alignment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vertical="center"/>
    </xf>
    <xf numFmtId="182" fontId="27" fillId="11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180" fontId="27" fillId="4" borderId="1" xfId="0" applyNumberFormat="1" applyFont="1" applyFill="1" applyBorder="1" applyAlignment="1">
      <alignment horizontal="center" vertical="center"/>
    </xf>
    <xf numFmtId="44" fontId="30" fillId="13" borderId="13" xfId="0" applyNumberFormat="1" applyFont="1" applyFill="1" applyBorder="1" applyAlignment="1">
      <alignment horizontal="left" vertical="center"/>
    </xf>
    <xf numFmtId="9" fontId="28" fillId="13" borderId="15" xfId="0" applyNumberFormat="1" applyFont="1" applyFill="1" applyBorder="1" applyAlignment="1">
      <alignment horizontal="left" vertical="center"/>
    </xf>
    <xf numFmtId="9" fontId="28" fillId="14" borderId="15" xfId="0" applyNumberFormat="1" applyFont="1" applyFill="1" applyBorder="1" applyAlignment="1">
      <alignment horizontal="left" vertical="center"/>
    </xf>
    <xf numFmtId="10" fontId="28" fillId="15" borderId="15" xfId="0" applyNumberFormat="1" applyFont="1" applyFill="1" applyBorder="1" applyAlignment="1">
      <alignment horizontal="left" vertical="center"/>
    </xf>
    <xf numFmtId="183" fontId="28" fillId="15" borderId="15" xfId="0" applyNumberFormat="1" applyFont="1" applyFill="1" applyBorder="1" applyAlignment="1">
      <alignment horizontal="left" vertical="center"/>
    </xf>
    <xf numFmtId="44" fontId="30" fillId="15" borderId="35" xfId="0" applyNumberFormat="1" applyFont="1" applyFill="1" applyBorder="1" applyAlignment="1">
      <alignment horizontal="left" vertical="center"/>
    </xf>
    <xf numFmtId="44" fontId="7" fillId="10" borderId="20" xfId="0" applyNumberFormat="1" applyFont="1" applyFill="1" applyBorder="1" applyAlignment="1">
      <alignment horizontal="center" vertical="center" wrapText="1"/>
    </xf>
    <xf numFmtId="44" fontId="7" fillId="10" borderId="27" xfId="0" applyNumberFormat="1" applyFont="1" applyFill="1" applyBorder="1" applyAlignment="1">
      <alignment horizontal="center" vertical="center" wrapText="1"/>
    </xf>
    <xf numFmtId="180" fontId="10" fillId="0" borderId="3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80" fontId="27" fillId="4" borderId="2" xfId="0" applyNumberFormat="1" applyFont="1" applyFill="1" applyBorder="1" applyAlignment="1">
      <alignment horizontal="center" vertical="center"/>
    </xf>
    <xf numFmtId="180" fontId="31" fillId="0" borderId="3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78" fontId="28" fillId="13" borderId="32" xfId="0" applyNumberFormat="1" applyFont="1" applyFill="1" applyBorder="1" applyAlignment="1">
      <alignment horizontal="left" vertical="center"/>
    </xf>
    <xf numFmtId="178" fontId="28" fillId="13" borderId="37" xfId="0" applyNumberFormat="1" applyFont="1" applyFill="1" applyBorder="1" applyAlignment="1">
      <alignment horizontal="left" vertical="center"/>
    </xf>
    <xf numFmtId="184" fontId="11" fillId="0" borderId="0" xfId="0" applyNumberFormat="1" applyFont="1"/>
    <xf numFmtId="178" fontId="28" fillId="13" borderId="27" xfId="0" applyNumberFormat="1" applyFont="1" applyFill="1" applyBorder="1" applyAlignment="1">
      <alignment horizontal="left" vertical="center"/>
    </xf>
    <xf numFmtId="178" fontId="28" fillId="13" borderId="38" xfId="0" applyNumberFormat="1" applyFont="1" applyFill="1" applyBorder="1" applyAlignment="1">
      <alignment horizontal="left" vertical="center"/>
    </xf>
    <xf numFmtId="0" fontId="32" fillId="0" borderId="0" xfId="0" applyFont="1"/>
    <xf numFmtId="178" fontId="28" fillId="14" borderId="27" xfId="0" applyNumberFormat="1" applyFont="1" applyFill="1" applyBorder="1" applyAlignment="1">
      <alignment horizontal="left" vertical="center"/>
    </xf>
    <xf numFmtId="178" fontId="28" fillId="14" borderId="38" xfId="0" applyNumberFormat="1" applyFont="1" applyFill="1" applyBorder="1" applyAlignment="1">
      <alignment horizontal="left" vertical="center"/>
    </xf>
    <xf numFmtId="178" fontId="28" fillId="15" borderId="27" xfId="0" applyNumberFormat="1" applyFont="1" applyFill="1" applyBorder="1" applyAlignment="1">
      <alignment horizontal="left" vertical="center"/>
    </xf>
    <xf numFmtId="178" fontId="28" fillId="15" borderId="38" xfId="0" applyNumberFormat="1" applyFont="1" applyFill="1" applyBorder="1" applyAlignment="1">
      <alignment horizontal="left" vertical="center"/>
    </xf>
    <xf numFmtId="178" fontId="28" fillId="15" borderId="39" xfId="0" applyNumberFormat="1" applyFont="1" applyFill="1" applyBorder="1" applyAlignment="1">
      <alignment horizontal="left" vertical="center"/>
    </xf>
    <xf numFmtId="178" fontId="28" fillId="15" borderId="40" xfId="0" applyNumberFormat="1" applyFont="1" applyFill="1" applyBorder="1" applyAlignment="1">
      <alignment horizontal="left" vertical="center"/>
    </xf>
    <xf numFmtId="0" fontId="0" fillId="2" borderId="0" xfId="0" applyFill="1"/>
    <xf numFmtId="178" fontId="0" fillId="2" borderId="0" xfId="0" applyNumberFormat="1" applyFill="1"/>
    <xf numFmtId="0" fontId="12" fillId="6" borderId="11" xfId="0" applyFont="1" applyFill="1" applyBorder="1" applyAlignment="1">
      <alignment vertical="center"/>
    </xf>
    <xf numFmtId="0" fontId="33" fillId="0" borderId="41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178" fontId="34" fillId="0" borderId="41" xfId="0" applyNumberFormat="1" applyFont="1" applyBorder="1"/>
    <xf numFmtId="0" fontId="33" fillId="0" borderId="38" xfId="0" applyFont="1" applyBorder="1" applyAlignment="1">
      <alignment horizontal="center" vertical="center"/>
    </xf>
    <xf numFmtId="0" fontId="33" fillId="0" borderId="43" xfId="0" applyFont="1" applyBorder="1" applyAlignment="1">
      <alignment horizontal="left" vertical="center"/>
    </xf>
    <xf numFmtId="178" fontId="34" fillId="0" borderId="38" xfId="0" applyNumberFormat="1" applyFont="1" applyBorder="1"/>
    <xf numFmtId="0" fontId="35" fillId="0" borderId="21" xfId="0" applyFont="1" applyBorder="1" applyAlignment="1">
      <alignment horizontal="center" vertical="center"/>
    </xf>
    <xf numFmtId="178" fontId="34" fillId="0" borderId="21" xfId="49" applyNumberFormat="1" applyFont="1" applyFill="1" applyBorder="1" applyAlignment="1">
      <alignment vertical="center"/>
    </xf>
    <xf numFmtId="44" fontId="0" fillId="2" borderId="0" xfId="0" applyNumberFormat="1" applyFill="1"/>
    <xf numFmtId="49" fontId="33" fillId="0" borderId="3" xfId="0" applyNumberFormat="1" applyFont="1" applyBorder="1" applyAlignment="1">
      <alignment horizontal="center" vertical="center"/>
    </xf>
    <xf numFmtId="49" fontId="33" fillId="0" borderId="4" xfId="0" applyNumberFormat="1" applyFont="1" applyBorder="1" applyAlignment="1">
      <alignment horizontal="center" vertical="center"/>
    </xf>
    <xf numFmtId="49" fontId="33" fillId="0" borderId="5" xfId="0" applyNumberFormat="1" applyFont="1" applyBorder="1" applyAlignment="1">
      <alignment horizontal="center" vertical="center"/>
    </xf>
    <xf numFmtId="0" fontId="36" fillId="13" borderId="15" xfId="0" applyFont="1" applyFill="1" applyBorder="1" applyAlignment="1">
      <alignment horizontal="center" vertical="center"/>
    </xf>
    <xf numFmtId="185" fontId="36" fillId="13" borderId="15" xfId="0" applyNumberFormat="1" applyFont="1" applyFill="1" applyBorder="1" applyAlignment="1">
      <alignment vertical="center"/>
    </xf>
    <xf numFmtId="184" fontId="36" fillId="13" borderId="15" xfId="0" applyNumberFormat="1" applyFont="1" applyFill="1" applyBorder="1" applyAlignment="1">
      <alignment vertical="center"/>
    </xf>
    <xf numFmtId="9" fontId="36" fillId="13" borderId="15" xfId="3" applyFont="1" applyFill="1" applyBorder="1" applyAlignment="1">
      <alignment horizontal="center" vertical="center"/>
    </xf>
    <xf numFmtId="184" fontId="36" fillId="13" borderId="15" xfId="0" applyNumberFormat="1" applyFont="1" applyFill="1" applyBorder="1" applyAlignment="1">
      <alignment horizontal="left" vertical="center"/>
    </xf>
    <xf numFmtId="0" fontId="36" fillId="14" borderId="15" xfId="0" applyFont="1" applyFill="1" applyBorder="1" applyAlignment="1">
      <alignment horizontal="center" vertical="center"/>
    </xf>
    <xf numFmtId="183" fontId="36" fillId="14" borderId="15" xfId="3" applyNumberFormat="1" applyFont="1" applyFill="1" applyBorder="1" applyAlignment="1">
      <alignment horizontal="center" vertical="center"/>
    </xf>
    <xf numFmtId="184" fontId="36" fillId="14" borderId="15" xfId="0" applyNumberFormat="1" applyFont="1" applyFill="1" applyBorder="1" applyAlignment="1">
      <alignment horizontal="left" vertical="center"/>
    </xf>
    <xf numFmtId="0" fontId="36" fillId="15" borderId="19" xfId="0" applyFont="1" applyFill="1" applyBorder="1" applyAlignment="1">
      <alignment horizontal="center" vertical="center"/>
    </xf>
    <xf numFmtId="183" fontId="36" fillId="15" borderId="19" xfId="3" applyNumberFormat="1" applyFont="1" applyFill="1" applyBorder="1" applyAlignment="1">
      <alignment horizontal="center" vertical="center"/>
    </xf>
    <xf numFmtId="184" fontId="36" fillId="15" borderId="19" xfId="0" applyNumberFormat="1" applyFont="1" applyFill="1" applyBorder="1" applyAlignment="1">
      <alignment horizontal="left" vertical="center"/>
    </xf>
    <xf numFmtId="0" fontId="37" fillId="16" borderId="1" xfId="0" applyFont="1" applyFill="1" applyBorder="1" applyAlignment="1">
      <alignment horizontal="center" vertical="center"/>
    </xf>
    <xf numFmtId="0" fontId="37" fillId="16" borderId="2" xfId="0" applyFont="1" applyFill="1" applyBorder="1" applyAlignment="1">
      <alignment horizontal="center" vertical="center"/>
    </xf>
    <xf numFmtId="184" fontId="37" fillId="16" borderId="1" xfId="0" applyNumberFormat="1" applyFont="1" applyFill="1" applyBorder="1" applyAlignment="1">
      <alignment horizontal="center" vertical="center"/>
    </xf>
    <xf numFmtId="184" fontId="37" fillId="16" borderId="2" xfId="0" applyNumberFormat="1" applyFont="1" applyFill="1" applyBorder="1" applyAlignment="1">
      <alignment horizontal="left" vertical="center"/>
    </xf>
    <xf numFmtId="186" fontId="0" fillId="2" borderId="9" xfId="0" applyNumberFormat="1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10" xfId="0" applyFill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4A4C4C"/>
      <color rgb="0000A6A5"/>
      <color rgb="0000C8C3"/>
      <color rgb="0000A8A4"/>
      <color rgb="0000DED9"/>
      <color rgb="0000BCB8"/>
      <color rgb="0000496A"/>
      <color rgb="00013554"/>
      <color rgb="00001521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ln w="31750" cmpd="sng">
                <a:solidFill>
                  <a:schemeClr val="bg1">
                    <a:alpha val="0"/>
                  </a:schemeClr>
                </a:solidFill>
                <a:prstDash val="solid"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Summary'!$B$3:$B$4</c:f>
              <c:strCache>
                <c:ptCount val="2"/>
                <c:pt idx="0">
                  <c:v>General Requirments</c:v>
                </c:pt>
                <c:pt idx="1">
                  <c:v>Plumbing</c:v>
                </c:pt>
              </c:strCache>
            </c:strRef>
          </c:cat>
          <c:val>
            <c:numRef>
              <c:f>'General Summary'!$C$3:$C$4</c:f>
              <c:numCache>
                <c:formatCode>_("$"* #,##0_);_("$"* \(#,##0\);_("$"* "-"??_);_(@_)</c:formatCode>
                <c:ptCount val="2"/>
                <c:pt idx="0">
                  <c:v>54000</c:v>
                </c:pt>
                <c:pt idx="1">
                  <c:v>539602.913568064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31750" cmpd="sng">
                  <a:solidFill>
                    <a:schemeClr val="bg1">
                      <a:alpha val="0"/>
                    </a:schemeClr>
                  </a:solidFill>
                  <a:prstDash val="solid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31750" cmpd="sng">
                  <a:solidFill>
                    <a:schemeClr val="bg1">
                      <a:alpha val="0"/>
                    </a:schemeClr>
                  </a:solidFill>
                  <a:prstDash val="solid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31750" cmpd="sng">
                  <a:solidFill>
                    <a:schemeClr val="bg1">
                      <a:alpha val="0"/>
                    </a:schemeClr>
                  </a:solidFill>
                  <a:prstDash val="solid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ln w="31750" cmpd="sng">
                <a:solidFill>
                  <a:schemeClr val="bg1">
                    <a:alpha val="0"/>
                  </a:schemeClr>
                </a:solidFill>
                <a:prstDash val="solid"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c4c0c-70bb-49ab-9ae3-509d6370cad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 w="31750" cmpd="sng">
            <a:solidFill>
              <a:schemeClr val="bg1">
                <a:alpha val="0"/>
              </a:schemeClr>
            </a:solidFill>
            <a:prstDash val="solid"/>
          </a:ln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ln w="31750" cmpd="sng">
                <a:solidFill>
                  <a:schemeClr val="bg1">
                    <a:alpha val="0"/>
                  </a:schemeClr>
                </a:solidFill>
                <a:prstDash val="solid"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Summary'!$B$3:$B$4</c:f>
              <c:strCache>
                <c:ptCount val="2"/>
                <c:pt idx="0">
                  <c:v>General Requirments</c:v>
                </c:pt>
                <c:pt idx="1">
                  <c:v>Plumbing</c:v>
                </c:pt>
              </c:strCache>
            </c:strRef>
          </c:cat>
          <c:val>
            <c:numRef>
              <c:f>'General Summary'!$C$3:$C$4</c:f>
              <c:numCache>
                <c:formatCode>_("$"* #,##0_);_("$"* \(#,##0\);_("$"* "-"??_);_(@_)</c:formatCode>
                <c:ptCount val="2"/>
                <c:pt idx="0">
                  <c:v>54000</c:v>
                </c:pt>
                <c:pt idx="1">
                  <c:v>539602.913568064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31750" cmpd="sng">
                  <a:solidFill>
                    <a:schemeClr val="bg1">
                      <a:alpha val="0"/>
                    </a:schemeClr>
                  </a:solidFill>
                  <a:prstDash val="solid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31750" cmpd="sng">
                  <a:solidFill>
                    <a:schemeClr val="bg1">
                      <a:alpha val="0"/>
                    </a:schemeClr>
                  </a:solidFill>
                  <a:prstDash val="solid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31750" cmpd="sng">
                  <a:solidFill>
                    <a:schemeClr val="bg1">
                      <a:alpha val="0"/>
                    </a:schemeClr>
                  </a:solidFill>
                  <a:prstDash val="solid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ln w="31750" cmpd="sng">
                <a:solidFill>
                  <a:schemeClr val="bg1">
                    <a:alpha val="0"/>
                  </a:schemeClr>
                </a:solidFill>
                <a:prstDash val="solid"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c4c0c-70bb-49ab-9ae3-509d6370cad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 w="31750" cmpd="sng">
            <a:solidFill>
              <a:schemeClr val="bg1">
                <a:alpha val="0"/>
              </a:schemeClr>
            </a:solidFill>
            <a:prstDash val="solid"/>
          </a:ln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12065</xdr:colOff>
      <xdr:row>0</xdr:row>
      <xdr:rowOff>7620</xdr:rowOff>
    </xdr:from>
    <xdr:to>
      <xdr:col>16</xdr:col>
      <xdr:colOff>9525</xdr:colOff>
      <xdr:row>11</xdr:row>
      <xdr:rowOff>245745</xdr:rowOff>
    </xdr:to>
    <xdr:graphicFrame>
      <xdr:nvGraphicFramePr>
        <xdr:cNvPr id="2" name="Chart 1"/>
        <xdr:cNvGraphicFramePr/>
      </xdr:nvGraphicFramePr>
      <xdr:xfrm>
        <a:off x="9175115" y="7620"/>
        <a:ext cx="8227060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12065</xdr:colOff>
      <xdr:row>14</xdr:row>
      <xdr:rowOff>7620</xdr:rowOff>
    </xdr:from>
    <xdr:to>
      <xdr:col>16</xdr:col>
      <xdr:colOff>9525</xdr:colOff>
      <xdr:row>25</xdr:row>
      <xdr:rowOff>245745</xdr:rowOff>
    </xdr:to>
    <xdr:graphicFrame>
      <xdr:nvGraphicFramePr>
        <xdr:cNvPr id="3" name="Chart 2"/>
        <xdr:cNvGraphicFramePr/>
      </xdr:nvGraphicFramePr>
      <xdr:xfrm>
        <a:off x="9175115" y="3341370"/>
        <a:ext cx="8227060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2</xdr:row>
      <xdr:rowOff>0</xdr:rowOff>
    </xdr:from>
    <xdr:ext cx="184731" cy="302660"/>
    <xdr:sp>
      <xdr:nvSpPr>
        <xdr:cNvPr id="3" name="TextBox 2"/>
        <xdr:cNvSpPr txBox="1"/>
      </xdr:nvSpPr>
      <xdr:spPr>
        <a:xfrm>
          <a:off x="2200275" y="10763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302660"/>
    <xdr:sp>
      <xdr:nvSpPr>
        <xdr:cNvPr id="5" name="TextBox 4"/>
        <xdr:cNvSpPr txBox="1"/>
      </xdr:nvSpPr>
      <xdr:spPr>
        <a:xfrm>
          <a:off x="1743075" y="10763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457200</xdr:colOff>
      <xdr:row>221</xdr:row>
      <xdr:rowOff>0</xdr:rowOff>
    </xdr:from>
    <xdr:ext cx="184731" cy="298850"/>
    <xdr:sp>
      <xdr:nvSpPr>
        <xdr:cNvPr id="2" name="TextBox 1"/>
        <xdr:cNvSpPr txBox="1"/>
      </xdr:nvSpPr>
      <xdr:spPr>
        <a:xfrm>
          <a:off x="2200275" y="45518705"/>
          <a:ext cx="184150" cy="298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221</xdr:row>
      <xdr:rowOff>0</xdr:rowOff>
    </xdr:from>
    <xdr:ext cx="184731" cy="298850"/>
    <xdr:sp>
      <xdr:nvSpPr>
        <xdr:cNvPr id="4" name="TextBox 3"/>
        <xdr:cNvSpPr txBox="1"/>
      </xdr:nvSpPr>
      <xdr:spPr>
        <a:xfrm>
          <a:off x="1743075" y="45518705"/>
          <a:ext cx="184150" cy="298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O26"/>
  <sheetViews>
    <sheetView tabSelected="1" view="pageBreakPreview" zoomScale="70" zoomScaleNormal="100" workbookViewId="0">
      <selection activeCell="A1" sqref="A1:D1"/>
    </sheetView>
  </sheetViews>
  <sheetFormatPr defaultColWidth="9" defaultRowHeight="13.8"/>
  <cols>
    <col min="1" max="1" width="23.125" style="201" customWidth="1"/>
    <col min="2" max="2" width="62.125" style="201" customWidth="1"/>
    <col min="3" max="4" width="17.5" style="202" customWidth="1"/>
    <col min="5" max="16384" width="9" style="201"/>
  </cols>
  <sheetData>
    <row r="1" ht="21.75" spans="1:15">
      <c r="A1" s="36" t="s">
        <v>0</v>
      </c>
      <c r="B1" s="37"/>
      <c r="C1" s="37"/>
      <c r="D1" s="37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ht="46.8" spans="1:15">
      <c r="A2" s="43" t="s">
        <v>1</v>
      </c>
      <c r="B2" s="43" t="s">
        <v>2</v>
      </c>
      <c r="C2" s="43" t="s">
        <v>3</v>
      </c>
      <c r="D2" s="43"/>
      <c r="O2" s="233"/>
    </row>
    <row r="3" ht="15.6" spans="1:15">
      <c r="A3" s="204">
        <v>1000</v>
      </c>
      <c r="B3" s="205" t="s">
        <v>4</v>
      </c>
      <c r="C3" s="206">
        <f>'Base Bid'!R13</f>
        <v>54000</v>
      </c>
      <c r="D3" s="206"/>
      <c r="O3" s="233"/>
    </row>
    <row r="4" ht="16.35" spans="1:15">
      <c r="A4" s="207">
        <v>22000</v>
      </c>
      <c r="B4" s="208" t="s">
        <v>5</v>
      </c>
      <c r="C4" s="209">
        <f>'Base Bid'!R362</f>
        <v>539602.913568064</v>
      </c>
      <c r="D4" s="206"/>
      <c r="O4" s="233"/>
    </row>
    <row r="5" ht="18.15" spans="2:15">
      <c r="B5" s="210" t="s">
        <v>6</v>
      </c>
      <c r="C5" s="211">
        <f>SUM(C3:C4)</f>
        <v>593602.913568064</v>
      </c>
      <c r="D5" s="211"/>
      <c r="F5" s="212"/>
      <c r="O5" s="233"/>
    </row>
    <row r="6" ht="15.6" spans="1:15">
      <c r="A6" s="213"/>
      <c r="B6" s="214"/>
      <c r="C6" s="214"/>
      <c r="D6" s="215"/>
      <c r="O6" s="233"/>
    </row>
    <row r="7" ht="15.6" spans="1:15">
      <c r="A7" s="216" t="s">
        <v>6</v>
      </c>
      <c r="B7" s="216"/>
      <c r="C7" s="217"/>
      <c r="D7" s="218">
        <f>C5</f>
        <v>593602.913568064</v>
      </c>
      <c r="E7" s="212"/>
      <c r="F7" s="212"/>
      <c r="O7" s="233"/>
    </row>
    <row r="8" ht="15.6" spans="1:15">
      <c r="A8" s="216" t="s">
        <v>7</v>
      </c>
      <c r="B8" s="216"/>
      <c r="C8" s="219">
        <v>0.05</v>
      </c>
      <c r="D8" s="220">
        <f>D7*C8</f>
        <v>29680.1456784032</v>
      </c>
      <c r="E8" s="212"/>
      <c r="F8" s="212"/>
      <c r="O8" s="233"/>
    </row>
    <row r="9" ht="15.6" spans="1:15">
      <c r="A9" s="216" t="s">
        <v>8</v>
      </c>
      <c r="B9" s="216"/>
      <c r="C9" s="219">
        <v>0.1</v>
      </c>
      <c r="D9" s="220">
        <f>D7*C9</f>
        <v>59360.2913568064</v>
      </c>
      <c r="O9" s="233"/>
    </row>
    <row r="10" ht="15.6" spans="1:15">
      <c r="A10" s="221" t="s">
        <v>9</v>
      </c>
      <c r="B10" s="221"/>
      <c r="C10" s="222">
        <v>0.105</v>
      </c>
      <c r="D10" s="223">
        <f>D7*C10</f>
        <v>62328.3059246467</v>
      </c>
      <c r="O10" s="233"/>
    </row>
    <row r="11" ht="16.35" spans="1:15">
      <c r="A11" s="224" t="s">
        <v>10</v>
      </c>
      <c r="B11" s="224"/>
      <c r="C11" s="225">
        <v>0.015</v>
      </c>
      <c r="D11" s="226">
        <f>D7*C11</f>
        <v>8904.04370352096</v>
      </c>
      <c r="O11" s="233"/>
    </row>
    <row r="12" ht="21.15" spans="1:15">
      <c r="A12" s="227" t="s">
        <v>11</v>
      </c>
      <c r="B12" s="228"/>
      <c r="C12" s="229">
        <f>SUM(D7:D11)</f>
        <v>753875.700231441</v>
      </c>
      <c r="D12" s="230"/>
      <c r="E12" s="231"/>
      <c r="F12" s="232"/>
      <c r="G12" s="232"/>
      <c r="H12" s="232"/>
      <c r="I12" s="232"/>
      <c r="J12" s="232"/>
      <c r="K12" s="232"/>
      <c r="L12" s="232"/>
      <c r="M12" s="232"/>
      <c r="N12" s="232"/>
      <c r="O12" s="234"/>
    </row>
    <row r="14" ht="14.55"/>
    <row r="15" ht="21.75" spans="1:15">
      <c r="A15" s="36" t="s">
        <v>0</v>
      </c>
      <c r="B15" s="37"/>
      <c r="C15" s="37"/>
      <c r="D15" s="37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</row>
    <row r="16" ht="46.8" spans="1:15">
      <c r="A16" s="43" t="s">
        <v>1</v>
      </c>
      <c r="B16" s="43" t="s">
        <v>2</v>
      </c>
      <c r="C16" s="43" t="s">
        <v>3</v>
      </c>
      <c r="D16" s="43"/>
      <c r="O16" s="233"/>
    </row>
    <row r="17" ht="15.6" spans="1:15">
      <c r="A17" s="204">
        <v>1000</v>
      </c>
      <c r="B17" s="205" t="s">
        <v>4</v>
      </c>
      <c r="C17" s="206">
        <f>Alternate!R13</f>
        <v>54000</v>
      </c>
      <c r="D17" s="206"/>
      <c r="O17" s="233"/>
    </row>
    <row r="18" ht="16.35" spans="1:15">
      <c r="A18" s="207">
        <v>22000</v>
      </c>
      <c r="B18" s="208" t="s">
        <v>5</v>
      </c>
      <c r="C18" s="209">
        <f>Alternate!R362</f>
        <v>470944.522688464</v>
      </c>
      <c r="D18" s="206"/>
      <c r="O18" s="233"/>
    </row>
    <row r="19" ht="18.15" spans="2:15">
      <c r="B19" s="210" t="s">
        <v>6</v>
      </c>
      <c r="C19" s="211">
        <f>SUM(C17:C18)</f>
        <v>524944.522688464</v>
      </c>
      <c r="D19" s="211"/>
      <c r="F19" s="212"/>
      <c r="O19" s="233"/>
    </row>
    <row r="20" ht="15.6" spans="1:15">
      <c r="A20" s="213"/>
      <c r="B20" s="214"/>
      <c r="C20" s="214"/>
      <c r="D20" s="215"/>
      <c r="O20" s="233"/>
    </row>
    <row r="21" ht="15.6" spans="1:15">
      <c r="A21" s="216" t="s">
        <v>6</v>
      </c>
      <c r="B21" s="216"/>
      <c r="C21" s="217"/>
      <c r="D21" s="218">
        <f>C19</f>
        <v>524944.522688464</v>
      </c>
      <c r="E21" s="212"/>
      <c r="F21" s="212"/>
      <c r="O21" s="233"/>
    </row>
    <row r="22" ht="15.6" spans="1:15">
      <c r="A22" s="216" t="s">
        <v>7</v>
      </c>
      <c r="B22" s="216"/>
      <c r="C22" s="219">
        <v>0.05</v>
      </c>
      <c r="D22" s="220">
        <f>D21*C22</f>
        <v>26247.2261344232</v>
      </c>
      <c r="E22" s="212"/>
      <c r="F22" s="212"/>
      <c r="O22" s="233"/>
    </row>
    <row r="23" ht="15.6" spans="1:15">
      <c r="A23" s="216" t="s">
        <v>8</v>
      </c>
      <c r="B23" s="216"/>
      <c r="C23" s="219">
        <v>0.1</v>
      </c>
      <c r="D23" s="220">
        <f>D21*C23</f>
        <v>52494.4522688464</v>
      </c>
      <c r="O23" s="233"/>
    </row>
    <row r="24" ht="15.6" spans="1:15">
      <c r="A24" s="221" t="s">
        <v>9</v>
      </c>
      <c r="B24" s="221"/>
      <c r="C24" s="222">
        <v>0.105</v>
      </c>
      <c r="D24" s="223">
        <f>D21*C24</f>
        <v>55119.1748822887</v>
      </c>
      <c r="O24" s="233"/>
    </row>
    <row r="25" ht="16.35" spans="1:15">
      <c r="A25" s="224" t="s">
        <v>10</v>
      </c>
      <c r="B25" s="224"/>
      <c r="C25" s="225">
        <v>0.015</v>
      </c>
      <c r="D25" s="226">
        <f>D21*C25</f>
        <v>7874.16784032696</v>
      </c>
      <c r="O25" s="233"/>
    </row>
    <row r="26" ht="21.15" spans="1:15">
      <c r="A26" s="227" t="s">
        <v>12</v>
      </c>
      <c r="B26" s="228"/>
      <c r="C26" s="229">
        <f>SUM(D21:D25)</f>
        <v>666679.543814349</v>
      </c>
      <c r="D26" s="230"/>
      <c r="E26" s="231"/>
      <c r="F26" s="232"/>
      <c r="G26" s="232"/>
      <c r="H26" s="232"/>
      <c r="I26" s="232"/>
      <c r="J26" s="232"/>
      <c r="K26" s="232"/>
      <c r="L26" s="232"/>
      <c r="M26" s="232"/>
      <c r="N26" s="232"/>
      <c r="O26" s="234"/>
    </row>
  </sheetData>
  <mergeCells count="18">
    <mergeCell ref="A1:D1"/>
    <mergeCell ref="A6:D6"/>
    <mergeCell ref="A7:B7"/>
    <mergeCell ref="A8:B8"/>
    <mergeCell ref="A9:B9"/>
    <mergeCell ref="A10:B10"/>
    <mergeCell ref="A11:B11"/>
    <mergeCell ref="A12:B12"/>
    <mergeCell ref="C12:D12"/>
    <mergeCell ref="A15:D15"/>
    <mergeCell ref="A20:D20"/>
    <mergeCell ref="A21:B21"/>
    <mergeCell ref="A22:B22"/>
    <mergeCell ref="A23:B23"/>
    <mergeCell ref="A24:B24"/>
    <mergeCell ref="A25:B25"/>
    <mergeCell ref="A26:B26"/>
    <mergeCell ref="C26:D26"/>
  </mergeCells>
  <pageMargins left="0.7" right="0.7" top="0.75" bottom="0.75" header="0.3" footer="0.3"/>
  <pageSetup paperSize="1" scale="4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371"/>
  <sheetViews>
    <sheetView showGridLines="0" zoomScale="55" zoomScaleNormal="55" zoomScaleSheetLayoutView="85" workbookViewId="0">
      <pane ySplit="3" topLeftCell="A4" activePane="bottomLeft" state="frozen"/>
      <selection/>
      <selection pane="bottomLeft" activeCell="B5" sqref="B5"/>
    </sheetView>
  </sheetViews>
  <sheetFormatPr defaultColWidth="9" defaultRowHeight="15.6"/>
  <cols>
    <col min="1" max="1" width="4.125" style="33" customWidth="1"/>
    <col min="2" max="2" width="9.25" style="33" customWidth="1"/>
    <col min="3" max="3" width="9.5" style="33" customWidth="1"/>
    <col min="4" max="4" width="83.125" style="33" customWidth="1"/>
    <col min="5" max="5" width="11.5" style="34" customWidth="1"/>
    <col min="6" max="6" width="10.5" style="33" customWidth="1"/>
    <col min="7" max="7" width="11.5" style="34" customWidth="1"/>
    <col min="8" max="8" width="14" style="34" customWidth="1"/>
    <col min="9" max="9" width="14.125" style="33" customWidth="1"/>
    <col min="10" max="10" width="14.625" style="33" customWidth="1"/>
    <col min="11" max="12" width="14" style="34" customWidth="1"/>
    <col min="13" max="14" width="12.5" style="33" customWidth="1"/>
    <col min="15" max="15" width="14" style="33" customWidth="1"/>
    <col min="16" max="16" width="14.25" style="33" customWidth="1"/>
    <col min="17" max="18" width="15.25" style="35" customWidth="1"/>
    <col min="19" max="19" width="11.875" style="33" customWidth="1"/>
    <col min="20" max="16384" width="9" style="33"/>
  </cols>
  <sheetData>
    <row r="1" ht="21.75" spans="1:18">
      <c r="A1" s="36" t="s">
        <v>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95"/>
    </row>
    <row r="2" s="27" customFormat="1" ht="63" customHeight="1" spans="1:18">
      <c r="A2" s="38" t="s">
        <v>14</v>
      </c>
      <c r="B2" s="39"/>
      <c r="C2" s="39"/>
      <c r="D2" s="39"/>
      <c r="E2" s="39"/>
      <c r="F2" s="39"/>
      <c r="G2" s="39"/>
      <c r="H2" s="40"/>
      <c r="I2" s="39" t="s">
        <v>15</v>
      </c>
      <c r="J2" s="39"/>
      <c r="K2" s="39"/>
      <c r="L2" s="39"/>
      <c r="M2" s="39"/>
      <c r="N2" s="39"/>
      <c r="O2" s="39"/>
      <c r="P2" s="39"/>
      <c r="Q2" s="39"/>
      <c r="R2" s="40"/>
    </row>
    <row r="3" s="28" customFormat="1" ht="59.45" customHeight="1" spans="1:18">
      <c r="A3" s="41" t="s">
        <v>16</v>
      </c>
      <c r="B3" s="42" t="s">
        <v>17</v>
      </c>
      <c r="C3" s="42" t="s">
        <v>18</v>
      </c>
      <c r="D3" s="43" t="s">
        <v>2</v>
      </c>
      <c r="E3" s="42" t="s">
        <v>19</v>
      </c>
      <c r="F3" s="42" t="s">
        <v>20</v>
      </c>
      <c r="G3" s="42" t="s">
        <v>21</v>
      </c>
      <c r="H3" s="42" t="s">
        <v>22</v>
      </c>
      <c r="I3" s="42" t="s">
        <v>23</v>
      </c>
      <c r="J3" s="42" t="s">
        <v>24</v>
      </c>
      <c r="K3" s="42" t="s">
        <v>25</v>
      </c>
      <c r="L3" s="42" t="s">
        <v>26</v>
      </c>
      <c r="M3" s="42" t="s">
        <v>27</v>
      </c>
      <c r="N3" s="42" t="s">
        <v>28</v>
      </c>
      <c r="O3" s="42" t="s">
        <v>29</v>
      </c>
      <c r="P3" s="42" t="s">
        <v>30</v>
      </c>
      <c r="Q3" s="96" t="s">
        <v>31</v>
      </c>
      <c r="R3" s="97" t="s">
        <v>32</v>
      </c>
    </row>
    <row r="4" s="29" customFormat="1" ht="18" customHeight="1" spans="1:20">
      <c r="A4" s="44"/>
      <c r="B4" s="45"/>
      <c r="C4" s="46">
        <v>1</v>
      </c>
      <c r="D4" s="47" t="s">
        <v>33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98"/>
      <c r="R4" s="99"/>
      <c r="S4" s="28"/>
      <c r="T4" s="28"/>
    </row>
    <row r="5" ht="18" customHeight="1" spans="1:20">
      <c r="A5" s="48">
        <f>IF(G5&lt;&gt;"",1+MAX($A$3:A4),"")</f>
        <v>1</v>
      </c>
      <c r="B5" s="49"/>
      <c r="C5" s="50"/>
      <c r="D5" s="51" t="s">
        <v>34</v>
      </c>
      <c r="E5" s="52">
        <v>1</v>
      </c>
      <c r="F5" s="52" t="s">
        <v>35</v>
      </c>
      <c r="G5" s="53">
        <v>0</v>
      </c>
      <c r="H5" s="54">
        <f t="shared" ref="H5:H11" si="0">(G5*E5)+E5</f>
        <v>1</v>
      </c>
      <c r="I5" s="83">
        <v>0</v>
      </c>
      <c r="J5" s="83">
        <f t="shared" ref="J5:J11" si="1">I5*H5</f>
        <v>0</v>
      </c>
      <c r="K5" s="84">
        <v>0</v>
      </c>
      <c r="L5" s="85">
        <f t="shared" ref="L5:L11" si="2">+K5*H5</f>
        <v>0</v>
      </c>
      <c r="M5" s="86">
        <v>0</v>
      </c>
      <c r="N5" s="83">
        <f t="shared" ref="N5:N11" si="3">K5*M5</f>
        <v>0</v>
      </c>
      <c r="O5" s="83">
        <f t="shared" ref="O5:O11" si="4">M5*L5</f>
        <v>0</v>
      </c>
      <c r="P5" s="83">
        <f t="shared" ref="P5:P11" si="5">I5+N5</f>
        <v>0</v>
      </c>
      <c r="Q5" s="100">
        <v>54000</v>
      </c>
      <c r="R5" s="101"/>
      <c r="S5" s="28"/>
      <c r="T5" s="28"/>
    </row>
    <row r="6" ht="18" customHeight="1" spans="1:20">
      <c r="A6" s="55">
        <f>IF(G6&lt;&gt;"",1+MAX($A$3:A5),"")</f>
        <v>2</v>
      </c>
      <c r="B6" s="49"/>
      <c r="C6" s="56"/>
      <c r="D6" s="57" t="s">
        <v>36</v>
      </c>
      <c r="E6" s="58">
        <v>1</v>
      </c>
      <c r="F6" s="58" t="s">
        <v>35</v>
      </c>
      <c r="G6" s="53">
        <v>0</v>
      </c>
      <c r="H6" s="54">
        <f t="shared" si="0"/>
        <v>1</v>
      </c>
      <c r="I6" s="83">
        <v>0</v>
      </c>
      <c r="J6" s="83">
        <f t="shared" si="1"/>
        <v>0</v>
      </c>
      <c r="K6" s="84">
        <v>0</v>
      </c>
      <c r="L6" s="85">
        <f t="shared" si="2"/>
        <v>0</v>
      </c>
      <c r="M6" s="86">
        <v>0</v>
      </c>
      <c r="N6" s="83">
        <f t="shared" si="3"/>
        <v>0</v>
      </c>
      <c r="O6" s="83">
        <f t="shared" si="4"/>
        <v>0</v>
      </c>
      <c r="P6" s="83">
        <f t="shared" si="5"/>
        <v>0</v>
      </c>
      <c r="Q6" s="102"/>
      <c r="R6" s="101"/>
      <c r="S6" s="28"/>
      <c r="T6" s="28"/>
    </row>
    <row r="7" ht="18" customHeight="1" spans="1:20">
      <c r="A7" s="48">
        <f>IF(G7&lt;&gt;"",1+MAX($A$3:A6),"")</f>
        <v>3</v>
      </c>
      <c r="B7" s="49"/>
      <c r="C7" s="56"/>
      <c r="D7" s="57" t="s">
        <v>37</v>
      </c>
      <c r="E7" s="58">
        <v>1</v>
      </c>
      <c r="F7" s="58" t="s">
        <v>35</v>
      </c>
      <c r="G7" s="53">
        <v>0</v>
      </c>
      <c r="H7" s="54">
        <f t="shared" si="0"/>
        <v>1</v>
      </c>
      <c r="I7" s="83">
        <v>0</v>
      </c>
      <c r="J7" s="83">
        <f t="shared" si="1"/>
        <v>0</v>
      </c>
      <c r="K7" s="84">
        <v>0</v>
      </c>
      <c r="L7" s="85">
        <f t="shared" si="2"/>
        <v>0</v>
      </c>
      <c r="M7" s="86">
        <v>0</v>
      </c>
      <c r="N7" s="83">
        <f t="shared" si="3"/>
        <v>0</v>
      </c>
      <c r="O7" s="83">
        <f t="shared" si="4"/>
        <v>0</v>
      </c>
      <c r="P7" s="83">
        <f t="shared" si="5"/>
        <v>0</v>
      </c>
      <c r="Q7" s="102"/>
      <c r="R7" s="101"/>
      <c r="S7" s="28"/>
      <c r="T7" s="28"/>
    </row>
    <row r="8" ht="18" customHeight="1" spans="1:18">
      <c r="A8" s="55">
        <f>IF(G8&lt;&gt;"",1+MAX($A$3:A7),"")</f>
        <v>4</v>
      </c>
      <c r="B8" s="49"/>
      <c r="C8" s="56"/>
      <c r="D8" s="57" t="s">
        <v>38</v>
      </c>
      <c r="E8" s="58">
        <v>1</v>
      </c>
      <c r="F8" s="58" t="s">
        <v>35</v>
      </c>
      <c r="G8" s="53">
        <v>0</v>
      </c>
      <c r="H8" s="54">
        <f t="shared" si="0"/>
        <v>1</v>
      </c>
      <c r="I8" s="83">
        <v>0</v>
      </c>
      <c r="J8" s="83">
        <f t="shared" si="1"/>
        <v>0</v>
      </c>
      <c r="K8" s="84">
        <v>0</v>
      </c>
      <c r="L8" s="85">
        <f t="shared" si="2"/>
        <v>0</v>
      </c>
      <c r="M8" s="86">
        <v>0</v>
      </c>
      <c r="N8" s="83">
        <f t="shared" si="3"/>
        <v>0</v>
      </c>
      <c r="O8" s="83">
        <f t="shared" si="4"/>
        <v>0</v>
      </c>
      <c r="P8" s="83">
        <f t="shared" si="5"/>
        <v>0</v>
      </c>
      <c r="Q8" s="102"/>
      <c r="R8" s="101"/>
    </row>
    <row r="9" ht="18" customHeight="1" spans="1:18">
      <c r="A9" s="48">
        <f>IF(G9&lt;&gt;"",1+MAX($A$3:A8),"")</f>
        <v>5</v>
      </c>
      <c r="B9" s="49"/>
      <c r="C9" s="56"/>
      <c r="D9" s="57" t="s">
        <v>39</v>
      </c>
      <c r="E9" s="58">
        <v>1</v>
      </c>
      <c r="F9" s="58" t="s">
        <v>35</v>
      </c>
      <c r="G9" s="53">
        <v>0</v>
      </c>
      <c r="H9" s="54">
        <f t="shared" si="0"/>
        <v>1</v>
      </c>
      <c r="I9" s="83">
        <v>0</v>
      </c>
      <c r="J9" s="83">
        <f t="shared" si="1"/>
        <v>0</v>
      </c>
      <c r="K9" s="84">
        <v>0</v>
      </c>
      <c r="L9" s="85">
        <f t="shared" si="2"/>
        <v>0</v>
      </c>
      <c r="M9" s="86">
        <v>0</v>
      </c>
      <c r="N9" s="83">
        <f t="shared" si="3"/>
        <v>0</v>
      </c>
      <c r="O9" s="83">
        <f t="shared" si="4"/>
        <v>0</v>
      </c>
      <c r="P9" s="83">
        <f t="shared" si="5"/>
        <v>0</v>
      </c>
      <c r="Q9" s="102"/>
      <c r="R9" s="101"/>
    </row>
    <row r="10" ht="18" customHeight="1" spans="1:18">
      <c r="A10" s="55">
        <f>IF(G10&lt;&gt;"",1+MAX($A$3:A9),"")</f>
        <v>6</v>
      </c>
      <c r="B10" s="49"/>
      <c r="C10" s="56"/>
      <c r="D10" s="57" t="s">
        <v>40</v>
      </c>
      <c r="E10" s="58">
        <v>1</v>
      </c>
      <c r="F10" s="58" t="s">
        <v>35</v>
      </c>
      <c r="G10" s="53">
        <v>0</v>
      </c>
      <c r="H10" s="54">
        <f t="shared" si="0"/>
        <v>1</v>
      </c>
      <c r="I10" s="83">
        <v>0</v>
      </c>
      <c r="J10" s="83">
        <f t="shared" si="1"/>
        <v>0</v>
      </c>
      <c r="K10" s="84">
        <v>0</v>
      </c>
      <c r="L10" s="85">
        <f t="shared" si="2"/>
        <v>0</v>
      </c>
      <c r="M10" s="86">
        <v>0</v>
      </c>
      <c r="N10" s="83">
        <f t="shared" si="3"/>
        <v>0</v>
      </c>
      <c r="O10" s="83">
        <f t="shared" si="4"/>
        <v>0</v>
      </c>
      <c r="P10" s="83">
        <f t="shared" si="5"/>
        <v>0</v>
      </c>
      <c r="Q10" s="102"/>
      <c r="R10" s="101"/>
    </row>
    <row r="11" ht="18" customHeight="1" spans="1:18">
      <c r="A11" s="48">
        <f>IF(G11&lt;&gt;"",1+MAX($A$3:A10),"")</f>
        <v>7</v>
      </c>
      <c r="B11" s="49"/>
      <c r="C11" s="59"/>
      <c r="D11" s="60" t="s">
        <v>41</v>
      </c>
      <c r="E11" s="61">
        <v>1</v>
      </c>
      <c r="F11" s="61" t="s">
        <v>35</v>
      </c>
      <c r="G11" s="53">
        <v>0</v>
      </c>
      <c r="H11" s="54">
        <f t="shared" si="0"/>
        <v>1</v>
      </c>
      <c r="I11" s="83">
        <v>0</v>
      </c>
      <c r="J11" s="83">
        <f t="shared" si="1"/>
        <v>0</v>
      </c>
      <c r="K11" s="84">
        <v>0</v>
      </c>
      <c r="L11" s="85">
        <f t="shared" si="2"/>
        <v>0</v>
      </c>
      <c r="M11" s="86">
        <v>0</v>
      </c>
      <c r="N11" s="83">
        <f t="shared" si="3"/>
        <v>0</v>
      </c>
      <c r="O11" s="83">
        <f t="shared" si="4"/>
        <v>0</v>
      </c>
      <c r="P11" s="83">
        <f t="shared" si="5"/>
        <v>0</v>
      </c>
      <c r="Q11" s="103"/>
      <c r="R11" s="101"/>
    </row>
    <row r="12" customFormat="1" ht="18" customHeight="1" spans="1:18">
      <c r="A12" s="56" t="str">
        <f>IF(G12&lt;&gt;"",1+MAX($A$3:A11),"")</f>
        <v/>
      </c>
      <c r="B12" s="49"/>
      <c r="C12" s="62"/>
      <c r="D12" s="60"/>
      <c r="E12" s="61"/>
      <c r="F12" s="61"/>
      <c r="G12" s="63"/>
      <c r="H12" s="64"/>
      <c r="I12" s="87"/>
      <c r="J12" s="87"/>
      <c r="K12" s="88"/>
      <c r="L12" s="89"/>
      <c r="M12" s="90"/>
      <c r="N12" s="87"/>
      <c r="O12" s="87"/>
      <c r="P12" s="87"/>
      <c r="Q12" s="100"/>
      <c r="R12" s="104"/>
    </row>
    <row r="13" s="28" customFormat="1" ht="18.75" spans="1:18">
      <c r="A13" s="62" t="str">
        <f>IF(G13&lt;&gt;"",1+MAX($A$3:A12),"")</f>
        <v/>
      </c>
      <c r="B13" s="62"/>
      <c r="C13" s="65"/>
      <c r="D13" s="66" t="s">
        <v>42</v>
      </c>
      <c r="E13" s="67"/>
      <c r="F13" s="68"/>
      <c r="G13" s="68"/>
      <c r="H13" s="68"/>
      <c r="I13" s="91"/>
      <c r="J13" s="91"/>
      <c r="K13" s="68"/>
      <c r="L13" s="68"/>
      <c r="M13" s="91"/>
      <c r="N13" s="91"/>
      <c r="O13" s="91"/>
      <c r="P13" s="91"/>
      <c r="Q13" s="105"/>
      <c r="R13" s="106">
        <f>SUM(Q4:Q13)</f>
        <v>54000</v>
      </c>
    </row>
    <row r="14" s="28" customFormat="1" spans="1:18">
      <c r="A14" s="69" t="str">
        <f>IF(G14&lt;&gt;"",1+MAX($A$3:A13),"")</f>
        <v/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107"/>
    </row>
    <row r="15" s="30" customFormat="1" ht="18" spans="1:19">
      <c r="A15" s="71" t="str">
        <f>IF(G15&lt;&gt;"",1+MAX($A$3:A14),"")</f>
        <v/>
      </c>
      <c r="B15" s="72"/>
      <c r="C15" s="72">
        <v>22</v>
      </c>
      <c r="D15" s="73" t="s">
        <v>43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108"/>
      <c r="R15" s="109"/>
      <c r="S15" s="110"/>
    </row>
    <row r="16" s="31" customFormat="1" ht="18" spans="1:36">
      <c r="A16" s="55" t="str">
        <f>IF(G16&lt;&gt;"",1+MAX($A$3:A15),"")</f>
        <v/>
      </c>
      <c r="B16" s="74"/>
      <c r="C16" s="75"/>
      <c r="D16" s="76" t="s">
        <v>44</v>
      </c>
      <c r="E16" s="58"/>
      <c r="F16" s="58"/>
      <c r="G16" s="58"/>
      <c r="H16" s="58"/>
      <c r="I16" s="83"/>
      <c r="J16" s="83"/>
      <c r="K16" s="92"/>
      <c r="L16" s="93"/>
      <c r="M16" s="94"/>
      <c r="N16" s="83"/>
      <c r="O16" s="83"/>
      <c r="P16" s="83"/>
      <c r="Q16" s="111"/>
      <c r="R16" s="112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</row>
    <row r="17" s="31" customFormat="1" spans="1:36">
      <c r="A17" s="55" t="str">
        <f>IF(G17&lt;&gt;"",1+MAX($A$3:A16),"")</f>
        <v/>
      </c>
      <c r="B17" s="77"/>
      <c r="C17" s="78"/>
      <c r="D17" s="79" t="s">
        <v>45</v>
      </c>
      <c r="E17" s="75"/>
      <c r="F17" s="58"/>
      <c r="G17" s="80"/>
      <c r="H17" s="81"/>
      <c r="I17" s="83"/>
      <c r="J17" s="83"/>
      <c r="K17" s="84"/>
      <c r="L17" s="85"/>
      <c r="M17" s="86"/>
      <c r="N17" s="83"/>
      <c r="O17" s="83"/>
      <c r="P17" s="83"/>
      <c r="Q17" s="114"/>
      <c r="R17" s="101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="31" customFormat="1" spans="1:36">
      <c r="A18" s="55">
        <f>IF(G18&lt;&gt;"",1+MAX($A$3:A17),"")</f>
        <v>8</v>
      </c>
      <c r="B18" s="77"/>
      <c r="C18" s="78"/>
      <c r="D18" s="57" t="s">
        <v>46</v>
      </c>
      <c r="E18" s="75">
        <v>64.85</v>
      </c>
      <c r="F18" s="58" t="s">
        <v>47</v>
      </c>
      <c r="G18" s="80">
        <v>0.05</v>
      </c>
      <c r="H18" s="81">
        <f t="shared" ref="H18:H21" si="6">E18*(1+G18)</f>
        <v>68.0925</v>
      </c>
      <c r="I18" s="83">
        <f>4/1*0.75</f>
        <v>3</v>
      </c>
      <c r="J18" s="83">
        <f t="shared" ref="J18:J21" si="7">I18*H18</f>
        <v>204.2775</v>
      </c>
      <c r="K18" s="84">
        <v>0.105</v>
      </c>
      <c r="L18" s="85">
        <f t="shared" ref="L18" si="8">+K18*H18</f>
        <v>7.1497125</v>
      </c>
      <c r="M18" s="86">
        <f>'LABOR SHEET'!C$5</f>
        <v>57.65</v>
      </c>
      <c r="N18" s="83">
        <f t="shared" ref="N18" si="9">K18*M18</f>
        <v>6.05325</v>
      </c>
      <c r="O18" s="83">
        <f t="shared" ref="O18" si="10">M18*L18</f>
        <v>412.180925625</v>
      </c>
      <c r="P18" s="83">
        <f t="shared" ref="P18" si="11">I18+N18</f>
        <v>9.05325</v>
      </c>
      <c r="Q18" s="114">
        <f t="shared" ref="Q18" si="12">P18*H18</f>
        <v>616.458425625</v>
      </c>
      <c r="R18" s="101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</row>
    <row r="19" s="31" customFormat="1" spans="1:36">
      <c r="A19" s="55">
        <f>IF(G19&lt;&gt;"",1+MAX($A$3:A18),"")</f>
        <v>9</v>
      </c>
      <c r="B19" s="77"/>
      <c r="C19" s="78"/>
      <c r="D19" s="57" t="s">
        <v>48</v>
      </c>
      <c r="E19" s="75">
        <v>145.27</v>
      </c>
      <c r="F19" s="58" t="s">
        <v>47</v>
      </c>
      <c r="G19" s="80">
        <v>0.05</v>
      </c>
      <c r="H19" s="81">
        <f t="shared" si="6"/>
        <v>152.5335</v>
      </c>
      <c r="I19" s="83">
        <f>5.02/1.25</f>
        <v>4.016</v>
      </c>
      <c r="J19" s="83">
        <f t="shared" si="7"/>
        <v>612.574536</v>
      </c>
      <c r="K19" s="84">
        <v>0.125</v>
      </c>
      <c r="L19" s="85">
        <f t="shared" ref="L19:L25" si="13">+K19*H19</f>
        <v>19.0666875</v>
      </c>
      <c r="M19" s="86">
        <f>'LABOR SHEET'!C$5</f>
        <v>57.65</v>
      </c>
      <c r="N19" s="83">
        <f t="shared" ref="N19:N25" si="14">K19*M19</f>
        <v>7.20625</v>
      </c>
      <c r="O19" s="83">
        <f t="shared" ref="O19:O25" si="15">M19*L19</f>
        <v>1099.194534375</v>
      </c>
      <c r="P19" s="83">
        <f t="shared" ref="P19:P25" si="16">I19+N19</f>
        <v>11.22225</v>
      </c>
      <c r="Q19" s="114">
        <f t="shared" ref="Q19:Q25" si="17">P19*H19</f>
        <v>1711.769070375</v>
      </c>
      <c r="R19" s="101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</row>
    <row r="20" s="31" customFormat="1" spans="1:36">
      <c r="A20" s="55">
        <f>IF(G20&lt;&gt;"",1+MAX($A$3:A19),"")</f>
        <v>10</v>
      </c>
      <c r="B20" s="77"/>
      <c r="C20" s="78"/>
      <c r="D20" s="57" t="s">
        <v>49</v>
      </c>
      <c r="E20" s="75">
        <v>341.28</v>
      </c>
      <c r="F20" s="58" t="s">
        <v>47</v>
      </c>
      <c r="G20" s="80">
        <v>0.05</v>
      </c>
      <c r="H20" s="81">
        <f t="shared" si="6"/>
        <v>358.344</v>
      </c>
      <c r="I20" s="83">
        <v>5.02</v>
      </c>
      <c r="J20" s="83">
        <f t="shared" si="7"/>
        <v>1798.88688</v>
      </c>
      <c r="K20" s="84">
        <v>0.18</v>
      </c>
      <c r="L20" s="85">
        <f t="shared" si="13"/>
        <v>64.50192</v>
      </c>
      <c r="M20" s="86">
        <f>'LABOR SHEET'!C$5</f>
        <v>57.65</v>
      </c>
      <c r="N20" s="83">
        <f t="shared" si="14"/>
        <v>10.377</v>
      </c>
      <c r="O20" s="83">
        <f t="shared" si="15"/>
        <v>3718.535688</v>
      </c>
      <c r="P20" s="83">
        <f t="shared" si="16"/>
        <v>15.397</v>
      </c>
      <c r="Q20" s="114">
        <f t="shared" si="17"/>
        <v>5517.422568</v>
      </c>
      <c r="R20" s="101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</row>
    <row r="21" s="31" customFormat="1" spans="1:36">
      <c r="A21" s="55">
        <f>IF(G21&lt;&gt;"",1+MAX($A$3:A20),"")</f>
        <v>11</v>
      </c>
      <c r="B21" s="77"/>
      <c r="C21" s="78"/>
      <c r="D21" s="57" t="s">
        <v>50</v>
      </c>
      <c r="E21" s="75">
        <v>29.58</v>
      </c>
      <c r="F21" s="58" t="s">
        <v>47</v>
      </c>
      <c r="G21" s="80">
        <v>0.05</v>
      </c>
      <c r="H21" s="81">
        <f t="shared" si="6"/>
        <v>31.059</v>
      </c>
      <c r="I21" s="83">
        <v>5.86</v>
      </c>
      <c r="J21" s="83">
        <f t="shared" si="7"/>
        <v>182.00574</v>
      </c>
      <c r="K21" s="84">
        <v>0.2</v>
      </c>
      <c r="L21" s="85">
        <f t="shared" si="13"/>
        <v>6.2118</v>
      </c>
      <c r="M21" s="86">
        <f>'LABOR SHEET'!C$5</f>
        <v>57.65</v>
      </c>
      <c r="N21" s="83">
        <f t="shared" si="14"/>
        <v>11.53</v>
      </c>
      <c r="O21" s="83">
        <f t="shared" si="15"/>
        <v>358.11027</v>
      </c>
      <c r="P21" s="83">
        <f t="shared" si="16"/>
        <v>17.39</v>
      </c>
      <c r="Q21" s="114">
        <f t="shared" si="17"/>
        <v>540.11601</v>
      </c>
      <c r="R21" s="101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</row>
    <row r="22" s="31" customFormat="1" spans="1:36">
      <c r="A22" s="55">
        <f>IF(G22&lt;&gt;"",1+MAX($A$3:A21),"")</f>
        <v>12</v>
      </c>
      <c r="B22" s="77"/>
      <c r="C22" s="78"/>
      <c r="D22" s="57" t="s">
        <v>51</v>
      </c>
      <c r="E22" s="75">
        <v>224.28</v>
      </c>
      <c r="F22" s="58" t="s">
        <v>47</v>
      </c>
      <c r="G22" s="80">
        <v>0.05</v>
      </c>
      <c r="H22" s="81">
        <f t="shared" ref="H22:H25" si="18">E22*(1+G22)</f>
        <v>235.494</v>
      </c>
      <c r="I22" s="83">
        <v>7.25</v>
      </c>
      <c r="J22" s="83">
        <f t="shared" ref="J22:J25" si="19">I22*H22</f>
        <v>1707.3315</v>
      </c>
      <c r="K22" s="84">
        <v>0.262</v>
      </c>
      <c r="L22" s="85">
        <f t="shared" si="13"/>
        <v>61.699428</v>
      </c>
      <c r="M22" s="86">
        <f>'LABOR SHEET'!C$5</f>
        <v>57.65</v>
      </c>
      <c r="N22" s="83">
        <f t="shared" si="14"/>
        <v>15.1043</v>
      </c>
      <c r="O22" s="83">
        <f t="shared" si="15"/>
        <v>3556.9720242</v>
      </c>
      <c r="P22" s="83">
        <f t="shared" si="16"/>
        <v>22.3543</v>
      </c>
      <c r="Q22" s="114">
        <f t="shared" si="17"/>
        <v>5264.3035242</v>
      </c>
      <c r="R22" s="101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</row>
    <row r="23" s="31" customFormat="1" spans="1:36">
      <c r="A23" s="55">
        <f>IF(G23&lt;&gt;"",1+MAX($A$3:A22),"")</f>
        <v>13</v>
      </c>
      <c r="B23" s="77"/>
      <c r="C23" s="78"/>
      <c r="D23" s="57" t="s">
        <v>52</v>
      </c>
      <c r="E23" s="75">
        <v>111.67</v>
      </c>
      <c r="F23" s="58" t="s">
        <v>47</v>
      </c>
      <c r="G23" s="80">
        <v>0.05</v>
      </c>
      <c r="H23" s="81">
        <f t="shared" si="18"/>
        <v>117.2535</v>
      </c>
      <c r="I23" s="83">
        <v>15.11</v>
      </c>
      <c r="J23" s="83">
        <f t="shared" si="19"/>
        <v>1771.700385</v>
      </c>
      <c r="K23" s="84">
        <v>0.32</v>
      </c>
      <c r="L23" s="85">
        <f t="shared" si="13"/>
        <v>37.52112</v>
      </c>
      <c r="M23" s="86">
        <f>'LABOR SHEET'!C$5</f>
        <v>57.65</v>
      </c>
      <c r="N23" s="83">
        <f t="shared" si="14"/>
        <v>18.448</v>
      </c>
      <c r="O23" s="83">
        <f t="shared" si="15"/>
        <v>2163.092568</v>
      </c>
      <c r="P23" s="83">
        <f t="shared" si="16"/>
        <v>33.558</v>
      </c>
      <c r="Q23" s="114">
        <f t="shared" si="17"/>
        <v>3934.792953</v>
      </c>
      <c r="R23" s="101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</row>
    <row r="24" s="31" customFormat="1" spans="1:36">
      <c r="A24" s="55">
        <f>IF(G24&lt;&gt;"",1+MAX($A$3:A23),"")</f>
        <v>14</v>
      </c>
      <c r="B24" s="77"/>
      <c r="C24" s="78"/>
      <c r="D24" s="57" t="s">
        <v>53</v>
      </c>
      <c r="E24" s="75">
        <v>193.04</v>
      </c>
      <c r="F24" s="58" t="s">
        <v>47</v>
      </c>
      <c r="G24" s="80">
        <v>0.05</v>
      </c>
      <c r="H24" s="81">
        <f t="shared" si="18"/>
        <v>202.692</v>
      </c>
      <c r="I24" s="83">
        <f>28.82/4*3</f>
        <v>21.615</v>
      </c>
      <c r="J24" s="83">
        <f t="shared" si="19"/>
        <v>4381.18758</v>
      </c>
      <c r="K24" s="84">
        <v>0.365</v>
      </c>
      <c r="L24" s="85">
        <f t="shared" si="13"/>
        <v>73.98258</v>
      </c>
      <c r="M24" s="86">
        <f>'LABOR SHEET'!C$5</f>
        <v>57.65</v>
      </c>
      <c r="N24" s="83">
        <f t="shared" si="14"/>
        <v>21.04225</v>
      </c>
      <c r="O24" s="83">
        <f t="shared" si="15"/>
        <v>4265.095737</v>
      </c>
      <c r="P24" s="83">
        <f t="shared" si="16"/>
        <v>42.65725</v>
      </c>
      <c r="Q24" s="114">
        <f t="shared" si="17"/>
        <v>8646.283317</v>
      </c>
      <c r="R24" s="101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</row>
    <row r="25" s="31" customFormat="1" spans="1:36">
      <c r="A25" s="55">
        <f>IF(G25&lt;&gt;"",1+MAX($A$3:A24),"")</f>
        <v>15</v>
      </c>
      <c r="B25" s="77"/>
      <c r="C25" s="78"/>
      <c r="D25" s="57" t="s">
        <v>54</v>
      </c>
      <c r="E25" s="75">
        <v>66.58</v>
      </c>
      <c r="F25" s="58" t="s">
        <v>47</v>
      </c>
      <c r="G25" s="80">
        <v>0.05</v>
      </c>
      <c r="H25" s="81">
        <f t="shared" si="18"/>
        <v>69.909</v>
      </c>
      <c r="I25" s="83">
        <v>28.82</v>
      </c>
      <c r="J25" s="83">
        <f t="shared" si="19"/>
        <v>2014.77738</v>
      </c>
      <c r="K25" s="84">
        <v>0.444</v>
      </c>
      <c r="L25" s="85">
        <f t="shared" si="13"/>
        <v>31.039596</v>
      </c>
      <c r="M25" s="86">
        <f>'LABOR SHEET'!C$5</f>
        <v>57.65</v>
      </c>
      <c r="N25" s="83">
        <f t="shared" si="14"/>
        <v>25.5966</v>
      </c>
      <c r="O25" s="83">
        <f t="shared" si="15"/>
        <v>1789.4327094</v>
      </c>
      <c r="P25" s="83">
        <f t="shared" si="16"/>
        <v>54.4166</v>
      </c>
      <c r="Q25" s="114">
        <f t="shared" si="17"/>
        <v>3804.2100894</v>
      </c>
      <c r="R25" s="101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</row>
    <row r="26" s="31" customFormat="1" spans="1:36">
      <c r="A26" s="55" t="str">
        <f>IF(G26&lt;&gt;"",1+MAX($A$3:A25),"")</f>
        <v/>
      </c>
      <c r="B26" s="77"/>
      <c r="C26" s="78"/>
      <c r="D26" s="57"/>
      <c r="E26" s="75"/>
      <c r="F26" s="58"/>
      <c r="G26" s="80"/>
      <c r="H26" s="81"/>
      <c r="I26" s="87"/>
      <c r="J26" s="83"/>
      <c r="K26" s="84"/>
      <c r="L26" s="85"/>
      <c r="M26" s="86"/>
      <c r="N26" s="83"/>
      <c r="O26" s="83"/>
      <c r="P26" s="83"/>
      <c r="Q26" s="114"/>
      <c r="R26" s="101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</row>
    <row r="27" s="31" customFormat="1" spans="1:36">
      <c r="A27" s="55" t="str">
        <f>IF(G27&lt;&gt;"",1+MAX($A$3:A26),"")</f>
        <v/>
      </c>
      <c r="B27" s="77"/>
      <c r="C27" s="78"/>
      <c r="D27" s="82" t="s">
        <v>55</v>
      </c>
      <c r="E27" s="75"/>
      <c r="F27" s="58"/>
      <c r="G27" s="80"/>
      <c r="H27" s="81"/>
      <c r="I27" s="87"/>
      <c r="J27" s="83"/>
      <c r="K27" s="84"/>
      <c r="L27" s="85"/>
      <c r="M27" s="86"/>
      <c r="N27" s="83"/>
      <c r="O27" s="83"/>
      <c r="P27" s="83"/>
      <c r="Q27" s="114"/>
      <c r="R27" s="101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="31" customFormat="1" spans="1:36">
      <c r="A28" s="55">
        <f>IF(G28&lt;&gt;"",1+MAX($A$3:A27),"")</f>
        <v>16</v>
      </c>
      <c r="B28" s="77"/>
      <c r="C28" s="78"/>
      <c r="D28" s="57" t="s">
        <v>56</v>
      </c>
      <c r="E28" s="75">
        <v>5</v>
      </c>
      <c r="F28" s="58" t="s">
        <v>57</v>
      </c>
      <c r="G28" s="80">
        <v>0</v>
      </c>
      <c r="H28" s="81">
        <f t="shared" ref="H28:H33" si="20">E28*(1+G28)</f>
        <v>5</v>
      </c>
      <c r="I28" s="83">
        <v>4.59</v>
      </c>
      <c r="J28" s="83">
        <f t="shared" ref="J28:J33" si="21">I28*H28</f>
        <v>22.95</v>
      </c>
      <c r="K28" s="84">
        <v>0.55</v>
      </c>
      <c r="L28" s="85">
        <f t="shared" ref="L28:L56" si="22">+K28*H28</f>
        <v>2.75</v>
      </c>
      <c r="M28" s="86">
        <f>'LABOR SHEET'!C$5</f>
        <v>57.65</v>
      </c>
      <c r="N28" s="83">
        <f t="shared" ref="N28:N56" si="23">K28*M28</f>
        <v>31.7075</v>
      </c>
      <c r="O28" s="83">
        <f t="shared" ref="O28:O56" si="24">M28*L28</f>
        <v>158.5375</v>
      </c>
      <c r="P28" s="83">
        <f t="shared" ref="P28:P56" si="25">I28+N28</f>
        <v>36.2975</v>
      </c>
      <c r="Q28" s="114">
        <f t="shared" ref="Q28:Q56" si="26">P28*H28</f>
        <v>181.4875</v>
      </c>
      <c r="R28" s="101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</row>
    <row r="29" s="31" customFormat="1" spans="1:36">
      <c r="A29" s="55">
        <f>IF(G29&lt;&gt;"",1+MAX($A$3:A28),"")</f>
        <v>17</v>
      </c>
      <c r="B29" s="77"/>
      <c r="C29" s="78"/>
      <c r="D29" s="57" t="s">
        <v>58</v>
      </c>
      <c r="E29" s="75">
        <v>12</v>
      </c>
      <c r="F29" s="58" t="s">
        <v>57</v>
      </c>
      <c r="G29" s="80">
        <v>0</v>
      </c>
      <c r="H29" s="81">
        <f t="shared" si="20"/>
        <v>12</v>
      </c>
      <c r="I29" s="83">
        <v>8.5</v>
      </c>
      <c r="J29" s="83">
        <f t="shared" si="21"/>
        <v>102</v>
      </c>
      <c r="K29" s="84">
        <v>0.56</v>
      </c>
      <c r="L29" s="85">
        <f t="shared" si="22"/>
        <v>6.72</v>
      </c>
      <c r="M29" s="86">
        <f>'LABOR SHEET'!C$5</f>
        <v>57.65</v>
      </c>
      <c r="N29" s="83">
        <f t="shared" si="23"/>
        <v>32.284</v>
      </c>
      <c r="O29" s="83">
        <f t="shared" si="24"/>
        <v>387.408</v>
      </c>
      <c r="P29" s="83">
        <f t="shared" si="25"/>
        <v>40.784</v>
      </c>
      <c r="Q29" s="114">
        <f t="shared" si="26"/>
        <v>489.408</v>
      </c>
      <c r="R29" s="101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</row>
    <row r="30" s="31" customFormat="1" spans="1:36">
      <c r="A30" s="55">
        <f>IF(G30&lt;&gt;"",1+MAX($A$3:A29),"")</f>
        <v>18</v>
      </c>
      <c r="B30" s="77"/>
      <c r="C30" s="78"/>
      <c r="D30" s="57" t="s">
        <v>59</v>
      </c>
      <c r="E30" s="75">
        <v>25</v>
      </c>
      <c r="F30" s="58" t="s">
        <v>57</v>
      </c>
      <c r="G30" s="80">
        <v>0</v>
      </c>
      <c r="H30" s="81">
        <f t="shared" si="20"/>
        <v>25</v>
      </c>
      <c r="I30" s="83">
        <v>9.1</v>
      </c>
      <c r="J30" s="83">
        <f t="shared" si="21"/>
        <v>227.5</v>
      </c>
      <c r="K30" s="84">
        <v>0.57</v>
      </c>
      <c r="L30" s="85">
        <f t="shared" si="22"/>
        <v>14.25</v>
      </c>
      <c r="M30" s="86">
        <f>'LABOR SHEET'!C$5</f>
        <v>57.65</v>
      </c>
      <c r="N30" s="83">
        <f t="shared" si="23"/>
        <v>32.8605</v>
      </c>
      <c r="O30" s="83">
        <f t="shared" si="24"/>
        <v>821.5125</v>
      </c>
      <c r="P30" s="83">
        <f t="shared" si="25"/>
        <v>41.9605</v>
      </c>
      <c r="Q30" s="114">
        <f t="shared" si="26"/>
        <v>1049.0125</v>
      </c>
      <c r="R30" s="101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</row>
    <row r="31" s="31" customFormat="1" spans="1:36">
      <c r="A31" s="55">
        <f>IF(G31&lt;&gt;"",1+MAX($A$3:A30),"")</f>
        <v>19</v>
      </c>
      <c r="B31" s="77"/>
      <c r="C31" s="78"/>
      <c r="D31" s="57" t="s">
        <v>60</v>
      </c>
      <c r="E31" s="75">
        <v>1</v>
      </c>
      <c r="F31" s="58" t="s">
        <v>57</v>
      </c>
      <c r="G31" s="80">
        <v>0</v>
      </c>
      <c r="H31" s="81">
        <f t="shared" si="20"/>
        <v>1</v>
      </c>
      <c r="I31" s="83">
        <v>12.1</v>
      </c>
      <c r="J31" s="83">
        <f t="shared" si="21"/>
        <v>12.1</v>
      </c>
      <c r="K31" s="84">
        <v>0.58</v>
      </c>
      <c r="L31" s="85">
        <f t="shared" si="22"/>
        <v>0.58</v>
      </c>
      <c r="M31" s="86">
        <f>'LABOR SHEET'!C$5</f>
        <v>57.65</v>
      </c>
      <c r="N31" s="83">
        <f t="shared" si="23"/>
        <v>33.437</v>
      </c>
      <c r="O31" s="83">
        <f t="shared" si="24"/>
        <v>33.437</v>
      </c>
      <c r="P31" s="83">
        <f t="shared" si="25"/>
        <v>45.537</v>
      </c>
      <c r="Q31" s="114">
        <f t="shared" si="26"/>
        <v>45.537</v>
      </c>
      <c r="R31" s="101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="31" customFormat="1" spans="1:36">
      <c r="A32" s="55">
        <f>IF(G32&lt;&gt;"",1+MAX($A$3:A31),"")</f>
        <v>20</v>
      </c>
      <c r="B32" s="77"/>
      <c r="C32" s="78"/>
      <c r="D32" s="57" t="s">
        <v>61</v>
      </c>
      <c r="E32" s="75">
        <v>5</v>
      </c>
      <c r="F32" s="58" t="s">
        <v>57</v>
      </c>
      <c r="G32" s="80">
        <v>0</v>
      </c>
      <c r="H32" s="81">
        <f t="shared" si="20"/>
        <v>5</v>
      </c>
      <c r="I32" s="83">
        <v>15.2</v>
      </c>
      <c r="J32" s="83">
        <f t="shared" si="21"/>
        <v>76</v>
      </c>
      <c r="K32" s="84">
        <v>0.59</v>
      </c>
      <c r="L32" s="85">
        <f t="shared" si="22"/>
        <v>2.95</v>
      </c>
      <c r="M32" s="86">
        <f>'LABOR SHEET'!C$5</f>
        <v>57.65</v>
      </c>
      <c r="N32" s="83">
        <f t="shared" si="23"/>
        <v>34.0135</v>
      </c>
      <c r="O32" s="83">
        <f t="shared" si="24"/>
        <v>170.0675</v>
      </c>
      <c r="P32" s="83">
        <f t="shared" si="25"/>
        <v>49.2135</v>
      </c>
      <c r="Q32" s="114">
        <f t="shared" si="26"/>
        <v>246.0675</v>
      </c>
      <c r="R32" s="101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</row>
    <row r="33" s="31" customFormat="1" spans="1:36">
      <c r="A33" s="55">
        <f>IF(G33&lt;&gt;"",1+MAX($A$3:A32),"")</f>
        <v>21</v>
      </c>
      <c r="B33" s="77"/>
      <c r="C33" s="78"/>
      <c r="D33" s="57" t="s">
        <v>62</v>
      </c>
      <c r="E33" s="75">
        <v>4</v>
      </c>
      <c r="F33" s="58" t="s">
        <v>57</v>
      </c>
      <c r="G33" s="80">
        <v>0</v>
      </c>
      <c r="H33" s="81">
        <f t="shared" si="20"/>
        <v>4</v>
      </c>
      <c r="I33" s="83">
        <v>22.5</v>
      </c>
      <c r="J33" s="83">
        <f t="shared" si="21"/>
        <v>90</v>
      </c>
      <c r="K33" s="84">
        <v>0.6</v>
      </c>
      <c r="L33" s="85">
        <f t="shared" si="22"/>
        <v>2.4</v>
      </c>
      <c r="M33" s="86">
        <f>'LABOR SHEET'!C$5</f>
        <v>57.65</v>
      </c>
      <c r="N33" s="83">
        <f t="shared" si="23"/>
        <v>34.59</v>
      </c>
      <c r="O33" s="83">
        <f t="shared" si="24"/>
        <v>138.36</v>
      </c>
      <c r="P33" s="83">
        <f t="shared" si="25"/>
        <v>57.09</v>
      </c>
      <c r="Q33" s="114">
        <f t="shared" si="26"/>
        <v>228.36</v>
      </c>
      <c r="R33" s="101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="31" customFormat="1" spans="1:36">
      <c r="A34" s="55">
        <f>IF(G34&lt;&gt;"",1+MAX($A$3:A33),"")</f>
        <v>22</v>
      </c>
      <c r="B34" s="77"/>
      <c r="C34" s="78"/>
      <c r="D34" s="57" t="s">
        <v>63</v>
      </c>
      <c r="E34" s="75">
        <v>2</v>
      </c>
      <c r="F34" s="58" t="s">
        <v>57</v>
      </c>
      <c r="G34" s="80">
        <v>0</v>
      </c>
      <c r="H34" s="81">
        <f t="shared" ref="H34:H39" si="27">E34*(1+G34)</f>
        <v>2</v>
      </c>
      <c r="I34" s="83">
        <v>32.53</v>
      </c>
      <c r="J34" s="83">
        <f t="shared" ref="J34:J39" si="28">I34*H34</f>
        <v>65.06</v>
      </c>
      <c r="K34" s="84">
        <v>0.61</v>
      </c>
      <c r="L34" s="85">
        <f t="shared" si="22"/>
        <v>1.22</v>
      </c>
      <c r="M34" s="86">
        <f>'LABOR SHEET'!C$5</f>
        <v>57.65</v>
      </c>
      <c r="N34" s="83">
        <f t="shared" si="23"/>
        <v>35.1665</v>
      </c>
      <c r="O34" s="83">
        <f t="shared" si="24"/>
        <v>70.333</v>
      </c>
      <c r="P34" s="83">
        <f t="shared" si="25"/>
        <v>67.6965</v>
      </c>
      <c r="Q34" s="114">
        <f t="shared" si="26"/>
        <v>135.393</v>
      </c>
      <c r="R34" s="101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</row>
    <row r="35" s="31" customFormat="1" spans="1:36">
      <c r="A35" s="55">
        <f>IF(G35&lt;&gt;"",1+MAX($A$3:A34),"")</f>
        <v>23</v>
      </c>
      <c r="B35" s="77"/>
      <c r="C35" s="78"/>
      <c r="D35" s="57" t="s">
        <v>64</v>
      </c>
      <c r="E35" s="75">
        <v>2</v>
      </c>
      <c r="F35" s="58" t="s">
        <v>57</v>
      </c>
      <c r="G35" s="80">
        <v>0</v>
      </c>
      <c r="H35" s="81">
        <f t="shared" si="27"/>
        <v>2</v>
      </c>
      <c r="I35" s="83">
        <v>6.45</v>
      </c>
      <c r="J35" s="83">
        <f t="shared" si="28"/>
        <v>12.9</v>
      </c>
      <c r="K35" s="84">
        <v>0.65</v>
      </c>
      <c r="L35" s="85">
        <f t="shared" si="22"/>
        <v>1.3</v>
      </c>
      <c r="M35" s="86">
        <f>'LABOR SHEET'!C$5</f>
        <v>57.65</v>
      </c>
      <c r="N35" s="83">
        <f t="shared" si="23"/>
        <v>37.4725</v>
      </c>
      <c r="O35" s="83">
        <f t="shared" si="24"/>
        <v>74.945</v>
      </c>
      <c r="P35" s="83">
        <f t="shared" si="25"/>
        <v>43.9225</v>
      </c>
      <c r="Q35" s="114">
        <f t="shared" si="26"/>
        <v>87.845</v>
      </c>
      <c r="R35" s="101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</row>
    <row r="36" s="31" customFormat="1" spans="1:36">
      <c r="A36" s="55">
        <f>IF(G36&lt;&gt;"",1+MAX($A$3:A35),"")</f>
        <v>24</v>
      </c>
      <c r="B36" s="77"/>
      <c r="C36" s="78"/>
      <c r="D36" s="57" t="s">
        <v>65</v>
      </c>
      <c r="E36" s="75">
        <v>4</v>
      </c>
      <c r="F36" s="58" t="s">
        <v>57</v>
      </c>
      <c r="G36" s="80">
        <v>0</v>
      </c>
      <c r="H36" s="81">
        <f t="shared" si="27"/>
        <v>4</v>
      </c>
      <c r="I36" s="83">
        <v>12.5</v>
      </c>
      <c r="J36" s="83">
        <f t="shared" si="28"/>
        <v>50</v>
      </c>
      <c r="K36" s="84">
        <v>0.67</v>
      </c>
      <c r="L36" s="85">
        <f t="shared" si="22"/>
        <v>2.68</v>
      </c>
      <c r="M36" s="86">
        <f>'LABOR SHEET'!C$5</f>
        <v>57.65</v>
      </c>
      <c r="N36" s="83">
        <f t="shared" si="23"/>
        <v>38.6255</v>
      </c>
      <c r="O36" s="83">
        <f t="shared" si="24"/>
        <v>154.502</v>
      </c>
      <c r="P36" s="83">
        <f t="shared" si="25"/>
        <v>51.1255</v>
      </c>
      <c r="Q36" s="114">
        <f t="shared" si="26"/>
        <v>204.502</v>
      </c>
      <c r="R36" s="101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</row>
    <row r="37" s="31" customFormat="1" spans="1:36">
      <c r="A37" s="55">
        <f>IF(G37&lt;&gt;"",1+MAX($A$3:A36),"")</f>
        <v>25</v>
      </c>
      <c r="B37" s="77"/>
      <c r="C37" s="78"/>
      <c r="D37" s="57" t="s">
        <v>66</v>
      </c>
      <c r="E37" s="75">
        <v>1</v>
      </c>
      <c r="F37" s="58" t="s">
        <v>57</v>
      </c>
      <c r="G37" s="80">
        <v>0</v>
      </c>
      <c r="H37" s="81">
        <f t="shared" si="27"/>
        <v>1</v>
      </c>
      <c r="I37" s="83">
        <v>18.25</v>
      </c>
      <c r="J37" s="83">
        <f t="shared" si="28"/>
        <v>18.25</v>
      </c>
      <c r="K37" s="84">
        <v>0.68</v>
      </c>
      <c r="L37" s="85">
        <f t="shared" si="22"/>
        <v>0.68</v>
      </c>
      <c r="M37" s="86">
        <f>'LABOR SHEET'!C$5</f>
        <v>57.65</v>
      </c>
      <c r="N37" s="83">
        <f t="shared" si="23"/>
        <v>39.202</v>
      </c>
      <c r="O37" s="83">
        <f t="shared" si="24"/>
        <v>39.202</v>
      </c>
      <c r="P37" s="83">
        <f t="shared" si="25"/>
        <v>57.452</v>
      </c>
      <c r="Q37" s="114">
        <f t="shared" si="26"/>
        <v>57.452</v>
      </c>
      <c r="R37" s="101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</row>
    <row r="38" s="31" customFormat="1" spans="1:36">
      <c r="A38" s="55">
        <f>IF(G38&lt;&gt;"",1+MAX($A$3:A37),"")</f>
        <v>26</v>
      </c>
      <c r="B38" s="77"/>
      <c r="C38" s="78"/>
      <c r="D38" s="57" t="s">
        <v>67</v>
      </c>
      <c r="E38" s="75">
        <v>7</v>
      </c>
      <c r="F38" s="58" t="s">
        <v>57</v>
      </c>
      <c r="G38" s="80">
        <v>0</v>
      </c>
      <c r="H38" s="81">
        <f t="shared" si="27"/>
        <v>7</v>
      </c>
      <c r="I38" s="83">
        <v>25.5</v>
      </c>
      <c r="J38" s="83">
        <f t="shared" si="28"/>
        <v>178.5</v>
      </c>
      <c r="K38" s="84">
        <v>0.69</v>
      </c>
      <c r="L38" s="85">
        <f t="shared" si="22"/>
        <v>4.83</v>
      </c>
      <c r="M38" s="86">
        <f>'LABOR SHEET'!C$5</f>
        <v>57.65</v>
      </c>
      <c r="N38" s="83">
        <f t="shared" si="23"/>
        <v>39.7785</v>
      </c>
      <c r="O38" s="83">
        <f t="shared" si="24"/>
        <v>278.4495</v>
      </c>
      <c r="P38" s="83">
        <f t="shared" si="25"/>
        <v>65.2785</v>
      </c>
      <c r="Q38" s="114">
        <f t="shared" si="26"/>
        <v>456.9495</v>
      </c>
      <c r="R38" s="101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</row>
    <row r="39" s="31" customFormat="1" spans="1:36">
      <c r="A39" s="55">
        <f>IF(G39&lt;&gt;"",1+MAX($A$3:A38),"")</f>
        <v>27</v>
      </c>
      <c r="B39" s="77"/>
      <c r="C39" s="78"/>
      <c r="D39" s="57" t="s">
        <v>68</v>
      </c>
      <c r="E39" s="75">
        <v>2</v>
      </c>
      <c r="F39" s="58" t="s">
        <v>57</v>
      </c>
      <c r="G39" s="80">
        <v>0</v>
      </c>
      <c r="H39" s="81">
        <f t="shared" si="27"/>
        <v>2</v>
      </c>
      <c r="I39" s="83">
        <v>30.5</v>
      </c>
      <c r="J39" s="83">
        <f t="shared" si="28"/>
        <v>61</v>
      </c>
      <c r="K39" s="84">
        <v>0.7</v>
      </c>
      <c r="L39" s="85">
        <f t="shared" si="22"/>
        <v>1.4</v>
      </c>
      <c r="M39" s="86">
        <f>'LABOR SHEET'!C$5</f>
        <v>57.65</v>
      </c>
      <c r="N39" s="83">
        <f t="shared" si="23"/>
        <v>40.355</v>
      </c>
      <c r="O39" s="83">
        <f t="shared" si="24"/>
        <v>80.71</v>
      </c>
      <c r="P39" s="83">
        <f t="shared" si="25"/>
        <v>70.855</v>
      </c>
      <c r="Q39" s="114">
        <f t="shared" si="26"/>
        <v>141.71</v>
      </c>
      <c r="R39" s="101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</row>
    <row r="40" s="31" customFormat="1" spans="1:36">
      <c r="A40" s="55">
        <f>IF(G40&lt;&gt;"",1+MAX($A$3:A39),"")</f>
        <v>28</v>
      </c>
      <c r="B40" s="77"/>
      <c r="C40" s="78"/>
      <c r="D40" s="57" t="s">
        <v>69</v>
      </c>
      <c r="E40" s="75">
        <v>1</v>
      </c>
      <c r="F40" s="58" t="s">
        <v>57</v>
      </c>
      <c r="G40" s="80">
        <v>0</v>
      </c>
      <c r="H40" s="81">
        <f t="shared" ref="H40:H45" si="29">E40*(1+G40)</f>
        <v>1</v>
      </c>
      <c r="I40" s="83">
        <v>38.5</v>
      </c>
      <c r="J40" s="83">
        <f t="shared" ref="J40:J45" si="30">I40*H40</f>
        <v>38.5</v>
      </c>
      <c r="K40" s="84">
        <v>0.72</v>
      </c>
      <c r="L40" s="85">
        <f t="shared" si="22"/>
        <v>0.72</v>
      </c>
      <c r="M40" s="86">
        <f>'LABOR SHEET'!C$5</f>
        <v>57.65</v>
      </c>
      <c r="N40" s="83">
        <f t="shared" si="23"/>
        <v>41.508</v>
      </c>
      <c r="O40" s="83">
        <f t="shared" si="24"/>
        <v>41.508</v>
      </c>
      <c r="P40" s="83">
        <f t="shared" si="25"/>
        <v>80.008</v>
      </c>
      <c r="Q40" s="114">
        <f t="shared" si="26"/>
        <v>80.008</v>
      </c>
      <c r="R40" s="101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</row>
    <row r="41" s="31" customFormat="1" spans="1:36">
      <c r="A41" s="55">
        <f>IF(G41&lt;&gt;"",1+MAX($A$3:A40),"")</f>
        <v>29</v>
      </c>
      <c r="B41" s="77"/>
      <c r="C41" s="78"/>
      <c r="D41" s="57" t="s">
        <v>70</v>
      </c>
      <c r="E41" s="75">
        <v>3</v>
      </c>
      <c r="F41" s="58" t="s">
        <v>57</v>
      </c>
      <c r="G41" s="80">
        <v>0</v>
      </c>
      <c r="H41" s="81">
        <f t="shared" si="29"/>
        <v>3</v>
      </c>
      <c r="I41" s="83">
        <v>50.5</v>
      </c>
      <c r="J41" s="83">
        <f t="shared" si="30"/>
        <v>151.5</v>
      </c>
      <c r="K41" s="84">
        <v>0.74</v>
      </c>
      <c r="L41" s="85">
        <f t="shared" si="22"/>
        <v>2.22</v>
      </c>
      <c r="M41" s="86">
        <f>'LABOR SHEET'!C$5</f>
        <v>57.65</v>
      </c>
      <c r="N41" s="83">
        <f t="shared" si="23"/>
        <v>42.661</v>
      </c>
      <c r="O41" s="83">
        <f t="shared" si="24"/>
        <v>127.983</v>
      </c>
      <c r="P41" s="83">
        <f t="shared" si="25"/>
        <v>93.161</v>
      </c>
      <c r="Q41" s="114">
        <f t="shared" si="26"/>
        <v>279.483</v>
      </c>
      <c r="R41" s="10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</row>
    <row r="42" s="31" customFormat="1" spans="1:36">
      <c r="A42" s="55">
        <f>IF(G42&lt;&gt;"",1+MAX($A$3:A41),"")</f>
        <v>30</v>
      </c>
      <c r="B42" s="77"/>
      <c r="C42" s="78"/>
      <c r="D42" s="57" t="s">
        <v>71</v>
      </c>
      <c r="E42" s="75">
        <v>3</v>
      </c>
      <c r="F42" s="58" t="s">
        <v>57</v>
      </c>
      <c r="G42" s="80">
        <v>0</v>
      </c>
      <c r="H42" s="81">
        <f t="shared" si="29"/>
        <v>3</v>
      </c>
      <c r="I42" s="83">
        <v>70.12</v>
      </c>
      <c r="J42" s="83">
        <f t="shared" si="30"/>
        <v>210.36</v>
      </c>
      <c r="K42" s="84">
        <v>0.76</v>
      </c>
      <c r="L42" s="85">
        <f t="shared" si="22"/>
        <v>2.28</v>
      </c>
      <c r="M42" s="86">
        <f>'LABOR SHEET'!C$5</f>
        <v>57.65</v>
      </c>
      <c r="N42" s="83">
        <f t="shared" si="23"/>
        <v>43.814</v>
      </c>
      <c r="O42" s="83">
        <f t="shared" si="24"/>
        <v>131.442</v>
      </c>
      <c r="P42" s="83">
        <f t="shared" si="25"/>
        <v>113.934</v>
      </c>
      <c r="Q42" s="114">
        <f t="shared" si="26"/>
        <v>341.802</v>
      </c>
      <c r="R42" s="101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</row>
    <row r="43" s="31" customFormat="1" spans="1:36">
      <c r="A43" s="55">
        <f>IF(G43&lt;&gt;"",1+MAX($A$3:A42),"")</f>
        <v>31</v>
      </c>
      <c r="B43" s="77"/>
      <c r="C43" s="78"/>
      <c r="D43" s="57" t="s">
        <v>72</v>
      </c>
      <c r="E43" s="75">
        <v>1</v>
      </c>
      <c r="F43" s="58" t="s">
        <v>57</v>
      </c>
      <c r="G43" s="80">
        <v>0</v>
      </c>
      <c r="H43" s="81">
        <f t="shared" si="29"/>
        <v>1</v>
      </c>
      <c r="I43" s="83">
        <v>86.5</v>
      </c>
      <c r="J43" s="83">
        <f t="shared" si="30"/>
        <v>86.5</v>
      </c>
      <c r="K43" s="84">
        <v>0.78</v>
      </c>
      <c r="L43" s="85">
        <f t="shared" si="22"/>
        <v>0.78</v>
      </c>
      <c r="M43" s="86">
        <f>'LABOR SHEET'!C$5</f>
        <v>57.65</v>
      </c>
      <c r="N43" s="83">
        <f t="shared" si="23"/>
        <v>44.967</v>
      </c>
      <c r="O43" s="83">
        <f t="shared" si="24"/>
        <v>44.967</v>
      </c>
      <c r="P43" s="83">
        <f t="shared" si="25"/>
        <v>131.467</v>
      </c>
      <c r="Q43" s="114">
        <f t="shared" si="26"/>
        <v>131.467</v>
      </c>
      <c r="R43" s="101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</row>
    <row r="44" s="31" customFormat="1" spans="1:36">
      <c r="A44" s="55">
        <f>IF(G44&lt;&gt;"",1+MAX($A$3:A43),"")</f>
        <v>32</v>
      </c>
      <c r="B44" s="77"/>
      <c r="C44" s="78"/>
      <c r="D44" s="57" t="s">
        <v>73</v>
      </c>
      <c r="E44" s="75">
        <v>1</v>
      </c>
      <c r="F44" s="58" t="s">
        <v>57</v>
      </c>
      <c r="G44" s="80">
        <v>0</v>
      </c>
      <c r="H44" s="81">
        <f t="shared" si="29"/>
        <v>1</v>
      </c>
      <c r="I44" s="83">
        <v>90.2</v>
      </c>
      <c r="J44" s="83">
        <f t="shared" si="30"/>
        <v>90.2</v>
      </c>
      <c r="K44" s="84">
        <v>0.8</v>
      </c>
      <c r="L44" s="85">
        <f t="shared" si="22"/>
        <v>0.8</v>
      </c>
      <c r="M44" s="86">
        <f>'LABOR SHEET'!C$5</f>
        <v>57.65</v>
      </c>
      <c r="N44" s="83">
        <f t="shared" si="23"/>
        <v>46.12</v>
      </c>
      <c r="O44" s="83">
        <f t="shared" si="24"/>
        <v>46.12</v>
      </c>
      <c r="P44" s="83">
        <f t="shared" si="25"/>
        <v>136.32</v>
      </c>
      <c r="Q44" s="114">
        <f t="shared" si="26"/>
        <v>136.32</v>
      </c>
      <c r="R44" s="101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</row>
    <row r="45" s="31" customFormat="1" spans="1:36">
      <c r="A45" s="55">
        <f>IF(G45&lt;&gt;"",1+MAX($A$3:A44),"")</f>
        <v>33</v>
      </c>
      <c r="B45" s="77"/>
      <c r="C45" s="78"/>
      <c r="D45" s="57" t="s">
        <v>74</v>
      </c>
      <c r="E45" s="75">
        <v>1</v>
      </c>
      <c r="F45" s="58" t="s">
        <v>57</v>
      </c>
      <c r="G45" s="80">
        <v>0</v>
      </c>
      <c r="H45" s="81">
        <f t="shared" si="29"/>
        <v>1</v>
      </c>
      <c r="I45" s="83">
        <v>110.5</v>
      </c>
      <c r="J45" s="83">
        <f t="shared" si="30"/>
        <v>110.5</v>
      </c>
      <c r="K45" s="84">
        <v>0.81</v>
      </c>
      <c r="L45" s="85">
        <f t="shared" si="22"/>
        <v>0.81</v>
      </c>
      <c r="M45" s="86">
        <f>'LABOR SHEET'!C$5</f>
        <v>57.65</v>
      </c>
      <c r="N45" s="83">
        <f t="shared" si="23"/>
        <v>46.6965</v>
      </c>
      <c r="O45" s="83">
        <f t="shared" si="24"/>
        <v>46.6965</v>
      </c>
      <c r="P45" s="83">
        <f t="shared" si="25"/>
        <v>157.1965</v>
      </c>
      <c r="Q45" s="114">
        <f t="shared" si="26"/>
        <v>157.1965</v>
      </c>
      <c r="R45" s="101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</row>
    <row r="46" s="31" customFormat="1" spans="1:36">
      <c r="A46" s="55">
        <f>IF(G46&lt;&gt;"",1+MAX($A$3:A45),"")</f>
        <v>34</v>
      </c>
      <c r="B46" s="77"/>
      <c r="C46" s="78"/>
      <c r="D46" s="57" t="s">
        <v>75</v>
      </c>
      <c r="E46" s="75">
        <v>1</v>
      </c>
      <c r="F46" s="58" t="s">
        <v>57</v>
      </c>
      <c r="G46" s="80">
        <v>0</v>
      </c>
      <c r="H46" s="81">
        <f t="shared" ref="H46:H51" si="31">E46*(1+G46)</f>
        <v>1</v>
      </c>
      <c r="I46" s="83">
        <v>130</v>
      </c>
      <c r="J46" s="83">
        <f t="shared" ref="J46:J51" si="32">I46*H46</f>
        <v>130</v>
      </c>
      <c r="K46" s="84">
        <v>0.82</v>
      </c>
      <c r="L46" s="85">
        <f t="shared" si="22"/>
        <v>0.82</v>
      </c>
      <c r="M46" s="86">
        <f>'LABOR SHEET'!C$5</f>
        <v>57.65</v>
      </c>
      <c r="N46" s="83">
        <f t="shared" si="23"/>
        <v>47.273</v>
      </c>
      <c r="O46" s="83">
        <f t="shared" si="24"/>
        <v>47.273</v>
      </c>
      <c r="P46" s="83">
        <f t="shared" si="25"/>
        <v>177.273</v>
      </c>
      <c r="Q46" s="114">
        <f t="shared" si="26"/>
        <v>177.273</v>
      </c>
      <c r="R46" s="101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</row>
    <row r="47" s="31" customFormat="1" spans="1:36">
      <c r="A47" s="55">
        <f>IF(G47&lt;&gt;"",1+MAX($A$3:A46),"")</f>
        <v>35</v>
      </c>
      <c r="B47" s="77"/>
      <c r="C47" s="78"/>
      <c r="D47" s="57" t="s">
        <v>76</v>
      </c>
      <c r="E47" s="75">
        <v>2</v>
      </c>
      <c r="F47" s="58" t="s">
        <v>57</v>
      </c>
      <c r="G47" s="80">
        <v>0</v>
      </c>
      <c r="H47" s="81">
        <f t="shared" si="31"/>
        <v>2</v>
      </c>
      <c r="I47" s="83">
        <v>148</v>
      </c>
      <c r="J47" s="83">
        <f t="shared" si="32"/>
        <v>296</v>
      </c>
      <c r="K47" s="84">
        <v>0.84</v>
      </c>
      <c r="L47" s="85">
        <f t="shared" si="22"/>
        <v>1.68</v>
      </c>
      <c r="M47" s="86">
        <f>'LABOR SHEET'!C$5</f>
        <v>57.65</v>
      </c>
      <c r="N47" s="83">
        <f t="shared" si="23"/>
        <v>48.426</v>
      </c>
      <c r="O47" s="83">
        <f t="shared" si="24"/>
        <v>96.852</v>
      </c>
      <c r="P47" s="83">
        <f t="shared" si="25"/>
        <v>196.426</v>
      </c>
      <c r="Q47" s="114">
        <f t="shared" si="26"/>
        <v>392.852</v>
      </c>
      <c r="R47" s="101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</row>
    <row r="48" s="31" customFormat="1" spans="1:36">
      <c r="A48" s="55">
        <f>IF(G48&lt;&gt;"",1+MAX($A$3:A47),"")</f>
        <v>36</v>
      </c>
      <c r="B48" s="77"/>
      <c r="C48" s="78"/>
      <c r="D48" s="57" t="s">
        <v>77</v>
      </c>
      <c r="E48" s="75">
        <v>1</v>
      </c>
      <c r="F48" s="58" t="s">
        <v>57</v>
      </c>
      <c r="G48" s="80">
        <v>0</v>
      </c>
      <c r="H48" s="81">
        <f t="shared" si="31"/>
        <v>1</v>
      </c>
      <c r="I48" s="83">
        <v>170.26</v>
      </c>
      <c r="J48" s="83">
        <f t="shared" si="32"/>
        <v>170.26</v>
      </c>
      <c r="K48" s="84">
        <v>0.85</v>
      </c>
      <c r="L48" s="85">
        <f t="shared" si="22"/>
        <v>0.85</v>
      </c>
      <c r="M48" s="86">
        <f>'LABOR SHEET'!C$5</f>
        <v>57.65</v>
      </c>
      <c r="N48" s="83">
        <f t="shared" si="23"/>
        <v>49.0025</v>
      </c>
      <c r="O48" s="83">
        <f t="shared" si="24"/>
        <v>49.0025</v>
      </c>
      <c r="P48" s="83">
        <f t="shared" si="25"/>
        <v>219.2625</v>
      </c>
      <c r="Q48" s="114">
        <f t="shared" si="26"/>
        <v>219.2625</v>
      </c>
      <c r="R48" s="101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</row>
    <row r="49" s="31" customFormat="1" spans="1:36">
      <c r="A49" s="55">
        <f>IF(G49&lt;&gt;"",1+MAX($A$3:A48),"")</f>
        <v>37</v>
      </c>
      <c r="B49" s="77"/>
      <c r="C49" s="78"/>
      <c r="D49" s="57" t="s">
        <v>78</v>
      </c>
      <c r="E49" s="75">
        <v>1</v>
      </c>
      <c r="F49" s="58" t="s">
        <v>57</v>
      </c>
      <c r="G49" s="80">
        <v>0</v>
      </c>
      <c r="H49" s="81">
        <f t="shared" si="31"/>
        <v>1</v>
      </c>
      <c r="I49" s="83">
        <v>14.61</v>
      </c>
      <c r="J49" s="83">
        <f t="shared" si="32"/>
        <v>14.61</v>
      </c>
      <c r="K49" s="84">
        <v>0.4</v>
      </c>
      <c r="L49" s="85">
        <f t="shared" si="22"/>
        <v>0.4</v>
      </c>
      <c r="M49" s="86">
        <f>'LABOR SHEET'!C$5</f>
        <v>57.65</v>
      </c>
      <c r="N49" s="83">
        <f t="shared" si="23"/>
        <v>23.06</v>
      </c>
      <c r="O49" s="83">
        <f t="shared" si="24"/>
        <v>23.06</v>
      </c>
      <c r="P49" s="83">
        <f t="shared" si="25"/>
        <v>37.67</v>
      </c>
      <c r="Q49" s="114">
        <f t="shared" si="26"/>
        <v>37.67</v>
      </c>
      <c r="R49" s="101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</row>
    <row r="50" s="31" customFormat="1" spans="1:36">
      <c r="A50" s="55">
        <f>IF(G50&lt;&gt;"",1+MAX($A$3:A49),"")</f>
        <v>38</v>
      </c>
      <c r="B50" s="77"/>
      <c r="C50" s="78"/>
      <c r="D50" s="57" t="s">
        <v>79</v>
      </c>
      <c r="E50" s="75">
        <v>1</v>
      </c>
      <c r="F50" s="58" t="s">
        <v>57</v>
      </c>
      <c r="G50" s="80">
        <v>0</v>
      </c>
      <c r="H50" s="81">
        <f t="shared" si="31"/>
        <v>1</v>
      </c>
      <c r="I50" s="83">
        <v>20.5</v>
      </c>
      <c r="J50" s="83">
        <f t="shared" si="32"/>
        <v>20.5</v>
      </c>
      <c r="K50" s="84">
        <v>0.42</v>
      </c>
      <c r="L50" s="85">
        <f t="shared" si="22"/>
        <v>0.42</v>
      </c>
      <c r="M50" s="86">
        <f>'LABOR SHEET'!C$5</f>
        <v>57.65</v>
      </c>
      <c r="N50" s="83">
        <f t="shared" si="23"/>
        <v>24.213</v>
      </c>
      <c r="O50" s="83">
        <f t="shared" si="24"/>
        <v>24.213</v>
      </c>
      <c r="P50" s="83">
        <f t="shared" si="25"/>
        <v>44.713</v>
      </c>
      <c r="Q50" s="114">
        <f t="shared" si="26"/>
        <v>44.713</v>
      </c>
      <c r="R50" s="101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</row>
    <row r="51" s="31" customFormat="1" spans="1:36">
      <c r="A51" s="55">
        <f>IF(G51&lt;&gt;"",1+MAX($A$3:A50),"")</f>
        <v>39</v>
      </c>
      <c r="B51" s="77"/>
      <c r="C51" s="78"/>
      <c r="D51" s="57" t="s">
        <v>80</v>
      </c>
      <c r="E51" s="75">
        <v>1</v>
      </c>
      <c r="F51" s="58" t="s">
        <v>57</v>
      </c>
      <c r="G51" s="80">
        <v>0</v>
      </c>
      <c r="H51" s="81">
        <f t="shared" si="31"/>
        <v>1</v>
      </c>
      <c r="I51" s="83">
        <v>35.5</v>
      </c>
      <c r="J51" s="83">
        <f t="shared" si="32"/>
        <v>35.5</v>
      </c>
      <c r="K51" s="84">
        <v>0.44</v>
      </c>
      <c r="L51" s="85">
        <f t="shared" si="22"/>
        <v>0.44</v>
      </c>
      <c r="M51" s="86">
        <f>'LABOR SHEET'!C$5</f>
        <v>57.65</v>
      </c>
      <c r="N51" s="83">
        <f t="shared" si="23"/>
        <v>25.366</v>
      </c>
      <c r="O51" s="83">
        <f t="shared" si="24"/>
        <v>25.366</v>
      </c>
      <c r="P51" s="83">
        <f t="shared" si="25"/>
        <v>60.866</v>
      </c>
      <c r="Q51" s="114">
        <f t="shared" si="26"/>
        <v>60.866</v>
      </c>
      <c r="R51" s="101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</row>
    <row r="52" s="31" customFormat="1" spans="1:36">
      <c r="A52" s="55">
        <f>IF(G52&lt;&gt;"",1+MAX($A$3:A51),"")</f>
        <v>40</v>
      </c>
      <c r="B52" s="77"/>
      <c r="C52" s="78"/>
      <c r="D52" s="57" t="s">
        <v>81</v>
      </c>
      <c r="E52" s="75">
        <v>1</v>
      </c>
      <c r="F52" s="58" t="s">
        <v>57</v>
      </c>
      <c r="G52" s="80">
        <v>0</v>
      </c>
      <c r="H52" s="81">
        <f t="shared" ref="H52:H59" si="33">E52*(1+G52)</f>
        <v>1</v>
      </c>
      <c r="I52" s="83">
        <v>45</v>
      </c>
      <c r="J52" s="83">
        <f t="shared" ref="J52:J59" si="34">I52*H52</f>
        <v>45</v>
      </c>
      <c r="K52" s="84">
        <v>0.46</v>
      </c>
      <c r="L52" s="85">
        <f t="shared" si="22"/>
        <v>0.46</v>
      </c>
      <c r="M52" s="86">
        <f>'LABOR SHEET'!C$5</f>
        <v>57.65</v>
      </c>
      <c r="N52" s="83">
        <f t="shared" si="23"/>
        <v>26.519</v>
      </c>
      <c r="O52" s="83">
        <f t="shared" si="24"/>
        <v>26.519</v>
      </c>
      <c r="P52" s="83">
        <f t="shared" si="25"/>
        <v>71.519</v>
      </c>
      <c r="Q52" s="114">
        <f t="shared" si="26"/>
        <v>71.519</v>
      </c>
      <c r="R52" s="101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</row>
    <row r="53" s="31" customFormat="1" spans="1:36">
      <c r="A53" s="55">
        <f>IF(G53&lt;&gt;"",1+MAX($A$3:A52),"")</f>
        <v>41</v>
      </c>
      <c r="B53" s="77"/>
      <c r="C53" s="78"/>
      <c r="D53" s="57" t="s">
        <v>82</v>
      </c>
      <c r="E53" s="75">
        <v>1</v>
      </c>
      <c r="F53" s="58" t="s">
        <v>57</v>
      </c>
      <c r="G53" s="80">
        <v>0</v>
      </c>
      <c r="H53" s="81">
        <f t="shared" si="33"/>
        <v>1</v>
      </c>
      <c r="I53" s="83">
        <v>52</v>
      </c>
      <c r="J53" s="83">
        <f t="shared" si="34"/>
        <v>52</v>
      </c>
      <c r="K53" s="84">
        <v>0.48</v>
      </c>
      <c r="L53" s="85">
        <f t="shared" si="22"/>
        <v>0.48</v>
      </c>
      <c r="M53" s="86">
        <f>'LABOR SHEET'!C$5</f>
        <v>57.65</v>
      </c>
      <c r="N53" s="83">
        <f t="shared" si="23"/>
        <v>27.672</v>
      </c>
      <c r="O53" s="83">
        <f t="shared" si="24"/>
        <v>27.672</v>
      </c>
      <c r="P53" s="83">
        <f t="shared" si="25"/>
        <v>79.672</v>
      </c>
      <c r="Q53" s="114">
        <f t="shared" si="26"/>
        <v>79.672</v>
      </c>
      <c r="R53" s="101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</row>
    <row r="54" s="31" customFormat="1" spans="1:36">
      <c r="A54" s="55">
        <f>IF(G54&lt;&gt;"",1+MAX($A$3:A53),"")</f>
        <v>42</v>
      </c>
      <c r="B54" s="77"/>
      <c r="C54" s="78"/>
      <c r="D54" s="57" t="s">
        <v>83</v>
      </c>
      <c r="E54" s="75">
        <v>2</v>
      </c>
      <c r="F54" s="58" t="s">
        <v>57</v>
      </c>
      <c r="G54" s="80">
        <v>0</v>
      </c>
      <c r="H54" s="81">
        <f t="shared" si="33"/>
        <v>2</v>
      </c>
      <c r="I54" s="83">
        <v>58</v>
      </c>
      <c r="J54" s="83">
        <f t="shared" si="34"/>
        <v>116</v>
      </c>
      <c r="K54" s="84">
        <v>0.5</v>
      </c>
      <c r="L54" s="85">
        <f t="shared" si="22"/>
        <v>1</v>
      </c>
      <c r="M54" s="86">
        <f>'LABOR SHEET'!C$5</f>
        <v>57.65</v>
      </c>
      <c r="N54" s="83">
        <f t="shared" si="23"/>
        <v>28.825</v>
      </c>
      <c r="O54" s="83">
        <f t="shared" si="24"/>
        <v>57.65</v>
      </c>
      <c r="P54" s="83">
        <f t="shared" si="25"/>
        <v>86.825</v>
      </c>
      <c r="Q54" s="114">
        <f t="shared" si="26"/>
        <v>173.65</v>
      </c>
      <c r="R54" s="101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</row>
    <row r="55" s="31" customFormat="1" spans="1:36">
      <c r="A55" s="55">
        <f>IF(G55&lt;&gt;"",1+MAX($A$3:A54),"")</f>
        <v>43</v>
      </c>
      <c r="B55" s="77"/>
      <c r="C55" s="78"/>
      <c r="D55" s="57" t="s">
        <v>84</v>
      </c>
      <c r="E55" s="75">
        <v>1</v>
      </c>
      <c r="F55" s="58" t="s">
        <v>57</v>
      </c>
      <c r="G55" s="80">
        <v>0</v>
      </c>
      <c r="H55" s="81">
        <f t="shared" si="33"/>
        <v>1</v>
      </c>
      <c r="I55" s="83">
        <v>65</v>
      </c>
      <c r="J55" s="83">
        <f t="shared" si="34"/>
        <v>65</v>
      </c>
      <c r="K55" s="84">
        <v>0.52</v>
      </c>
      <c r="L55" s="85">
        <f t="shared" si="22"/>
        <v>0.52</v>
      </c>
      <c r="M55" s="86">
        <f>'LABOR SHEET'!C$5</f>
        <v>57.65</v>
      </c>
      <c r="N55" s="83">
        <f t="shared" si="23"/>
        <v>29.978</v>
      </c>
      <c r="O55" s="83">
        <f t="shared" si="24"/>
        <v>29.978</v>
      </c>
      <c r="P55" s="83">
        <f t="shared" si="25"/>
        <v>94.978</v>
      </c>
      <c r="Q55" s="114">
        <f t="shared" si="26"/>
        <v>94.978</v>
      </c>
      <c r="R55" s="101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</row>
    <row r="56" s="31" customFormat="1" spans="1:36">
      <c r="A56" s="55">
        <f>IF(G56&lt;&gt;"",1+MAX($A$3:A55),"")</f>
        <v>44</v>
      </c>
      <c r="B56" s="77"/>
      <c r="C56" s="78"/>
      <c r="D56" s="57" t="s">
        <v>85</v>
      </c>
      <c r="E56" s="75">
        <v>1</v>
      </c>
      <c r="F56" s="58" t="s">
        <v>57</v>
      </c>
      <c r="G56" s="80">
        <v>0</v>
      </c>
      <c r="H56" s="81">
        <f t="shared" si="33"/>
        <v>1</v>
      </c>
      <c r="I56" s="83">
        <v>70.34</v>
      </c>
      <c r="J56" s="83">
        <f t="shared" si="34"/>
        <v>70.34</v>
      </c>
      <c r="K56" s="84">
        <v>0.53</v>
      </c>
      <c r="L56" s="85">
        <f t="shared" si="22"/>
        <v>0.53</v>
      </c>
      <c r="M56" s="86">
        <f>'LABOR SHEET'!C$5</f>
        <v>57.65</v>
      </c>
      <c r="N56" s="83">
        <f t="shared" si="23"/>
        <v>30.5545</v>
      </c>
      <c r="O56" s="83">
        <f t="shared" si="24"/>
        <v>30.5545</v>
      </c>
      <c r="P56" s="83">
        <f t="shared" si="25"/>
        <v>100.8945</v>
      </c>
      <c r="Q56" s="114">
        <f t="shared" si="26"/>
        <v>100.8945</v>
      </c>
      <c r="R56" s="101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</row>
    <row r="57" s="31" customFormat="1" spans="1:36">
      <c r="A57" s="55" t="str">
        <f>IF(G57&lt;&gt;"",1+MAX($A$3:A56),"")</f>
        <v/>
      </c>
      <c r="B57" s="77"/>
      <c r="C57" s="78"/>
      <c r="D57" s="57"/>
      <c r="E57" s="75"/>
      <c r="F57" s="58"/>
      <c r="G57" s="80"/>
      <c r="H57" s="81"/>
      <c r="I57" s="87"/>
      <c r="J57" s="83"/>
      <c r="K57" s="84"/>
      <c r="L57" s="85"/>
      <c r="M57" s="86"/>
      <c r="N57" s="83"/>
      <c r="O57" s="83"/>
      <c r="P57" s="83"/>
      <c r="Q57" s="114"/>
      <c r="R57" s="101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</row>
    <row r="58" s="31" customFormat="1" spans="1:36">
      <c r="A58" s="55" t="str">
        <f>IF(G58&lt;&gt;"",1+MAX($A$3:A57),"")</f>
        <v/>
      </c>
      <c r="B58" s="77"/>
      <c r="C58" s="78"/>
      <c r="D58" s="82" t="s">
        <v>86</v>
      </c>
      <c r="E58" s="75"/>
      <c r="F58" s="58"/>
      <c r="G58" s="80"/>
      <c r="H58" s="81"/>
      <c r="I58" s="87"/>
      <c r="J58" s="83"/>
      <c r="K58" s="84"/>
      <c r="L58" s="85"/>
      <c r="M58" s="86"/>
      <c r="N58" s="83"/>
      <c r="O58" s="83"/>
      <c r="P58" s="83"/>
      <c r="Q58" s="114"/>
      <c r="R58" s="101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</row>
    <row r="59" s="31" customFormat="1" spans="1:36">
      <c r="A59" s="55">
        <f>IF(G59&lt;&gt;"",1+MAX($A$3:A58),"")</f>
        <v>45</v>
      </c>
      <c r="B59" s="77"/>
      <c r="C59" s="78"/>
      <c r="D59" s="57" t="s">
        <v>87</v>
      </c>
      <c r="E59" s="75">
        <v>2</v>
      </c>
      <c r="F59" s="58" t="s">
        <v>57</v>
      </c>
      <c r="G59" s="80">
        <v>0</v>
      </c>
      <c r="H59" s="81">
        <f t="shared" si="33"/>
        <v>2</v>
      </c>
      <c r="I59" s="83">
        <v>5.12</v>
      </c>
      <c r="J59" s="83">
        <f t="shared" si="34"/>
        <v>10.24</v>
      </c>
      <c r="K59" s="84">
        <v>0.4</v>
      </c>
      <c r="L59" s="85">
        <f t="shared" ref="L59:L74" si="35">+K59*H59</f>
        <v>0.8</v>
      </c>
      <c r="M59" s="86">
        <f>'LABOR SHEET'!C$5</f>
        <v>57.65</v>
      </c>
      <c r="N59" s="83">
        <f t="shared" ref="N59:N74" si="36">K59*M59</f>
        <v>23.06</v>
      </c>
      <c r="O59" s="83">
        <f t="shared" ref="O59:O74" si="37">M59*L59</f>
        <v>46.12</v>
      </c>
      <c r="P59" s="83">
        <f t="shared" ref="P59:P74" si="38">I59+N59</f>
        <v>28.18</v>
      </c>
      <c r="Q59" s="114">
        <f t="shared" ref="Q59:Q74" si="39">P59*H59</f>
        <v>56.36</v>
      </c>
      <c r="R59" s="101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</row>
    <row r="60" s="31" customFormat="1" spans="1:36">
      <c r="A60" s="55">
        <f>IF(G60&lt;&gt;"",1+MAX($A$3:A59),"")</f>
        <v>46</v>
      </c>
      <c r="B60" s="77"/>
      <c r="C60" s="78"/>
      <c r="D60" s="57" t="s">
        <v>88</v>
      </c>
      <c r="E60" s="75">
        <v>2</v>
      </c>
      <c r="F60" s="58" t="s">
        <v>57</v>
      </c>
      <c r="G60" s="80">
        <v>0</v>
      </c>
      <c r="H60" s="81">
        <f t="shared" ref="H60:H65" si="40">E60*(1+G60)</f>
        <v>2</v>
      </c>
      <c r="I60" s="83">
        <v>35.5</v>
      </c>
      <c r="J60" s="83">
        <f t="shared" ref="J60:J65" si="41">I60*H60</f>
        <v>71</v>
      </c>
      <c r="K60" s="84">
        <v>0.65</v>
      </c>
      <c r="L60" s="85">
        <f t="shared" si="35"/>
        <v>1.3</v>
      </c>
      <c r="M60" s="86">
        <f>'LABOR SHEET'!C$5</f>
        <v>57.65</v>
      </c>
      <c r="N60" s="83">
        <f t="shared" si="36"/>
        <v>37.4725</v>
      </c>
      <c r="O60" s="83">
        <f t="shared" si="37"/>
        <v>74.945</v>
      </c>
      <c r="P60" s="83">
        <f t="shared" si="38"/>
        <v>72.9725</v>
      </c>
      <c r="Q60" s="114">
        <f t="shared" si="39"/>
        <v>145.945</v>
      </c>
      <c r="R60" s="101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</row>
    <row r="61" s="31" customFormat="1" spans="1:36">
      <c r="A61" s="55">
        <f>IF(G61&lt;&gt;"",1+MAX($A$3:A60),"")</f>
        <v>47</v>
      </c>
      <c r="B61" s="77"/>
      <c r="C61" s="78"/>
      <c r="D61" s="57" t="s">
        <v>89</v>
      </c>
      <c r="E61" s="75">
        <v>2</v>
      </c>
      <c r="F61" s="58" t="s">
        <v>57</v>
      </c>
      <c r="G61" s="80">
        <v>0</v>
      </c>
      <c r="H61" s="81">
        <f t="shared" si="40"/>
        <v>2</v>
      </c>
      <c r="I61" s="83">
        <v>15.45</v>
      </c>
      <c r="J61" s="83">
        <f t="shared" si="41"/>
        <v>30.9</v>
      </c>
      <c r="K61" s="84">
        <v>0.6</v>
      </c>
      <c r="L61" s="85">
        <f t="shared" si="35"/>
        <v>1.2</v>
      </c>
      <c r="M61" s="86">
        <f>'LABOR SHEET'!C$5</f>
        <v>57.65</v>
      </c>
      <c r="N61" s="83">
        <f t="shared" si="36"/>
        <v>34.59</v>
      </c>
      <c r="O61" s="83">
        <f t="shared" si="37"/>
        <v>69.18</v>
      </c>
      <c r="P61" s="83">
        <f t="shared" si="38"/>
        <v>50.04</v>
      </c>
      <c r="Q61" s="114">
        <f t="shared" si="39"/>
        <v>100.08</v>
      </c>
      <c r="R61" s="101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</row>
    <row r="62" s="31" customFormat="1" spans="1:36">
      <c r="A62" s="55">
        <f>IF(G62&lt;&gt;"",1+MAX($A$3:A61),"")</f>
        <v>48</v>
      </c>
      <c r="B62" s="77"/>
      <c r="C62" s="78"/>
      <c r="D62" s="57" t="s">
        <v>90</v>
      </c>
      <c r="E62" s="75">
        <v>2</v>
      </c>
      <c r="F62" s="58" t="s">
        <v>57</v>
      </c>
      <c r="G62" s="80">
        <v>0</v>
      </c>
      <c r="H62" s="81">
        <f t="shared" si="40"/>
        <v>2</v>
      </c>
      <c r="I62" s="83">
        <v>90.45</v>
      </c>
      <c r="J62" s="83">
        <f t="shared" si="41"/>
        <v>180.9</v>
      </c>
      <c r="K62" s="84">
        <v>0.65</v>
      </c>
      <c r="L62" s="85">
        <f t="shared" si="35"/>
        <v>1.3</v>
      </c>
      <c r="M62" s="86">
        <f>'LABOR SHEET'!C$5</f>
        <v>57.65</v>
      </c>
      <c r="N62" s="83">
        <f t="shared" si="36"/>
        <v>37.4725</v>
      </c>
      <c r="O62" s="83">
        <f t="shared" si="37"/>
        <v>74.945</v>
      </c>
      <c r="P62" s="83">
        <f t="shared" si="38"/>
        <v>127.9225</v>
      </c>
      <c r="Q62" s="114">
        <f t="shared" si="39"/>
        <v>255.845</v>
      </c>
      <c r="R62" s="101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</row>
    <row r="63" s="31" customFormat="1" spans="1:36">
      <c r="A63" s="55">
        <f>IF(G63&lt;&gt;"",1+MAX($A$3:A62),"")</f>
        <v>49</v>
      </c>
      <c r="B63" s="77"/>
      <c r="C63" s="78"/>
      <c r="D63" s="57" t="s">
        <v>91</v>
      </c>
      <c r="E63" s="75">
        <v>4</v>
      </c>
      <c r="F63" s="58" t="s">
        <v>57</v>
      </c>
      <c r="G63" s="80">
        <v>0</v>
      </c>
      <c r="H63" s="81">
        <f t="shared" si="40"/>
        <v>4</v>
      </c>
      <c r="I63" s="83">
        <v>10.45</v>
      </c>
      <c r="J63" s="83">
        <f t="shared" si="41"/>
        <v>41.8</v>
      </c>
      <c r="K63" s="84">
        <v>0.45</v>
      </c>
      <c r="L63" s="85">
        <f t="shared" si="35"/>
        <v>1.8</v>
      </c>
      <c r="M63" s="86">
        <f>'LABOR SHEET'!C$5</f>
        <v>57.65</v>
      </c>
      <c r="N63" s="83">
        <f t="shared" si="36"/>
        <v>25.9425</v>
      </c>
      <c r="O63" s="83">
        <f t="shared" si="37"/>
        <v>103.77</v>
      </c>
      <c r="P63" s="83">
        <f t="shared" si="38"/>
        <v>36.3925</v>
      </c>
      <c r="Q63" s="114">
        <f t="shared" si="39"/>
        <v>145.57</v>
      </c>
      <c r="R63" s="101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</row>
    <row r="64" s="31" customFormat="1" spans="1:36">
      <c r="A64" s="55">
        <f>IF(G64&lt;&gt;"",1+MAX($A$3:A63),"")</f>
        <v>50</v>
      </c>
      <c r="B64" s="77"/>
      <c r="C64" s="78"/>
      <c r="D64" s="57" t="s">
        <v>92</v>
      </c>
      <c r="E64" s="75">
        <v>4</v>
      </c>
      <c r="F64" s="58" t="s">
        <v>57</v>
      </c>
      <c r="G64" s="80">
        <v>0</v>
      </c>
      <c r="H64" s="81">
        <f t="shared" si="40"/>
        <v>4</v>
      </c>
      <c r="I64" s="83">
        <f>35/0.75</f>
        <v>46.6666666666667</v>
      </c>
      <c r="J64" s="83">
        <f t="shared" si="41"/>
        <v>186.666666666667</v>
      </c>
      <c r="K64" s="84">
        <v>0.68</v>
      </c>
      <c r="L64" s="85">
        <f t="shared" si="35"/>
        <v>2.72</v>
      </c>
      <c r="M64" s="86">
        <f>'LABOR SHEET'!C$5</f>
        <v>57.65</v>
      </c>
      <c r="N64" s="83">
        <f t="shared" si="36"/>
        <v>39.202</v>
      </c>
      <c r="O64" s="83">
        <f t="shared" si="37"/>
        <v>156.808</v>
      </c>
      <c r="P64" s="83">
        <f t="shared" si="38"/>
        <v>85.8686666666667</v>
      </c>
      <c r="Q64" s="114">
        <f t="shared" si="39"/>
        <v>343.474666666667</v>
      </c>
      <c r="R64" s="101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="31" customFormat="1" spans="1:36">
      <c r="A65" s="55">
        <f>IF(G65&lt;&gt;"",1+MAX($A$3:A64),"")</f>
        <v>51</v>
      </c>
      <c r="B65" s="77"/>
      <c r="C65" s="78"/>
      <c r="D65" s="57" t="s">
        <v>93</v>
      </c>
      <c r="E65" s="75">
        <v>4</v>
      </c>
      <c r="F65" s="58" t="s">
        <v>57</v>
      </c>
      <c r="G65" s="80">
        <v>0</v>
      </c>
      <c r="H65" s="81">
        <f t="shared" si="40"/>
        <v>4</v>
      </c>
      <c r="I65" s="83">
        <v>20.25</v>
      </c>
      <c r="J65" s="83">
        <f t="shared" si="41"/>
        <v>81</v>
      </c>
      <c r="K65" s="84">
        <v>0.62</v>
      </c>
      <c r="L65" s="85">
        <f t="shared" si="35"/>
        <v>2.48</v>
      </c>
      <c r="M65" s="86">
        <f>'LABOR SHEET'!C$5</f>
        <v>57.65</v>
      </c>
      <c r="N65" s="83">
        <f t="shared" si="36"/>
        <v>35.743</v>
      </c>
      <c r="O65" s="83">
        <f t="shared" si="37"/>
        <v>142.972</v>
      </c>
      <c r="P65" s="83">
        <f t="shared" si="38"/>
        <v>55.993</v>
      </c>
      <c r="Q65" s="114">
        <f t="shared" si="39"/>
        <v>223.972</v>
      </c>
      <c r="R65" s="101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</row>
    <row r="66" s="31" customFormat="1" spans="1:36">
      <c r="A66" s="55">
        <f>IF(G66&lt;&gt;"",1+MAX($A$3:A65),"")</f>
        <v>52</v>
      </c>
      <c r="B66" s="77"/>
      <c r="C66" s="78"/>
      <c r="D66" s="57" t="s">
        <v>94</v>
      </c>
      <c r="E66" s="75">
        <v>4</v>
      </c>
      <c r="F66" s="58" t="s">
        <v>57</v>
      </c>
      <c r="G66" s="80">
        <v>0</v>
      </c>
      <c r="H66" s="81">
        <f t="shared" ref="H66:H71" si="42">E66*(1+G66)</f>
        <v>4</v>
      </c>
      <c r="I66" s="83">
        <v>110</v>
      </c>
      <c r="J66" s="83">
        <f t="shared" ref="J66:J71" si="43">I66*H66</f>
        <v>440</v>
      </c>
      <c r="K66" s="84">
        <v>0.4772</v>
      </c>
      <c r="L66" s="85">
        <f t="shared" si="35"/>
        <v>1.9088</v>
      </c>
      <c r="M66" s="86">
        <f>'LABOR SHEET'!C$5</f>
        <v>57.65</v>
      </c>
      <c r="N66" s="83">
        <f t="shared" si="36"/>
        <v>27.51058</v>
      </c>
      <c r="O66" s="83">
        <f t="shared" si="37"/>
        <v>110.04232</v>
      </c>
      <c r="P66" s="83">
        <f t="shared" si="38"/>
        <v>137.51058</v>
      </c>
      <c r="Q66" s="114">
        <f t="shared" si="39"/>
        <v>550.04232</v>
      </c>
      <c r="R66" s="101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</row>
    <row r="67" s="31" customFormat="1" spans="1:36">
      <c r="A67" s="55">
        <f>IF(G67&lt;&gt;"",1+MAX($A$3:A66),"")</f>
        <v>53</v>
      </c>
      <c r="B67" s="77"/>
      <c r="C67" s="78"/>
      <c r="D67" s="57" t="s">
        <v>95</v>
      </c>
      <c r="E67" s="75">
        <v>7</v>
      </c>
      <c r="F67" s="58" t="s">
        <v>57</v>
      </c>
      <c r="G67" s="80">
        <v>0</v>
      </c>
      <c r="H67" s="81">
        <f t="shared" si="42"/>
        <v>7</v>
      </c>
      <c r="I67" s="83">
        <v>15.5</v>
      </c>
      <c r="J67" s="83">
        <f t="shared" si="43"/>
        <v>108.5</v>
      </c>
      <c r="K67" s="84">
        <v>0.46</v>
      </c>
      <c r="L67" s="85">
        <f t="shared" si="35"/>
        <v>3.22</v>
      </c>
      <c r="M67" s="86">
        <f>'LABOR SHEET'!C$5</f>
        <v>57.65</v>
      </c>
      <c r="N67" s="83">
        <f t="shared" si="36"/>
        <v>26.519</v>
      </c>
      <c r="O67" s="83">
        <f t="shared" si="37"/>
        <v>185.633</v>
      </c>
      <c r="P67" s="83">
        <f t="shared" si="38"/>
        <v>42.019</v>
      </c>
      <c r="Q67" s="114">
        <f t="shared" si="39"/>
        <v>294.133</v>
      </c>
      <c r="R67" s="101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</row>
    <row r="68" s="31" customFormat="1" spans="1:36">
      <c r="A68" s="55">
        <f>IF(G68&lt;&gt;"",1+MAX($A$3:A67),"")</f>
        <v>54</v>
      </c>
      <c r="B68" s="77"/>
      <c r="C68" s="78"/>
      <c r="D68" s="57" t="s">
        <v>96</v>
      </c>
      <c r="E68" s="75">
        <v>7</v>
      </c>
      <c r="F68" s="58" t="s">
        <v>57</v>
      </c>
      <c r="G68" s="80">
        <v>0</v>
      </c>
      <c r="H68" s="81">
        <f t="shared" si="42"/>
        <v>7</v>
      </c>
      <c r="I68" s="83">
        <v>55.2</v>
      </c>
      <c r="J68" s="83">
        <f t="shared" si="43"/>
        <v>386.4</v>
      </c>
      <c r="K68" s="84">
        <v>0.69</v>
      </c>
      <c r="L68" s="85">
        <f t="shared" si="35"/>
        <v>4.83</v>
      </c>
      <c r="M68" s="86">
        <f>'LABOR SHEET'!C$5</f>
        <v>57.65</v>
      </c>
      <c r="N68" s="83">
        <f t="shared" si="36"/>
        <v>39.7785</v>
      </c>
      <c r="O68" s="83">
        <f t="shared" si="37"/>
        <v>278.4495</v>
      </c>
      <c r="P68" s="83">
        <f t="shared" si="38"/>
        <v>94.9785</v>
      </c>
      <c r="Q68" s="114">
        <f t="shared" si="39"/>
        <v>664.8495</v>
      </c>
      <c r="R68" s="101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</row>
    <row r="69" s="31" customFormat="1" spans="1:36">
      <c r="A69" s="55">
        <f>IF(G69&lt;&gt;"",1+MAX($A$3:A68),"")</f>
        <v>55</v>
      </c>
      <c r="B69" s="77"/>
      <c r="C69" s="78"/>
      <c r="D69" s="57" t="s">
        <v>97</v>
      </c>
      <c r="E69" s="75">
        <v>7</v>
      </c>
      <c r="F69" s="58" t="s">
        <v>57</v>
      </c>
      <c r="G69" s="80">
        <v>0</v>
      </c>
      <c r="H69" s="81">
        <f t="shared" si="42"/>
        <v>7</v>
      </c>
      <c r="I69" s="83">
        <v>25.2</v>
      </c>
      <c r="J69" s="83">
        <f t="shared" si="43"/>
        <v>176.4</v>
      </c>
      <c r="K69" s="84">
        <v>0.63</v>
      </c>
      <c r="L69" s="85">
        <f t="shared" si="35"/>
        <v>4.41</v>
      </c>
      <c r="M69" s="86">
        <f>'LABOR SHEET'!C$5</f>
        <v>57.65</v>
      </c>
      <c r="N69" s="83">
        <f t="shared" si="36"/>
        <v>36.3195</v>
      </c>
      <c r="O69" s="83">
        <f t="shared" si="37"/>
        <v>254.2365</v>
      </c>
      <c r="P69" s="83">
        <f t="shared" si="38"/>
        <v>61.5195</v>
      </c>
      <c r="Q69" s="114">
        <f t="shared" si="39"/>
        <v>430.6365</v>
      </c>
      <c r="R69" s="101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</row>
    <row r="70" s="31" customFormat="1" spans="1:36">
      <c r="A70" s="55">
        <f>IF(G70&lt;&gt;"",1+MAX($A$3:A69),"")</f>
        <v>56</v>
      </c>
      <c r="B70" s="77"/>
      <c r="C70" s="78"/>
      <c r="D70" s="57" t="s">
        <v>98</v>
      </c>
      <c r="E70" s="75">
        <v>7</v>
      </c>
      <c r="F70" s="58" t="s">
        <v>57</v>
      </c>
      <c r="G70" s="80">
        <v>0</v>
      </c>
      <c r="H70" s="81">
        <f t="shared" si="42"/>
        <v>7</v>
      </c>
      <c r="I70" s="83">
        <v>125</v>
      </c>
      <c r="J70" s="83">
        <f t="shared" si="43"/>
        <v>875</v>
      </c>
      <c r="K70" s="84">
        <v>0.55</v>
      </c>
      <c r="L70" s="85">
        <f t="shared" si="35"/>
        <v>3.85</v>
      </c>
      <c r="M70" s="86">
        <f>'LABOR SHEET'!C$5</f>
        <v>57.65</v>
      </c>
      <c r="N70" s="83">
        <f t="shared" si="36"/>
        <v>31.7075</v>
      </c>
      <c r="O70" s="83">
        <f t="shared" si="37"/>
        <v>221.9525</v>
      </c>
      <c r="P70" s="83">
        <f t="shared" si="38"/>
        <v>156.7075</v>
      </c>
      <c r="Q70" s="114">
        <f t="shared" si="39"/>
        <v>1096.9525</v>
      </c>
      <c r="R70" s="101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</row>
    <row r="71" s="31" customFormat="1" spans="1:36">
      <c r="A71" s="55">
        <f>IF(G71&lt;&gt;"",1+MAX($A$3:A70),"")</f>
        <v>57</v>
      </c>
      <c r="B71" s="77"/>
      <c r="C71" s="78"/>
      <c r="D71" s="57" t="s">
        <v>99</v>
      </c>
      <c r="E71" s="75">
        <v>2</v>
      </c>
      <c r="F71" s="58" t="s">
        <v>57</v>
      </c>
      <c r="G71" s="80">
        <v>0</v>
      </c>
      <c r="H71" s="81">
        <f t="shared" si="42"/>
        <v>2</v>
      </c>
      <c r="I71" s="83">
        <v>25.5</v>
      </c>
      <c r="J71" s="83">
        <f t="shared" si="43"/>
        <v>51</v>
      </c>
      <c r="K71" s="84">
        <v>0.51</v>
      </c>
      <c r="L71" s="85">
        <f t="shared" si="35"/>
        <v>1.02</v>
      </c>
      <c r="M71" s="86">
        <f>'LABOR SHEET'!C$5</f>
        <v>57.65</v>
      </c>
      <c r="N71" s="83">
        <f t="shared" si="36"/>
        <v>29.4015</v>
      </c>
      <c r="O71" s="83">
        <f t="shared" si="37"/>
        <v>58.803</v>
      </c>
      <c r="P71" s="83">
        <f t="shared" si="38"/>
        <v>54.9015</v>
      </c>
      <c r="Q71" s="114">
        <f t="shared" si="39"/>
        <v>109.803</v>
      </c>
      <c r="R71" s="101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</row>
    <row r="72" s="31" customFormat="1" spans="1:36">
      <c r="A72" s="55">
        <f>IF(G72&lt;&gt;"",1+MAX($A$3:A71),"")</f>
        <v>58</v>
      </c>
      <c r="B72" s="77"/>
      <c r="C72" s="78"/>
      <c r="D72" s="57" t="s">
        <v>100</v>
      </c>
      <c r="E72" s="75">
        <v>2</v>
      </c>
      <c r="F72" s="58" t="s">
        <v>57</v>
      </c>
      <c r="G72" s="80">
        <v>0</v>
      </c>
      <c r="H72" s="81">
        <f t="shared" ref="H72:H74" si="44">E72*(1+G72)</f>
        <v>2</v>
      </c>
      <c r="I72" s="83">
        <v>69.5</v>
      </c>
      <c r="J72" s="83">
        <f t="shared" ref="J72:J74" si="45">I72*H72</f>
        <v>139</v>
      </c>
      <c r="K72" s="84">
        <v>0.72</v>
      </c>
      <c r="L72" s="85">
        <f t="shared" si="35"/>
        <v>1.44</v>
      </c>
      <c r="M72" s="86">
        <f>'LABOR SHEET'!C$5</f>
        <v>57.65</v>
      </c>
      <c r="N72" s="83">
        <f t="shared" si="36"/>
        <v>41.508</v>
      </c>
      <c r="O72" s="83">
        <f t="shared" si="37"/>
        <v>83.016</v>
      </c>
      <c r="P72" s="83">
        <f t="shared" si="38"/>
        <v>111.008</v>
      </c>
      <c r="Q72" s="114">
        <f t="shared" si="39"/>
        <v>222.016</v>
      </c>
      <c r="R72" s="101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</row>
    <row r="73" s="31" customFormat="1" spans="1:36">
      <c r="A73" s="55">
        <f>IF(G73&lt;&gt;"",1+MAX($A$3:A72),"")</f>
        <v>59</v>
      </c>
      <c r="B73" s="77"/>
      <c r="C73" s="78"/>
      <c r="D73" s="57" t="s">
        <v>101</v>
      </c>
      <c r="E73" s="75">
        <v>2</v>
      </c>
      <c r="F73" s="58" t="s">
        <v>57</v>
      </c>
      <c r="G73" s="80">
        <v>0</v>
      </c>
      <c r="H73" s="81">
        <f t="shared" si="44"/>
        <v>2</v>
      </c>
      <c r="I73" s="83">
        <v>30.5</v>
      </c>
      <c r="J73" s="83">
        <f t="shared" si="45"/>
        <v>61</v>
      </c>
      <c r="K73" s="84">
        <v>0.68</v>
      </c>
      <c r="L73" s="85">
        <f t="shared" si="35"/>
        <v>1.36</v>
      </c>
      <c r="M73" s="86">
        <f>'LABOR SHEET'!C$5</f>
        <v>57.65</v>
      </c>
      <c r="N73" s="83">
        <f t="shared" si="36"/>
        <v>39.202</v>
      </c>
      <c r="O73" s="83">
        <f t="shared" si="37"/>
        <v>78.404</v>
      </c>
      <c r="P73" s="83">
        <f t="shared" si="38"/>
        <v>69.702</v>
      </c>
      <c r="Q73" s="114">
        <f t="shared" si="39"/>
        <v>139.404</v>
      </c>
      <c r="R73" s="101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</row>
    <row r="74" s="31" customFormat="1" spans="1:36">
      <c r="A74" s="55">
        <f>IF(G74&lt;&gt;"",1+MAX($A$3:A73),"")</f>
        <v>60</v>
      </c>
      <c r="B74" s="77"/>
      <c r="C74" s="78"/>
      <c r="D74" s="57" t="s">
        <v>102</v>
      </c>
      <c r="E74" s="75">
        <v>2</v>
      </c>
      <c r="F74" s="58" t="s">
        <v>57</v>
      </c>
      <c r="G74" s="80">
        <v>0</v>
      </c>
      <c r="H74" s="81">
        <f t="shared" si="44"/>
        <v>2</v>
      </c>
      <c r="I74" s="83">
        <v>150</v>
      </c>
      <c r="J74" s="83">
        <f t="shared" si="45"/>
        <v>300</v>
      </c>
      <c r="K74" s="84">
        <v>0.72</v>
      </c>
      <c r="L74" s="85">
        <f t="shared" si="35"/>
        <v>1.44</v>
      </c>
      <c r="M74" s="86">
        <f>'LABOR SHEET'!C$5</f>
        <v>57.65</v>
      </c>
      <c r="N74" s="83">
        <f t="shared" si="36"/>
        <v>41.508</v>
      </c>
      <c r="O74" s="83">
        <f t="shared" si="37"/>
        <v>83.016</v>
      </c>
      <c r="P74" s="83">
        <f t="shared" si="38"/>
        <v>191.508</v>
      </c>
      <c r="Q74" s="114">
        <f t="shared" si="39"/>
        <v>383.016</v>
      </c>
      <c r="R74" s="101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</row>
    <row r="75" s="31" customFormat="1" spans="1:36">
      <c r="A75" s="55" t="str">
        <f>IF(G75&lt;&gt;"",1+MAX($A$3:A74),"")</f>
        <v/>
      </c>
      <c r="B75" s="77"/>
      <c r="C75" s="78"/>
      <c r="D75" s="60"/>
      <c r="E75" s="64"/>
      <c r="F75" s="61"/>
      <c r="G75" s="115"/>
      <c r="H75" s="116"/>
      <c r="I75" s="87"/>
      <c r="J75" s="87"/>
      <c r="K75" s="84"/>
      <c r="L75" s="89"/>
      <c r="M75" s="90"/>
      <c r="N75" s="87"/>
      <c r="O75" s="87"/>
      <c r="P75" s="87"/>
      <c r="Q75" s="117"/>
      <c r="R75" s="118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</row>
    <row r="76" s="31" customFormat="1" ht="18" spans="1:36">
      <c r="A76" s="55" t="str">
        <f>IF(G76&lt;&gt;"",1+MAX($A$3:A75),"")</f>
        <v/>
      </c>
      <c r="B76" s="77"/>
      <c r="C76" s="78"/>
      <c r="D76" s="76" t="s">
        <v>103</v>
      </c>
      <c r="E76" s="75"/>
      <c r="F76" s="58"/>
      <c r="G76" s="80"/>
      <c r="H76" s="81"/>
      <c r="I76" s="87"/>
      <c r="J76" s="83"/>
      <c r="K76" s="84"/>
      <c r="L76" s="85"/>
      <c r="M76" s="86"/>
      <c r="N76" s="83"/>
      <c r="O76" s="83"/>
      <c r="P76" s="83"/>
      <c r="Q76" s="114"/>
      <c r="R76" s="101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</row>
    <row r="77" s="31" customFormat="1" spans="1:36">
      <c r="A77" s="55" t="str">
        <f>IF(G77&lt;&gt;"",1+MAX($A$3:A76),"")</f>
        <v/>
      </c>
      <c r="B77" s="77"/>
      <c r="C77" s="78"/>
      <c r="D77" s="79" t="s">
        <v>104</v>
      </c>
      <c r="E77" s="75"/>
      <c r="F77" s="58"/>
      <c r="G77" s="80"/>
      <c r="H77" s="81"/>
      <c r="I77" s="87"/>
      <c r="J77" s="83"/>
      <c r="K77" s="84"/>
      <c r="L77" s="85"/>
      <c r="M77" s="86"/>
      <c r="N77" s="83"/>
      <c r="O77" s="83"/>
      <c r="P77" s="83"/>
      <c r="Q77" s="114"/>
      <c r="R77" s="101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</row>
    <row r="78" s="31" customFormat="1" spans="1:36">
      <c r="A78" s="55">
        <f>IF(G78&lt;&gt;"",1+MAX($A$3:A77),"")</f>
        <v>61</v>
      </c>
      <c r="B78" s="77"/>
      <c r="C78" s="78"/>
      <c r="D78" s="57" t="s">
        <v>105</v>
      </c>
      <c r="E78" s="75">
        <v>313.25</v>
      </c>
      <c r="F78" s="58" t="s">
        <v>47</v>
      </c>
      <c r="G78" s="80">
        <v>0.05</v>
      </c>
      <c r="H78" s="81">
        <f t="shared" ref="H78:H81" si="46">E78*(1+G78)</f>
        <v>328.9125</v>
      </c>
      <c r="I78" s="83">
        <v>4.41</v>
      </c>
      <c r="J78" s="83">
        <f t="shared" ref="J78:J81" si="47">I78*H78</f>
        <v>1450.504125</v>
      </c>
      <c r="K78" s="84">
        <v>0.222</v>
      </c>
      <c r="L78" s="85">
        <f t="shared" ref="L78:L81" si="48">+K78*H78</f>
        <v>73.018575</v>
      </c>
      <c r="M78" s="86">
        <f>'LABOR SHEET'!C$5</f>
        <v>57.65</v>
      </c>
      <c r="N78" s="83">
        <f t="shared" ref="N78:N81" si="49">K78*M78</f>
        <v>12.7983</v>
      </c>
      <c r="O78" s="83">
        <f t="shared" ref="O78:O81" si="50">M78*L78</f>
        <v>4209.52084875</v>
      </c>
      <c r="P78" s="83">
        <f t="shared" ref="P78:P81" si="51">I78+N78</f>
        <v>17.2083</v>
      </c>
      <c r="Q78" s="114">
        <f t="shared" ref="Q78:Q81" si="52">P78*H78</f>
        <v>5660.02497375</v>
      </c>
      <c r="R78" s="101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</row>
    <row r="79" s="31" customFormat="1" spans="1:36">
      <c r="A79" s="55">
        <f>IF(G79&lt;&gt;"",1+MAX($A$3:A78),"")</f>
        <v>62</v>
      </c>
      <c r="B79" s="77"/>
      <c r="C79" s="78"/>
      <c r="D79" s="57" t="s">
        <v>106</v>
      </c>
      <c r="E79" s="75">
        <v>392.27</v>
      </c>
      <c r="F79" s="58" t="s">
        <v>47</v>
      </c>
      <c r="G79" s="80">
        <v>0.05</v>
      </c>
      <c r="H79" s="81">
        <f t="shared" si="46"/>
        <v>411.8835</v>
      </c>
      <c r="I79" s="83">
        <v>5</v>
      </c>
      <c r="J79" s="83">
        <f t="shared" si="47"/>
        <v>2059.4175</v>
      </c>
      <c r="K79" s="84">
        <v>0.271</v>
      </c>
      <c r="L79" s="85">
        <f t="shared" si="48"/>
        <v>111.6204285</v>
      </c>
      <c r="M79" s="86">
        <f>'LABOR SHEET'!C$5</f>
        <v>57.65</v>
      </c>
      <c r="N79" s="83">
        <f t="shared" si="49"/>
        <v>15.62315</v>
      </c>
      <c r="O79" s="83">
        <f t="shared" si="50"/>
        <v>6434.917703025</v>
      </c>
      <c r="P79" s="83">
        <f t="shared" si="51"/>
        <v>20.62315</v>
      </c>
      <c r="Q79" s="114">
        <f t="shared" si="52"/>
        <v>8494.335203025</v>
      </c>
      <c r="R79" s="101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</row>
    <row r="80" s="31" customFormat="1" spans="1:36">
      <c r="A80" s="55">
        <f>IF(G80&lt;&gt;"",1+MAX($A$3:A79),"")</f>
        <v>63</v>
      </c>
      <c r="B80" s="77"/>
      <c r="C80" s="78"/>
      <c r="D80" s="57" t="s">
        <v>107</v>
      </c>
      <c r="E80" s="75">
        <v>96.29</v>
      </c>
      <c r="F80" s="58" t="s">
        <v>47</v>
      </c>
      <c r="G80" s="80">
        <v>0.05</v>
      </c>
      <c r="H80" s="81">
        <f t="shared" si="46"/>
        <v>101.1045</v>
      </c>
      <c r="I80" s="83">
        <v>8.15</v>
      </c>
      <c r="J80" s="83">
        <f t="shared" si="47"/>
        <v>824.001675</v>
      </c>
      <c r="K80" s="84">
        <v>0.302</v>
      </c>
      <c r="L80" s="85">
        <f t="shared" si="48"/>
        <v>30.533559</v>
      </c>
      <c r="M80" s="86">
        <f>'LABOR SHEET'!C$5</f>
        <v>57.65</v>
      </c>
      <c r="N80" s="83">
        <f t="shared" si="49"/>
        <v>17.4103</v>
      </c>
      <c r="O80" s="83">
        <f t="shared" si="50"/>
        <v>1760.25967635</v>
      </c>
      <c r="P80" s="83">
        <f t="shared" si="51"/>
        <v>25.5603</v>
      </c>
      <c r="Q80" s="114">
        <f t="shared" si="52"/>
        <v>2584.26135135</v>
      </c>
      <c r="R80" s="101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</row>
    <row r="81" s="31" customFormat="1" spans="1:36">
      <c r="A81" s="55">
        <f>IF(G81&lt;&gt;"",1+MAX($A$3:A80),"")</f>
        <v>64</v>
      </c>
      <c r="B81" s="77"/>
      <c r="C81" s="78"/>
      <c r="D81" s="57" t="s">
        <v>108</v>
      </c>
      <c r="E81" s="75">
        <v>6.37</v>
      </c>
      <c r="F81" s="58" t="s">
        <v>47</v>
      </c>
      <c r="G81" s="80">
        <v>0.05</v>
      </c>
      <c r="H81" s="81">
        <f t="shared" si="46"/>
        <v>6.6885</v>
      </c>
      <c r="I81" s="83">
        <v>10.45</v>
      </c>
      <c r="J81" s="83">
        <f t="shared" si="47"/>
        <v>69.894825</v>
      </c>
      <c r="K81" s="84">
        <v>0.333</v>
      </c>
      <c r="L81" s="85">
        <f t="shared" si="48"/>
        <v>2.2272705</v>
      </c>
      <c r="M81" s="86">
        <f>'LABOR SHEET'!C$5</f>
        <v>57.65</v>
      </c>
      <c r="N81" s="83">
        <f t="shared" si="49"/>
        <v>19.19745</v>
      </c>
      <c r="O81" s="83">
        <f t="shared" si="50"/>
        <v>128.402144325</v>
      </c>
      <c r="P81" s="83">
        <f t="shared" si="51"/>
        <v>29.64745</v>
      </c>
      <c r="Q81" s="114">
        <f t="shared" si="52"/>
        <v>198.296969325</v>
      </c>
      <c r="R81" s="101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</row>
    <row r="82" s="31" customFormat="1" spans="1:36">
      <c r="A82" s="55" t="str">
        <f>IF(G82&lt;&gt;"",1+MAX($A$3:A81),"")</f>
        <v/>
      </c>
      <c r="B82" s="77"/>
      <c r="C82" s="78"/>
      <c r="D82" s="57"/>
      <c r="E82" s="75"/>
      <c r="F82" s="58"/>
      <c r="G82" s="80"/>
      <c r="H82" s="81"/>
      <c r="I82" s="87"/>
      <c r="J82" s="83"/>
      <c r="K82" s="84"/>
      <c r="L82" s="85"/>
      <c r="M82" s="86"/>
      <c r="N82" s="83"/>
      <c r="O82" s="83"/>
      <c r="P82" s="83"/>
      <c r="Q82" s="114"/>
      <c r="R82" s="101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</row>
    <row r="83" s="31" customFormat="1" spans="1:36">
      <c r="A83" s="55" t="str">
        <f>IF(G83&lt;&gt;"",1+MAX($A$3:A82),"")</f>
        <v/>
      </c>
      <c r="B83" s="77"/>
      <c r="C83" s="78"/>
      <c r="D83" s="82" t="s">
        <v>55</v>
      </c>
      <c r="E83" s="75"/>
      <c r="F83" s="58"/>
      <c r="G83" s="80"/>
      <c r="H83" s="81"/>
      <c r="I83" s="87"/>
      <c r="J83" s="83"/>
      <c r="K83" s="84"/>
      <c r="L83" s="85"/>
      <c r="M83" s="86"/>
      <c r="N83" s="83"/>
      <c r="O83" s="83"/>
      <c r="P83" s="83"/>
      <c r="Q83" s="114"/>
      <c r="R83" s="101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</row>
    <row r="84" s="31" customFormat="1" spans="1:36">
      <c r="A84" s="55">
        <f>IF(G84&lt;&gt;"",1+MAX($A$3:A83),"")</f>
        <v>65</v>
      </c>
      <c r="B84" s="77"/>
      <c r="C84" s="78"/>
      <c r="D84" s="57" t="s">
        <v>109</v>
      </c>
      <c r="E84" s="75">
        <v>9</v>
      </c>
      <c r="F84" s="58" t="s">
        <v>57</v>
      </c>
      <c r="G84" s="80">
        <v>0</v>
      </c>
      <c r="H84" s="81">
        <f t="shared" ref="H84:H99" si="53">E84*(1+G84)</f>
        <v>9</v>
      </c>
      <c r="I84" s="83">
        <v>2.5</v>
      </c>
      <c r="J84" s="83">
        <f t="shared" ref="J84:J99" si="54">I84*H84</f>
        <v>22.5</v>
      </c>
      <c r="K84" s="84">
        <v>0.45</v>
      </c>
      <c r="L84" s="85">
        <f t="shared" ref="L84:L99" si="55">+K84*H84</f>
        <v>4.05</v>
      </c>
      <c r="M84" s="86">
        <f>'LABOR SHEET'!C$5</f>
        <v>57.65</v>
      </c>
      <c r="N84" s="83">
        <f t="shared" ref="N84:N99" si="56">K84*M84</f>
        <v>25.9425</v>
      </c>
      <c r="O84" s="83">
        <f t="shared" ref="O84:O99" si="57">M84*L84</f>
        <v>233.4825</v>
      </c>
      <c r="P84" s="83">
        <f t="shared" ref="P84:P99" si="58">I84+N84</f>
        <v>28.4425</v>
      </c>
      <c r="Q84" s="114">
        <f t="shared" ref="Q84:Q99" si="59">P84*H84</f>
        <v>255.9825</v>
      </c>
      <c r="R84" s="101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</row>
    <row r="85" s="31" customFormat="1" spans="1:36">
      <c r="A85" s="55">
        <f>IF(G85&lt;&gt;"",1+MAX($A$3:A84),"")</f>
        <v>66</v>
      </c>
      <c r="B85" s="77"/>
      <c r="C85" s="78"/>
      <c r="D85" s="57" t="s">
        <v>110</v>
      </c>
      <c r="E85" s="75">
        <v>4</v>
      </c>
      <c r="F85" s="58" t="s">
        <v>57</v>
      </c>
      <c r="G85" s="80">
        <v>0</v>
      </c>
      <c r="H85" s="81">
        <f t="shared" si="53"/>
        <v>4</v>
      </c>
      <c r="I85" s="83">
        <v>4.54</v>
      </c>
      <c r="J85" s="83">
        <f t="shared" si="54"/>
        <v>18.16</v>
      </c>
      <c r="K85" s="84">
        <v>0.46</v>
      </c>
      <c r="L85" s="85">
        <f t="shared" si="55"/>
        <v>1.84</v>
      </c>
      <c r="M85" s="86">
        <f>'LABOR SHEET'!C$5</f>
        <v>57.65</v>
      </c>
      <c r="N85" s="83">
        <f t="shared" si="56"/>
        <v>26.519</v>
      </c>
      <c r="O85" s="83">
        <f t="shared" si="57"/>
        <v>106.076</v>
      </c>
      <c r="P85" s="83">
        <f t="shared" si="58"/>
        <v>31.059</v>
      </c>
      <c r="Q85" s="114">
        <f t="shared" si="59"/>
        <v>124.236</v>
      </c>
      <c r="R85" s="101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</row>
    <row r="86" s="31" customFormat="1" spans="1:36">
      <c r="A86" s="55">
        <f>IF(G86&lt;&gt;"",1+MAX($A$3:A85),"")</f>
        <v>67</v>
      </c>
      <c r="B86" s="77"/>
      <c r="C86" s="78"/>
      <c r="D86" s="57" t="s">
        <v>111</v>
      </c>
      <c r="E86" s="75">
        <v>35</v>
      </c>
      <c r="F86" s="58" t="s">
        <v>57</v>
      </c>
      <c r="G86" s="80">
        <v>0</v>
      </c>
      <c r="H86" s="81">
        <f t="shared" si="53"/>
        <v>35</v>
      </c>
      <c r="I86" s="83">
        <v>7.5</v>
      </c>
      <c r="J86" s="83">
        <f t="shared" si="54"/>
        <v>262.5</v>
      </c>
      <c r="K86" s="84">
        <v>0.47</v>
      </c>
      <c r="L86" s="85">
        <f t="shared" si="55"/>
        <v>16.45</v>
      </c>
      <c r="M86" s="86">
        <f>'LABOR SHEET'!C$5</f>
        <v>57.65</v>
      </c>
      <c r="N86" s="83">
        <f t="shared" si="56"/>
        <v>27.0955</v>
      </c>
      <c r="O86" s="83">
        <f t="shared" si="57"/>
        <v>948.3425</v>
      </c>
      <c r="P86" s="83">
        <f t="shared" si="58"/>
        <v>34.5955</v>
      </c>
      <c r="Q86" s="114">
        <f t="shared" si="59"/>
        <v>1210.8425</v>
      </c>
      <c r="R86" s="101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</row>
    <row r="87" s="31" customFormat="1" spans="1:36">
      <c r="A87" s="55">
        <f>IF(G87&lt;&gt;"",1+MAX($A$3:A86),"")</f>
        <v>68</v>
      </c>
      <c r="B87" s="77"/>
      <c r="C87" s="78"/>
      <c r="D87" s="57" t="s">
        <v>112</v>
      </c>
      <c r="E87" s="75">
        <v>35</v>
      </c>
      <c r="F87" s="58" t="s">
        <v>57</v>
      </c>
      <c r="G87" s="80">
        <v>0</v>
      </c>
      <c r="H87" s="81">
        <f t="shared" si="53"/>
        <v>35</v>
      </c>
      <c r="I87" s="83">
        <v>10.5</v>
      </c>
      <c r="J87" s="83">
        <f t="shared" si="54"/>
        <v>367.5</v>
      </c>
      <c r="K87" s="84">
        <v>0.48</v>
      </c>
      <c r="L87" s="85">
        <f t="shared" si="55"/>
        <v>16.8</v>
      </c>
      <c r="M87" s="86">
        <f>'LABOR SHEET'!C$5</f>
        <v>57.65</v>
      </c>
      <c r="N87" s="83">
        <f t="shared" si="56"/>
        <v>27.672</v>
      </c>
      <c r="O87" s="83">
        <f t="shared" si="57"/>
        <v>968.52</v>
      </c>
      <c r="P87" s="83">
        <f t="shared" si="58"/>
        <v>38.172</v>
      </c>
      <c r="Q87" s="114">
        <f t="shared" si="59"/>
        <v>1336.02</v>
      </c>
      <c r="R87" s="101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</row>
    <row r="88" s="31" customFormat="1" spans="1:36">
      <c r="A88" s="55">
        <f>IF(G88&lt;&gt;"",1+MAX($A$3:A87),"")</f>
        <v>69</v>
      </c>
      <c r="B88" s="77"/>
      <c r="C88" s="78"/>
      <c r="D88" s="57" t="s">
        <v>113</v>
      </c>
      <c r="E88" s="75">
        <v>3</v>
      </c>
      <c r="F88" s="58" t="s">
        <v>57</v>
      </c>
      <c r="G88" s="80">
        <v>0</v>
      </c>
      <c r="H88" s="81">
        <f t="shared" si="53"/>
        <v>3</v>
      </c>
      <c r="I88" s="83">
        <v>13.09</v>
      </c>
      <c r="J88" s="83">
        <f t="shared" si="54"/>
        <v>39.27</v>
      </c>
      <c r="K88" s="84">
        <v>0.5</v>
      </c>
      <c r="L88" s="85">
        <f t="shared" si="55"/>
        <v>1.5</v>
      </c>
      <c r="M88" s="86">
        <f>'LABOR SHEET'!C$5</f>
        <v>57.65</v>
      </c>
      <c r="N88" s="83">
        <f t="shared" si="56"/>
        <v>28.825</v>
      </c>
      <c r="O88" s="83">
        <f t="shared" si="57"/>
        <v>86.475</v>
      </c>
      <c r="P88" s="83">
        <f t="shared" si="58"/>
        <v>41.915</v>
      </c>
      <c r="Q88" s="114">
        <f t="shared" si="59"/>
        <v>125.745</v>
      </c>
      <c r="R88" s="101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</row>
    <row r="89" s="31" customFormat="1" spans="1:36">
      <c r="A89" s="55">
        <f>IF(G89&lt;&gt;"",1+MAX($A$3:A88),"")</f>
        <v>70</v>
      </c>
      <c r="B89" s="77"/>
      <c r="C89" s="78"/>
      <c r="D89" s="57" t="s">
        <v>114</v>
      </c>
      <c r="E89" s="75">
        <v>10</v>
      </c>
      <c r="F89" s="58" t="s">
        <v>57</v>
      </c>
      <c r="G89" s="80">
        <v>0</v>
      </c>
      <c r="H89" s="81">
        <f t="shared" si="53"/>
        <v>10</v>
      </c>
      <c r="I89" s="83">
        <v>19.2</v>
      </c>
      <c r="J89" s="83">
        <f t="shared" si="54"/>
        <v>192</v>
      </c>
      <c r="K89" s="84">
        <v>0.51</v>
      </c>
      <c r="L89" s="85">
        <f t="shared" si="55"/>
        <v>5.1</v>
      </c>
      <c r="M89" s="86">
        <f>'LABOR SHEET'!C$5</f>
        <v>57.65</v>
      </c>
      <c r="N89" s="83">
        <f t="shared" si="56"/>
        <v>29.4015</v>
      </c>
      <c r="O89" s="83">
        <f t="shared" si="57"/>
        <v>294.015</v>
      </c>
      <c r="P89" s="83">
        <f t="shared" si="58"/>
        <v>48.6015</v>
      </c>
      <c r="Q89" s="114">
        <f t="shared" si="59"/>
        <v>486.015</v>
      </c>
      <c r="R89" s="101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</row>
    <row r="90" s="31" customFormat="1" spans="1:36">
      <c r="A90" s="55">
        <f>IF(G90&lt;&gt;"",1+MAX($A$3:A89),"")</f>
        <v>71</v>
      </c>
      <c r="B90" s="77"/>
      <c r="C90" s="78"/>
      <c r="D90" s="57" t="s">
        <v>115</v>
      </c>
      <c r="E90" s="75">
        <v>18</v>
      </c>
      <c r="F90" s="58" t="s">
        <v>57</v>
      </c>
      <c r="G90" s="80">
        <v>0</v>
      </c>
      <c r="H90" s="81">
        <f t="shared" si="53"/>
        <v>18</v>
      </c>
      <c r="I90" s="83">
        <v>25.2</v>
      </c>
      <c r="J90" s="83">
        <f t="shared" si="54"/>
        <v>453.6</v>
      </c>
      <c r="K90" s="84">
        <v>0.52</v>
      </c>
      <c r="L90" s="85">
        <f t="shared" si="55"/>
        <v>9.36</v>
      </c>
      <c r="M90" s="86">
        <f>'LABOR SHEET'!C$5</f>
        <v>57.65</v>
      </c>
      <c r="N90" s="83">
        <f t="shared" si="56"/>
        <v>29.978</v>
      </c>
      <c r="O90" s="83">
        <f t="shared" si="57"/>
        <v>539.604</v>
      </c>
      <c r="P90" s="83">
        <f t="shared" si="58"/>
        <v>55.178</v>
      </c>
      <c r="Q90" s="114">
        <f t="shared" si="59"/>
        <v>993.204</v>
      </c>
      <c r="R90" s="101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</row>
    <row r="91" s="31" customFormat="1" spans="1:36">
      <c r="A91" s="55">
        <f>IF(G91&lt;&gt;"",1+MAX($A$3:A90),"")</f>
        <v>72</v>
      </c>
      <c r="B91" s="77"/>
      <c r="C91" s="78"/>
      <c r="D91" s="57" t="s">
        <v>116</v>
      </c>
      <c r="E91" s="75">
        <v>3</v>
      </c>
      <c r="F91" s="58" t="s">
        <v>57</v>
      </c>
      <c r="G91" s="80">
        <v>0</v>
      </c>
      <c r="H91" s="81">
        <f t="shared" si="53"/>
        <v>3</v>
      </c>
      <c r="I91" s="83">
        <v>29.5</v>
      </c>
      <c r="J91" s="83">
        <f t="shared" si="54"/>
        <v>88.5</v>
      </c>
      <c r="K91" s="84">
        <v>0.53</v>
      </c>
      <c r="L91" s="85">
        <f t="shared" si="55"/>
        <v>1.59</v>
      </c>
      <c r="M91" s="86">
        <f>'LABOR SHEET'!C$5</f>
        <v>57.65</v>
      </c>
      <c r="N91" s="83">
        <f t="shared" si="56"/>
        <v>30.5545</v>
      </c>
      <c r="O91" s="83">
        <f t="shared" si="57"/>
        <v>91.6635</v>
      </c>
      <c r="P91" s="83">
        <f t="shared" si="58"/>
        <v>60.0545</v>
      </c>
      <c r="Q91" s="114">
        <f t="shared" si="59"/>
        <v>180.1635</v>
      </c>
      <c r="R91" s="101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</row>
    <row r="92" s="31" customFormat="1" spans="1:36">
      <c r="A92" s="55">
        <f>IF(G92&lt;&gt;"",1+MAX($A$3:A91),"")</f>
        <v>73</v>
      </c>
      <c r="B92" s="77"/>
      <c r="C92" s="78"/>
      <c r="D92" s="57" t="s">
        <v>117</v>
      </c>
      <c r="E92" s="75">
        <v>9</v>
      </c>
      <c r="F92" s="58" t="s">
        <v>57</v>
      </c>
      <c r="G92" s="80">
        <v>0</v>
      </c>
      <c r="H92" s="81">
        <f t="shared" si="53"/>
        <v>9</v>
      </c>
      <c r="I92" s="83">
        <v>34.5</v>
      </c>
      <c r="J92" s="83">
        <f t="shared" si="54"/>
        <v>310.5</v>
      </c>
      <c r="K92" s="84">
        <v>0.54</v>
      </c>
      <c r="L92" s="85">
        <f t="shared" si="55"/>
        <v>4.86</v>
      </c>
      <c r="M92" s="86">
        <f>'LABOR SHEET'!C$5</f>
        <v>57.65</v>
      </c>
      <c r="N92" s="83">
        <f t="shared" si="56"/>
        <v>31.131</v>
      </c>
      <c r="O92" s="83">
        <f t="shared" si="57"/>
        <v>280.179</v>
      </c>
      <c r="P92" s="83">
        <f t="shared" si="58"/>
        <v>65.631</v>
      </c>
      <c r="Q92" s="114">
        <f t="shared" si="59"/>
        <v>590.679</v>
      </c>
      <c r="R92" s="101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</row>
    <row r="93" s="31" customFormat="1" spans="1:36">
      <c r="A93" s="55">
        <f>IF(G93&lt;&gt;"",1+MAX($A$3:A92),"")</f>
        <v>74</v>
      </c>
      <c r="B93" s="77"/>
      <c r="C93" s="78"/>
      <c r="D93" s="57" t="s">
        <v>118</v>
      </c>
      <c r="E93" s="75">
        <v>5</v>
      </c>
      <c r="F93" s="58" t="s">
        <v>57</v>
      </c>
      <c r="G93" s="80">
        <v>0</v>
      </c>
      <c r="H93" s="81">
        <f t="shared" si="53"/>
        <v>5</v>
      </c>
      <c r="I93" s="83">
        <v>38.5</v>
      </c>
      <c r="J93" s="83">
        <f t="shared" si="54"/>
        <v>192.5</v>
      </c>
      <c r="K93" s="84">
        <v>0.55</v>
      </c>
      <c r="L93" s="85">
        <f t="shared" si="55"/>
        <v>2.75</v>
      </c>
      <c r="M93" s="86">
        <f>'LABOR SHEET'!C$5</f>
        <v>57.65</v>
      </c>
      <c r="N93" s="83">
        <f t="shared" si="56"/>
        <v>31.7075</v>
      </c>
      <c r="O93" s="83">
        <f t="shared" si="57"/>
        <v>158.5375</v>
      </c>
      <c r="P93" s="83">
        <f t="shared" si="58"/>
        <v>70.2075</v>
      </c>
      <c r="Q93" s="114">
        <f t="shared" si="59"/>
        <v>351.0375</v>
      </c>
      <c r="R93" s="101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</row>
    <row r="94" s="31" customFormat="1" spans="1:36">
      <c r="A94" s="55">
        <f>IF(G94&lt;&gt;"",1+MAX($A$3:A93),"")</f>
        <v>75</v>
      </c>
      <c r="B94" s="77"/>
      <c r="C94" s="78"/>
      <c r="D94" s="57" t="s">
        <v>119</v>
      </c>
      <c r="E94" s="75">
        <v>1</v>
      </c>
      <c r="F94" s="58" t="s">
        <v>57</v>
      </c>
      <c r="G94" s="80">
        <v>0</v>
      </c>
      <c r="H94" s="81">
        <f t="shared" si="53"/>
        <v>1</v>
      </c>
      <c r="I94" s="83">
        <v>43.73</v>
      </c>
      <c r="J94" s="83">
        <f t="shared" si="54"/>
        <v>43.73</v>
      </c>
      <c r="K94" s="84">
        <v>0.56</v>
      </c>
      <c r="L94" s="85">
        <f t="shared" si="55"/>
        <v>0.56</v>
      </c>
      <c r="M94" s="86">
        <f>'LABOR SHEET'!C$5</f>
        <v>57.65</v>
      </c>
      <c r="N94" s="83">
        <f t="shared" si="56"/>
        <v>32.284</v>
      </c>
      <c r="O94" s="83">
        <f t="shared" si="57"/>
        <v>32.284</v>
      </c>
      <c r="P94" s="83">
        <f t="shared" si="58"/>
        <v>76.014</v>
      </c>
      <c r="Q94" s="114">
        <f t="shared" si="59"/>
        <v>76.014</v>
      </c>
      <c r="R94" s="101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</row>
    <row r="95" s="31" customFormat="1" spans="1:36">
      <c r="A95" s="55">
        <f>IF(G95&lt;&gt;"",1+MAX($A$3:A94),"")</f>
        <v>76</v>
      </c>
      <c r="B95" s="77"/>
      <c r="C95" s="78"/>
      <c r="D95" s="57" t="s">
        <v>120</v>
      </c>
      <c r="E95" s="75">
        <v>9</v>
      </c>
      <c r="F95" s="58" t="s">
        <v>57</v>
      </c>
      <c r="G95" s="80">
        <v>0</v>
      </c>
      <c r="H95" s="81">
        <f t="shared" si="53"/>
        <v>9</v>
      </c>
      <c r="I95" s="83">
        <v>13.5</v>
      </c>
      <c r="J95" s="83">
        <f t="shared" si="54"/>
        <v>121.5</v>
      </c>
      <c r="K95" s="84">
        <v>0.38</v>
      </c>
      <c r="L95" s="85">
        <f t="shared" si="55"/>
        <v>3.42</v>
      </c>
      <c r="M95" s="86">
        <f>'LABOR SHEET'!C$5</f>
        <v>57.65</v>
      </c>
      <c r="N95" s="83">
        <f t="shared" si="56"/>
        <v>21.907</v>
      </c>
      <c r="O95" s="83">
        <f t="shared" si="57"/>
        <v>197.163</v>
      </c>
      <c r="P95" s="83">
        <f t="shared" si="58"/>
        <v>35.407</v>
      </c>
      <c r="Q95" s="114">
        <f t="shared" si="59"/>
        <v>318.663</v>
      </c>
      <c r="R95" s="101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</row>
    <row r="96" s="31" customFormat="1" spans="1:36">
      <c r="A96" s="55">
        <f>IF(G96&lt;&gt;"",1+MAX($A$3:A95),"")</f>
        <v>77</v>
      </c>
      <c r="B96" s="77"/>
      <c r="C96" s="78"/>
      <c r="D96" s="57" t="s">
        <v>121</v>
      </c>
      <c r="E96" s="75">
        <v>2</v>
      </c>
      <c r="F96" s="58" t="s">
        <v>57</v>
      </c>
      <c r="G96" s="80">
        <v>0</v>
      </c>
      <c r="H96" s="81">
        <f t="shared" si="53"/>
        <v>2</v>
      </c>
      <c r="I96" s="83">
        <v>19.5</v>
      </c>
      <c r="J96" s="83">
        <f t="shared" si="54"/>
        <v>39</v>
      </c>
      <c r="K96" s="84">
        <v>0.39</v>
      </c>
      <c r="L96" s="85">
        <f t="shared" si="55"/>
        <v>0.78</v>
      </c>
      <c r="M96" s="86">
        <f>'LABOR SHEET'!C$5</f>
        <v>57.65</v>
      </c>
      <c r="N96" s="83">
        <f t="shared" si="56"/>
        <v>22.4835</v>
      </c>
      <c r="O96" s="83">
        <f t="shared" si="57"/>
        <v>44.967</v>
      </c>
      <c r="P96" s="83">
        <f t="shared" si="58"/>
        <v>41.9835</v>
      </c>
      <c r="Q96" s="114">
        <f t="shared" si="59"/>
        <v>83.967</v>
      </c>
      <c r="R96" s="101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</row>
    <row r="97" s="31" customFormat="1" spans="1:36">
      <c r="A97" s="55">
        <f>IF(G97&lt;&gt;"",1+MAX($A$3:A96),"")</f>
        <v>78</v>
      </c>
      <c r="B97" s="77"/>
      <c r="C97" s="78"/>
      <c r="D97" s="57" t="s">
        <v>122</v>
      </c>
      <c r="E97" s="75">
        <v>7</v>
      </c>
      <c r="F97" s="58" t="s">
        <v>57</v>
      </c>
      <c r="G97" s="80">
        <v>0</v>
      </c>
      <c r="H97" s="81">
        <f t="shared" si="53"/>
        <v>7</v>
      </c>
      <c r="I97" s="83">
        <v>25.2</v>
      </c>
      <c r="J97" s="83">
        <f t="shared" si="54"/>
        <v>176.4</v>
      </c>
      <c r="K97" s="84">
        <v>0.4</v>
      </c>
      <c r="L97" s="85">
        <f t="shared" si="55"/>
        <v>2.8</v>
      </c>
      <c r="M97" s="86">
        <f>'LABOR SHEET'!C$5</f>
        <v>57.65</v>
      </c>
      <c r="N97" s="83">
        <f t="shared" si="56"/>
        <v>23.06</v>
      </c>
      <c r="O97" s="83">
        <f t="shared" si="57"/>
        <v>161.42</v>
      </c>
      <c r="P97" s="83">
        <f t="shared" si="58"/>
        <v>48.26</v>
      </c>
      <c r="Q97" s="114">
        <f t="shared" si="59"/>
        <v>337.82</v>
      </c>
      <c r="R97" s="101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</row>
    <row r="98" s="31" customFormat="1" spans="1:36">
      <c r="A98" s="55">
        <f>IF(G98&lt;&gt;"",1+MAX($A$3:A97),"")</f>
        <v>79</v>
      </c>
      <c r="B98" s="77"/>
      <c r="C98" s="78"/>
      <c r="D98" s="57" t="s">
        <v>123</v>
      </c>
      <c r="E98" s="75">
        <v>1</v>
      </c>
      <c r="F98" s="58" t="s">
        <v>57</v>
      </c>
      <c r="G98" s="80">
        <v>0</v>
      </c>
      <c r="H98" s="81">
        <f t="shared" si="53"/>
        <v>1</v>
      </c>
      <c r="I98" s="83">
        <v>35.2</v>
      </c>
      <c r="J98" s="83">
        <f t="shared" si="54"/>
        <v>35.2</v>
      </c>
      <c r="K98" s="84">
        <v>0.41</v>
      </c>
      <c r="L98" s="85">
        <f t="shared" si="55"/>
        <v>0.41</v>
      </c>
      <c r="M98" s="86">
        <f>'LABOR SHEET'!C$5</f>
        <v>57.65</v>
      </c>
      <c r="N98" s="83">
        <f t="shared" si="56"/>
        <v>23.6365</v>
      </c>
      <c r="O98" s="83">
        <f t="shared" si="57"/>
        <v>23.6365</v>
      </c>
      <c r="P98" s="83">
        <f t="shared" si="58"/>
        <v>58.8365</v>
      </c>
      <c r="Q98" s="114">
        <f t="shared" si="59"/>
        <v>58.8365</v>
      </c>
      <c r="R98" s="101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</row>
    <row r="99" s="31" customFormat="1" spans="1:36">
      <c r="A99" s="55">
        <f>IF(G99&lt;&gt;"",1+MAX($A$3:A98),"")</f>
        <v>80</v>
      </c>
      <c r="B99" s="77"/>
      <c r="C99" s="78"/>
      <c r="D99" s="57" t="s">
        <v>124</v>
      </c>
      <c r="E99" s="75">
        <v>1</v>
      </c>
      <c r="F99" s="58" t="s">
        <v>57</v>
      </c>
      <c r="G99" s="80">
        <v>0</v>
      </c>
      <c r="H99" s="81">
        <f t="shared" si="53"/>
        <v>1</v>
      </c>
      <c r="I99" s="83">
        <v>55.2</v>
      </c>
      <c r="J99" s="83">
        <f t="shared" si="54"/>
        <v>55.2</v>
      </c>
      <c r="K99" s="84">
        <v>0.42</v>
      </c>
      <c r="L99" s="85">
        <f t="shared" si="55"/>
        <v>0.42</v>
      </c>
      <c r="M99" s="86">
        <f>'LABOR SHEET'!C$5</f>
        <v>57.65</v>
      </c>
      <c r="N99" s="83">
        <f t="shared" si="56"/>
        <v>24.213</v>
      </c>
      <c r="O99" s="83">
        <f t="shared" si="57"/>
        <v>24.213</v>
      </c>
      <c r="P99" s="83">
        <f t="shared" si="58"/>
        <v>79.413</v>
      </c>
      <c r="Q99" s="114">
        <f t="shared" si="59"/>
        <v>79.413</v>
      </c>
      <c r="R99" s="101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</row>
    <row r="100" s="31" customFormat="1" spans="1:36">
      <c r="A100" s="55" t="str">
        <f>IF(G100&lt;&gt;"",1+MAX($A$3:A99),"")</f>
        <v/>
      </c>
      <c r="B100" s="77"/>
      <c r="C100" s="78"/>
      <c r="D100" s="57"/>
      <c r="E100" s="75"/>
      <c r="F100" s="58"/>
      <c r="G100" s="80"/>
      <c r="H100" s="81"/>
      <c r="I100" s="87"/>
      <c r="J100" s="83"/>
      <c r="K100" s="84"/>
      <c r="L100" s="85"/>
      <c r="M100" s="86"/>
      <c r="N100" s="83"/>
      <c r="O100" s="83"/>
      <c r="P100" s="83"/>
      <c r="Q100" s="114"/>
      <c r="R100" s="101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</row>
    <row r="101" s="31" customFormat="1" ht="18" spans="1:36">
      <c r="A101" s="55" t="str">
        <f>IF(G101&lt;&gt;"",1+MAX($A$3:A100),"")</f>
        <v/>
      </c>
      <c r="B101" s="77"/>
      <c r="C101" s="78"/>
      <c r="D101" s="76" t="s">
        <v>125</v>
      </c>
      <c r="E101" s="75"/>
      <c r="F101" s="58"/>
      <c r="G101" s="80"/>
      <c r="H101" s="81"/>
      <c r="I101" s="87"/>
      <c r="J101" s="83"/>
      <c r="K101" s="84"/>
      <c r="L101" s="85"/>
      <c r="M101" s="86"/>
      <c r="N101" s="83"/>
      <c r="O101" s="83"/>
      <c r="P101" s="83"/>
      <c r="Q101" s="114"/>
      <c r="R101" s="101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</row>
    <row r="102" s="31" customFormat="1" spans="1:36">
      <c r="A102" s="55" t="str">
        <f>IF(G102&lt;&gt;"",1+MAX($A$3:A101),"")</f>
        <v/>
      </c>
      <c r="B102" s="77"/>
      <c r="C102" s="78"/>
      <c r="D102" s="79" t="s">
        <v>104</v>
      </c>
      <c r="E102" s="75"/>
      <c r="F102" s="58"/>
      <c r="G102" s="80"/>
      <c r="H102" s="81"/>
      <c r="I102" s="87"/>
      <c r="J102" s="83"/>
      <c r="K102" s="84"/>
      <c r="L102" s="85"/>
      <c r="M102" s="86"/>
      <c r="N102" s="83"/>
      <c r="O102" s="83"/>
      <c r="P102" s="83"/>
      <c r="Q102" s="114"/>
      <c r="R102" s="101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</row>
    <row r="103" s="31" customFormat="1" spans="1:36">
      <c r="A103" s="55">
        <f>IF(G103&lt;&gt;"",1+MAX($A$3:A102),"")</f>
        <v>81</v>
      </c>
      <c r="B103" s="77"/>
      <c r="C103" s="78"/>
      <c r="D103" s="57" t="s">
        <v>126</v>
      </c>
      <c r="E103" s="75">
        <v>250.47</v>
      </c>
      <c r="F103" s="58" t="s">
        <v>47</v>
      </c>
      <c r="G103" s="80">
        <v>0.05</v>
      </c>
      <c r="H103" s="81">
        <f t="shared" ref="H103:H107" si="60">E103*(1+G103)</f>
        <v>262.9935</v>
      </c>
      <c r="I103" s="83">
        <v>5</v>
      </c>
      <c r="J103" s="83">
        <f t="shared" ref="J103:J107" si="61">I103*H103</f>
        <v>1314.9675</v>
      </c>
      <c r="K103" s="84">
        <v>0.271</v>
      </c>
      <c r="L103" s="85">
        <f t="shared" ref="L103:L107" si="62">+K103*H103</f>
        <v>71.2712385</v>
      </c>
      <c r="M103" s="86">
        <f>'LABOR SHEET'!C$5</f>
        <v>57.65</v>
      </c>
      <c r="N103" s="83">
        <f t="shared" ref="N103:N107" si="63">K103*M103</f>
        <v>15.62315</v>
      </c>
      <c r="O103" s="83">
        <f t="shared" ref="O103:O107" si="64">M103*L103</f>
        <v>4108.786899525</v>
      </c>
      <c r="P103" s="83">
        <f t="shared" ref="P103:P107" si="65">I103+N103</f>
        <v>20.62315</v>
      </c>
      <c r="Q103" s="114">
        <f t="shared" ref="Q103:Q107" si="66">P103*H103</f>
        <v>5423.754399525</v>
      </c>
      <c r="R103" s="101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</row>
    <row r="104" s="31" customFormat="1" spans="1:36">
      <c r="A104" s="55">
        <f>IF(G104&lt;&gt;"",1+MAX($A$3:A103),"")</f>
        <v>82</v>
      </c>
      <c r="B104" s="77"/>
      <c r="C104" s="78"/>
      <c r="D104" s="57" t="s">
        <v>127</v>
      </c>
      <c r="E104" s="75">
        <v>280.51</v>
      </c>
      <c r="F104" s="58" t="s">
        <v>47</v>
      </c>
      <c r="G104" s="80">
        <v>0.05</v>
      </c>
      <c r="H104" s="81">
        <f t="shared" si="60"/>
        <v>294.5355</v>
      </c>
      <c r="I104" s="83">
        <v>8.15</v>
      </c>
      <c r="J104" s="83">
        <f t="shared" si="61"/>
        <v>2400.464325</v>
      </c>
      <c r="K104" s="84">
        <v>0.302</v>
      </c>
      <c r="L104" s="85">
        <f t="shared" si="62"/>
        <v>88.949721</v>
      </c>
      <c r="M104" s="86">
        <f>'LABOR SHEET'!C$5</f>
        <v>57.65</v>
      </c>
      <c r="N104" s="83">
        <f t="shared" si="63"/>
        <v>17.4103</v>
      </c>
      <c r="O104" s="83">
        <f t="shared" si="64"/>
        <v>5127.95141565</v>
      </c>
      <c r="P104" s="83">
        <f t="shared" si="65"/>
        <v>25.5603</v>
      </c>
      <c r="Q104" s="114">
        <f t="shared" si="66"/>
        <v>7528.41574065</v>
      </c>
      <c r="R104" s="101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</row>
    <row r="105" s="31" customFormat="1" spans="1:36">
      <c r="A105" s="55">
        <f>IF(G105&lt;&gt;"",1+MAX($A$3:A104),"")</f>
        <v>83</v>
      </c>
      <c r="B105" s="77"/>
      <c r="C105" s="78"/>
      <c r="D105" s="57" t="s">
        <v>128</v>
      </c>
      <c r="E105" s="75">
        <v>348.47</v>
      </c>
      <c r="F105" s="58" t="s">
        <v>47</v>
      </c>
      <c r="G105" s="80">
        <v>0.05</v>
      </c>
      <c r="H105" s="81">
        <f t="shared" si="60"/>
        <v>365.8935</v>
      </c>
      <c r="I105" s="83">
        <v>10.45</v>
      </c>
      <c r="J105" s="83">
        <f t="shared" si="61"/>
        <v>3823.587075</v>
      </c>
      <c r="K105" s="84">
        <v>0.333</v>
      </c>
      <c r="L105" s="85">
        <f t="shared" si="62"/>
        <v>121.8425355</v>
      </c>
      <c r="M105" s="86">
        <f>'LABOR SHEET'!C$5</f>
        <v>57.65</v>
      </c>
      <c r="N105" s="83">
        <f t="shared" si="63"/>
        <v>19.19745</v>
      </c>
      <c r="O105" s="83">
        <f t="shared" si="64"/>
        <v>7024.222171575</v>
      </c>
      <c r="P105" s="83">
        <f t="shared" si="65"/>
        <v>29.64745</v>
      </c>
      <c r="Q105" s="114">
        <f t="shared" si="66"/>
        <v>10847.809246575</v>
      </c>
      <c r="R105" s="101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</row>
    <row r="106" s="31" customFormat="1" spans="1:36">
      <c r="A106" s="55">
        <f>IF(G106&lt;&gt;"",1+MAX($A$3:A105),"")</f>
        <v>84</v>
      </c>
      <c r="B106" s="77"/>
      <c r="C106" s="78"/>
      <c r="D106" s="57" t="s">
        <v>129</v>
      </c>
      <c r="E106" s="75">
        <v>136.79</v>
      </c>
      <c r="F106" s="58" t="s">
        <v>47</v>
      </c>
      <c r="G106" s="80">
        <v>0.05</v>
      </c>
      <c r="H106" s="81">
        <f t="shared" si="60"/>
        <v>143.6295</v>
      </c>
      <c r="I106" s="83">
        <v>17.95</v>
      </c>
      <c r="J106" s="83">
        <f t="shared" si="61"/>
        <v>2578.149525</v>
      </c>
      <c r="K106" s="84">
        <v>0.41</v>
      </c>
      <c r="L106" s="85">
        <f t="shared" si="62"/>
        <v>58.888095</v>
      </c>
      <c r="M106" s="86">
        <f>'LABOR SHEET'!C$5</f>
        <v>57.65</v>
      </c>
      <c r="N106" s="83">
        <f t="shared" si="63"/>
        <v>23.6365</v>
      </c>
      <c r="O106" s="83">
        <f t="shared" si="64"/>
        <v>3394.89867675</v>
      </c>
      <c r="P106" s="83">
        <f t="shared" si="65"/>
        <v>41.5865</v>
      </c>
      <c r="Q106" s="114">
        <f t="shared" si="66"/>
        <v>5973.04820175</v>
      </c>
      <c r="R106" s="101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</row>
    <row r="107" s="31" customFormat="1" spans="1:36">
      <c r="A107" s="55">
        <f>IF(G107&lt;&gt;"",1+MAX($A$3:A106),"")</f>
        <v>85</v>
      </c>
      <c r="B107" s="77"/>
      <c r="C107" s="78"/>
      <c r="D107" s="57" t="s">
        <v>105</v>
      </c>
      <c r="E107" s="75">
        <v>11.56</v>
      </c>
      <c r="F107" s="58" t="s">
        <v>47</v>
      </c>
      <c r="G107" s="80">
        <v>0.05</v>
      </c>
      <c r="H107" s="81">
        <f t="shared" si="60"/>
        <v>12.138</v>
      </c>
      <c r="I107" s="83">
        <v>4.41</v>
      </c>
      <c r="J107" s="83">
        <f t="shared" si="61"/>
        <v>53.52858</v>
      </c>
      <c r="K107" s="84">
        <v>0.222</v>
      </c>
      <c r="L107" s="85">
        <f t="shared" si="62"/>
        <v>2.694636</v>
      </c>
      <c r="M107" s="86">
        <f>'LABOR SHEET'!C$5</f>
        <v>57.65</v>
      </c>
      <c r="N107" s="83">
        <f t="shared" si="63"/>
        <v>12.7983</v>
      </c>
      <c r="O107" s="83">
        <f t="shared" si="64"/>
        <v>155.3457654</v>
      </c>
      <c r="P107" s="83">
        <f t="shared" si="65"/>
        <v>17.2083</v>
      </c>
      <c r="Q107" s="114">
        <f t="shared" si="66"/>
        <v>208.8743454</v>
      </c>
      <c r="R107" s="101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</row>
    <row r="108" s="31" customFormat="1" spans="1:36">
      <c r="A108" s="55" t="str">
        <f>IF(G108&lt;&gt;"",1+MAX($A$3:A107),"")</f>
        <v/>
      </c>
      <c r="B108" s="77"/>
      <c r="C108" s="78"/>
      <c r="D108" s="57"/>
      <c r="E108" s="75"/>
      <c r="F108" s="58"/>
      <c r="G108" s="80"/>
      <c r="H108" s="81"/>
      <c r="I108" s="87"/>
      <c r="J108" s="83"/>
      <c r="K108" s="84"/>
      <c r="L108" s="85"/>
      <c r="M108" s="86"/>
      <c r="N108" s="83"/>
      <c r="O108" s="83"/>
      <c r="P108" s="83"/>
      <c r="Q108" s="114"/>
      <c r="R108" s="101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</row>
    <row r="109" s="31" customFormat="1" spans="1:36">
      <c r="A109" s="55" t="str">
        <f>IF(G109&lt;&gt;"",1+MAX($A$3:A108),"")</f>
        <v/>
      </c>
      <c r="B109" s="77"/>
      <c r="C109" s="78"/>
      <c r="D109" s="82" t="s">
        <v>55</v>
      </c>
      <c r="E109" s="75"/>
      <c r="F109" s="58"/>
      <c r="G109" s="80"/>
      <c r="H109" s="81"/>
      <c r="I109" s="87"/>
      <c r="J109" s="83"/>
      <c r="K109" s="84"/>
      <c r="L109" s="85"/>
      <c r="M109" s="86"/>
      <c r="N109" s="83"/>
      <c r="O109" s="83"/>
      <c r="P109" s="83"/>
      <c r="Q109" s="114"/>
      <c r="R109" s="101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</row>
    <row r="110" s="31" customFormat="1" spans="1:36">
      <c r="A110" s="55">
        <f>IF(G110&lt;&gt;"",1+MAX($A$3:A109),"")</f>
        <v>86</v>
      </c>
      <c r="B110" s="77"/>
      <c r="C110" s="78"/>
      <c r="D110" s="57" t="s">
        <v>130</v>
      </c>
      <c r="E110" s="75">
        <v>34</v>
      </c>
      <c r="F110" s="58" t="s">
        <v>57</v>
      </c>
      <c r="G110" s="80">
        <v>0</v>
      </c>
      <c r="H110" s="81">
        <f t="shared" ref="H110:H135" si="67">E110*(1+G110)</f>
        <v>34</v>
      </c>
      <c r="I110" s="83">
        <v>8.96</v>
      </c>
      <c r="J110" s="83">
        <f t="shared" ref="J110:J135" si="68">I110*H110</f>
        <v>304.64</v>
      </c>
      <c r="K110" s="84">
        <v>0.36</v>
      </c>
      <c r="L110" s="85">
        <f t="shared" ref="L110:L135" si="69">+K110*H110</f>
        <v>12.24</v>
      </c>
      <c r="M110" s="86">
        <f>'LABOR SHEET'!C$5</f>
        <v>57.65</v>
      </c>
      <c r="N110" s="83">
        <f t="shared" ref="N110:N135" si="70">K110*M110</f>
        <v>20.754</v>
      </c>
      <c r="O110" s="83">
        <f t="shared" ref="O110:O135" si="71">M110*L110</f>
        <v>705.636</v>
      </c>
      <c r="P110" s="83">
        <f t="shared" ref="P110:P135" si="72">I110+N110</f>
        <v>29.714</v>
      </c>
      <c r="Q110" s="114">
        <f t="shared" ref="Q110:Q135" si="73">P110*H110</f>
        <v>1010.276</v>
      </c>
      <c r="R110" s="101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</row>
    <row r="111" s="31" customFormat="1" spans="1:36">
      <c r="A111" s="55">
        <f>IF(G111&lt;&gt;"",1+MAX($A$3:A110),"")</f>
        <v>87</v>
      </c>
      <c r="B111" s="77"/>
      <c r="C111" s="78"/>
      <c r="D111" s="57" t="s">
        <v>131</v>
      </c>
      <c r="E111" s="75">
        <v>20</v>
      </c>
      <c r="F111" s="58" t="s">
        <v>57</v>
      </c>
      <c r="G111" s="80">
        <v>0</v>
      </c>
      <c r="H111" s="81">
        <f t="shared" si="67"/>
        <v>20</v>
      </c>
      <c r="I111" s="83">
        <v>15.5</v>
      </c>
      <c r="J111" s="83">
        <f t="shared" si="68"/>
        <v>310</v>
      </c>
      <c r="K111" s="84">
        <v>0.37</v>
      </c>
      <c r="L111" s="85">
        <f t="shared" si="69"/>
        <v>7.4</v>
      </c>
      <c r="M111" s="86">
        <f>'LABOR SHEET'!C$5</f>
        <v>57.65</v>
      </c>
      <c r="N111" s="83">
        <f t="shared" si="70"/>
        <v>21.3305</v>
      </c>
      <c r="O111" s="83">
        <f t="shared" si="71"/>
        <v>426.61</v>
      </c>
      <c r="P111" s="83">
        <f t="shared" si="72"/>
        <v>36.8305</v>
      </c>
      <c r="Q111" s="114">
        <f t="shared" si="73"/>
        <v>736.61</v>
      </c>
      <c r="R111" s="101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</row>
    <row r="112" s="31" customFormat="1" spans="1:36">
      <c r="A112" s="55">
        <f>IF(G112&lt;&gt;"",1+MAX($A$3:A111),"")</f>
        <v>88</v>
      </c>
      <c r="B112" s="77"/>
      <c r="C112" s="78"/>
      <c r="D112" s="57" t="s">
        <v>132</v>
      </c>
      <c r="E112" s="75">
        <v>24</v>
      </c>
      <c r="F112" s="58" t="s">
        <v>57</v>
      </c>
      <c r="G112" s="80">
        <v>0</v>
      </c>
      <c r="H112" s="81">
        <f t="shared" si="67"/>
        <v>24</v>
      </c>
      <c r="I112" s="83">
        <v>19.5</v>
      </c>
      <c r="J112" s="83">
        <f t="shared" si="68"/>
        <v>468</v>
      </c>
      <c r="K112" s="84">
        <v>0.38</v>
      </c>
      <c r="L112" s="85">
        <f t="shared" si="69"/>
        <v>9.12</v>
      </c>
      <c r="M112" s="86">
        <f>'LABOR SHEET'!C$5</f>
        <v>57.65</v>
      </c>
      <c r="N112" s="83">
        <f t="shared" si="70"/>
        <v>21.907</v>
      </c>
      <c r="O112" s="83">
        <f t="shared" si="71"/>
        <v>525.768</v>
      </c>
      <c r="P112" s="83">
        <f t="shared" si="72"/>
        <v>41.407</v>
      </c>
      <c r="Q112" s="114">
        <f t="shared" si="73"/>
        <v>993.768</v>
      </c>
      <c r="R112" s="101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</row>
    <row r="113" s="31" customFormat="1" spans="1:36">
      <c r="A113" s="55">
        <f>IF(G113&lt;&gt;"",1+MAX($A$3:A112),"")</f>
        <v>89</v>
      </c>
      <c r="B113" s="77"/>
      <c r="C113" s="78"/>
      <c r="D113" s="57" t="s">
        <v>133</v>
      </c>
      <c r="E113" s="75">
        <v>10</v>
      </c>
      <c r="F113" s="58" t="s">
        <v>57</v>
      </c>
      <c r="G113" s="80">
        <v>0</v>
      </c>
      <c r="H113" s="81">
        <f t="shared" si="67"/>
        <v>10</v>
      </c>
      <c r="I113" s="83">
        <v>10.5</v>
      </c>
      <c r="J113" s="83">
        <f t="shared" si="68"/>
        <v>105</v>
      </c>
      <c r="K113" s="84">
        <v>0.37</v>
      </c>
      <c r="L113" s="85">
        <f t="shared" si="69"/>
        <v>3.7</v>
      </c>
      <c r="M113" s="86">
        <f>'LABOR SHEET'!C$5</f>
        <v>57.65</v>
      </c>
      <c r="N113" s="83">
        <f t="shared" si="70"/>
        <v>21.3305</v>
      </c>
      <c r="O113" s="83">
        <f t="shared" si="71"/>
        <v>213.305</v>
      </c>
      <c r="P113" s="83">
        <f t="shared" si="72"/>
        <v>31.8305</v>
      </c>
      <c r="Q113" s="114">
        <f t="shared" si="73"/>
        <v>318.305</v>
      </c>
      <c r="R113" s="101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</row>
    <row r="114" s="31" customFormat="1" spans="1:36">
      <c r="A114" s="55">
        <f>IF(G114&lt;&gt;"",1+MAX($A$3:A113),"")</f>
        <v>90</v>
      </c>
      <c r="B114" s="77"/>
      <c r="C114" s="78"/>
      <c r="D114" s="57" t="s">
        <v>134</v>
      </c>
      <c r="E114" s="75">
        <v>20</v>
      </c>
      <c r="F114" s="58" t="s">
        <v>57</v>
      </c>
      <c r="G114" s="80">
        <v>0</v>
      </c>
      <c r="H114" s="81">
        <f t="shared" si="67"/>
        <v>20</v>
      </c>
      <c r="I114" s="83">
        <v>16.5</v>
      </c>
      <c r="J114" s="83">
        <f t="shared" si="68"/>
        <v>330</v>
      </c>
      <c r="K114" s="84">
        <v>0.39</v>
      </c>
      <c r="L114" s="85">
        <f t="shared" si="69"/>
        <v>7.8</v>
      </c>
      <c r="M114" s="86">
        <f>'LABOR SHEET'!C$5</f>
        <v>57.65</v>
      </c>
      <c r="N114" s="83">
        <f t="shared" si="70"/>
        <v>22.4835</v>
      </c>
      <c r="O114" s="83">
        <f t="shared" si="71"/>
        <v>449.67</v>
      </c>
      <c r="P114" s="83">
        <f t="shared" si="72"/>
        <v>38.9835</v>
      </c>
      <c r="Q114" s="114">
        <f t="shared" si="73"/>
        <v>779.67</v>
      </c>
      <c r="R114" s="101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</row>
    <row r="115" s="31" customFormat="1" spans="1:36">
      <c r="A115" s="55">
        <f>IF(G115&lt;&gt;"",1+MAX($A$3:A114),"")</f>
        <v>91</v>
      </c>
      <c r="B115" s="77"/>
      <c r="C115" s="78"/>
      <c r="D115" s="57" t="s">
        <v>135</v>
      </c>
      <c r="E115" s="75">
        <v>8</v>
      </c>
      <c r="F115" s="58" t="s">
        <v>57</v>
      </c>
      <c r="G115" s="80">
        <v>0</v>
      </c>
      <c r="H115" s="81">
        <f t="shared" si="67"/>
        <v>8</v>
      </c>
      <c r="I115" s="83">
        <v>22.5</v>
      </c>
      <c r="J115" s="83">
        <f t="shared" si="68"/>
        <v>180</v>
      </c>
      <c r="K115" s="84">
        <v>0.4</v>
      </c>
      <c r="L115" s="85">
        <f t="shared" si="69"/>
        <v>3.2</v>
      </c>
      <c r="M115" s="86">
        <f>'LABOR SHEET'!C$5</f>
        <v>57.65</v>
      </c>
      <c r="N115" s="83">
        <f t="shared" si="70"/>
        <v>23.06</v>
      </c>
      <c r="O115" s="83">
        <f t="shared" si="71"/>
        <v>184.48</v>
      </c>
      <c r="P115" s="83">
        <f t="shared" si="72"/>
        <v>45.56</v>
      </c>
      <c r="Q115" s="114">
        <f t="shared" si="73"/>
        <v>364.48</v>
      </c>
      <c r="R115" s="101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</row>
    <row r="116" s="31" customFormat="1" spans="1:36">
      <c r="A116" s="55">
        <f>IF(G116&lt;&gt;"",1+MAX($A$3:A115),"")</f>
        <v>92</v>
      </c>
      <c r="B116" s="77"/>
      <c r="C116" s="78"/>
      <c r="D116" s="57" t="s">
        <v>136</v>
      </c>
      <c r="E116" s="75">
        <v>30</v>
      </c>
      <c r="F116" s="58" t="s">
        <v>57</v>
      </c>
      <c r="G116" s="80">
        <v>0</v>
      </c>
      <c r="H116" s="81">
        <f t="shared" si="67"/>
        <v>30</v>
      </c>
      <c r="I116" s="83">
        <v>19.87</v>
      </c>
      <c r="J116" s="83">
        <f t="shared" si="68"/>
        <v>596.1</v>
      </c>
      <c r="K116" s="84">
        <v>0.45</v>
      </c>
      <c r="L116" s="85">
        <f t="shared" si="69"/>
        <v>13.5</v>
      </c>
      <c r="M116" s="86">
        <f>'LABOR SHEET'!C$5</f>
        <v>57.65</v>
      </c>
      <c r="N116" s="83">
        <f t="shared" si="70"/>
        <v>25.9425</v>
      </c>
      <c r="O116" s="83">
        <f t="shared" si="71"/>
        <v>778.275</v>
      </c>
      <c r="P116" s="83">
        <f t="shared" si="72"/>
        <v>45.8125</v>
      </c>
      <c r="Q116" s="114">
        <f t="shared" si="73"/>
        <v>1374.375</v>
      </c>
      <c r="R116" s="101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</row>
    <row r="117" s="31" customFormat="1" spans="1:36">
      <c r="A117" s="55">
        <f>IF(G117&lt;&gt;"",1+MAX($A$3:A116),"")</f>
        <v>93</v>
      </c>
      <c r="B117" s="77"/>
      <c r="C117" s="78"/>
      <c r="D117" s="57" t="s">
        <v>137</v>
      </c>
      <c r="E117" s="75">
        <v>1</v>
      </c>
      <c r="F117" s="58" t="s">
        <v>57</v>
      </c>
      <c r="G117" s="80">
        <v>0</v>
      </c>
      <c r="H117" s="81">
        <f t="shared" si="67"/>
        <v>1</v>
      </c>
      <c r="I117" s="83">
        <v>30.3</v>
      </c>
      <c r="J117" s="83">
        <f t="shared" si="68"/>
        <v>30.3</v>
      </c>
      <c r="K117" s="84">
        <v>0.46</v>
      </c>
      <c r="L117" s="85">
        <f t="shared" si="69"/>
        <v>0.46</v>
      </c>
      <c r="M117" s="86">
        <f>'LABOR SHEET'!C$5</f>
        <v>57.65</v>
      </c>
      <c r="N117" s="83">
        <f t="shared" si="70"/>
        <v>26.519</v>
      </c>
      <c r="O117" s="83">
        <f t="shared" si="71"/>
        <v>26.519</v>
      </c>
      <c r="P117" s="83">
        <f t="shared" si="72"/>
        <v>56.819</v>
      </c>
      <c r="Q117" s="114">
        <f t="shared" si="73"/>
        <v>56.819</v>
      </c>
      <c r="R117" s="101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</row>
    <row r="118" s="31" customFormat="1" spans="1:36">
      <c r="A118" s="55">
        <f>IF(G118&lt;&gt;"",1+MAX($A$3:A117),"")</f>
        <v>94</v>
      </c>
      <c r="B118" s="77"/>
      <c r="C118" s="78"/>
      <c r="D118" s="57" t="s">
        <v>138</v>
      </c>
      <c r="E118" s="75">
        <v>8</v>
      </c>
      <c r="F118" s="58" t="s">
        <v>57</v>
      </c>
      <c r="G118" s="80">
        <v>0</v>
      </c>
      <c r="H118" s="81">
        <f t="shared" si="67"/>
        <v>8</v>
      </c>
      <c r="I118" s="83">
        <v>50.2</v>
      </c>
      <c r="J118" s="83">
        <f t="shared" si="68"/>
        <v>401.6</v>
      </c>
      <c r="K118" s="84">
        <v>0.47</v>
      </c>
      <c r="L118" s="85">
        <f t="shared" si="69"/>
        <v>3.76</v>
      </c>
      <c r="M118" s="86">
        <f>'LABOR SHEET'!C$5</f>
        <v>57.65</v>
      </c>
      <c r="N118" s="83">
        <f t="shared" si="70"/>
        <v>27.0955</v>
      </c>
      <c r="O118" s="83">
        <f t="shared" si="71"/>
        <v>216.764</v>
      </c>
      <c r="P118" s="83">
        <f t="shared" si="72"/>
        <v>77.2955</v>
      </c>
      <c r="Q118" s="114">
        <f t="shared" si="73"/>
        <v>618.364</v>
      </c>
      <c r="R118" s="101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</row>
    <row r="119" s="31" customFormat="1" spans="1:36">
      <c r="A119" s="55">
        <f>IF(G119&lt;&gt;"",1+MAX($A$3:A118),"")</f>
        <v>95</v>
      </c>
      <c r="B119" s="77"/>
      <c r="C119" s="78"/>
      <c r="D119" s="57" t="s">
        <v>139</v>
      </c>
      <c r="E119" s="75">
        <v>5</v>
      </c>
      <c r="F119" s="58" t="s">
        <v>57</v>
      </c>
      <c r="G119" s="80">
        <v>0</v>
      </c>
      <c r="H119" s="81">
        <f t="shared" si="67"/>
        <v>5</v>
      </c>
      <c r="I119" s="83">
        <v>65.5</v>
      </c>
      <c r="J119" s="83">
        <f t="shared" si="68"/>
        <v>327.5</v>
      </c>
      <c r="K119" s="84">
        <v>0.48</v>
      </c>
      <c r="L119" s="85">
        <f t="shared" si="69"/>
        <v>2.4</v>
      </c>
      <c r="M119" s="86">
        <f>'LABOR SHEET'!C$5</f>
        <v>57.65</v>
      </c>
      <c r="N119" s="83">
        <f t="shared" si="70"/>
        <v>27.672</v>
      </c>
      <c r="O119" s="83">
        <f t="shared" si="71"/>
        <v>138.36</v>
      </c>
      <c r="P119" s="83">
        <f t="shared" si="72"/>
        <v>93.172</v>
      </c>
      <c r="Q119" s="114">
        <f t="shared" si="73"/>
        <v>465.86</v>
      </c>
      <c r="R119" s="101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</row>
    <row r="120" s="31" customFormat="1" spans="1:36">
      <c r="A120" s="55">
        <f>IF(G120&lt;&gt;"",1+MAX($A$3:A119),"")</f>
        <v>96</v>
      </c>
      <c r="B120" s="77"/>
      <c r="C120" s="78"/>
      <c r="D120" s="57" t="s">
        <v>140</v>
      </c>
      <c r="E120" s="75">
        <v>31</v>
      </c>
      <c r="F120" s="58" t="s">
        <v>57</v>
      </c>
      <c r="G120" s="80">
        <v>0</v>
      </c>
      <c r="H120" s="81">
        <f t="shared" si="67"/>
        <v>31</v>
      </c>
      <c r="I120" s="83">
        <v>72.2</v>
      </c>
      <c r="J120" s="83">
        <f t="shared" si="68"/>
        <v>2238.2</v>
      </c>
      <c r="K120" s="84">
        <v>0.49</v>
      </c>
      <c r="L120" s="85">
        <f t="shared" si="69"/>
        <v>15.19</v>
      </c>
      <c r="M120" s="86">
        <f>'LABOR SHEET'!C$5</f>
        <v>57.65</v>
      </c>
      <c r="N120" s="83">
        <f t="shared" si="70"/>
        <v>28.2485</v>
      </c>
      <c r="O120" s="83">
        <f t="shared" si="71"/>
        <v>875.7035</v>
      </c>
      <c r="P120" s="83">
        <f t="shared" si="72"/>
        <v>100.4485</v>
      </c>
      <c r="Q120" s="114">
        <f t="shared" si="73"/>
        <v>3113.9035</v>
      </c>
      <c r="R120" s="101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</row>
    <row r="121" s="31" customFormat="1" spans="1:36">
      <c r="A121" s="55">
        <f>IF(G121&lt;&gt;"",1+MAX($A$3:A120),"")</f>
        <v>97</v>
      </c>
      <c r="B121" s="77"/>
      <c r="C121" s="78"/>
      <c r="D121" s="57" t="s">
        <v>141</v>
      </c>
      <c r="E121" s="75">
        <v>10</v>
      </c>
      <c r="F121" s="58" t="s">
        <v>57</v>
      </c>
      <c r="G121" s="80">
        <v>0</v>
      </c>
      <c r="H121" s="81">
        <f t="shared" si="67"/>
        <v>10</v>
      </c>
      <c r="I121" s="83">
        <v>85.5</v>
      </c>
      <c r="J121" s="83">
        <f t="shared" si="68"/>
        <v>855</v>
      </c>
      <c r="K121" s="84">
        <v>0.5</v>
      </c>
      <c r="L121" s="85">
        <f t="shared" si="69"/>
        <v>5</v>
      </c>
      <c r="M121" s="86">
        <f>'LABOR SHEET'!C$5</f>
        <v>57.65</v>
      </c>
      <c r="N121" s="83">
        <f t="shared" si="70"/>
        <v>28.825</v>
      </c>
      <c r="O121" s="83">
        <f t="shared" si="71"/>
        <v>288.25</v>
      </c>
      <c r="P121" s="83">
        <f t="shared" si="72"/>
        <v>114.325</v>
      </c>
      <c r="Q121" s="114">
        <f t="shared" si="73"/>
        <v>1143.25</v>
      </c>
      <c r="R121" s="101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</row>
    <row r="122" s="31" customFormat="1" spans="1:36">
      <c r="A122" s="55">
        <f>IF(G122&lt;&gt;"",1+MAX($A$3:A121),"")</f>
        <v>98</v>
      </c>
      <c r="B122" s="77"/>
      <c r="C122" s="78"/>
      <c r="D122" s="57" t="s">
        <v>142</v>
      </c>
      <c r="E122" s="75">
        <v>3</v>
      </c>
      <c r="F122" s="58" t="s">
        <v>57</v>
      </c>
      <c r="G122" s="80">
        <v>0</v>
      </c>
      <c r="H122" s="81">
        <f t="shared" si="67"/>
        <v>3</v>
      </c>
      <c r="I122" s="83">
        <v>90</v>
      </c>
      <c r="J122" s="83">
        <f t="shared" si="68"/>
        <v>270</v>
      </c>
      <c r="K122" s="84">
        <v>0.51</v>
      </c>
      <c r="L122" s="85">
        <f t="shared" si="69"/>
        <v>1.53</v>
      </c>
      <c r="M122" s="86">
        <f>'LABOR SHEET'!C$5</f>
        <v>57.65</v>
      </c>
      <c r="N122" s="83">
        <f t="shared" si="70"/>
        <v>29.4015</v>
      </c>
      <c r="O122" s="83">
        <f t="shared" si="71"/>
        <v>88.2045</v>
      </c>
      <c r="P122" s="83">
        <f t="shared" si="72"/>
        <v>119.4015</v>
      </c>
      <c r="Q122" s="114">
        <f t="shared" si="73"/>
        <v>358.2045</v>
      </c>
      <c r="R122" s="101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</row>
    <row r="123" s="31" customFormat="1" spans="1:36">
      <c r="A123" s="55">
        <f>IF(G123&lt;&gt;"",1+MAX($A$3:A122),"")</f>
        <v>99</v>
      </c>
      <c r="B123" s="77"/>
      <c r="C123" s="78"/>
      <c r="D123" s="57" t="s">
        <v>143</v>
      </c>
      <c r="E123" s="75">
        <v>9</v>
      </c>
      <c r="F123" s="58" t="s">
        <v>57</v>
      </c>
      <c r="G123" s="80">
        <v>0</v>
      </c>
      <c r="H123" s="81">
        <f t="shared" si="67"/>
        <v>9</v>
      </c>
      <c r="I123" s="83">
        <v>98</v>
      </c>
      <c r="J123" s="83">
        <f t="shared" si="68"/>
        <v>882</v>
      </c>
      <c r="K123" s="84">
        <v>0.52</v>
      </c>
      <c r="L123" s="85">
        <f t="shared" si="69"/>
        <v>4.68</v>
      </c>
      <c r="M123" s="86">
        <f>'LABOR SHEET'!C$5</f>
        <v>57.65</v>
      </c>
      <c r="N123" s="83">
        <f t="shared" si="70"/>
        <v>29.978</v>
      </c>
      <c r="O123" s="83">
        <f t="shared" si="71"/>
        <v>269.802</v>
      </c>
      <c r="P123" s="83">
        <f t="shared" si="72"/>
        <v>127.978</v>
      </c>
      <c r="Q123" s="114">
        <f t="shared" si="73"/>
        <v>1151.802</v>
      </c>
      <c r="R123" s="101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</row>
    <row r="124" s="31" customFormat="1" spans="1:36">
      <c r="A124" s="55">
        <f>IF(G124&lt;&gt;"",1+MAX($A$3:A123),"")</f>
        <v>100</v>
      </c>
      <c r="B124" s="77"/>
      <c r="C124" s="78"/>
      <c r="D124" s="57" t="s">
        <v>144</v>
      </c>
      <c r="E124" s="75">
        <v>21</v>
      </c>
      <c r="F124" s="58" t="s">
        <v>57</v>
      </c>
      <c r="G124" s="80">
        <v>0</v>
      </c>
      <c r="H124" s="81">
        <f t="shared" si="67"/>
        <v>21</v>
      </c>
      <c r="I124" s="83">
        <v>105</v>
      </c>
      <c r="J124" s="83">
        <f t="shared" si="68"/>
        <v>2205</v>
      </c>
      <c r="K124" s="84">
        <v>0.53</v>
      </c>
      <c r="L124" s="85">
        <f t="shared" si="69"/>
        <v>11.13</v>
      </c>
      <c r="M124" s="86">
        <f>'LABOR SHEET'!C$5</f>
        <v>57.65</v>
      </c>
      <c r="N124" s="83">
        <f t="shared" si="70"/>
        <v>30.5545</v>
      </c>
      <c r="O124" s="83">
        <f t="shared" si="71"/>
        <v>641.6445</v>
      </c>
      <c r="P124" s="83">
        <f t="shared" si="72"/>
        <v>135.5545</v>
      </c>
      <c r="Q124" s="114">
        <f t="shared" si="73"/>
        <v>2846.6445</v>
      </c>
      <c r="R124" s="101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</row>
    <row r="125" s="31" customFormat="1" spans="1:36">
      <c r="A125" s="55">
        <f>IF(G125&lt;&gt;"",1+MAX($A$3:A124),"")</f>
        <v>101</v>
      </c>
      <c r="B125" s="77"/>
      <c r="C125" s="78"/>
      <c r="D125" s="57" t="s">
        <v>145</v>
      </c>
      <c r="E125" s="75">
        <v>4</v>
      </c>
      <c r="F125" s="58" t="s">
        <v>57</v>
      </c>
      <c r="G125" s="80">
        <v>0</v>
      </c>
      <c r="H125" s="81">
        <f t="shared" si="67"/>
        <v>4</v>
      </c>
      <c r="I125" s="83">
        <v>110</v>
      </c>
      <c r="J125" s="83">
        <f t="shared" si="68"/>
        <v>440</v>
      </c>
      <c r="K125" s="84">
        <v>0.54</v>
      </c>
      <c r="L125" s="85">
        <f t="shared" si="69"/>
        <v>2.16</v>
      </c>
      <c r="M125" s="86">
        <f>'LABOR SHEET'!C$5</f>
        <v>57.65</v>
      </c>
      <c r="N125" s="83">
        <f t="shared" si="70"/>
        <v>31.131</v>
      </c>
      <c r="O125" s="83">
        <f t="shared" si="71"/>
        <v>124.524</v>
      </c>
      <c r="P125" s="83">
        <f t="shared" si="72"/>
        <v>141.131</v>
      </c>
      <c r="Q125" s="114">
        <f t="shared" si="73"/>
        <v>564.524</v>
      </c>
      <c r="R125" s="101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</row>
    <row r="126" s="31" customFormat="1" spans="1:36">
      <c r="A126" s="55">
        <f>IF(G126&lt;&gt;"",1+MAX($A$3:A125),"")</f>
        <v>102</v>
      </c>
      <c r="B126" s="77"/>
      <c r="C126" s="78"/>
      <c r="D126" s="57" t="s">
        <v>146</v>
      </c>
      <c r="E126" s="75">
        <v>5</v>
      </c>
      <c r="F126" s="58" t="s">
        <v>57</v>
      </c>
      <c r="G126" s="80">
        <v>0</v>
      </c>
      <c r="H126" s="81">
        <f t="shared" si="67"/>
        <v>5</v>
      </c>
      <c r="I126" s="83">
        <v>119</v>
      </c>
      <c r="J126" s="83">
        <f t="shared" si="68"/>
        <v>595</v>
      </c>
      <c r="K126" s="84">
        <v>0.55</v>
      </c>
      <c r="L126" s="85">
        <f t="shared" si="69"/>
        <v>2.75</v>
      </c>
      <c r="M126" s="86">
        <f>'LABOR SHEET'!C$5</f>
        <v>57.65</v>
      </c>
      <c r="N126" s="83">
        <f t="shared" si="70"/>
        <v>31.7075</v>
      </c>
      <c r="O126" s="83">
        <f t="shared" si="71"/>
        <v>158.5375</v>
      </c>
      <c r="P126" s="83">
        <f t="shared" si="72"/>
        <v>150.7075</v>
      </c>
      <c r="Q126" s="114">
        <f t="shared" si="73"/>
        <v>753.5375</v>
      </c>
      <c r="R126" s="101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</row>
    <row r="127" s="31" customFormat="1" spans="1:36">
      <c r="A127" s="55">
        <f>IF(G127&lt;&gt;"",1+MAX($A$3:A126),"")</f>
        <v>103</v>
      </c>
      <c r="B127" s="77"/>
      <c r="C127" s="78"/>
      <c r="D127" s="57" t="s">
        <v>147</v>
      </c>
      <c r="E127" s="75">
        <v>2</v>
      </c>
      <c r="F127" s="58" t="s">
        <v>57</v>
      </c>
      <c r="G127" s="80">
        <v>0</v>
      </c>
      <c r="H127" s="81">
        <f t="shared" si="67"/>
        <v>2</v>
      </c>
      <c r="I127" s="83">
        <v>131</v>
      </c>
      <c r="J127" s="83">
        <f t="shared" si="68"/>
        <v>262</v>
      </c>
      <c r="K127" s="84">
        <v>0.56</v>
      </c>
      <c r="L127" s="85">
        <f t="shared" si="69"/>
        <v>1.12</v>
      </c>
      <c r="M127" s="86">
        <f>'LABOR SHEET'!C$5</f>
        <v>57.65</v>
      </c>
      <c r="N127" s="83">
        <f t="shared" si="70"/>
        <v>32.284</v>
      </c>
      <c r="O127" s="83">
        <f t="shared" si="71"/>
        <v>64.568</v>
      </c>
      <c r="P127" s="83">
        <f t="shared" si="72"/>
        <v>163.284</v>
      </c>
      <c r="Q127" s="114">
        <f t="shared" si="73"/>
        <v>326.568</v>
      </c>
      <c r="R127" s="101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</row>
    <row r="128" s="31" customFormat="1" spans="1:36">
      <c r="A128" s="55">
        <f>IF(G128&lt;&gt;"",1+MAX($A$3:A127),"")</f>
        <v>104</v>
      </c>
      <c r="B128" s="77"/>
      <c r="C128" s="78"/>
      <c r="D128" s="57" t="s">
        <v>148</v>
      </c>
      <c r="E128" s="75">
        <v>2</v>
      </c>
      <c r="F128" s="58" t="s">
        <v>57</v>
      </c>
      <c r="G128" s="80">
        <v>0</v>
      </c>
      <c r="H128" s="81">
        <f t="shared" si="67"/>
        <v>2</v>
      </c>
      <c r="I128" s="83">
        <v>141.29</v>
      </c>
      <c r="J128" s="83">
        <f t="shared" si="68"/>
        <v>282.58</v>
      </c>
      <c r="K128" s="84">
        <v>0.57</v>
      </c>
      <c r="L128" s="85">
        <f t="shared" si="69"/>
        <v>1.14</v>
      </c>
      <c r="M128" s="86">
        <f>'LABOR SHEET'!C$5</f>
        <v>57.65</v>
      </c>
      <c r="N128" s="83">
        <f t="shared" si="70"/>
        <v>32.8605</v>
      </c>
      <c r="O128" s="83">
        <f t="shared" si="71"/>
        <v>65.721</v>
      </c>
      <c r="P128" s="83">
        <f t="shared" si="72"/>
        <v>174.1505</v>
      </c>
      <c r="Q128" s="114">
        <f t="shared" si="73"/>
        <v>348.301</v>
      </c>
      <c r="R128" s="101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</row>
    <row r="129" s="31" customFormat="1" spans="1:36">
      <c r="A129" s="55">
        <f>IF(G129&lt;&gt;"",1+MAX($A$3:A128),"")</f>
        <v>105</v>
      </c>
      <c r="B129" s="77"/>
      <c r="C129" s="78"/>
      <c r="D129" s="57" t="s">
        <v>149</v>
      </c>
      <c r="E129" s="75">
        <v>12</v>
      </c>
      <c r="F129" s="58" t="s">
        <v>57</v>
      </c>
      <c r="G129" s="80">
        <v>0</v>
      </c>
      <c r="H129" s="81">
        <f t="shared" si="67"/>
        <v>12</v>
      </c>
      <c r="I129" s="83">
        <v>6.99</v>
      </c>
      <c r="J129" s="83">
        <f t="shared" si="68"/>
        <v>83.88</v>
      </c>
      <c r="K129" s="84">
        <v>0.5</v>
      </c>
      <c r="L129" s="85">
        <f t="shared" si="69"/>
        <v>6</v>
      </c>
      <c r="M129" s="86">
        <f>'LABOR SHEET'!C$5</f>
        <v>57.65</v>
      </c>
      <c r="N129" s="83">
        <f t="shared" si="70"/>
        <v>28.825</v>
      </c>
      <c r="O129" s="83">
        <f t="shared" si="71"/>
        <v>345.9</v>
      </c>
      <c r="P129" s="83">
        <f t="shared" si="72"/>
        <v>35.815</v>
      </c>
      <c r="Q129" s="114">
        <f t="shared" si="73"/>
        <v>429.78</v>
      </c>
      <c r="R129" s="101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</row>
    <row r="130" s="31" customFormat="1" spans="1:36">
      <c r="A130" s="55">
        <f>IF(G130&lt;&gt;"",1+MAX($A$3:A129),"")</f>
        <v>106</v>
      </c>
      <c r="B130" s="77"/>
      <c r="C130" s="78"/>
      <c r="D130" s="57" t="s">
        <v>150</v>
      </c>
      <c r="E130" s="75">
        <v>11</v>
      </c>
      <c r="F130" s="58" t="s">
        <v>57</v>
      </c>
      <c r="G130" s="80">
        <v>0</v>
      </c>
      <c r="H130" s="81">
        <f t="shared" si="67"/>
        <v>11</v>
      </c>
      <c r="I130" s="83">
        <v>19.5</v>
      </c>
      <c r="J130" s="83">
        <f t="shared" si="68"/>
        <v>214.5</v>
      </c>
      <c r="K130" s="84">
        <v>0.52</v>
      </c>
      <c r="L130" s="85">
        <f t="shared" si="69"/>
        <v>5.72</v>
      </c>
      <c r="M130" s="86">
        <f>'LABOR SHEET'!C$5</f>
        <v>57.65</v>
      </c>
      <c r="N130" s="83">
        <f t="shared" si="70"/>
        <v>29.978</v>
      </c>
      <c r="O130" s="83">
        <f t="shared" si="71"/>
        <v>329.758</v>
      </c>
      <c r="P130" s="83">
        <f t="shared" si="72"/>
        <v>49.478</v>
      </c>
      <c r="Q130" s="114">
        <f t="shared" si="73"/>
        <v>544.258</v>
      </c>
      <c r="R130" s="101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</row>
    <row r="131" s="31" customFormat="1" spans="1:36">
      <c r="A131" s="55">
        <f>IF(G131&lt;&gt;"",1+MAX($A$3:A130),"")</f>
        <v>107</v>
      </c>
      <c r="B131" s="77"/>
      <c r="C131" s="78"/>
      <c r="D131" s="57" t="s">
        <v>151</v>
      </c>
      <c r="E131" s="75">
        <v>5</v>
      </c>
      <c r="F131" s="58" t="s">
        <v>57</v>
      </c>
      <c r="G131" s="80">
        <v>0</v>
      </c>
      <c r="H131" s="81">
        <f t="shared" si="67"/>
        <v>5</v>
      </c>
      <c r="I131" s="83">
        <v>31.5</v>
      </c>
      <c r="J131" s="83">
        <f t="shared" si="68"/>
        <v>157.5</v>
      </c>
      <c r="K131" s="84">
        <v>0.54</v>
      </c>
      <c r="L131" s="85">
        <f t="shared" si="69"/>
        <v>2.7</v>
      </c>
      <c r="M131" s="86">
        <f>'LABOR SHEET'!C$5</f>
        <v>57.65</v>
      </c>
      <c r="N131" s="83">
        <f t="shared" si="70"/>
        <v>31.131</v>
      </c>
      <c r="O131" s="83">
        <f t="shared" si="71"/>
        <v>155.655</v>
      </c>
      <c r="P131" s="83">
        <f t="shared" si="72"/>
        <v>62.631</v>
      </c>
      <c r="Q131" s="114">
        <f t="shared" si="73"/>
        <v>313.155</v>
      </c>
      <c r="R131" s="101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</row>
    <row r="132" s="31" customFormat="1" spans="1:36">
      <c r="A132" s="55">
        <f>IF(G132&lt;&gt;"",1+MAX($A$3:A131),"")</f>
        <v>108</v>
      </c>
      <c r="B132" s="77"/>
      <c r="C132" s="78"/>
      <c r="D132" s="57" t="s">
        <v>152</v>
      </c>
      <c r="E132" s="75">
        <v>14</v>
      </c>
      <c r="F132" s="58" t="s">
        <v>57</v>
      </c>
      <c r="G132" s="80">
        <v>0</v>
      </c>
      <c r="H132" s="81">
        <f t="shared" si="67"/>
        <v>14</v>
      </c>
      <c r="I132" s="83">
        <v>50.5</v>
      </c>
      <c r="J132" s="83">
        <f t="shared" si="68"/>
        <v>707</v>
      </c>
      <c r="K132" s="84">
        <v>0.56</v>
      </c>
      <c r="L132" s="85">
        <f t="shared" si="69"/>
        <v>7.84</v>
      </c>
      <c r="M132" s="86">
        <f>'LABOR SHEET'!C$5</f>
        <v>57.65</v>
      </c>
      <c r="N132" s="83">
        <f t="shared" si="70"/>
        <v>32.284</v>
      </c>
      <c r="O132" s="83">
        <f t="shared" si="71"/>
        <v>451.976</v>
      </c>
      <c r="P132" s="83">
        <f t="shared" si="72"/>
        <v>82.784</v>
      </c>
      <c r="Q132" s="114">
        <f t="shared" si="73"/>
        <v>1158.976</v>
      </c>
      <c r="R132" s="101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</row>
    <row r="133" s="31" customFormat="1" spans="1:36">
      <c r="A133" s="55">
        <f>IF(G133&lt;&gt;"",1+MAX($A$3:A132),"")</f>
        <v>109</v>
      </c>
      <c r="B133" s="77"/>
      <c r="C133" s="78"/>
      <c r="D133" s="57" t="s">
        <v>153</v>
      </c>
      <c r="E133" s="75">
        <v>1</v>
      </c>
      <c r="F133" s="58" t="s">
        <v>57</v>
      </c>
      <c r="G133" s="80">
        <v>0</v>
      </c>
      <c r="H133" s="81">
        <f t="shared" si="67"/>
        <v>1</v>
      </c>
      <c r="I133" s="83">
        <v>65</v>
      </c>
      <c r="J133" s="83">
        <f t="shared" si="68"/>
        <v>65</v>
      </c>
      <c r="K133" s="84">
        <v>0.58</v>
      </c>
      <c r="L133" s="85">
        <f t="shared" si="69"/>
        <v>0.58</v>
      </c>
      <c r="M133" s="86">
        <f>'LABOR SHEET'!C$5</f>
        <v>57.65</v>
      </c>
      <c r="N133" s="83">
        <f t="shared" si="70"/>
        <v>33.437</v>
      </c>
      <c r="O133" s="83">
        <f t="shared" si="71"/>
        <v>33.437</v>
      </c>
      <c r="P133" s="83">
        <f t="shared" si="72"/>
        <v>98.437</v>
      </c>
      <c r="Q133" s="114">
        <f t="shared" si="73"/>
        <v>98.437</v>
      </c>
      <c r="R133" s="101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</row>
    <row r="134" s="31" customFormat="1" spans="1:36">
      <c r="A134" s="55">
        <f>IF(G134&lt;&gt;"",1+MAX($A$3:A133),"")</f>
        <v>110</v>
      </c>
      <c r="B134" s="77"/>
      <c r="C134" s="78"/>
      <c r="D134" s="57" t="s">
        <v>154</v>
      </c>
      <c r="E134" s="75">
        <v>1</v>
      </c>
      <c r="F134" s="58" t="s">
        <v>57</v>
      </c>
      <c r="G134" s="80">
        <v>0</v>
      </c>
      <c r="H134" s="81">
        <f t="shared" si="67"/>
        <v>1</v>
      </c>
      <c r="I134" s="83">
        <v>85</v>
      </c>
      <c r="J134" s="83">
        <f t="shared" si="68"/>
        <v>85</v>
      </c>
      <c r="K134" s="84">
        <v>0.6</v>
      </c>
      <c r="L134" s="85">
        <f t="shared" si="69"/>
        <v>0.6</v>
      </c>
      <c r="M134" s="86">
        <f>'LABOR SHEET'!C$5</f>
        <v>57.65</v>
      </c>
      <c r="N134" s="83">
        <f t="shared" si="70"/>
        <v>34.59</v>
      </c>
      <c r="O134" s="83">
        <f t="shared" si="71"/>
        <v>34.59</v>
      </c>
      <c r="P134" s="83">
        <f t="shared" si="72"/>
        <v>119.59</v>
      </c>
      <c r="Q134" s="114">
        <f t="shared" si="73"/>
        <v>119.59</v>
      </c>
      <c r="R134" s="101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</row>
    <row r="135" s="31" customFormat="1" spans="1:36">
      <c r="A135" s="55">
        <f>IF(G135&lt;&gt;"",1+MAX($A$3:A134),"")</f>
        <v>111</v>
      </c>
      <c r="B135" s="77"/>
      <c r="C135" s="78"/>
      <c r="D135" s="57" t="s">
        <v>155</v>
      </c>
      <c r="E135" s="75">
        <v>1</v>
      </c>
      <c r="F135" s="58" t="s">
        <v>57</v>
      </c>
      <c r="G135" s="80">
        <v>0</v>
      </c>
      <c r="H135" s="81">
        <f t="shared" si="67"/>
        <v>1</v>
      </c>
      <c r="I135" s="83">
        <v>35.5</v>
      </c>
      <c r="J135" s="83">
        <f t="shared" si="68"/>
        <v>35.5</v>
      </c>
      <c r="K135" s="84">
        <v>0.6</v>
      </c>
      <c r="L135" s="85">
        <f t="shared" si="69"/>
        <v>0.6</v>
      </c>
      <c r="M135" s="86">
        <f>'LABOR SHEET'!C$5</f>
        <v>57.65</v>
      </c>
      <c r="N135" s="83">
        <f t="shared" si="70"/>
        <v>34.59</v>
      </c>
      <c r="O135" s="83">
        <f t="shared" si="71"/>
        <v>34.59</v>
      </c>
      <c r="P135" s="83">
        <f t="shared" si="72"/>
        <v>70.09</v>
      </c>
      <c r="Q135" s="114">
        <f t="shared" si="73"/>
        <v>70.09</v>
      </c>
      <c r="R135" s="101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</row>
    <row r="136" s="31" customFormat="1" spans="1:36">
      <c r="A136" s="55" t="str">
        <f>IF(G136&lt;&gt;"",1+MAX($A$3:A135),"")</f>
        <v/>
      </c>
      <c r="B136" s="77"/>
      <c r="C136" s="78"/>
      <c r="D136" s="57"/>
      <c r="E136" s="75"/>
      <c r="F136" s="58"/>
      <c r="G136" s="80"/>
      <c r="H136" s="81"/>
      <c r="I136" s="87"/>
      <c r="J136" s="83"/>
      <c r="K136" s="84"/>
      <c r="L136" s="85"/>
      <c r="M136" s="86"/>
      <c r="N136" s="83"/>
      <c r="O136" s="83"/>
      <c r="P136" s="83"/>
      <c r="Q136" s="114"/>
      <c r="R136" s="101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</row>
    <row r="137" s="31" customFormat="1" ht="18" spans="1:36">
      <c r="A137" s="55" t="str">
        <f>IF(G137&lt;&gt;"",1+MAX($A$3:A136),"")</f>
        <v/>
      </c>
      <c r="B137" s="77"/>
      <c r="C137" s="78"/>
      <c r="D137" s="76" t="s">
        <v>156</v>
      </c>
      <c r="E137" s="75"/>
      <c r="F137" s="58"/>
      <c r="G137" s="80"/>
      <c r="H137" s="81"/>
      <c r="I137" s="87"/>
      <c r="J137" s="83"/>
      <c r="K137" s="84"/>
      <c r="L137" s="85"/>
      <c r="M137" s="86"/>
      <c r="N137" s="83"/>
      <c r="O137" s="83"/>
      <c r="P137" s="83"/>
      <c r="Q137" s="114"/>
      <c r="R137" s="101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</row>
    <row r="138" s="31" customFormat="1" spans="1:36">
      <c r="A138" s="55" t="str">
        <f>IF(G138&lt;&gt;"",1+MAX($A$3:A137),"")</f>
        <v/>
      </c>
      <c r="B138" s="77"/>
      <c r="C138" s="78"/>
      <c r="D138" s="79" t="s">
        <v>157</v>
      </c>
      <c r="E138" s="75"/>
      <c r="F138" s="58"/>
      <c r="G138" s="80"/>
      <c r="H138" s="81"/>
      <c r="I138" s="87"/>
      <c r="J138" s="83"/>
      <c r="K138" s="84"/>
      <c r="L138" s="85"/>
      <c r="M138" s="86"/>
      <c r="N138" s="83"/>
      <c r="O138" s="83"/>
      <c r="P138" s="83"/>
      <c r="Q138" s="114"/>
      <c r="R138" s="101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</row>
    <row r="139" s="31" customFormat="1" spans="1:36">
      <c r="A139" s="55">
        <f>IF(G139&lt;&gt;"",1+MAX($A$3:A138),"")</f>
        <v>112</v>
      </c>
      <c r="B139" s="77"/>
      <c r="C139" s="78"/>
      <c r="D139" s="57" t="s">
        <v>158</v>
      </c>
      <c r="E139" s="75">
        <v>34.73</v>
      </c>
      <c r="F139" s="58" t="s">
        <v>47</v>
      </c>
      <c r="G139" s="80">
        <v>0.05</v>
      </c>
      <c r="H139" s="81">
        <f t="shared" ref="H139:H140" si="74">E139*(1+G139)</f>
        <v>36.4665</v>
      </c>
      <c r="I139" s="83">
        <v>5</v>
      </c>
      <c r="J139" s="83">
        <f t="shared" ref="J139:J140" si="75">I139*H139</f>
        <v>182.3325</v>
      </c>
      <c r="K139" s="84">
        <v>0.271</v>
      </c>
      <c r="L139" s="85">
        <f t="shared" ref="L139:L140" si="76">+K139*H139</f>
        <v>9.8824215</v>
      </c>
      <c r="M139" s="86">
        <f>'LABOR SHEET'!C$5</f>
        <v>57.65</v>
      </c>
      <c r="N139" s="83">
        <f t="shared" ref="N139:N140" si="77">K139*M139</f>
        <v>15.62315</v>
      </c>
      <c r="O139" s="83">
        <f t="shared" ref="O139:O140" si="78">M139*L139</f>
        <v>569.721599475</v>
      </c>
      <c r="P139" s="83">
        <f t="shared" ref="P139:P140" si="79">I139+N139</f>
        <v>20.62315</v>
      </c>
      <c r="Q139" s="114">
        <f t="shared" ref="Q139:Q140" si="80">P139*H139</f>
        <v>752.054099475</v>
      </c>
      <c r="R139" s="101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</row>
    <row r="140" s="31" customFormat="1" spans="1:36">
      <c r="A140" s="55">
        <f>IF(G140&lt;&gt;"",1+MAX($A$3:A139),"")</f>
        <v>113</v>
      </c>
      <c r="B140" s="77"/>
      <c r="C140" s="78"/>
      <c r="D140" s="57" t="s">
        <v>159</v>
      </c>
      <c r="E140" s="75">
        <v>249.12</v>
      </c>
      <c r="F140" s="58" t="s">
        <v>47</v>
      </c>
      <c r="G140" s="80">
        <v>0.05</v>
      </c>
      <c r="H140" s="81">
        <f t="shared" si="74"/>
        <v>261.576</v>
      </c>
      <c r="I140" s="83">
        <v>8.15</v>
      </c>
      <c r="J140" s="83">
        <f t="shared" si="75"/>
        <v>2131.8444</v>
      </c>
      <c r="K140" s="84">
        <v>0.302</v>
      </c>
      <c r="L140" s="85">
        <f t="shared" si="76"/>
        <v>78.995952</v>
      </c>
      <c r="M140" s="86">
        <f>'LABOR SHEET'!C$5</f>
        <v>57.65</v>
      </c>
      <c r="N140" s="83">
        <f t="shared" si="77"/>
        <v>17.4103</v>
      </c>
      <c r="O140" s="83">
        <f t="shared" si="78"/>
        <v>4554.1166328</v>
      </c>
      <c r="P140" s="83">
        <f t="shared" si="79"/>
        <v>25.5603</v>
      </c>
      <c r="Q140" s="114">
        <f t="shared" si="80"/>
        <v>6685.9610328</v>
      </c>
      <c r="R140" s="101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</row>
    <row r="141" s="31" customFormat="1" spans="1:36">
      <c r="A141" s="55" t="str">
        <f>IF(G141&lt;&gt;"",1+MAX($A$3:A140),"")</f>
        <v/>
      </c>
      <c r="B141" s="77"/>
      <c r="C141" s="78"/>
      <c r="D141" s="57"/>
      <c r="E141" s="75"/>
      <c r="F141" s="58"/>
      <c r="G141" s="80"/>
      <c r="H141" s="81"/>
      <c r="I141" s="87"/>
      <c r="J141" s="83"/>
      <c r="K141" s="84"/>
      <c r="L141" s="85"/>
      <c r="M141" s="86"/>
      <c r="N141" s="83"/>
      <c r="O141" s="83"/>
      <c r="P141" s="83"/>
      <c r="Q141" s="114"/>
      <c r="R141" s="101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</row>
    <row r="142" s="31" customFormat="1" spans="1:36">
      <c r="A142" s="55" t="str">
        <f>IF(G142&lt;&gt;"",1+MAX($A$3:A141),"")</f>
        <v/>
      </c>
      <c r="B142" s="77"/>
      <c r="C142" s="78"/>
      <c r="D142" s="82" t="s">
        <v>55</v>
      </c>
      <c r="E142" s="75"/>
      <c r="F142" s="58"/>
      <c r="G142" s="80"/>
      <c r="H142" s="81"/>
      <c r="I142" s="87"/>
      <c r="J142" s="83"/>
      <c r="K142" s="84"/>
      <c r="L142" s="85"/>
      <c r="M142" s="86"/>
      <c r="N142" s="83"/>
      <c r="O142" s="83"/>
      <c r="P142" s="83"/>
      <c r="Q142" s="114"/>
      <c r="R142" s="101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</row>
    <row r="143" s="31" customFormat="1" spans="1:36">
      <c r="A143" s="55">
        <f>IF(G143&lt;&gt;"",1+MAX($A$3:A142),"")</f>
        <v>114</v>
      </c>
      <c r="B143" s="77"/>
      <c r="C143" s="78"/>
      <c r="D143" s="57" t="s">
        <v>160</v>
      </c>
      <c r="E143" s="75">
        <v>13</v>
      </c>
      <c r="F143" s="58" t="s">
        <v>57</v>
      </c>
      <c r="G143" s="80">
        <v>0</v>
      </c>
      <c r="H143" s="81">
        <f t="shared" ref="H143:H151" si="81">E143*(1+G143)</f>
        <v>13</v>
      </c>
      <c r="I143" s="83">
        <v>40.97</v>
      </c>
      <c r="J143" s="83">
        <f t="shared" ref="J143:J151" si="82">I143*H143</f>
        <v>532.61</v>
      </c>
      <c r="K143" s="84">
        <v>0.65</v>
      </c>
      <c r="L143" s="85">
        <f t="shared" ref="L143:L151" si="83">+K143*H143</f>
        <v>8.45</v>
      </c>
      <c r="M143" s="86">
        <f>'LABOR SHEET'!C$5</f>
        <v>57.65</v>
      </c>
      <c r="N143" s="83">
        <f t="shared" ref="N143:N151" si="84">K143*M143</f>
        <v>37.4725</v>
      </c>
      <c r="O143" s="83">
        <f t="shared" ref="O143:O151" si="85">M143*L143</f>
        <v>487.1425</v>
      </c>
      <c r="P143" s="83">
        <f t="shared" ref="P143:P151" si="86">I143+N143</f>
        <v>78.4425</v>
      </c>
      <c r="Q143" s="114">
        <f t="shared" ref="Q143:Q151" si="87">P143*H143</f>
        <v>1019.7525</v>
      </c>
      <c r="R143" s="101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</row>
    <row r="144" s="31" customFormat="1" spans="1:36">
      <c r="A144" s="55">
        <f>IF(G144&lt;&gt;"",1+MAX($A$3:A143),"")</f>
        <v>115</v>
      </c>
      <c r="B144" s="77"/>
      <c r="C144" s="78"/>
      <c r="D144" s="57" t="s">
        <v>161</v>
      </c>
      <c r="E144" s="75">
        <v>12</v>
      </c>
      <c r="F144" s="58" t="s">
        <v>57</v>
      </c>
      <c r="G144" s="80">
        <v>0</v>
      </c>
      <c r="H144" s="81">
        <f t="shared" si="81"/>
        <v>12</v>
      </c>
      <c r="I144" s="83">
        <v>65</v>
      </c>
      <c r="J144" s="83">
        <f t="shared" si="82"/>
        <v>780</v>
      </c>
      <c r="K144" s="84">
        <v>0.68</v>
      </c>
      <c r="L144" s="85">
        <f t="shared" si="83"/>
        <v>8.16</v>
      </c>
      <c r="M144" s="86">
        <f>'LABOR SHEET'!C$5</f>
        <v>57.65</v>
      </c>
      <c r="N144" s="83">
        <f t="shared" si="84"/>
        <v>39.202</v>
      </c>
      <c r="O144" s="83">
        <f t="shared" si="85"/>
        <v>470.424</v>
      </c>
      <c r="P144" s="83">
        <f t="shared" si="86"/>
        <v>104.202</v>
      </c>
      <c r="Q144" s="114">
        <f t="shared" si="87"/>
        <v>1250.424</v>
      </c>
      <c r="R144" s="101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</row>
    <row r="145" s="31" customFormat="1" spans="1:36">
      <c r="A145" s="55">
        <f>IF(G145&lt;&gt;"",1+MAX($A$3:A144),"")</f>
        <v>116</v>
      </c>
      <c r="B145" s="77"/>
      <c r="C145" s="78"/>
      <c r="D145" s="57" t="s">
        <v>162</v>
      </c>
      <c r="E145" s="75">
        <v>5</v>
      </c>
      <c r="F145" s="58" t="s">
        <v>57</v>
      </c>
      <c r="G145" s="80">
        <v>0</v>
      </c>
      <c r="H145" s="81">
        <f t="shared" si="81"/>
        <v>5</v>
      </c>
      <c r="I145" s="83">
        <v>48</v>
      </c>
      <c r="J145" s="83">
        <f t="shared" si="82"/>
        <v>240</v>
      </c>
      <c r="K145" s="84">
        <v>0.66</v>
      </c>
      <c r="L145" s="85">
        <f t="shared" si="83"/>
        <v>3.3</v>
      </c>
      <c r="M145" s="86">
        <f>'LABOR SHEET'!C$5</f>
        <v>57.65</v>
      </c>
      <c r="N145" s="83">
        <f t="shared" si="84"/>
        <v>38.049</v>
      </c>
      <c r="O145" s="83">
        <f t="shared" si="85"/>
        <v>190.245</v>
      </c>
      <c r="P145" s="83">
        <f t="shared" si="86"/>
        <v>86.049</v>
      </c>
      <c r="Q145" s="114">
        <f t="shared" si="87"/>
        <v>430.245</v>
      </c>
      <c r="R145" s="101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</row>
    <row r="146" s="31" customFormat="1" spans="1:36">
      <c r="A146" s="55">
        <f>IF(G146&lt;&gt;"",1+MAX($A$3:A145),"")</f>
        <v>117</v>
      </c>
      <c r="B146" s="77"/>
      <c r="C146" s="78"/>
      <c r="D146" s="57" t="s">
        <v>163</v>
      </c>
      <c r="E146" s="75">
        <v>6</v>
      </c>
      <c r="F146" s="58" t="s">
        <v>57</v>
      </c>
      <c r="G146" s="80">
        <v>0</v>
      </c>
      <c r="H146" s="81">
        <f t="shared" si="81"/>
        <v>6</v>
      </c>
      <c r="I146" s="83">
        <v>69</v>
      </c>
      <c r="J146" s="83">
        <f t="shared" si="82"/>
        <v>414</v>
      </c>
      <c r="K146" s="84">
        <v>0.69</v>
      </c>
      <c r="L146" s="85">
        <f t="shared" si="83"/>
        <v>4.14</v>
      </c>
      <c r="M146" s="86">
        <f>'LABOR SHEET'!C$5</f>
        <v>57.65</v>
      </c>
      <c r="N146" s="83">
        <f t="shared" si="84"/>
        <v>39.7785</v>
      </c>
      <c r="O146" s="83">
        <f t="shared" si="85"/>
        <v>238.671</v>
      </c>
      <c r="P146" s="83">
        <f t="shared" si="86"/>
        <v>108.7785</v>
      </c>
      <c r="Q146" s="114">
        <f t="shared" si="87"/>
        <v>652.671</v>
      </c>
      <c r="R146" s="101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</row>
    <row r="147" s="31" customFormat="1" spans="1:36">
      <c r="A147" s="55">
        <f>IF(G147&lt;&gt;"",1+MAX($A$3:A146),"")</f>
        <v>118</v>
      </c>
      <c r="B147" s="77"/>
      <c r="C147" s="78"/>
      <c r="D147" s="57" t="s">
        <v>164</v>
      </c>
      <c r="E147" s="75">
        <v>8</v>
      </c>
      <c r="F147" s="58" t="s">
        <v>57</v>
      </c>
      <c r="G147" s="80">
        <v>0</v>
      </c>
      <c r="H147" s="81">
        <f t="shared" si="81"/>
        <v>8</v>
      </c>
      <c r="I147" s="83">
        <v>29.26</v>
      </c>
      <c r="J147" s="83">
        <f t="shared" si="82"/>
        <v>234.08</v>
      </c>
      <c r="K147" s="84">
        <v>0.7</v>
      </c>
      <c r="L147" s="85">
        <f t="shared" si="83"/>
        <v>5.6</v>
      </c>
      <c r="M147" s="86">
        <f>'LABOR SHEET'!C$5</f>
        <v>57.65</v>
      </c>
      <c r="N147" s="83">
        <f t="shared" si="84"/>
        <v>40.355</v>
      </c>
      <c r="O147" s="83">
        <f t="shared" si="85"/>
        <v>322.84</v>
      </c>
      <c r="P147" s="83">
        <f t="shared" si="86"/>
        <v>69.615</v>
      </c>
      <c r="Q147" s="114">
        <f t="shared" si="87"/>
        <v>556.92</v>
      </c>
      <c r="R147" s="101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</row>
    <row r="148" s="31" customFormat="1" spans="1:36">
      <c r="A148" s="55">
        <f>IF(G148&lt;&gt;"",1+MAX($A$3:A147),"")</f>
        <v>119</v>
      </c>
      <c r="B148" s="77"/>
      <c r="C148" s="78"/>
      <c r="D148" s="57" t="s">
        <v>165</v>
      </c>
      <c r="E148" s="75">
        <v>2</v>
      </c>
      <c r="F148" s="58" t="s">
        <v>57</v>
      </c>
      <c r="G148" s="80">
        <v>0</v>
      </c>
      <c r="H148" s="81">
        <f t="shared" si="81"/>
        <v>2</v>
      </c>
      <c r="I148" s="83">
        <v>50.67</v>
      </c>
      <c r="J148" s="83">
        <f t="shared" si="82"/>
        <v>101.34</v>
      </c>
      <c r="K148" s="84">
        <v>0.72</v>
      </c>
      <c r="L148" s="85">
        <f t="shared" si="83"/>
        <v>1.44</v>
      </c>
      <c r="M148" s="86">
        <f>'LABOR SHEET'!C$5</f>
        <v>57.65</v>
      </c>
      <c r="N148" s="83">
        <f t="shared" si="84"/>
        <v>41.508</v>
      </c>
      <c r="O148" s="83">
        <f t="shared" si="85"/>
        <v>83.016</v>
      </c>
      <c r="P148" s="83">
        <f t="shared" si="86"/>
        <v>92.178</v>
      </c>
      <c r="Q148" s="114">
        <f t="shared" si="87"/>
        <v>184.356</v>
      </c>
      <c r="R148" s="101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</row>
    <row r="149" s="31" customFormat="1" spans="1:36">
      <c r="A149" s="55">
        <f>IF(G149&lt;&gt;"",1+MAX($A$3:A148),"")</f>
        <v>120</v>
      </c>
      <c r="B149" s="77"/>
      <c r="C149" s="78"/>
      <c r="D149" s="57" t="s">
        <v>166</v>
      </c>
      <c r="E149" s="75">
        <v>2</v>
      </c>
      <c r="F149" s="58" t="s">
        <v>57</v>
      </c>
      <c r="G149" s="80">
        <v>0</v>
      </c>
      <c r="H149" s="81">
        <f t="shared" si="81"/>
        <v>2</v>
      </c>
      <c r="I149" s="83">
        <v>62.2</v>
      </c>
      <c r="J149" s="83">
        <f t="shared" si="82"/>
        <v>124.4</v>
      </c>
      <c r="K149" s="84">
        <v>0.74</v>
      </c>
      <c r="L149" s="85">
        <f t="shared" si="83"/>
        <v>1.48</v>
      </c>
      <c r="M149" s="86">
        <f>'LABOR SHEET'!C$5</f>
        <v>57.65</v>
      </c>
      <c r="N149" s="83">
        <f t="shared" si="84"/>
        <v>42.661</v>
      </c>
      <c r="O149" s="83">
        <f t="shared" si="85"/>
        <v>85.322</v>
      </c>
      <c r="P149" s="83">
        <f t="shared" si="86"/>
        <v>104.861</v>
      </c>
      <c r="Q149" s="114">
        <f t="shared" si="87"/>
        <v>209.722</v>
      </c>
      <c r="R149" s="101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</row>
    <row r="150" s="31" customFormat="1" spans="1:36">
      <c r="A150" s="55">
        <f>IF(G150&lt;&gt;"",1+MAX($A$3:A149),"")</f>
        <v>121</v>
      </c>
      <c r="B150" s="77"/>
      <c r="C150" s="78"/>
      <c r="D150" s="57" t="s">
        <v>167</v>
      </c>
      <c r="E150" s="75">
        <v>2</v>
      </c>
      <c r="F150" s="58" t="s">
        <v>57</v>
      </c>
      <c r="G150" s="80">
        <v>0</v>
      </c>
      <c r="H150" s="81">
        <f t="shared" si="81"/>
        <v>2</v>
      </c>
      <c r="I150" s="83">
        <v>59.35</v>
      </c>
      <c r="J150" s="83">
        <f t="shared" si="82"/>
        <v>118.7</v>
      </c>
      <c r="K150" s="84">
        <v>0.65</v>
      </c>
      <c r="L150" s="85">
        <f t="shared" si="83"/>
        <v>1.3</v>
      </c>
      <c r="M150" s="86">
        <f>'LABOR SHEET'!C$5</f>
        <v>57.65</v>
      </c>
      <c r="N150" s="83">
        <f t="shared" si="84"/>
        <v>37.4725</v>
      </c>
      <c r="O150" s="83">
        <f t="shared" si="85"/>
        <v>74.945</v>
      </c>
      <c r="P150" s="83">
        <f t="shared" si="86"/>
        <v>96.8225</v>
      </c>
      <c r="Q150" s="114">
        <f t="shared" si="87"/>
        <v>193.645</v>
      </c>
      <c r="R150" s="101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</row>
    <row r="151" s="31" customFormat="1" spans="1:36">
      <c r="A151" s="55">
        <f>IF(G151&lt;&gt;"",1+MAX($A$3:A150),"")</f>
        <v>122</v>
      </c>
      <c r="B151" s="77"/>
      <c r="C151" s="78"/>
      <c r="D151" s="57" t="s">
        <v>168</v>
      </c>
      <c r="E151" s="75">
        <v>1</v>
      </c>
      <c r="F151" s="58" t="s">
        <v>57</v>
      </c>
      <c r="G151" s="80">
        <v>0</v>
      </c>
      <c r="H151" s="81">
        <f t="shared" si="81"/>
        <v>1</v>
      </c>
      <c r="I151" s="83">
        <v>62.5</v>
      </c>
      <c r="J151" s="83">
        <f t="shared" si="82"/>
        <v>62.5</v>
      </c>
      <c r="K151" s="84">
        <v>0.66</v>
      </c>
      <c r="L151" s="85">
        <f t="shared" si="83"/>
        <v>0.66</v>
      </c>
      <c r="M151" s="86">
        <f>'LABOR SHEET'!C$5</f>
        <v>57.65</v>
      </c>
      <c r="N151" s="83">
        <f t="shared" si="84"/>
        <v>38.049</v>
      </c>
      <c r="O151" s="83">
        <f t="shared" si="85"/>
        <v>38.049</v>
      </c>
      <c r="P151" s="83">
        <f t="shared" si="86"/>
        <v>100.549</v>
      </c>
      <c r="Q151" s="114">
        <f t="shared" si="87"/>
        <v>100.549</v>
      </c>
      <c r="R151" s="101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</row>
    <row r="152" s="31" customFormat="1" spans="1:36">
      <c r="A152" s="55" t="str">
        <f>IF(G152&lt;&gt;"",1+MAX($A$3:A151),"")</f>
        <v/>
      </c>
      <c r="B152" s="77"/>
      <c r="C152" s="78"/>
      <c r="D152" s="57"/>
      <c r="E152" s="75"/>
      <c r="F152" s="58"/>
      <c r="G152" s="80"/>
      <c r="H152" s="81"/>
      <c r="I152" s="87"/>
      <c r="J152" s="83"/>
      <c r="K152" s="84"/>
      <c r="L152" s="85"/>
      <c r="M152" s="86"/>
      <c r="N152" s="83"/>
      <c r="O152" s="83"/>
      <c r="P152" s="83"/>
      <c r="Q152" s="114"/>
      <c r="R152" s="101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</row>
    <row r="153" s="31" customFormat="1" ht="18" spans="1:36">
      <c r="A153" s="55" t="str">
        <f>IF(G153&lt;&gt;"",1+MAX($A$3:A152),"")</f>
        <v/>
      </c>
      <c r="B153" s="77"/>
      <c r="C153" s="78"/>
      <c r="D153" s="76" t="s">
        <v>169</v>
      </c>
      <c r="E153" s="75"/>
      <c r="F153" s="58"/>
      <c r="G153" s="80"/>
      <c r="H153" s="81"/>
      <c r="I153" s="87"/>
      <c r="J153" s="83"/>
      <c r="K153" s="84"/>
      <c r="L153" s="85"/>
      <c r="M153" s="86"/>
      <c r="N153" s="83"/>
      <c r="O153" s="83"/>
      <c r="P153" s="83"/>
      <c r="Q153" s="114"/>
      <c r="R153" s="101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</row>
    <row r="154" s="31" customFormat="1" spans="1:36">
      <c r="A154" s="55" t="str">
        <f>IF(G154&lt;&gt;"",1+MAX($A$3:A153),"")</f>
        <v/>
      </c>
      <c r="B154" s="77"/>
      <c r="C154" s="78"/>
      <c r="D154" s="79" t="s">
        <v>170</v>
      </c>
      <c r="E154" s="75"/>
      <c r="F154" s="58"/>
      <c r="G154" s="80"/>
      <c r="H154" s="81"/>
      <c r="I154" s="87"/>
      <c r="J154" s="83"/>
      <c r="K154" s="84"/>
      <c r="L154" s="85"/>
      <c r="M154" s="86"/>
      <c r="N154" s="83"/>
      <c r="O154" s="83"/>
      <c r="P154" s="83"/>
      <c r="Q154" s="114"/>
      <c r="R154" s="101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</row>
    <row r="155" s="31" customFormat="1" spans="1:36">
      <c r="A155" s="55">
        <f>IF(G155&lt;&gt;"",1+MAX($A$3:A154),"")</f>
        <v>123</v>
      </c>
      <c r="B155" s="77"/>
      <c r="C155" s="78"/>
      <c r="D155" s="57" t="s">
        <v>171</v>
      </c>
      <c r="E155" s="75">
        <v>35</v>
      </c>
      <c r="F155" s="58" t="s">
        <v>47</v>
      </c>
      <c r="G155" s="80">
        <v>0.05</v>
      </c>
      <c r="H155" s="81">
        <f t="shared" ref="H155:H170" si="88">E155*(1+G155)</f>
        <v>36.75</v>
      </c>
      <c r="I155" s="87">
        <v>4.4</v>
      </c>
      <c r="J155" s="83">
        <f t="shared" ref="J155:J170" si="89">I155*H155</f>
        <v>161.7</v>
      </c>
      <c r="K155" s="84">
        <v>0.065</v>
      </c>
      <c r="L155" s="85">
        <f t="shared" ref="L155:L170" si="90">+K155*H155</f>
        <v>2.38875</v>
      </c>
      <c r="M155" s="86">
        <f>'LABOR SHEET'!C$5</f>
        <v>57.65</v>
      </c>
      <c r="N155" s="83">
        <f t="shared" ref="N155:N170" si="91">K155*M155</f>
        <v>3.74725</v>
      </c>
      <c r="O155" s="83">
        <f t="shared" ref="O155:O170" si="92">M155*L155</f>
        <v>137.7114375</v>
      </c>
      <c r="P155" s="83">
        <f t="shared" ref="P155:P170" si="93">I155+N155</f>
        <v>8.14725</v>
      </c>
      <c r="Q155" s="114">
        <f t="shared" ref="Q155:Q170" si="94">P155*H155</f>
        <v>299.4114375</v>
      </c>
      <c r="R155" s="101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</row>
    <row r="156" s="31" customFormat="1" spans="1:36">
      <c r="A156" s="55">
        <f>IF(G156&lt;&gt;"",1+MAX($A$3:A155),"")</f>
        <v>124</v>
      </c>
      <c r="B156" s="77"/>
      <c r="C156" s="78"/>
      <c r="D156" s="57" t="s">
        <v>172</v>
      </c>
      <c r="E156" s="75">
        <v>205</v>
      </c>
      <c r="F156" s="58" t="s">
        <v>47</v>
      </c>
      <c r="G156" s="80">
        <v>0.05</v>
      </c>
      <c r="H156" s="81">
        <f t="shared" si="88"/>
        <v>215.25</v>
      </c>
      <c r="I156" s="87">
        <v>6.1</v>
      </c>
      <c r="J156" s="83">
        <f t="shared" si="89"/>
        <v>1313.025</v>
      </c>
      <c r="K156" s="84">
        <v>0.099</v>
      </c>
      <c r="L156" s="85">
        <f t="shared" si="90"/>
        <v>21.30975</v>
      </c>
      <c r="M156" s="86">
        <f>'LABOR SHEET'!C$5</f>
        <v>57.65</v>
      </c>
      <c r="N156" s="83">
        <f t="shared" si="91"/>
        <v>5.70735</v>
      </c>
      <c r="O156" s="83">
        <f t="shared" si="92"/>
        <v>1228.5070875</v>
      </c>
      <c r="P156" s="83">
        <f t="shared" si="93"/>
        <v>11.80735</v>
      </c>
      <c r="Q156" s="114">
        <f t="shared" si="94"/>
        <v>2541.5320875</v>
      </c>
      <c r="R156" s="101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</row>
    <row r="157" s="31" customFormat="1" spans="1:36">
      <c r="A157" s="55">
        <f>IF(G157&lt;&gt;"",1+MAX($A$3:A156),"")</f>
        <v>125</v>
      </c>
      <c r="B157" s="77"/>
      <c r="C157" s="78"/>
      <c r="D157" s="57" t="s">
        <v>173</v>
      </c>
      <c r="E157" s="75">
        <v>397.54</v>
      </c>
      <c r="F157" s="58" t="s">
        <v>47</v>
      </c>
      <c r="G157" s="80">
        <v>0.05</v>
      </c>
      <c r="H157" s="81">
        <f t="shared" si="88"/>
        <v>417.417</v>
      </c>
      <c r="I157" s="87">
        <v>7.75</v>
      </c>
      <c r="J157" s="83">
        <f t="shared" si="89"/>
        <v>3234.98175</v>
      </c>
      <c r="K157" s="84">
        <v>0.105</v>
      </c>
      <c r="L157" s="85">
        <f t="shared" si="90"/>
        <v>43.828785</v>
      </c>
      <c r="M157" s="86">
        <f>'LABOR SHEET'!C$5</f>
        <v>57.65</v>
      </c>
      <c r="N157" s="83">
        <f t="shared" si="91"/>
        <v>6.05325</v>
      </c>
      <c r="O157" s="83">
        <f t="shared" si="92"/>
        <v>2526.72945525</v>
      </c>
      <c r="P157" s="83">
        <f t="shared" si="93"/>
        <v>13.80325</v>
      </c>
      <c r="Q157" s="114">
        <f t="shared" si="94"/>
        <v>5761.71120525</v>
      </c>
      <c r="R157" s="101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</row>
    <row r="158" s="31" customFormat="1" spans="1:36">
      <c r="A158" s="55">
        <f>IF(G158&lt;&gt;"",1+MAX($A$3:A157),"")</f>
        <v>126</v>
      </c>
      <c r="B158" s="77"/>
      <c r="C158" s="78"/>
      <c r="D158" s="57" t="s">
        <v>174</v>
      </c>
      <c r="E158" s="75">
        <v>149.84</v>
      </c>
      <c r="F158" s="58" t="s">
        <v>47</v>
      </c>
      <c r="G158" s="80">
        <v>0.05</v>
      </c>
      <c r="H158" s="81">
        <f t="shared" si="88"/>
        <v>157.332</v>
      </c>
      <c r="I158" s="87">
        <v>9.85</v>
      </c>
      <c r="J158" s="83">
        <f t="shared" si="89"/>
        <v>1549.7202</v>
      </c>
      <c r="K158" s="84">
        <v>0.118</v>
      </c>
      <c r="L158" s="85">
        <f t="shared" si="90"/>
        <v>18.565176</v>
      </c>
      <c r="M158" s="86">
        <f>'LABOR SHEET'!C$5</f>
        <v>57.65</v>
      </c>
      <c r="N158" s="83">
        <f t="shared" si="91"/>
        <v>6.8027</v>
      </c>
      <c r="O158" s="83">
        <f t="shared" si="92"/>
        <v>1070.2823964</v>
      </c>
      <c r="P158" s="83">
        <f t="shared" si="93"/>
        <v>16.6527</v>
      </c>
      <c r="Q158" s="114">
        <f t="shared" si="94"/>
        <v>2620.0025964</v>
      </c>
      <c r="R158" s="101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</row>
    <row r="159" s="31" customFormat="1" spans="1:36">
      <c r="A159" s="55">
        <f>IF(G159&lt;&gt;"",1+MAX($A$3:A158),"")</f>
        <v>127</v>
      </c>
      <c r="B159" s="77"/>
      <c r="C159" s="78"/>
      <c r="D159" s="57" t="s">
        <v>175</v>
      </c>
      <c r="E159" s="75">
        <v>71.84</v>
      </c>
      <c r="F159" s="58" t="s">
        <v>47</v>
      </c>
      <c r="G159" s="80">
        <v>0.05</v>
      </c>
      <c r="H159" s="81">
        <f t="shared" si="88"/>
        <v>75.432</v>
      </c>
      <c r="I159" s="87">
        <v>12.45</v>
      </c>
      <c r="J159" s="83">
        <f t="shared" si="89"/>
        <v>939.1284</v>
      </c>
      <c r="K159" s="84">
        <v>0.138</v>
      </c>
      <c r="L159" s="85">
        <f t="shared" si="90"/>
        <v>10.409616</v>
      </c>
      <c r="M159" s="86">
        <f>'LABOR SHEET'!C$5</f>
        <v>57.65</v>
      </c>
      <c r="N159" s="83">
        <f t="shared" si="91"/>
        <v>7.9557</v>
      </c>
      <c r="O159" s="83">
        <f t="shared" si="92"/>
        <v>600.1143624</v>
      </c>
      <c r="P159" s="83">
        <f t="shared" si="93"/>
        <v>20.4057</v>
      </c>
      <c r="Q159" s="114">
        <f t="shared" si="94"/>
        <v>1539.2427624</v>
      </c>
      <c r="R159" s="101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</row>
    <row r="160" s="31" customFormat="1" spans="1:36">
      <c r="A160" s="55">
        <f>IF(G160&lt;&gt;"",1+MAX($A$3:A159),"")</f>
        <v>128</v>
      </c>
      <c r="B160" s="77"/>
      <c r="C160" s="78"/>
      <c r="D160" s="57" t="s">
        <v>176</v>
      </c>
      <c r="E160" s="75">
        <v>306.12</v>
      </c>
      <c r="F160" s="58" t="s">
        <v>47</v>
      </c>
      <c r="G160" s="80">
        <v>0.05</v>
      </c>
      <c r="H160" s="81">
        <f t="shared" si="88"/>
        <v>321.426</v>
      </c>
      <c r="I160" s="87">
        <v>14.85</v>
      </c>
      <c r="J160" s="83">
        <f t="shared" si="89"/>
        <v>4773.1761</v>
      </c>
      <c r="K160" s="84">
        <v>0.154</v>
      </c>
      <c r="L160" s="85">
        <f t="shared" si="90"/>
        <v>49.499604</v>
      </c>
      <c r="M160" s="86">
        <f>'LABOR SHEET'!C$5</f>
        <v>57.65</v>
      </c>
      <c r="N160" s="83">
        <f t="shared" si="91"/>
        <v>8.8781</v>
      </c>
      <c r="O160" s="83">
        <f t="shared" si="92"/>
        <v>2853.6521706</v>
      </c>
      <c r="P160" s="83">
        <f t="shared" si="93"/>
        <v>23.7281</v>
      </c>
      <c r="Q160" s="114">
        <f t="shared" si="94"/>
        <v>7626.8282706</v>
      </c>
      <c r="R160" s="101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</row>
    <row r="161" s="31" customFormat="1" spans="1:36">
      <c r="A161" s="55">
        <f>IF(G161&lt;&gt;"",1+MAX($A$3:A160),"")</f>
        <v>129</v>
      </c>
      <c r="B161" s="77"/>
      <c r="C161" s="78"/>
      <c r="D161" s="57" t="s">
        <v>177</v>
      </c>
      <c r="E161" s="75">
        <v>51</v>
      </c>
      <c r="F161" s="58" t="s">
        <v>47</v>
      </c>
      <c r="G161" s="80">
        <v>0.05</v>
      </c>
      <c r="H161" s="81">
        <f t="shared" si="88"/>
        <v>53.55</v>
      </c>
      <c r="I161" s="87">
        <v>21.4</v>
      </c>
      <c r="J161" s="83">
        <f t="shared" si="89"/>
        <v>1145.97</v>
      </c>
      <c r="K161" s="84">
        <v>0.19</v>
      </c>
      <c r="L161" s="85">
        <f t="shared" si="90"/>
        <v>10.1745</v>
      </c>
      <c r="M161" s="86">
        <f>'LABOR SHEET'!C$5</f>
        <v>57.65</v>
      </c>
      <c r="N161" s="83">
        <f t="shared" si="91"/>
        <v>10.9535</v>
      </c>
      <c r="O161" s="83">
        <f t="shared" si="92"/>
        <v>586.559925</v>
      </c>
      <c r="P161" s="83">
        <f t="shared" si="93"/>
        <v>32.3535</v>
      </c>
      <c r="Q161" s="114">
        <f t="shared" si="94"/>
        <v>1732.529925</v>
      </c>
      <c r="R161" s="101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</row>
    <row r="162" s="31" customFormat="1" spans="1:36">
      <c r="A162" s="55">
        <f>IF(G162&lt;&gt;"",1+MAX($A$3:A161),"")</f>
        <v>130</v>
      </c>
      <c r="B162" s="77"/>
      <c r="C162" s="78"/>
      <c r="D162" s="57" t="s">
        <v>178</v>
      </c>
      <c r="E162" s="75">
        <v>232.23</v>
      </c>
      <c r="F162" s="58" t="s">
        <v>47</v>
      </c>
      <c r="G162" s="80">
        <v>0.05</v>
      </c>
      <c r="H162" s="81">
        <f t="shared" si="88"/>
        <v>243.8415</v>
      </c>
      <c r="I162" s="87">
        <v>29.6</v>
      </c>
      <c r="J162" s="83">
        <f t="shared" si="89"/>
        <v>7217.7084</v>
      </c>
      <c r="K162" s="84">
        <v>0.258</v>
      </c>
      <c r="L162" s="85">
        <f t="shared" si="90"/>
        <v>62.911107</v>
      </c>
      <c r="M162" s="86">
        <f>'LABOR SHEET'!C$5</f>
        <v>57.65</v>
      </c>
      <c r="N162" s="83">
        <f t="shared" si="91"/>
        <v>14.8737</v>
      </c>
      <c r="O162" s="83">
        <f t="shared" si="92"/>
        <v>3626.82531855</v>
      </c>
      <c r="P162" s="83">
        <f t="shared" si="93"/>
        <v>44.4737</v>
      </c>
      <c r="Q162" s="114">
        <f t="shared" si="94"/>
        <v>10844.53371855</v>
      </c>
      <c r="R162" s="101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</row>
    <row r="163" s="31" customFormat="1" spans="1:36">
      <c r="A163" s="55">
        <f>IF(G163&lt;&gt;"",1+MAX($A$3:A162),"")</f>
        <v>131</v>
      </c>
      <c r="B163" s="77"/>
      <c r="C163" s="78"/>
      <c r="D163" s="57" t="s">
        <v>179</v>
      </c>
      <c r="E163" s="75">
        <v>441.96</v>
      </c>
      <c r="F163" s="58" t="s">
        <v>47</v>
      </c>
      <c r="G163" s="80">
        <v>0.05</v>
      </c>
      <c r="H163" s="81">
        <f t="shared" si="88"/>
        <v>464.058</v>
      </c>
      <c r="I163" s="87">
        <v>6.1</v>
      </c>
      <c r="J163" s="83">
        <f t="shared" si="89"/>
        <v>2830.7538</v>
      </c>
      <c r="K163" s="84">
        <v>0.099</v>
      </c>
      <c r="L163" s="85">
        <f t="shared" si="90"/>
        <v>45.941742</v>
      </c>
      <c r="M163" s="86">
        <f>'LABOR SHEET'!C$5</f>
        <v>57.65</v>
      </c>
      <c r="N163" s="83">
        <f t="shared" si="91"/>
        <v>5.70735</v>
      </c>
      <c r="O163" s="83">
        <f t="shared" si="92"/>
        <v>2648.5414263</v>
      </c>
      <c r="P163" s="83">
        <f t="shared" si="93"/>
        <v>11.80735</v>
      </c>
      <c r="Q163" s="114">
        <f t="shared" si="94"/>
        <v>5479.2952263</v>
      </c>
      <c r="R163" s="101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</row>
    <row r="164" s="31" customFormat="1" spans="1:36">
      <c r="A164" s="55">
        <f>IF(G164&lt;&gt;"",1+MAX($A$3:A163),"")</f>
        <v>132</v>
      </c>
      <c r="B164" s="77"/>
      <c r="C164" s="78"/>
      <c r="D164" s="57" t="s">
        <v>180</v>
      </c>
      <c r="E164" s="75">
        <v>30</v>
      </c>
      <c r="F164" s="58" t="s">
        <v>47</v>
      </c>
      <c r="G164" s="80">
        <v>0.05</v>
      </c>
      <c r="H164" s="81">
        <f t="shared" si="88"/>
        <v>31.5</v>
      </c>
      <c r="I164" s="87">
        <v>4.4</v>
      </c>
      <c r="J164" s="83">
        <f t="shared" si="89"/>
        <v>138.6</v>
      </c>
      <c r="K164" s="84">
        <v>0.065</v>
      </c>
      <c r="L164" s="85">
        <f t="shared" si="90"/>
        <v>2.0475</v>
      </c>
      <c r="M164" s="86">
        <f>'LABOR SHEET'!C$5</f>
        <v>57.65</v>
      </c>
      <c r="N164" s="83">
        <f t="shared" si="91"/>
        <v>3.74725</v>
      </c>
      <c r="O164" s="83">
        <f t="shared" si="92"/>
        <v>118.038375</v>
      </c>
      <c r="P164" s="83">
        <f t="shared" si="93"/>
        <v>8.14725</v>
      </c>
      <c r="Q164" s="114">
        <f t="shared" si="94"/>
        <v>256.638375</v>
      </c>
      <c r="R164" s="101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</row>
    <row r="165" s="31" customFormat="1" spans="1:36">
      <c r="A165" s="55">
        <f>IF(G165&lt;&gt;"",1+MAX($A$3:A164),"")</f>
        <v>133</v>
      </c>
      <c r="B165" s="77"/>
      <c r="C165" s="78"/>
      <c r="D165" s="57" t="s">
        <v>181</v>
      </c>
      <c r="E165" s="75">
        <v>50</v>
      </c>
      <c r="F165" s="58" t="s">
        <v>47</v>
      </c>
      <c r="G165" s="80">
        <v>0.05</v>
      </c>
      <c r="H165" s="81">
        <f t="shared" si="88"/>
        <v>52.5</v>
      </c>
      <c r="I165" s="87">
        <v>6.1</v>
      </c>
      <c r="J165" s="83">
        <f t="shared" si="89"/>
        <v>320.25</v>
      </c>
      <c r="K165" s="84">
        <v>0.099</v>
      </c>
      <c r="L165" s="85">
        <f t="shared" si="90"/>
        <v>5.1975</v>
      </c>
      <c r="M165" s="86">
        <f>'LABOR SHEET'!C$5</f>
        <v>57.65</v>
      </c>
      <c r="N165" s="83">
        <f t="shared" si="91"/>
        <v>5.70735</v>
      </c>
      <c r="O165" s="83">
        <f t="shared" si="92"/>
        <v>299.635875</v>
      </c>
      <c r="P165" s="83">
        <f t="shared" si="93"/>
        <v>11.80735</v>
      </c>
      <c r="Q165" s="114">
        <f t="shared" si="94"/>
        <v>619.885875</v>
      </c>
      <c r="R165" s="101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</row>
    <row r="166" s="31" customFormat="1" spans="1:36">
      <c r="A166" s="55">
        <f>IF(G166&lt;&gt;"",1+MAX($A$3:A165),"")</f>
        <v>134</v>
      </c>
      <c r="B166" s="77"/>
      <c r="C166" s="78"/>
      <c r="D166" s="57" t="s">
        <v>182</v>
      </c>
      <c r="E166" s="75">
        <v>215.27</v>
      </c>
      <c r="F166" s="58" t="s">
        <v>47</v>
      </c>
      <c r="G166" s="80">
        <v>0.05</v>
      </c>
      <c r="H166" s="81">
        <f t="shared" si="88"/>
        <v>226.0335</v>
      </c>
      <c r="I166" s="87">
        <v>7.75</v>
      </c>
      <c r="J166" s="83">
        <f t="shared" si="89"/>
        <v>1751.759625</v>
      </c>
      <c r="K166" s="84">
        <v>0.105</v>
      </c>
      <c r="L166" s="85">
        <f t="shared" si="90"/>
        <v>23.7335175</v>
      </c>
      <c r="M166" s="86">
        <f>'LABOR SHEET'!C$5</f>
        <v>57.65</v>
      </c>
      <c r="N166" s="83">
        <f t="shared" si="91"/>
        <v>6.05325</v>
      </c>
      <c r="O166" s="83">
        <f t="shared" si="92"/>
        <v>1368.237283875</v>
      </c>
      <c r="P166" s="83">
        <f t="shared" si="93"/>
        <v>13.80325</v>
      </c>
      <c r="Q166" s="114">
        <f t="shared" si="94"/>
        <v>3119.996908875</v>
      </c>
      <c r="R166" s="101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</row>
    <row r="167" s="31" customFormat="1" spans="1:36">
      <c r="A167" s="55">
        <f>IF(G167&lt;&gt;"",1+MAX($A$3:A166),"")</f>
        <v>135</v>
      </c>
      <c r="B167" s="77"/>
      <c r="C167" s="78"/>
      <c r="D167" s="57" t="s">
        <v>183</v>
      </c>
      <c r="E167" s="75">
        <v>116.08</v>
      </c>
      <c r="F167" s="58" t="s">
        <v>47</v>
      </c>
      <c r="G167" s="80">
        <v>0.05</v>
      </c>
      <c r="H167" s="81">
        <f t="shared" si="88"/>
        <v>121.884</v>
      </c>
      <c r="I167" s="87">
        <v>9.85</v>
      </c>
      <c r="J167" s="83">
        <f t="shared" si="89"/>
        <v>1200.5574</v>
      </c>
      <c r="K167" s="84">
        <v>0.118</v>
      </c>
      <c r="L167" s="85">
        <f t="shared" si="90"/>
        <v>14.382312</v>
      </c>
      <c r="M167" s="86">
        <f>'LABOR SHEET'!C$5</f>
        <v>57.65</v>
      </c>
      <c r="N167" s="83">
        <f t="shared" si="91"/>
        <v>6.8027</v>
      </c>
      <c r="O167" s="83">
        <f t="shared" si="92"/>
        <v>829.1402868</v>
      </c>
      <c r="P167" s="83">
        <f t="shared" si="93"/>
        <v>16.6527</v>
      </c>
      <c r="Q167" s="114">
        <f t="shared" si="94"/>
        <v>2029.6976868</v>
      </c>
      <c r="R167" s="101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</row>
    <row r="168" s="31" customFormat="1" spans="1:36">
      <c r="A168" s="55">
        <f>IF(G168&lt;&gt;"",1+MAX($A$3:A167),"")</f>
        <v>136</v>
      </c>
      <c r="B168" s="77"/>
      <c r="C168" s="78"/>
      <c r="D168" s="57" t="s">
        <v>184</v>
      </c>
      <c r="E168" s="75">
        <v>232.98</v>
      </c>
      <c r="F168" s="58" t="s">
        <v>47</v>
      </c>
      <c r="G168" s="80">
        <v>0.05</v>
      </c>
      <c r="H168" s="81">
        <f t="shared" si="88"/>
        <v>244.629</v>
      </c>
      <c r="I168" s="87">
        <v>12.45</v>
      </c>
      <c r="J168" s="83">
        <f t="shared" si="89"/>
        <v>3045.63105</v>
      </c>
      <c r="K168" s="84">
        <v>0.138</v>
      </c>
      <c r="L168" s="85">
        <f t="shared" si="90"/>
        <v>33.758802</v>
      </c>
      <c r="M168" s="86">
        <f>'LABOR SHEET'!C$5</f>
        <v>57.65</v>
      </c>
      <c r="N168" s="83">
        <f t="shared" si="91"/>
        <v>7.9557</v>
      </c>
      <c r="O168" s="83">
        <f t="shared" si="92"/>
        <v>1946.1949353</v>
      </c>
      <c r="P168" s="83">
        <f t="shared" si="93"/>
        <v>20.4057</v>
      </c>
      <c r="Q168" s="114">
        <f t="shared" si="94"/>
        <v>4991.8259853</v>
      </c>
      <c r="R168" s="101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</row>
    <row r="169" s="31" customFormat="1" spans="1:36">
      <c r="A169" s="55">
        <f>IF(G169&lt;&gt;"",1+MAX($A$3:A168),"")</f>
        <v>137</v>
      </c>
      <c r="B169" s="77"/>
      <c r="C169" s="78"/>
      <c r="D169" s="57" t="s">
        <v>185</v>
      </c>
      <c r="E169" s="75">
        <v>167.74</v>
      </c>
      <c r="F169" s="58" t="s">
        <v>47</v>
      </c>
      <c r="G169" s="80">
        <v>0.05</v>
      </c>
      <c r="H169" s="81">
        <f t="shared" si="88"/>
        <v>176.127</v>
      </c>
      <c r="I169" s="87">
        <v>14.85</v>
      </c>
      <c r="J169" s="83">
        <f t="shared" si="89"/>
        <v>2615.48595</v>
      </c>
      <c r="K169" s="84">
        <v>0.154</v>
      </c>
      <c r="L169" s="85">
        <f t="shared" si="90"/>
        <v>27.123558</v>
      </c>
      <c r="M169" s="86">
        <f>'LABOR SHEET'!C$5</f>
        <v>57.65</v>
      </c>
      <c r="N169" s="83">
        <f t="shared" si="91"/>
        <v>8.8781</v>
      </c>
      <c r="O169" s="83">
        <f t="shared" si="92"/>
        <v>1563.6731187</v>
      </c>
      <c r="P169" s="83">
        <f t="shared" si="93"/>
        <v>23.7281</v>
      </c>
      <c r="Q169" s="114">
        <f t="shared" si="94"/>
        <v>4179.1590687</v>
      </c>
      <c r="R169" s="101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</row>
    <row r="170" s="31" customFormat="1" spans="1:36">
      <c r="A170" s="55">
        <f>IF(G170&lt;&gt;"",1+MAX($A$3:A169),"")</f>
        <v>138</v>
      </c>
      <c r="B170" s="77"/>
      <c r="C170" s="78"/>
      <c r="D170" s="57" t="s">
        <v>186</v>
      </c>
      <c r="E170" s="75">
        <v>105</v>
      </c>
      <c r="F170" s="58" t="s">
        <v>47</v>
      </c>
      <c r="G170" s="80">
        <v>0.05</v>
      </c>
      <c r="H170" s="81">
        <f t="shared" si="88"/>
        <v>110.25</v>
      </c>
      <c r="I170" s="87">
        <v>5.7</v>
      </c>
      <c r="J170" s="83">
        <f t="shared" si="89"/>
        <v>628.425</v>
      </c>
      <c r="K170" s="84">
        <v>0.099</v>
      </c>
      <c r="L170" s="85">
        <f t="shared" si="90"/>
        <v>10.91475</v>
      </c>
      <c r="M170" s="86">
        <f>'LABOR SHEET'!C$5</f>
        <v>57.65</v>
      </c>
      <c r="N170" s="83">
        <f t="shared" si="91"/>
        <v>5.70735</v>
      </c>
      <c r="O170" s="83">
        <f t="shared" si="92"/>
        <v>629.2353375</v>
      </c>
      <c r="P170" s="83">
        <f t="shared" si="93"/>
        <v>11.40735</v>
      </c>
      <c r="Q170" s="114">
        <f t="shared" si="94"/>
        <v>1257.6603375</v>
      </c>
      <c r="R170" s="101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</row>
    <row r="171" s="31" customFormat="1" spans="1:36">
      <c r="A171" s="55" t="str">
        <f>IF(G171&lt;&gt;"",1+MAX($A$3:A170),"")</f>
        <v/>
      </c>
      <c r="B171" s="77"/>
      <c r="C171" s="78"/>
      <c r="D171" s="57"/>
      <c r="E171" s="75"/>
      <c r="F171" s="58"/>
      <c r="G171" s="80"/>
      <c r="H171" s="81"/>
      <c r="I171" s="87"/>
      <c r="J171" s="83"/>
      <c r="K171" s="84"/>
      <c r="L171" s="85"/>
      <c r="M171" s="86"/>
      <c r="N171" s="83"/>
      <c r="O171" s="83"/>
      <c r="P171" s="83"/>
      <c r="Q171" s="114"/>
      <c r="R171" s="101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</row>
    <row r="172" s="31" customFormat="1" spans="1:36">
      <c r="A172" s="55" t="str">
        <f>IF(G172&lt;&gt;"",1+MAX($A$3:A171),"")</f>
        <v/>
      </c>
      <c r="B172" s="77"/>
      <c r="C172" s="78"/>
      <c r="D172" s="79" t="s">
        <v>187</v>
      </c>
      <c r="E172" s="75"/>
      <c r="F172" s="58"/>
      <c r="G172" s="80"/>
      <c r="H172" s="81"/>
      <c r="I172" s="87"/>
      <c r="J172" s="83"/>
      <c r="K172" s="84"/>
      <c r="L172" s="85"/>
      <c r="M172" s="86"/>
      <c r="N172" s="83"/>
      <c r="O172" s="83"/>
      <c r="P172" s="83"/>
      <c r="Q172" s="114"/>
      <c r="R172" s="101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</row>
    <row r="173" s="31" customFormat="1" spans="1:36">
      <c r="A173" s="55">
        <f>IF(G173&lt;&gt;"",1+MAX($A$3:A172),"")</f>
        <v>139</v>
      </c>
      <c r="B173" s="77"/>
      <c r="C173" s="78"/>
      <c r="D173" s="57" t="s">
        <v>171</v>
      </c>
      <c r="E173" s="75">
        <v>35</v>
      </c>
      <c r="F173" s="58" t="s">
        <v>47</v>
      </c>
      <c r="G173" s="80">
        <v>0.05</v>
      </c>
      <c r="H173" s="81">
        <f t="shared" ref="H173:H176" si="95">E173*(1+G173)</f>
        <v>36.75</v>
      </c>
      <c r="I173" s="87">
        <v>4.4</v>
      </c>
      <c r="J173" s="83">
        <f t="shared" ref="J173:J176" si="96">I173*H173</f>
        <v>161.7</v>
      </c>
      <c r="K173" s="84">
        <v>0.065</v>
      </c>
      <c r="L173" s="85">
        <f t="shared" ref="L173:L178" si="97">+K173*H173</f>
        <v>2.38875</v>
      </c>
      <c r="M173" s="86">
        <f>'LABOR SHEET'!C$5</f>
        <v>57.65</v>
      </c>
      <c r="N173" s="83">
        <f t="shared" ref="N173:N178" si="98">K173*M173</f>
        <v>3.74725</v>
      </c>
      <c r="O173" s="83">
        <f t="shared" ref="O173:O178" si="99">M173*L173</f>
        <v>137.7114375</v>
      </c>
      <c r="P173" s="83">
        <f t="shared" ref="P173:P178" si="100">I173+N173</f>
        <v>8.14725</v>
      </c>
      <c r="Q173" s="114">
        <f t="shared" ref="Q173:Q178" si="101">P173*H173</f>
        <v>299.4114375</v>
      </c>
      <c r="R173" s="101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</row>
    <row r="174" s="31" customFormat="1" spans="1:36">
      <c r="A174" s="55">
        <f>IF(G174&lt;&gt;"",1+MAX($A$3:A173),"")</f>
        <v>140</v>
      </c>
      <c r="B174" s="77"/>
      <c r="C174" s="78"/>
      <c r="D174" s="57" t="s">
        <v>172</v>
      </c>
      <c r="E174" s="75">
        <v>205</v>
      </c>
      <c r="F174" s="58" t="s">
        <v>47</v>
      </c>
      <c r="G174" s="80">
        <v>0.05</v>
      </c>
      <c r="H174" s="81">
        <f t="shared" si="95"/>
        <v>215.25</v>
      </c>
      <c r="I174" s="87">
        <v>6.1</v>
      </c>
      <c r="J174" s="83">
        <f t="shared" si="96"/>
        <v>1313.025</v>
      </c>
      <c r="K174" s="84">
        <v>0.099</v>
      </c>
      <c r="L174" s="85">
        <f t="shared" si="97"/>
        <v>21.30975</v>
      </c>
      <c r="M174" s="86">
        <f>'LABOR SHEET'!C$5</f>
        <v>57.65</v>
      </c>
      <c r="N174" s="83">
        <f t="shared" si="98"/>
        <v>5.70735</v>
      </c>
      <c r="O174" s="83">
        <f t="shared" si="99"/>
        <v>1228.5070875</v>
      </c>
      <c r="P174" s="83">
        <f t="shared" si="100"/>
        <v>11.80735</v>
      </c>
      <c r="Q174" s="114">
        <f t="shared" si="101"/>
        <v>2541.5320875</v>
      </c>
      <c r="R174" s="101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</row>
    <row r="175" s="31" customFormat="1" spans="1:36">
      <c r="A175" s="55">
        <f>IF(G175&lt;&gt;"",1+MAX($A$3:A174),"")</f>
        <v>141</v>
      </c>
      <c r="B175" s="77"/>
      <c r="C175" s="78"/>
      <c r="D175" s="57" t="s">
        <v>173</v>
      </c>
      <c r="E175" s="75">
        <v>397.54</v>
      </c>
      <c r="F175" s="58" t="s">
        <v>47</v>
      </c>
      <c r="G175" s="80">
        <v>0.05</v>
      </c>
      <c r="H175" s="81">
        <f t="shared" si="95"/>
        <v>417.417</v>
      </c>
      <c r="I175" s="87">
        <v>7.75</v>
      </c>
      <c r="J175" s="83">
        <f t="shared" si="96"/>
        <v>3234.98175</v>
      </c>
      <c r="K175" s="84">
        <v>0.105</v>
      </c>
      <c r="L175" s="85">
        <f t="shared" si="97"/>
        <v>43.828785</v>
      </c>
      <c r="M175" s="86">
        <f>'LABOR SHEET'!C$5</f>
        <v>57.65</v>
      </c>
      <c r="N175" s="83">
        <f t="shared" si="98"/>
        <v>6.05325</v>
      </c>
      <c r="O175" s="83">
        <f t="shared" si="99"/>
        <v>2526.72945525</v>
      </c>
      <c r="P175" s="83">
        <f t="shared" si="100"/>
        <v>13.80325</v>
      </c>
      <c r="Q175" s="114">
        <f t="shared" si="101"/>
        <v>5761.71120525</v>
      </c>
      <c r="R175" s="101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</row>
    <row r="176" s="31" customFormat="1" spans="1:36">
      <c r="A176" s="55">
        <f>IF(G176&lt;&gt;"",1+MAX($A$3:A175),"")</f>
        <v>142</v>
      </c>
      <c r="B176" s="77"/>
      <c r="C176" s="78"/>
      <c r="D176" s="57" t="s">
        <v>174</v>
      </c>
      <c r="E176" s="75">
        <v>149.84</v>
      </c>
      <c r="F176" s="58" t="s">
        <v>47</v>
      </c>
      <c r="G176" s="80">
        <v>0.05</v>
      </c>
      <c r="H176" s="81">
        <f t="shared" si="95"/>
        <v>157.332</v>
      </c>
      <c r="I176" s="87">
        <v>9.85</v>
      </c>
      <c r="J176" s="83">
        <f t="shared" si="96"/>
        <v>1549.7202</v>
      </c>
      <c r="K176" s="84">
        <v>0.118</v>
      </c>
      <c r="L176" s="85">
        <f t="shared" si="97"/>
        <v>18.565176</v>
      </c>
      <c r="M176" s="86">
        <f>'LABOR SHEET'!C$5</f>
        <v>57.65</v>
      </c>
      <c r="N176" s="83">
        <f t="shared" si="98"/>
        <v>6.8027</v>
      </c>
      <c r="O176" s="83">
        <f t="shared" si="99"/>
        <v>1070.2823964</v>
      </c>
      <c r="P176" s="83">
        <f t="shared" si="100"/>
        <v>16.6527</v>
      </c>
      <c r="Q176" s="114">
        <f t="shared" si="101"/>
        <v>2620.0025964</v>
      </c>
      <c r="R176" s="101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</row>
    <row r="177" s="31" customFormat="1" spans="1:36">
      <c r="A177" s="55">
        <f>IF(G177&lt;&gt;"",1+MAX($A$3:A176),"")</f>
        <v>143</v>
      </c>
      <c r="B177" s="77"/>
      <c r="C177" s="78"/>
      <c r="D177" s="57" t="s">
        <v>175</v>
      </c>
      <c r="E177" s="75">
        <v>71.84</v>
      </c>
      <c r="F177" s="58" t="s">
        <v>47</v>
      </c>
      <c r="G177" s="80">
        <v>0.05</v>
      </c>
      <c r="H177" s="81">
        <f t="shared" ref="H177:H182" si="102">E177*(1+G177)</f>
        <v>75.432</v>
      </c>
      <c r="I177" s="87">
        <v>12.45</v>
      </c>
      <c r="J177" s="83">
        <f t="shared" ref="J177:J182" si="103">I177*H177</f>
        <v>939.1284</v>
      </c>
      <c r="K177" s="84">
        <v>0.138</v>
      </c>
      <c r="L177" s="85">
        <f t="shared" si="97"/>
        <v>10.409616</v>
      </c>
      <c r="M177" s="86">
        <f>'LABOR SHEET'!C$5</f>
        <v>57.65</v>
      </c>
      <c r="N177" s="83">
        <f t="shared" si="98"/>
        <v>7.9557</v>
      </c>
      <c r="O177" s="83">
        <f t="shared" si="99"/>
        <v>600.1143624</v>
      </c>
      <c r="P177" s="83">
        <f t="shared" si="100"/>
        <v>20.4057</v>
      </c>
      <c r="Q177" s="114">
        <f t="shared" si="101"/>
        <v>1539.2427624</v>
      </c>
      <c r="R177" s="101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</row>
    <row r="178" s="31" customFormat="1" spans="1:36">
      <c r="A178" s="55">
        <f>IF(G178&lt;&gt;"",1+MAX($A$3:A177),"")</f>
        <v>144</v>
      </c>
      <c r="B178" s="77"/>
      <c r="C178" s="78"/>
      <c r="D178" s="57" t="s">
        <v>176</v>
      </c>
      <c r="E178" s="75">
        <v>306.12</v>
      </c>
      <c r="F178" s="58" t="s">
        <v>47</v>
      </c>
      <c r="G178" s="80">
        <v>0.05</v>
      </c>
      <c r="H178" s="81">
        <f t="shared" si="102"/>
        <v>321.426</v>
      </c>
      <c r="I178" s="87">
        <v>14.85</v>
      </c>
      <c r="J178" s="83">
        <f t="shared" si="103"/>
        <v>4773.1761</v>
      </c>
      <c r="K178" s="84">
        <v>0.154</v>
      </c>
      <c r="L178" s="85">
        <f t="shared" si="97"/>
        <v>49.499604</v>
      </c>
      <c r="M178" s="86">
        <f>'LABOR SHEET'!C$5</f>
        <v>57.65</v>
      </c>
      <c r="N178" s="83">
        <f t="shared" si="98"/>
        <v>8.8781</v>
      </c>
      <c r="O178" s="83">
        <f t="shared" si="99"/>
        <v>2853.6521706</v>
      </c>
      <c r="P178" s="83">
        <f t="shared" si="100"/>
        <v>23.7281</v>
      </c>
      <c r="Q178" s="114">
        <f t="shared" si="101"/>
        <v>7626.8282706</v>
      </c>
      <c r="R178" s="101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</row>
    <row r="179" s="31" customFormat="1" spans="1:36">
      <c r="A179" s="55" t="str">
        <f>IF(G179&lt;&gt;"",1+MAX($A$3:A178),"")</f>
        <v/>
      </c>
      <c r="B179" s="77"/>
      <c r="C179" s="78"/>
      <c r="D179" s="57"/>
      <c r="E179" s="75"/>
      <c r="F179" s="58"/>
      <c r="G179" s="80"/>
      <c r="H179" s="81"/>
      <c r="I179" s="87"/>
      <c r="J179" s="83"/>
      <c r="K179" s="84"/>
      <c r="L179" s="85"/>
      <c r="M179" s="86"/>
      <c r="N179" s="83"/>
      <c r="O179" s="83"/>
      <c r="P179" s="83"/>
      <c r="Q179" s="114"/>
      <c r="R179" s="101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</row>
    <row r="180" s="31" customFormat="1" spans="1:36">
      <c r="A180" s="55" t="str">
        <f>IF(G180&lt;&gt;"",1+MAX($A$3:A179),"")</f>
        <v/>
      </c>
      <c r="B180" s="77"/>
      <c r="C180" s="78"/>
      <c r="D180" s="79" t="s">
        <v>188</v>
      </c>
      <c r="E180" s="75"/>
      <c r="F180" s="58"/>
      <c r="G180" s="80"/>
      <c r="H180" s="81"/>
      <c r="I180" s="87"/>
      <c r="J180" s="83"/>
      <c r="K180" s="84"/>
      <c r="L180" s="85"/>
      <c r="M180" s="86"/>
      <c r="N180" s="83"/>
      <c r="O180" s="83"/>
      <c r="P180" s="83"/>
      <c r="Q180" s="114"/>
      <c r="R180" s="101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</row>
    <row r="181" s="31" customFormat="1" spans="1:36">
      <c r="A181" s="55">
        <f>IF(G181&lt;&gt;"",1+MAX($A$3:A180),"")</f>
        <v>145</v>
      </c>
      <c r="B181" s="77"/>
      <c r="C181" s="78"/>
      <c r="D181" s="57" t="s">
        <v>177</v>
      </c>
      <c r="E181" s="75">
        <v>51</v>
      </c>
      <c r="F181" s="58" t="s">
        <v>47</v>
      </c>
      <c r="G181" s="80">
        <v>0.05</v>
      </c>
      <c r="H181" s="81">
        <f t="shared" si="102"/>
        <v>53.55</v>
      </c>
      <c r="I181" s="87">
        <v>22.2</v>
      </c>
      <c r="J181" s="83">
        <f t="shared" si="103"/>
        <v>1188.81</v>
      </c>
      <c r="K181" s="84">
        <v>0.19</v>
      </c>
      <c r="L181" s="85">
        <f t="shared" ref="L181:L186" si="104">+K181*H181</f>
        <v>10.1745</v>
      </c>
      <c r="M181" s="86">
        <f>'LABOR SHEET'!C$5</f>
        <v>57.65</v>
      </c>
      <c r="N181" s="83">
        <f t="shared" ref="N181:N186" si="105">K181*M181</f>
        <v>10.9535</v>
      </c>
      <c r="O181" s="83">
        <f t="shared" ref="O181:O186" si="106">M181*L181</f>
        <v>586.559925</v>
      </c>
      <c r="P181" s="83">
        <f t="shared" ref="P181:P186" si="107">I181+N181</f>
        <v>33.1535</v>
      </c>
      <c r="Q181" s="114">
        <f t="shared" ref="Q181:Q186" si="108">P181*H181</f>
        <v>1775.369925</v>
      </c>
      <c r="R181" s="101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</row>
    <row r="182" s="31" customFormat="1" spans="1:36">
      <c r="A182" s="55">
        <f>IF(G182&lt;&gt;"",1+MAX($A$3:A181),"")</f>
        <v>146</v>
      </c>
      <c r="B182" s="77"/>
      <c r="C182" s="78"/>
      <c r="D182" s="57" t="s">
        <v>178</v>
      </c>
      <c r="E182" s="75">
        <v>232.23</v>
      </c>
      <c r="F182" s="58" t="s">
        <v>47</v>
      </c>
      <c r="G182" s="80">
        <v>0.05</v>
      </c>
      <c r="H182" s="81">
        <f t="shared" si="102"/>
        <v>243.8415</v>
      </c>
      <c r="I182" s="87">
        <v>30.4</v>
      </c>
      <c r="J182" s="83">
        <f t="shared" si="103"/>
        <v>7412.7816</v>
      </c>
      <c r="K182" s="84">
        <v>0.258</v>
      </c>
      <c r="L182" s="85">
        <f t="shared" si="104"/>
        <v>62.911107</v>
      </c>
      <c r="M182" s="86">
        <f>'LABOR SHEET'!C$5</f>
        <v>57.65</v>
      </c>
      <c r="N182" s="83">
        <f t="shared" si="105"/>
        <v>14.8737</v>
      </c>
      <c r="O182" s="83">
        <f t="shared" si="106"/>
        <v>3626.82531855</v>
      </c>
      <c r="P182" s="83">
        <f t="shared" si="107"/>
        <v>45.2737</v>
      </c>
      <c r="Q182" s="114">
        <f t="shared" si="108"/>
        <v>11039.60691855</v>
      </c>
      <c r="R182" s="101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</row>
    <row r="183" s="31" customFormat="1" spans="1:36">
      <c r="A183" s="55">
        <f>IF(G183&lt;&gt;"",1+MAX($A$3:A182),"")</f>
        <v>147</v>
      </c>
      <c r="B183" s="77"/>
      <c r="C183" s="78"/>
      <c r="D183" s="57" t="s">
        <v>179</v>
      </c>
      <c r="E183" s="75">
        <v>441.96</v>
      </c>
      <c r="F183" s="58" t="s">
        <v>47</v>
      </c>
      <c r="G183" s="80">
        <v>0.05</v>
      </c>
      <c r="H183" s="81">
        <f t="shared" ref="H183:H186" si="109">E183*(1+G183)</f>
        <v>464.058</v>
      </c>
      <c r="I183" s="87">
        <v>6.9</v>
      </c>
      <c r="J183" s="83">
        <f t="shared" ref="J183:J186" si="110">I183*H183</f>
        <v>3202.0002</v>
      </c>
      <c r="K183" s="84">
        <v>0.099</v>
      </c>
      <c r="L183" s="85">
        <f t="shared" si="104"/>
        <v>45.941742</v>
      </c>
      <c r="M183" s="86">
        <f>'LABOR SHEET'!C$5</f>
        <v>57.65</v>
      </c>
      <c r="N183" s="83">
        <f t="shared" si="105"/>
        <v>5.70735</v>
      </c>
      <c r="O183" s="83">
        <f t="shared" si="106"/>
        <v>2648.5414263</v>
      </c>
      <c r="P183" s="83">
        <f t="shared" si="107"/>
        <v>12.60735</v>
      </c>
      <c r="Q183" s="114">
        <f t="shared" si="108"/>
        <v>5850.5416263</v>
      </c>
      <c r="R183" s="101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</row>
    <row r="184" s="31" customFormat="1" spans="1:36">
      <c r="A184" s="55">
        <f>IF(G184&lt;&gt;"",1+MAX($A$3:A183),"")</f>
        <v>148</v>
      </c>
      <c r="B184" s="77"/>
      <c r="C184" s="78"/>
      <c r="D184" s="57" t="s">
        <v>180</v>
      </c>
      <c r="E184" s="75">
        <v>30</v>
      </c>
      <c r="F184" s="58" t="s">
        <v>47</v>
      </c>
      <c r="G184" s="80">
        <v>0.05</v>
      </c>
      <c r="H184" s="81">
        <f t="shared" si="109"/>
        <v>31.5</v>
      </c>
      <c r="I184" s="87">
        <v>5.2</v>
      </c>
      <c r="J184" s="83">
        <f t="shared" si="110"/>
        <v>163.8</v>
      </c>
      <c r="K184" s="84">
        <v>0.065</v>
      </c>
      <c r="L184" s="85">
        <f t="shared" si="104"/>
        <v>2.0475</v>
      </c>
      <c r="M184" s="86">
        <f>'LABOR SHEET'!C$5</f>
        <v>57.65</v>
      </c>
      <c r="N184" s="83">
        <f t="shared" si="105"/>
        <v>3.74725</v>
      </c>
      <c r="O184" s="83">
        <f t="shared" si="106"/>
        <v>118.038375</v>
      </c>
      <c r="P184" s="83">
        <f t="shared" si="107"/>
        <v>8.94725</v>
      </c>
      <c r="Q184" s="114">
        <f t="shared" si="108"/>
        <v>281.838375</v>
      </c>
      <c r="R184" s="101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</row>
    <row r="185" s="31" customFormat="1" spans="1:36">
      <c r="A185" s="55">
        <f>IF(G185&lt;&gt;"",1+MAX($A$3:A184),"")</f>
        <v>149</v>
      </c>
      <c r="B185" s="77"/>
      <c r="C185" s="78"/>
      <c r="D185" s="57" t="s">
        <v>181</v>
      </c>
      <c r="E185" s="75">
        <v>50</v>
      </c>
      <c r="F185" s="58" t="s">
        <v>47</v>
      </c>
      <c r="G185" s="80">
        <v>0.05</v>
      </c>
      <c r="H185" s="81">
        <f t="shared" si="109"/>
        <v>52.5</v>
      </c>
      <c r="I185" s="87">
        <v>6.9</v>
      </c>
      <c r="J185" s="83">
        <f t="shared" si="110"/>
        <v>362.25</v>
      </c>
      <c r="K185" s="84">
        <v>0.099</v>
      </c>
      <c r="L185" s="85">
        <f t="shared" si="104"/>
        <v>5.1975</v>
      </c>
      <c r="M185" s="86">
        <f>'LABOR SHEET'!C$5</f>
        <v>57.65</v>
      </c>
      <c r="N185" s="83">
        <f t="shared" si="105"/>
        <v>5.70735</v>
      </c>
      <c r="O185" s="83">
        <f t="shared" si="106"/>
        <v>299.635875</v>
      </c>
      <c r="P185" s="83">
        <f t="shared" si="107"/>
        <v>12.60735</v>
      </c>
      <c r="Q185" s="114">
        <f t="shared" si="108"/>
        <v>661.885875</v>
      </c>
      <c r="R185" s="101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</row>
    <row r="186" s="31" customFormat="1" spans="1:36">
      <c r="A186" s="55">
        <f>IF(G186&lt;&gt;"",1+MAX($A$3:A185),"")</f>
        <v>150</v>
      </c>
      <c r="B186" s="77"/>
      <c r="C186" s="78"/>
      <c r="D186" s="57" t="s">
        <v>182</v>
      </c>
      <c r="E186" s="75">
        <v>215.27</v>
      </c>
      <c r="F186" s="58" t="s">
        <v>47</v>
      </c>
      <c r="G186" s="80">
        <v>0.05</v>
      </c>
      <c r="H186" s="81">
        <f t="shared" si="109"/>
        <v>226.0335</v>
      </c>
      <c r="I186" s="87">
        <v>8.55</v>
      </c>
      <c r="J186" s="83">
        <f t="shared" si="110"/>
        <v>1932.586425</v>
      </c>
      <c r="K186" s="84">
        <v>0.105</v>
      </c>
      <c r="L186" s="85">
        <f t="shared" si="104"/>
        <v>23.7335175</v>
      </c>
      <c r="M186" s="86">
        <f>'LABOR SHEET'!C$5</f>
        <v>57.65</v>
      </c>
      <c r="N186" s="83">
        <f t="shared" si="105"/>
        <v>6.05325</v>
      </c>
      <c r="O186" s="83">
        <f t="shared" si="106"/>
        <v>1368.237283875</v>
      </c>
      <c r="P186" s="83">
        <f t="shared" si="107"/>
        <v>14.60325</v>
      </c>
      <c r="Q186" s="114">
        <f t="shared" si="108"/>
        <v>3300.823708875</v>
      </c>
      <c r="R186" s="101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</row>
    <row r="187" s="31" customFormat="1" spans="1:36">
      <c r="A187" s="55" t="str">
        <f>IF(G187&lt;&gt;"",1+MAX($A$3:A186),"")</f>
        <v/>
      </c>
      <c r="B187" s="77"/>
      <c r="C187" s="78"/>
      <c r="D187" s="57"/>
      <c r="E187" s="75"/>
      <c r="F187" s="58"/>
      <c r="G187" s="80"/>
      <c r="H187" s="81"/>
      <c r="I187" s="87"/>
      <c r="J187" s="83"/>
      <c r="K187" s="84"/>
      <c r="L187" s="85"/>
      <c r="M187" s="86"/>
      <c r="N187" s="83"/>
      <c r="O187" s="83"/>
      <c r="P187" s="83"/>
      <c r="Q187" s="114"/>
      <c r="R187" s="101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</row>
    <row r="188" s="31" customFormat="1" spans="1:36">
      <c r="A188" s="55" t="str">
        <f>IF(G188&lt;&gt;"",1+MAX($A$3:A187),"")</f>
        <v/>
      </c>
      <c r="B188" s="77"/>
      <c r="C188" s="78"/>
      <c r="D188" s="79" t="s">
        <v>189</v>
      </c>
      <c r="E188" s="75"/>
      <c r="F188" s="58"/>
      <c r="G188" s="80"/>
      <c r="H188" s="81"/>
      <c r="I188" s="87">
        <v>3.9</v>
      </c>
      <c r="J188" s="83"/>
      <c r="K188" s="84"/>
      <c r="L188" s="85"/>
      <c r="M188" s="86"/>
      <c r="N188" s="83"/>
      <c r="O188" s="83"/>
      <c r="P188" s="83"/>
      <c r="Q188" s="114"/>
      <c r="R188" s="101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</row>
    <row r="189" s="31" customFormat="1" spans="1:36">
      <c r="A189" s="55">
        <f>IF(G189&lt;&gt;"",1+MAX($A$3:A188),"")</f>
        <v>151</v>
      </c>
      <c r="B189" s="77"/>
      <c r="C189" s="78"/>
      <c r="D189" s="57" t="s">
        <v>183</v>
      </c>
      <c r="E189" s="75">
        <v>116.08</v>
      </c>
      <c r="F189" s="58" t="s">
        <v>47</v>
      </c>
      <c r="G189" s="80">
        <v>0.05</v>
      </c>
      <c r="H189" s="81">
        <f t="shared" ref="H189:H191" si="111">E189*(1+G189)</f>
        <v>121.884</v>
      </c>
      <c r="I189" s="87">
        <v>11.15</v>
      </c>
      <c r="J189" s="83">
        <f t="shared" ref="J189:J191" si="112">I189*H189</f>
        <v>1359.0066</v>
      </c>
      <c r="K189" s="84">
        <v>0.118</v>
      </c>
      <c r="L189" s="85">
        <f t="shared" ref="L189:L191" si="113">+K189*H189</f>
        <v>14.382312</v>
      </c>
      <c r="M189" s="86">
        <f>'LABOR SHEET'!C$5</f>
        <v>57.65</v>
      </c>
      <c r="N189" s="83">
        <f t="shared" ref="N189:N191" si="114">K189*M189</f>
        <v>6.8027</v>
      </c>
      <c r="O189" s="83">
        <f t="shared" ref="O189:O191" si="115">M189*L189</f>
        <v>829.1402868</v>
      </c>
      <c r="P189" s="83">
        <f t="shared" ref="P189:P191" si="116">I189+N189</f>
        <v>17.9527</v>
      </c>
      <c r="Q189" s="114">
        <f t="shared" ref="Q189:Q191" si="117">P189*H189</f>
        <v>2188.1468868</v>
      </c>
      <c r="R189" s="101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</row>
    <row r="190" s="31" customFormat="1" spans="1:36">
      <c r="A190" s="55">
        <f>IF(G190&lt;&gt;"",1+MAX($A$3:A189),"")</f>
        <v>152</v>
      </c>
      <c r="B190" s="77"/>
      <c r="C190" s="78"/>
      <c r="D190" s="57" t="s">
        <v>184</v>
      </c>
      <c r="E190" s="75">
        <v>232.98</v>
      </c>
      <c r="F190" s="58" t="s">
        <v>47</v>
      </c>
      <c r="G190" s="80">
        <v>0.05</v>
      </c>
      <c r="H190" s="81">
        <f t="shared" si="111"/>
        <v>244.629</v>
      </c>
      <c r="I190" s="87">
        <v>13.75</v>
      </c>
      <c r="J190" s="83">
        <f t="shared" si="112"/>
        <v>3363.64875</v>
      </c>
      <c r="K190" s="84">
        <v>0.138</v>
      </c>
      <c r="L190" s="85">
        <f t="shared" si="113"/>
        <v>33.758802</v>
      </c>
      <c r="M190" s="86">
        <f>'LABOR SHEET'!C$5</f>
        <v>57.65</v>
      </c>
      <c r="N190" s="83">
        <f t="shared" si="114"/>
        <v>7.9557</v>
      </c>
      <c r="O190" s="83">
        <f t="shared" si="115"/>
        <v>1946.1949353</v>
      </c>
      <c r="P190" s="83">
        <f t="shared" si="116"/>
        <v>21.7057</v>
      </c>
      <c r="Q190" s="114">
        <f t="shared" si="117"/>
        <v>5309.8436853</v>
      </c>
      <c r="R190" s="101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</row>
    <row r="191" s="31" customFormat="1" spans="1:36">
      <c r="A191" s="55">
        <f>IF(G191&lt;&gt;"",1+MAX($A$3:A190),"")</f>
        <v>153</v>
      </c>
      <c r="B191" s="77"/>
      <c r="C191" s="78"/>
      <c r="D191" s="57" t="s">
        <v>185</v>
      </c>
      <c r="E191" s="75">
        <v>167.74</v>
      </c>
      <c r="F191" s="58" t="s">
        <v>47</v>
      </c>
      <c r="G191" s="80">
        <v>0.05</v>
      </c>
      <c r="H191" s="81">
        <f t="shared" si="111"/>
        <v>176.127</v>
      </c>
      <c r="I191" s="87">
        <v>16.15</v>
      </c>
      <c r="J191" s="83">
        <f t="shared" si="112"/>
        <v>2844.45105</v>
      </c>
      <c r="K191" s="84">
        <v>0.154</v>
      </c>
      <c r="L191" s="85">
        <f t="shared" si="113"/>
        <v>27.123558</v>
      </c>
      <c r="M191" s="86">
        <f>'LABOR SHEET'!C$5</f>
        <v>57.65</v>
      </c>
      <c r="N191" s="83">
        <f t="shared" si="114"/>
        <v>8.8781</v>
      </c>
      <c r="O191" s="83">
        <f t="shared" si="115"/>
        <v>1563.6731187</v>
      </c>
      <c r="P191" s="83">
        <f t="shared" si="116"/>
        <v>25.0281</v>
      </c>
      <c r="Q191" s="114">
        <f t="shared" si="117"/>
        <v>4408.1241687</v>
      </c>
      <c r="R191" s="101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</row>
    <row r="192" s="31" customFormat="1" spans="1:36">
      <c r="A192" s="55" t="str">
        <f>IF(G192&lt;&gt;"",1+MAX($A$3:A191),"")</f>
        <v/>
      </c>
      <c r="B192" s="77"/>
      <c r="C192" s="78"/>
      <c r="D192" s="57"/>
      <c r="E192" s="75"/>
      <c r="F192" s="58"/>
      <c r="G192" s="80"/>
      <c r="H192" s="81"/>
      <c r="I192" s="87"/>
      <c r="J192" s="83"/>
      <c r="K192" s="84"/>
      <c r="L192" s="85"/>
      <c r="M192" s="86"/>
      <c r="N192" s="83"/>
      <c r="O192" s="83"/>
      <c r="P192" s="83"/>
      <c r="Q192" s="114"/>
      <c r="R192" s="101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</row>
    <row r="193" s="31" customFormat="1" spans="1:36">
      <c r="A193" s="55" t="str">
        <f>IF(G193&lt;&gt;"",1+MAX($A$3:A192),"")</f>
        <v/>
      </c>
      <c r="B193" s="77"/>
      <c r="C193" s="78"/>
      <c r="D193" s="82" t="s">
        <v>55</v>
      </c>
      <c r="E193" s="75"/>
      <c r="F193" s="58"/>
      <c r="G193" s="80"/>
      <c r="H193" s="81"/>
      <c r="I193" s="87"/>
      <c r="J193" s="83"/>
      <c r="K193" s="84"/>
      <c r="L193" s="85"/>
      <c r="M193" s="86"/>
      <c r="N193" s="83"/>
      <c r="O193" s="83"/>
      <c r="P193" s="83"/>
      <c r="Q193" s="114"/>
      <c r="R193" s="101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</row>
    <row r="194" s="31" customFormat="1" spans="1:36">
      <c r="A194" s="55">
        <f>IF(G194&lt;&gt;"",1+MAX($A$3:A193),"")</f>
        <v>154</v>
      </c>
      <c r="B194" s="77"/>
      <c r="C194" s="78"/>
      <c r="D194" s="57" t="s">
        <v>190</v>
      </c>
      <c r="E194" s="75">
        <v>96</v>
      </c>
      <c r="F194" s="58" t="s">
        <v>57</v>
      </c>
      <c r="G194" s="80">
        <v>0</v>
      </c>
      <c r="H194" s="81">
        <f t="shared" ref="H194:H234" si="118">E194*(1+G194)</f>
        <v>96</v>
      </c>
      <c r="I194" s="83">
        <v>8.93</v>
      </c>
      <c r="J194" s="83">
        <f t="shared" ref="J194:J234" si="119">I194*H194</f>
        <v>857.28</v>
      </c>
      <c r="K194" s="84">
        <v>0.6</v>
      </c>
      <c r="L194" s="85">
        <f t="shared" ref="L194:L234" si="120">+K194*H194</f>
        <v>57.6</v>
      </c>
      <c r="M194" s="86">
        <f>'LABOR SHEET'!C$5</f>
        <v>57.65</v>
      </c>
      <c r="N194" s="83">
        <f t="shared" ref="N194:N234" si="121">K194*M194</f>
        <v>34.59</v>
      </c>
      <c r="O194" s="83">
        <f t="shared" ref="O194:O234" si="122">M194*L194</f>
        <v>3320.64</v>
      </c>
      <c r="P194" s="83">
        <f t="shared" ref="P194:P234" si="123">I194+N194</f>
        <v>43.52</v>
      </c>
      <c r="Q194" s="114">
        <f t="shared" ref="Q194:Q234" si="124">P194*H194</f>
        <v>4177.92</v>
      </c>
      <c r="R194" s="101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</row>
    <row r="195" s="31" customFormat="1" spans="1:36">
      <c r="A195" s="55">
        <f>IF(G195&lt;&gt;"",1+MAX($A$3:A194),"")</f>
        <v>155</v>
      </c>
      <c r="B195" s="77"/>
      <c r="C195" s="78"/>
      <c r="D195" s="57" t="s">
        <v>191</v>
      </c>
      <c r="E195" s="75">
        <v>79</v>
      </c>
      <c r="F195" s="58" t="s">
        <v>57</v>
      </c>
      <c r="G195" s="80">
        <v>0</v>
      </c>
      <c r="H195" s="81">
        <f t="shared" si="118"/>
        <v>79</v>
      </c>
      <c r="I195" s="83">
        <v>16.5</v>
      </c>
      <c r="J195" s="83">
        <f t="shared" si="119"/>
        <v>1303.5</v>
      </c>
      <c r="K195" s="84">
        <v>0.61</v>
      </c>
      <c r="L195" s="85">
        <f t="shared" si="120"/>
        <v>48.19</v>
      </c>
      <c r="M195" s="86">
        <f>'LABOR SHEET'!C$5</f>
        <v>57.65</v>
      </c>
      <c r="N195" s="83">
        <f t="shared" si="121"/>
        <v>35.1665</v>
      </c>
      <c r="O195" s="83">
        <f t="shared" si="122"/>
        <v>2778.1535</v>
      </c>
      <c r="P195" s="83">
        <f t="shared" si="123"/>
        <v>51.6665</v>
      </c>
      <c r="Q195" s="114">
        <f t="shared" si="124"/>
        <v>4081.6535</v>
      </c>
      <c r="R195" s="101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</row>
    <row r="196" s="31" customFormat="1" spans="1:36">
      <c r="A196" s="55">
        <f>IF(G196&lt;&gt;"",1+MAX($A$3:A195),"")</f>
        <v>156</v>
      </c>
      <c r="B196" s="77"/>
      <c r="C196" s="78"/>
      <c r="D196" s="57" t="s">
        <v>192</v>
      </c>
      <c r="E196" s="75">
        <v>18</v>
      </c>
      <c r="F196" s="58" t="s">
        <v>57</v>
      </c>
      <c r="G196" s="80">
        <v>0</v>
      </c>
      <c r="H196" s="81">
        <f t="shared" si="118"/>
        <v>18</v>
      </c>
      <c r="I196" s="83">
        <v>29.5</v>
      </c>
      <c r="J196" s="83">
        <f t="shared" si="119"/>
        <v>531</v>
      </c>
      <c r="K196" s="84">
        <v>0.62</v>
      </c>
      <c r="L196" s="85">
        <f t="shared" si="120"/>
        <v>11.16</v>
      </c>
      <c r="M196" s="86">
        <f>'LABOR SHEET'!C$5</f>
        <v>57.65</v>
      </c>
      <c r="N196" s="83">
        <f t="shared" si="121"/>
        <v>35.743</v>
      </c>
      <c r="O196" s="83">
        <f t="shared" si="122"/>
        <v>643.374</v>
      </c>
      <c r="P196" s="83">
        <f t="shared" si="123"/>
        <v>65.243</v>
      </c>
      <c r="Q196" s="114">
        <f t="shared" si="124"/>
        <v>1174.374</v>
      </c>
      <c r="R196" s="101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</row>
    <row r="197" s="31" customFormat="1" spans="1:36">
      <c r="A197" s="55">
        <f>IF(G197&lt;&gt;"",1+MAX($A$3:A196),"")</f>
        <v>157</v>
      </c>
      <c r="B197" s="77"/>
      <c r="C197" s="78"/>
      <c r="D197" s="57" t="s">
        <v>193</v>
      </c>
      <c r="E197" s="75">
        <v>13</v>
      </c>
      <c r="F197" s="58" t="s">
        <v>57</v>
      </c>
      <c r="G197" s="80">
        <v>0</v>
      </c>
      <c r="H197" s="81">
        <f t="shared" si="118"/>
        <v>13</v>
      </c>
      <c r="I197" s="83">
        <v>36.5</v>
      </c>
      <c r="J197" s="83">
        <f t="shared" si="119"/>
        <v>474.5</v>
      </c>
      <c r="K197" s="84">
        <v>0.63</v>
      </c>
      <c r="L197" s="85">
        <f t="shared" si="120"/>
        <v>8.19</v>
      </c>
      <c r="M197" s="86">
        <f>'LABOR SHEET'!C$5</f>
        <v>57.65</v>
      </c>
      <c r="N197" s="83">
        <f t="shared" si="121"/>
        <v>36.3195</v>
      </c>
      <c r="O197" s="83">
        <f t="shared" si="122"/>
        <v>472.1535</v>
      </c>
      <c r="P197" s="83">
        <f t="shared" si="123"/>
        <v>72.8195</v>
      </c>
      <c r="Q197" s="114">
        <f t="shared" si="124"/>
        <v>946.6535</v>
      </c>
      <c r="R197" s="101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</row>
    <row r="198" s="31" customFormat="1" spans="1:36">
      <c r="A198" s="55">
        <f>IF(G198&lt;&gt;"",1+MAX($A$3:A197),"")</f>
        <v>158</v>
      </c>
      <c r="B198" s="77"/>
      <c r="C198" s="78"/>
      <c r="D198" s="57" t="s">
        <v>194</v>
      </c>
      <c r="E198" s="75">
        <v>40</v>
      </c>
      <c r="F198" s="58" t="s">
        <v>57</v>
      </c>
      <c r="G198" s="80">
        <v>0</v>
      </c>
      <c r="H198" s="81">
        <f t="shared" si="118"/>
        <v>40</v>
      </c>
      <c r="I198" s="83">
        <v>49.5</v>
      </c>
      <c r="J198" s="83">
        <f t="shared" si="119"/>
        <v>1980</v>
      </c>
      <c r="K198" s="84">
        <v>0.64</v>
      </c>
      <c r="L198" s="85">
        <f t="shared" si="120"/>
        <v>25.6</v>
      </c>
      <c r="M198" s="86">
        <f>'LABOR SHEET'!C$5</f>
        <v>57.65</v>
      </c>
      <c r="N198" s="83">
        <f t="shared" si="121"/>
        <v>36.896</v>
      </c>
      <c r="O198" s="83">
        <f t="shared" si="122"/>
        <v>1475.84</v>
      </c>
      <c r="P198" s="83">
        <f t="shared" si="123"/>
        <v>86.396</v>
      </c>
      <c r="Q198" s="114">
        <f t="shared" si="124"/>
        <v>3455.84</v>
      </c>
      <c r="R198" s="101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</row>
    <row r="199" s="31" customFormat="1" spans="1:36">
      <c r="A199" s="55">
        <f>IF(G199&lt;&gt;"",1+MAX($A$3:A198),"")</f>
        <v>159</v>
      </c>
      <c r="B199" s="77"/>
      <c r="C199" s="78"/>
      <c r="D199" s="57" t="s">
        <v>195</v>
      </c>
      <c r="E199" s="75">
        <v>6</v>
      </c>
      <c r="F199" s="58" t="s">
        <v>57</v>
      </c>
      <c r="G199" s="80">
        <v>0</v>
      </c>
      <c r="H199" s="81">
        <f t="shared" si="118"/>
        <v>6</v>
      </c>
      <c r="I199" s="83">
        <v>60</v>
      </c>
      <c r="J199" s="83">
        <f t="shared" si="119"/>
        <v>360</v>
      </c>
      <c r="K199" s="84">
        <v>0.65</v>
      </c>
      <c r="L199" s="85">
        <f t="shared" si="120"/>
        <v>3.9</v>
      </c>
      <c r="M199" s="86">
        <f>'LABOR SHEET'!C$5</f>
        <v>57.65</v>
      </c>
      <c r="N199" s="83">
        <f t="shared" si="121"/>
        <v>37.4725</v>
      </c>
      <c r="O199" s="83">
        <f t="shared" si="122"/>
        <v>224.835</v>
      </c>
      <c r="P199" s="83">
        <f t="shared" si="123"/>
        <v>97.4725</v>
      </c>
      <c r="Q199" s="114">
        <f t="shared" si="124"/>
        <v>584.835</v>
      </c>
      <c r="R199" s="101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</row>
    <row r="200" s="31" customFormat="1" spans="1:36">
      <c r="A200" s="55">
        <f>IF(G200&lt;&gt;"",1+MAX($A$3:A199),"")</f>
        <v>160</v>
      </c>
      <c r="B200" s="77"/>
      <c r="C200" s="78"/>
      <c r="D200" s="57" t="s">
        <v>196</v>
      </c>
      <c r="E200" s="75">
        <v>6</v>
      </c>
      <c r="F200" s="58" t="s">
        <v>57</v>
      </c>
      <c r="G200" s="80">
        <v>0</v>
      </c>
      <c r="H200" s="81">
        <f t="shared" si="118"/>
        <v>6</v>
      </c>
      <c r="I200" s="83">
        <v>3.5</v>
      </c>
      <c r="J200" s="83">
        <f t="shared" si="119"/>
        <v>21</v>
      </c>
      <c r="K200" s="84">
        <v>0.3</v>
      </c>
      <c r="L200" s="85">
        <f t="shared" si="120"/>
        <v>1.8</v>
      </c>
      <c r="M200" s="86">
        <f>'LABOR SHEET'!C$5</f>
        <v>57.65</v>
      </c>
      <c r="N200" s="83">
        <f t="shared" si="121"/>
        <v>17.295</v>
      </c>
      <c r="O200" s="83">
        <f t="shared" si="122"/>
        <v>103.77</v>
      </c>
      <c r="P200" s="83">
        <f t="shared" si="123"/>
        <v>20.795</v>
      </c>
      <c r="Q200" s="114">
        <f t="shared" si="124"/>
        <v>124.77</v>
      </c>
      <c r="R200" s="101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</row>
    <row r="201" s="31" customFormat="1" spans="1:36">
      <c r="A201" s="55">
        <f>IF(G201&lt;&gt;"",1+MAX($A$3:A200),"")</f>
        <v>161</v>
      </c>
      <c r="B201" s="77"/>
      <c r="C201" s="78"/>
      <c r="D201" s="57" t="s">
        <v>197</v>
      </c>
      <c r="E201" s="75">
        <v>19</v>
      </c>
      <c r="F201" s="58" t="s">
        <v>57</v>
      </c>
      <c r="G201" s="80">
        <v>0</v>
      </c>
      <c r="H201" s="81">
        <f t="shared" si="118"/>
        <v>19</v>
      </c>
      <c r="I201" s="83">
        <v>12.5</v>
      </c>
      <c r="J201" s="83">
        <f t="shared" si="119"/>
        <v>237.5</v>
      </c>
      <c r="K201" s="84">
        <v>0.32</v>
      </c>
      <c r="L201" s="85">
        <f t="shared" si="120"/>
        <v>6.08</v>
      </c>
      <c r="M201" s="86">
        <f>'LABOR SHEET'!C$5</f>
        <v>57.65</v>
      </c>
      <c r="N201" s="83">
        <f t="shared" si="121"/>
        <v>18.448</v>
      </c>
      <c r="O201" s="83">
        <f t="shared" si="122"/>
        <v>350.512</v>
      </c>
      <c r="P201" s="83">
        <f t="shared" si="123"/>
        <v>30.948</v>
      </c>
      <c r="Q201" s="114">
        <f t="shared" si="124"/>
        <v>588.012</v>
      </c>
      <c r="R201" s="101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</row>
    <row r="202" s="31" customFormat="1" spans="1:36">
      <c r="A202" s="55">
        <f>IF(G202&lt;&gt;"",1+MAX($A$3:A201),"")</f>
        <v>162</v>
      </c>
      <c r="B202" s="77"/>
      <c r="C202" s="78"/>
      <c r="D202" s="57" t="s">
        <v>198</v>
      </c>
      <c r="E202" s="75">
        <v>20</v>
      </c>
      <c r="F202" s="58" t="s">
        <v>57</v>
      </c>
      <c r="G202" s="80">
        <v>0</v>
      </c>
      <c r="H202" s="81">
        <f t="shared" si="118"/>
        <v>20</v>
      </c>
      <c r="I202" s="83">
        <v>32.5</v>
      </c>
      <c r="J202" s="83">
        <f t="shared" si="119"/>
        <v>650</v>
      </c>
      <c r="K202" s="84">
        <v>0.34</v>
      </c>
      <c r="L202" s="85">
        <f t="shared" si="120"/>
        <v>6.8</v>
      </c>
      <c r="M202" s="86">
        <f>'LABOR SHEET'!C$5</f>
        <v>57.65</v>
      </c>
      <c r="N202" s="83">
        <f t="shared" si="121"/>
        <v>19.601</v>
      </c>
      <c r="O202" s="83">
        <f t="shared" si="122"/>
        <v>392.02</v>
      </c>
      <c r="P202" s="83">
        <f t="shared" si="123"/>
        <v>52.101</v>
      </c>
      <c r="Q202" s="114">
        <f t="shared" si="124"/>
        <v>1042.02</v>
      </c>
      <c r="R202" s="101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</row>
    <row r="203" s="31" customFormat="1" spans="1:36">
      <c r="A203" s="55">
        <f>IF(G203&lt;&gt;"",1+MAX($A$3:A202),"")</f>
        <v>163</v>
      </c>
      <c r="B203" s="77"/>
      <c r="C203" s="78"/>
      <c r="D203" s="57" t="s">
        <v>199</v>
      </c>
      <c r="E203" s="75">
        <v>6</v>
      </c>
      <c r="F203" s="58" t="s">
        <v>57</v>
      </c>
      <c r="G203" s="80">
        <v>0</v>
      </c>
      <c r="H203" s="81">
        <f t="shared" si="118"/>
        <v>6</v>
      </c>
      <c r="I203" s="83">
        <v>45.5</v>
      </c>
      <c r="J203" s="83">
        <f t="shared" si="119"/>
        <v>273</v>
      </c>
      <c r="K203" s="84">
        <v>0.36</v>
      </c>
      <c r="L203" s="85">
        <f t="shared" si="120"/>
        <v>2.16</v>
      </c>
      <c r="M203" s="86">
        <f>'LABOR SHEET'!C$5</f>
        <v>57.65</v>
      </c>
      <c r="N203" s="83">
        <f t="shared" si="121"/>
        <v>20.754</v>
      </c>
      <c r="O203" s="83">
        <f t="shared" si="122"/>
        <v>124.524</v>
      </c>
      <c r="P203" s="83">
        <f t="shared" si="123"/>
        <v>66.254</v>
      </c>
      <c r="Q203" s="114">
        <f t="shared" si="124"/>
        <v>397.524</v>
      </c>
      <c r="R203" s="101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</row>
    <row r="204" s="31" customFormat="1" spans="1:36">
      <c r="A204" s="55">
        <f>IF(G204&lt;&gt;"",1+MAX($A$3:A203),"")</f>
        <v>164</v>
      </c>
      <c r="B204" s="77"/>
      <c r="C204" s="78"/>
      <c r="D204" s="57" t="s">
        <v>200</v>
      </c>
      <c r="E204" s="75">
        <v>9</v>
      </c>
      <c r="F204" s="58" t="s">
        <v>57</v>
      </c>
      <c r="G204" s="80">
        <v>0</v>
      </c>
      <c r="H204" s="81">
        <f t="shared" si="118"/>
        <v>9</v>
      </c>
      <c r="I204" s="83">
        <v>58.9</v>
      </c>
      <c r="J204" s="83">
        <f t="shared" si="119"/>
        <v>530.1</v>
      </c>
      <c r="K204" s="84">
        <v>0.38</v>
      </c>
      <c r="L204" s="85">
        <f t="shared" si="120"/>
        <v>3.42</v>
      </c>
      <c r="M204" s="86">
        <f>'LABOR SHEET'!C$5</f>
        <v>57.65</v>
      </c>
      <c r="N204" s="83">
        <f t="shared" si="121"/>
        <v>21.907</v>
      </c>
      <c r="O204" s="83">
        <f t="shared" si="122"/>
        <v>197.163</v>
      </c>
      <c r="P204" s="83">
        <f t="shared" si="123"/>
        <v>80.807</v>
      </c>
      <c r="Q204" s="114">
        <f t="shared" si="124"/>
        <v>727.263</v>
      </c>
      <c r="R204" s="101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</row>
    <row r="205" s="31" customFormat="1" spans="1:36">
      <c r="A205" s="55">
        <f>IF(G205&lt;&gt;"",1+MAX($A$3:A204),"")</f>
        <v>165</v>
      </c>
      <c r="B205" s="77"/>
      <c r="C205" s="78"/>
      <c r="D205" s="57" t="s">
        <v>201</v>
      </c>
      <c r="E205" s="75">
        <v>3</v>
      </c>
      <c r="F205" s="58" t="s">
        <v>57</v>
      </c>
      <c r="G205" s="80">
        <v>0</v>
      </c>
      <c r="H205" s="81">
        <f t="shared" si="118"/>
        <v>3</v>
      </c>
      <c r="I205" s="83">
        <v>65.5</v>
      </c>
      <c r="J205" s="83">
        <f t="shared" si="119"/>
        <v>196.5</v>
      </c>
      <c r="K205" s="84">
        <v>0.4</v>
      </c>
      <c r="L205" s="85">
        <f t="shared" si="120"/>
        <v>1.2</v>
      </c>
      <c r="M205" s="86">
        <f>'LABOR SHEET'!C$5</f>
        <v>57.65</v>
      </c>
      <c r="N205" s="83">
        <f t="shared" si="121"/>
        <v>23.06</v>
      </c>
      <c r="O205" s="83">
        <f t="shared" si="122"/>
        <v>69.18</v>
      </c>
      <c r="P205" s="83">
        <f t="shared" si="123"/>
        <v>88.56</v>
      </c>
      <c r="Q205" s="114">
        <f t="shared" si="124"/>
        <v>265.68</v>
      </c>
      <c r="R205" s="101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</row>
    <row r="206" s="31" customFormat="1" spans="1:36">
      <c r="A206" s="55">
        <f>IF(G206&lt;&gt;"",1+MAX($A$3:A205),"")</f>
        <v>166</v>
      </c>
      <c r="B206" s="77"/>
      <c r="C206" s="78"/>
      <c r="D206" s="57" t="s">
        <v>202</v>
      </c>
      <c r="E206" s="75">
        <v>1</v>
      </c>
      <c r="F206" s="58" t="s">
        <v>57</v>
      </c>
      <c r="G206" s="80">
        <v>0</v>
      </c>
      <c r="H206" s="81">
        <f t="shared" ref="H206:H216" si="125">E206*(1+G206)</f>
        <v>1</v>
      </c>
      <c r="I206" s="83">
        <v>80.2</v>
      </c>
      <c r="J206" s="83">
        <f t="shared" ref="J206:J216" si="126">I206*H206</f>
        <v>80.2</v>
      </c>
      <c r="K206" s="84">
        <v>0.4</v>
      </c>
      <c r="L206" s="85">
        <f t="shared" si="120"/>
        <v>0.4</v>
      </c>
      <c r="M206" s="86">
        <f>'LABOR SHEET'!C$5</f>
        <v>57.65</v>
      </c>
      <c r="N206" s="83">
        <f t="shared" si="121"/>
        <v>23.06</v>
      </c>
      <c r="O206" s="83">
        <f t="shared" si="122"/>
        <v>23.06</v>
      </c>
      <c r="P206" s="83">
        <f t="shared" si="123"/>
        <v>103.26</v>
      </c>
      <c r="Q206" s="114">
        <f t="shared" si="124"/>
        <v>103.26</v>
      </c>
      <c r="R206" s="101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</row>
    <row r="207" s="31" customFormat="1" spans="1:36">
      <c r="A207" s="55">
        <f>IF(G207&lt;&gt;"",1+MAX($A$3:A206),"")</f>
        <v>167</v>
      </c>
      <c r="B207" s="77"/>
      <c r="C207" s="78"/>
      <c r="D207" s="57" t="s">
        <v>203</v>
      </c>
      <c r="E207" s="75">
        <v>5</v>
      </c>
      <c r="F207" s="58" t="s">
        <v>57</v>
      </c>
      <c r="G207" s="80">
        <v>0</v>
      </c>
      <c r="H207" s="81">
        <f t="shared" si="125"/>
        <v>5</v>
      </c>
      <c r="I207" s="83">
        <v>94.5</v>
      </c>
      <c r="J207" s="83">
        <f t="shared" si="126"/>
        <v>472.5</v>
      </c>
      <c r="K207" s="84">
        <v>0.41</v>
      </c>
      <c r="L207" s="85">
        <f t="shared" si="120"/>
        <v>2.05</v>
      </c>
      <c r="M207" s="86">
        <f>'LABOR SHEET'!C$5</f>
        <v>57.65</v>
      </c>
      <c r="N207" s="83">
        <f t="shared" si="121"/>
        <v>23.6365</v>
      </c>
      <c r="O207" s="83">
        <f t="shared" si="122"/>
        <v>118.1825</v>
      </c>
      <c r="P207" s="83">
        <f t="shared" si="123"/>
        <v>118.1365</v>
      </c>
      <c r="Q207" s="114">
        <f t="shared" si="124"/>
        <v>590.6825</v>
      </c>
      <c r="R207" s="101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</row>
    <row r="208" s="31" customFormat="1" spans="1:36">
      <c r="A208" s="55">
        <f>IF(G208&lt;&gt;"",1+MAX($A$3:A207),"")</f>
        <v>168</v>
      </c>
      <c r="B208" s="77"/>
      <c r="C208" s="78"/>
      <c r="D208" s="57" t="s">
        <v>204</v>
      </c>
      <c r="E208" s="75">
        <v>5</v>
      </c>
      <c r="F208" s="58" t="s">
        <v>57</v>
      </c>
      <c r="G208" s="80">
        <v>0</v>
      </c>
      <c r="H208" s="81">
        <f t="shared" si="125"/>
        <v>5</v>
      </c>
      <c r="I208" s="83">
        <v>110</v>
      </c>
      <c r="J208" s="83">
        <f t="shared" si="126"/>
        <v>550</v>
      </c>
      <c r="K208" s="84">
        <v>0.42</v>
      </c>
      <c r="L208" s="85">
        <f t="shared" si="120"/>
        <v>2.1</v>
      </c>
      <c r="M208" s="86">
        <f>'LABOR SHEET'!C$5</f>
        <v>57.65</v>
      </c>
      <c r="N208" s="83">
        <f t="shared" si="121"/>
        <v>24.213</v>
      </c>
      <c r="O208" s="83">
        <f t="shared" si="122"/>
        <v>121.065</v>
      </c>
      <c r="P208" s="83">
        <f t="shared" si="123"/>
        <v>134.213</v>
      </c>
      <c r="Q208" s="114">
        <f t="shared" si="124"/>
        <v>671.065</v>
      </c>
      <c r="R208" s="101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</row>
    <row r="209" s="31" customFormat="1" spans="1:36">
      <c r="A209" s="55">
        <f>IF(G209&lt;&gt;"",1+MAX($A$3:A208),"")</f>
        <v>169</v>
      </c>
      <c r="B209" s="77"/>
      <c r="C209" s="78"/>
      <c r="D209" s="57" t="s">
        <v>205</v>
      </c>
      <c r="E209" s="75">
        <v>3</v>
      </c>
      <c r="F209" s="58" t="s">
        <v>57</v>
      </c>
      <c r="G209" s="80">
        <v>0</v>
      </c>
      <c r="H209" s="81">
        <f t="shared" si="125"/>
        <v>3</v>
      </c>
      <c r="I209" s="83">
        <v>130</v>
      </c>
      <c r="J209" s="83">
        <f t="shared" si="126"/>
        <v>390</v>
      </c>
      <c r="K209" s="84">
        <v>0.43</v>
      </c>
      <c r="L209" s="85">
        <f t="shared" si="120"/>
        <v>1.29</v>
      </c>
      <c r="M209" s="86">
        <f>'LABOR SHEET'!C$5</f>
        <v>57.65</v>
      </c>
      <c r="N209" s="83">
        <f t="shared" si="121"/>
        <v>24.7895</v>
      </c>
      <c r="O209" s="83">
        <f t="shared" si="122"/>
        <v>74.3685</v>
      </c>
      <c r="P209" s="83">
        <f t="shared" si="123"/>
        <v>154.7895</v>
      </c>
      <c r="Q209" s="114">
        <f t="shared" si="124"/>
        <v>464.3685</v>
      </c>
      <c r="R209" s="101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</row>
    <row r="210" s="31" customFormat="1" spans="1:36">
      <c r="A210" s="55">
        <f>IF(G210&lt;&gt;"",1+MAX($A$3:A209),"")</f>
        <v>170</v>
      </c>
      <c r="B210" s="77"/>
      <c r="C210" s="78"/>
      <c r="D210" s="57" t="s">
        <v>206</v>
      </c>
      <c r="E210" s="75">
        <v>1</v>
      </c>
      <c r="F210" s="58" t="s">
        <v>57</v>
      </c>
      <c r="G210" s="80">
        <v>0</v>
      </c>
      <c r="H210" s="81">
        <f t="shared" si="125"/>
        <v>1</v>
      </c>
      <c r="I210" s="83">
        <v>152</v>
      </c>
      <c r="J210" s="83">
        <f t="shared" si="126"/>
        <v>152</v>
      </c>
      <c r="K210" s="84">
        <v>0.44</v>
      </c>
      <c r="L210" s="85">
        <f t="shared" si="120"/>
        <v>0.44</v>
      </c>
      <c r="M210" s="86">
        <f>'LABOR SHEET'!C$5</f>
        <v>57.65</v>
      </c>
      <c r="N210" s="83">
        <f t="shared" si="121"/>
        <v>25.366</v>
      </c>
      <c r="O210" s="83">
        <f t="shared" si="122"/>
        <v>25.366</v>
      </c>
      <c r="P210" s="83">
        <f t="shared" si="123"/>
        <v>177.366</v>
      </c>
      <c r="Q210" s="114">
        <f t="shared" si="124"/>
        <v>177.366</v>
      </c>
      <c r="R210" s="101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</row>
    <row r="211" s="31" customFormat="1" spans="1:36">
      <c r="A211" s="55">
        <f>IF(G211&lt;&gt;"",1+MAX($A$3:A210),"")</f>
        <v>171</v>
      </c>
      <c r="B211" s="77"/>
      <c r="C211" s="78"/>
      <c r="D211" s="57" t="s">
        <v>207</v>
      </c>
      <c r="E211" s="75">
        <v>2</v>
      </c>
      <c r="F211" s="58" t="s">
        <v>57</v>
      </c>
      <c r="G211" s="80">
        <v>0</v>
      </c>
      <c r="H211" s="81">
        <f t="shared" si="125"/>
        <v>2</v>
      </c>
      <c r="I211" s="83">
        <v>163</v>
      </c>
      <c r="J211" s="83">
        <f t="shared" si="126"/>
        <v>326</v>
      </c>
      <c r="K211" s="84">
        <v>0.45</v>
      </c>
      <c r="L211" s="85">
        <f t="shared" si="120"/>
        <v>0.9</v>
      </c>
      <c r="M211" s="86">
        <f>'LABOR SHEET'!C$5</f>
        <v>57.65</v>
      </c>
      <c r="N211" s="83">
        <f t="shared" si="121"/>
        <v>25.9425</v>
      </c>
      <c r="O211" s="83">
        <f t="shared" si="122"/>
        <v>51.885</v>
      </c>
      <c r="P211" s="83">
        <f t="shared" si="123"/>
        <v>188.9425</v>
      </c>
      <c r="Q211" s="114">
        <f t="shared" si="124"/>
        <v>377.885</v>
      </c>
      <c r="R211" s="101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</row>
    <row r="212" s="31" customFormat="1" spans="1:36">
      <c r="A212" s="55">
        <f>IF(G212&lt;&gt;"",1+MAX($A$3:A211),"")</f>
        <v>172</v>
      </c>
      <c r="B212" s="77"/>
      <c r="C212" s="78"/>
      <c r="D212" s="57" t="s">
        <v>208</v>
      </c>
      <c r="E212" s="75">
        <v>2</v>
      </c>
      <c r="F212" s="58" t="s">
        <v>57</v>
      </c>
      <c r="G212" s="80">
        <v>0</v>
      </c>
      <c r="H212" s="81">
        <f t="shared" si="125"/>
        <v>2</v>
      </c>
      <c r="I212" s="83">
        <v>175</v>
      </c>
      <c r="J212" s="83">
        <f t="shared" si="126"/>
        <v>350</v>
      </c>
      <c r="K212" s="84">
        <v>0.46</v>
      </c>
      <c r="L212" s="85">
        <f t="shared" si="120"/>
        <v>0.92</v>
      </c>
      <c r="M212" s="86">
        <f>'LABOR SHEET'!C$5</f>
        <v>57.65</v>
      </c>
      <c r="N212" s="83">
        <f t="shared" si="121"/>
        <v>26.519</v>
      </c>
      <c r="O212" s="83">
        <f t="shared" si="122"/>
        <v>53.038</v>
      </c>
      <c r="P212" s="83">
        <f t="shared" si="123"/>
        <v>201.519</v>
      </c>
      <c r="Q212" s="114">
        <f t="shared" si="124"/>
        <v>403.038</v>
      </c>
      <c r="R212" s="101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</row>
    <row r="213" s="31" customFormat="1" spans="1:36">
      <c r="A213" s="55">
        <f>IF(G213&lt;&gt;"",1+MAX($A$3:A212),"")</f>
        <v>173</v>
      </c>
      <c r="B213" s="77"/>
      <c r="C213" s="78"/>
      <c r="D213" s="57" t="s">
        <v>209</v>
      </c>
      <c r="E213" s="75">
        <v>1</v>
      </c>
      <c r="F213" s="58" t="s">
        <v>57</v>
      </c>
      <c r="G213" s="80">
        <v>0</v>
      </c>
      <c r="H213" s="81">
        <f t="shared" si="125"/>
        <v>1</v>
      </c>
      <c r="I213" s="83">
        <v>186</v>
      </c>
      <c r="J213" s="83">
        <f t="shared" si="126"/>
        <v>186</v>
      </c>
      <c r="K213" s="84">
        <v>0.47</v>
      </c>
      <c r="L213" s="85">
        <f t="shared" si="120"/>
        <v>0.47</v>
      </c>
      <c r="M213" s="86">
        <f>'LABOR SHEET'!C$5</f>
        <v>57.65</v>
      </c>
      <c r="N213" s="83">
        <f t="shared" si="121"/>
        <v>27.0955</v>
      </c>
      <c r="O213" s="83">
        <f t="shared" si="122"/>
        <v>27.0955</v>
      </c>
      <c r="P213" s="83">
        <f t="shared" si="123"/>
        <v>213.0955</v>
      </c>
      <c r="Q213" s="114">
        <f t="shared" si="124"/>
        <v>213.0955</v>
      </c>
      <c r="R213" s="101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</row>
    <row r="214" s="31" customFormat="1" spans="1:36">
      <c r="A214" s="55">
        <f>IF(G214&lt;&gt;"",1+MAX($A$3:A213),"")</f>
        <v>174</v>
      </c>
      <c r="B214" s="77"/>
      <c r="C214" s="78"/>
      <c r="D214" s="57" t="s">
        <v>210</v>
      </c>
      <c r="E214" s="75">
        <v>1</v>
      </c>
      <c r="F214" s="58" t="s">
        <v>57</v>
      </c>
      <c r="G214" s="80">
        <v>0</v>
      </c>
      <c r="H214" s="81">
        <f t="shared" si="125"/>
        <v>1</v>
      </c>
      <c r="I214" s="83">
        <v>195</v>
      </c>
      <c r="J214" s="83">
        <f t="shared" si="126"/>
        <v>195</v>
      </c>
      <c r="K214" s="84">
        <v>0.48</v>
      </c>
      <c r="L214" s="85">
        <f t="shared" si="120"/>
        <v>0.48</v>
      </c>
      <c r="M214" s="86">
        <f>'LABOR SHEET'!C$5</f>
        <v>57.65</v>
      </c>
      <c r="N214" s="83">
        <f t="shared" si="121"/>
        <v>27.672</v>
      </c>
      <c r="O214" s="83">
        <f t="shared" si="122"/>
        <v>27.672</v>
      </c>
      <c r="P214" s="83">
        <f t="shared" si="123"/>
        <v>222.672</v>
      </c>
      <c r="Q214" s="114">
        <f t="shared" si="124"/>
        <v>222.672</v>
      </c>
      <c r="R214" s="101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</row>
    <row r="215" s="31" customFormat="1" spans="1:36">
      <c r="A215" s="55">
        <f>IF(G215&lt;&gt;"",1+MAX($A$3:A214),"")</f>
        <v>175</v>
      </c>
      <c r="B215" s="77"/>
      <c r="C215" s="78"/>
      <c r="D215" s="57" t="s">
        <v>211</v>
      </c>
      <c r="E215" s="75">
        <v>10</v>
      </c>
      <c r="F215" s="58" t="s">
        <v>57</v>
      </c>
      <c r="G215" s="80">
        <v>0</v>
      </c>
      <c r="H215" s="81">
        <f t="shared" si="125"/>
        <v>10</v>
      </c>
      <c r="I215" s="83">
        <v>210</v>
      </c>
      <c r="J215" s="83">
        <f t="shared" si="126"/>
        <v>2100</v>
      </c>
      <c r="K215" s="84">
        <v>0.49</v>
      </c>
      <c r="L215" s="85">
        <f t="shared" si="120"/>
        <v>4.9</v>
      </c>
      <c r="M215" s="86">
        <f>'LABOR SHEET'!C$5</f>
        <v>57.65</v>
      </c>
      <c r="N215" s="83">
        <f t="shared" si="121"/>
        <v>28.2485</v>
      </c>
      <c r="O215" s="83">
        <f t="shared" si="122"/>
        <v>282.485</v>
      </c>
      <c r="P215" s="83">
        <f t="shared" si="123"/>
        <v>238.2485</v>
      </c>
      <c r="Q215" s="114">
        <f t="shared" si="124"/>
        <v>2382.485</v>
      </c>
      <c r="R215" s="101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</row>
    <row r="216" s="31" customFormat="1" spans="1:36">
      <c r="A216" s="55">
        <f>IF(G216&lt;&gt;"",1+MAX($A$3:A215),"")</f>
        <v>176</v>
      </c>
      <c r="B216" s="77"/>
      <c r="C216" s="78"/>
      <c r="D216" s="57" t="s">
        <v>212</v>
      </c>
      <c r="E216" s="75">
        <v>2</v>
      </c>
      <c r="F216" s="58" t="s">
        <v>57</v>
      </c>
      <c r="G216" s="80">
        <v>0</v>
      </c>
      <c r="H216" s="81">
        <f t="shared" si="125"/>
        <v>2</v>
      </c>
      <c r="I216" s="83">
        <v>220</v>
      </c>
      <c r="J216" s="83">
        <f t="shared" si="126"/>
        <v>440</v>
      </c>
      <c r="K216" s="84">
        <v>0.5</v>
      </c>
      <c r="L216" s="85">
        <f t="shared" si="120"/>
        <v>1</v>
      </c>
      <c r="M216" s="86">
        <f>'LABOR SHEET'!C$5</f>
        <v>57.65</v>
      </c>
      <c r="N216" s="83">
        <f t="shared" si="121"/>
        <v>28.825</v>
      </c>
      <c r="O216" s="83">
        <f t="shared" si="122"/>
        <v>57.65</v>
      </c>
      <c r="P216" s="83">
        <f t="shared" si="123"/>
        <v>248.825</v>
      </c>
      <c r="Q216" s="114">
        <f t="shared" si="124"/>
        <v>497.65</v>
      </c>
      <c r="R216" s="101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</row>
    <row r="217" s="31" customFormat="1" spans="1:36">
      <c r="A217" s="55">
        <f>IF(G217&lt;&gt;"",1+MAX($A$3:A216),"")</f>
        <v>177</v>
      </c>
      <c r="B217" s="77"/>
      <c r="C217" s="78"/>
      <c r="D217" s="57" t="s">
        <v>213</v>
      </c>
      <c r="E217" s="75">
        <v>1</v>
      </c>
      <c r="F217" s="58" t="s">
        <v>57</v>
      </c>
      <c r="G217" s="80">
        <v>0</v>
      </c>
      <c r="H217" s="81">
        <f t="shared" si="118"/>
        <v>1</v>
      </c>
      <c r="I217" s="83">
        <v>235</v>
      </c>
      <c r="J217" s="83">
        <f t="shared" si="119"/>
        <v>235</v>
      </c>
      <c r="K217" s="84">
        <v>0.51</v>
      </c>
      <c r="L217" s="85">
        <f t="shared" si="120"/>
        <v>0.51</v>
      </c>
      <c r="M217" s="86">
        <f>'LABOR SHEET'!C$5</f>
        <v>57.65</v>
      </c>
      <c r="N217" s="83">
        <f t="shared" si="121"/>
        <v>29.4015</v>
      </c>
      <c r="O217" s="83">
        <f t="shared" si="122"/>
        <v>29.4015</v>
      </c>
      <c r="P217" s="83">
        <f t="shared" si="123"/>
        <v>264.4015</v>
      </c>
      <c r="Q217" s="114">
        <f t="shared" si="124"/>
        <v>264.4015</v>
      </c>
      <c r="R217" s="101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</row>
    <row r="218" s="31" customFormat="1" spans="1:36">
      <c r="A218" s="55">
        <f>IF(G218&lt;&gt;"",1+MAX($A$3:A217),"")</f>
        <v>178</v>
      </c>
      <c r="B218" s="77"/>
      <c r="C218" s="78"/>
      <c r="D218" s="57" t="s">
        <v>214</v>
      </c>
      <c r="E218" s="75">
        <v>2</v>
      </c>
      <c r="F218" s="58" t="s">
        <v>57</v>
      </c>
      <c r="G218" s="80">
        <v>0</v>
      </c>
      <c r="H218" s="81">
        <f t="shared" si="118"/>
        <v>2</v>
      </c>
      <c r="I218" s="83">
        <v>240</v>
      </c>
      <c r="J218" s="83">
        <f t="shared" si="119"/>
        <v>480</v>
      </c>
      <c r="K218" s="84">
        <v>0.52</v>
      </c>
      <c r="L218" s="85">
        <f t="shared" si="120"/>
        <v>1.04</v>
      </c>
      <c r="M218" s="86">
        <f>'LABOR SHEET'!C$5</f>
        <v>57.65</v>
      </c>
      <c r="N218" s="83">
        <f t="shared" si="121"/>
        <v>29.978</v>
      </c>
      <c r="O218" s="83">
        <f t="shared" si="122"/>
        <v>59.956</v>
      </c>
      <c r="P218" s="83">
        <f t="shared" si="123"/>
        <v>269.978</v>
      </c>
      <c r="Q218" s="114">
        <f t="shared" si="124"/>
        <v>539.956</v>
      </c>
      <c r="R218" s="101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</row>
    <row r="219" s="31" customFormat="1" spans="1:36">
      <c r="A219" s="55">
        <f>IF(G219&lt;&gt;"",1+MAX($A$3:A218),"")</f>
        <v>179</v>
      </c>
      <c r="B219" s="77"/>
      <c r="C219" s="78"/>
      <c r="D219" s="57" t="s">
        <v>215</v>
      </c>
      <c r="E219" s="75">
        <v>1</v>
      </c>
      <c r="F219" s="58" t="s">
        <v>57</v>
      </c>
      <c r="G219" s="80">
        <v>0</v>
      </c>
      <c r="H219" s="81">
        <f t="shared" si="118"/>
        <v>1</v>
      </c>
      <c r="I219" s="83">
        <v>245</v>
      </c>
      <c r="J219" s="83">
        <f t="shared" si="119"/>
        <v>245</v>
      </c>
      <c r="K219" s="84">
        <v>0.53</v>
      </c>
      <c r="L219" s="85">
        <f t="shared" si="120"/>
        <v>0.53</v>
      </c>
      <c r="M219" s="86">
        <f>'LABOR SHEET'!C$5</f>
        <v>57.65</v>
      </c>
      <c r="N219" s="83">
        <f t="shared" si="121"/>
        <v>30.5545</v>
      </c>
      <c r="O219" s="83">
        <f t="shared" si="122"/>
        <v>30.5545</v>
      </c>
      <c r="P219" s="83">
        <f t="shared" si="123"/>
        <v>275.5545</v>
      </c>
      <c r="Q219" s="114">
        <f t="shared" si="124"/>
        <v>275.5545</v>
      </c>
      <c r="R219" s="101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</row>
    <row r="220" s="31" customFormat="1" spans="1:36">
      <c r="A220" s="55">
        <f>IF(G220&lt;&gt;"",1+MAX($A$3:A219),"")</f>
        <v>180</v>
      </c>
      <c r="B220" s="77"/>
      <c r="C220" s="78"/>
      <c r="D220" s="57" t="s">
        <v>216</v>
      </c>
      <c r="E220" s="75">
        <v>1</v>
      </c>
      <c r="F220" s="58" t="s">
        <v>57</v>
      </c>
      <c r="G220" s="80">
        <v>0</v>
      </c>
      <c r="H220" s="81">
        <f t="shared" si="118"/>
        <v>1</v>
      </c>
      <c r="I220" s="83">
        <v>262</v>
      </c>
      <c r="J220" s="83">
        <f t="shared" si="119"/>
        <v>262</v>
      </c>
      <c r="K220" s="84">
        <v>0.54</v>
      </c>
      <c r="L220" s="85">
        <f t="shared" si="120"/>
        <v>0.54</v>
      </c>
      <c r="M220" s="86">
        <f>'LABOR SHEET'!C$5</f>
        <v>57.65</v>
      </c>
      <c r="N220" s="83">
        <f t="shared" si="121"/>
        <v>31.131</v>
      </c>
      <c r="O220" s="83">
        <f t="shared" si="122"/>
        <v>31.131</v>
      </c>
      <c r="P220" s="83">
        <f t="shared" si="123"/>
        <v>293.131</v>
      </c>
      <c r="Q220" s="114">
        <f t="shared" si="124"/>
        <v>293.131</v>
      </c>
      <c r="R220" s="101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</row>
    <row r="221" s="31" customFormat="1" spans="1:36">
      <c r="A221" s="55">
        <f>IF(G221&lt;&gt;"",1+MAX($A$3:A220),"")</f>
        <v>181</v>
      </c>
      <c r="B221" s="77"/>
      <c r="C221" s="78"/>
      <c r="D221" s="57" t="s">
        <v>217</v>
      </c>
      <c r="E221" s="75">
        <v>3</v>
      </c>
      <c r="F221" s="58" t="s">
        <v>57</v>
      </c>
      <c r="G221" s="80">
        <v>0</v>
      </c>
      <c r="H221" s="81">
        <f t="shared" si="118"/>
        <v>3</v>
      </c>
      <c r="I221" s="83">
        <v>284.05</v>
      </c>
      <c r="J221" s="83">
        <f t="shared" si="119"/>
        <v>852.15</v>
      </c>
      <c r="K221" s="84">
        <v>0.55</v>
      </c>
      <c r="L221" s="85">
        <f t="shared" si="120"/>
        <v>1.65</v>
      </c>
      <c r="M221" s="86">
        <f>'LABOR SHEET'!C$5</f>
        <v>57.65</v>
      </c>
      <c r="N221" s="83">
        <f t="shared" si="121"/>
        <v>31.7075</v>
      </c>
      <c r="O221" s="83">
        <f t="shared" si="122"/>
        <v>95.1225</v>
      </c>
      <c r="P221" s="83">
        <f t="shared" si="123"/>
        <v>315.7575</v>
      </c>
      <c r="Q221" s="114">
        <f t="shared" si="124"/>
        <v>947.2725</v>
      </c>
      <c r="R221" s="101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</row>
    <row r="222" s="31" customFormat="1" spans="1:36">
      <c r="A222" s="55">
        <f>IF(G222&lt;&gt;"",1+MAX($A$3:A221),"")</f>
        <v>182</v>
      </c>
      <c r="B222" s="77"/>
      <c r="C222" s="78"/>
      <c r="D222" s="57" t="s">
        <v>218</v>
      </c>
      <c r="E222" s="75">
        <v>12</v>
      </c>
      <c r="F222" s="58" t="s">
        <v>57</v>
      </c>
      <c r="G222" s="80">
        <v>0</v>
      </c>
      <c r="H222" s="81">
        <f t="shared" si="118"/>
        <v>12</v>
      </c>
      <c r="I222" s="83">
        <v>12.41</v>
      </c>
      <c r="J222" s="83">
        <f t="shared" si="119"/>
        <v>148.92</v>
      </c>
      <c r="K222" s="84">
        <v>0.3</v>
      </c>
      <c r="L222" s="85">
        <f t="shared" si="120"/>
        <v>3.6</v>
      </c>
      <c r="M222" s="86">
        <f>'LABOR SHEET'!C$5</f>
        <v>57.65</v>
      </c>
      <c r="N222" s="83">
        <f t="shared" si="121"/>
        <v>17.295</v>
      </c>
      <c r="O222" s="83">
        <f t="shared" si="122"/>
        <v>207.54</v>
      </c>
      <c r="P222" s="83">
        <f t="shared" si="123"/>
        <v>29.705</v>
      </c>
      <c r="Q222" s="114">
        <f t="shared" si="124"/>
        <v>356.46</v>
      </c>
      <c r="R222" s="101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</row>
    <row r="223" s="31" customFormat="1" spans="1:36">
      <c r="A223" s="55">
        <f>IF(G223&lt;&gt;"",1+MAX($A$3:A222),"")</f>
        <v>183</v>
      </c>
      <c r="B223" s="77"/>
      <c r="C223" s="78"/>
      <c r="D223" s="57" t="s">
        <v>219</v>
      </c>
      <c r="E223" s="75">
        <v>10</v>
      </c>
      <c r="F223" s="58" t="s">
        <v>57</v>
      </c>
      <c r="G223" s="80">
        <v>0</v>
      </c>
      <c r="H223" s="81">
        <f t="shared" si="118"/>
        <v>10</v>
      </c>
      <c r="I223" s="83">
        <v>25.5</v>
      </c>
      <c r="J223" s="83">
        <f t="shared" si="119"/>
        <v>255</v>
      </c>
      <c r="K223" s="84">
        <v>0.31</v>
      </c>
      <c r="L223" s="85">
        <f t="shared" si="120"/>
        <v>3.1</v>
      </c>
      <c r="M223" s="86">
        <f>'LABOR SHEET'!C$5</f>
        <v>57.65</v>
      </c>
      <c r="N223" s="83">
        <f t="shared" si="121"/>
        <v>17.8715</v>
      </c>
      <c r="O223" s="83">
        <f t="shared" si="122"/>
        <v>178.715</v>
      </c>
      <c r="P223" s="83">
        <f t="shared" si="123"/>
        <v>43.3715</v>
      </c>
      <c r="Q223" s="114">
        <f t="shared" si="124"/>
        <v>433.715</v>
      </c>
      <c r="R223" s="101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</row>
    <row r="224" s="31" customFormat="1" spans="1:36">
      <c r="A224" s="55">
        <f>IF(G224&lt;&gt;"",1+MAX($A$3:A223),"")</f>
        <v>184</v>
      </c>
      <c r="B224" s="77"/>
      <c r="C224" s="78"/>
      <c r="D224" s="57" t="s">
        <v>220</v>
      </c>
      <c r="E224" s="75">
        <v>1</v>
      </c>
      <c r="F224" s="58" t="s">
        <v>57</v>
      </c>
      <c r="G224" s="80">
        <v>0</v>
      </c>
      <c r="H224" s="81">
        <f t="shared" si="118"/>
        <v>1</v>
      </c>
      <c r="I224" s="83">
        <v>35.5</v>
      </c>
      <c r="J224" s="83">
        <f t="shared" si="119"/>
        <v>35.5</v>
      </c>
      <c r="K224" s="84">
        <v>0.32</v>
      </c>
      <c r="L224" s="85">
        <f t="shared" si="120"/>
        <v>0.32</v>
      </c>
      <c r="M224" s="86">
        <f>'LABOR SHEET'!C$5</f>
        <v>57.65</v>
      </c>
      <c r="N224" s="83">
        <f t="shared" si="121"/>
        <v>18.448</v>
      </c>
      <c r="O224" s="83">
        <f t="shared" si="122"/>
        <v>18.448</v>
      </c>
      <c r="P224" s="83">
        <f t="shared" si="123"/>
        <v>53.948</v>
      </c>
      <c r="Q224" s="114">
        <f t="shared" si="124"/>
        <v>53.948</v>
      </c>
      <c r="R224" s="101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</row>
    <row r="225" s="31" customFormat="1" spans="1:36">
      <c r="A225" s="55">
        <f>IF(G225&lt;&gt;"",1+MAX($A$3:A224),"")</f>
        <v>185</v>
      </c>
      <c r="B225" s="77"/>
      <c r="C225" s="78"/>
      <c r="D225" s="57" t="s">
        <v>221</v>
      </c>
      <c r="E225" s="75">
        <v>7</v>
      </c>
      <c r="F225" s="58" t="s">
        <v>57</v>
      </c>
      <c r="G225" s="80">
        <v>0</v>
      </c>
      <c r="H225" s="81">
        <f t="shared" si="118"/>
        <v>7</v>
      </c>
      <c r="I225" s="83">
        <v>40.2</v>
      </c>
      <c r="J225" s="83">
        <f t="shared" si="119"/>
        <v>281.4</v>
      </c>
      <c r="K225" s="84">
        <v>0.33</v>
      </c>
      <c r="L225" s="85">
        <f t="shared" si="120"/>
        <v>2.31</v>
      </c>
      <c r="M225" s="86">
        <f>'LABOR SHEET'!C$5</f>
        <v>57.65</v>
      </c>
      <c r="N225" s="83">
        <f t="shared" si="121"/>
        <v>19.0245</v>
      </c>
      <c r="O225" s="83">
        <f t="shared" si="122"/>
        <v>133.1715</v>
      </c>
      <c r="P225" s="83">
        <f t="shared" si="123"/>
        <v>59.2245</v>
      </c>
      <c r="Q225" s="114">
        <f t="shared" si="124"/>
        <v>414.5715</v>
      </c>
      <c r="R225" s="101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</row>
    <row r="226" s="31" customFormat="1" spans="1:36">
      <c r="A226" s="55">
        <f>IF(G226&lt;&gt;"",1+MAX($A$3:A225),"")</f>
        <v>186</v>
      </c>
      <c r="B226" s="77"/>
      <c r="C226" s="78"/>
      <c r="D226" s="57" t="s">
        <v>222</v>
      </c>
      <c r="E226" s="75">
        <v>0</v>
      </c>
      <c r="F226" s="58" t="s">
        <v>57</v>
      </c>
      <c r="G226" s="80">
        <v>0</v>
      </c>
      <c r="H226" s="81">
        <f t="shared" si="118"/>
        <v>0</v>
      </c>
      <c r="I226" s="83">
        <v>55.2</v>
      </c>
      <c r="J226" s="83">
        <f t="shared" si="119"/>
        <v>0</v>
      </c>
      <c r="K226" s="84">
        <v>0.34</v>
      </c>
      <c r="L226" s="85">
        <f t="shared" si="120"/>
        <v>0</v>
      </c>
      <c r="M226" s="86">
        <f>'LABOR SHEET'!C$5</f>
        <v>57.65</v>
      </c>
      <c r="N226" s="83">
        <f t="shared" si="121"/>
        <v>19.601</v>
      </c>
      <c r="O226" s="83">
        <f t="shared" si="122"/>
        <v>0</v>
      </c>
      <c r="P226" s="83">
        <f t="shared" si="123"/>
        <v>74.801</v>
      </c>
      <c r="Q226" s="114">
        <f t="shared" si="124"/>
        <v>0</v>
      </c>
      <c r="R226" s="101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</row>
    <row r="227" s="31" customFormat="1" spans="1:36">
      <c r="A227" s="55">
        <f>IF(G227&lt;&gt;"",1+MAX($A$3:A226),"")</f>
        <v>187</v>
      </c>
      <c r="B227" s="77"/>
      <c r="C227" s="78"/>
      <c r="D227" s="57" t="s">
        <v>223</v>
      </c>
      <c r="E227" s="75">
        <v>3</v>
      </c>
      <c r="F227" s="58" t="s">
        <v>57</v>
      </c>
      <c r="G227" s="80">
        <v>0</v>
      </c>
      <c r="H227" s="81">
        <f t="shared" si="118"/>
        <v>3</v>
      </c>
      <c r="I227" s="83">
        <v>65</v>
      </c>
      <c r="J227" s="83">
        <f t="shared" si="119"/>
        <v>195</v>
      </c>
      <c r="K227" s="84">
        <v>0.35</v>
      </c>
      <c r="L227" s="85">
        <f t="shared" si="120"/>
        <v>1.05</v>
      </c>
      <c r="M227" s="86">
        <f>'LABOR SHEET'!C$5</f>
        <v>57.65</v>
      </c>
      <c r="N227" s="83">
        <f t="shared" si="121"/>
        <v>20.1775</v>
      </c>
      <c r="O227" s="83">
        <f t="shared" si="122"/>
        <v>60.5325</v>
      </c>
      <c r="P227" s="83">
        <f t="shared" si="123"/>
        <v>85.1775</v>
      </c>
      <c r="Q227" s="114">
        <f t="shared" si="124"/>
        <v>255.5325</v>
      </c>
      <c r="R227" s="101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</row>
    <row r="228" s="31" customFormat="1" spans="1:36">
      <c r="A228" s="55">
        <f>IF(G228&lt;&gt;"",1+MAX($A$3:A227),"")</f>
        <v>188</v>
      </c>
      <c r="B228" s="77"/>
      <c r="C228" s="78"/>
      <c r="D228" s="57" t="s">
        <v>224</v>
      </c>
      <c r="E228" s="75">
        <v>1</v>
      </c>
      <c r="F228" s="58" t="s">
        <v>57</v>
      </c>
      <c r="G228" s="80">
        <v>0</v>
      </c>
      <c r="H228" s="81">
        <f t="shared" si="118"/>
        <v>1</v>
      </c>
      <c r="I228" s="83">
        <v>75.2</v>
      </c>
      <c r="J228" s="83">
        <f t="shared" si="119"/>
        <v>75.2</v>
      </c>
      <c r="K228" s="84">
        <v>0.36</v>
      </c>
      <c r="L228" s="85">
        <f t="shared" si="120"/>
        <v>0.36</v>
      </c>
      <c r="M228" s="86">
        <f>'LABOR SHEET'!C$5</f>
        <v>57.65</v>
      </c>
      <c r="N228" s="83">
        <f t="shared" si="121"/>
        <v>20.754</v>
      </c>
      <c r="O228" s="83">
        <f t="shared" si="122"/>
        <v>20.754</v>
      </c>
      <c r="P228" s="83">
        <f t="shared" si="123"/>
        <v>95.954</v>
      </c>
      <c r="Q228" s="114">
        <f t="shared" si="124"/>
        <v>95.954</v>
      </c>
      <c r="R228" s="101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</row>
    <row r="229" s="31" customFormat="1" spans="1:36">
      <c r="A229" s="55">
        <f>IF(G229&lt;&gt;"",1+MAX($A$3:A228),"")</f>
        <v>189</v>
      </c>
      <c r="B229" s="77"/>
      <c r="C229" s="78"/>
      <c r="D229" s="57" t="s">
        <v>225</v>
      </c>
      <c r="E229" s="75">
        <v>2</v>
      </c>
      <c r="F229" s="58" t="s">
        <v>57</v>
      </c>
      <c r="G229" s="80">
        <v>0</v>
      </c>
      <c r="H229" s="81">
        <f t="shared" si="118"/>
        <v>2</v>
      </c>
      <c r="I229" s="83">
        <v>89.5</v>
      </c>
      <c r="J229" s="83">
        <f t="shared" si="119"/>
        <v>179</v>
      </c>
      <c r="K229" s="84">
        <v>0.37</v>
      </c>
      <c r="L229" s="85">
        <f t="shared" si="120"/>
        <v>0.74</v>
      </c>
      <c r="M229" s="86">
        <f>'LABOR SHEET'!C$5</f>
        <v>57.65</v>
      </c>
      <c r="N229" s="83">
        <f t="shared" si="121"/>
        <v>21.3305</v>
      </c>
      <c r="O229" s="83">
        <f t="shared" si="122"/>
        <v>42.661</v>
      </c>
      <c r="P229" s="83">
        <f t="shared" si="123"/>
        <v>110.8305</v>
      </c>
      <c r="Q229" s="114">
        <f t="shared" si="124"/>
        <v>221.661</v>
      </c>
      <c r="R229" s="101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</row>
    <row r="230" s="31" customFormat="1" spans="1:36">
      <c r="A230" s="55">
        <f>IF(G230&lt;&gt;"",1+MAX($A$3:A229),"")</f>
        <v>190</v>
      </c>
      <c r="B230" s="77"/>
      <c r="C230" s="78"/>
      <c r="D230" s="57" t="s">
        <v>226</v>
      </c>
      <c r="E230" s="75">
        <v>3</v>
      </c>
      <c r="F230" s="58" t="s">
        <v>57</v>
      </c>
      <c r="G230" s="80">
        <v>0</v>
      </c>
      <c r="H230" s="81">
        <f t="shared" si="118"/>
        <v>3</v>
      </c>
      <c r="I230" s="83">
        <v>101</v>
      </c>
      <c r="J230" s="83">
        <f t="shared" si="119"/>
        <v>303</v>
      </c>
      <c r="K230" s="84">
        <v>0.38</v>
      </c>
      <c r="L230" s="85">
        <f t="shared" si="120"/>
        <v>1.14</v>
      </c>
      <c r="M230" s="86">
        <f>'LABOR SHEET'!C$5</f>
        <v>57.65</v>
      </c>
      <c r="N230" s="83">
        <f t="shared" si="121"/>
        <v>21.907</v>
      </c>
      <c r="O230" s="83">
        <f t="shared" si="122"/>
        <v>65.721</v>
      </c>
      <c r="P230" s="83">
        <f t="shared" si="123"/>
        <v>122.907</v>
      </c>
      <c r="Q230" s="114">
        <f t="shared" si="124"/>
        <v>368.721</v>
      </c>
      <c r="R230" s="101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</row>
    <row r="231" s="31" customFormat="1" spans="1:36">
      <c r="A231" s="55">
        <f>IF(G231&lt;&gt;"",1+MAX($A$3:A230),"")</f>
        <v>191</v>
      </c>
      <c r="B231" s="77"/>
      <c r="C231" s="78"/>
      <c r="D231" s="57" t="s">
        <v>227</v>
      </c>
      <c r="E231" s="75">
        <v>1</v>
      </c>
      <c r="F231" s="58" t="s">
        <v>57</v>
      </c>
      <c r="G231" s="80">
        <v>0</v>
      </c>
      <c r="H231" s="81">
        <f t="shared" si="118"/>
        <v>1</v>
      </c>
      <c r="I231" s="83">
        <v>112</v>
      </c>
      <c r="J231" s="83">
        <f t="shared" si="119"/>
        <v>112</v>
      </c>
      <c r="K231" s="84">
        <v>0.39</v>
      </c>
      <c r="L231" s="85">
        <f t="shared" si="120"/>
        <v>0.39</v>
      </c>
      <c r="M231" s="86">
        <f>'LABOR SHEET'!C$5</f>
        <v>57.65</v>
      </c>
      <c r="N231" s="83">
        <f t="shared" si="121"/>
        <v>22.4835</v>
      </c>
      <c r="O231" s="83">
        <f t="shared" si="122"/>
        <v>22.4835</v>
      </c>
      <c r="P231" s="83">
        <f t="shared" si="123"/>
        <v>134.4835</v>
      </c>
      <c r="Q231" s="114">
        <f t="shared" si="124"/>
        <v>134.4835</v>
      </c>
      <c r="R231" s="101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</row>
    <row r="232" s="31" customFormat="1" spans="1:36">
      <c r="A232" s="55">
        <f>IF(G232&lt;&gt;"",1+MAX($A$3:A231),"")</f>
        <v>192</v>
      </c>
      <c r="B232" s="77"/>
      <c r="C232" s="78"/>
      <c r="D232" s="57" t="s">
        <v>228</v>
      </c>
      <c r="E232" s="75">
        <v>3</v>
      </c>
      <c r="F232" s="58" t="s">
        <v>57</v>
      </c>
      <c r="G232" s="80">
        <v>0</v>
      </c>
      <c r="H232" s="81">
        <f t="shared" si="118"/>
        <v>3</v>
      </c>
      <c r="I232" s="83">
        <v>140</v>
      </c>
      <c r="J232" s="83">
        <f t="shared" si="119"/>
        <v>420</v>
      </c>
      <c r="K232" s="84">
        <v>0.4</v>
      </c>
      <c r="L232" s="85">
        <f t="shared" si="120"/>
        <v>1.2</v>
      </c>
      <c r="M232" s="86">
        <f>'LABOR SHEET'!C$5</f>
        <v>57.65</v>
      </c>
      <c r="N232" s="83">
        <f t="shared" si="121"/>
        <v>23.06</v>
      </c>
      <c r="O232" s="83">
        <f t="shared" si="122"/>
        <v>69.18</v>
      </c>
      <c r="P232" s="83">
        <f t="shared" si="123"/>
        <v>163.06</v>
      </c>
      <c r="Q232" s="114">
        <f t="shared" si="124"/>
        <v>489.18</v>
      </c>
      <c r="R232" s="101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</row>
    <row r="233" s="31" customFormat="1" spans="1:36">
      <c r="A233" s="55">
        <f>IF(G233&lt;&gt;"",1+MAX($A$3:A232),"")</f>
        <v>193</v>
      </c>
      <c r="B233" s="77"/>
      <c r="C233" s="78"/>
      <c r="D233" s="57" t="s">
        <v>229</v>
      </c>
      <c r="E233" s="75">
        <v>2</v>
      </c>
      <c r="F233" s="58" t="s">
        <v>57</v>
      </c>
      <c r="G233" s="80">
        <v>0</v>
      </c>
      <c r="H233" s="81">
        <f t="shared" si="118"/>
        <v>2</v>
      </c>
      <c r="I233" s="83">
        <v>160</v>
      </c>
      <c r="J233" s="83">
        <f t="shared" si="119"/>
        <v>320</v>
      </c>
      <c r="K233" s="84">
        <v>0.41</v>
      </c>
      <c r="L233" s="85">
        <f t="shared" si="120"/>
        <v>0.82</v>
      </c>
      <c r="M233" s="86">
        <f>'LABOR SHEET'!C$5</f>
        <v>57.65</v>
      </c>
      <c r="N233" s="83">
        <f t="shared" si="121"/>
        <v>23.6365</v>
      </c>
      <c r="O233" s="83">
        <f t="shared" si="122"/>
        <v>47.273</v>
      </c>
      <c r="P233" s="83">
        <f t="shared" si="123"/>
        <v>183.6365</v>
      </c>
      <c r="Q233" s="114">
        <f t="shared" si="124"/>
        <v>367.273</v>
      </c>
      <c r="R233" s="101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</row>
    <row r="234" s="31" customFormat="1" spans="1:36">
      <c r="A234" s="55">
        <f>IF(G234&lt;&gt;"",1+MAX($A$3:A233),"")</f>
        <v>194</v>
      </c>
      <c r="B234" s="77"/>
      <c r="C234" s="78"/>
      <c r="D234" s="57" t="s">
        <v>230</v>
      </c>
      <c r="E234" s="75">
        <v>1</v>
      </c>
      <c r="F234" s="58" t="s">
        <v>57</v>
      </c>
      <c r="G234" s="80">
        <v>0</v>
      </c>
      <c r="H234" s="81">
        <f t="shared" si="118"/>
        <v>1</v>
      </c>
      <c r="I234" s="83">
        <v>190</v>
      </c>
      <c r="J234" s="83">
        <f t="shared" si="119"/>
        <v>190</v>
      </c>
      <c r="K234" s="84">
        <v>0.42</v>
      </c>
      <c r="L234" s="85">
        <f t="shared" si="120"/>
        <v>0.42</v>
      </c>
      <c r="M234" s="86">
        <f>'LABOR SHEET'!C$5</f>
        <v>57.65</v>
      </c>
      <c r="N234" s="83">
        <f t="shared" si="121"/>
        <v>24.213</v>
      </c>
      <c r="O234" s="83">
        <f t="shared" si="122"/>
        <v>24.213</v>
      </c>
      <c r="P234" s="83">
        <f t="shared" si="123"/>
        <v>214.213</v>
      </c>
      <c r="Q234" s="114">
        <f t="shared" si="124"/>
        <v>214.213</v>
      </c>
      <c r="R234" s="101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</row>
    <row r="235" s="31" customFormat="1" spans="1:36">
      <c r="A235" s="55" t="str">
        <f>IF(G235&lt;&gt;"",1+MAX($A$3:A234),"")</f>
        <v/>
      </c>
      <c r="B235" s="77"/>
      <c r="C235" s="78"/>
      <c r="D235" s="57"/>
      <c r="E235" s="75"/>
      <c r="F235" s="58"/>
      <c r="G235" s="80"/>
      <c r="H235" s="81"/>
      <c r="I235" s="87"/>
      <c r="J235" s="83"/>
      <c r="K235" s="84"/>
      <c r="L235" s="85"/>
      <c r="M235" s="86"/>
      <c r="N235" s="83"/>
      <c r="O235" s="83"/>
      <c r="P235" s="83"/>
      <c r="Q235" s="114"/>
      <c r="R235" s="101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</row>
    <row r="236" s="31" customFormat="1" ht="18" spans="1:36">
      <c r="A236" s="55" t="str">
        <f>IF(G236&lt;&gt;"",1+MAX($A$3:A235),"")</f>
        <v/>
      </c>
      <c r="B236" s="77"/>
      <c r="C236" s="78"/>
      <c r="D236" s="76" t="s">
        <v>231</v>
      </c>
      <c r="E236" s="75"/>
      <c r="F236" s="58"/>
      <c r="G236" s="80"/>
      <c r="H236" s="81"/>
      <c r="I236" s="87"/>
      <c r="J236" s="83"/>
      <c r="K236" s="84"/>
      <c r="L236" s="85"/>
      <c r="M236" s="86"/>
      <c r="N236" s="83"/>
      <c r="O236" s="83"/>
      <c r="P236" s="83"/>
      <c r="Q236" s="114"/>
      <c r="R236" s="101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</row>
    <row r="237" s="31" customFormat="1" spans="1:36">
      <c r="A237" s="55" t="str">
        <f>IF(G237&lt;&gt;"",1+MAX($A$3:A236),"")</f>
        <v/>
      </c>
      <c r="B237" s="77"/>
      <c r="C237" s="78"/>
      <c r="D237" s="79" t="s">
        <v>232</v>
      </c>
      <c r="E237" s="75"/>
      <c r="F237" s="58"/>
      <c r="G237" s="80"/>
      <c r="H237" s="81"/>
      <c r="I237" s="87"/>
      <c r="J237" s="83"/>
      <c r="K237" s="84"/>
      <c r="L237" s="85"/>
      <c r="M237" s="86"/>
      <c r="N237" s="83"/>
      <c r="O237" s="83"/>
      <c r="P237" s="83"/>
      <c r="Q237" s="114"/>
      <c r="R237" s="101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</row>
    <row r="238" s="31" customFormat="1" spans="1:36">
      <c r="A238" s="55">
        <f>IF(G238&lt;&gt;"",1+MAX($A$3:A237),"")</f>
        <v>195</v>
      </c>
      <c r="B238" s="77"/>
      <c r="C238" s="78"/>
      <c r="D238" s="57" t="s">
        <v>233</v>
      </c>
      <c r="E238" s="75">
        <v>58.6</v>
      </c>
      <c r="F238" s="58" t="s">
        <v>47</v>
      </c>
      <c r="G238" s="80">
        <v>0.05</v>
      </c>
      <c r="H238" s="81">
        <f t="shared" ref="H238:H243" si="127">E238*(1+G238)</f>
        <v>61.53</v>
      </c>
      <c r="I238" s="87">
        <f>((5.15)-(1))+(2.6)</f>
        <v>6.75</v>
      </c>
      <c r="J238" s="83">
        <f t="shared" ref="J238:J243" si="128">I238*H238</f>
        <v>415.3275</v>
      </c>
      <c r="K238" s="84">
        <v>0.105</v>
      </c>
      <c r="L238" s="85">
        <f t="shared" ref="L238:L243" si="129">+K238*H238</f>
        <v>6.46065</v>
      </c>
      <c r="M238" s="86">
        <f>'LABOR SHEET'!C$5</f>
        <v>57.65</v>
      </c>
      <c r="N238" s="83">
        <f t="shared" ref="N238:N243" si="130">K238*M238</f>
        <v>6.05325</v>
      </c>
      <c r="O238" s="83">
        <f t="shared" ref="O238:O243" si="131">M238*L238</f>
        <v>372.4564725</v>
      </c>
      <c r="P238" s="83">
        <f t="shared" ref="P238:P243" si="132">I238+N238</f>
        <v>12.80325</v>
      </c>
      <c r="Q238" s="114">
        <f t="shared" ref="Q238:Q243" si="133">P238*H238</f>
        <v>787.7839725</v>
      </c>
      <c r="R238" s="101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</row>
    <row r="239" s="31" customFormat="1" spans="1:36">
      <c r="A239" s="55">
        <f>IF(G239&lt;&gt;"",1+MAX($A$3:A238),"")</f>
        <v>196</v>
      </c>
      <c r="B239" s="77"/>
      <c r="C239" s="78"/>
      <c r="D239" s="57" t="s">
        <v>233</v>
      </c>
      <c r="E239" s="75">
        <v>744.72</v>
      </c>
      <c r="F239" s="58" t="s">
        <v>47</v>
      </c>
      <c r="G239" s="80">
        <v>0.05</v>
      </c>
      <c r="H239" s="81">
        <f t="shared" si="127"/>
        <v>781.956</v>
      </c>
      <c r="I239" s="87">
        <f>(5.15-(1))+(2.6)</f>
        <v>6.75</v>
      </c>
      <c r="J239" s="83">
        <f t="shared" si="128"/>
        <v>5278.203</v>
      </c>
      <c r="K239" s="84">
        <v>0.105</v>
      </c>
      <c r="L239" s="85">
        <f t="shared" si="129"/>
        <v>82.10538</v>
      </c>
      <c r="M239" s="86">
        <f>'LABOR SHEET'!C$5</f>
        <v>57.65</v>
      </c>
      <c r="N239" s="83">
        <f t="shared" si="130"/>
        <v>6.05325</v>
      </c>
      <c r="O239" s="83">
        <f t="shared" si="131"/>
        <v>4733.375157</v>
      </c>
      <c r="P239" s="83">
        <f t="shared" si="132"/>
        <v>12.80325</v>
      </c>
      <c r="Q239" s="114">
        <f t="shared" si="133"/>
        <v>10011.578157</v>
      </c>
      <c r="R239" s="101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</row>
    <row r="240" s="31" customFormat="1" spans="1:36">
      <c r="A240" s="55">
        <f>IF(G240&lt;&gt;"",1+MAX($A$3:A239),"")</f>
        <v>197</v>
      </c>
      <c r="B240" s="77"/>
      <c r="C240" s="78"/>
      <c r="D240" s="57" t="s">
        <v>234</v>
      </c>
      <c r="E240" s="75">
        <v>48.81</v>
      </c>
      <c r="F240" s="58" t="s">
        <v>47</v>
      </c>
      <c r="G240" s="80">
        <v>0.05</v>
      </c>
      <c r="H240" s="81">
        <f t="shared" si="127"/>
        <v>51.2505</v>
      </c>
      <c r="I240" s="87">
        <f>(7.25-(1))+(2.6)</f>
        <v>8.85</v>
      </c>
      <c r="J240" s="83">
        <f t="shared" si="128"/>
        <v>453.566925</v>
      </c>
      <c r="K240" s="84">
        <v>0.118</v>
      </c>
      <c r="L240" s="85">
        <f t="shared" si="129"/>
        <v>6.047559</v>
      </c>
      <c r="M240" s="86">
        <f>'LABOR SHEET'!C$5</f>
        <v>57.65</v>
      </c>
      <c r="N240" s="83">
        <f t="shared" si="130"/>
        <v>6.8027</v>
      </c>
      <c r="O240" s="83">
        <f t="shared" si="131"/>
        <v>348.64177635</v>
      </c>
      <c r="P240" s="83">
        <f t="shared" si="132"/>
        <v>15.6527</v>
      </c>
      <c r="Q240" s="114">
        <f t="shared" si="133"/>
        <v>802.20870135</v>
      </c>
      <c r="R240" s="101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</row>
    <row r="241" s="31" customFormat="1" spans="1:36">
      <c r="A241" s="55">
        <f>IF(G241&lt;&gt;"",1+MAX($A$3:A240),"")</f>
        <v>198</v>
      </c>
      <c r="B241" s="77"/>
      <c r="C241" s="78"/>
      <c r="D241" s="57" t="s">
        <v>234</v>
      </c>
      <c r="E241" s="75">
        <v>97.81</v>
      </c>
      <c r="F241" s="58" t="s">
        <v>47</v>
      </c>
      <c r="G241" s="80">
        <v>0.05</v>
      </c>
      <c r="H241" s="81">
        <f t="shared" si="127"/>
        <v>102.7005</v>
      </c>
      <c r="I241" s="87">
        <f>(7.28-(1))+(2.6)</f>
        <v>8.88</v>
      </c>
      <c r="J241" s="83">
        <f t="shared" si="128"/>
        <v>911.98044</v>
      </c>
      <c r="K241" s="84">
        <v>0.118</v>
      </c>
      <c r="L241" s="85">
        <f t="shared" si="129"/>
        <v>12.118659</v>
      </c>
      <c r="M241" s="86">
        <f>'LABOR SHEET'!C$5</f>
        <v>57.65</v>
      </c>
      <c r="N241" s="83">
        <f t="shared" si="130"/>
        <v>6.8027</v>
      </c>
      <c r="O241" s="83">
        <f t="shared" si="131"/>
        <v>698.64069135</v>
      </c>
      <c r="P241" s="83">
        <f t="shared" si="132"/>
        <v>15.6827</v>
      </c>
      <c r="Q241" s="114">
        <f t="shared" si="133"/>
        <v>1610.62113135</v>
      </c>
      <c r="R241" s="101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</row>
    <row r="242" s="31" customFormat="1" spans="1:36">
      <c r="A242" s="55">
        <f>IF(G242&lt;&gt;"",1+MAX($A$3:A241),"")</f>
        <v>199</v>
      </c>
      <c r="B242" s="77"/>
      <c r="C242" s="78"/>
      <c r="D242" s="57" t="s">
        <v>235</v>
      </c>
      <c r="E242" s="75">
        <v>8.36</v>
      </c>
      <c r="F242" s="58" t="s">
        <v>47</v>
      </c>
      <c r="G242" s="80">
        <v>0.05</v>
      </c>
      <c r="H242" s="81">
        <f t="shared" si="127"/>
        <v>8.778</v>
      </c>
      <c r="I242" s="87">
        <f>(9.85-(1))+(2.6)</f>
        <v>11.45</v>
      </c>
      <c r="J242" s="83">
        <f t="shared" si="128"/>
        <v>100.5081</v>
      </c>
      <c r="K242" s="84">
        <v>0.138</v>
      </c>
      <c r="L242" s="85">
        <f t="shared" si="129"/>
        <v>1.211364</v>
      </c>
      <c r="M242" s="86">
        <f>'LABOR SHEET'!C$5</f>
        <v>57.65</v>
      </c>
      <c r="N242" s="83">
        <f t="shared" si="130"/>
        <v>7.9557</v>
      </c>
      <c r="O242" s="83">
        <f t="shared" si="131"/>
        <v>69.8351346</v>
      </c>
      <c r="P242" s="83">
        <f t="shared" si="132"/>
        <v>19.4057</v>
      </c>
      <c r="Q242" s="114">
        <f t="shared" si="133"/>
        <v>170.3432346</v>
      </c>
      <c r="R242" s="101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</row>
    <row r="243" s="31" customFormat="1" spans="1:36">
      <c r="A243" s="55">
        <f>IF(G243&lt;&gt;"",1+MAX($A$3:A242),"")</f>
        <v>200</v>
      </c>
      <c r="B243" s="77"/>
      <c r="C243" s="78"/>
      <c r="D243" s="57" t="s">
        <v>235</v>
      </c>
      <c r="E243" s="75">
        <v>4.55</v>
      </c>
      <c r="F243" s="58" t="s">
        <v>47</v>
      </c>
      <c r="G243" s="80">
        <v>0.05</v>
      </c>
      <c r="H243" s="81">
        <f t="shared" si="127"/>
        <v>4.7775</v>
      </c>
      <c r="I243" s="87">
        <f>(9.85-(1))+(2.6)</f>
        <v>11.45</v>
      </c>
      <c r="J243" s="83">
        <f t="shared" si="128"/>
        <v>54.702375</v>
      </c>
      <c r="K243" s="84">
        <v>0.138</v>
      </c>
      <c r="L243" s="85">
        <f t="shared" si="129"/>
        <v>0.659295</v>
      </c>
      <c r="M243" s="86">
        <f>'LABOR SHEET'!C$5</f>
        <v>57.65</v>
      </c>
      <c r="N243" s="83">
        <f t="shared" si="130"/>
        <v>7.9557</v>
      </c>
      <c r="O243" s="83">
        <f t="shared" si="131"/>
        <v>38.00835675</v>
      </c>
      <c r="P243" s="83">
        <f t="shared" si="132"/>
        <v>19.4057</v>
      </c>
      <c r="Q243" s="114">
        <f t="shared" si="133"/>
        <v>92.71073175</v>
      </c>
      <c r="R243" s="101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</row>
    <row r="244" s="31" customFormat="1" spans="1:36">
      <c r="A244" s="55" t="str">
        <f>IF(G244&lt;&gt;"",1+MAX($A$3:A243),"")</f>
        <v/>
      </c>
      <c r="B244" s="77"/>
      <c r="C244" s="78"/>
      <c r="D244" s="57"/>
      <c r="E244" s="75"/>
      <c r="F244" s="58"/>
      <c r="G244" s="80"/>
      <c r="H244" s="81"/>
      <c r="I244" s="87"/>
      <c r="J244" s="83"/>
      <c r="K244" s="84"/>
      <c r="L244" s="85"/>
      <c r="M244" s="86"/>
      <c r="N244" s="83"/>
      <c r="O244" s="83"/>
      <c r="P244" s="83"/>
      <c r="Q244" s="114"/>
      <c r="R244" s="101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</row>
    <row r="245" s="31" customFormat="1" spans="1:36">
      <c r="A245" s="55" t="str">
        <f>IF(G245&lt;&gt;"",1+MAX($A$3:A244),"")</f>
        <v/>
      </c>
      <c r="B245" s="77"/>
      <c r="C245" s="78"/>
      <c r="D245" s="79" t="s">
        <v>187</v>
      </c>
      <c r="E245" s="75"/>
      <c r="F245" s="58"/>
      <c r="G245" s="80"/>
      <c r="H245" s="81"/>
      <c r="I245" s="87"/>
      <c r="J245" s="83"/>
      <c r="K245" s="84"/>
      <c r="L245" s="85"/>
      <c r="M245" s="86"/>
      <c r="N245" s="83"/>
      <c r="O245" s="83"/>
      <c r="P245" s="83"/>
      <c r="Q245" s="114"/>
      <c r="R245" s="101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</row>
    <row r="246" s="31" customFormat="1" spans="1:36">
      <c r="A246" s="55">
        <f>IF(G246&lt;&gt;"",1+MAX($A$3:A245),"")</f>
        <v>201</v>
      </c>
      <c r="B246" s="77"/>
      <c r="C246" s="78"/>
      <c r="D246" s="57" t="s">
        <v>233</v>
      </c>
      <c r="E246" s="75">
        <v>58.6</v>
      </c>
      <c r="F246" s="58" t="s">
        <v>47</v>
      </c>
      <c r="G246" s="80">
        <v>0.05</v>
      </c>
      <c r="H246" s="81">
        <f t="shared" ref="H246:H248" si="134">E246*(1+G246)</f>
        <v>61.53</v>
      </c>
      <c r="I246" s="87">
        <f>((5.15)-(1))+(2.6)</f>
        <v>6.75</v>
      </c>
      <c r="J246" s="83">
        <f t="shared" ref="J246:J248" si="135">I246*H246</f>
        <v>415.3275</v>
      </c>
      <c r="K246" s="84">
        <v>0.105</v>
      </c>
      <c r="L246" s="85">
        <f t="shared" ref="L246:L248" si="136">+K246*H246</f>
        <v>6.46065</v>
      </c>
      <c r="M246" s="86">
        <f>'LABOR SHEET'!C$5</f>
        <v>57.65</v>
      </c>
      <c r="N246" s="83">
        <f t="shared" ref="N246:N248" si="137">K246*M246</f>
        <v>6.05325</v>
      </c>
      <c r="O246" s="83">
        <f t="shared" ref="O246:O248" si="138">M246*L246</f>
        <v>372.4564725</v>
      </c>
      <c r="P246" s="83">
        <f t="shared" ref="P246:P248" si="139">I246+N246</f>
        <v>12.80325</v>
      </c>
      <c r="Q246" s="114">
        <f t="shared" ref="Q246:Q248" si="140">P246*H246</f>
        <v>787.7839725</v>
      </c>
      <c r="R246" s="101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</row>
    <row r="247" s="31" customFormat="1" spans="1:36">
      <c r="A247" s="55">
        <f>IF(G247&lt;&gt;"",1+MAX($A$3:A246),"")</f>
        <v>202</v>
      </c>
      <c r="B247" s="77"/>
      <c r="C247" s="78"/>
      <c r="D247" s="57" t="s">
        <v>234</v>
      </c>
      <c r="E247" s="75">
        <v>48.81</v>
      </c>
      <c r="F247" s="58" t="s">
        <v>47</v>
      </c>
      <c r="G247" s="80">
        <v>0.05</v>
      </c>
      <c r="H247" s="81">
        <f t="shared" si="134"/>
        <v>51.2505</v>
      </c>
      <c r="I247" s="87">
        <f>(7.25-(1))+(2.6)</f>
        <v>8.85</v>
      </c>
      <c r="J247" s="83">
        <f t="shared" si="135"/>
        <v>453.566925</v>
      </c>
      <c r="K247" s="84">
        <v>0.118</v>
      </c>
      <c r="L247" s="85">
        <f t="shared" si="136"/>
        <v>6.047559</v>
      </c>
      <c r="M247" s="86">
        <f>'LABOR SHEET'!C$5</f>
        <v>57.65</v>
      </c>
      <c r="N247" s="83">
        <f t="shared" si="137"/>
        <v>6.8027</v>
      </c>
      <c r="O247" s="83">
        <f t="shared" si="138"/>
        <v>348.64177635</v>
      </c>
      <c r="P247" s="83">
        <f t="shared" si="139"/>
        <v>15.6527</v>
      </c>
      <c r="Q247" s="114">
        <f t="shared" si="140"/>
        <v>802.20870135</v>
      </c>
      <c r="R247" s="101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</row>
    <row r="248" s="31" customFormat="1" spans="1:36">
      <c r="A248" s="55">
        <f>IF(G248&lt;&gt;"",1+MAX($A$3:A247),"")</f>
        <v>203</v>
      </c>
      <c r="B248" s="77"/>
      <c r="C248" s="78"/>
      <c r="D248" s="57" t="s">
        <v>235</v>
      </c>
      <c r="E248" s="75">
        <v>8.36</v>
      </c>
      <c r="F248" s="58" t="s">
        <v>47</v>
      </c>
      <c r="G248" s="80">
        <v>0.05</v>
      </c>
      <c r="H248" s="81">
        <f t="shared" si="134"/>
        <v>8.778</v>
      </c>
      <c r="I248" s="87">
        <f>(9.85-(1))+(2.6)</f>
        <v>11.45</v>
      </c>
      <c r="J248" s="83">
        <f t="shared" si="135"/>
        <v>100.5081</v>
      </c>
      <c r="K248" s="84">
        <v>0.138</v>
      </c>
      <c r="L248" s="85">
        <f t="shared" si="136"/>
        <v>1.211364</v>
      </c>
      <c r="M248" s="86">
        <f>'LABOR SHEET'!C$5</f>
        <v>57.65</v>
      </c>
      <c r="N248" s="83">
        <f t="shared" si="137"/>
        <v>7.9557</v>
      </c>
      <c r="O248" s="83">
        <f t="shared" si="138"/>
        <v>69.8351346</v>
      </c>
      <c r="P248" s="83">
        <f t="shared" si="139"/>
        <v>19.4057</v>
      </c>
      <c r="Q248" s="114">
        <f t="shared" si="140"/>
        <v>170.3432346</v>
      </c>
      <c r="R248" s="101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</row>
    <row r="249" s="31" customFormat="1" spans="1:36">
      <c r="A249" s="55" t="str">
        <f>IF(G249&lt;&gt;"",1+MAX($A$3:A248),"")</f>
        <v/>
      </c>
      <c r="B249" s="77"/>
      <c r="C249" s="78"/>
      <c r="D249" s="57"/>
      <c r="E249" s="75"/>
      <c r="F249" s="58"/>
      <c r="G249" s="80"/>
      <c r="H249" s="81"/>
      <c r="J249" s="83"/>
      <c r="K249" s="84"/>
      <c r="L249" s="85"/>
      <c r="M249" s="86"/>
      <c r="N249" s="83"/>
      <c r="O249" s="83"/>
      <c r="P249" s="83"/>
      <c r="Q249" s="114"/>
      <c r="R249" s="101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</row>
    <row r="250" s="31" customFormat="1" spans="1:36">
      <c r="A250" s="55" t="str">
        <f>IF(G250&lt;&gt;"",1+MAX($A$3:A249),"")</f>
        <v/>
      </c>
      <c r="B250" s="77"/>
      <c r="C250" s="78"/>
      <c r="D250" s="79" t="s">
        <v>236</v>
      </c>
      <c r="E250" s="75"/>
      <c r="F250" s="58"/>
      <c r="G250" s="80"/>
      <c r="H250" s="81"/>
      <c r="I250" s="87"/>
      <c r="J250" s="83"/>
      <c r="K250" s="84"/>
      <c r="L250" s="85"/>
      <c r="M250" s="86"/>
      <c r="N250" s="83"/>
      <c r="O250" s="83"/>
      <c r="P250" s="83"/>
      <c r="Q250" s="114"/>
      <c r="R250" s="101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</row>
    <row r="251" s="31" customFormat="1" spans="1:36">
      <c r="A251" s="55">
        <f>IF(G251&lt;&gt;"",1+MAX($A$3:A250),"")</f>
        <v>204</v>
      </c>
      <c r="B251" s="77"/>
      <c r="C251" s="78"/>
      <c r="D251" s="57" t="s">
        <v>233</v>
      </c>
      <c r="E251" s="75">
        <v>744.72</v>
      </c>
      <c r="F251" s="58" t="s">
        <v>47</v>
      </c>
      <c r="G251" s="80">
        <v>0.05</v>
      </c>
      <c r="H251" s="81">
        <f t="shared" ref="H251:H253" si="141">E251*(1+G251)</f>
        <v>781.956</v>
      </c>
      <c r="I251" s="87">
        <f>((5.15)-(1))+(2.6)</f>
        <v>6.75</v>
      </c>
      <c r="J251" s="83">
        <f t="shared" ref="J251:J253" si="142">I251*H251</f>
        <v>5278.203</v>
      </c>
      <c r="K251" s="84">
        <v>0.105</v>
      </c>
      <c r="L251" s="85">
        <f t="shared" ref="L251:L253" si="143">+K251*H251</f>
        <v>82.10538</v>
      </c>
      <c r="M251" s="86">
        <f>'LABOR SHEET'!C$5</f>
        <v>57.65</v>
      </c>
      <c r="N251" s="83">
        <f t="shared" ref="N251:N253" si="144">K251*M251</f>
        <v>6.05325</v>
      </c>
      <c r="O251" s="83">
        <f t="shared" ref="O251:O253" si="145">M251*L251</f>
        <v>4733.375157</v>
      </c>
      <c r="P251" s="83">
        <f t="shared" ref="P251:P253" si="146">I251+N251</f>
        <v>12.80325</v>
      </c>
      <c r="Q251" s="114">
        <f t="shared" ref="Q251:Q253" si="147">P251*H251</f>
        <v>10011.578157</v>
      </c>
      <c r="R251" s="101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</row>
    <row r="252" s="31" customFormat="1" spans="1:36">
      <c r="A252" s="55">
        <f>IF(G252&lt;&gt;"",1+MAX($A$3:A251),"")</f>
        <v>205</v>
      </c>
      <c r="B252" s="77"/>
      <c r="C252" s="78"/>
      <c r="D252" s="57" t="s">
        <v>234</v>
      </c>
      <c r="E252" s="75">
        <v>97.81</v>
      </c>
      <c r="F252" s="58" t="s">
        <v>47</v>
      </c>
      <c r="G252" s="80">
        <v>0.05</v>
      </c>
      <c r="H252" s="81">
        <f t="shared" si="141"/>
        <v>102.7005</v>
      </c>
      <c r="I252" s="87">
        <f>(7.25-(1))+(2.6)</f>
        <v>8.85</v>
      </c>
      <c r="J252" s="83">
        <f t="shared" si="142"/>
        <v>908.899425</v>
      </c>
      <c r="K252" s="84">
        <v>0.118</v>
      </c>
      <c r="L252" s="85">
        <f t="shared" si="143"/>
        <v>12.118659</v>
      </c>
      <c r="M252" s="86">
        <f>'LABOR SHEET'!C$5</f>
        <v>57.65</v>
      </c>
      <c r="N252" s="83">
        <f t="shared" si="144"/>
        <v>6.8027</v>
      </c>
      <c r="O252" s="83">
        <f t="shared" si="145"/>
        <v>698.64069135</v>
      </c>
      <c r="P252" s="83">
        <f t="shared" si="146"/>
        <v>15.6527</v>
      </c>
      <c r="Q252" s="114">
        <f t="shared" si="147"/>
        <v>1607.54011635</v>
      </c>
      <c r="R252" s="101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</row>
    <row r="253" s="31" customFormat="1" spans="1:36">
      <c r="A253" s="55">
        <f>IF(G253&lt;&gt;"",1+MAX($A$3:A252),"")</f>
        <v>206</v>
      </c>
      <c r="B253" s="77"/>
      <c r="C253" s="78"/>
      <c r="D253" s="57" t="s">
        <v>235</v>
      </c>
      <c r="E253" s="75">
        <v>4.55</v>
      </c>
      <c r="F253" s="58" t="s">
        <v>47</v>
      </c>
      <c r="G253" s="80">
        <v>0.05</v>
      </c>
      <c r="H253" s="81">
        <f t="shared" si="141"/>
        <v>4.7775</v>
      </c>
      <c r="I253" s="87">
        <f>(9.85-(1))+(2.6)</f>
        <v>11.45</v>
      </c>
      <c r="J253" s="83">
        <f t="shared" si="142"/>
        <v>54.702375</v>
      </c>
      <c r="K253" s="84">
        <v>0.138</v>
      </c>
      <c r="L253" s="85">
        <f t="shared" si="143"/>
        <v>0.659295</v>
      </c>
      <c r="M253" s="86">
        <f>'LABOR SHEET'!C$5</f>
        <v>57.65</v>
      </c>
      <c r="N253" s="83">
        <f t="shared" si="144"/>
        <v>7.9557</v>
      </c>
      <c r="O253" s="83">
        <f t="shared" si="145"/>
        <v>38.00835675</v>
      </c>
      <c r="P253" s="83">
        <f t="shared" si="146"/>
        <v>19.4057</v>
      </c>
      <c r="Q253" s="114">
        <f t="shared" si="147"/>
        <v>92.71073175</v>
      </c>
      <c r="R253" s="101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</row>
    <row r="254" s="31" customFormat="1" spans="1:36">
      <c r="A254" s="55" t="str">
        <f>IF(G254&lt;&gt;"",1+MAX($A$3:A253),"")</f>
        <v/>
      </c>
      <c r="B254" s="77"/>
      <c r="C254" s="78"/>
      <c r="D254" s="57"/>
      <c r="E254" s="75"/>
      <c r="F254" s="58"/>
      <c r="G254" s="80"/>
      <c r="H254" s="81"/>
      <c r="I254" s="87"/>
      <c r="J254" s="83"/>
      <c r="K254" s="84"/>
      <c r="L254" s="85"/>
      <c r="M254" s="86"/>
      <c r="N254" s="83"/>
      <c r="O254" s="83"/>
      <c r="P254" s="83"/>
      <c r="Q254" s="114"/>
      <c r="R254" s="101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</row>
    <row r="255" s="31" customFormat="1" spans="1:36">
      <c r="A255" s="55" t="str">
        <f>IF(G255&lt;&gt;"",1+MAX($A$3:A254),"")</f>
        <v/>
      </c>
      <c r="B255" s="77"/>
      <c r="C255" s="78"/>
      <c r="D255" s="82" t="s">
        <v>55</v>
      </c>
      <c r="E255" s="75"/>
      <c r="F255" s="58"/>
      <c r="G255" s="80"/>
      <c r="H255" s="81"/>
      <c r="I255" s="87"/>
      <c r="J255" s="83"/>
      <c r="K255" s="84"/>
      <c r="L255" s="85"/>
      <c r="M255" s="86"/>
      <c r="N255" s="83"/>
      <c r="O255" s="83"/>
      <c r="P255" s="83"/>
      <c r="Q255" s="114"/>
      <c r="R255" s="101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</row>
    <row r="256" s="31" customFormat="1" spans="1:36">
      <c r="A256" s="55">
        <f>IF(G256&lt;&gt;"",1+MAX($A$3:A255),"")</f>
        <v>207</v>
      </c>
      <c r="B256" s="77"/>
      <c r="C256" s="78"/>
      <c r="D256" s="57" t="s">
        <v>237</v>
      </c>
      <c r="E256" s="75">
        <v>50</v>
      </c>
      <c r="F256" s="58" t="s">
        <v>57</v>
      </c>
      <c r="G256" s="80">
        <v>0</v>
      </c>
      <c r="H256" s="81">
        <f t="shared" ref="H256:H263" si="148">E256*(1+G256)</f>
        <v>50</v>
      </c>
      <c r="I256" s="83">
        <v>1.65</v>
      </c>
      <c r="J256" s="83">
        <f t="shared" ref="J256:J263" si="149">I256*H256</f>
        <v>82.5</v>
      </c>
      <c r="K256" s="84">
        <v>0.44</v>
      </c>
      <c r="L256" s="85">
        <f t="shared" ref="L256:L263" si="150">+K256*H256</f>
        <v>22</v>
      </c>
      <c r="M256" s="86">
        <f>'LABOR SHEET'!C$5</f>
        <v>57.65</v>
      </c>
      <c r="N256" s="83">
        <f t="shared" ref="N256:N263" si="151">K256*M256</f>
        <v>25.366</v>
      </c>
      <c r="O256" s="83">
        <f t="shared" ref="O256:O263" si="152">M256*L256</f>
        <v>1268.3</v>
      </c>
      <c r="P256" s="83">
        <f t="shared" ref="P256:P263" si="153">I256+N256</f>
        <v>27.016</v>
      </c>
      <c r="Q256" s="114">
        <f t="shared" ref="Q256:Q263" si="154">P256*H256</f>
        <v>1350.8</v>
      </c>
      <c r="R256" s="101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</row>
    <row r="257" s="31" customFormat="1" spans="1:36">
      <c r="A257" s="55">
        <f>IF(G257&lt;&gt;"",1+MAX($A$3:A256),"")</f>
        <v>208</v>
      </c>
      <c r="B257" s="77"/>
      <c r="C257" s="78"/>
      <c r="D257" s="57" t="s">
        <v>238</v>
      </c>
      <c r="E257" s="75">
        <v>8</v>
      </c>
      <c r="F257" s="58" t="s">
        <v>57</v>
      </c>
      <c r="G257" s="80">
        <v>0</v>
      </c>
      <c r="H257" s="81">
        <f t="shared" si="148"/>
        <v>8</v>
      </c>
      <c r="I257" s="83">
        <v>2.1</v>
      </c>
      <c r="J257" s="83">
        <f t="shared" si="149"/>
        <v>16.8</v>
      </c>
      <c r="K257" s="84">
        <v>0.45</v>
      </c>
      <c r="L257" s="85">
        <f t="shared" si="150"/>
        <v>3.6</v>
      </c>
      <c r="M257" s="86">
        <f>'LABOR SHEET'!C$5</f>
        <v>57.65</v>
      </c>
      <c r="N257" s="83">
        <f t="shared" si="151"/>
        <v>25.9425</v>
      </c>
      <c r="O257" s="83">
        <f t="shared" si="152"/>
        <v>207.54</v>
      </c>
      <c r="P257" s="83">
        <f t="shared" si="153"/>
        <v>28.0425</v>
      </c>
      <c r="Q257" s="114">
        <f t="shared" si="154"/>
        <v>224.34</v>
      </c>
      <c r="R257" s="101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</row>
    <row r="258" s="31" customFormat="1" spans="1:36">
      <c r="A258" s="55">
        <f>IF(G258&lt;&gt;"",1+MAX($A$3:A257),"")</f>
        <v>209</v>
      </c>
      <c r="B258" s="77"/>
      <c r="C258" s="78"/>
      <c r="D258" s="57" t="s">
        <v>239</v>
      </c>
      <c r="E258" s="75">
        <v>1</v>
      </c>
      <c r="F258" s="58" t="s">
        <v>57</v>
      </c>
      <c r="G258" s="80">
        <v>0</v>
      </c>
      <c r="H258" s="81">
        <f t="shared" si="148"/>
        <v>1</v>
      </c>
      <c r="I258" s="83">
        <v>6.65</v>
      </c>
      <c r="J258" s="83">
        <f t="shared" si="149"/>
        <v>6.65</v>
      </c>
      <c r="K258" s="84">
        <v>0.465</v>
      </c>
      <c r="L258" s="85">
        <f t="shared" si="150"/>
        <v>0.465</v>
      </c>
      <c r="M258" s="86">
        <f>'LABOR SHEET'!C$5</f>
        <v>57.65</v>
      </c>
      <c r="N258" s="83">
        <f t="shared" si="151"/>
        <v>26.80725</v>
      </c>
      <c r="O258" s="83">
        <f t="shared" si="152"/>
        <v>26.80725</v>
      </c>
      <c r="P258" s="83">
        <f t="shared" si="153"/>
        <v>33.45725</v>
      </c>
      <c r="Q258" s="114">
        <f t="shared" si="154"/>
        <v>33.45725</v>
      </c>
      <c r="R258" s="101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</row>
    <row r="259" s="31" customFormat="1" spans="1:36">
      <c r="A259" s="55">
        <f>IF(G259&lt;&gt;"",1+MAX($A$3:A258),"")</f>
        <v>210</v>
      </c>
      <c r="B259" s="77"/>
      <c r="C259" s="78"/>
      <c r="D259" s="57" t="s">
        <v>240</v>
      </c>
      <c r="E259" s="75">
        <v>5</v>
      </c>
      <c r="F259" s="58" t="s">
        <v>57</v>
      </c>
      <c r="G259" s="80">
        <v>0</v>
      </c>
      <c r="H259" s="81">
        <f t="shared" si="148"/>
        <v>5</v>
      </c>
      <c r="I259" s="83">
        <v>8.5</v>
      </c>
      <c r="J259" s="83">
        <f t="shared" si="149"/>
        <v>42.5</v>
      </c>
      <c r="K259" s="84">
        <v>0.47</v>
      </c>
      <c r="L259" s="85">
        <f t="shared" si="150"/>
        <v>2.35</v>
      </c>
      <c r="M259" s="86">
        <f>'LABOR SHEET'!C$5</f>
        <v>57.65</v>
      </c>
      <c r="N259" s="83">
        <f t="shared" si="151"/>
        <v>27.0955</v>
      </c>
      <c r="O259" s="83">
        <f t="shared" si="152"/>
        <v>135.4775</v>
      </c>
      <c r="P259" s="83">
        <f t="shared" si="153"/>
        <v>35.5955</v>
      </c>
      <c r="Q259" s="114">
        <f t="shared" si="154"/>
        <v>177.9775</v>
      </c>
      <c r="R259" s="101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</row>
    <row r="260" s="31" customFormat="1" spans="1:36">
      <c r="A260" s="55">
        <f>IF(G260&lt;&gt;"",1+MAX($A$3:A259),"")</f>
        <v>211</v>
      </c>
      <c r="B260" s="77"/>
      <c r="C260" s="78"/>
      <c r="D260" s="57" t="s">
        <v>241</v>
      </c>
      <c r="E260" s="75">
        <v>6</v>
      </c>
      <c r="F260" s="58" t="s">
        <v>57</v>
      </c>
      <c r="G260" s="80">
        <v>0</v>
      </c>
      <c r="H260" s="81">
        <f t="shared" si="148"/>
        <v>6</v>
      </c>
      <c r="I260" s="83">
        <v>9.9</v>
      </c>
      <c r="J260" s="83">
        <f t="shared" si="149"/>
        <v>59.4</v>
      </c>
      <c r="K260" s="84">
        <v>0.475</v>
      </c>
      <c r="L260" s="85">
        <f t="shared" si="150"/>
        <v>2.85</v>
      </c>
      <c r="M260" s="86">
        <f>'LABOR SHEET'!C$5</f>
        <v>57.65</v>
      </c>
      <c r="N260" s="83">
        <f t="shared" si="151"/>
        <v>27.38375</v>
      </c>
      <c r="O260" s="83">
        <f t="shared" si="152"/>
        <v>164.3025</v>
      </c>
      <c r="P260" s="83">
        <f t="shared" si="153"/>
        <v>37.28375</v>
      </c>
      <c r="Q260" s="114">
        <f t="shared" si="154"/>
        <v>223.7025</v>
      </c>
      <c r="R260" s="101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</row>
    <row r="261" s="31" customFormat="1" spans="1:36">
      <c r="A261" s="55">
        <f>IF(G261&lt;&gt;"",1+MAX($A$3:A260),"")</f>
        <v>212</v>
      </c>
      <c r="B261" s="77"/>
      <c r="C261" s="78"/>
      <c r="D261" s="57" t="s">
        <v>242</v>
      </c>
      <c r="E261" s="75">
        <v>1</v>
      </c>
      <c r="F261" s="58" t="s">
        <v>57</v>
      </c>
      <c r="G261" s="80">
        <v>0</v>
      </c>
      <c r="H261" s="81">
        <f t="shared" si="148"/>
        <v>1</v>
      </c>
      <c r="I261" s="83">
        <v>10.2</v>
      </c>
      <c r="J261" s="83">
        <f t="shared" si="149"/>
        <v>10.2</v>
      </c>
      <c r="K261" s="84">
        <v>0.48</v>
      </c>
      <c r="L261" s="85">
        <f t="shared" si="150"/>
        <v>0.48</v>
      </c>
      <c r="M261" s="86">
        <f>'LABOR SHEET'!C$5</f>
        <v>57.65</v>
      </c>
      <c r="N261" s="83">
        <f t="shared" si="151"/>
        <v>27.672</v>
      </c>
      <c r="O261" s="83">
        <f t="shared" si="152"/>
        <v>27.672</v>
      </c>
      <c r="P261" s="83">
        <f t="shared" si="153"/>
        <v>37.872</v>
      </c>
      <c r="Q261" s="114">
        <f t="shared" si="154"/>
        <v>37.872</v>
      </c>
      <c r="R261" s="101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</row>
    <row r="262" s="31" customFormat="1" spans="1:36">
      <c r="A262" s="55">
        <f>IF(G262&lt;&gt;"",1+MAX($A$3:A261),"")</f>
        <v>213</v>
      </c>
      <c r="B262" s="77"/>
      <c r="C262" s="78"/>
      <c r="D262" s="57" t="s">
        <v>243</v>
      </c>
      <c r="E262" s="75">
        <v>3</v>
      </c>
      <c r="F262" s="58" t="s">
        <v>57</v>
      </c>
      <c r="G262" s="80">
        <v>0</v>
      </c>
      <c r="H262" s="81">
        <f t="shared" si="148"/>
        <v>3</v>
      </c>
      <c r="I262" s="83">
        <v>12.3</v>
      </c>
      <c r="J262" s="83">
        <f t="shared" si="149"/>
        <v>36.9</v>
      </c>
      <c r="K262" s="84">
        <v>0.485</v>
      </c>
      <c r="L262" s="85">
        <f t="shared" si="150"/>
        <v>1.455</v>
      </c>
      <c r="M262" s="86">
        <f>'LABOR SHEET'!C$5</f>
        <v>57.65</v>
      </c>
      <c r="N262" s="83">
        <f t="shared" si="151"/>
        <v>27.96025</v>
      </c>
      <c r="O262" s="83">
        <f t="shared" si="152"/>
        <v>83.88075</v>
      </c>
      <c r="P262" s="83">
        <f t="shared" si="153"/>
        <v>40.26025</v>
      </c>
      <c r="Q262" s="114">
        <f t="shared" si="154"/>
        <v>120.78075</v>
      </c>
      <c r="R262" s="101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</row>
    <row r="263" s="31" customFormat="1" spans="1:36">
      <c r="A263" s="55">
        <f>IF(G263&lt;&gt;"",1+MAX($A$3:A262),"")</f>
        <v>214</v>
      </c>
      <c r="B263" s="77"/>
      <c r="C263" s="78"/>
      <c r="D263" s="57" t="s">
        <v>244</v>
      </c>
      <c r="E263" s="75">
        <v>1</v>
      </c>
      <c r="F263" s="58" t="s">
        <v>57</v>
      </c>
      <c r="G263" s="80">
        <v>0</v>
      </c>
      <c r="H263" s="81">
        <f t="shared" si="148"/>
        <v>1</v>
      </c>
      <c r="I263" s="83">
        <v>12.9</v>
      </c>
      <c r="J263" s="83">
        <f t="shared" si="149"/>
        <v>12.9</v>
      </c>
      <c r="K263" s="84">
        <v>0.49</v>
      </c>
      <c r="L263" s="85">
        <f t="shared" si="150"/>
        <v>0.49</v>
      </c>
      <c r="M263" s="86">
        <f>'LABOR SHEET'!C$5</f>
        <v>57.65</v>
      </c>
      <c r="N263" s="83">
        <f t="shared" si="151"/>
        <v>28.2485</v>
      </c>
      <c r="O263" s="83">
        <f t="shared" si="152"/>
        <v>28.2485</v>
      </c>
      <c r="P263" s="83">
        <f t="shared" si="153"/>
        <v>41.1485</v>
      </c>
      <c r="Q263" s="114">
        <f t="shared" si="154"/>
        <v>41.1485</v>
      </c>
      <c r="R263" s="101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</row>
    <row r="264" s="31" customFormat="1" spans="1:36">
      <c r="A264" s="55" t="str">
        <f>IF(G264&lt;&gt;"",1+MAX($A$3:A263),"")</f>
        <v/>
      </c>
      <c r="B264" s="77"/>
      <c r="C264" s="78"/>
      <c r="D264" s="57"/>
      <c r="E264" s="75"/>
      <c r="F264" s="58"/>
      <c r="G264" s="80"/>
      <c r="H264" s="81"/>
      <c r="I264" s="87"/>
      <c r="J264" s="83"/>
      <c r="K264" s="84"/>
      <c r="L264" s="85"/>
      <c r="M264" s="86"/>
      <c r="N264" s="83"/>
      <c r="O264" s="83"/>
      <c r="P264" s="83"/>
      <c r="Q264" s="114"/>
      <c r="R264" s="101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</row>
    <row r="265" s="31" customFormat="1" spans="1:36">
      <c r="A265" s="55" t="str">
        <f>IF(G265&lt;&gt;"",1+MAX($A$3:A264),"")</f>
        <v/>
      </c>
      <c r="B265" s="77"/>
      <c r="C265" s="78"/>
      <c r="D265" s="82" t="s">
        <v>86</v>
      </c>
      <c r="E265" s="75"/>
      <c r="F265" s="58"/>
      <c r="G265" s="80"/>
      <c r="H265" s="81"/>
      <c r="I265" s="87"/>
      <c r="J265" s="83"/>
      <c r="K265" s="84"/>
      <c r="L265" s="85"/>
      <c r="M265" s="86"/>
      <c r="N265" s="83"/>
      <c r="O265" s="83"/>
      <c r="P265" s="83"/>
      <c r="Q265" s="114"/>
      <c r="R265" s="101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</row>
    <row r="266" s="31" customFormat="1" spans="1:36">
      <c r="A266" s="55">
        <f>IF(G266&lt;&gt;"",1+MAX($A$3:A265),"")</f>
        <v>215</v>
      </c>
      <c r="B266" s="77"/>
      <c r="C266" s="78"/>
      <c r="D266" s="57" t="s">
        <v>245</v>
      </c>
      <c r="E266" s="75">
        <v>17</v>
      </c>
      <c r="F266" s="58" t="s">
        <v>57</v>
      </c>
      <c r="G266" s="80">
        <v>0</v>
      </c>
      <c r="H266" s="81">
        <f t="shared" ref="H266:H267" si="155">E266*(1+G266)</f>
        <v>17</v>
      </c>
      <c r="I266" s="83">
        <v>13.5</v>
      </c>
      <c r="J266" s="83">
        <f t="shared" ref="J266:J267" si="156">I266*H266</f>
        <v>229.5</v>
      </c>
      <c r="K266" s="84">
        <v>0.6</v>
      </c>
      <c r="L266" s="85">
        <f t="shared" ref="L266:L267" si="157">+K266*H266</f>
        <v>10.2</v>
      </c>
      <c r="M266" s="86">
        <f>'LABOR SHEET'!C$5</f>
        <v>57.65</v>
      </c>
      <c r="N266" s="83">
        <f t="shared" ref="N266:N267" si="158">K266*M266</f>
        <v>34.59</v>
      </c>
      <c r="O266" s="83">
        <f t="shared" ref="O266:O267" si="159">M266*L266</f>
        <v>588.03</v>
      </c>
      <c r="P266" s="83">
        <f t="shared" ref="P266:P267" si="160">I266+N266</f>
        <v>48.09</v>
      </c>
      <c r="Q266" s="114">
        <f t="shared" ref="Q266:Q267" si="161">P266*H266</f>
        <v>817.53</v>
      </c>
      <c r="R266" s="101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</row>
    <row r="267" s="31" customFormat="1" spans="1:36">
      <c r="A267" s="55">
        <f>IF(G267&lt;&gt;"",1+MAX($A$3:A266),"")</f>
        <v>216</v>
      </c>
      <c r="B267" s="77"/>
      <c r="C267" s="78"/>
      <c r="D267" s="57" t="s">
        <v>246</v>
      </c>
      <c r="E267" s="75">
        <v>1</v>
      </c>
      <c r="F267" s="58" t="s">
        <v>57</v>
      </c>
      <c r="G267" s="80">
        <v>0</v>
      </c>
      <c r="H267" s="81">
        <f t="shared" si="155"/>
        <v>1</v>
      </c>
      <c r="I267" s="83">
        <v>18.8</v>
      </c>
      <c r="J267" s="83">
        <f t="shared" si="156"/>
        <v>18.8</v>
      </c>
      <c r="K267" s="84">
        <v>0.62</v>
      </c>
      <c r="L267" s="85">
        <f t="shared" si="157"/>
        <v>0.62</v>
      </c>
      <c r="M267" s="86">
        <f>'LABOR SHEET'!C$5</f>
        <v>57.65</v>
      </c>
      <c r="N267" s="83">
        <f t="shared" si="158"/>
        <v>35.743</v>
      </c>
      <c r="O267" s="83">
        <f t="shared" si="159"/>
        <v>35.743</v>
      </c>
      <c r="P267" s="83">
        <f t="shared" si="160"/>
        <v>54.543</v>
      </c>
      <c r="Q267" s="114">
        <f t="shared" si="161"/>
        <v>54.543</v>
      </c>
      <c r="R267" s="101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</row>
    <row r="268" s="31" customFormat="1" spans="1:36">
      <c r="A268" s="55" t="str">
        <f>IF(G268&lt;&gt;"",1+MAX($A$3:A267),"")</f>
        <v/>
      </c>
      <c r="B268" s="77"/>
      <c r="C268" s="78"/>
      <c r="D268" s="60"/>
      <c r="E268" s="64"/>
      <c r="F268" s="61"/>
      <c r="G268" s="115"/>
      <c r="H268" s="116"/>
      <c r="I268" s="87"/>
      <c r="J268" s="87"/>
      <c r="K268" s="84"/>
      <c r="L268" s="89"/>
      <c r="M268" s="90"/>
      <c r="N268" s="87"/>
      <c r="O268" s="87"/>
      <c r="P268" s="87"/>
      <c r="Q268" s="117"/>
      <c r="R268" s="118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</row>
    <row r="269" s="31" customFormat="1" ht="18" spans="1:36">
      <c r="A269" s="55" t="str">
        <f>IF(G269&lt;&gt;"",1+MAX($A$3:A268),"")</f>
        <v/>
      </c>
      <c r="B269" s="77"/>
      <c r="C269" s="75"/>
      <c r="D269" s="76" t="s">
        <v>86</v>
      </c>
      <c r="E269" s="58"/>
      <c r="F269" s="58"/>
      <c r="G269" s="58"/>
      <c r="H269" s="58"/>
      <c r="I269" s="87"/>
      <c r="J269" s="83"/>
      <c r="K269" s="84"/>
      <c r="L269" s="93"/>
      <c r="M269" s="94"/>
      <c r="N269" s="83"/>
      <c r="O269" s="83"/>
      <c r="P269" s="83"/>
      <c r="Q269" s="111"/>
      <c r="R269" s="112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</row>
    <row r="270" s="31" customFormat="1" spans="1:36">
      <c r="A270" s="55">
        <f>IF(G270&lt;&gt;"",1+MAX($A$3:A269),"")</f>
        <v>217</v>
      </c>
      <c r="B270" s="77"/>
      <c r="C270" s="78"/>
      <c r="D270" s="57" t="s">
        <v>247</v>
      </c>
      <c r="E270" s="75">
        <v>2</v>
      </c>
      <c r="F270" s="58" t="s">
        <v>57</v>
      </c>
      <c r="G270" s="80">
        <v>0</v>
      </c>
      <c r="H270" s="81">
        <f t="shared" ref="H270:H276" si="162">E270*(1+G270)</f>
        <v>2</v>
      </c>
      <c r="I270" s="83">
        <v>113</v>
      </c>
      <c r="J270" s="83">
        <f t="shared" ref="J270:J276" si="163">I270*H270</f>
        <v>226</v>
      </c>
      <c r="K270" s="84">
        <v>0.85</v>
      </c>
      <c r="L270" s="85">
        <f t="shared" ref="L270:L288" si="164">+K270*H270</f>
        <v>1.7</v>
      </c>
      <c r="M270" s="86">
        <f>'LABOR SHEET'!C$5</f>
        <v>57.65</v>
      </c>
      <c r="N270" s="83">
        <f t="shared" ref="N270:N288" si="165">K270*M270</f>
        <v>49.0025</v>
      </c>
      <c r="O270" s="83">
        <f t="shared" ref="O270:O288" si="166">M270*L270</f>
        <v>98.005</v>
      </c>
      <c r="P270" s="83">
        <f t="shared" ref="P270:P288" si="167">I270+N270</f>
        <v>162.0025</v>
      </c>
      <c r="Q270" s="114">
        <f t="shared" ref="Q270:Q288" si="168">P270*H270</f>
        <v>324.005</v>
      </c>
      <c r="R270" s="101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</row>
    <row r="271" s="31" customFormat="1" spans="1:36">
      <c r="A271" s="55">
        <f>IF(G271&lt;&gt;"",1+MAX($A$3:A270),"")</f>
        <v>218</v>
      </c>
      <c r="B271" s="77"/>
      <c r="C271" s="78"/>
      <c r="D271" s="57" t="s">
        <v>248</v>
      </c>
      <c r="E271" s="75">
        <v>2</v>
      </c>
      <c r="F271" s="58" t="s">
        <v>57</v>
      </c>
      <c r="G271" s="80">
        <v>0</v>
      </c>
      <c r="H271" s="81">
        <f t="shared" si="162"/>
        <v>2</v>
      </c>
      <c r="I271" s="83">
        <v>126</v>
      </c>
      <c r="J271" s="83">
        <f t="shared" si="163"/>
        <v>252</v>
      </c>
      <c r="K271" s="84">
        <v>0.95</v>
      </c>
      <c r="L271" s="85">
        <f t="shared" si="164"/>
        <v>1.9</v>
      </c>
      <c r="M271" s="86">
        <f>'LABOR SHEET'!C$5</f>
        <v>57.65</v>
      </c>
      <c r="N271" s="83">
        <f t="shared" si="165"/>
        <v>54.7675</v>
      </c>
      <c r="O271" s="83">
        <f t="shared" si="166"/>
        <v>109.535</v>
      </c>
      <c r="P271" s="83">
        <f t="shared" si="167"/>
        <v>180.7675</v>
      </c>
      <c r="Q271" s="114">
        <f t="shared" si="168"/>
        <v>361.535</v>
      </c>
      <c r="R271" s="101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</row>
    <row r="272" s="31" customFormat="1" spans="1:36">
      <c r="A272" s="55">
        <f>IF(G272&lt;&gt;"",1+MAX($A$3:A271),"")</f>
        <v>219</v>
      </c>
      <c r="B272" s="77"/>
      <c r="C272" s="78"/>
      <c r="D272" s="57" t="s">
        <v>249</v>
      </c>
      <c r="E272" s="75">
        <v>1</v>
      </c>
      <c r="F272" s="58" t="s">
        <v>57</v>
      </c>
      <c r="G272" s="80">
        <v>0</v>
      </c>
      <c r="H272" s="81">
        <f t="shared" si="162"/>
        <v>1</v>
      </c>
      <c r="I272" s="83">
        <v>165</v>
      </c>
      <c r="J272" s="83">
        <f t="shared" si="163"/>
        <v>165</v>
      </c>
      <c r="K272" s="84">
        <v>1</v>
      </c>
      <c r="L272" s="85">
        <f t="shared" si="164"/>
        <v>1</v>
      </c>
      <c r="M272" s="86">
        <f>'LABOR SHEET'!C$5</f>
        <v>57.65</v>
      </c>
      <c r="N272" s="83">
        <f t="shared" si="165"/>
        <v>57.65</v>
      </c>
      <c r="O272" s="83">
        <f t="shared" si="166"/>
        <v>57.65</v>
      </c>
      <c r="P272" s="83">
        <f t="shared" si="167"/>
        <v>222.65</v>
      </c>
      <c r="Q272" s="114">
        <f t="shared" si="168"/>
        <v>222.65</v>
      </c>
      <c r="R272" s="101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</row>
    <row r="273" s="31" customFormat="1" spans="1:36">
      <c r="A273" s="55">
        <f>IF(G273&lt;&gt;"",1+MAX($A$3:A272),"")</f>
        <v>220</v>
      </c>
      <c r="B273" s="77"/>
      <c r="C273" s="78"/>
      <c r="D273" s="57" t="s">
        <v>250</v>
      </c>
      <c r="E273" s="75">
        <v>40</v>
      </c>
      <c r="F273" s="58" t="s">
        <v>57</v>
      </c>
      <c r="G273" s="80">
        <v>0</v>
      </c>
      <c r="H273" s="81">
        <f t="shared" si="162"/>
        <v>40</v>
      </c>
      <c r="I273" s="83">
        <v>23</v>
      </c>
      <c r="J273" s="83">
        <f t="shared" si="163"/>
        <v>920</v>
      </c>
      <c r="K273" s="84">
        <v>0.64</v>
      </c>
      <c r="L273" s="85">
        <f t="shared" si="164"/>
        <v>25.6</v>
      </c>
      <c r="M273" s="86">
        <f>'LABOR SHEET'!C$5</f>
        <v>57.65</v>
      </c>
      <c r="N273" s="83">
        <f t="shared" si="165"/>
        <v>36.896</v>
      </c>
      <c r="O273" s="83">
        <f t="shared" si="166"/>
        <v>1475.84</v>
      </c>
      <c r="P273" s="83">
        <f t="shared" si="167"/>
        <v>59.896</v>
      </c>
      <c r="Q273" s="114">
        <f t="shared" si="168"/>
        <v>2395.84</v>
      </c>
      <c r="R273" s="101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</row>
    <row r="274" s="31" customFormat="1" spans="1:36">
      <c r="A274" s="55">
        <f>IF(G274&lt;&gt;"",1+MAX($A$3:A273),"")</f>
        <v>221</v>
      </c>
      <c r="B274" s="77"/>
      <c r="C274" s="78"/>
      <c r="D274" s="57" t="s">
        <v>251</v>
      </c>
      <c r="E274" s="75">
        <v>8</v>
      </c>
      <c r="F274" s="58" t="s">
        <v>57</v>
      </c>
      <c r="G274" s="80">
        <v>0</v>
      </c>
      <c r="H274" s="81">
        <f t="shared" si="162"/>
        <v>8</v>
      </c>
      <c r="I274" s="83">
        <v>30.5</v>
      </c>
      <c r="J274" s="83">
        <f t="shared" si="163"/>
        <v>244</v>
      </c>
      <c r="K274" s="84">
        <v>0.66</v>
      </c>
      <c r="L274" s="85">
        <f t="shared" si="164"/>
        <v>5.28</v>
      </c>
      <c r="M274" s="86">
        <f>'LABOR SHEET'!C$5</f>
        <v>57.65</v>
      </c>
      <c r="N274" s="83">
        <f t="shared" si="165"/>
        <v>38.049</v>
      </c>
      <c r="O274" s="83">
        <f t="shared" si="166"/>
        <v>304.392</v>
      </c>
      <c r="P274" s="83">
        <f t="shared" si="167"/>
        <v>68.549</v>
      </c>
      <c r="Q274" s="114">
        <f t="shared" si="168"/>
        <v>548.392</v>
      </c>
      <c r="R274" s="101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</row>
    <row r="275" s="31" customFormat="1" spans="1:36">
      <c r="A275" s="55">
        <f>IF(G275&lt;&gt;"",1+MAX($A$3:A274),"")</f>
        <v>222</v>
      </c>
      <c r="B275" s="77"/>
      <c r="C275" s="78"/>
      <c r="D275" s="57" t="s">
        <v>252</v>
      </c>
      <c r="E275" s="75">
        <v>2</v>
      </c>
      <c r="F275" s="58" t="s">
        <v>57</v>
      </c>
      <c r="G275" s="80">
        <v>0</v>
      </c>
      <c r="H275" s="81">
        <f t="shared" si="162"/>
        <v>2</v>
      </c>
      <c r="I275" s="83">
        <v>16.49</v>
      </c>
      <c r="J275" s="83">
        <f t="shared" si="163"/>
        <v>32.98</v>
      </c>
      <c r="K275" s="84">
        <v>0.4</v>
      </c>
      <c r="L275" s="85">
        <f t="shared" si="164"/>
        <v>0.8</v>
      </c>
      <c r="M275" s="86">
        <f>'LABOR SHEET'!C$5</f>
        <v>57.65</v>
      </c>
      <c r="N275" s="83">
        <f t="shared" si="165"/>
        <v>23.06</v>
      </c>
      <c r="O275" s="83">
        <f t="shared" si="166"/>
        <v>46.12</v>
      </c>
      <c r="P275" s="83">
        <f t="shared" si="167"/>
        <v>39.55</v>
      </c>
      <c r="Q275" s="114">
        <f t="shared" si="168"/>
        <v>79.1</v>
      </c>
      <c r="R275" s="101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</row>
    <row r="276" s="31" customFormat="1" spans="1:36">
      <c r="A276" s="55">
        <f>IF(G276&lt;&gt;"",1+MAX($A$3:A275),"")</f>
        <v>223</v>
      </c>
      <c r="B276" s="77"/>
      <c r="C276" s="78"/>
      <c r="D276" s="57" t="s">
        <v>253</v>
      </c>
      <c r="E276" s="75">
        <v>25</v>
      </c>
      <c r="F276" s="58" t="s">
        <v>57</v>
      </c>
      <c r="G276" s="80">
        <v>0</v>
      </c>
      <c r="H276" s="81">
        <f t="shared" si="162"/>
        <v>25</v>
      </c>
      <c r="I276" s="83">
        <v>98.05</v>
      </c>
      <c r="J276" s="83">
        <f t="shared" si="163"/>
        <v>2451.25</v>
      </c>
      <c r="K276" s="84">
        <v>0.85</v>
      </c>
      <c r="L276" s="85">
        <f t="shared" si="164"/>
        <v>21.25</v>
      </c>
      <c r="M276" s="86">
        <f>'LABOR SHEET'!C$5</f>
        <v>57.65</v>
      </c>
      <c r="N276" s="83">
        <f t="shared" si="165"/>
        <v>49.0025</v>
      </c>
      <c r="O276" s="83">
        <f t="shared" si="166"/>
        <v>1225.0625</v>
      </c>
      <c r="P276" s="83">
        <f t="shared" si="167"/>
        <v>147.0525</v>
      </c>
      <c r="Q276" s="114">
        <f t="shared" si="168"/>
        <v>3676.3125</v>
      </c>
      <c r="R276" s="101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</row>
    <row r="277" s="31" customFormat="1" spans="1:36">
      <c r="A277" s="55">
        <f>IF(G277&lt;&gt;"",1+MAX($A$3:A276),"")</f>
        <v>224</v>
      </c>
      <c r="B277" s="77"/>
      <c r="C277" s="78"/>
      <c r="D277" s="57" t="s">
        <v>254</v>
      </c>
      <c r="E277" s="75">
        <v>3</v>
      </c>
      <c r="F277" s="58" t="s">
        <v>57</v>
      </c>
      <c r="G277" s="80">
        <v>0</v>
      </c>
      <c r="H277" s="81">
        <f t="shared" ref="H277:H288" si="169">E277*(1+G277)</f>
        <v>3</v>
      </c>
      <c r="I277" s="83">
        <v>30.2</v>
      </c>
      <c r="J277" s="83">
        <f t="shared" ref="J277:J288" si="170">I277*H277</f>
        <v>90.6</v>
      </c>
      <c r="K277" s="84">
        <v>0.62</v>
      </c>
      <c r="L277" s="85">
        <f t="shared" si="164"/>
        <v>1.86</v>
      </c>
      <c r="M277" s="86">
        <f>'LABOR SHEET'!C$5</f>
        <v>57.65</v>
      </c>
      <c r="N277" s="83">
        <f t="shared" si="165"/>
        <v>35.743</v>
      </c>
      <c r="O277" s="83">
        <f t="shared" si="166"/>
        <v>107.229</v>
      </c>
      <c r="P277" s="83">
        <f t="shared" si="167"/>
        <v>65.943</v>
      </c>
      <c r="Q277" s="114">
        <f t="shared" si="168"/>
        <v>197.829</v>
      </c>
      <c r="R277" s="101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</row>
    <row r="278" s="31" customFormat="1" spans="1:36">
      <c r="A278" s="55">
        <f>IF(G278&lt;&gt;"",1+MAX($A$3:A277),"")</f>
        <v>225</v>
      </c>
      <c r="B278" s="77"/>
      <c r="C278" s="78"/>
      <c r="D278" s="57" t="s">
        <v>255</v>
      </c>
      <c r="E278" s="75">
        <v>17</v>
      </c>
      <c r="F278" s="58" t="s">
        <v>57</v>
      </c>
      <c r="G278" s="80">
        <v>0</v>
      </c>
      <c r="H278" s="81">
        <f t="shared" si="169"/>
        <v>17</v>
      </c>
      <c r="I278" s="83">
        <v>35.2</v>
      </c>
      <c r="J278" s="83">
        <f t="shared" si="170"/>
        <v>598.4</v>
      </c>
      <c r="K278" s="84">
        <v>0.65</v>
      </c>
      <c r="L278" s="85">
        <f t="shared" si="164"/>
        <v>11.05</v>
      </c>
      <c r="M278" s="86">
        <f>'LABOR SHEET'!C$5</f>
        <v>57.65</v>
      </c>
      <c r="N278" s="83">
        <f t="shared" si="165"/>
        <v>37.4725</v>
      </c>
      <c r="O278" s="83">
        <f t="shared" si="166"/>
        <v>637.0325</v>
      </c>
      <c r="P278" s="83">
        <f t="shared" si="167"/>
        <v>72.6725</v>
      </c>
      <c r="Q278" s="114">
        <f t="shared" si="168"/>
        <v>1235.4325</v>
      </c>
      <c r="R278" s="101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</row>
    <row r="279" s="31" customFormat="1" spans="1:36">
      <c r="A279" s="55">
        <f>IF(G279&lt;&gt;"",1+MAX($A$3:A278),"")</f>
        <v>226</v>
      </c>
      <c r="B279" s="77"/>
      <c r="C279" s="78"/>
      <c r="D279" s="57" t="s">
        <v>256</v>
      </c>
      <c r="E279" s="75">
        <v>5</v>
      </c>
      <c r="F279" s="58" t="s">
        <v>57</v>
      </c>
      <c r="G279" s="80">
        <v>0</v>
      </c>
      <c r="H279" s="81">
        <f t="shared" si="169"/>
        <v>5</v>
      </c>
      <c r="I279" s="83">
        <f>35/0.75</f>
        <v>46.6666666666667</v>
      </c>
      <c r="J279" s="83">
        <f t="shared" si="170"/>
        <v>233.333333333333</v>
      </c>
      <c r="K279" s="84">
        <v>0.68</v>
      </c>
      <c r="L279" s="85">
        <f t="shared" si="164"/>
        <v>3.4</v>
      </c>
      <c r="M279" s="86">
        <f>'LABOR SHEET'!C$5</f>
        <v>57.65</v>
      </c>
      <c r="N279" s="83">
        <f t="shared" si="165"/>
        <v>39.202</v>
      </c>
      <c r="O279" s="83">
        <f t="shared" si="166"/>
        <v>196.01</v>
      </c>
      <c r="P279" s="83">
        <f t="shared" si="167"/>
        <v>85.8686666666667</v>
      </c>
      <c r="Q279" s="114">
        <f t="shared" si="168"/>
        <v>429.343333333333</v>
      </c>
      <c r="R279" s="101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</row>
    <row r="280" s="31" customFormat="1" spans="1:36">
      <c r="A280" s="55">
        <f>IF(G280&lt;&gt;"",1+MAX($A$3:A279),"")</f>
        <v>227</v>
      </c>
      <c r="B280" s="77"/>
      <c r="C280" s="78"/>
      <c r="D280" s="57" t="s">
        <v>257</v>
      </c>
      <c r="E280" s="75">
        <v>2</v>
      </c>
      <c r="F280" s="58" t="s">
        <v>57</v>
      </c>
      <c r="G280" s="80">
        <v>0</v>
      </c>
      <c r="H280" s="81">
        <f t="shared" si="169"/>
        <v>2</v>
      </c>
      <c r="I280" s="83">
        <v>65.5</v>
      </c>
      <c r="J280" s="83">
        <f t="shared" si="170"/>
        <v>131</v>
      </c>
      <c r="K280" s="84">
        <v>0.71</v>
      </c>
      <c r="L280" s="85">
        <f t="shared" si="164"/>
        <v>1.42</v>
      </c>
      <c r="M280" s="86">
        <f>'LABOR SHEET'!C$5</f>
        <v>57.65</v>
      </c>
      <c r="N280" s="83">
        <f t="shared" si="165"/>
        <v>40.9315</v>
      </c>
      <c r="O280" s="83">
        <f t="shared" si="166"/>
        <v>81.863</v>
      </c>
      <c r="P280" s="83">
        <f t="shared" si="167"/>
        <v>106.4315</v>
      </c>
      <c r="Q280" s="114">
        <f t="shared" si="168"/>
        <v>212.863</v>
      </c>
      <c r="R280" s="101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</row>
    <row r="281" s="31" customFormat="1" spans="1:36">
      <c r="A281" s="55">
        <f>IF(G281&lt;&gt;"",1+MAX($A$3:A280),"")</f>
        <v>228</v>
      </c>
      <c r="B281" s="77"/>
      <c r="C281" s="78"/>
      <c r="D281" s="57" t="s">
        <v>258</v>
      </c>
      <c r="E281" s="75">
        <v>2</v>
      </c>
      <c r="F281" s="58" t="s">
        <v>57</v>
      </c>
      <c r="G281" s="80">
        <v>0</v>
      </c>
      <c r="H281" s="81">
        <f t="shared" si="169"/>
        <v>2</v>
      </c>
      <c r="I281" s="83">
        <v>69.5</v>
      </c>
      <c r="J281" s="83">
        <f t="shared" si="170"/>
        <v>139</v>
      </c>
      <c r="K281" s="84">
        <v>0.72</v>
      </c>
      <c r="L281" s="85">
        <f t="shared" si="164"/>
        <v>1.44</v>
      </c>
      <c r="M281" s="86">
        <f>'LABOR SHEET'!C$5</f>
        <v>57.65</v>
      </c>
      <c r="N281" s="83">
        <f t="shared" si="165"/>
        <v>41.508</v>
      </c>
      <c r="O281" s="83">
        <f t="shared" si="166"/>
        <v>83.016</v>
      </c>
      <c r="P281" s="83">
        <f t="shared" si="167"/>
        <v>111.008</v>
      </c>
      <c r="Q281" s="114">
        <f t="shared" si="168"/>
        <v>222.016</v>
      </c>
      <c r="R281" s="101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</row>
    <row r="282" s="31" customFormat="1" spans="1:36">
      <c r="A282" s="55">
        <f>IF(G282&lt;&gt;"",1+MAX($A$3:A281),"")</f>
        <v>229</v>
      </c>
      <c r="B282" s="77"/>
      <c r="C282" s="78"/>
      <c r="D282" s="57" t="s">
        <v>259</v>
      </c>
      <c r="E282" s="75">
        <v>6</v>
      </c>
      <c r="F282" s="58" t="s">
        <v>57</v>
      </c>
      <c r="G282" s="80">
        <v>0</v>
      </c>
      <c r="H282" s="81">
        <f t="shared" si="169"/>
        <v>6</v>
      </c>
      <c r="I282" s="83">
        <v>156.97</v>
      </c>
      <c r="J282" s="83">
        <f t="shared" si="170"/>
        <v>941.82</v>
      </c>
      <c r="K282" s="84">
        <v>1.2</v>
      </c>
      <c r="L282" s="85">
        <f t="shared" si="164"/>
        <v>7.2</v>
      </c>
      <c r="M282" s="86">
        <f>'LABOR SHEET'!C$5</f>
        <v>57.65</v>
      </c>
      <c r="N282" s="83">
        <f t="shared" si="165"/>
        <v>69.18</v>
      </c>
      <c r="O282" s="83">
        <f t="shared" si="166"/>
        <v>415.08</v>
      </c>
      <c r="P282" s="83">
        <f t="shared" si="167"/>
        <v>226.15</v>
      </c>
      <c r="Q282" s="114">
        <f t="shared" si="168"/>
        <v>1356.9</v>
      </c>
      <c r="R282" s="101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</row>
    <row r="283" s="31" customFormat="1" spans="1:36">
      <c r="A283" s="55">
        <f>IF(G283&lt;&gt;"",1+MAX($A$3:A282),"")</f>
        <v>230</v>
      </c>
      <c r="B283" s="77"/>
      <c r="C283" s="78"/>
      <c r="D283" s="57" t="s">
        <v>260</v>
      </c>
      <c r="E283" s="75">
        <v>1</v>
      </c>
      <c r="F283" s="58" t="s">
        <v>57</v>
      </c>
      <c r="G283" s="80">
        <v>0</v>
      </c>
      <c r="H283" s="81">
        <f t="shared" si="169"/>
        <v>1</v>
      </c>
      <c r="I283" s="83">
        <v>101</v>
      </c>
      <c r="J283" s="83">
        <f t="shared" si="170"/>
        <v>101</v>
      </c>
      <c r="K283" s="84">
        <v>1.15</v>
      </c>
      <c r="L283" s="85">
        <f t="shared" si="164"/>
        <v>1.15</v>
      </c>
      <c r="M283" s="86">
        <f>'LABOR SHEET'!C$5</f>
        <v>57.65</v>
      </c>
      <c r="N283" s="83">
        <f t="shared" si="165"/>
        <v>66.2975</v>
      </c>
      <c r="O283" s="83">
        <f t="shared" si="166"/>
        <v>66.2975</v>
      </c>
      <c r="P283" s="83">
        <f t="shared" si="167"/>
        <v>167.2975</v>
      </c>
      <c r="Q283" s="114">
        <f t="shared" si="168"/>
        <v>167.2975</v>
      </c>
      <c r="R283" s="101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</row>
    <row r="284" s="31" customFormat="1" spans="1:36">
      <c r="A284" s="55">
        <f>IF(G284&lt;&gt;"",1+MAX($A$3:A283),"")</f>
        <v>231</v>
      </c>
      <c r="B284" s="77"/>
      <c r="C284" s="78"/>
      <c r="D284" s="57" t="s">
        <v>261</v>
      </c>
      <c r="E284" s="75">
        <v>8</v>
      </c>
      <c r="F284" s="58" t="s">
        <v>57</v>
      </c>
      <c r="G284" s="80">
        <v>0</v>
      </c>
      <c r="H284" s="81">
        <f t="shared" si="169"/>
        <v>8</v>
      </c>
      <c r="I284" s="83">
        <v>165</v>
      </c>
      <c r="J284" s="83">
        <f t="shared" si="170"/>
        <v>1320</v>
      </c>
      <c r="K284" s="84">
        <v>1.35</v>
      </c>
      <c r="L284" s="85">
        <f t="shared" si="164"/>
        <v>10.8</v>
      </c>
      <c r="M284" s="86">
        <f>'LABOR SHEET'!C$5</f>
        <v>57.65</v>
      </c>
      <c r="N284" s="83">
        <f t="shared" si="165"/>
        <v>77.8275</v>
      </c>
      <c r="O284" s="83">
        <f t="shared" si="166"/>
        <v>622.62</v>
      </c>
      <c r="P284" s="83">
        <f t="shared" si="167"/>
        <v>242.8275</v>
      </c>
      <c r="Q284" s="114">
        <f t="shared" si="168"/>
        <v>1942.62</v>
      </c>
      <c r="R284" s="101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</row>
    <row r="285" s="31" customFormat="1" spans="1:36">
      <c r="A285" s="55">
        <f>IF(G285&lt;&gt;"",1+MAX($A$3:A284),"")</f>
        <v>232</v>
      </c>
      <c r="B285" s="77"/>
      <c r="C285" s="78"/>
      <c r="D285" s="57" t="s">
        <v>262</v>
      </c>
      <c r="E285" s="75">
        <v>15</v>
      </c>
      <c r="F285" s="58" t="s">
        <v>57</v>
      </c>
      <c r="G285" s="80">
        <v>0</v>
      </c>
      <c r="H285" s="81">
        <f t="shared" si="169"/>
        <v>15</v>
      </c>
      <c r="I285" s="83">
        <v>185</v>
      </c>
      <c r="J285" s="83">
        <f t="shared" si="170"/>
        <v>2775</v>
      </c>
      <c r="K285" s="84">
        <v>1.15</v>
      </c>
      <c r="L285" s="85">
        <f t="shared" si="164"/>
        <v>17.25</v>
      </c>
      <c r="M285" s="86">
        <f>'LABOR SHEET'!C$5</f>
        <v>57.65</v>
      </c>
      <c r="N285" s="83">
        <f t="shared" si="165"/>
        <v>66.2975</v>
      </c>
      <c r="O285" s="83">
        <f t="shared" si="166"/>
        <v>994.4625</v>
      </c>
      <c r="P285" s="83">
        <f t="shared" si="167"/>
        <v>251.2975</v>
      </c>
      <c r="Q285" s="114">
        <f t="shared" si="168"/>
        <v>3769.4625</v>
      </c>
      <c r="R285" s="101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</row>
    <row r="286" s="31" customFormat="1" spans="1:36">
      <c r="A286" s="55">
        <f>IF(G286&lt;&gt;"",1+MAX($A$3:A285),"")</f>
        <v>233</v>
      </c>
      <c r="B286" s="77"/>
      <c r="C286" s="78"/>
      <c r="D286" s="57" t="s">
        <v>263</v>
      </c>
      <c r="E286" s="75">
        <v>10</v>
      </c>
      <c r="F286" s="58" t="s">
        <v>57</v>
      </c>
      <c r="G286" s="80">
        <v>0</v>
      </c>
      <c r="H286" s="81">
        <f t="shared" si="169"/>
        <v>10</v>
      </c>
      <c r="I286" s="83">
        <v>266</v>
      </c>
      <c r="J286" s="83">
        <f t="shared" si="170"/>
        <v>2660</v>
      </c>
      <c r="K286" s="84">
        <v>1.4</v>
      </c>
      <c r="L286" s="85">
        <f t="shared" si="164"/>
        <v>14</v>
      </c>
      <c r="M286" s="86">
        <f>'LABOR SHEET'!C$5</f>
        <v>57.65</v>
      </c>
      <c r="N286" s="83">
        <f t="shared" si="165"/>
        <v>80.71</v>
      </c>
      <c r="O286" s="83">
        <f t="shared" si="166"/>
        <v>807.1</v>
      </c>
      <c r="P286" s="83">
        <f t="shared" si="167"/>
        <v>346.71</v>
      </c>
      <c r="Q286" s="114">
        <f t="shared" si="168"/>
        <v>3467.1</v>
      </c>
      <c r="R286" s="101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</row>
    <row r="287" s="31" customFormat="1" spans="1:36">
      <c r="A287" s="55">
        <f>IF(G287&lt;&gt;"",1+MAX($A$3:A286),"")</f>
        <v>234</v>
      </c>
      <c r="B287" s="77"/>
      <c r="C287" s="78"/>
      <c r="D287" s="57" t="s">
        <v>264</v>
      </c>
      <c r="E287" s="75">
        <v>6</v>
      </c>
      <c r="F287" s="58" t="s">
        <v>57</v>
      </c>
      <c r="G287" s="80">
        <v>0</v>
      </c>
      <c r="H287" s="81">
        <f t="shared" si="169"/>
        <v>6</v>
      </c>
      <c r="I287" s="83">
        <v>310</v>
      </c>
      <c r="J287" s="83">
        <f t="shared" si="170"/>
        <v>1860</v>
      </c>
      <c r="K287" s="84">
        <v>1.45</v>
      </c>
      <c r="L287" s="85">
        <f t="shared" si="164"/>
        <v>8.7</v>
      </c>
      <c r="M287" s="86">
        <f>'LABOR SHEET'!C$5</f>
        <v>57.65</v>
      </c>
      <c r="N287" s="83">
        <f t="shared" si="165"/>
        <v>83.5925</v>
      </c>
      <c r="O287" s="83">
        <f t="shared" si="166"/>
        <v>501.555</v>
      </c>
      <c r="P287" s="83">
        <f t="shared" si="167"/>
        <v>393.5925</v>
      </c>
      <c r="Q287" s="114">
        <f t="shared" si="168"/>
        <v>2361.555</v>
      </c>
      <c r="R287" s="101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</row>
    <row r="288" s="31" customFormat="1" spans="1:36">
      <c r="A288" s="55">
        <f>IF(G288&lt;&gt;"",1+MAX($A$3:A287),"")</f>
        <v>235</v>
      </c>
      <c r="B288" s="77"/>
      <c r="C288" s="78"/>
      <c r="D288" s="57" t="s">
        <v>265</v>
      </c>
      <c r="E288" s="75">
        <v>5</v>
      </c>
      <c r="F288" s="58" t="s">
        <v>57</v>
      </c>
      <c r="G288" s="80">
        <v>0</v>
      </c>
      <c r="H288" s="81">
        <f t="shared" si="169"/>
        <v>5</v>
      </c>
      <c r="I288" s="83">
        <v>355</v>
      </c>
      <c r="J288" s="83">
        <f t="shared" si="170"/>
        <v>1775</v>
      </c>
      <c r="K288" s="84">
        <v>1.5</v>
      </c>
      <c r="L288" s="85">
        <f t="shared" si="164"/>
        <v>7.5</v>
      </c>
      <c r="M288" s="86">
        <f>'LABOR SHEET'!C$5</f>
        <v>57.65</v>
      </c>
      <c r="N288" s="83">
        <f t="shared" si="165"/>
        <v>86.475</v>
      </c>
      <c r="O288" s="83">
        <f t="shared" si="166"/>
        <v>432.375</v>
      </c>
      <c r="P288" s="83">
        <f t="shared" si="167"/>
        <v>441.475</v>
      </c>
      <c r="Q288" s="114">
        <f t="shared" si="168"/>
        <v>2207.375</v>
      </c>
      <c r="R288" s="101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</row>
    <row r="289" s="31" customFormat="1" spans="1:36">
      <c r="A289" s="55" t="str">
        <f>IF(G289&lt;&gt;"",1+MAX($A$3:A288),"")</f>
        <v/>
      </c>
      <c r="B289" s="77"/>
      <c r="C289" s="78"/>
      <c r="D289" s="57"/>
      <c r="E289" s="75"/>
      <c r="F289" s="58"/>
      <c r="G289" s="80"/>
      <c r="H289" s="81"/>
      <c r="I289" s="87"/>
      <c r="J289" s="83"/>
      <c r="K289" s="84"/>
      <c r="L289" s="85"/>
      <c r="M289" s="86"/>
      <c r="N289" s="83"/>
      <c r="O289" s="83"/>
      <c r="P289" s="83"/>
      <c r="Q289" s="114"/>
      <c r="R289" s="101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</row>
    <row r="290" s="31" customFormat="1" ht="18" spans="1:36">
      <c r="A290" s="55" t="str">
        <f>IF(G290&lt;&gt;"",1+MAX($A$3:A289),"")</f>
        <v/>
      </c>
      <c r="B290" s="77"/>
      <c r="C290" s="75"/>
      <c r="D290" s="76" t="s">
        <v>266</v>
      </c>
      <c r="E290" s="58"/>
      <c r="F290" s="58"/>
      <c r="G290" s="58"/>
      <c r="H290" s="58"/>
      <c r="I290" s="87"/>
      <c r="J290" s="83"/>
      <c r="K290" s="84"/>
      <c r="L290" s="93"/>
      <c r="M290" s="94"/>
      <c r="N290" s="83"/>
      <c r="O290" s="83"/>
      <c r="P290" s="83"/>
      <c r="Q290" s="111"/>
      <c r="R290" s="112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</row>
    <row r="291" s="31" customFormat="1" ht="46.8" spans="1:36">
      <c r="A291" s="55">
        <f>IF(G291&lt;&gt;"",1+MAX($A$3:A290),"")</f>
        <v>236</v>
      </c>
      <c r="B291" s="77"/>
      <c r="C291" s="78"/>
      <c r="D291" s="119" t="s">
        <v>267</v>
      </c>
      <c r="E291" s="75">
        <v>1</v>
      </c>
      <c r="F291" s="58" t="s">
        <v>57</v>
      </c>
      <c r="G291" s="80">
        <v>0</v>
      </c>
      <c r="H291" s="81">
        <f t="shared" ref="H291:H293" si="171">E291*(1+G291)</f>
        <v>1</v>
      </c>
      <c r="I291" s="83">
        <f>26226+3450</f>
        <v>29676</v>
      </c>
      <c r="J291" s="83">
        <f t="shared" ref="J291:J293" si="172">I291*H291</f>
        <v>29676</v>
      </c>
      <c r="K291" s="84">
        <v>10.5</v>
      </c>
      <c r="L291" s="85">
        <f t="shared" ref="L291:L297" si="173">+K291*H291</f>
        <v>10.5</v>
      </c>
      <c r="M291" s="86">
        <f>'LABOR SHEET'!C$5</f>
        <v>57.65</v>
      </c>
      <c r="N291" s="83">
        <f t="shared" ref="N291:N297" si="174">K291*M291</f>
        <v>605.325</v>
      </c>
      <c r="O291" s="83">
        <f t="shared" ref="O291:O297" si="175">M291*L291</f>
        <v>605.325</v>
      </c>
      <c r="P291" s="83">
        <f t="shared" ref="P291:P297" si="176">I291+N291</f>
        <v>30281.325</v>
      </c>
      <c r="Q291" s="114">
        <f t="shared" ref="Q291:Q297" si="177">P291*H291</f>
        <v>30281.325</v>
      </c>
      <c r="R291" s="101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</row>
    <row r="292" s="31" customFormat="1" ht="46.8" spans="1:36">
      <c r="A292" s="55">
        <f>IF(G292&lt;&gt;"",1+MAX($A$3:A291),"")</f>
        <v>237</v>
      </c>
      <c r="B292" s="77"/>
      <c r="C292" s="78"/>
      <c r="D292" s="119" t="s">
        <v>268</v>
      </c>
      <c r="E292" s="75">
        <v>1</v>
      </c>
      <c r="F292" s="58" t="s">
        <v>57</v>
      </c>
      <c r="G292" s="80">
        <v>0</v>
      </c>
      <c r="H292" s="81">
        <f t="shared" si="171"/>
        <v>1</v>
      </c>
      <c r="I292" s="83">
        <f>26226+3450</f>
        <v>29676</v>
      </c>
      <c r="J292" s="83">
        <f t="shared" si="172"/>
        <v>29676</v>
      </c>
      <c r="K292" s="84">
        <v>10.5</v>
      </c>
      <c r="L292" s="85">
        <f t="shared" si="173"/>
        <v>10.5</v>
      </c>
      <c r="M292" s="86">
        <f>'LABOR SHEET'!C$5</f>
        <v>57.65</v>
      </c>
      <c r="N292" s="83">
        <f t="shared" si="174"/>
        <v>605.325</v>
      </c>
      <c r="O292" s="83">
        <f t="shared" si="175"/>
        <v>605.325</v>
      </c>
      <c r="P292" s="83">
        <f t="shared" si="176"/>
        <v>30281.325</v>
      </c>
      <c r="Q292" s="114">
        <f t="shared" si="177"/>
        <v>30281.325</v>
      </c>
      <c r="R292" s="101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</row>
    <row r="293" s="31" customFormat="1" spans="1:36">
      <c r="A293" s="55">
        <f>IF(G293&lt;&gt;"",1+MAX($A$3:A292),"")</f>
        <v>238</v>
      </c>
      <c r="B293" s="77"/>
      <c r="C293" s="78"/>
      <c r="D293" s="119" t="s">
        <v>269</v>
      </c>
      <c r="E293" s="75">
        <v>1</v>
      </c>
      <c r="F293" s="58" t="s">
        <v>57</v>
      </c>
      <c r="G293" s="80">
        <v>0</v>
      </c>
      <c r="H293" s="81">
        <f t="shared" si="171"/>
        <v>1</v>
      </c>
      <c r="I293" s="83">
        <v>831.41</v>
      </c>
      <c r="J293" s="83">
        <f t="shared" si="172"/>
        <v>831.41</v>
      </c>
      <c r="K293" s="84">
        <v>3.5</v>
      </c>
      <c r="L293" s="85">
        <f t="shared" si="173"/>
        <v>3.5</v>
      </c>
      <c r="M293" s="86">
        <f>'LABOR SHEET'!C$5</f>
        <v>57.65</v>
      </c>
      <c r="N293" s="83">
        <f t="shared" si="174"/>
        <v>201.775</v>
      </c>
      <c r="O293" s="83">
        <f t="shared" si="175"/>
        <v>201.775</v>
      </c>
      <c r="P293" s="83">
        <f t="shared" si="176"/>
        <v>1033.185</v>
      </c>
      <c r="Q293" s="114">
        <f t="shared" si="177"/>
        <v>1033.185</v>
      </c>
      <c r="R293" s="101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</row>
    <row r="294" s="31" customFormat="1" spans="1:36">
      <c r="A294" s="55">
        <f>IF(G294&lt;&gt;"",1+MAX($A$3:A293),"")</f>
        <v>239</v>
      </c>
      <c r="B294" s="77"/>
      <c r="C294" s="78"/>
      <c r="D294" s="119" t="s">
        <v>270</v>
      </c>
      <c r="E294" s="75">
        <v>1</v>
      </c>
      <c r="F294" s="58" t="s">
        <v>57</v>
      </c>
      <c r="G294" s="80">
        <v>0</v>
      </c>
      <c r="H294" s="81">
        <f t="shared" ref="H294:H297" si="178">E294*(1+G294)</f>
        <v>1</v>
      </c>
      <c r="I294" s="83">
        <v>831.41</v>
      </c>
      <c r="J294" s="83">
        <f t="shared" ref="J294:J297" si="179">I294*H294</f>
        <v>831.41</v>
      </c>
      <c r="K294" s="84">
        <v>3.5</v>
      </c>
      <c r="L294" s="85">
        <f t="shared" si="173"/>
        <v>3.5</v>
      </c>
      <c r="M294" s="86">
        <f>'LABOR SHEET'!C$5</f>
        <v>57.65</v>
      </c>
      <c r="N294" s="83">
        <f t="shared" si="174"/>
        <v>201.775</v>
      </c>
      <c r="O294" s="83">
        <f t="shared" si="175"/>
        <v>201.775</v>
      </c>
      <c r="P294" s="83">
        <f t="shared" si="176"/>
        <v>1033.185</v>
      </c>
      <c r="Q294" s="114">
        <f t="shared" si="177"/>
        <v>1033.185</v>
      </c>
      <c r="R294" s="101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</row>
    <row r="295" s="31" customFormat="1" ht="78" spans="1:36">
      <c r="A295" s="55">
        <f>IF(G295&lt;&gt;"",1+MAX($A$3:A294),"")</f>
        <v>240</v>
      </c>
      <c r="B295" s="77"/>
      <c r="C295" s="78"/>
      <c r="D295" s="119" t="s">
        <v>271</v>
      </c>
      <c r="E295" s="75">
        <v>1</v>
      </c>
      <c r="F295" s="58" t="s">
        <v>57</v>
      </c>
      <c r="G295" s="80">
        <v>0</v>
      </c>
      <c r="H295" s="81">
        <f t="shared" si="178"/>
        <v>1</v>
      </c>
      <c r="I295" s="83">
        <v>21500</v>
      </c>
      <c r="J295" s="83">
        <f t="shared" si="179"/>
        <v>21500</v>
      </c>
      <c r="K295" s="84">
        <v>8.5</v>
      </c>
      <c r="L295" s="85">
        <f t="shared" si="173"/>
        <v>8.5</v>
      </c>
      <c r="M295" s="86">
        <f>'LABOR SHEET'!C$5</f>
        <v>57.65</v>
      </c>
      <c r="N295" s="83">
        <f t="shared" si="174"/>
        <v>490.025</v>
      </c>
      <c r="O295" s="83">
        <f t="shared" si="175"/>
        <v>490.025</v>
      </c>
      <c r="P295" s="83">
        <f t="shared" si="176"/>
        <v>21990.025</v>
      </c>
      <c r="Q295" s="114">
        <f t="shared" si="177"/>
        <v>21990.025</v>
      </c>
      <c r="R295" s="101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</row>
    <row r="296" s="31" customFormat="1" ht="46.8" spans="1:36">
      <c r="A296" s="55">
        <f>IF(G296&lt;&gt;"",1+MAX($A$3:A295),"")</f>
        <v>241</v>
      </c>
      <c r="B296" s="77"/>
      <c r="C296" s="78"/>
      <c r="D296" s="119" t="s">
        <v>272</v>
      </c>
      <c r="E296" s="75">
        <v>1</v>
      </c>
      <c r="F296" s="58" t="s">
        <v>57</v>
      </c>
      <c r="G296" s="80">
        <v>0</v>
      </c>
      <c r="H296" s="81">
        <f t="shared" si="178"/>
        <v>1</v>
      </c>
      <c r="I296" s="83">
        <v>1752.36</v>
      </c>
      <c r="J296" s="83">
        <f t="shared" si="179"/>
        <v>1752.36</v>
      </c>
      <c r="K296" s="84">
        <v>3.5</v>
      </c>
      <c r="L296" s="85">
        <f t="shared" si="173"/>
        <v>3.5</v>
      </c>
      <c r="M296" s="86">
        <f>'LABOR SHEET'!C$5</f>
        <v>57.65</v>
      </c>
      <c r="N296" s="83">
        <f t="shared" si="174"/>
        <v>201.775</v>
      </c>
      <c r="O296" s="83">
        <f t="shared" si="175"/>
        <v>201.775</v>
      </c>
      <c r="P296" s="83">
        <f t="shared" si="176"/>
        <v>1954.135</v>
      </c>
      <c r="Q296" s="114">
        <f t="shared" si="177"/>
        <v>1954.135</v>
      </c>
      <c r="R296" s="101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</row>
    <row r="297" s="31" customFormat="1" ht="46.8" spans="1:36">
      <c r="A297" s="55">
        <f>IF(G297&lt;&gt;"",1+MAX($A$3:A296),"")</f>
        <v>242</v>
      </c>
      <c r="B297" s="77"/>
      <c r="C297" s="78"/>
      <c r="D297" s="119" t="s">
        <v>273</v>
      </c>
      <c r="E297" s="75">
        <v>1</v>
      </c>
      <c r="F297" s="58" t="s">
        <v>57</v>
      </c>
      <c r="G297" s="80">
        <v>0</v>
      </c>
      <c r="H297" s="81">
        <f t="shared" si="178"/>
        <v>1</v>
      </c>
      <c r="I297" s="83">
        <v>1752.36</v>
      </c>
      <c r="J297" s="83">
        <f t="shared" si="179"/>
        <v>1752.36</v>
      </c>
      <c r="K297" s="84">
        <v>3.5</v>
      </c>
      <c r="L297" s="85">
        <f t="shared" si="173"/>
        <v>3.5</v>
      </c>
      <c r="M297" s="86">
        <f>'LABOR SHEET'!C$5</f>
        <v>57.65</v>
      </c>
      <c r="N297" s="83">
        <f t="shared" si="174"/>
        <v>201.775</v>
      </c>
      <c r="O297" s="83">
        <f t="shared" si="175"/>
        <v>201.775</v>
      </c>
      <c r="P297" s="83">
        <f t="shared" si="176"/>
        <v>1954.135</v>
      </c>
      <c r="Q297" s="114">
        <f t="shared" si="177"/>
        <v>1954.135</v>
      </c>
      <c r="R297" s="101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</row>
    <row r="298" s="31" customFormat="1" spans="1:36">
      <c r="A298" s="55" t="str">
        <f>IF(G298&lt;&gt;"",1+MAX($A$3:A297),"")</f>
        <v/>
      </c>
      <c r="B298" s="77"/>
      <c r="C298" s="78"/>
      <c r="D298" s="57"/>
      <c r="E298" s="75"/>
      <c r="F298" s="58"/>
      <c r="G298" s="80"/>
      <c r="H298" s="81"/>
      <c r="I298" s="87"/>
      <c r="J298" s="83"/>
      <c r="K298" s="84"/>
      <c r="L298" s="85"/>
      <c r="M298" s="86"/>
      <c r="N298" s="83"/>
      <c r="O298" s="83"/>
      <c r="P298" s="83"/>
      <c r="Q298" s="114"/>
      <c r="R298" s="101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</row>
    <row r="299" s="31" customFormat="1" spans="1:36">
      <c r="A299" s="55" t="str">
        <f>IF(G299&lt;&gt;"",1+MAX($A$3:A298),"")</f>
        <v/>
      </c>
      <c r="B299" s="77"/>
      <c r="C299" s="78"/>
      <c r="D299" s="82" t="s">
        <v>274</v>
      </c>
      <c r="E299" s="75"/>
      <c r="F299" s="58"/>
      <c r="G299" s="80"/>
      <c r="H299" s="81"/>
      <c r="I299" s="87"/>
      <c r="J299" s="83"/>
      <c r="K299" s="84"/>
      <c r="L299" s="85"/>
      <c r="M299" s="86"/>
      <c r="N299" s="83"/>
      <c r="O299" s="83"/>
      <c r="P299" s="83"/>
      <c r="Q299" s="114"/>
      <c r="R299" s="101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</row>
    <row r="300" s="31" customFormat="1" spans="1:36">
      <c r="A300" s="55">
        <f>IF(G300&lt;&gt;"",1+MAX($A$3:A299),"")</f>
        <v>243</v>
      </c>
      <c r="B300" s="77"/>
      <c r="C300" s="78"/>
      <c r="D300" s="57" t="s">
        <v>275</v>
      </c>
      <c r="E300" s="75">
        <v>2</v>
      </c>
      <c r="F300" s="58" t="s">
        <v>57</v>
      </c>
      <c r="G300" s="80">
        <v>0</v>
      </c>
      <c r="H300" s="81">
        <f>E300*(1+G300)</f>
        <v>2</v>
      </c>
      <c r="I300" s="83">
        <v>273.82</v>
      </c>
      <c r="J300" s="83">
        <f>I300*H300</f>
        <v>547.64</v>
      </c>
      <c r="K300" s="84">
        <v>2.5</v>
      </c>
      <c r="L300" s="85">
        <f t="shared" ref="L300:L314" si="180">+K300*H300</f>
        <v>5</v>
      </c>
      <c r="M300" s="86">
        <f>'LABOR SHEET'!C$5</f>
        <v>57.65</v>
      </c>
      <c r="N300" s="83">
        <f t="shared" ref="N300:N314" si="181">K300*M300</f>
        <v>144.125</v>
      </c>
      <c r="O300" s="83">
        <f t="shared" ref="O300:O314" si="182">M300*L300</f>
        <v>288.25</v>
      </c>
      <c r="P300" s="83">
        <f t="shared" ref="P300:P314" si="183">I300+N300</f>
        <v>417.945</v>
      </c>
      <c r="Q300" s="114">
        <f t="shared" ref="Q300:Q314" si="184">P300*H300</f>
        <v>835.89</v>
      </c>
      <c r="R300" s="101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</row>
    <row r="301" s="31" customFormat="1" spans="1:36">
      <c r="A301" s="55">
        <f>IF(G301&lt;&gt;"",1+MAX($A$3:A300),"")</f>
        <v>244</v>
      </c>
      <c r="B301" s="77"/>
      <c r="C301" s="78"/>
      <c r="D301" s="57" t="s">
        <v>276</v>
      </c>
      <c r="E301" s="75">
        <v>4</v>
      </c>
      <c r="F301" s="58" t="s">
        <v>57</v>
      </c>
      <c r="G301" s="80">
        <v>0</v>
      </c>
      <c r="H301" s="81">
        <f t="shared" ref="H301:H311" si="185">E301*(1+G301)</f>
        <v>4</v>
      </c>
      <c r="I301" s="83">
        <v>11.38</v>
      </c>
      <c r="J301" s="83">
        <f t="shared" ref="J301:J311" si="186">I301*H301</f>
        <v>45.52</v>
      </c>
      <c r="K301" s="84">
        <v>0.6</v>
      </c>
      <c r="L301" s="85">
        <f t="shared" si="180"/>
        <v>2.4</v>
      </c>
      <c r="M301" s="86">
        <f>'LABOR SHEET'!C$5</f>
        <v>57.65</v>
      </c>
      <c r="N301" s="83">
        <f t="shared" si="181"/>
        <v>34.59</v>
      </c>
      <c r="O301" s="83">
        <f t="shared" si="182"/>
        <v>138.36</v>
      </c>
      <c r="P301" s="83">
        <f t="shared" si="183"/>
        <v>45.97</v>
      </c>
      <c r="Q301" s="114">
        <f t="shared" si="184"/>
        <v>183.88</v>
      </c>
      <c r="R301" s="101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</row>
    <row r="302" s="31" customFormat="1" spans="1:36">
      <c r="A302" s="55">
        <f>IF(G302&lt;&gt;"",1+MAX($A$3:A301),"")</f>
        <v>245</v>
      </c>
      <c r="B302" s="77"/>
      <c r="C302" s="78"/>
      <c r="D302" s="57" t="s">
        <v>252</v>
      </c>
      <c r="E302" s="75">
        <v>4</v>
      </c>
      <c r="F302" s="58" t="s">
        <v>57</v>
      </c>
      <c r="G302" s="80">
        <v>0</v>
      </c>
      <c r="H302" s="81">
        <f t="shared" si="185"/>
        <v>4</v>
      </c>
      <c r="I302" s="83">
        <v>23.5</v>
      </c>
      <c r="J302" s="83">
        <f t="shared" si="186"/>
        <v>94</v>
      </c>
      <c r="K302" s="84">
        <v>0.62</v>
      </c>
      <c r="L302" s="85">
        <f t="shared" si="180"/>
        <v>2.48</v>
      </c>
      <c r="M302" s="86">
        <f>'LABOR SHEET'!C$5</f>
        <v>57.65</v>
      </c>
      <c r="N302" s="83">
        <f t="shared" si="181"/>
        <v>35.743</v>
      </c>
      <c r="O302" s="83">
        <f t="shared" si="182"/>
        <v>142.972</v>
      </c>
      <c r="P302" s="83">
        <f t="shared" si="183"/>
        <v>59.243</v>
      </c>
      <c r="Q302" s="114">
        <f t="shared" si="184"/>
        <v>236.972</v>
      </c>
      <c r="R302" s="101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</row>
    <row r="303" s="31" customFormat="1" spans="1:36">
      <c r="A303" s="55">
        <f>IF(G303&lt;&gt;"",1+MAX($A$3:A302),"")</f>
        <v>246</v>
      </c>
      <c r="B303" s="77"/>
      <c r="C303" s="78"/>
      <c r="D303" s="57" t="s">
        <v>277</v>
      </c>
      <c r="E303" s="75">
        <v>4</v>
      </c>
      <c r="F303" s="58" t="s">
        <v>57</v>
      </c>
      <c r="G303" s="80">
        <v>0</v>
      </c>
      <c r="H303" s="81">
        <f t="shared" si="185"/>
        <v>4</v>
      </c>
      <c r="I303" s="83">
        <v>25.5</v>
      </c>
      <c r="J303" s="83">
        <f t="shared" si="186"/>
        <v>102</v>
      </c>
      <c r="K303" s="84">
        <v>0.55</v>
      </c>
      <c r="L303" s="85">
        <f t="shared" si="180"/>
        <v>2.2</v>
      </c>
      <c r="M303" s="86">
        <f>'LABOR SHEET'!C$5</f>
        <v>57.65</v>
      </c>
      <c r="N303" s="83">
        <f t="shared" si="181"/>
        <v>31.7075</v>
      </c>
      <c r="O303" s="83">
        <f t="shared" si="182"/>
        <v>126.83</v>
      </c>
      <c r="P303" s="83">
        <f t="shared" si="183"/>
        <v>57.2075</v>
      </c>
      <c r="Q303" s="114">
        <f t="shared" si="184"/>
        <v>228.83</v>
      </c>
      <c r="R303" s="101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</row>
    <row r="304" s="31" customFormat="1" spans="1:36">
      <c r="A304" s="55">
        <f>IF(G304&lt;&gt;"",1+MAX($A$3:A303),"")</f>
        <v>247</v>
      </c>
      <c r="B304" s="77"/>
      <c r="C304" s="78"/>
      <c r="D304" s="57" t="s">
        <v>278</v>
      </c>
      <c r="E304" s="75">
        <v>8</v>
      </c>
      <c r="F304" s="58" t="s">
        <v>57</v>
      </c>
      <c r="G304" s="80">
        <v>0</v>
      </c>
      <c r="H304" s="81">
        <f t="shared" si="185"/>
        <v>8</v>
      </c>
      <c r="I304" s="83">
        <v>17.59</v>
      </c>
      <c r="J304" s="83">
        <f t="shared" si="186"/>
        <v>140.72</v>
      </c>
      <c r="K304" s="84">
        <v>0.58</v>
      </c>
      <c r="L304" s="85">
        <f t="shared" si="180"/>
        <v>4.64</v>
      </c>
      <c r="M304" s="86">
        <f>'LABOR SHEET'!C$5</f>
        <v>57.65</v>
      </c>
      <c r="N304" s="83">
        <f t="shared" si="181"/>
        <v>33.437</v>
      </c>
      <c r="O304" s="83">
        <f t="shared" si="182"/>
        <v>267.496</v>
      </c>
      <c r="P304" s="83">
        <f t="shared" si="183"/>
        <v>51.027</v>
      </c>
      <c r="Q304" s="114">
        <f t="shared" si="184"/>
        <v>408.216</v>
      </c>
      <c r="R304" s="101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</row>
    <row r="305" s="31" customFormat="1" spans="1:36">
      <c r="A305" s="55">
        <f>IF(G305&lt;&gt;"",1+MAX($A$3:A304),"")</f>
        <v>248</v>
      </c>
      <c r="B305" s="77"/>
      <c r="C305" s="78"/>
      <c r="D305" s="57" t="s">
        <v>279</v>
      </c>
      <c r="E305" s="75">
        <v>2</v>
      </c>
      <c r="F305" s="58" t="s">
        <v>57</v>
      </c>
      <c r="G305" s="80">
        <v>0</v>
      </c>
      <c r="H305" s="81">
        <f t="shared" si="185"/>
        <v>2</v>
      </c>
      <c r="I305" s="83">
        <v>19.622</v>
      </c>
      <c r="J305" s="83">
        <f t="shared" si="186"/>
        <v>39.244</v>
      </c>
      <c r="K305" s="84">
        <v>0.58</v>
      </c>
      <c r="L305" s="85">
        <f t="shared" si="180"/>
        <v>1.16</v>
      </c>
      <c r="M305" s="86">
        <f>'LABOR SHEET'!C$5</f>
        <v>57.65</v>
      </c>
      <c r="N305" s="83">
        <f t="shared" si="181"/>
        <v>33.437</v>
      </c>
      <c r="O305" s="83">
        <f t="shared" si="182"/>
        <v>66.874</v>
      </c>
      <c r="P305" s="83">
        <f t="shared" si="183"/>
        <v>53.059</v>
      </c>
      <c r="Q305" s="114">
        <f t="shared" si="184"/>
        <v>106.118</v>
      </c>
      <c r="R305" s="101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</row>
    <row r="306" s="31" customFormat="1" spans="1:36">
      <c r="A306" s="55">
        <f>IF(G306&lt;&gt;"",1+MAX($A$3:A305),"")</f>
        <v>249</v>
      </c>
      <c r="B306" s="77"/>
      <c r="C306" s="78"/>
      <c r="D306" s="57" t="s">
        <v>280</v>
      </c>
      <c r="E306" s="75">
        <v>2</v>
      </c>
      <c r="F306" s="58" t="s">
        <v>57</v>
      </c>
      <c r="G306" s="80">
        <v>0</v>
      </c>
      <c r="H306" s="81">
        <f t="shared" si="185"/>
        <v>2</v>
      </c>
      <c r="I306" s="83">
        <v>40.25</v>
      </c>
      <c r="J306" s="83">
        <f t="shared" si="186"/>
        <v>80.5</v>
      </c>
      <c r="K306" s="84">
        <v>0.64</v>
      </c>
      <c r="L306" s="85">
        <f t="shared" si="180"/>
        <v>1.28</v>
      </c>
      <c r="M306" s="86">
        <f>'LABOR SHEET'!C$5</f>
        <v>57.65</v>
      </c>
      <c r="N306" s="83">
        <f t="shared" si="181"/>
        <v>36.896</v>
      </c>
      <c r="O306" s="83">
        <f t="shared" si="182"/>
        <v>73.792</v>
      </c>
      <c r="P306" s="83">
        <f t="shared" si="183"/>
        <v>77.146</v>
      </c>
      <c r="Q306" s="114">
        <f t="shared" si="184"/>
        <v>154.292</v>
      </c>
      <c r="R306" s="101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</row>
    <row r="307" s="31" customFormat="1" spans="1:36">
      <c r="A307" s="55">
        <f>IF(G307&lt;&gt;"",1+MAX($A$3:A306),"")</f>
        <v>250</v>
      </c>
      <c r="B307" s="77"/>
      <c r="C307" s="78"/>
      <c r="D307" s="57" t="s">
        <v>281</v>
      </c>
      <c r="E307" s="75">
        <v>2</v>
      </c>
      <c r="F307" s="58" t="s">
        <v>57</v>
      </c>
      <c r="G307" s="80">
        <v>0</v>
      </c>
      <c r="H307" s="81">
        <f t="shared" si="185"/>
        <v>2</v>
      </c>
      <c r="I307" s="83">
        <v>85.5</v>
      </c>
      <c r="J307" s="83">
        <f t="shared" si="186"/>
        <v>171</v>
      </c>
      <c r="K307" s="84">
        <v>0.66</v>
      </c>
      <c r="L307" s="85">
        <f t="shared" si="180"/>
        <v>1.32</v>
      </c>
      <c r="M307" s="86">
        <f>'LABOR SHEET'!C$5</f>
        <v>57.65</v>
      </c>
      <c r="N307" s="83">
        <f t="shared" si="181"/>
        <v>38.049</v>
      </c>
      <c r="O307" s="83">
        <f t="shared" si="182"/>
        <v>76.098</v>
      </c>
      <c r="P307" s="83">
        <f t="shared" si="183"/>
        <v>123.549</v>
      </c>
      <c r="Q307" s="114">
        <f t="shared" si="184"/>
        <v>247.098</v>
      </c>
      <c r="R307" s="101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</row>
    <row r="308" s="31" customFormat="1" spans="1:36">
      <c r="A308" s="55">
        <f>IF(G308&lt;&gt;"",1+MAX($A$3:A307),"")</f>
        <v>251</v>
      </c>
      <c r="B308" s="77"/>
      <c r="C308" s="78"/>
      <c r="D308" s="57" t="s">
        <v>254</v>
      </c>
      <c r="E308" s="75">
        <v>4</v>
      </c>
      <c r="F308" s="58" t="s">
        <v>57</v>
      </c>
      <c r="G308" s="80">
        <v>0</v>
      </c>
      <c r="H308" s="81">
        <f t="shared" si="185"/>
        <v>4</v>
      </c>
      <c r="I308" s="83">
        <v>30.2</v>
      </c>
      <c r="J308" s="83">
        <f t="shared" si="186"/>
        <v>120.8</v>
      </c>
      <c r="K308" s="84">
        <v>0.62</v>
      </c>
      <c r="L308" s="85">
        <f t="shared" si="180"/>
        <v>2.48</v>
      </c>
      <c r="M308" s="86">
        <f>'LABOR SHEET'!C$5</f>
        <v>57.65</v>
      </c>
      <c r="N308" s="83">
        <f t="shared" si="181"/>
        <v>35.743</v>
      </c>
      <c r="O308" s="83">
        <f t="shared" si="182"/>
        <v>142.972</v>
      </c>
      <c r="P308" s="83">
        <f t="shared" si="183"/>
        <v>65.943</v>
      </c>
      <c r="Q308" s="114">
        <f t="shared" si="184"/>
        <v>263.772</v>
      </c>
      <c r="R308" s="101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</row>
    <row r="309" s="31" customFormat="1" spans="1:36">
      <c r="A309" s="55">
        <f>IF(G309&lt;&gt;"",1+MAX($A$3:A308),"")</f>
        <v>252</v>
      </c>
      <c r="B309" s="77"/>
      <c r="C309" s="78"/>
      <c r="D309" s="57" t="s">
        <v>257</v>
      </c>
      <c r="E309" s="75">
        <v>6</v>
      </c>
      <c r="F309" s="58" t="s">
        <v>57</v>
      </c>
      <c r="G309" s="80">
        <v>0</v>
      </c>
      <c r="H309" s="81">
        <f t="shared" si="185"/>
        <v>6</v>
      </c>
      <c r="I309" s="83">
        <v>65.5</v>
      </c>
      <c r="J309" s="83">
        <f t="shared" si="186"/>
        <v>393</v>
      </c>
      <c r="K309" s="84">
        <v>0.71</v>
      </c>
      <c r="L309" s="85">
        <f t="shared" si="180"/>
        <v>4.26</v>
      </c>
      <c r="M309" s="86">
        <f>'LABOR SHEET'!C$5</f>
        <v>57.65</v>
      </c>
      <c r="N309" s="83">
        <f t="shared" si="181"/>
        <v>40.9315</v>
      </c>
      <c r="O309" s="83">
        <f t="shared" si="182"/>
        <v>245.589</v>
      </c>
      <c r="P309" s="83">
        <f t="shared" si="183"/>
        <v>106.4315</v>
      </c>
      <c r="Q309" s="114">
        <f t="shared" si="184"/>
        <v>638.589</v>
      </c>
      <c r="R309" s="101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</row>
    <row r="310" s="31" customFormat="1" spans="1:36">
      <c r="A310" s="55">
        <f>IF(G310&lt;&gt;"",1+MAX($A$3:A309),"")</f>
        <v>253</v>
      </c>
      <c r="B310" s="77"/>
      <c r="C310" s="78"/>
      <c r="D310" s="57" t="s">
        <v>282</v>
      </c>
      <c r="E310" s="75">
        <v>1</v>
      </c>
      <c r="F310" s="58" t="s">
        <v>57</v>
      </c>
      <c r="G310" s="80">
        <v>0</v>
      </c>
      <c r="H310" s="81">
        <f t="shared" si="185"/>
        <v>1</v>
      </c>
      <c r="I310" s="83">
        <v>156.97</v>
      </c>
      <c r="J310" s="83">
        <f t="shared" si="186"/>
        <v>156.97</v>
      </c>
      <c r="K310" s="84">
        <v>0.75</v>
      </c>
      <c r="L310" s="85">
        <f t="shared" si="180"/>
        <v>0.75</v>
      </c>
      <c r="M310" s="86">
        <f>'LABOR SHEET'!C$5</f>
        <v>57.65</v>
      </c>
      <c r="N310" s="83">
        <f t="shared" si="181"/>
        <v>43.2375</v>
      </c>
      <c r="O310" s="83">
        <f t="shared" si="182"/>
        <v>43.2375</v>
      </c>
      <c r="P310" s="83">
        <f t="shared" si="183"/>
        <v>200.2075</v>
      </c>
      <c r="Q310" s="114">
        <f t="shared" si="184"/>
        <v>200.2075</v>
      </c>
      <c r="R310" s="101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</row>
    <row r="311" s="31" customFormat="1" spans="1:36">
      <c r="A311" s="55">
        <f>IF(G311&lt;&gt;"",1+MAX($A$3:A310),"")</f>
        <v>254</v>
      </c>
      <c r="B311" s="77"/>
      <c r="C311" s="78"/>
      <c r="D311" s="57" t="s">
        <v>283</v>
      </c>
      <c r="E311" s="75">
        <v>2</v>
      </c>
      <c r="F311" s="58" t="s">
        <v>57</v>
      </c>
      <c r="G311" s="80">
        <v>0</v>
      </c>
      <c r="H311" s="81">
        <f t="shared" si="185"/>
        <v>2</v>
      </c>
      <c r="I311" s="83">
        <v>72.45</v>
      </c>
      <c r="J311" s="83">
        <f t="shared" si="186"/>
        <v>144.9</v>
      </c>
      <c r="K311" s="84">
        <v>0.78</v>
      </c>
      <c r="L311" s="85">
        <f t="shared" si="180"/>
        <v>1.56</v>
      </c>
      <c r="M311" s="86">
        <f>'LABOR SHEET'!C$5</f>
        <v>57.65</v>
      </c>
      <c r="N311" s="83">
        <f t="shared" si="181"/>
        <v>44.967</v>
      </c>
      <c r="O311" s="83">
        <f t="shared" si="182"/>
        <v>89.934</v>
      </c>
      <c r="P311" s="83">
        <f t="shared" si="183"/>
        <v>117.417</v>
      </c>
      <c r="Q311" s="114">
        <f t="shared" si="184"/>
        <v>234.834</v>
      </c>
      <c r="R311" s="101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</row>
    <row r="312" s="31" customFormat="1" spans="1:36">
      <c r="A312" s="55">
        <f>IF(G312&lt;&gt;"",1+MAX($A$3:A311),"")</f>
        <v>255</v>
      </c>
      <c r="B312" s="77"/>
      <c r="C312" s="78"/>
      <c r="D312" s="57" t="s">
        <v>284</v>
      </c>
      <c r="E312" s="75">
        <v>2</v>
      </c>
      <c r="F312" s="58" t="s">
        <v>57</v>
      </c>
      <c r="G312" s="80">
        <v>0</v>
      </c>
      <c r="H312" s="81">
        <f t="shared" ref="H312:H323" si="187">E312*(1+G312)</f>
        <v>2</v>
      </c>
      <c r="I312" s="83">
        <v>108</v>
      </c>
      <c r="J312" s="83">
        <f t="shared" ref="J312:J323" si="188">I312*H312</f>
        <v>216</v>
      </c>
      <c r="K312" s="84">
        <v>1.2</v>
      </c>
      <c r="L312" s="85">
        <f t="shared" si="180"/>
        <v>2.4</v>
      </c>
      <c r="M312" s="86">
        <f>'LABOR SHEET'!C$5</f>
        <v>57.65</v>
      </c>
      <c r="N312" s="83">
        <f t="shared" si="181"/>
        <v>69.18</v>
      </c>
      <c r="O312" s="83">
        <f t="shared" si="182"/>
        <v>138.36</v>
      </c>
      <c r="P312" s="83">
        <f t="shared" si="183"/>
        <v>177.18</v>
      </c>
      <c r="Q312" s="114">
        <f t="shared" si="184"/>
        <v>354.36</v>
      </c>
      <c r="R312" s="101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</row>
    <row r="313" s="31" customFormat="1" spans="1:36">
      <c r="A313" s="55">
        <f>IF(G313&lt;&gt;"",1+MAX($A$3:A312),"")</f>
        <v>256</v>
      </c>
      <c r="B313" s="77"/>
      <c r="C313" s="78"/>
      <c r="D313" s="57" t="s">
        <v>285</v>
      </c>
      <c r="E313" s="75">
        <v>2</v>
      </c>
      <c r="F313" s="58" t="s">
        <v>57</v>
      </c>
      <c r="G313" s="80">
        <v>0</v>
      </c>
      <c r="H313" s="81">
        <f t="shared" si="187"/>
        <v>2</v>
      </c>
      <c r="I313" s="83">
        <v>99.99</v>
      </c>
      <c r="J313" s="83">
        <f t="shared" si="188"/>
        <v>199.98</v>
      </c>
      <c r="K313" s="84">
        <v>0.6</v>
      </c>
      <c r="L313" s="85">
        <f t="shared" si="180"/>
        <v>1.2</v>
      </c>
      <c r="M313" s="86">
        <f>'LABOR SHEET'!C$5</f>
        <v>57.65</v>
      </c>
      <c r="N313" s="83">
        <f t="shared" si="181"/>
        <v>34.59</v>
      </c>
      <c r="O313" s="83">
        <f t="shared" si="182"/>
        <v>69.18</v>
      </c>
      <c r="P313" s="83">
        <f t="shared" si="183"/>
        <v>134.58</v>
      </c>
      <c r="Q313" s="114">
        <f t="shared" si="184"/>
        <v>269.16</v>
      </c>
      <c r="R313" s="101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</row>
    <row r="314" s="31" customFormat="1" spans="1:36">
      <c r="A314" s="55">
        <f>IF(G314&lt;&gt;"",1+MAX($A$3:A313),"")</f>
        <v>257</v>
      </c>
      <c r="B314" s="77"/>
      <c r="C314" s="78"/>
      <c r="D314" s="57" t="s">
        <v>286</v>
      </c>
      <c r="E314" s="75">
        <v>2</v>
      </c>
      <c r="F314" s="58" t="s">
        <v>57</v>
      </c>
      <c r="G314" s="80">
        <v>0</v>
      </c>
      <c r="H314" s="81">
        <f t="shared" si="187"/>
        <v>2</v>
      </c>
      <c r="I314" s="83">
        <f>13+1.5*32</f>
        <v>61</v>
      </c>
      <c r="J314" s="83">
        <f t="shared" si="188"/>
        <v>122</v>
      </c>
      <c r="K314" s="84">
        <f>0.025*32+0.1</f>
        <v>0.9</v>
      </c>
      <c r="L314" s="85">
        <f t="shared" si="180"/>
        <v>1.8</v>
      </c>
      <c r="M314" s="86">
        <f>'LABOR SHEET'!C$5</f>
        <v>57.65</v>
      </c>
      <c r="N314" s="83">
        <f t="shared" si="181"/>
        <v>51.885</v>
      </c>
      <c r="O314" s="83">
        <f t="shared" si="182"/>
        <v>103.77</v>
      </c>
      <c r="P314" s="83">
        <f t="shared" si="183"/>
        <v>112.885</v>
      </c>
      <c r="Q314" s="114">
        <f t="shared" si="184"/>
        <v>225.77</v>
      </c>
      <c r="R314" s="101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</row>
    <row r="315" s="31" customFormat="1" spans="1:36">
      <c r="A315" s="55" t="str">
        <f>IF(G315&lt;&gt;"",1+MAX($A$3:A314),"")</f>
        <v/>
      </c>
      <c r="B315" s="77"/>
      <c r="C315" s="78"/>
      <c r="D315" s="57"/>
      <c r="E315" s="75"/>
      <c r="F315" s="58"/>
      <c r="G315" s="80"/>
      <c r="H315" s="81"/>
      <c r="I315" s="87"/>
      <c r="J315" s="83"/>
      <c r="K315" s="84"/>
      <c r="L315" s="85"/>
      <c r="M315" s="86"/>
      <c r="N315" s="83"/>
      <c r="O315" s="83"/>
      <c r="P315" s="83"/>
      <c r="Q315" s="114"/>
      <c r="R315" s="101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</row>
    <row r="316" s="31" customFormat="1" spans="1:36">
      <c r="A316" s="55" t="str">
        <f>IF(G316&lt;&gt;"",1+MAX($A$3:A315),"")</f>
        <v/>
      </c>
      <c r="B316" s="77"/>
      <c r="C316" s="78"/>
      <c r="D316" s="82" t="s">
        <v>287</v>
      </c>
      <c r="E316" s="75"/>
      <c r="F316" s="58"/>
      <c r="G316" s="80"/>
      <c r="H316" s="81"/>
      <c r="I316" s="87"/>
      <c r="J316" s="83"/>
      <c r="K316" s="84"/>
      <c r="L316" s="85"/>
      <c r="M316" s="86"/>
      <c r="N316" s="83"/>
      <c r="O316" s="83"/>
      <c r="P316" s="83"/>
      <c r="Q316" s="114"/>
      <c r="R316" s="101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</row>
    <row r="317" s="31" customFormat="1" spans="1:36">
      <c r="A317" s="55">
        <f>IF(G317&lt;&gt;"",1+MAX($A$3:A316),"")</f>
        <v>258</v>
      </c>
      <c r="B317" s="77"/>
      <c r="C317" s="78"/>
      <c r="D317" s="57" t="s">
        <v>288</v>
      </c>
      <c r="E317" s="75">
        <v>1</v>
      </c>
      <c r="F317" s="58" t="s">
        <v>57</v>
      </c>
      <c r="G317" s="80">
        <v>0</v>
      </c>
      <c r="H317" s="81">
        <f t="shared" si="187"/>
        <v>1</v>
      </c>
      <c r="I317" s="83">
        <v>250</v>
      </c>
      <c r="J317" s="83">
        <f t="shared" si="188"/>
        <v>250</v>
      </c>
      <c r="K317" s="84">
        <v>2.5</v>
      </c>
      <c r="L317" s="85">
        <f t="shared" ref="L317:L323" si="189">+K317*H317</f>
        <v>2.5</v>
      </c>
      <c r="M317" s="86">
        <f>'LABOR SHEET'!C$5</f>
        <v>57.65</v>
      </c>
      <c r="N317" s="83">
        <f t="shared" ref="N317:N323" si="190">K317*M317</f>
        <v>144.125</v>
      </c>
      <c r="O317" s="83">
        <f t="shared" ref="O317:O323" si="191">M317*L317</f>
        <v>144.125</v>
      </c>
      <c r="P317" s="83">
        <f t="shared" ref="P317:P323" si="192">I317+N317</f>
        <v>394.125</v>
      </c>
      <c r="Q317" s="114">
        <f t="shared" ref="Q317:Q323" si="193">P317*H317</f>
        <v>394.125</v>
      </c>
      <c r="R317" s="101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</row>
    <row r="318" s="31" customFormat="1" spans="1:36">
      <c r="A318" s="55">
        <f>IF(G318&lt;&gt;"",1+MAX($A$3:A317),"")</f>
        <v>259</v>
      </c>
      <c r="B318" s="77"/>
      <c r="C318" s="78"/>
      <c r="D318" s="57" t="s">
        <v>289</v>
      </c>
      <c r="E318" s="75">
        <v>2</v>
      </c>
      <c r="F318" s="58" t="s">
        <v>57</v>
      </c>
      <c r="G318" s="80">
        <v>0</v>
      </c>
      <c r="H318" s="81">
        <f t="shared" si="187"/>
        <v>2</v>
      </c>
      <c r="I318" s="83">
        <v>88</v>
      </c>
      <c r="J318" s="83">
        <f t="shared" si="188"/>
        <v>176</v>
      </c>
      <c r="K318" s="84">
        <v>0.85</v>
      </c>
      <c r="L318" s="85">
        <f t="shared" si="189"/>
        <v>1.7</v>
      </c>
      <c r="M318" s="86">
        <f>'LABOR SHEET'!C$5</f>
        <v>57.65</v>
      </c>
      <c r="N318" s="83">
        <f t="shared" si="190"/>
        <v>49.0025</v>
      </c>
      <c r="O318" s="83">
        <f t="shared" si="191"/>
        <v>98.005</v>
      </c>
      <c r="P318" s="83">
        <f t="shared" si="192"/>
        <v>137.0025</v>
      </c>
      <c r="Q318" s="114">
        <f t="shared" si="193"/>
        <v>274.005</v>
      </c>
      <c r="R318" s="101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</row>
    <row r="319" s="31" customFormat="1" spans="1:36">
      <c r="A319" s="55">
        <f>IF(G319&lt;&gt;"",1+MAX($A$3:A318),"")</f>
        <v>260</v>
      </c>
      <c r="B319" s="77"/>
      <c r="C319" s="78"/>
      <c r="D319" s="57" t="s">
        <v>290</v>
      </c>
      <c r="E319" s="75">
        <v>2</v>
      </c>
      <c r="F319" s="58" t="s">
        <v>57</v>
      </c>
      <c r="G319" s="80">
        <v>0</v>
      </c>
      <c r="H319" s="81">
        <f t="shared" si="187"/>
        <v>2</v>
      </c>
      <c r="I319" s="83">
        <v>28.5</v>
      </c>
      <c r="J319" s="83">
        <f t="shared" si="188"/>
        <v>57</v>
      </c>
      <c r="K319" s="84">
        <v>0.35</v>
      </c>
      <c r="L319" s="85">
        <f t="shared" si="189"/>
        <v>0.7</v>
      </c>
      <c r="M319" s="86">
        <f>'LABOR SHEET'!C$5</f>
        <v>57.65</v>
      </c>
      <c r="N319" s="83">
        <f t="shared" si="190"/>
        <v>20.1775</v>
      </c>
      <c r="O319" s="83">
        <f t="shared" si="191"/>
        <v>40.355</v>
      </c>
      <c r="P319" s="83">
        <f t="shared" si="192"/>
        <v>48.6775</v>
      </c>
      <c r="Q319" s="114">
        <f t="shared" si="193"/>
        <v>97.355</v>
      </c>
      <c r="R319" s="101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</row>
    <row r="320" s="31" customFormat="1" spans="1:36">
      <c r="A320" s="55">
        <f>IF(G320&lt;&gt;"",1+MAX($A$3:A319),"")</f>
        <v>261</v>
      </c>
      <c r="B320" s="77"/>
      <c r="C320" s="78"/>
      <c r="D320" s="57" t="s">
        <v>291</v>
      </c>
      <c r="E320" s="75">
        <v>1</v>
      </c>
      <c r="F320" s="58" t="s">
        <v>57</v>
      </c>
      <c r="G320" s="80">
        <v>0</v>
      </c>
      <c r="H320" s="81">
        <f t="shared" si="187"/>
        <v>1</v>
      </c>
      <c r="I320" s="83">
        <v>112.7</v>
      </c>
      <c r="J320" s="83">
        <f t="shared" si="188"/>
        <v>112.7</v>
      </c>
      <c r="K320" s="84">
        <v>0.4</v>
      </c>
      <c r="L320" s="85">
        <f t="shared" si="189"/>
        <v>0.4</v>
      </c>
      <c r="M320" s="86">
        <f>'LABOR SHEET'!C$5</f>
        <v>57.65</v>
      </c>
      <c r="N320" s="83">
        <f t="shared" si="190"/>
        <v>23.06</v>
      </c>
      <c r="O320" s="83">
        <f t="shared" si="191"/>
        <v>23.06</v>
      </c>
      <c r="P320" s="83">
        <f t="shared" si="192"/>
        <v>135.76</v>
      </c>
      <c r="Q320" s="114">
        <f t="shared" si="193"/>
        <v>135.76</v>
      </c>
      <c r="R320" s="101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</row>
    <row r="321" s="31" customFormat="1" spans="1:36">
      <c r="A321" s="55">
        <f>IF(G321&lt;&gt;"",1+MAX($A$3:A320),"")</f>
        <v>262</v>
      </c>
      <c r="B321" s="77"/>
      <c r="C321" s="78"/>
      <c r="D321" s="57" t="s">
        <v>292</v>
      </c>
      <c r="E321" s="75">
        <v>1</v>
      </c>
      <c r="F321" s="58" t="s">
        <v>57</v>
      </c>
      <c r="G321" s="80">
        <v>0</v>
      </c>
      <c r="H321" s="81">
        <f t="shared" si="187"/>
        <v>1</v>
      </c>
      <c r="I321" s="83">
        <v>112</v>
      </c>
      <c r="J321" s="83">
        <f t="shared" si="188"/>
        <v>112</v>
      </c>
      <c r="K321" s="84">
        <v>0.42</v>
      </c>
      <c r="L321" s="85">
        <f t="shared" si="189"/>
        <v>0.42</v>
      </c>
      <c r="M321" s="86">
        <f>'LABOR SHEET'!C$5</f>
        <v>57.65</v>
      </c>
      <c r="N321" s="83">
        <f t="shared" si="190"/>
        <v>24.213</v>
      </c>
      <c r="O321" s="83">
        <f t="shared" si="191"/>
        <v>24.213</v>
      </c>
      <c r="P321" s="83">
        <f t="shared" si="192"/>
        <v>136.213</v>
      </c>
      <c r="Q321" s="114">
        <f t="shared" si="193"/>
        <v>136.213</v>
      </c>
      <c r="R321" s="101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</row>
    <row r="322" s="31" customFormat="1" spans="1:36">
      <c r="A322" s="55">
        <f>IF(G322&lt;&gt;"",1+MAX($A$3:A321),"")</f>
        <v>263</v>
      </c>
      <c r="B322" s="77"/>
      <c r="C322" s="78"/>
      <c r="D322" s="57" t="s">
        <v>293</v>
      </c>
      <c r="E322" s="75">
        <v>2</v>
      </c>
      <c r="F322" s="58" t="s">
        <v>57</v>
      </c>
      <c r="G322" s="80">
        <v>0</v>
      </c>
      <c r="H322" s="81">
        <f t="shared" si="187"/>
        <v>2</v>
      </c>
      <c r="I322" s="83">
        <v>101</v>
      </c>
      <c r="J322" s="83">
        <f t="shared" si="188"/>
        <v>202</v>
      </c>
      <c r="K322" s="84">
        <v>0.71</v>
      </c>
      <c r="L322" s="85">
        <f t="shared" si="189"/>
        <v>1.42</v>
      </c>
      <c r="M322" s="86">
        <f>'LABOR SHEET'!C$5</f>
        <v>57.65</v>
      </c>
      <c r="N322" s="83">
        <f t="shared" si="190"/>
        <v>40.9315</v>
      </c>
      <c r="O322" s="83">
        <f t="shared" si="191"/>
        <v>81.863</v>
      </c>
      <c r="P322" s="83">
        <f t="shared" si="192"/>
        <v>141.9315</v>
      </c>
      <c r="Q322" s="114">
        <f t="shared" si="193"/>
        <v>283.863</v>
      </c>
      <c r="R322" s="101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</row>
    <row r="323" s="31" customFormat="1" spans="1:36">
      <c r="A323" s="55">
        <f>IF(G323&lt;&gt;"",1+MAX($A$3:A322),"")</f>
        <v>264</v>
      </c>
      <c r="B323" s="77"/>
      <c r="C323" s="78"/>
      <c r="D323" s="57" t="s">
        <v>294</v>
      </c>
      <c r="E323" s="75">
        <v>2</v>
      </c>
      <c r="F323" s="58" t="s">
        <v>57</v>
      </c>
      <c r="G323" s="80">
        <v>0</v>
      </c>
      <c r="H323" s="81">
        <f t="shared" si="187"/>
        <v>2</v>
      </c>
      <c r="I323" s="83">
        <v>25.5</v>
      </c>
      <c r="J323" s="83">
        <f t="shared" si="188"/>
        <v>51</v>
      </c>
      <c r="K323" s="84">
        <v>0.35</v>
      </c>
      <c r="L323" s="85">
        <f t="shared" si="189"/>
        <v>0.7</v>
      </c>
      <c r="M323" s="86">
        <f>'LABOR SHEET'!C$5</f>
        <v>57.65</v>
      </c>
      <c r="N323" s="83">
        <f t="shared" si="190"/>
        <v>20.1775</v>
      </c>
      <c r="O323" s="83">
        <f t="shared" si="191"/>
        <v>40.355</v>
      </c>
      <c r="P323" s="83">
        <f t="shared" si="192"/>
        <v>45.6775</v>
      </c>
      <c r="Q323" s="114">
        <f t="shared" si="193"/>
        <v>91.355</v>
      </c>
      <c r="R323" s="101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</row>
    <row r="324" s="31" customFormat="1" spans="1:36">
      <c r="A324" s="55" t="str">
        <f>IF(G324&lt;&gt;"",1+MAX($A$3:A323),"")</f>
        <v/>
      </c>
      <c r="B324" s="77"/>
      <c r="C324" s="78"/>
      <c r="D324" s="57"/>
      <c r="E324" s="75"/>
      <c r="F324" s="58"/>
      <c r="G324" s="80"/>
      <c r="H324" s="81"/>
      <c r="I324" s="87"/>
      <c r="J324" s="83"/>
      <c r="K324" s="84"/>
      <c r="L324" s="85"/>
      <c r="M324" s="86"/>
      <c r="N324" s="83"/>
      <c r="O324" s="83"/>
      <c r="P324" s="83"/>
      <c r="Q324" s="114"/>
      <c r="R324" s="101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</row>
    <row r="325" s="31" customFormat="1" ht="18" spans="1:36">
      <c r="A325" s="55" t="str">
        <f>IF(G325&lt;&gt;"",1+MAX($A$3:A324),"")</f>
        <v/>
      </c>
      <c r="B325" s="77"/>
      <c r="C325" s="75"/>
      <c r="D325" s="76" t="s">
        <v>295</v>
      </c>
      <c r="E325" s="58"/>
      <c r="F325" s="58"/>
      <c r="G325" s="58"/>
      <c r="H325" s="58"/>
      <c r="I325" s="87"/>
      <c r="J325" s="83"/>
      <c r="K325" s="84"/>
      <c r="L325" s="93"/>
      <c r="M325" s="94"/>
      <c r="N325" s="83"/>
      <c r="O325" s="83"/>
      <c r="P325" s="83"/>
      <c r="Q325" s="111"/>
      <c r="R325" s="112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</row>
    <row r="326" s="31" customFormat="1" spans="1:36">
      <c r="A326" s="55">
        <f>IF(G326&lt;&gt;"",1+MAX($A$3:A325),"")</f>
        <v>265</v>
      </c>
      <c r="B326" s="77"/>
      <c r="C326" s="78"/>
      <c r="D326" s="119" t="s">
        <v>296</v>
      </c>
      <c r="E326" s="75">
        <v>1</v>
      </c>
      <c r="F326" s="58" t="s">
        <v>57</v>
      </c>
      <c r="G326" s="80">
        <v>0</v>
      </c>
      <c r="H326" s="81">
        <f t="shared" ref="H326:H330" si="194">E326*(1+G326)</f>
        <v>1</v>
      </c>
      <c r="I326" s="83">
        <v>125</v>
      </c>
      <c r="J326" s="83">
        <f t="shared" ref="J326:J330" si="195">I326*H326</f>
        <v>125</v>
      </c>
      <c r="K326" s="84">
        <v>1.85</v>
      </c>
      <c r="L326" s="85">
        <f t="shared" ref="L326:L330" si="196">+K326*H326</f>
        <v>1.85</v>
      </c>
      <c r="M326" s="86">
        <f>'LABOR SHEET'!C$5</f>
        <v>57.65</v>
      </c>
      <c r="N326" s="83">
        <f t="shared" ref="N326:N330" si="197">K326*M326</f>
        <v>106.6525</v>
      </c>
      <c r="O326" s="83">
        <f t="shared" ref="O326:O330" si="198">M326*L326</f>
        <v>106.6525</v>
      </c>
      <c r="P326" s="83">
        <f t="shared" ref="P326:P330" si="199">I326+N326</f>
        <v>231.6525</v>
      </c>
      <c r="Q326" s="114">
        <f t="shared" ref="Q326:Q330" si="200">P326*H326</f>
        <v>231.6525</v>
      </c>
      <c r="R326" s="101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</row>
    <row r="327" s="31" customFormat="1" spans="1:36">
      <c r="A327" s="55">
        <f>IF(G327&lt;&gt;"",1+MAX($A$3:A326),"")</f>
        <v>266</v>
      </c>
      <c r="B327" s="77"/>
      <c r="C327" s="78"/>
      <c r="D327" s="119" t="s">
        <v>297</v>
      </c>
      <c r="E327" s="75">
        <v>3</v>
      </c>
      <c r="F327" s="58" t="s">
        <v>57</v>
      </c>
      <c r="G327" s="80">
        <v>0</v>
      </c>
      <c r="H327" s="81">
        <f t="shared" si="194"/>
        <v>3</v>
      </c>
      <c r="I327" s="83">
        <v>125</v>
      </c>
      <c r="J327" s="83">
        <f t="shared" si="195"/>
        <v>375</v>
      </c>
      <c r="K327" s="84">
        <v>1.85</v>
      </c>
      <c r="L327" s="85">
        <f t="shared" si="196"/>
        <v>5.55</v>
      </c>
      <c r="M327" s="86">
        <f>'LABOR SHEET'!C$5</f>
        <v>57.65</v>
      </c>
      <c r="N327" s="83">
        <f t="shared" si="197"/>
        <v>106.6525</v>
      </c>
      <c r="O327" s="83">
        <f t="shared" si="198"/>
        <v>319.9575</v>
      </c>
      <c r="P327" s="83">
        <f t="shared" si="199"/>
        <v>231.6525</v>
      </c>
      <c r="Q327" s="114">
        <f t="shared" si="200"/>
        <v>694.9575</v>
      </c>
      <c r="R327" s="101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</row>
    <row r="328" s="31" customFormat="1" spans="1:36">
      <c r="A328" s="55">
        <f>IF(G328&lt;&gt;"",1+MAX($A$3:A327),"")</f>
        <v>267</v>
      </c>
      <c r="B328" s="77"/>
      <c r="C328" s="78"/>
      <c r="D328" s="119" t="s">
        <v>298</v>
      </c>
      <c r="E328" s="75">
        <v>2</v>
      </c>
      <c r="F328" s="58" t="s">
        <v>57</v>
      </c>
      <c r="G328" s="80">
        <v>0</v>
      </c>
      <c r="H328" s="81">
        <f t="shared" si="194"/>
        <v>2</v>
      </c>
      <c r="I328" s="83">
        <v>1799</v>
      </c>
      <c r="J328" s="83">
        <f t="shared" si="195"/>
        <v>3598</v>
      </c>
      <c r="K328" s="84">
        <v>3.2</v>
      </c>
      <c r="L328" s="85">
        <f t="shared" si="196"/>
        <v>6.4</v>
      </c>
      <c r="M328" s="86">
        <f>'LABOR SHEET'!C$5</f>
        <v>57.65</v>
      </c>
      <c r="N328" s="83">
        <f t="shared" si="197"/>
        <v>184.48</v>
      </c>
      <c r="O328" s="83">
        <f t="shared" si="198"/>
        <v>368.96</v>
      </c>
      <c r="P328" s="83">
        <f t="shared" si="199"/>
        <v>1983.48</v>
      </c>
      <c r="Q328" s="114">
        <f t="shared" si="200"/>
        <v>3966.96</v>
      </c>
      <c r="R328" s="101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</row>
    <row r="329" s="31" customFormat="1" spans="1:36">
      <c r="A329" s="55">
        <f>IF(G329&lt;&gt;"",1+MAX($A$3:A328),"")</f>
        <v>268</v>
      </c>
      <c r="B329" s="77"/>
      <c r="C329" s="78"/>
      <c r="D329" s="119" t="s">
        <v>299</v>
      </c>
      <c r="E329" s="75">
        <v>1</v>
      </c>
      <c r="F329" s="58" t="s">
        <v>57</v>
      </c>
      <c r="G329" s="80">
        <v>0</v>
      </c>
      <c r="H329" s="81">
        <f t="shared" si="194"/>
        <v>1</v>
      </c>
      <c r="I329" s="83">
        <v>94.51</v>
      </c>
      <c r="J329" s="83">
        <f t="shared" si="195"/>
        <v>94.51</v>
      </c>
      <c r="K329" s="84">
        <v>1.38</v>
      </c>
      <c r="L329" s="85">
        <f t="shared" si="196"/>
        <v>1.38</v>
      </c>
      <c r="M329" s="86">
        <f>'LABOR SHEET'!C$5</f>
        <v>57.65</v>
      </c>
      <c r="N329" s="83">
        <f t="shared" si="197"/>
        <v>79.557</v>
      </c>
      <c r="O329" s="83">
        <f t="shared" si="198"/>
        <v>79.557</v>
      </c>
      <c r="P329" s="83">
        <f t="shared" si="199"/>
        <v>174.067</v>
      </c>
      <c r="Q329" s="114">
        <f t="shared" si="200"/>
        <v>174.067</v>
      </c>
      <c r="R329" s="101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</row>
    <row r="330" s="31" customFormat="1" spans="1:36">
      <c r="A330" s="55">
        <f>IF(G330&lt;&gt;"",1+MAX($A$3:A329),"")</f>
        <v>269</v>
      </c>
      <c r="B330" s="77"/>
      <c r="C330" s="78"/>
      <c r="D330" s="119" t="s">
        <v>300</v>
      </c>
      <c r="E330" s="75">
        <v>1</v>
      </c>
      <c r="F330" s="58" t="s">
        <v>57</v>
      </c>
      <c r="G330" s="80">
        <v>0</v>
      </c>
      <c r="H330" s="81">
        <f t="shared" si="194"/>
        <v>1</v>
      </c>
      <c r="I330" s="83">
        <v>4544.89</v>
      </c>
      <c r="J330" s="83">
        <f t="shared" si="195"/>
        <v>4544.89</v>
      </c>
      <c r="K330" s="84">
        <v>4.5</v>
      </c>
      <c r="L330" s="85">
        <f t="shared" si="196"/>
        <v>4.5</v>
      </c>
      <c r="M330" s="86">
        <f>'LABOR SHEET'!C$5</f>
        <v>57.65</v>
      </c>
      <c r="N330" s="83">
        <f t="shared" si="197"/>
        <v>259.425</v>
      </c>
      <c r="O330" s="83">
        <f t="shared" si="198"/>
        <v>259.425</v>
      </c>
      <c r="P330" s="83">
        <f t="shared" si="199"/>
        <v>4804.315</v>
      </c>
      <c r="Q330" s="114">
        <f t="shared" si="200"/>
        <v>4804.315</v>
      </c>
      <c r="R330" s="101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</row>
    <row r="331" s="31" customFormat="1" spans="1:36">
      <c r="A331" s="55">
        <f>IF(G331&lt;&gt;"",1+MAX($A$3:A330),"")</f>
        <v>270</v>
      </c>
      <c r="B331" s="77"/>
      <c r="C331" s="78"/>
      <c r="D331" s="119" t="s">
        <v>301</v>
      </c>
      <c r="E331" s="75">
        <v>1</v>
      </c>
      <c r="F331" s="58" t="s">
        <v>57</v>
      </c>
      <c r="G331" s="80">
        <v>0</v>
      </c>
      <c r="H331" s="81">
        <f t="shared" ref="H331:H348" si="201">E331*(1+G331)</f>
        <v>1</v>
      </c>
      <c r="I331" s="83">
        <v>2015</v>
      </c>
      <c r="J331" s="83">
        <f t="shared" ref="J331:J348" si="202">I331*H331</f>
        <v>2015</v>
      </c>
      <c r="K331" s="84">
        <v>5.35</v>
      </c>
      <c r="L331" s="85">
        <f t="shared" ref="L331:L353" si="203">+K331*H331</f>
        <v>5.35</v>
      </c>
      <c r="M331" s="86">
        <f>'LABOR SHEET'!C$5</f>
        <v>57.65</v>
      </c>
      <c r="N331" s="83">
        <f t="shared" ref="N331:N353" si="204">K331*M331</f>
        <v>308.4275</v>
      </c>
      <c r="O331" s="83">
        <f t="shared" ref="O331:O353" si="205">M331*L331</f>
        <v>308.4275</v>
      </c>
      <c r="P331" s="83">
        <f t="shared" ref="P331:P353" si="206">I331+N331</f>
        <v>2323.4275</v>
      </c>
      <c r="Q331" s="114">
        <f t="shared" ref="Q331:Q353" si="207">P331*H331</f>
        <v>2323.4275</v>
      </c>
      <c r="R331" s="101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</row>
    <row r="332" s="31" customFormat="1" spans="1:36">
      <c r="A332" s="55">
        <f>IF(G332&lt;&gt;"",1+MAX($A$3:A331),"")</f>
        <v>271</v>
      </c>
      <c r="B332" s="77"/>
      <c r="C332" s="78"/>
      <c r="D332" s="119" t="s">
        <v>302</v>
      </c>
      <c r="E332" s="75">
        <v>4</v>
      </c>
      <c r="F332" s="58" t="s">
        <v>57</v>
      </c>
      <c r="G332" s="80">
        <v>0</v>
      </c>
      <c r="H332" s="81">
        <f t="shared" si="201"/>
        <v>4</v>
      </c>
      <c r="I332" s="83">
        <v>3058.2</v>
      </c>
      <c r="J332" s="83">
        <f t="shared" si="202"/>
        <v>12232.8</v>
      </c>
      <c r="K332" s="84">
        <v>5.15</v>
      </c>
      <c r="L332" s="85">
        <f t="shared" si="203"/>
        <v>20.6</v>
      </c>
      <c r="M332" s="86">
        <f>'LABOR SHEET'!C$5</f>
        <v>57.65</v>
      </c>
      <c r="N332" s="83">
        <f t="shared" si="204"/>
        <v>296.8975</v>
      </c>
      <c r="O332" s="83">
        <f t="shared" si="205"/>
        <v>1187.59</v>
      </c>
      <c r="P332" s="83">
        <f t="shared" si="206"/>
        <v>3355.0975</v>
      </c>
      <c r="Q332" s="114">
        <f t="shared" si="207"/>
        <v>13420.39</v>
      </c>
      <c r="R332" s="101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</row>
    <row r="333" s="31" customFormat="1" spans="1:36">
      <c r="A333" s="55">
        <f>IF(G333&lt;&gt;"",1+MAX($A$3:A332),"")</f>
        <v>272</v>
      </c>
      <c r="B333" s="77"/>
      <c r="C333" s="78"/>
      <c r="D333" s="119" t="s">
        <v>303</v>
      </c>
      <c r="E333" s="75">
        <v>8</v>
      </c>
      <c r="F333" s="58" t="s">
        <v>57</v>
      </c>
      <c r="G333" s="80">
        <v>0</v>
      </c>
      <c r="H333" s="81">
        <f t="shared" si="201"/>
        <v>8</v>
      </c>
      <c r="I333" s="83">
        <v>1949.99</v>
      </c>
      <c r="J333" s="83">
        <f t="shared" si="202"/>
        <v>15599.92</v>
      </c>
      <c r="K333" s="84">
        <v>5.15</v>
      </c>
      <c r="L333" s="85">
        <f t="shared" si="203"/>
        <v>41.2</v>
      </c>
      <c r="M333" s="86">
        <f>'LABOR SHEET'!C$5</f>
        <v>57.65</v>
      </c>
      <c r="N333" s="83">
        <f t="shared" si="204"/>
        <v>296.8975</v>
      </c>
      <c r="O333" s="83">
        <f t="shared" si="205"/>
        <v>2375.18</v>
      </c>
      <c r="P333" s="83">
        <f t="shared" si="206"/>
        <v>2246.8875</v>
      </c>
      <c r="Q333" s="114">
        <f t="shared" si="207"/>
        <v>17975.1</v>
      </c>
      <c r="R333" s="101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</row>
    <row r="334" s="31" customFormat="1" spans="1:36">
      <c r="A334" s="55">
        <f>IF(G334&lt;&gt;"",1+MAX($A$3:A333),"")</f>
        <v>273</v>
      </c>
      <c r="B334" s="77"/>
      <c r="C334" s="78"/>
      <c r="D334" s="119" t="s">
        <v>304</v>
      </c>
      <c r="E334" s="75">
        <v>8</v>
      </c>
      <c r="F334" s="58" t="s">
        <v>57</v>
      </c>
      <c r="G334" s="80">
        <v>0</v>
      </c>
      <c r="H334" s="81">
        <f t="shared" si="201"/>
        <v>8</v>
      </c>
      <c r="I334" s="83">
        <v>380</v>
      </c>
      <c r="J334" s="83">
        <f t="shared" si="202"/>
        <v>3040</v>
      </c>
      <c r="K334" s="84">
        <v>2.85</v>
      </c>
      <c r="L334" s="85">
        <f t="shared" si="203"/>
        <v>22.8</v>
      </c>
      <c r="M334" s="86">
        <f>'LABOR SHEET'!C$5</f>
        <v>57.65</v>
      </c>
      <c r="N334" s="83">
        <f t="shared" si="204"/>
        <v>164.3025</v>
      </c>
      <c r="O334" s="83">
        <f t="shared" si="205"/>
        <v>1314.42</v>
      </c>
      <c r="P334" s="83">
        <f t="shared" si="206"/>
        <v>544.3025</v>
      </c>
      <c r="Q334" s="114">
        <f t="shared" si="207"/>
        <v>4354.42</v>
      </c>
      <c r="R334" s="101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</row>
    <row r="335" s="31" customFormat="1" spans="1:36">
      <c r="A335" s="55">
        <f>IF(G335&lt;&gt;"",1+MAX($A$3:A334),"")</f>
        <v>274</v>
      </c>
      <c r="B335" s="77"/>
      <c r="C335" s="78"/>
      <c r="D335" s="119" t="s">
        <v>305</v>
      </c>
      <c r="E335" s="75">
        <v>2</v>
      </c>
      <c r="F335" s="58" t="s">
        <v>57</v>
      </c>
      <c r="G335" s="80">
        <v>0</v>
      </c>
      <c r="H335" s="81">
        <f t="shared" si="201"/>
        <v>2</v>
      </c>
      <c r="I335" s="83">
        <v>1485</v>
      </c>
      <c r="J335" s="83">
        <f t="shared" si="202"/>
        <v>2970</v>
      </c>
      <c r="K335" s="84">
        <v>6.12</v>
      </c>
      <c r="L335" s="85">
        <f t="shared" si="203"/>
        <v>12.24</v>
      </c>
      <c r="M335" s="86">
        <f>'LABOR SHEET'!C$5</f>
        <v>57.65</v>
      </c>
      <c r="N335" s="83">
        <f t="shared" si="204"/>
        <v>352.818</v>
      </c>
      <c r="O335" s="83">
        <f t="shared" si="205"/>
        <v>705.636</v>
      </c>
      <c r="P335" s="83">
        <f t="shared" si="206"/>
        <v>1837.818</v>
      </c>
      <c r="Q335" s="114">
        <f t="shared" si="207"/>
        <v>3675.636</v>
      </c>
      <c r="R335" s="101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</row>
    <row r="336" s="31" customFormat="1" ht="31.2" spans="1:36">
      <c r="A336" s="55">
        <f>IF(G336&lt;&gt;"",1+MAX($A$3:A335),"")</f>
        <v>275</v>
      </c>
      <c r="B336" s="77"/>
      <c r="C336" s="78"/>
      <c r="D336" s="119" t="s">
        <v>306</v>
      </c>
      <c r="E336" s="75">
        <v>2</v>
      </c>
      <c r="F336" s="58" t="s">
        <v>57</v>
      </c>
      <c r="G336" s="80">
        <v>0</v>
      </c>
      <c r="H336" s="81">
        <f t="shared" si="201"/>
        <v>2</v>
      </c>
      <c r="I336" s="83">
        <v>2012</v>
      </c>
      <c r="J336" s="83">
        <f t="shared" si="202"/>
        <v>4024</v>
      </c>
      <c r="K336" s="84">
        <v>3.95</v>
      </c>
      <c r="L336" s="85">
        <f t="shared" si="203"/>
        <v>7.9</v>
      </c>
      <c r="M336" s="86">
        <f>'LABOR SHEET'!C$5</f>
        <v>57.65</v>
      </c>
      <c r="N336" s="83">
        <f t="shared" si="204"/>
        <v>227.7175</v>
      </c>
      <c r="O336" s="83">
        <f t="shared" si="205"/>
        <v>455.435</v>
      </c>
      <c r="P336" s="83">
        <f t="shared" si="206"/>
        <v>2239.7175</v>
      </c>
      <c r="Q336" s="114">
        <f t="shared" si="207"/>
        <v>4479.435</v>
      </c>
      <c r="R336" s="101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</row>
    <row r="337" s="31" customFormat="1" ht="31.2" spans="1:36">
      <c r="A337" s="55">
        <f>IF(G337&lt;&gt;"",1+MAX($A$3:A336),"")</f>
        <v>276</v>
      </c>
      <c r="B337" s="77"/>
      <c r="C337" s="78"/>
      <c r="D337" s="119" t="s">
        <v>307</v>
      </c>
      <c r="E337" s="75">
        <v>1</v>
      </c>
      <c r="F337" s="58" t="s">
        <v>57</v>
      </c>
      <c r="G337" s="80">
        <v>0</v>
      </c>
      <c r="H337" s="81">
        <f t="shared" si="201"/>
        <v>1</v>
      </c>
      <c r="I337" s="83">
        <v>3061.8</v>
      </c>
      <c r="J337" s="83">
        <f t="shared" si="202"/>
        <v>3061.8</v>
      </c>
      <c r="K337" s="84">
        <v>4.65</v>
      </c>
      <c r="L337" s="85">
        <f t="shared" si="203"/>
        <v>4.65</v>
      </c>
      <c r="M337" s="86">
        <f>'LABOR SHEET'!C$5</f>
        <v>57.65</v>
      </c>
      <c r="N337" s="83">
        <f t="shared" si="204"/>
        <v>268.0725</v>
      </c>
      <c r="O337" s="83">
        <f t="shared" si="205"/>
        <v>268.0725</v>
      </c>
      <c r="P337" s="83">
        <f t="shared" si="206"/>
        <v>3329.8725</v>
      </c>
      <c r="Q337" s="114">
        <f t="shared" si="207"/>
        <v>3329.8725</v>
      </c>
      <c r="R337" s="101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</row>
    <row r="338" s="31" customFormat="1" ht="31.2" spans="1:36">
      <c r="A338" s="55">
        <f>IF(G338&lt;&gt;"",1+MAX($A$3:A337),"")</f>
        <v>277</v>
      </c>
      <c r="B338" s="77"/>
      <c r="C338" s="78"/>
      <c r="D338" s="119" t="s">
        <v>308</v>
      </c>
      <c r="E338" s="75">
        <v>2</v>
      </c>
      <c r="F338" s="58" t="s">
        <v>57</v>
      </c>
      <c r="G338" s="80">
        <v>0</v>
      </c>
      <c r="H338" s="81">
        <f t="shared" si="201"/>
        <v>2</v>
      </c>
      <c r="I338" s="83">
        <v>2937.5</v>
      </c>
      <c r="J338" s="83">
        <f t="shared" si="202"/>
        <v>5875</v>
      </c>
      <c r="K338" s="84">
        <v>5.85</v>
      </c>
      <c r="L338" s="85">
        <f t="shared" si="203"/>
        <v>11.7</v>
      </c>
      <c r="M338" s="86">
        <f>'LABOR SHEET'!C$5</f>
        <v>57.65</v>
      </c>
      <c r="N338" s="83">
        <f t="shared" si="204"/>
        <v>337.2525</v>
      </c>
      <c r="O338" s="83">
        <f t="shared" si="205"/>
        <v>674.505</v>
      </c>
      <c r="P338" s="83">
        <f t="shared" si="206"/>
        <v>3274.7525</v>
      </c>
      <c r="Q338" s="114">
        <f t="shared" si="207"/>
        <v>6549.505</v>
      </c>
      <c r="R338" s="101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</row>
    <row r="339" s="31" customFormat="1" ht="31.2" spans="1:36">
      <c r="A339" s="55">
        <f>IF(G339&lt;&gt;"",1+MAX($A$3:A338),"")</f>
        <v>278</v>
      </c>
      <c r="B339" s="77"/>
      <c r="C339" s="78"/>
      <c r="D339" s="119" t="s">
        <v>309</v>
      </c>
      <c r="E339" s="75">
        <v>1</v>
      </c>
      <c r="F339" s="58" t="s">
        <v>57</v>
      </c>
      <c r="G339" s="80">
        <v>0</v>
      </c>
      <c r="H339" s="81">
        <f t="shared" si="201"/>
        <v>1</v>
      </c>
      <c r="I339" s="83">
        <v>950</v>
      </c>
      <c r="J339" s="83">
        <f t="shared" si="202"/>
        <v>950</v>
      </c>
      <c r="K339" s="84">
        <v>3.85</v>
      </c>
      <c r="L339" s="85">
        <f t="shared" si="203"/>
        <v>3.85</v>
      </c>
      <c r="M339" s="86">
        <f>'LABOR SHEET'!C$5</f>
        <v>57.65</v>
      </c>
      <c r="N339" s="83">
        <f t="shared" si="204"/>
        <v>221.9525</v>
      </c>
      <c r="O339" s="83">
        <f t="shared" si="205"/>
        <v>221.9525</v>
      </c>
      <c r="P339" s="83">
        <f t="shared" si="206"/>
        <v>1171.9525</v>
      </c>
      <c r="Q339" s="114">
        <f t="shared" si="207"/>
        <v>1171.9525</v>
      </c>
      <c r="R339" s="101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</row>
    <row r="340" s="31" customFormat="1" ht="46.8" spans="1:36">
      <c r="A340" s="55">
        <f>IF(G340&lt;&gt;"",1+MAX($A$3:A339),"")</f>
        <v>279</v>
      </c>
      <c r="B340" s="77"/>
      <c r="C340" s="78"/>
      <c r="D340" s="119" t="s">
        <v>310</v>
      </c>
      <c r="E340" s="75">
        <v>5</v>
      </c>
      <c r="F340" s="58" t="s">
        <v>57</v>
      </c>
      <c r="G340" s="80">
        <v>0</v>
      </c>
      <c r="H340" s="81">
        <f t="shared" si="201"/>
        <v>5</v>
      </c>
      <c r="I340" s="83">
        <v>248.67</v>
      </c>
      <c r="J340" s="83">
        <f t="shared" si="202"/>
        <v>1243.35</v>
      </c>
      <c r="K340" s="84">
        <v>1.84</v>
      </c>
      <c r="L340" s="85">
        <f t="shared" si="203"/>
        <v>9.2</v>
      </c>
      <c r="M340" s="86">
        <f>'LABOR SHEET'!C$5</f>
        <v>57.65</v>
      </c>
      <c r="N340" s="83">
        <f t="shared" si="204"/>
        <v>106.076</v>
      </c>
      <c r="O340" s="83">
        <f t="shared" si="205"/>
        <v>530.38</v>
      </c>
      <c r="P340" s="83">
        <f t="shared" si="206"/>
        <v>354.746</v>
      </c>
      <c r="Q340" s="114">
        <f t="shared" si="207"/>
        <v>1773.73</v>
      </c>
      <c r="R340" s="101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</row>
    <row r="341" s="31" customFormat="1" ht="78" spans="1:36">
      <c r="A341" s="55">
        <f>IF(G341&lt;&gt;"",1+MAX($A$3:A340),"")</f>
        <v>280</v>
      </c>
      <c r="B341" s="77"/>
      <c r="C341" s="78"/>
      <c r="D341" s="119" t="s">
        <v>311</v>
      </c>
      <c r="E341" s="75">
        <v>2</v>
      </c>
      <c r="F341" s="58" t="s">
        <v>57</v>
      </c>
      <c r="G341" s="80">
        <v>0</v>
      </c>
      <c r="H341" s="81">
        <f t="shared" si="201"/>
        <v>2</v>
      </c>
      <c r="I341" s="83">
        <v>1050</v>
      </c>
      <c r="J341" s="83">
        <f t="shared" si="202"/>
        <v>2100</v>
      </c>
      <c r="K341" s="84">
        <v>5.15</v>
      </c>
      <c r="L341" s="85">
        <f t="shared" si="203"/>
        <v>10.3</v>
      </c>
      <c r="M341" s="86">
        <f>'LABOR SHEET'!C$5</f>
        <v>57.65</v>
      </c>
      <c r="N341" s="83">
        <f t="shared" si="204"/>
        <v>296.8975</v>
      </c>
      <c r="O341" s="83">
        <f t="shared" si="205"/>
        <v>593.795</v>
      </c>
      <c r="P341" s="83">
        <f t="shared" si="206"/>
        <v>1346.8975</v>
      </c>
      <c r="Q341" s="114">
        <f t="shared" si="207"/>
        <v>2693.795</v>
      </c>
      <c r="R341" s="101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</row>
    <row r="342" s="31" customFormat="1" ht="46.8" spans="1:36">
      <c r="A342" s="55">
        <f>IF(G342&lt;&gt;"",1+MAX($A$3:A341),"")</f>
        <v>281</v>
      </c>
      <c r="B342" s="77"/>
      <c r="C342" s="78"/>
      <c r="D342" s="119" t="s">
        <v>312</v>
      </c>
      <c r="E342" s="75">
        <v>2</v>
      </c>
      <c r="F342" s="58" t="s">
        <v>57</v>
      </c>
      <c r="G342" s="80">
        <v>0</v>
      </c>
      <c r="H342" s="81">
        <f t="shared" si="201"/>
        <v>2</v>
      </c>
      <c r="I342" s="83">
        <v>450</v>
      </c>
      <c r="J342" s="83">
        <f t="shared" si="202"/>
        <v>900</v>
      </c>
      <c r="K342" s="84">
        <v>2.25</v>
      </c>
      <c r="L342" s="85">
        <f t="shared" si="203"/>
        <v>4.5</v>
      </c>
      <c r="M342" s="86">
        <f>'LABOR SHEET'!C$5</f>
        <v>57.65</v>
      </c>
      <c r="N342" s="83">
        <f t="shared" si="204"/>
        <v>129.7125</v>
      </c>
      <c r="O342" s="83">
        <f t="shared" si="205"/>
        <v>259.425</v>
      </c>
      <c r="P342" s="83">
        <f t="shared" si="206"/>
        <v>579.7125</v>
      </c>
      <c r="Q342" s="114">
        <f t="shared" si="207"/>
        <v>1159.425</v>
      </c>
      <c r="R342" s="101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</row>
    <row r="343" s="31" customFormat="1" ht="78" spans="1:36">
      <c r="A343" s="55">
        <f>IF(G343&lt;&gt;"",1+MAX($A$3:A342),"")</f>
        <v>282</v>
      </c>
      <c r="B343" s="77"/>
      <c r="C343" s="78"/>
      <c r="D343" s="119" t="s">
        <v>313</v>
      </c>
      <c r="E343" s="75">
        <v>2</v>
      </c>
      <c r="F343" s="58" t="s">
        <v>57</v>
      </c>
      <c r="G343" s="80">
        <v>0</v>
      </c>
      <c r="H343" s="81">
        <f t="shared" si="201"/>
        <v>2</v>
      </c>
      <c r="I343" s="83">
        <v>165</v>
      </c>
      <c r="J343" s="83">
        <f t="shared" si="202"/>
        <v>330</v>
      </c>
      <c r="K343" s="84">
        <v>1.25</v>
      </c>
      <c r="L343" s="85">
        <f t="shared" si="203"/>
        <v>2.5</v>
      </c>
      <c r="M343" s="86">
        <f>'LABOR SHEET'!C$5</f>
        <v>57.65</v>
      </c>
      <c r="N343" s="83">
        <f t="shared" si="204"/>
        <v>72.0625</v>
      </c>
      <c r="O343" s="83">
        <f t="shared" si="205"/>
        <v>144.125</v>
      </c>
      <c r="P343" s="83">
        <f t="shared" si="206"/>
        <v>237.0625</v>
      </c>
      <c r="Q343" s="114">
        <f t="shared" si="207"/>
        <v>474.125</v>
      </c>
      <c r="R343" s="101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</row>
    <row r="344" s="31" customFormat="1" ht="46.8" spans="1:36">
      <c r="A344" s="55">
        <f>IF(G344&lt;&gt;"",1+MAX($A$3:A343),"")</f>
        <v>283</v>
      </c>
      <c r="B344" s="77"/>
      <c r="C344" s="78"/>
      <c r="D344" s="119" t="s">
        <v>314</v>
      </c>
      <c r="E344" s="75">
        <v>4</v>
      </c>
      <c r="F344" s="58" t="s">
        <v>57</v>
      </c>
      <c r="G344" s="80">
        <v>0</v>
      </c>
      <c r="H344" s="81">
        <f t="shared" si="201"/>
        <v>4</v>
      </c>
      <c r="I344" s="83">
        <v>858</v>
      </c>
      <c r="J344" s="83">
        <f t="shared" si="202"/>
        <v>3432</v>
      </c>
      <c r="K344" s="84">
        <v>4.89</v>
      </c>
      <c r="L344" s="85">
        <f t="shared" si="203"/>
        <v>19.56</v>
      </c>
      <c r="M344" s="86">
        <f>'LABOR SHEET'!C$5</f>
        <v>57.65</v>
      </c>
      <c r="N344" s="83">
        <f t="shared" si="204"/>
        <v>281.9085</v>
      </c>
      <c r="O344" s="83">
        <f t="shared" si="205"/>
        <v>1127.634</v>
      </c>
      <c r="P344" s="83">
        <f t="shared" si="206"/>
        <v>1139.9085</v>
      </c>
      <c r="Q344" s="114">
        <f t="shared" si="207"/>
        <v>4559.634</v>
      </c>
      <c r="R344" s="101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</row>
    <row r="345" s="31" customFormat="1" ht="46.8" spans="1:36">
      <c r="A345" s="55">
        <f>IF(G345&lt;&gt;"",1+MAX($A$3:A344),"")</f>
        <v>284</v>
      </c>
      <c r="B345" s="77"/>
      <c r="C345" s="78"/>
      <c r="D345" s="119" t="s">
        <v>315</v>
      </c>
      <c r="E345" s="75">
        <v>1</v>
      </c>
      <c r="F345" s="58" t="s">
        <v>57</v>
      </c>
      <c r="G345" s="80">
        <v>0</v>
      </c>
      <c r="H345" s="81">
        <f t="shared" si="201"/>
        <v>1</v>
      </c>
      <c r="I345" s="83">
        <v>485</v>
      </c>
      <c r="J345" s="83">
        <f t="shared" si="202"/>
        <v>485</v>
      </c>
      <c r="K345" s="84">
        <v>2.85</v>
      </c>
      <c r="L345" s="85">
        <f t="shared" si="203"/>
        <v>2.85</v>
      </c>
      <c r="M345" s="86">
        <f>'LABOR SHEET'!C$5</f>
        <v>57.65</v>
      </c>
      <c r="N345" s="83">
        <f t="shared" si="204"/>
        <v>164.3025</v>
      </c>
      <c r="O345" s="83">
        <f t="shared" si="205"/>
        <v>164.3025</v>
      </c>
      <c r="P345" s="83">
        <f t="shared" si="206"/>
        <v>649.3025</v>
      </c>
      <c r="Q345" s="114">
        <f t="shared" si="207"/>
        <v>649.3025</v>
      </c>
      <c r="R345" s="101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</row>
    <row r="346" s="31" customFormat="1" ht="78" spans="1:36">
      <c r="A346" s="55">
        <f>IF(G346&lt;&gt;"",1+MAX($A$3:A345),"")</f>
        <v>285</v>
      </c>
      <c r="B346" s="77"/>
      <c r="C346" s="78"/>
      <c r="D346" s="119" t="s">
        <v>316</v>
      </c>
      <c r="E346" s="75">
        <v>12</v>
      </c>
      <c r="F346" s="58" t="s">
        <v>57</v>
      </c>
      <c r="G346" s="80">
        <v>0</v>
      </c>
      <c r="H346" s="81">
        <f t="shared" si="201"/>
        <v>12</v>
      </c>
      <c r="I346" s="83">
        <v>1250</v>
      </c>
      <c r="J346" s="83">
        <f t="shared" si="202"/>
        <v>15000</v>
      </c>
      <c r="K346" s="84">
        <v>5.5</v>
      </c>
      <c r="L346" s="85">
        <f t="shared" si="203"/>
        <v>66</v>
      </c>
      <c r="M346" s="86">
        <f>'LABOR SHEET'!C$5</f>
        <v>57.65</v>
      </c>
      <c r="N346" s="83">
        <f t="shared" si="204"/>
        <v>317.075</v>
      </c>
      <c r="O346" s="83">
        <f t="shared" si="205"/>
        <v>3804.9</v>
      </c>
      <c r="P346" s="83">
        <f t="shared" si="206"/>
        <v>1567.075</v>
      </c>
      <c r="Q346" s="114">
        <f t="shared" si="207"/>
        <v>18804.9</v>
      </c>
      <c r="R346" s="101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</row>
    <row r="347" s="31" customFormat="1" ht="78" spans="1:36">
      <c r="A347" s="55">
        <f>IF(G347&lt;&gt;"",1+MAX($A$3:A346),"")</f>
        <v>286</v>
      </c>
      <c r="B347" s="77"/>
      <c r="C347" s="78"/>
      <c r="D347" s="119" t="s">
        <v>317</v>
      </c>
      <c r="E347" s="75">
        <v>1</v>
      </c>
      <c r="F347" s="58" t="s">
        <v>57</v>
      </c>
      <c r="G347" s="80">
        <v>0</v>
      </c>
      <c r="H347" s="81">
        <f t="shared" si="201"/>
        <v>1</v>
      </c>
      <c r="I347" s="83">
        <v>1325</v>
      </c>
      <c r="J347" s="83">
        <f t="shared" si="202"/>
        <v>1325</v>
      </c>
      <c r="K347" s="84">
        <v>5.5</v>
      </c>
      <c r="L347" s="85">
        <f t="shared" si="203"/>
        <v>5.5</v>
      </c>
      <c r="M347" s="86">
        <f>'LABOR SHEET'!C$5</f>
        <v>57.65</v>
      </c>
      <c r="N347" s="83">
        <f t="shared" si="204"/>
        <v>317.075</v>
      </c>
      <c r="O347" s="83">
        <f t="shared" si="205"/>
        <v>317.075</v>
      </c>
      <c r="P347" s="83">
        <f t="shared" si="206"/>
        <v>1642.075</v>
      </c>
      <c r="Q347" s="114">
        <f t="shared" si="207"/>
        <v>1642.075</v>
      </c>
      <c r="R347" s="101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</row>
    <row r="348" s="31" customFormat="1" ht="109.2" spans="1:36">
      <c r="A348" s="55">
        <f>IF(G348&lt;&gt;"",1+MAX($A$3:A347),"")</f>
        <v>287</v>
      </c>
      <c r="B348" s="77"/>
      <c r="C348" s="78"/>
      <c r="D348" s="119" t="s">
        <v>318</v>
      </c>
      <c r="E348" s="75">
        <v>1</v>
      </c>
      <c r="F348" s="58" t="s">
        <v>57</v>
      </c>
      <c r="G348" s="80">
        <v>0</v>
      </c>
      <c r="H348" s="81">
        <f t="shared" si="201"/>
        <v>1</v>
      </c>
      <c r="I348" s="83">
        <v>1650</v>
      </c>
      <c r="J348" s="83">
        <f t="shared" si="202"/>
        <v>1650</v>
      </c>
      <c r="K348" s="84">
        <v>5.5</v>
      </c>
      <c r="L348" s="85">
        <f t="shared" si="203"/>
        <v>5.5</v>
      </c>
      <c r="M348" s="86">
        <f>'LABOR SHEET'!C$5</f>
        <v>57.65</v>
      </c>
      <c r="N348" s="83">
        <f t="shared" si="204"/>
        <v>317.075</v>
      </c>
      <c r="O348" s="83">
        <f t="shared" si="205"/>
        <v>317.075</v>
      </c>
      <c r="P348" s="83">
        <f t="shared" si="206"/>
        <v>1967.075</v>
      </c>
      <c r="Q348" s="114">
        <f t="shared" si="207"/>
        <v>1967.075</v>
      </c>
      <c r="R348" s="101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</row>
    <row r="349" s="31" customFormat="1" ht="109.2" spans="1:36">
      <c r="A349" s="55">
        <f>IF(G349&lt;&gt;"",1+MAX($A$3:A348),"")</f>
        <v>288</v>
      </c>
      <c r="B349" s="77"/>
      <c r="C349" s="78"/>
      <c r="D349" s="119" t="s">
        <v>319</v>
      </c>
      <c r="E349" s="75">
        <v>8</v>
      </c>
      <c r="F349" s="58" t="s">
        <v>57</v>
      </c>
      <c r="G349" s="80">
        <v>0</v>
      </c>
      <c r="H349" s="81">
        <f t="shared" ref="H349:H353" si="208">E349*(1+G349)</f>
        <v>8</v>
      </c>
      <c r="I349" s="83">
        <v>243.99</v>
      </c>
      <c r="J349" s="83">
        <f t="shared" ref="J349:J353" si="209">I349*H349</f>
        <v>1951.92</v>
      </c>
      <c r="K349" s="84">
        <v>1.35</v>
      </c>
      <c r="L349" s="85">
        <f t="shared" si="203"/>
        <v>10.8</v>
      </c>
      <c r="M349" s="86">
        <f>'LABOR SHEET'!C$5</f>
        <v>57.65</v>
      </c>
      <c r="N349" s="83">
        <f t="shared" si="204"/>
        <v>77.8275</v>
      </c>
      <c r="O349" s="83">
        <f t="shared" si="205"/>
        <v>622.62</v>
      </c>
      <c r="P349" s="83">
        <f t="shared" si="206"/>
        <v>321.8175</v>
      </c>
      <c r="Q349" s="114">
        <f t="shared" si="207"/>
        <v>2574.54</v>
      </c>
      <c r="R349" s="101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</row>
    <row r="350" s="31" customFormat="1" ht="93.6" spans="1:36">
      <c r="A350" s="55">
        <f>IF(G350&lt;&gt;"",1+MAX($A$3:A349),"")</f>
        <v>289</v>
      </c>
      <c r="B350" s="77"/>
      <c r="C350" s="78"/>
      <c r="D350" s="119" t="s">
        <v>320</v>
      </c>
      <c r="E350" s="75">
        <v>1</v>
      </c>
      <c r="F350" s="58" t="s">
        <v>57</v>
      </c>
      <c r="G350" s="80">
        <v>0</v>
      </c>
      <c r="H350" s="81">
        <f t="shared" si="208"/>
        <v>1</v>
      </c>
      <c r="I350" s="83">
        <v>294.7</v>
      </c>
      <c r="J350" s="83">
        <f t="shared" si="209"/>
        <v>294.7</v>
      </c>
      <c r="K350" s="84">
        <v>1.4</v>
      </c>
      <c r="L350" s="85">
        <f t="shared" si="203"/>
        <v>1.4</v>
      </c>
      <c r="M350" s="86">
        <f>'LABOR SHEET'!C$5</f>
        <v>57.65</v>
      </c>
      <c r="N350" s="83">
        <f t="shared" si="204"/>
        <v>80.71</v>
      </c>
      <c r="O350" s="83">
        <f t="shared" si="205"/>
        <v>80.71</v>
      </c>
      <c r="P350" s="83">
        <f t="shared" si="206"/>
        <v>375.41</v>
      </c>
      <c r="Q350" s="114">
        <f t="shared" si="207"/>
        <v>375.41</v>
      </c>
      <c r="R350" s="101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</row>
    <row r="351" s="31" customFormat="1" ht="109.2" spans="1:36">
      <c r="A351" s="55">
        <f>IF(G351&lt;&gt;"",1+MAX($A$3:A350),"")</f>
        <v>290</v>
      </c>
      <c r="B351" s="77"/>
      <c r="C351" s="78"/>
      <c r="D351" s="119" t="s">
        <v>321</v>
      </c>
      <c r="E351" s="75">
        <v>1</v>
      </c>
      <c r="F351" s="58" t="s">
        <v>57</v>
      </c>
      <c r="G351" s="80">
        <v>0</v>
      </c>
      <c r="H351" s="81">
        <f t="shared" si="208"/>
        <v>1</v>
      </c>
      <c r="I351" s="83">
        <f>294.7/2*3</f>
        <v>442.05</v>
      </c>
      <c r="J351" s="83">
        <f t="shared" si="209"/>
        <v>442.05</v>
      </c>
      <c r="K351" s="84">
        <v>1.42</v>
      </c>
      <c r="L351" s="85">
        <f t="shared" si="203"/>
        <v>1.42</v>
      </c>
      <c r="M351" s="86">
        <f>'LABOR SHEET'!C$5</f>
        <v>57.65</v>
      </c>
      <c r="N351" s="83">
        <f t="shared" si="204"/>
        <v>81.863</v>
      </c>
      <c r="O351" s="83">
        <f t="shared" si="205"/>
        <v>81.863</v>
      </c>
      <c r="P351" s="83">
        <f t="shared" si="206"/>
        <v>523.913</v>
      </c>
      <c r="Q351" s="114">
        <f t="shared" si="207"/>
        <v>523.913</v>
      </c>
      <c r="R351" s="101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</row>
    <row r="352" s="31" customFormat="1" ht="78" spans="1:36">
      <c r="A352" s="55">
        <f>IF(G352&lt;&gt;"",1+MAX($A$3:A351),"")</f>
        <v>291</v>
      </c>
      <c r="B352" s="77"/>
      <c r="C352" s="78"/>
      <c r="D352" s="119" t="s">
        <v>322</v>
      </c>
      <c r="E352" s="75">
        <v>1</v>
      </c>
      <c r="F352" s="58" t="s">
        <v>57</v>
      </c>
      <c r="G352" s="80">
        <v>0</v>
      </c>
      <c r="H352" s="81">
        <f t="shared" si="208"/>
        <v>1</v>
      </c>
      <c r="I352" s="83">
        <f>345*5</f>
        <v>1725</v>
      </c>
      <c r="J352" s="83">
        <f t="shared" si="209"/>
        <v>1725</v>
      </c>
      <c r="K352" s="84">
        <f>0.35*5</f>
        <v>1.75</v>
      </c>
      <c r="L352" s="85">
        <f t="shared" si="203"/>
        <v>1.75</v>
      </c>
      <c r="M352" s="86">
        <f>'LABOR SHEET'!C$5</f>
        <v>57.65</v>
      </c>
      <c r="N352" s="83">
        <f t="shared" si="204"/>
        <v>100.8875</v>
      </c>
      <c r="O352" s="83">
        <f t="shared" si="205"/>
        <v>100.8875</v>
      </c>
      <c r="P352" s="83">
        <f t="shared" si="206"/>
        <v>1825.8875</v>
      </c>
      <c r="Q352" s="114">
        <f t="shared" si="207"/>
        <v>1825.8875</v>
      </c>
      <c r="R352" s="101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</row>
    <row r="353" s="31" customFormat="1" ht="46.8" spans="1:36">
      <c r="A353" s="55">
        <f>IF(G353&lt;&gt;"",1+MAX($A$3:A352),"")</f>
        <v>292</v>
      </c>
      <c r="B353" s="77"/>
      <c r="C353" s="78"/>
      <c r="D353" s="119" t="s">
        <v>323</v>
      </c>
      <c r="E353" s="75">
        <v>6</v>
      </c>
      <c r="F353" s="58" t="s">
        <v>57</v>
      </c>
      <c r="G353" s="80">
        <v>0</v>
      </c>
      <c r="H353" s="81">
        <f t="shared" si="208"/>
        <v>6</v>
      </c>
      <c r="I353" s="83">
        <f>345*5</f>
        <v>1725</v>
      </c>
      <c r="J353" s="83">
        <f t="shared" si="209"/>
        <v>10350</v>
      </c>
      <c r="K353" s="84">
        <f>0.35*5</f>
        <v>1.75</v>
      </c>
      <c r="L353" s="85">
        <f t="shared" si="203"/>
        <v>10.5</v>
      </c>
      <c r="M353" s="86">
        <f>'LABOR SHEET'!C$5</f>
        <v>57.65</v>
      </c>
      <c r="N353" s="83">
        <f t="shared" si="204"/>
        <v>100.8875</v>
      </c>
      <c r="O353" s="83">
        <f t="shared" si="205"/>
        <v>605.325</v>
      </c>
      <c r="P353" s="83">
        <f t="shared" si="206"/>
        <v>1825.8875</v>
      </c>
      <c r="Q353" s="114">
        <f t="shared" si="207"/>
        <v>10955.325</v>
      </c>
      <c r="R353" s="101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</row>
    <row r="354" s="31" customFormat="1" ht="93.6" spans="1:36">
      <c r="A354" s="55" t="str">
        <f>IF(G354&lt;&gt;"",1+MAX($A$3:A353),"")</f>
        <v/>
      </c>
      <c r="B354" s="77"/>
      <c r="C354" s="78"/>
      <c r="D354" s="119" t="s">
        <v>324</v>
      </c>
      <c r="E354" s="75">
        <v>1</v>
      </c>
      <c r="F354" s="58" t="s">
        <v>57</v>
      </c>
      <c r="G354" s="120"/>
      <c r="H354" s="121"/>
      <c r="I354" s="121"/>
      <c r="J354" s="121"/>
      <c r="K354" s="121"/>
      <c r="L354" s="121"/>
      <c r="M354" s="162"/>
      <c r="N354" s="163"/>
      <c r="O354" s="163"/>
      <c r="P354" s="163"/>
      <c r="Q354" s="182"/>
      <c r="R354" s="18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</row>
    <row r="355" s="31" customFormat="1" spans="1:36">
      <c r="A355" s="55" t="str">
        <f>IF(G355&lt;&gt;"",1+MAX($A$3:A354),"")</f>
        <v/>
      </c>
      <c r="B355" s="77"/>
      <c r="C355" s="78"/>
      <c r="D355" s="60"/>
      <c r="E355" s="64"/>
      <c r="F355" s="61"/>
      <c r="G355" s="115"/>
      <c r="H355" s="116"/>
      <c r="I355" s="87"/>
      <c r="J355" s="87"/>
      <c r="K355" s="84"/>
      <c r="L355" s="89"/>
      <c r="M355" s="90"/>
      <c r="N355" s="87"/>
      <c r="O355" s="87"/>
      <c r="P355" s="87"/>
      <c r="Q355" s="117"/>
      <c r="R355" s="118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</row>
    <row r="356" s="31" customFormat="1" ht="18" spans="1:36">
      <c r="A356" s="55" t="str">
        <f>IF(G356&lt;&gt;"",1+MAX($A$3:A355),"")</f>
        <v/>
      </c>
      <c r="B356" s="77"/>
      <c r="C356" s="75"/>
      <c r="D356" s="76" t="s">
        <v>325</v>
      </c>
      <c r="E356" s="58"/>
      <c r="F356" s="58"/>
      <c r="G356" s="58"/>
      <c r="H356" s="58"/>
      <c r="I356" s="87"/>
      <c r="J356" s="83"/>
      <c r="K356" s="84"/>
      <c r="L356" s="93"/>
      <c r="M356" s="94"/>
      <c r="N356" s="83"/>
      <c r="O356" s="83"/>
      <c r="P356" s="83"/>
      <c r="Q356" s="111"/>
      <c r="R356" s="112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</row>
    <row r="357" s="31" customFormat="1" spans="1:36">
      <c r="A357" s="55">
        <f>IF(G357&lt;&gt;"",1+MAX($A$3:A356),"")</f>
        <v>293</v>
      </c>
      <c r="B357" s="77"/>
      <c r="C357" s="78"/>
      <c r="D357" s="57" t="s">
        <v>288</v>
      </c>
      <c r="E357" s="75">
        <v>2</v>
      </c>
      <c r="F357" s="58" t="s">
        <v>57</v>
      </c>
      <c r="G357" s="80">
        <v>0</v>
      </c>
      <c r="H357" s="81">
        <f>E357*(1+G357)</f>
        <v>2</v>
      </c>
      <c r="I357" s="83">
        <v>250</v>
      </c>
      <c r="J357" s="83">
        <f>I357*H357</f>
        <v>500</v>
      </c>
      <c r="K357" s="84">
        <v>2.5</v>
      </c>
      <c r="L357" s="85">
        <f t="shared" ref="L357:L360" si="210">+K357*H357</f>
        <v>5</v>
      </c>
      <c r="M357" s="86">
        <f>'LABOR SHEET'!C$5</f>
        <v>57.65</v>
      </c>
      <c r="N357" s="83">
        <f t="shared" ref="N357:N360" si="211">K357*M357</f>
        <v>144.125</v>
      </c>
      <c r="O357" s="83">
        <f t="shared" ref="O357:O360" si="212">M357*L357</f>
        <v>288.25</v>
      </c>
      <c r="P357" s="83">
        <f t="shared" ref="P357:P360" si="213">I357+N357</f>
        <v>394.125</v>
      </c>
      <c r="Q357" s="114">
        <f t="shared" ref="Q357:Q360" si="214">P357*H357</f>
        <v>788.25</v>
      </c>
      <c r="R357" s="101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</row>
    <row r="358" s="31" customFormat="1" spans="1:36">
      <c r="A358" s="55">
        <f>IF(G358&lt;&gt;"",1+MAX($A$3:A357),"")</f>
        <v>294</v>
      </c>
      <c r="B358" s="77"/>
      <c r="C358" s="78"/>
      <c r="D358" s="57" t="s">
        <v>326</v>
      </c>
      <c r="E358" s="75">
        <v>8</v>
      </c>
      <c r="F358" s="58" t="s">
        <v>57</v>
      </c>
      <c r="G358" s="80">
        <v>0</v>
      </c>
      <c r="H358" s="81">
        <f>E358*(1+G358)</f>
        <v>8</v>
      </c>
      <c r="I358" s="83">
        <v>22</v>
      </c>
      <c r="J358" s="83">
        <f>I358*H358</f>
        <v>176</v>
      </c>
      <c r="K358" s="84">
        <v>0.45</v>
      </c>
      <c r="L358" s="85">
        <f t="shared" si="210"/>
        <v>3.6</v>
      </c>
      <c r="M358" s="86">
        <f>'LABOR SHEET'!C$5</f>
        <v>57.65</v>
      </c>
      <c r="N358" s="83">
        <f t="shared" si="211"/>
        <v>25.9425</v>
      </c>
      <c r="O358" s="83">
        <f t="shared" si="212"/>
        <v>207.54</v>
      </c>
      <c r="P358" s="83">
        <f t="shared" si="213"/>
        <v>47.9425</v>
      </c>
      <c r="Q358" s="114">
        <f t="shared" si="214"/>
        <v>383.54</v>
      </c>
      <c r="R358" s="101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</row>
    <row r="359" s="31" customFormat="1" spans="1:36">
      <c r="A359" s="55">
        <f>IF(G359&lt;&gt;"",1+MAX($A$3:A358),"")</f>
        <v>295</v>
      </c>
      <c r="B359" s="77"/>
      <c r="C359" s="78"/>
      <c r="D359" s="57" t="s">
        <v>327</v>
      </c>
      <c r="E359" s="75">
        <v>2</v>
      </c>
      <c r="F359" s="58" t="s">
        <v>57</v>
      </c>
      <c r="G359" s="80">
        <v>0</v>
      </c>
      <c r="H359" s="81">
        <f>E359*(1+G359)</f>
        <v>2</v>
      </c>
      <c r="I359" s="83">
        <v>16.28</v>
      </c>
      <c r="J359" s="83">
        <f>I359*H359</f>
        <v>32.56</v>
      </c>
      <c r="K359" s="84">
        <v>0.35</v>
      </c>
      <c r="L359" s="85">
        <f t="shared" si="210"/>
        <v>0.7</v>
      </c>
      <c r="M359" s="86">
        <f>'LABOR SHEET'!C$5</f>
        <v>57.65</v>
      </c>
      <c r="N359" s="83">
        <f t="shared" si="211"/>
        <v>20.1775</v>
      </c>
      <c r="O359" s="83">
        <f t="shared" si="212"/>
        <v>40.355</v>
      </c>
      <c r="P359" s="83">
        <f t="shared" si="213"/>
        <v>36.4575</v>
      </c>
      <c r="Q359" s="114">
        <f t="shared" si="214"/>
        <v>72.915</v>
      </c>
      <c r="R359" s="101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</row>
    <row r="360" s="31" customFormat="1" spans="1:36">
      <c r="A360" s="55">
        <f>IF(G360&lt;&gt;"",1+MAX($A$3:A359),"")</f>
        <v>296</v>
      </c>
      <c r="B360" s="77"/>
      <c r="C360" s="78"/>
      <c r="D360" s="57" t="s">
        <v>328</v>
      </c>
      <c r="E360" s="75">
        <f>(3*1*1312)/27</f>
        <v>145.777777777778</v>
      </c>
      <c r="F360" s="122" t="s">
        <v>329</v>
      </c>
      <c r="G360" s="80">
        <v>0</v>
      </c>
      <c r="H360" s="81">
        <f>E360*(1+G360)</f>
        <v>145.777777777778</v>
      </c>
      <c r="I360" s="83">
        <v>5</v>
      </c>
      <c r="J360" s="83">
        <f>I360*H360</f>
        <v>728.88888888889</v>
      </c>
      <c r="K360" s="84">
        <f>0.28+0.26</f>
        <v>0.54</v>
      </c>
      <c r="L360" s="85">
        <f t="shared" si="210"/>
        <v>78.7200000000001</v>
      </c>
      <c r="M360" s="86">
        <f>'LABOR SHEET'!C$5</f>
        <v>57.65</v>
      </c>
      <c r="N360" s="83">
        <f t="shared" si="211"/>
        <v>31.131</v>
      </c>
      <c r="O360" s="83">
        <f t="shared" si="212"/>
        <v>4538.20800000001</v>
      </c>
      <c r="P360" s="83">
        <f t="shared" si="213"/>
        <v>36.131</v>
      </c>
      <c r="Q360" s="114">
        <f t="shared" si="214"/>
        <v>5267.0968888889</v>
      </c>
      <c r="R360" s="101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</row>
    <row r="361" s="31" customFormat="1" ht="16.35" spans="1:36">
      <c r="A361" s="55" t="str">
        <f>IF(G361&lt;&gt;"",1+MAX($A$3:A360),"")</f>
        <v/>
      </c>
      <c r="B361" s="77"/>
      <c r="C361" s="78"/>
      <c r="D361" s="57"/>
      <c r="E361" s="75"/>
      <c r="F361" s="58"/>
      <c r="G361" s="80"/>
      <c r="H361" s="81"/>
      <c r="I361" s="83"/>
      <c r="J361" s="83"/>
      <c r="K361" s="84"/>
      <c r="L361" s="85"/>
      <c r="M361" s="86"/>
      <c r="N361" s="83"/>
      <c r="O361" s="83"/>
      <c r="P361" s="83"/>
      <c r="Q361" s="114"/>
      <c r="R361" s="101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</row>
    <row r="362" s="31" customFormat="1" ht="18.75" spans="1:19">
      <c r="A362" s="62" t="str">
        <f>IF(G362&lt;&gt;"",1+MAX($A$3:A361),"")</f>
        <v/>
      </c>
      <c r="B362" s="123"/>
      <c r="C362" s="124"/>
      <c r="D362" s="66" t="s">
        <v>42</v>
      </c>
      <c r="E362" s="125"/>
      <c r="F362" s="126"/>
      <c r="G362" s="126"/>
      <c r="H362" s="127"/>
      <c r="I362" s="164"/>
      <c r="J362" s="164"/>
      <c r="K362" s="126"/>
      <c r="L362" s="165"/>
      <c r="M362" s="165"/>
      <c r="N362" s="164"/>
      <c r="O362" s="166"/>
      <c r="P362" s="167"/>
      <c r="Q362" s="184"/>
      <c r="R362" s="106">
        <f>SUM(Q15:Q362)</f>
        <v>539602.913568064</v>
      </c>
      <c r="S362" s="185"/>
    </row>
    <row r="363" s="31" customFormat="1" spans="1:19">
      <c r="A363" s="69" t="str">
        <f>IF(G363&lt;&gt;"",1+MAX($A$3:A362),"")</f>
        <v/>
      </c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107"/>
      <c r="S363" s="185"/>
    </row>
    <row r="364" s="31" customFormat="1" ht="16.35" spans="1:19">
      <c r="A364" s="69" t="str">
        <f>IF(G364&lt;&gt;"",1+MAX($A$3:A363),"")</f>
        <v/>
      </c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107"/>
      <c r="S364" s="185"/>
    </row>
    <row r="365" s="32" customFormat="1" ht="21.75" spans="1:19">
      <c r="A365" s="128"/>
      <c r="B365" s="129"/>
      <c r="C365" s="129"/>
      <c r="D365" s="130"/>
      <c r="E365" s="131" t="s">
        <v>24</v>
      </c>
      <c r="F365" s="132"/>
      <c r="G365" s="133"/>
      <c r="H365" s="134">
        <f>SUM(J15:J363)</f>
        <v>359275.380834889</v>
      </c>
      <c r="I365" s="168"/>
      <c r="J365" s="169" t="s">
        <v>330</v>
      </c>
      <c r="K365" s="170"/>
      <c r="L365" s="171">
        <f>SUM(L15:L363)</f>
        <v>3127.9710795</v>
      </c>
      <c r="M365" s="172" t="s">
        <v>331</v>
      </c>
      <c r="N365" s="173"/>
      <c r="O365" s="174"/>
      <c r="P365" s="175">
        <f>SUM(O15:O363)</f>
        <v>180327.532733175</v>
      </c>
      <c r="Q365" s="186"/>
      <c r="R365" s="187"/>
      <c r="S365" s="188"/>
    </row>
    <row r="366" s="32" customFormat="1" ht="21" spans="1:19">
      <c r="A366" s="135"/>
      <c r="B366" s="136"/>
      <c r="C366" s="137"/>
      <c r="D366" s="138" t="s">
        <v>332</v>
      </c>
      <c r="E366" s="139"/>
      <c r="F366" s="139"/>
      <c r="G366" s="139"/>
      <c r="H366" s="140"/>
      <c r="I366" s="176"/>
      <c r="J366" s="176"/>
      <c r="K366" s="139"/>
      <c r="L366" s="139"/>
      <c r="M366" s="139"/>
      <c r="N366" s="176"/>
      <c r="O366" s="176"/>
      <c r="P366" s="176"/>
      <c r="Q366" s="189"/>
      <c r="R366" s="190">
        <f>SUM(R13:R363)</f>
        <v>593602.913568064</v>
      </c>
      <c r="S366" s="191"/>
    </row>
    <row r="367" s="32" customFormat="1" ht="21" spans="1:36">
      <c r="A367" s="135"/>
      <c r="B367" s="136"/>
      <c r="C367" s="141"/>
      <c r="D367" s="142" t="s">
        <v>333</v>
      </c>
      <c r="E367" s="143"/>
      <c r="F367" s="137"/>
      <c r="G367" s="137"/>
      <c r="H367" s="143"/>
      <c r="I367" s="177"/>
      <c r="J367" s="177"/>
      <c r="K367" s="137"/>
      <c r="L367" s="137"/>
      <c r="M367" s="137"/>
      <c r="N367" s="177">
        <v>0.05</v>
      </c>
      <c r="O367" s="177"/>
      <c r="P367" s="177"/>
      <c r="Q367" s="192"/>
      <c r="R367" s="193">
        <f>R366*N367</f>
        <v>29680.1456784032</v>
      </c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</row>
    <row r="368" s="32" customFormat="1" ht="21" spans="1:36">
      <c r="A368" s="144"/>
      <c r="B368" s="145"/>
      <c r="C368" s="146"/>
      <c r="D368" s="147" t="s">
        <v>334</v>
      </c>
      <c r="E368" s="148"/>
      <c r="F368" s="149"/>
      <c r="G368" s="149"/>
      <c r="H368" s="148"/>
      <c r="I368" s="178"/>
      <c r="J368" s="178"/>
      <c r="K368" s="149"/>
      <c r="L368" s="149"/>
      <c r="M368" s="149"/>
      <c r="N368" s="178">
        <v>0.1</v>
      </c>
      <c r="O368" s="178"/>
      <c r="P368" s="178"/>
      <c r="Q368" s="195"/>
      <c r="R368" s="196">
        <f>R366*N368</f>
        <v>59360.2913568064</v>
      </c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</row>
    <row r="369" s="32" customFormat="1" ht="21" spans="1:36">
      <c r="A369" s="150"/>
      <c r="B369" s="151"/>
      <c r="C369" s="152"/>
      <c r="D369" s="153" t="s">
        <v>335</v>
      </c>
      <c r="E369" s="154"/>
      <c r="F369" s="155"/>
      <c r="G369" s="155"/>
      <c r="H369" s="154"/>
      <c r="I369" s="179"/>
      <c r="J369" s="179"/>
      <c r="K369" s="155"/>
      <c r="L369" s="155"/>
      <c r="M369" s="155"/>
      <c r="N369" s="179">
        <v>0.105</v>
      </c>
      <c r="O369" s="179"/>
      <c r="P369" s="179"/>
      <c r="Q369" s="197"/>
      <c r="R369" s="198">
        <f>R366*N369</f>
        <v>62328.3059246467</v>
      </c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</row>
    <row r="370" s="32" customFormat="1" ht="21" spans="1:36">
      <c r="A370" s="150"/>
      <c r="B370" s="151"/>
      <c r="C370" s="152"/>
      <c r="D370" s="153" t="s">
        <v>10</v>
      </c>
      <c r="E370" s="154"/>
      <c r="F370" s="155"/>
      <c r="G370" s="155"/>
      <c r="H370" s="154"/>
      <c r="I370" s="180"/>
      <c r="J370" s="180"/>
      <c r="K370" s="155"/>
      <c r="L370" s="155"/>
      <c r="M370" s="155"/>
      <c r="N370" s="180">
        <v>0.015</v>
      </c>
      <c r="O370" s="180"/>
      <c r="P370" s="180"/>
      <c r="Q370" s="197"/>
      <c r="R370" s="198">
        <f>R366*N370</f>
        <v>8904.04370352096</v>
      </c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</row>
    <row r="371" s="32" customFormat="1" ht="21.75" spans="1:18">
      <c r="A371" s="156"/>
      <c r="B371" s="157"/>
      <c r="C371" s="158"/>
      <c r="D371" s="159" t="s">
        <v>11</v>
      </c>
      <c r="E371" s="160"/>
      <c r="F371" s="160"/>
      <c r="G371" s="160"/>
      <c r="H371" s="161"/>
      <c r="I371" s="181"/>
      <c r="J371" s="181"/>
      <c r="K371" s="160"/>
      <c r="L371" s="160"/>
      <c r="M371" s="160"/>
      <c r="N371" s="181"/>
      <c r="O371" s="181"/>
      <c r="P371" s="181"/>
      <c r="Q371" s="199"/>
      <c r="R371" s="200">
        <f>SUM(R366:R370)</f>
        <v>753875.700231441</v>
      </c>
    </row>
  </sheetData>
  <mergeCells count="13">
    <mergeCell ref="A1:R1"/>
    <mergeCell ref="A2:H2"/>
    <mergeCell ref="I2:R2"/>
    <mergeCell ref="A14:R14"/>
    <mergeCell ref="A363:R363"/>
    <mergeCell ref="A364:R364"/>
    <mergeCell ref="E365:G365"/>
    <mergeCell ref="H365:I365"/>
    <mergeCell ref="J365:K365"/>
    <mergeCell ref="M365:O365"/>
    <mergeCell ref="P365:Q365"/>
    <mergeCell ref="B17:B361"/>
    <mergeCell ref="Q5:Q11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371"/>
  <sheetViews>
    <sheetView showGridLines="0" zoomScale="55" zoomScaleNormal="55" zoomScaleSheetLayoutView="85" topLeftCell="C1" workbookViewId="0">
      <pane ySplit="3" topLeftCell="A4" activePane="bottomLeft" state="frozen"/>
      <selection/>
      <selection pane="bottomLeft" activeCell="C5" sqref="C5"/>
    </sheetView>
  </sheetViews>
  <sheetFormatPr defaultColWidth="9" defaultRowHeight="15.6"/>
  <cols>
    <col min="1" max="1" width="4.125" style="33" customWidth="1"/>
    <col min="2" max="2" width="9.25" style="33" customWidth="1"/>
    <col min="3" max="3" width="9.5" style="33" customWidth="1"/>
    <col min="4" max="4" width="83.125" style="33" customWidth="1"/>
    <col min="5" max="5" width="11.5" style="34" customWidth="1"/>
    <col min="6" max="6" width="10.5" style="33" customWidth="1"/>
    <col min="7" max="7" width="11.5" style="34" customWidth="1"/>
    <col min="8" max="8" width="14" style="34" customWidth="1"/>
    <col min="9" max="9" width="14.125" style="33" customWidth="1"/>
    <col min="10" max="10" width="14.625" style="33" customWidth="1"/>
    <col min="11" max="12" width="14" style="34" customWidth="1"/>
    <col min="13" max="14" width="12.5" style="33" customWidth="1"/>
    <col min="15" max="15" width="14" style="33" customWidth="1"/>
    <col min="16" max="16" width="14.25" style="33" customWidth="1"/>
    <col min="17" max="18" width="15.25" style="35" customWidth="1"/>
    <col min="19" max="19" width="11.75" style="33" customWidth="1"/>
    <col min="20" max="16384" width="9" style="33"/>
  </cols>
  <sheetData>
    <row r="1" ht="21.75" spans="1:18">
      <c r="A1" s="36" t="s">
        <v>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95"/>
    </row>
    <row r="2" s="27" customFormat="1" ht="63" customHeight="1" spans="1:18">
      <c r="A2" s="38" t="s">
        <v>14</v>
      </c>
      <c r="B2" s="39"/>
      <c r="C2" s="39"/>
      <c r="D2" s="39"/>
      <c r="E2" s="39"/>
      <c r="F2" s="39"/>
      <c r="G2" s="39"/>
      <c r="H2" s="40"/>
      <c r="I2" s="39" t="s">
        <v>15</v>
      </c>
      <c r="J2" s="39"/>
      <c r="K2" s="39"/>
      <c r="L2" s="39"/>
      <c r="M2" s="39"/>
      <c r="N2" s="39"/>
      <c r="O2" s="39"/>
      <c r="P2" s="39"/>
      <c r="Q2" s="39"/>
      <c r="R2" s="40"/>
    </row>
    <row r="3" s="28" customFormat="1" ht="59.45" customHeight="1" spans="1:18">
      <c r="A3" s="41" t="s">
        <v>16</v>
      </c>
      <c r="B3" s="42" t="s">
        <v>17</v>
      </c>
      <c r="C3" s="42" t="s">
        <v>18</v>
      </c>
      <c r="D3" s="43" t="s">
        <v>2</v>
      </c>
      <c r="E3" s="42" t="s">
        <v>19</v>
      </c>
      <c r="F3" s="42" t="s">
        <v>20</v>
      </c>
      <c r="G3" s="42" t="s">
        <v>21</v>
      </c>
      <c r="H3" s="42" t="s">
        <v>22</v>
      </c>
      <c r="I3" s="42" t="s">
        <v>23</v>
      </c>
      <c r="J3" s="42" t="s">
        <v>24</v>
      </c>
      <c r="K3" s="42" t="s">
        <v>25</v>
      </c>
      <c r="L3" s="42" t="s">
        <v>26</v>
      </c>
      <c r="M3" s="42" t="s">
        <v>27</v>
      </c>
      <c r="N3" s="42" t="s">
        <v>28</v>
      </c>
      <c r="O3" s="42" t="s">
        <v>29</v>
      </c>
      <c r="P3" s="42" t="s">
        <v>30</v>
      </c>
      <c r="Q3" s="96" t="s">
        <v>31</v>
      </c>
      <c r="R3" s="97" t="s">
        <v>32</v>
      </c>
    </row>
    <row r="4" s="29" customFormat="1" ht="18" customHeight="1" spans="1:20">
      <c r="A4" s="44"/>
      <c r="B4" s="45"/>
      <c r="C4" s="46">
        <v>1</v>
      </c>
      <c r="D4" s="47" t="s">
        <v>33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98"/>
      <c r="R4" s="99"/>
      <c r="S4" s="28"/>
      <c r="T4" s="28"/>
    </row>
    <row r="5" ht="18" customHeight="1" spans="1:20">
      <c r="A5" s="48">
        <f>IF(G5&lt;&gt;"",1+MAX($A$3:A4),"")</f>
        <v>1</v>
      </c>
      <c r="B5" s="49"/>
      <c r="C5" s="50"/>
      <c r="D5" s="51" t="s">
        <v>34</v>
      </c>
      <c r="E5" s="52">
        <v>1</v>
      </c>
      <c r="F5" s="52" t="s">
        <v>35</v>
      </c>
      <c r="G5" s="53">
        <v>0</v>
      </c>
      <c r="H5" s="54">
        <f t="shared" ref="H5:H11" si="0">(G5*E5)+E5</f>
        <v>1</v>
      </c>
      <c r="I5" s="83">
        <v>0</v>
      </c>
      <c r="J5" s="83">
        <f t="shared" ref="J5:J11" si="1">I5*H5</f>
        <v>0</v>
      </c>
      <c r="K5" s="84">
        <v>0</v>
      </c>
      <c r="L5" s="85">
        <f t="shared" ref="L5:L11" si="2">+K5*H5</f>
        <v>0</v>
      </c>
      <c r="M5" s="86">
        <v>0</v>
      </c>
      <c r="N5" s="83">
        <f t="shared" ref="N5:N11" si="3">K5*M5</f>
        <v>0</v>
      </c>
      <c r="O5" s="83">
        <f t="shared" ref="O5:O11" si="4">M5*L5</f>
        <v>0</v>
      </c>
      <c r="P5" s="83">
        <f t="shared" ref="P5:P11" si="5">I5+N5</f>
        <v>0</v>
      </c>
      <c r="Q5" s="100">
        <v>54000</v>
      </c>
      <c r="R5" s="101"/>
      <c r="S5" s="28"/>
      <c r="T5" s="28"/>
    </row>
    <row r="6" ht="18" customHeight="1" spans="1:20">
      <c r="A6" s="55">
        <f>IF(G6&lt;&gt;"",1+MAX($A$3:A5),"")</f>
        <v>2</v>
      </c>
      <c r="B6" s="49"/>
      <c r="C6" s="56"/>
      <c r="D6" s="57" t="s">
        <v>36</v>
      </c>
      <c r="E6" s="58">
        <v>1</v>
      </c>
      <c r="F6" s="58" t="s">
        <v>35</v>
      </c>
      <c r="G6" s="53">
        <v>0</v>
      </c>
      <c r="H6" s="54">
        <f t="shared" si="0"/>
        <v>1</v>
      </c>
      <c r="I6" s="83">
        <v>0</v>
      </c>
      <c r="J6" s="83">
        <f t="shared" si="1"/>
        <v>0</v>
      </c>
      <c r="K6" s="84">
        <v>0</v>
      </c>
      <c r="L6" s="85">
        <f t="shared" si="2"/>
        <v>0</v>
      </c>
      <c r="M6" s="86">
        <v>0</v>
      </c>
      <c r="N6" s="83">
        <f t="shared" si="3"/>
        <v>0</v>
      </c>
      <c r="O6" s="83">
        <f t="shared" si="4"/>
        <v>0</v>
      </c>
      <c r="P6" s="83">
        <f t="shared" si="5"/>
        <v>0</v>
      </c>
      <c r="Q6" s="102"/>
      <c r="R6" s="101"/>
      <c r="S6" s="28"/>
      <c r="T6" s="28"/>
    </row>
    <row r="7" ht="18" customHeight="1" spans="1:20">
      <c r="A7" s="48">
        <f>IF(G7&lt;&gt;"",1+MAX($A$3:A6),"")</f>
        <v>3</v>
      </c>
      <c r="B7" s="49"/>
      <c r="C7" s="56"/>
      <c r="D7" s="57" t="s">
        <v>37</v>
      </c>
      <c r="E7" s="58">
        <v>1</v>
      </c>
      <c r="F7" s="58" t="s">
        <v>35</v>
      </c>
      <c r="G7" s="53">
        <v>0</v>
      </c>
      <c r="H7" s="54">
        <f t="shared" si="0"/>
        <v>1</v>
      </c>
      <c r="I7" s="83">
        <v>0</v>
      </c>
      <c r="J7" s="83">
        <f t="shared" si="1"/>
        <v>0</v>
      </c>
      <c r="K7" s="84">
        <v>0</v>
      </c>
      <c r="L7" s="85">
        <f t="shared" si="2"/>
        <v>0</v>
      </c>
      <c r="M7" s="86">
        <v>0</v>
      </c>
      <c r="N7" s="83">
        <f t="shared" si="3"/>
        <v>0</v>
      </c>
      <c r="O7" s="83">
        <f t="shared" si="4"/>
        <v>0</v>
      </c>
      <c r="P7" s="83">
        <f t="shared" si="5"/>
        <v>0</v>
      </c>
      <c r="Q7" s="102"/>
      <c r="R7" s="101"/>
      <c r="S7" s="28"/>
      <c r="T7" s="28"/>
    </row>
    <row r="8" ht="18" customHeight="1" spans="1:18">
      <c r="A8" s="55">
        <f>IF(G8&lt;&gt;"",1+MAX($A$3:A7),"")</f>
        <v>4</v>
      </c>
      <c r="B8" s="49"/>
      <c r="C8" s="56"/>
      <c r="D8" s="57" t="s">
        <v>38</v>
      </c>
      <c r="E8" s="58">
        <v>1</v>
      </c>
      <c r="F8" s="58" t="s">
        <v>35</v>
      </c>
      <c r="G8" s="53">
        <v>0</v>
      </c>
      <c r="H8" s="54">
        <f t="shared" si="0"/>
        <v>1</v>
      </c>
      <c r="I8" s="83">
        <v>0</v>
      </c>
      <c r="J8" s="83">
        <f t="shared" si="1"/>
        <v>0</v>
      </c>
      <c r="K8" s="84">
        <v>0</v>
      </c>
      <c r="L8" s="85">
        <f t="shared" si="2"/>
        <v>0</v>
      </c>
      <c r="M8" s="86">
        <v>0</v>
      </c>
      <c r="N8" s="83">
        <f t="shared" si="3"/>
        <v>0</v>
      </c>
      <c r="O8" s="83">
        <f t="shared" si="4"/>
        <v>0</v>
      </c>
      <c r="P8" s="83">
        <f t="shared" si="5"/>
        <v>0</v>
      </c>
      <c r="Q8" s="102"/>
      <c r="R8" s="101"/>
    </row>
    <row r="9" ht="18" customHeight="1" spans="1:18">
      <c r="A9" s="48">
        <f>IF(G9&lt;&gt;"",1+MAX($A$3:A8),"")</f>
        <v>5</v>
      </c>
      <c r="B9" s="49"/>
      <c r="C9" s="56"/>
      <c r="D9" s="57" t="s">
        <v>39</v>
      </c>
      <c r="E9" s="58">
        <v>1</v>
      </c>
      <c r="F9" s="58" t="s">
        <v>35</v>
      </c>
      <c r="G9" s="53">
        <v>0</v>
      </c>
      <c r="H9" s="54">
        <f t="shared" si="0"/>
        <v>1</v>
      </c>
      <c r="I9" s="83">
        <v>0</v>
      </c>
      <c r="J9" s="83">
        <f t="shared" si="1"/>
        <v>0</v>
      </c>
      <c r="K9" s="84">
        <v>0</v>
      </c>
      <c r="L9" s="85">
        <f t="shared" si="2"/>
        <v>0</v>
      </c>
      <c r="M9" s="86">
        <v>0</v>
      </c>
      <c r="N9" s="83">
        <f t="shared" si="3"/>
        <v>0</v>
      </c>
      <c r="O9" s="83">
        <f t="shared" si="4"/>
        <v>0</v>
      </c>
      <c r="P9" s="83">
        <f t="shared" si="5"/>
        <v>0</v>
      </c>
      <c r="Q9" s="102"/>
      <c r="R9" s="101"/>
    </row>
    <row r="10" ht="18" customHeight="1" spans="1:18">
      <c r="A10" s="55">
        <f>IF(G10&lt;&gt;"",1+MAX($A$3:A9),"")</f>
        <v>6</v>
      </c>
      <c r="B10" s="49"/>
      <c r="C10" s="56"/>
      <c r="D10" s="57" t="s">
        <v>40</v>
      </c>
      <c r="E10" s="58">
        <v>1</v>
      </c>
      <c r="F10" s="58" t="s">
        <v>35</v>
      </c>
      <c r="G10" s="53">
        <v>0</v>
      </c>
      <c r="H10" s="54">
        <f t="shared" si="0"/>
        <v>1</v>
      </c>
      <c r="I10" s="83">
        <v>0</v>
      </c>
      <c r="J10" s="83">
        <f t="shared" si="1"/>
        <v>0</v>
      </c>
      <c r="K10" s="84">
        <v>0</v>
      </c>
      <c r="L10" s="85">
        <f t="shared" si="2"/>
        <v>0</v>
      </c>
      <c r="M10" s="86">
        <v>0</v>
      </c>
      <c r="N10" s="83">
        <f t="shared" si="3"/>
        <v>0</v>
      </c>
      <c r="O10" s="83">
        <f t="shared" si="4"/>
        <v>0</v>
      </c>
      <c r="P10" s="83">
        <f t="shared" si="5"/>
        <v>0</v>
      </c>
      <c r="Q10" s="102"/>
      <c r="R10" s="101"/>
    </row>
    <row r="11" ht="18" customHeight="1" spans="1:18">
      <c r="A11" s="48">
        <f>IF(G11&lt;&gt;"",1+MAX($A$3:A10),"")</f>
        <v>7</v>
      </c>
      <c r="B11" s="49"/>
      <c r="C11" s="59"/>
      <c r="D11" s="60" t="s">
        <v>41</v>
      </c>
      <c r="E11" s="61">
        <v>1</v>
      </c>
      <c r="F11" s="61" t="s">
        <v>35</v>
      </c>
      <c r="G11" s="53">
        <v>0</v>
      </c>
      <c r="H11" s="54">
        <f t="shared" si="0"/>
        <v>1</v>
      </c>
      <c r="I11" s="83">
        <v>0</v>
      </c>
      <c r="J11" s="83">
        <f t="shared" si="1"/>
        <v>0</v>
      </c>
      <c r="K11" s="84">
        <v>0</v>
      </c>
      <c r="L11" s="85">
        <f t="shared" si="2"/>
        <v>0</v>
      </c>
      <c r="M11" s="86">
        <v>0</v>
      </c>
      <c r="N11" s="83">
        <f t="shared" si="3"/>
        <v>0</v>
      </c>
      <c r="O11" s="83">
        <f t="shared" si="4"/>
        <v>0</v>
      </c>
      <c r="P11" s="83">
        <f t="shared" si="5"/>
        <v>0</v>
      </c>
      <c r="Q11" s="103"/>
      <c r="R11" s="101"/>
    </row>
    <row r="12" customFormat="1" ht="18" customHeight="1" spans="1:18">
      <c r="A12" s="56" t="str">
        <f>IF(G12&lt;&gt;"",1+MAX($A$3:A11),"")</f>
        <v/>
      </c>
      <c r="B12" s="49"/>
      <c r="C12" s="62"/>
      <c r="D12" s="60"/>
      <c r="E12" s="61"/>
      <c r="F12" s="61"/>
      <c r="G12" s="63"/>
      <c r="H12" s="64"/>
      <c r="I12" s="87"/>
      <c r="J12" s="87"/>
      <c r="K12" s="88"/>
      <c r="L12" s="89"/>
      <c r="M12" s="90"/>
      <c r="N12" s="87"/>
      <c r="O12" s="87"/>
      <c r="P12" s="87"/>
      <c r="Q12" s="100"/>
      <c r="R12" s="104"/>
    </row>
    <row r="13" s="28" customFormat="1" ht="18.75" spans="1:18">
      <c r="A13" s="62" t="str">
        <f>IF(G13&lt;&gt;"",1+MAX($A$3:A12),"")</f>
        <v/>
      </c>
      <c r="B13" s="62"/>
      <c r="C13" s="65"/>
      <c r="D13" s="66" t="s">
        <v>42</v>
      </c>
      <c r="E13" s="67"/>
      <c r="F13" s="68"/>
      <c r="G13" s="68"/>
      <c r="H13" s="68"/>
      <c r="I13" s="91"/>
      <c r="J13" s="91"/>
      <c r="K13" s="68"/>
      <c r="L13" s="68"/>
      <c r="M13" s="91"/>
      <c r="N13" s="91"/>
      <c r="O13" s="91"/>
      <c r="P13" s="91"/>
      <c r="Q13" s="105"/>
      <c r="R13" s="106">
        <f>SUM(Q4:Q13)</f>
        <v>54000</v>
      </c>
    </row>
    <row r="14" s="28" customFormat="1" spans="1:18">
      <c r="A14" s="69" t="str">
        <f>IF(G14&lt;&gt;"",1+MAX($A$3:A13),"")</f>
        <v/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107"/>
    </row>
    <row r="15" s="30" customFormat="1" ht="18" spans="1:19">
      <c r="A15" s="71" t="str">
        <f>IF(G15&lt;&gt;"",1+MAX($A$3:A14),"")</f>
        <v/>
      </c>
      <c r="B15" s="72"/>
      <c r="C15" s="72">
        <v>22</v>
      </c>
      <c r="D15" s="73" t="s">
        <v>43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108"/>
      <c r="R15" s="109"/>
      <c r="S15" s="110"/>
    </row>
    <row r="16" s="31" customFormat="1" ht="18" spans="1:36">
      <c r="A16" s="55" t="str">
        <f>IF(G16&lt;&gt;"",1+MAX($A$3:A15),"")</f>
        <v/>
      </c>
      <c r="B16" s="74"/>
      <c r="C16" s="75"/>
      <c r="D16" s="76" t="s">
        <v>44</v>
      </c>
      <c r="E16" s="58"/>
      <c r="F16" s="58"/>
      <c r="G16" s="58"/>
      <c r="H16" s="58"/>
      <c r="I16" s="83"/>
      <c r="J16" s="83"/>
      <c r="K16" s="92"/>
      <c r="L16" s="93"/>
      <c r="M16" s="94"/>
      <c r="N16" s="83"/>
      <c r="O16" s="83"/>
      <c r="P16" s="83"/>
      <c r="Q16" s="111"/>
      <c r="R16" s="112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</row>
    <row r="17" s="31" customFormat="1" spans="1:36">
      <c r="A17" s="55" t="str">
        <f>IF(G17&lt;&gt;"",1+MAX($A$3:A16),"")</f>
        <v/>
      </c>
      <c r="B17" s="77"/>
      <c r="C17" s="78"/>
      <c r="D17" s="79" t="s">
        <v>45</v>
      </c>
      <c r="E17" s="75"/>
      <c r="F17" s="58"/>
      <c r="G17" s="80"/>
      <c r="H17" s="81"/>
      <c r="I17" s="83"/>
      <c r="J17" s="83"/>
      <c r="K17" s="84"/>
      <c r="L17" s="85"/>
      <c r="M17" s="86"/>
      <c r="N17" s="83"/>
      <c r="O17" s="83"/>
      <c r="P17" s="83"/>
      <c r="Q17" s="114"/>
      <c r="R17" s="101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="31" customFormat="1" spans="1:36">
      <c r="A18" s="55">
        <f>IF(G18&lt;&gt;"",1+MAX($A$3:A17),"")</f>
        <v>8</v>
      </c>
      <c r="B18" s="77"/>
      <c r="C18" s="78"/>
      <c r="D18" s="57" t="s">
        <v>46</v>
      </c>
      <c r="E18" s="75">
        <v>64.85</v>
      </c>
      <c r="F18" s="58" t="s">
        <v>47</v>
      </c>
      <c r="G18" s="80">
        <v>0.05</v>
      </c>
      <c r="H18" s="81">
        <f t="shared" ref="H18:H25" si="6">E18*(1+G18)</f>
        <v>68.0925</v>
      </c>
      <c r="I18" s="83">
        <f>4/1*0.75</f>
        <v>3</v>
      </c>
      <c r="J18" s="83">
        <f t="shared" ref="J18:J25" si="7">I18*H18</f>
        <v>204.2775</v>
      </c>
      <c r="K18" s="84">
        <v>0.105</v>
      </c>
      <c r="L18" s="85">
        <f t="shared" ref="L18:L25" si="8">+K18*H18</f>
        <v>7.1497125</v>
      </c>
      <c r="M18" s="86">
        <f>'LABOR SHEET'!C$5</f>
        <v>57.65</v>
      </c>
      <c r="N18" s="83">
        <f t="shared" ref="N18:N25" si="9">K18*M18</f>
        <v>6.05325</v>
      </c>
      <c r="O18" s="83">
        <f t="shared" ref="O18:O25" si="10">M18*L18</f>
        <v>412.180925625</v>
      </c>
      <c r="P18" s="83">
        <f t="shared" ref="P18:P25" si="11">I18+N18</f>
        <v>9.05325</v>
      </c>
      <c r="Q18" s="114">
        <f t="shared" ref="Q18:Q25" si="12">P18*H18</f>
        <v>616.458425625</v>
      </c>
      <c r="R18" s="101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</row>
    <row r="19" s="31" customFormat="1" spans="1:36">
      <c r="A19" s="55">
        <f>IF(G19&lt;&gt;"",1+MAX($A$3:A18),"")</f>
        <v>9</v>
      </c>
      <c r="B19" s="77"/>
      <c r="C19" s="78"/>
      <c r="D19" s="57" t="s">
        <v>48</v>
      </c>
      <c r="E19" s="75">
        <v>145.27</v>
      </c>
      <c r="F19" s="58" t="s">
        <v>47</v>
      </c>
      <c r="G19" s="80">
        <v>0.05</v>
      </c>
      <c r="H19" s="81">
        <f t="shared" si="6"/>
        <v>152.5335</v>
      </c>
      <c r="I19" s="83">
        <f>5.02/1.25</f>
        <v>4.016</v>
      </c>
      <c r="J19" s="83">
        <f t="shared" si="7"/>
        <v>612.574536</v>
      </c>
      <c r="K19" s="84">
        <v>0.125</v>
      </c>
      <c r="L19" s="85">
        <f t="shared" si="8"/>
        <v>19.0666875</v>
      </c>
      <c r="M19" s="86">
        <f>'LABOR SHEET'!C$5</f>
        <v>57.65</v>
      </c>
      <c r="N19" s="83">
        <f t="shared" si="9"/>
        <v>7.20625</v>
      </c>
      <c r="O19" s="83">
        <f t="shared" si="10"/>
        <v>1099.194534375</v>
      </c>
      <c r="P19" s="83">
        <f t="shared" si="11"/>
        <v>11.22225</v>
      </c>
      <c r="Q19" s="114">
        <f t="shared" si="12"/>
        <v>1711.769070375</v>
      </c>
      <c r="R19" s="101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</row>
    <row r="20" s="31" customFormat="1" spans="1:36">
      <c r="A20" s="55">
        <f>IF(G20&lt;&gt;"",1+MAX($A$3:A19),"")</f>
        <v>10</v>
      </c>
      <c r="B20" s="77"/>
      <c r="C20" s="78"/>
      <c r="D20" s="57" t="s">
        <v>49</v>
      </c>
      <c r="E20" s="75">
        <v>341.28</v>
      </c>
      <c r="F20" s="58" t="s">
        <v>47</v>
      </c>
      <c r="G20" s="80">
        <v>0.05</v>
      </c>
      <c r="H20" s="81">
        <f t="shared" si="6"/>
        <v>358.344</v>
      </c>
      <c r="I20" s="83">
        <v>5.02</v>
      </c>
      <c r="J20" s="83">
        <f t="shared" si="7"/>
        <v>1798.88688</v>
      </c>
      <c r="K20" s="84">
        <v>0.18</v>
      </c>
      <c r="L20" s="85">
        <f t="shared" si="8"/>
        <v>64.50192</v>
      </c>
      <c r="M20" s="86">
        <f>'LABOR SHEET'!C$5</f>
        <v>57.65</v>
      </c>
      <c r="N20" s="83">
        <f t="shared" si="9"/>
        <v>10.377</v>
      </c>
      <c r="O20" s="83">
        <f t="shared" si="10"/>
        <v>3718.535688</v>
      </c>
      <c r="P20" s="83">
        <f t="shared" si="11"/>
        <v>15.397</v>
      </c>
      <c r="Q20" s="114">
        <f t="shared" si="12"/>
        <v>5517.422568</v>
      </c>
      <c r="R20" s="101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</row>
    <row r="21" s="31" customFormat="1" spans="1:36">
      <c r="A21" s="55">
        <f>IF(G21&lt;&gt;"",1+MAX($A$3:A20),"")</f>
        <v>11</v>
      </c>
      <c r="B21" s="77"/>
      <c r="C21" s="78"/>
      <c r="D21" s="57" t="s">
        <v>50</v>
      </c>
      <c r="E21" s="75">
        <v>29.58</v>
      </c>
      <c r="F21" s="58" t="s">
        <v>47</v>
      </c>
      <c r="G21" s="80">
        <v>0.05</v>
      </c>
      <c r="H21" s="81">
        <f t="shared" si="6"/>
        <v>31.059</v>
      </c>
      <c r="I21" s="83">
        <v>5.86</v>
      </c>
      <c r="J21" s="83">
        <f t="shared" si="7"/>
        <v>182.00574</v>
      </c>
      <c r="K21" s="84">
        <v>0.2</v>
      </c>
      <c r="L21" s="85">
        <f t="shared" si="8"/>
        <v>6.2118</v>
      </c>
      <c r="M21" s="86">
        <f>'LABOR SHEET'!C$5</f>
        <v>57.65</v>
      </c>
      <c r="N21" s="83">
        <f t="shared" si="9"/>
        <v>11.53</v>
      </c>
      <c r="O21" s="83">
        <f t="shared" si="10"/>
        <v>358.11027</v>
      </c>
      <c r="P21" s="83">
        <f t="shared" si="11"/>
        <v>17.39</v>
      </c>
      <c r="Q21" s="114">
        <f t="shared" si="12"/>
        <v>540.11601</v>
      </c>
      <c r="R21" s="101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</row>
    <row r="22" s="31" customFormat="1" spans="1:36">
      <c r="A22" s="55">
        <f>IF(G22&lt;&gt;"",1+MAX($A$3:A21),"")</f>
        <v>12</v>
      </c>
      <c r="B22" s="77"/>
      <c r="C22" s="78"/>
      <c r="D22" s="57" t="s">
        <v>51</v>
      </c>
      <c r="E22" s="75">
        <v>224.28</v>
      </c>
      <c r="F22" s="58" t="s">
        <v>47</v>
      </c>
      <c r="G22" s="80">
        <v>0.05</v>
      </c>
      <c r="H22" s="81">
        <f t="shared" si="6"/>
        <v>235.494</v>
      </c>
      <c r="I22" s="83">
        <v>7.25</v>
      </c>
      <c r="J22" s="83">
        <f t="shared" si="7"/>
        <v>1707.3315</v>
      </c>
      <c r="K22" s="84">
        <v>0.262</v>
      </c>
      <c r="L22" s="85">
        <f t="shared" si="8"/>
        <v>61.699428</v>
      </c>
      <c r="M22" s="86">
        <f>'LABOR SHEET'!C$5</f>
        <v>57.65</v>
      </c>
      <c r="N22" s="83">
        <f t="shared" si="9"/>
        <v>15.1043</v>
      </c>
      <c r="O22" s="83">
        <f t="shared" si="10"/>
        <v>3556.9720242</v>
      </c>
      <c r="P22" s="83">
        <f t="shared" si="11"/>
        <v>22.3543</v>
      </c>
      <c r="Q22" s="114">
        <f t="shared" si="12"/>
        <v>5264.3035242</v>
      </c>
      <c r="R22" s="101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</row>
    <row r="23" s="31" customFormat="1" spans="1:36">
      <c r="A23" s="55">
        <f>IF(G23&lt;&gt;"",1+MAX($A$3:A22),"")</f>
        <v>13</v>
      </c>
      <c r="B23" s="77"/>
      <c r="C23" s="78"/>
      <c r="D23" s="57" t="s">
        <v>52</v>
      </c>
      <c r="E23" s="75">
        <v>111.67</v>
      </c>
      <c r="F23" s="58" t="s">
        <v>47</v>
      </c>
      <c r="G23" s="80">
        <v>0.05</v>
      </c>
      <c r="H23" s="81">
        <f t="shared" si="6"/>
        <v>117.2535</v>
      </c>
      <c r="I23" s="83">
        <v>15.11</v>
      </c>
      <c r="J23" s="83">
        <f t="shared" si="7"/>
        <v>1771.700385</v>
      </c>
      <c r="K23" s="84">
        <v>0.32</v>
      </c>
      <c r="L23" s="85">
        <f t="shared" si="8"/>
        <v>37.52112</v>
      </c>
      <c r="M23" s="86">
        <f>'LABOR SHEET'!C$5</f>
        <v>57.65</v>
      </c>
      <c r="N23" s="83">
        <f t="shared" si="9"/>
        <v>18.448</v>
      </c>
      <c r="O23" s="83">
        <f t="shared" si="10"/>
        <v>2163.092568</v>
      </c>
      <c r="P23" s="83">
        <f t="shared" si="11"/>
        <v>33.558</v>
      </c>
      <c r="Q23" s="114">
        <f t="shared" si="12"/>
        <v>3934.792953</v>
      </c>
      <c r="R23" s="101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</row>
    <row r="24" s="31" customFormat="1" spans="1:36">
      <c r="A24" s="55">
        <f>IF(G24&lt;&gt;"",1+MAX($A$3:A23),"")</f>
        <v>14</v>
      </c>
      <c r="B24" s="77"/>
      <c r="C24" s="78"/>
      <c r="D24" s="57" t="s">
        <v>53</v>
      </c>
      <c r="E24" s="75">
        <v>193.04</v>
      </c>
      <c r="F24" s="58" t="s">
        <v>47</v>
      </c>
      <c r="G24" s="80">
        <v>0.05</v>
      </c>
      <c r="H24" s="81">
        <f t="shared" si="6"/>
        <v>202.692</v>
      </c>
      <c r="I24" s="83">
        <f>28.82/4*3</f>
        <v>21.615</v>
      </c>
      <c r="J24" s="83">
        <f t="shared" si="7"/>
        <v>4381.18758</v>
      </c>
      <c r="K24" s="84">
        <v>0.365</v>
      </c>
      <c r="L24" s="85">
        <f t="shared" si="8"/>
        <v>73.98258</v>
      </c>
      <c r="M24" s="86">
        <f>'LABOR SHEET'!C$5</f>
        <v>57.65</v>
      </c>
      <c r="N24" s="83">
        <f t="shared" si="9"/>
        <v>21.04225</v>
      </c>
      <c r="O24" s="83">
        <f t="shared" si="10"/>
        <v>4265.095737</v>
      </c>
      <c r="P24" s="83">
        <f t="shared" si="11"/>
        <v>42.65725</v>
      </c>
      <c r="Q24" s="114">
        <f t="shared" si="12"/>
        <v>8646.283317</v>
      </c>
      <c r="R24" s="101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</row>
    <row r="25" s="31" customFormat="1" spans="1:36">
      <c r="A25" s="55">
        <f>IF(G25&lt;&gt;"",1+MAX($A$3:A24),"")</f>
        <v>15</v>
      </c>
      <c r="B25" s="77"/>
      <c r="C25" s="78"/>
      <c r="D25" s="57" t="s">
        <v>54</v>
      </c>
      <c r="E25" s="75">
        <v>66.58</v>
      </c>
      <c r="F25" s="58" t="s">
        <v>47</v>
      </c>
      <c r="G25" s="80">
        <v>0.05</v>
      </c>
      <c r="H25" s="81">
        <f t="shared" si="6"/>
        <v>69.909</v>
      </c>
      <c r="I25" s="83">
        <v>28.82</v>
      </c>
      <c r="J25" s="83">
        <f t="shared" si="7"/>
        <v>2014.77738</v>
      </c>
      <c r="K25" s="84">
        <v>0.444</v>
      </c>
      <c r="L25" s="85">
        <f t="shared" si="8"/>
        <v>31.039596</v>
      </c>
      <c r="M25" s="86">
        <f>'LABOR SHEET'!C$5</f>
        <v>57.65</v>
      </c>
      <c r="N25" s="83">
        <f t="shared" si="9"/>
        <v>25.5966</v>
      </c>
      <c r="O25" s="83">
        <f t="shared" si="10"/>
        <v>1789.4327094</v>
      </c>
      <c r="P25" s="83">
        <f t="shared" si="11"/>
        <v>54.4166</v>
      </c>
      <c r="Q25" s="114">
        <f t="shared" si="12"/>
        <v>3804.2100894</v>
      </c>
      <c r="R25" s="101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</row>
    <row r="26" s="31" customFormat="1" spans="1:36">
      <c r="A26" s="55" t="str">
        <f>IF(G26&lt;&gt;"",1+MAX($A$3:A25),"")</f>
        <v/>
      </c>
      <c r="B26" s="77"/>
      <c r="C26" s="78"/>
      <c r="D26" s="57"/>
      <c r="E26" s="75"/>
      <c r="F26" s="58"/>
      <c r="G26" s="80"/>
      <c r="H26" s="81"/>
      <c r="I26" s="87"/>
      <c r="J26" s="83"/>
      <c r="K26" s="84"/>
      <c r="L26" s="85"/>
      <c r="M26" s="86"/>
      <c r="N26" s="83"/>
      <c r="O26" s="83"/>
      <c r="P26" s="83"/>
      <c r="Q26" s="114"/>
      <c r="R26" s="101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</row>
    <row r="27" s="31" customFormat="1" spans="1:36">
      <c r="A27" s="55" t="str">
        <f>IF(G27&lt;&gt;"",1+MAX($A$3:A26),"")</f>
        <v/>
      </c>
      <c r="B27" s="77"/>
      <c r="C27" s="78"/>
      <c r="D27" s="82" t="s">
        <v>55</v>
      </c>
      <c r="E27" s="75"/>
      <c r="F27" s="58"/>
      <c r="G27" s="80"/>
      <c r="H27" s="81"/>
      <c r="I27" s="87"/>
      <c r="J27" s="83"/>
      <c r="K27" s="84"/>
      <c r="L27" s="85"/>
      <c r="M27" s="86"/>
      <c r="N27" s="83"/>
      <c r="O27" s="83"/>
      <c r="P27" s="83"/>
      <c r="Q27" s="114"/>
      <c r="R27" s="101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="31" customFormat="1" spans="1:36">
      <c r="A28" s="55">
        <f>IF(G28&lt;&gt;"",1+MAX($A$3:A27),"")</f>
        <v>16</v>
      </c>
      <c r="B28" s="77"/>
      <c r="C28" s="78"/>
      <c r="D28" s="57" t="s">
        <v>56</v>
      </c>
      <c r="E28" s="75">
        <v>5</v>
      </c>
      <c r="F28" s="58" t="s">
        <v>57</v>
      </c>
      <c r="G28" s="80">
        <v>0</v>
      </c>
      <c r="H28" s="81">
        <f t="shared" ref="H28:H56" si="13">E28*(1+G28)</f>
        <v>5</v>
      </c>
      <c r="I28" s="83">
        <v>4.59</v>
      </c>
      <c r="J28" s="83">
        <f t="shared" ref="J28:J56" si="14">I28*H28</f>
        <v>22.95</v>
      </c>
      <c r="K28" s="84">
        <v>0.55</v>
      </c>
      <c r="L28" s="85">
        <f t="shared" ref="L28:L56" si="15">+K28*H28</f>
        <v>2.75</v>
      </c>
      <c r="M28" s="86">
        <f>'LABOR SHEET'!C$5</f>
        <v>57.65</v>
      </c>
      <c r="N28" s="83">
        <f t="shared" ref="N28:N56" si="16">K28*M28</f>
        <v>31.7075</v>
      </c>
      <c r="O28" s="83">
        <f t="shared" ref="O28:O56" si="17">M28*L28</f>
        <v>158.5375</v>
      </c>
      <c r="P28" s="83">
        <f t="shared" ref="P28:P56" si="18">I28+N28</f>
        <v>36.2975</v>
      </c>
      <c r="Q28" s="114">
        <f t="shared" ref="Q28:Q56" si="19">P28*H28</f>
        <v>181.4875</v>
      </c>
      <c r="R28" s="101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</row>
    <row r="29" s="31" customFormat="1" spans="1:36">
      <c r="A29" s="55">
        <f>IF(G29&lt;&gt;"",1+MAX($A$3:A28),"")</f>
        <v>17</v>
      </c>
      <c r="B29" s="77"/>
      <c r="C29" s="78"/>
      <c r="D29" s="57" t="s">
        <v>58</v>
      </c>
      <c r="E29" s="75">
        <v>12</v>
      </c>
      <c r="F29" s="58" t="s">
        <v>57</v>
      </c>
      <c r="G29" s="80">
        <v>0</v>
      </c>
      <c r="H29" s="81">
        <f t="shared" si="13"/>
        <v>12</v>
      </c>
      <c r="I29" s="83">
        <v>8.5</v>
      </c>
      <c r="J29" s="83">
        <f t="shared" si="14"/>
        <v>102</v>
      </c>
      <c r="K29" s="84">
        <v>0.56</v>
      </c>
      <c r="L29" s="85">
        <f t="shared" si="15"/>
        <v>6.72</v>
      </c>
      <c r="M29" s="86">
        <f>'LABOR SHEET'!C$5</f>
        <v>57.65</v>
      </c>
      <c r="N29" s="83">
        <f t="shared" si="16"/>
        <v>32.284</v>
      </c>
      <c r="O29" s="83">
        <f t="shared" si="17"/>
        <v>387.408</v>
      </c>
      <c r="P29" s="83">
        <f t="shared" si="18"/>
        <v>40.784</v>
      </c>
      <c r="Q29" s="114">
        <f t="shared" si="19"/>
        <v>489.408</v>
      </c>
      <c r="R29" s="101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</row>
    <row r="30" s="31" customFormat="1" spans="1:36">
      <c r="A30" s="55">
        <f>IF(G30&lt;&gt;"",1+MAX($A$3:A29),"")</f>
        <v>18</v>
      </c>
      <c r="B30" s="77"/>
      <c r="C30" s="78"/>
      <c r="D30" s="57" t="s">
        <v>59</v>
      </c>
      <c r="E30" s="75">
        <v>25</v>
      </c>
      <c r="F30" s="58" t="s">
        <v>57</v>
      </c>
      <c r="G30" s="80">
        <v>0</v>
      </c>
      <c r="H30" s="81">
        <f t="shared" si="13"/>
        <v>25</v>
      </c>
      <c r="I30" s="83">
        <v>9.1</v>
      </c>
      <c r="J30" s="83">
        <f t="shared" si="14"/>
        <v>227.5</v>
      </c>
      <c r="K30" s="84">
        <v>0.57</v>
      </c>
      <c r="L30" s="85">
        <f t="shared" si="15"/>
        <v>14.25</v>
      </c>
      <c r="M30" s="86">
        <f>'LABOR SHEET'!C$5</f>
        <v>57.65</v>
      </c>
      <c r="N30" s="83">
        <f t="shared" si="16"/>
        <v>32.8605</v>
      </c>
      <c r="O30" s="83">
        <f t="shared" si="17"/>
        <v>821.5125</v>
      </c>
      <c r="P30" s="83">
        <f t="shared" si="18"/>
        <v>41.9605</v>
      </c>
      <c r="Q30" s="114">
        <f t="shared" si="19"/>
        <v>1049.0125</v>
      </c>
      <c r="R30" s="101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</row>
    <row r="31" s="31" customFormat="1" spans="1:36">
      <c r="A31" s="55">
        <f>IF(G31&lt;&gt;"",1+MAX($A$3:A30),"")</f>
        <v>19</v>
      </c>
      <c r="B31" s="77"/>
      <c r="C31" s="78"/>
      <c r="D31" s="57" t="s">
        <v>60</v>
      </c>
      <c r="E31" s="75">
        <v>1</v>
      </c>
      <c r="F31" s="58" t="s">
        <v>57</v>
      </c>
      <c r="G31" s="80">
        <v>0</v>
      </c>
      <c r="H31" s="81">
        <f t="shared" si="13"/>
        <v>1</v>
      </c>
      <c r="I31" s="83">
        <v>12.1</v>
      </c>
      <c r="J31" s="83">
        <f t="shared" si="14"/>
        <v>12.1</v>
      </c>
      <c r="K31" s="84">
        <v>0.58</v>
      </c>
      <c r="L31" s="85">
        <f t="shared" si="15"/>
        <v>0.58</v>
      </c>
      <c r="M31" s="86">
        <f>'LABOR SHEET'!C$5</f>
        <v>57.65</v>
      </c>
      <c r="N31" s="83">
        <f t="shared" si="16"/>
        <v>33.437</v>
      </c>
      <c r="O31" s="83">
        <f t="shared" si="17"/>
        <v>33.437</v>
      </c>
      <c r="P31" s="83">
        <f t="shared" si="18"/>
        <v>45.537</v>
      </c>
      <c r="Q31" s="114">
        <f t="shared" si="19"/>
        <v>45.537</v>
      </c>
      <c r="R31" s="101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="31" customFormat="1" spans="1:36">
      <c r="A32" s="55">
        <f>IF(G32&lt;&gt;"",1+MAX($A$3:A31),"")</f>
        <v>20</v>
      </c>
      <c r="B32" s="77"/>
      <c r="C32" s="78"/>
      <c r="D32" s="57" t="s">
        <v>61</v>
      </c>
      <c r="E32" s="75">
        <v>5</v>
      </c>
      <c r="F32" s="58" t="s">
        <v>57</v>
      </c>
      <c r="G32" s="80">
        <v>0</v>
      </c>
      <c r="H32" s="81">
        <f t="shared" si="13"/>
        <v>5</v>
      </c>
      <c r="I32" s="83">
        <v>15.2</v>
      </c>
      <c r="J32" s="83">
        <f t="shared" si="14"/>
        <v>76</v>
      </c>
      <c r="K32" s="84">
        <v>0.59</v>
      </c>
      <c r="L32" s="85">
        <f t="shared" si="15"/>
        <v>2.95</v>
      </c>
      <c r="M32" s="86">
        <f>'LABOR SHEET'!C$5</f>
        <v>57.65</v>
      </c>
      <c r="N32" s="83">
        <f t="shared" si="16"/>
        <v>34.0135</v>
      </c>
      <c r="O32" s="83">
        <f t="shared" si="17"/>
        <v>170.0675</v>
      </c>
      <c r="P32" s="83">
        <f t="shared" si="18"/>
        <v>49.2135</v>
      </c>
      <c r="Q32" s="114">
        <f t="shared" si="19"/>
        <v>246.0675</v>
      </c>
      <c r="R32" s="101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</row>
    <row r="33" s="31" customFormat="1" spans="1:36">
      <c r="A33" s="55">
        <f>IF(G33&lt;&gt;"",1+MAX($A$3:A32),"")</f>
        <v>21</v>
      </c>
      <c r="B33" s="77"/>
      <c r="C33" s="78"/>
      <c r="D33" s="57" t="s">
        <v>62</v>
      </c>
      <c r="E33" s="75">
        <v>4</v>
      </c>
      <c r="F33" s="58" t="s">
        <v>57</v>
      </c>
      <c r="G33" s="80">
        <v>0</v>
      </c>
      <c r="H33" s="81">
        <f t="shared" si="13"/>
        <v>4</v>
      </c>
      <c r="I33" s="83">
        <v>22.5</v>
      </c>
      <c r="J33" s="83">
        <f t="shared" si="14"/>
        <v>90</v>
      </c>
      <c r="K33" s="84">
        <v>0.6</v>
      </c>
      <c r="L33" s="85">
        <f t="shared" si="15"/>
        <v>2.4</v>
      </c>
      <c r="M33" s="86">
        <f>'LABOR SHEET'!C$5</f>
        <v>57.65</v>
      </c>
      <c r="N33" s="83">
        <f t="shared" si="16"/>
        <v>34.59</v>
      </c>
      <c r="O33" s="83">
        <f t="shared" si="17"/>
        <v>138.36</v>
      </c>
      <c r="P33" s="83">
        <f t="shared" si="18"/>
        <v>57.09</v>
      </c>
      <c r="Q33" s="114">
        <f t="shared" si="19"/>
        <v>228.36</v>
      </c>
      <c r="R33" s="101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="31" customFormat="1" spans="1:36">
      <c r="A34" s="55">
        <f>IF(G34&lt;&gt;"",1+MAX($A$3:A33),"")</f>
        <v>22</v>
      </c>
      <c r="B34" s="77"/>
      <c r="C34" s="78"/>
      <c r="D34" s="57" t="s">
        <v>63</v>
      </c>
      <c r="E34" s="75">
        <v>2</v>
      </c>
      <c r="F34" s="58" t="s">
        <v>57</v>
      </c>
      <c r="G34" s="80">
        <v>0</v>
      </c>
      <c r="H34" s="81">
        <f t="shared" si="13"/>
        <v>2</v>
      </c>
      <c r="I34" s="83">
        <v>32.53</v>
      </c>
      <c r="J34" s="83">
        <f t="shared" si="14"/>
        <v>65.06</v>
      </c>
      <c r="K34" s="84">
        <v>0.61</v>
      </c>
      <c r="L34" s="85">
        <f t="shared" si="15"/>
        <v>1.22</v>
      </c>
      <c r="M34" s="86">
        <f>'LABOR SHEET'!C$5</f>
        <v>57.65</v>
      </c>
      <c r="N34" s="83">
        <f t="shared" si="16"/>
        <v>35.1665</v>
      </c>
      <c r="O34" s="83">
        <f t="shared" si="17"/>
        <v>70.333</v>
      </c>
      <c r="P34" s="83">
        <f t="shared" si="18"/>
        <v>67.6965</v>
      </c>
      <c r="Q34" s="114">
        <f t="shared" si="19"/>
        <v>135.393</v>
      </c>
      <c r="R34" s="101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</row>
    <row r="35" s="31" customFormat="1" spans="1:36">
      <c r="A35" s="55">
        <f>IF(G35&lt;&gt;"",1+MAX($A$3:A34),"")</f>
        <v>23</v>
      </c>
      <c r="B35" s="77"/>
      <c r="C35" s="78"/>
      <c r="D35" s="57" t="s">
        <v>64</v>
      </c>
      <c r="E35" s="75">
        <v>2</v>
      </c>
      <c r="F35" s="58" t="s">
        <v>57</v>
      </c>
      <c r="G35" s="80">
        <v>0</v>
      </c>
      <c r="H35" s="81">
        <f t="shared" si="13"/>
        <v>2</v>
      </c>
      <c r="I35" s="83">
        <v>6.45</v>
      </c>
      <c r="J35" s="83">
        <f t="shared" si="14"/>
        <v>12.9</v>
      </c>
      <c r="K35" s="84">
        <v>0.65</v>
      </c>
      <c r="L35" s="85">
        <f t="shared" si="15"/>
        <v>1.3</v>
      </c>
      <c r="M35" s="86">
        <f>'LABOR SHEET'!C$5</f>
        <v>57.65</v>
      </c>
      <c r="N35" s="83">
        <f t="shared" si="16"/>
        <v>37.4725</v>
      </c>
      <c r="O35" s="83">
        <f t="shared" si="17"/>
        <v>74.945</v>
      </c>
      <c r="P35" s="83">
        <f t="shared" si="18"/>
        <v>43.9225</v>
      </c>
      <c r="Q35" s="114">
        <f t="shared" si="19"/>
        <v>87.845</v>
      </c>
      <c r="R35" s="101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</row>
    <row r="36" s="31" customFormat="1" spans="1:36">
      <c r="A36" s="55">
        <f>IF(G36&lt;&gt;"",1+MAX($A$3:A35),"")</f>
        <v>24</v>
      </c>
      <c r="B36" s="77"/>
      <c r="C36" s="78"/>
      <c r="D36" s="57" t="s">
        <v>65</v>
      </c>
      <c r="E36" s="75">
        <v>4</v>
      </c>
      <c r="F36" s="58" t="s">
        <v>57</v>
      </c>
      <c r="G36" s="80">
        <v>0</v>
      </c>
      <c r="H36" s="81">
        <f t="shared" si="13"/>
        <v>4</v>
      </c>
      <c r="I36" s="83">
        <v>12.5</v>
      </c>
      <c r="J36" s="83">
        <f t="shared" si="14"/>
        <v>50</v>
      </c>
      <c r="K36" s="84">
        <v>0.67</v>
      </c>
      <c r="L36" s="85">
        <f t="shared" si="15"/>
        <v>2.68</v>
      </c>
      <c r="M36" s="86">
        <f>'LABOR SHEET'!C$5</f>
        <v>57.65</v>
      </c>
      <c r="N36" s="83">
        <f t="shared" si="16"/>
        <v>38.6255</v>
      </c>
      <c r="O36" s="83">
        <f t="shared" si="17"/>
        <v>154.502</v>
      </c>
      <c r="P36" s="83">
        <f t="shared" si="18"/>
        <v>51.1255</v>
      </c>
      <c r="Q36" s="114">
        <f t="shared" si="19"/>
        <v>204.502</v>
      </c>
      <c r="R36" s="101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</row>
    <row r="37" s="31" customFormat="1" spans="1:36">
      <c r="A37" s="55">
        <f>IF(G37&lt;&gt;"",1+MAX($A$3:A36),"")</f>
        <v>25</v>
      </c>
      <c r="B37" s="77"/>
      <c r="C37" s="78"/>
      <c r="D37" s="57" t="s">
        <v>66</v>
      </c>
      <c r="E37" s="75">
        <v>1</v>
      </c>
      <c r="F37" s="58" t="s">
        <v>57</v>
      </c>
      <c r="G37" s="80">
        <v>0</v>
      </c>
      <c r="H37" s="81">
        <f t="shared" si="13"/>
        <v>1</v>
      </c>
      <c r="I37" s="83">
        <v>18.25</v>
      </c>
      <c r="J37" s="83">
        <f t="shared" si="14"/>
        <v>18.25</v>
      </c>
      <c r="K37" s="84">
        <v>0.68</v>
      </c>
      <c r="L37" s="85">
        <f t="shared" si="15"/>
        <v>0.68</v>
      </c>
      <c r="M37" s="86">
        <f>'LABOR SHEET'!C$5</f>
        <v>57.65</v>
      </c>
      <c r="N37" s="83">
        <f t="shared" si="16"/>
        <v>39.202</v>
      </c>
      <c r="O37" s="83">
        <f t="shared" si="17"/>
        <v>39.202</v>
      </c>
      <c r="P37" s="83">
        <f t="shared" si="18"/>
        <v>57.452</v>
      </c>
      <c r="Q37" s="114">
        <f t="shared" si="19"/>
        <v>57.452</v>
      </c>
      <c r="R37" s="101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</row>
    <row r="38" s="31" customFormat="1" spans="1:36">
      <c r="A38" s="55">
        <f>IF(G38&lt;&gt;"",1+MAX($A$3:A37),"")</f>
        <v>26</v>
      </c>
      <c r="B38" s="77"/>
      <c r="C38" s="78"/>
      <c r="D38" s="57" t="s">
        <v>67</v>
      </c>
      <c r="E38" s="75">
        <v>7</v>
      </c>
      <c r="F38" s="58" t="s">
        <v>57</v>
      </c>
      <c r="G38" s="80">
        <v>0</v>
      </c>
      <c r="H38" s="81">
        <f t="shared" si="13"/>
        <v>7</v>
      </c>
      <c r="I38" s="83">
        <v>25.5</v>
      </c>
      <c r="J38" s="83">
        <f t="shared" si="14"/>
        <v>178.5</v>
      </c>
      <c r="K38" s="84">
        <v>0.69</v>
      </c>
      <c r="L38" s="85">
        <f t="shared" si="15"/>
        <v>4.83</v>
      </c>
      <c r="M38" s="86">
        <f>'LABOR SHEET'!C$5</f>
        <v>57.65</v>
      </c>
      <c r="N38" s="83">
        <f t="shared" si="16"/>
        <v>39.7785</v>
      </c>
      <c r="O38" s="83">
        <f t="shared" si="17"/>
        <v>278.4495</v>
      </c>
      <c r="P38" s="83">
        <f t="shared" si="18"/>
        <v>65.2785</v>
      </c>
      <c r="Q38" s="114">
        <f t="shared" si="19"/>
        <v>456.9495</v>
      </c>
      <c r="R38" s="101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</row>
    <row r="39" s="31" customFormat="1" spans="1:36">
      <c r="A39" s="55">
        <f>IF(G39&lt;&gt;"",1+MAX($A$3:A38),"")</f>
        <v>27</v>
      </c>
      <c r="B39" s="77"/>
      <c r="C39" s="78"/>
      <c r="D39" s="57" t="s">
        <v>68</v>
      </c>
      <c r="E39" s="75">
        <v>2</v>
      </c>
      <c r="F39" s="58" t="s">
        <v>57</v>
      </c>
      <c r="G39" s="80">
        <v>0</v>
      </c>
      <c r="H39" s="81">
        <f t="shared" si="13"/>
        <v>2</v>
      </c>
      <c r="I39" s="83">
        <v>30.5</v>
      </c>
      <c r="J39" s="83">
        <f t="shared" si="14"/>
        <v>61</v>
      </c>
      <c r="K39" s="84">
        <v>0.7</v>
      </c>
      <c r="L39" s="85">
        <f t="shared" si="15"/>
        <v>1.4</v>
      </c>
      <c r="M39" s="86">
        <f>'LABOR SHEET'!C$5</f>
        <v>57.65</v>
      </c>
      <c r="N39" s="83">
        <f t="shared" si="16"/>
        <v>40.355</v>
      </c>
      <c r="O39" s="83">
        <f t="shared" si="17"/>
        <v>80.71</v>
      </c>
      <c r="P39" s="83">
        <f t="shared" si="18"/>
        <v>70.855</v>
      </c>
      <c r="Q39" s="114">
        <f t="shared" si="19"/>
        <v>141.71</v>
      </c>
      <c r="R39" s="101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</row>
    <row r="40" s="31" customFormat="1" spans="1:36">
      <c r="A40" s="55">
        <f>IF(G40&lt;&gt;"",1+MAX($A$3:A39),"")</f>
        <v>28</v>
      </c>
      <c r="B40" s="77"/>
      <c r="C40" s="78"/>
      <c r="D40" s="57" t="s">
        <v>69</v>
      </c>
      <c r="E40" s="75">
        <v>1</v>
      </c>
      <c r="F40" s="58" t="s">
        <v>57</v>
      </c>
      <c r="G40" s="80">
        <v>0</v>
      </c>
      <c r="H40" s="81">
        <f t="shared" si="13"/>
        <v>1</v>
      </c>
      <c r="I40" s="83">
        <v>38.5</v>
      </c>
      <c r="J40" s="83">
        <f t="shared" si="14"/>
        <v>38.5</v>
      </c>
      <c r="K40" s="84">
        <v>0.72</v>
      </c>
      <c r="L40" s="85">
        <f t="shared" si="15"/>
        <v>0.72</v>
      </c>
      <c r="M40" s="86">
        <f>'LABOR SHEET'!C$5</f>
        <v>57.65</v>
      </c>
      <c r="N40" s="83">
        <f t="shared" si="16"/>
        <v>41.508</v>
      </c>
      <c r="O40" s="83">
        <f t="shared" si="17"/>
        <v>41.508</v>
      </c>
      <c r="P40" s="83">
        <f t="shared" si="18"/>
        <v>80.008</v>
      </c>
      <c r="Q40" s="114">
        <f t="shared" si="19"/>
        <v>80.008</v>
      </c>
      <c r="R40" s="101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</row>
    <row r="41" s="31" customFormat="1" spans="1:36">
      <c r="A41" s="55">
        <f>IF(G41&lt;&gt;"",1+MAX($A$3:A40),"")</f>
        <v>29</v>
      </c>
      <c r="B41" s="77"/>
      <c r="C41" s="78"/>
      <c r="D41" s="57" t="s">
        <v>70</v>
      </c>
      <c r="E41" s="75">
        <v>3</v>
      </c>
      <c r="F41" s="58" t="s">
        <v>57</v>
      </c>
      <c r="G41" s="80">
        <v>0</v>
      </c>
      <c r="H41" s="81">
        <f t="shared" si="13"/>
        <v>3</v>
      </c>
      <c r="I41" s="83">
        <v>50.5</v>
      </c>
      <c r="J41" s="83">
        <f t="shared" si="14"/>
        <v>151.5</v>
      </c>
      <c r="K41" s="84">
        <v>0.74</v>
      </c>
      <c r="L41" s="85">
        <f t="shared" si="15"/>
        <v>2.22</v>
      </c>
      <c r="M41" s="86">
        <f>'LABOR SHEET'!C$5</f>
        <v>57.65</v>
      </c>
      <c r="N41" s="83">
        <f t="shared" si="16"/>
        <v>42.661</v>
      </c>
      <c r="O41" s="83">
        <f t="shared" si="17"/>
        <v>127.983</v>
      </c>
      <c r="P41" s="83">
        <f t="shared" si="18"/>
        <v>93.161</v>
      </c>
      <c r="Q41" s="114">
        <f t="shared" si="19"/>
        <v>279.483</v>
      </c>
      <c r="R41" s="10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</row>
    <row r="42" s="31" customFormat="1" spans="1:36">
      <c r="A42" s="55">
        <f>IF(G42&lt;&gt;"",1+MAX($A$3:A41),"")</f>
        <v>30</v>
      </c>
      <c r="B42" s="77"/>
      <c r="C42" s="78"/>
      <c r="D42" s="57" t="s">
        <v>71</v>
      </c>
      <c r="E42" s="75">
        <v>3</v>
      </c>
      <c r="F42" s="58" t="s">
        <v>57</v>
      </c>
      <c r="G42" s="80">
        <v>0</v>
      </c>
      <c r="H42" s="81">
        <f t="shared" si="13"/>
        <v>3</v>
      </c>
      <c r="I42" s="83">
        <v>70.12</v>
      </c>
      <c r="J42" s="83">
        <f t="shared" si="14"/>
        <v>210.36</v>
      </c>
      <c r="K42" s="84">
        <v>0.76</v>
      </c>
      <c r="L42" s="85">
        <f t="shared" si="15"/>
        <v>2.28</v>
      </c>
      <c r="M42" s="86">
        <f>'LABOR SHEET'!C$5</f>
        <v>57.65</v>
      </c>
      <c r="N42" s="83">
        <f t="shared" si="16"/>
        <v>43.814</v>
      </c>
      <c r="O42" s="83">
        <f t="shared" si="17"/>
        <v>131.442</v>
      </c>
      <c r="P42" s="83">
        <f t="shared" si="18"/>
        <v>113.934</v>
      </c>
      <c r="Q42" s="114">
        <f t="shared" si="19"/>
        <v>341.802</v>
      </c>
      <c r="R42" s="101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</row>
    <row r="43" s="31" customFormat="1" spans="1:36">
      <c r="A43" s="55">
        <f>IF(G43&lt;&gt;"",1+MAX($A$3:A42),"")</f>
        <v>31</v>
      </c>
      <c r="B43" s="77"/>
      <c r="C43" s="78"/>
      <c r="D43" s="57" t="s">
        <v>72</v>
      </c>
      <c r="E43" s="75">
        <v>1</v>
      </c>
      <c r="F43" s="58" t="s">
        <v>57</v>
      </c>
      <c r="G43" s="80">
        <v>0</v>
      </c>
      <c r="H43" s="81">
        <f t="shared" si="13"/>
        <v>1</v>
      </c>
      <c r="I43" s="83">
        <v>86.5</v>
      </c>
      <c r="J43" s="83">
        <f t="shared" si="14"/>
        <v>86.5</v>
      </c>
      <c r="K43" s="84">
        <v>0.78</v>
      </c>
      <c r="L43" s="85">
        <f t="shared" si="15"/>
        <v>0.78</v>
      </c>
      <c r="M43" s="86">
        <f>'LABOR SHEET'!C$5</f>
        <v>57.65</v>
      </c>
      <c r="N43" s="83">
        <f t="shared" si="16"/>
        <v>44.967</v>
      </c>
      <c r="O43" s="83">
        <f t="shared" si="17"/>
        <v>44.967</v>
      </c>
      <c r="P43" s="83">
        <f t="shared" si="18"/>
        <v>131.467</v>
      </c>
      <c r="Q43" s="114">
        <f t="shared" si="19"/>
        <v>131.467</v>
      </c>
      <c r="R43" s="101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</row>
    <row r="44" s="31" customFormat="1" spans="1:36">
      <c r="A44" s="55">
        <f>IF(G44&lt;&gt;"",1+MAX($A$3:A43),"")</f>
        <v>32</v>
      </c>
      <c r="B44" s="77"/>
      <c r="C44" s="78"/>
      <c r="D44" s="57" t="s">
        <v>73</v>
      </c>
      <c r="E44" s="75">
        <v>1</v>
      </c>
      <c r="F44" s="58" t="s">
        <v>57</v>
      </c>
      <c r="G44" s="80">
        <v>0</v>
      </c>
      <c r="H44" s="81">
        <f t="shared" si="13"/>
        <v>1</v>
      </c>
      <c r="I44" s="83">
        <v>90.2</v>
      </c>
      <c r="J44" s="83">
        <f t="shared" si="14"/>
        <v>90.2</v>
      </c>
      <c r="K44" s="84">
        <v>0.8</v>
      </c>
      <c r="L44" s="85">
        <f t="shared" si="15"/>
        <v>0.8</v>
      </c>
      <c r="M44" s="86">
        <f>'LABOR SHEET'!C$5</f>
        <v>57.65</v>
      </c>
      <c r="N44" s="83">
        <f t="shared" si="16"/>
        <v>46.12</v>
      </c>
      <c r="O44" s="83">
        <f t="shared" si="17"/>
        <v>46.12</v>
      </c>
      <c r="P44" s="83">
        <f t="shared" si="18"/>
        <v>136.32</v>
      </c>
      <c r="Q44" s="114">
        <f t="shared" si="19"/>
        <v>136.32</v>
      </c>
      <c r="R44" s="101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</row>
    <row r="45" s="31" customFormat="1" spans="1:36">
      <c r="A45" s="55">
        <f>IF(G45&lt;&gt;"",1+MAX($A$3:A44),"")</f>
        <v>33</v>
      </c>
      <c r="B45" s="77"/>
      <c r="C45" s="78"/>
      <c r="D45" s="57" t="s">
        <v>74</v>
      </c>
      <c r="E45" s="75">
        <v>1</v>
      </c>
      <c r="F45" s="58" t="s">
        <v>57</v>
      </c>
      <c r="G45" s="80">
        <v>0</v>
      </c>
      <c r="H45" s="81">
        <f t="shared" si="13"/>
        <v>1</v>
      </c>
      <c r="I45" s="83">
        <v>110.5</v>
      </c>
      <c r="J45" s="83">
        <f t="shared" si="14"/>
        <v>110.5</v>
      </c>
      <c r="K45" s="84">
        <v>0.81</v>
      </c>
      <c r="L45" s="85">
        <f t="shared" si="15"/>
        <v>0.81</v>
      </c>
      <c r="M45" s="86">
        <f>'LABOR SHEET'!C$5</f>
        <v>57.65</v>
      </c>
      <c r="N45" s="83">
        <f t="shared" si="16"/>
        <v>46.6965</v>
      </c>
      <c r="O45" s="83">
        <f t="shared" si="17"/>
        <v>46.6965</v>
      </c>
      <c r="P45" s="83">
        <f t="shared" si="18"/>
        <v>157.1965</v>
      </c>
      <c r="Q45" s="114">
        <f t="shared" si="19"/>
        <v>157.1965</v>
      </c>
      <c r="R45" s="101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</row>
    <row r="46" s="31" customFormat="1" spans="1:36">
      <c r="A46" s="55">
        <f>IF(G46&lt;&gt;"",1+MAX($A$3:A45),"")</f>
        <v>34</v>
      </c>
      <c r="B46" s="77"/>
      <c r="C46" s="78"/>
      <c r="D46" s="57" t="s">
        <v>75</v>
      </c>
      <c r="E46" s="75">
        <v>1</v>
      </c>
      <c r="F46" s="58" t="s">
        <v>57</v>
      </c>
      <c r="G46" s="80">
        <v>0</v>
      </c>
      <c r="H46" s="81">
        <f t="shared" si="13"/>
        <v>1</v>
      </c>
      <c r="I46" s="83">
        <v>130</v>
      </c>
      <c r="J46" s="83">
        <f t="shared" si="14"/>
        <v>130</v>
      </c>
      <c r="K46" s="84">
        <v>0.82</v>
      </c>
      <c r="L46" s="85">
        <f t="shared" si="15"/>
        <v>0.82</v>
      </c>
      <c r="M46" s="86">
        <f>'LABOR SHEET'!C$5</f>
        <v>57.65</v>
      </c>
      <c r="N46" s="83">
        <f t="shared" si="16"/>
        <v>47.273</v>
      </c>
      <c r="O46" s="83">
        <f t="shared" si="17"/>
        <v>47.273</v>
      </c>
      <c r="P46" s="83">
        <f t="shared" si="18"/>
        <v>177.273</v>
      </c>
      <c r="Q46" s="114">
        <f t="shared" si="19"/>
        <v>177.273</v>
      </c>
      <c r="R46" s="101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</row>
    <row r="47" s="31" customFormat="1" spans="1:36">
      <c r="A47" s="55">
        <f>IF(G47&lt;&gt;"",1+MAX($A$3:A46),"")</f>
        <v>35</v>
      </c>
      <c r="B47" s="77"/>
      <c r="C47" s="78"/>
      <c r="D47" s="57" t="s">
        <v>76</v>
      </c>
      <c r="E47" s="75">
        <v>2</v>
      </c>
      <c r="F47" s="58" t="s">
        <v>57</v>
      </c>
      <c r="G47" s="80">
        <v>0</v>
      </c>
      <c r="H47" s="81">
        <f t="shared" si="13"/>
        <v>2</v>
      </c>
      <c r="I47" s="83">
        <v>148</v>
      </c>
      <c r="J47" s="83">
        <f t="shared" si="14"/>
        <v>296</v>
      </c>
      <c r="K47" s="84">
        <v>0.84</v>
      </c>
      <c r="L47" s="85">
        <f t="shared" si="15"/>
        <v>1.68</v>
      </c>
      <c r="M47" s="86">
        <f>'LABOR SHEET'!C$5</f>
        <v>57.65</v>
      </c>
      <c r="N47" s="83">
        <f t="shared" si="16"/>
        <v>48.426</v>
      </c>
      <c r="O47" s="83">
        <f t="shared" si="17"/>
        <v>96.852</v>
      </c>
      <c r="P47" s="83">
        <f t="shared" si="18"/>
        <v>196.426</v>
      </c>
      <c r="Q47" s="114">
        <f t="shared" si="19"/>
        <v>392.852</v>
      </c>
      <c r="R47" s="101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</row>
    <row r="48" s="31" customFormat="1" spans="1:36">
      <c r="A48" s="55">
        <f>IF(G48&lt;&gt;"",1+MAX($A$3:A47),"")</f>
        <v>36</v>
      </c>
      <c r="B48" s="77"/>
      <c r="C48" s="78"/>
      <c r="D48" s="57" t="s">
        <v>77</v>
      </c>
      <c r="E48" s="75">
        <v>1</v>
      </c>
      <c r="F48" s="58" t="s">
        <v>57</v>
      </c>
      <c r="G48" s="80">
        <v>0</v>
      </c>
      <c r="H48" s="81">
        <f t="shared" si="13"/>
        <v>1</v>
      </c>
      <c r="I48" s="83">
        <v>170.26</v>
      </c>
      <c r="J48" s="83">
        <f t="shared" si="14"/>
        <v>170.26</v>
      </c>
      <c r="K48" s="84">
        <v>0.85</v>
      </c>
      <c r="L48" s="85">
        <f t="shared" si="15"/>
        <v>0.85</v>
      </c>
      <c r="M48" s="86">
        <f>'LABOR SHEET'!C$5</f>
        <v>57.65</v>
      </c>
      <c r="N48" s="83">
        <f t="shared" si="16"/>
        <v>49.0025</v>
      </c>
      <c r="O48" s="83">
        <f t="shared" si="17"/>
        <v>49.0025</v>
      </c>
      <c r="P48" s="83">
        <f t="shared" si="18"/>
        <v>219.2625</v>
      </c>
      <c r="Q48" s="114">
        <f t="shared" si="19"/>
        <v>219.2625</v>
      </c>
      <c r="R48" s="101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</row>
    <row r="49" s="31" customFormat="1" spans="1:36">
      <c r="A49" s="55">
        <f>IF(G49&lt;&gt;"",1+MAX($A$3:A48),"")</f>
        <v>37</v>
      </c>
      <c r="B49" s="77"/>
      <c r="C49" s="78"/>
      <c r="D49" s="57" t="s">
        <v>78</v>
      </c>
      <c r="E49" s="75">
        <v>1</v>
      </c>
      <c r="F49" s="58" t="s">
        <v>57</v>
      </c>
      <c r="G49" s="80">
        <v>0</v>
      </c>
      <c r="H49" s="81">
        <f t="shared" si="13"/>
        <v>1</v>
      </c>
      <c r="I49" s="83">
        <v>14.61</v>
      </c>
      <c r="J49" s="83">
        <f t="shared" si="14"/>
        <v>14.61</v>
      </c>
      <c r="K49" s="84">
        <v>0.4</v>
      </c>
      <c r="L49" s="85">
        <f t="shared" si="15"/>
        <v>0.4</v>
      </c>
      <c r="M49" s="86">
        <f>'LABOR SHEET'!C$5</f>
        <v>57.65</v>
      </c>
      <c r="N49" s="83">
        <f t="shared" si="16"/>
        <v>23.06</v>
      </c>
      <c r="O49" s="83">
        <f t="shared" si="17"/>
        <v>23.06</v>
      </c>
      <c r="P49" s="83">
        <f t="shared" si="18"/>
        <v>37.67</v>
      </c>
      <c r="Q49" s="114">
        <f t="shared" si="19"/>
        <v>37.67</v>
      </c>
      <c r="R49" s="101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</row>
    <row r="50" s="31" customFormat="1" spans="1:36">
      <c r="A50" s="55">
        <f>IF(G50&lt;&gt;"",1+MAX($A$3:A49),"")</f>
        <v>38</v>
      </c>
      <c r="B50" s="77"/>
      <c r="C50" s="78"/>
      <c r="D50" s="57" t="s">
        <v>79</v>
      </c>
      <c r="E50" s="75">
        <v>1</v>
      </c>
      <c r="F50" s="58" t="s">
        <v>57</v>
      </c>
      <c r="G50" s="80">
        <v>0</v>
      </c>
      <c r="H50" s="81">
        <f t="shared" si="13"/>
        <v>1</v>
      </c>
      <c r="I50" s="83">
        <v>20.5</v>
      </c>
      <c r="J50" s="83">
        <f t="shared" si="14"/>
        <v>20.5</v>
      </c>
      <c r="K50" s="84">
        <v>0.42</v>
      </c>
      <c r="L50" s="85">
        <f t="shared" si="15"/>
        <v>0.42</v>
      </c>
      <c r="M50" s="86">
        <f>'LABOR SHEET'!C$5</f>
        <v>57.65</v>
      </c>
      <c r="N50" s="83">
        <f t="shared" si="16"/>
        <v>24.213</v>
      </c>
      <c r="O50" s="83">
        <f t="shared" si="17"/>
        <v>24.213</v>
      </c>
      <c r="P50" s="83">
        <f t="shared" si="18"/>
        <v>44.713</v>
      </c>
      <c r="Q50" s="114">
        <f t="shared" si="19"/>
        <v>44.713</v>
      </c>
      <c r="R50" s="101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</row>
    <row r="51" s="31" customFormat="1" spans="1:36">
      <c r="A51" s="55">
        <f>IF(G51&lt;&gt;"",1+MAX($A$3:A50),"")</f>
        <v>39</v>
      </c>
      <c r="B51" s="77"/>
      <c r="C51" s="78"/>
      <c r="D51" s="57" t="s">
        <v>80</v>
      </c>
      <c r="E51" s="75">
        <v>1</v>
      </c>
      <c r="F51" s="58" t="s">
        <v>57</v>
      </c>
      <c r="G51" s="80">
        <v>0</v>
      </c>
      <c r="H51" s="81">
        <f t="shared" si="13"/>
        <v>1</v>
      </c>
      <c r="I51" s="83">
        <v>35.5</v>
      </c>
      <c r="J51" s="83">
        <f t="shared" si="14"/>
        <v>35.5</v>
      </c>
      <c r="K51" s="84">
        <v>0.44</v>
      </c>
      <c r="L51" s="85">
        <f t="shared" si="15"/>
        <v>0.44</v>
      </c>
      <c r="M51" s="86">
        <f>'LABOR SHEET'!C$5</f>
        <v>57.65</v>
      </c>
      <c r="N51" s="83">
        <f t="shared" si="16"/>
        <v>25.366</v>
      </c>
      <c r="O51" s="83">
        <f t="shared" si="17"/>
        <v>25.366</v>
      </c>
      <c r="P51" s="83">
        <f t="shared" si="18"/>
        <v>60.866</v>
      </c>
      <c r="Q51" s="114">
        <f t="shared" si="19"/>
        <v>60.866</v>
      </c>
      <c r="R51" s="101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</row>
    <row r="52" s="31" customFormat="1" spans="1:36">
      <c r="A52" s="55">
        <f>IF(G52&lt;&gt;"",1+MAX($A$3:A51),"")</f>
        <v>40</v>
      </c>
      <c r="B52" s="77"/>
      <c r="C52" s="78"/>
      <c r="D52" s="57" t="s">
        <v>81</v>
      </c>
      <c r="E52" s="75">
        <v>1</v>
      </c>
      <c r="F52" s="58" t="s">
        <v>57</v>
      </c>
      <c r="G52" s="80">
        <v>0</v>
      </c>
      <c r="H52" s="81">
        <f t="shared" si="13"/>
        <v>1</v>
      </c>
      <c r="I52" s="83">
        <v>45</v>
      </c>
      <c r="J52" s="83">
        <f t="shared" si="14"/>
        <v>45</v>
      </c>
      <c r="K52" s="84">
        <v>0.46</v>
      </c>
      <c r="L52" s="85">
        <f t="shared" si="15"/>
        <v>0.46</v>
      </c>
      <c r="M52" s="86">
        <f>'LABOR SHEET'!C$5</f>
        <v>57.65</v>
      </c>
      <c r="N52" s="83">
        <f t="shared" si="16"/>
        <v>26.519</v>
      </c>
      <c r="O52" s="83">
        <f t="shared" si="17"/>
        <v>26.519</v>
      </c>
      <c r="P52" s="83">
        <f t="shared" si="18"/>
        <v>71.519</v>
      </c>
      <c r="Q52" s="114">
        <f t="shared" si="19"/>
        <v>71.519</v>
      </c>
      <c r="R52" s="101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</row>
    <row r="53" s="31" customFormat="1" spans="1:36">
      <c r="A53" s="55">
        <f>IF(G53&lt;&gt;"",1+MAX($A$3:A52),"")</f>
        <v>41</v>
      </c>
      <c r="B53" s="77"/>
      <c r="C53" s="78"/>
      <c r="D53" s="57" t="s">
        <v>82</v>
      </c>
      <c r="E53" s="75">
        <v>1</v>
      </c>
      <c r="F53" s="58" t="s">
        <v>57</v>
      </c>
      <c r="G53" s="80">
        <v>0</v>
      </c>
      <c r="H53" s="81">
        <f t="shared" si="13"/>
        <v>1</v>
      </c>
      <c r="I53" s="83">
        <v>52</v>
      </c>
      <c r="J53" s="83">
        <f t="shared" si="14"/>
        <v>52</v>
      </c>
      <c r="K53" s="84">
        <v>0.48</v>
      </c>
      <c r="L53" s="85">
        <f t="shared" si="15"/>
        <v>0.48</v>
      </c>
      <c r="M53" s="86">
        <f>'LABOR SHEET'!C$5</f>
        <v>57.65</v>
      </c>
      <c r="N53" s="83">
        <f t="shared" si="16"/>
        <v>27.672</v>
      </c>
      <c r="O53" s="83">
        <f t="shared" si="17"/>
        <v>27.672</v>
      </c>
      <c r="P53" s="83">
        <f t="shared" si="18"/>
        <v>79.672</v>
      </c>
      <c r="Q53" s="114">
        <f t="shared" si="19"/>
        <v>79.672</v>
      </c>
      <c r="R53" s="101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</row>
    <row r="54" s="31" customFormat="1" spans="1:36">
      <c r="A54" s="55">
        <f>IF(G54&lt;&gt;"",1+MAX($A$3:A53),"")</f>
        <v>42</v>
      </c>
      <c r="B54" s="77"/>
      <c r="C54" s="78"/>
      <c r="D54" s="57" t="s">
        <v>83</v>
      </c>
      <c r="E54" s="75">
        <v>2</v>
      </c>
      <c r="F54" s="58" t="s">
        <v>57</v>
      </c>
      <c r="G54" s="80">
        <v>0</v>
      </c>
      <c r="H54" s="81">
        <f t="shared" si="13"/>
        <v>2</v>
      </c>
      <c r="I54" s="83">
        <v>58</v>
      </c>
      <c r="J54" s="83">
        <f t="shared" si="14"/>
        <v>116</v>
      </c>
      <c r="K54" s="84">
        <v>0.5</v>
      </c>
      <c r="L54" s="85">
        <f t="shared" si="15"/>
        <v>1</v>
      </c>
      <c r="M54" s="86">
        <f>'LABOR SHEET'!C$5</f>
        <v>57.65</v>
      </c>
      <c r="N54" s="83">
        <f t="shared" si="16"/>
        <v>28.825</v>
      </c>
      <c r="O54" s="83">
        <f t="shared" si="17"/>
        <v>57.65</v>
      </c>
      <c r="P54" s="83">
        <f t="shared" si="18"/>
        <v>86.825</v>
      </c>
      <c r="Q54" s="114">
        <f t="shared" si="19"/>
        <v>173.65</v>
      </c>
      <c r="R54" s="101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</row>
    <row r="55" s="31" customFormat="1" spans="1:36">
      <c r="A55" s="55">
        <f>IF(G55&lt;&gt;"",1+MAX($A$3:A54),"")</f>
        <v>43</v>
      </c>
      <c r="B55" s="77"/>
      <c r="C55" s="78"/>
      <c r="D55" s="57" t="s">
        <v>84</v>
      </c>
      <c r="E55" s="75">
        <v>1</v>
      </c>
      <c r="F55" s="58" t="s">
        <v>57</v>
      </c>
      <c r="G55" s="80">
        <v>0</v>
      </c>
      <c r="H55" s="81">
        <f t="shared" si="13"/>
        <v>1</v>
      </c>
      <c r="I55" s="83">
        <v>65</v>
      </c>
      <c r="J55" s="83">
        <f t="shared" si="14"/>
        <v>65</v>
      </c>
      <c r="K55" s="84">
        <v>0.52</v>
      </c>
      <c r="L55" s="85">
        <f t="shared" si="15"/>
        <v>0.52</v>
      </c>
      <c r="M55" s="86">
        <f>'LABOR SHEET'!C$5</f>
        <v>57.65</v>
      </c>
      <c r="N55" s="83">
        <f t="shared" si="16"/>
        <v>29.978</v>
      </c>
      <c r="O55" s="83">
        <f t="shared" si="17"/>
        <v>29.978</v>
      </c>
      <c r="P55" s="83">
        <f t="shared" si="18"/>
        <v>94.978</v>
      </c>
      <c r="Q55" s="114">
        <f t="shared" si="19"/>
        <v>94.978</v>
      </c>
      <c r="R55" s="101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</row>
    <row r="56" s="31" customFormat="1" spans="1:36">
      <c r="A56" s="55">
        <f>IF(G56&lt;&gt;"",1+MAX($A$3:A55),"")</f>
        <v>44</v>
      </c>
      <c r="B56" s="77"/>
      <c r="C56" s="78"/>
      <c r="D56" s="57" t="s">
        <v>85</v>
      </c>
      <c r="E56" s="75">
        <v>1</v>
      </c>
      <c r="F56" s="58" t="s">
        <v>57</v>
      </c>
      <c r="G56" s="80">
        <v>0</v>
      </c>
      <c r="H56" s="81">
        <f t="shared" si="13"/>
        <v>1</v>
      </c>
      <c r="I56" s="83">
        <v>70.34</v>
      </c>
      <c r="J56" s="83">
        <f t="shared" si="14"/>
        <v>70.34</v>
      </c>
      <c r="K56" s="84">
        <v>0.53</v>
      </c>
      <c r="L56" s="85">
        <f t="shared" si="15"/>
        <v>0.53</v>
      </c>
      <c r="M56" s="86">
        <f>'LABOR SHEET'!C$5</f>
        <v>57.65</v>
      </c>
      <c r="N56" s="83">
        <f t="shared" si="16"/>
        <v>30.5545</v>
      </c>
      <c r="O56" s="83">
        <f t="shared" si="17"/>
        <v>30.5545</v>
      </c>
      <c r="P56" s="83">
        <f t="shared" si="18"/>
        <v>100.8945</v>
      </c>
      <c r="Q56" s="114">
        <f t="shared" si="19"/>
        <v>100.8945</v>
      </c>
      <c r="R56" s="101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</row>
    <row r="57" s="31" customFormat="1" spans="1:36">
      <c r="A57" s="55" t="str">
        <f>IF(G57&lt;&gt;"",1+MAX($A$3:A56),"")</f>
        <v/>
      </c>
      <c r="B57" s="77"/>
      <c r="C57" s="78"/>
      <c r="D57" s="57"/>
      <c r="E57" s="75"/>
      <c r="F57" s="58"/>
      <c r="G57" s="80"/>
      <c r="H57" s="81"/>
      <c r="I57" s="87"/>
      <c r="J57" s="83"/>
      <c r="K57" s="84"/>
      <c r="L57" s="85"/>
      <c r="M57" s="86"/>
      <c r="N57" s="83"/>
      <c r="O57" s="83"/>
      <c r="P57" s="83"/>
      <c r="Q57" s="114"/>
      <c r="R57" s="101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</row>
    <row r="58" s="31" customFormat="1" spans="1:36">
      <c r="A58" s="55" t="str">
        <f>IF(G58&lt;&gt;"",1+MAX($A$3:A57),"")</f>
        <v/>
      </c>
      <c r="B58" s="77"/>
      <c r="C58" s="78"/>
      <c r="D58" s="82" t="s">
        <v>86</v>
      </c>
      <c r="E58" s="75"/>
      <c r="F58" s="58"/>
      <c r="G58" s="80"/>
      <c r="H58" s="81"/>
      <c r="I58" s="87"/>
      <c r="J58" s="83"/>
      <c r="K58" s="84"/>
      <c r="L58" s="85"/>
      <c r="M58" s="86"/>
      <c r="N58" s="83"/>
      <c r="O58" s="83"/>
      <c r="P58" s="83"/>
      <c r="Q58" s="114"/>
      <c r="R58" s="101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</row>
    <row r="59" s="31" customFormat="1" spans="1:36">
      <c r="A59" s="55">
        <f>IF(G59&lt;&gt;"",1+MAX($A$3:A58),"")</f>
        <v>45</v>
      </c>
      <c r="B59" s="77"/>
      <c r="C59" s="78"/>
      <c r="D59" s="57" t="s">
        <v>87</v>
      </c>
      <c r="E59" s="75">
        <v>2</v>
      </c>
      <c r="F59" s="58" t="s">
        <v>57</v>
      </c>
      <c r="G59" s="80">
        <v>0</v>
      </c>
      <c r="H59" s="81">
        <f t="shared" ref="H59:H74" si="20">E59*(1+G59)</f>
        <v>2</v>
      </c>
      <c r="I59" s="83">
        <v>5.12</v>
      </c>
      <c r="J59" s="83">
        <f t="shared" ref="J59:J74" si="21">I59*H59</f>
        <v>10.24</v>
      </c>
      <c r="K59" s="84">
        <v>0.4</v>
      </c>
      <c r="L59" s="85">
        <f t="shared" ref="L59:L74" si="22">+K59*H59</f>
        <v>0.8</v>
      </c>
      <c r="M59" s="86">
        <f>'LABOR SHEET'!C$5</f>
        <v>57.65</v>
      </c>
      <c r="N59" s="83">
        <f t="shared" ref="N59:N74" si="23">K59*M59</f>
        <v>23.06</v>
      </c>
      <c r="O59" s="83">
        <f t="shared" ref="O59:O74" si="24">M59*L59</f>
        <v>46.12</v>
      </c>
      <c r="P59" s="83">
        <f t="shared" ref="P59:P74" si="25">I59+N59</f>
        <v>28.18</v>
      </c>
      <c r="Q59" s="114">
        <f t="shared" ref="Q59:Q74" si="26">P59*H59</f>
        <v>56.36</v>
      </c>
      <c r="R59" s="101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</row>
    <row r="60" s="31" customFormat="1" spans="1:36">
      <c r="A60" s="55">
        <f>IF(G60&lt;&gt;"",1+MAX($A$3:A59),"")</f>
        <v>46</v>
      </c>
      <c r="B60" s="77"/>
      <c r="C60" s="78"/>
      <c r="D60" s="57" t="s">
        <v>88</v>
      </c>
      <c r="E60" s="75">
        <v>2</v>
      </c>
      <c r="F60" s="58" t="s">
        <v>57</v>
      </c>
      <c r="G60" s="80">
        <v>0</v>
      </c>
      <c r="H60" s="81">
        <f t="shared" si="20"/>
        <v>2</v>
      </c>
      <c r="I60" s="83">
        <v>35.5</v>
      </c>
      <c r="J60" s="83">
        <f t="shared" si="21"/>
        <v>71</v>
      </c>
      <c r="K60" s="84">
        <v>0.65</v>
      </c>
      <c r="L60" s="85">
        <f t="shared" si="22"/>
        <v>1.3</v>
      </c>
      <c r="M60" s="86">
        <f>'LABOR SHEET'!C$5</f>
        <v>57.65</v>
      </c>
      <c r="N60" s="83">
        <f t="shared" si="23"/>
        <v>37.4725</v>
      </c>
      <c r="O60" s="83">
        <f t="shared" si="24"/>
        <v>74.945</v>
      </c>
      <c r="P60" s="83">
        <f t="shared" si="25"/>
        <v>72.9725</v>
      </c>
      <c r="Q60" s="114">
        <f t="shared" si="26"/>
        <v>145.945</v>
      </c>
      <c r="R60" s="101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</row>
    <row r="61" s="31" customFormat="1" spans="1:36">
      <c r="A61" s="55">
        <f>IF(G61&lt;&gt;"",1+MAX($A$3:A60),"")</f>
        <v>47</v>
      </c>
      <c r="B61" s="77"/>
      <c r="C61" s="78"/>
      <c r="D61" s="57" t="s">
        <v>89</v>
      </c>
      <c r="E61" s="75">
        <v>2</v>
      </c>
      <c r="F61" s="58" t="s">
        <v>57</v>
      </c>
      <c r="G61" s="80">
        <v>0</v>
      </c>
      <c r="H61" s="81">
        <f t="shared" si="20"/>
        <v>2</v>
      </c>
      <c r="I61" s="83">
        <v>15.45</v>
      </c>
      <c r="J61" s="83">
        <f t="shared" si="21"/>
        <v>30.9</v>
      </c>
      <c r="K61" s="84">
        <v>0.6</v>
      </c>
      <c r="L61" s="85">
        <f t="shared" si="22"/>
        <v>1.2</v>
      </c>
      <c r="M61" s="86">
        <f>'LABOR SHEET'!C$5</f>
        <v>57.65</v>
      </c>
      <c r="N61" s="83">
        <f t="shared" si="23"/>
        <v>34.59</v>
      </c>
      <c r="O61" s="83">
        <f t="shared" si="24"/>
        <v>69.18</v>
      </c>
      <c r="P61" s="83">
        <f t="shared" si="25"/>
        <v>50.04</v>
      </c>
      <c r="Q61" s="114">
        <f t="shared" si="26"/>
        <v>100.08</v>
      </c>
      <c r="R61" s="101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</row>
    <row r="62" s="31" customFormat="1" spans="1:36">
      <c r="A62" s="55">
        <f>IF(G62&lt;&gt;"",1+MAX($A$3:A61),"")</f>
        <v>48</v>
      </c>
      <c r="B62" s="77"/>
      <c r="C62" s="78"/>
      <c r="D62" s="57" t="s">
        <v>90</v>
      </c>
      <c r="E62" s="75">
        <v>2</v>
      </c>
      <c r="F62" s="58" t="s">
        <v>57</v>
      </c>
      <c r="G62" s="80">
        <v>0</v>
      </c>
      <c r="H62" s="81">
        <f t="shared" si="20"/>
        <v>2</v>
      </c>
      <c r="I62" s="83">
        <v>90.45</v>
      </c>
      <c r="J62" s="83">
        <f t="shared" si="21"/>
        <v>180.9</v>
      </c>
      <c r="K62" s="84">
        <v>0.65</v>
      </c>
      <c r="L62" s="85">
        <f t="shared" si="22"/>
        <v>1.3</v>
      </c>
      <c r="M62" s="86">
        <f>'LABOR SHEET'!C$5</f>
        <v>57.65</v>
      </c>
      <c r="N62" s="83">
        <f t="shared" si="23"/>
        <v>37.4725</v>
      </c>
      <c r="O62" s="83">
        <f t="shared" si="24"/>
        <v>74.945</v>
      </c>
      <c r="P62" s="83">
        <f t="shared" si="25"/>
        <v>127.9225</v>
      </c>
      <c r="Q62" s="114">
        <f t="shared" si="26"/>
        <v>255.845</v>
      </c>
      <c r="R62" s="101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</row>
    <row r="63" s="31" customFormat="1" spans="1:36">
      <c r="A63" s="55">
        <f>IF(G63&lt;&gt;"",1+MAX($A$3:A62),"")</f>
        <v>49</v>
      </c>
      <c r="B63" s="77"/>
      <c r="C63" s="78"/>
      <c r="D63" s="57" t="s">
        <v>91</v>
      </c>
      <c r="E63" s="75">
        <v>4</v>
      </c>
      <c r="F63" s="58" t="s">
        <v>57</v>
      </c>
      <c r="G63" s="80">
        <v>0</v>
      </c>
      <c r="H63" s="81">
        <f t="shared" si="20"/>
        <v>4</v>
      </c>
      <c r="I63" s="83">
        <v>10.45</v>
      </c>
      <c r="J63" s="83">
        <f t="shared" si="21"/>
        <v>41.8</v>
      </c>
      <c r="K63" s="84">
        <v>0.45</v>
      </c>
      <c r="L63" s="85">
        <f t="shared" si="22"/>
        <v>1.8</v>
      </c>
      <c r="M63" s="86">
        <f>'LABOR SHEET'!C$5</f>
        <v>57.65</v>
      </c>
      <c r="N63" s="83">
        <f t="shared" si="23"/>
        <v>25.9425</v>
      </c>
      <c r="O63" s="83">
        <f t="shared" si="24"/>
        <v>103.77</v>
      </c>
      <c r="P63" s="83">
        <f t="shared" si="25"/>
        <v>36.3925</v>
      </c>
      <c r="Q63" s="114">
        <f t="shared" si="26"/>
        <v>145.57</v>
      </c>
      <c r="R63" s="101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</row>
    <row r="64" s="31" customFormat="1" spans="1:36">
      <c r="A64" s="55">
        <f>IF(G64&lt;&gt;"",1+MAX($A$3:A63),"")</f>
        <v>50</v>
      </c>
      <c r="B64" s="77"/>
      <c r="C64" s="78"/>
      <c r="D64" s="57" t="s">
        <v>92</v>
      </c>
      <c r="E64" s="75">
        <v>4</v>
      </c>
      <c r="F64" s="58" t="s">
        <v>57</v>
      </c>
      <c r="G64" s="80">
        <v>0</v>
      </c>
      <c r="H64" s="81">
        <f t="shared" si="20"/>
        <v>4</v>
      </c>
      <c r="I64" s="83">
        <f>35/0.75</f>
        <v>46.6666666666667</v>
      </c>
      <c r="J64" s="83">
        <f t="shared" si="21"/>
        <v>186.666666666667</v>
      </c>
      <c r="K64" s="84">
        <v>0.68</v>
      </c>
      <c r="L64" s="85">
        <f t="shared" si="22"/>
        <v>2.72</v>
      </c>
      <c r="M64" s="86">
        <f>'LABOR SHEET'!C$5</f>
        <v>57.65</v>
      </c>
      <c r="N64" s="83">
        <f t="shared" si="23"/>
        <v>39.202</v>
      </c>
      <c r="O64" s="83">
        <f t="shared" si="24"/>
        <v>156.808</v>
      </c>
      <c r="P64" s="83">
        <f t="shared" si="25"/>
        <v>85.8686666666667</v>
      </c>
      <c r="Q64" s="114">
        <f t="shared" si="26"/>
        <v>343.474666666667</v>
      </c>
      <c r="R64" s="101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="31" customFormat="1" spans="1:36">
      <c r="A65" s="55">
        <f>IF(G65&lt;&gt;"",1+MAX($A$3:A64),"")</f>
        <v>51</v>
      </c>
      <c r="B65" s="77"/>
      <c r="C65" s="78"/>
      <c r="D65" s="57" t="s">
        <v>93</v>
      </c>
      <c r="E65" s="75">
        <v>4</v>
      </c>
      <c r="F65" s="58" t="s">
        <v>57</v>
      </c>
      <c r="G65" s="80">
        <v>0</v>
      </c>
      <c r="H65" s="81">
        <f t="shared" si="20"/>
        <v>4</v>
      </c>
      <c r="I65" s="83">
        <v>20.25</v>
      </c>
      <c r="J65" s="83">
        <f t="shared" si="21"/>
        <v>81</v>
      </c>
      <c r="K65" s="84">
        <v>0.62</v>
      </c>
      <c r="L65" s="85">
        <f t="shared" si="22"/>
        <v>2.48</v>
      </c>
      <c r="M65" s="86">
        <f>'LABOR SHEET'!C$5</f>
        <v>57.65</v>
      </c>
      <c r="N65" s="83">
        <f t="shared" si="23"/>
        <v>35.743</v>
      </c>
      <c r="O65" s="83">
        <f t="shared" si="24"/>
        <v>142.972</v>
      </c>
      <c r="P65" s="83">
        <f t="shared" si="25"/>
        <v>55.993</v>
      </c>
      <c r="Q65" s="114">
        <f t="shared" si="26"/>
        <v>223.972</v>
      </c>
      <c r="R65" s="101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</row>
    <row r="66" s="31" customFormat="1" spans="1:36">
      <c r="A66" s="55">
        <f>IF(G66&lt;&gt;"",1+MAX($A$3:A65),"")</f>
        <v>52</v>
      </c>
      <c r="B66" s="77"/>
      <c r="C66" s="78"/>
      <c r="D66" s="57" t="s">
        <v>94</v>
      </c>
      <c r="E66" s="75">
        <v>4</v>
      </c>
      <c r="F66" s="58" t="s">
        <v>57</v>
      </c>
      <c r="G66" s="80">
        <v>0</v>
      </c>
      <c r="H66" s="81">
        <f t="shared" si="20"/>
        <v>4</v>
      </c>
      <c r="I66" s="83">
        <v>110</v>
      </c>
      <c r="J66" s="83">
        <f t="shared" si="21"/>
        <v>440</v>
      </c>
      <c r="K66" s="84">
        <v>0.4772</v>
      </c>
      <c r="L66" s="85">
        <f t="shared" si="22"/>
        <v>1.9088</v>
      </c>
      <c r="M66" s="86">
        <f>'LABOR SHEET'!C$5</f>
        <v>57.65</v>
      </c>
      <c r="N66" s="83">
        <f t="shared" si="23"/>
        <v>27.51058</v>
      </c>
      <c r="O66" s="83">
        <f t="shared" si="24"/>
        <v>110.04232</v>
      </c>
      <c r="P66" s="83">
        <f t="shared" si="25"/>
        <v>137.51058</v>
      </c>
      <c r="Q66" s="114">
        <f t="shared" si="26"/>
        <v>550.04232</v>
      </c>
      <c r="R66" s="101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</row>
    <row r="67" s="31" customFormat="1" spans="1:36">
      <c r="A67" s="55">
        <f>IF(G67&lt;&gt;"",1+MAX($A$3:A66),"")</f>
        <v>53</v>
      </c>
      <c r="B67" s="77"/>
      <c r="C67" s="78"/>
      <c r="D67" s="57" t="s">
        <v>95</v>
      </c>
      <c r="E67" s="75">
        <v>7</v>
      </c>
      <c r="F67" s="58" t="s">
        <v>57</v>
      </c>
      <c r="G67" s="80">
        <v>0</v>
      </c>
      <c r="H67" s="81">
        <f t="shared" si="20"/>
        <v>7</v>
      </c>
      <c r="I67" s="83">
        <v>15.5</v>
      </c>
      <c r="J67" s="83">
        <f t="shared" si="21"/>
        <v>108.5</v>
      </c>
      <c r="K67" s="84">
        <v>0.46</v>
      </c>
      <c r="L67" s="85">
        <f t="shared" si="22"/>
        <v>3.22</v>
      </c>
      <c r="M67" s="86">
        <f>'LABOR SHEET'!C$5</f>
        <v>57.65</v>
      </c>
      <c r="N67" s="83">
        <f t="shared" si="23"/>
        <v>26.519</v>
      </c>
      <c r="O67" s="83">
        <f t="shared" si="24"/>
        <v>185.633</v>
      </c>
      <c r="P67" s="83">
        <f t="shared" si="25"/>
        <v>42.019</v>
      </c>
      <c r="Q67" s="114">
        <f t="shared" si="26"/>
        <v>294.133</v>
      </c>
      <c r="R67" s="101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</row>
    <row r="68" s="31" customFormat="1" spans="1:36">
      <c r="A68" s="55">
        <f>IF(G68&lt;&gt;"",1+MAX($A$3:A67),"")</f>
        <v>54</v>
      </c>
      <c r="B68" s="77"/>
      <c r="C68" s="78"/>
      <c r="D68" s="57" t="s">
        <v>96</v>
      </c>
      <c r="E68" s="75">
        <v>7</v>
      </c>
      <c r="F68" s="58" t="s">
        <v>57</v>
      </c>
      <c r="G68" s="80">
        <v>0</v>
      </c>
      <c r="H68" s="81">
        <f t="shared" si="20"/>
        <v>7</v>
      </c>
      <c r="I68" s="83">
        <v>55.2</v>
      </c>
      <c r="J68" s="83">
        <f t="shared" si="21"/>
        <v>386.4</v>
      </c>
      <c r="K68" s="84">
        <v>0.69</v>
      </c>
      <c r="L68" s="85">
        <f t="shared" si="22"/>
        <v>4.83</v>
      </c>
      <c r="M68" s="86">
        <f>'LABOR SHEET'!C$5</f>
        <v>57.65</v>
      </c>
      <c r="N68" s="83">
        <f t="shared" si="23"/>
        <v>39.7785</v>
      </c>
      <c r="O68" s="83">
        <f t="shared" si="24"/>
        <v>278.4495</v>
      </c>
      <c r="P68" s="83">
        <f t="shared" si="25"/>
        <v>94.9785</v>
      </c>
      <c r="Q68" s="114">
        <f t="shared" si="26"/>
        <v>664.8495</v>
      </c>
      <c r="R68" s="101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</row>
    <row r="69" s="31" customFormat="1" spans="1:36">
      <c r="A69" s="55">
        <f>IF(G69&lt;&gt;"",1+MAX($A$3:A68),"")</f>
        <v>55</v>
      </c>
      <c r="B69" s="77"/>
      <c r="C69" s="78"/>
      <c r="D69" s="57" t="s">
        <v>97</v>
      </c>
      <c r="E69" s="75">
        <v>7</v>
      </c>
      <c r="F69" s="58" t="s">
        <v>57</v>
      </c>
      <c r="G69" s="80">
        <v>0</v>
      </c>
      <c r="H69" s="81">
        <f t="shared" si="20"/>
        <v>7</v>
      </c>
      <c r="I69" s="83">
        <v>25.2</v>
      </c>
      <c r="J69" s="83">
        <f t="shared" si="21"/>
        <v>176.4</v>
      </c>
      <c r="K69" s="84">
        <v>0.63</v>
      </c>
      <c r="L69" s="85">
        <f t="shared" si="22"/>
        <v>4.41</v>
      </c>
      <c r="M69" s="86">
        <f>'LABOR SHEET'!C$5</f>
        <v>57.65</v>
      </c>
      <c r="N69" s="83">
        <f t="shared" si="23"/>
        <v>36.3195</v>
      </c>
      <c r="O69" s="83">
        <f t="shared" si="24"/>
        <v>254.2365</v>
      </c>
      <c r="P69" s="83">
        <f t="shared" si="25"/>
        <v>61.5195</v>
      </c>
      <c r="Q69" s="114">
        <f t="shared" si="26"/>
        <v>430.6365</v>
      </c>
      <c r="R69" s="101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</row>
    <row r="70" s="31" customFormat="1" spans="1:36">
      <c r="A70" s="55">
        <f>IF(G70&lt;&gt;"",1+MAX($A$3:A69),"")</f>
        <v>56</v>
      </c>
      <c r="B70" s="77"/>
      <c r="C70" s="78"/>
      <c r="D70" s="57" t="s">
        <v>98</v>
      </c>
      <c r="E70" s="75">
        <v>7</v>
      </c>
      <c r="F70" s="58" t="s">
        <v>57</v>
      </c>
      <c r="G70" s="80">
        <v>0</v>
      </c>
      <c r="H70" s="81">
        <f t="shared" si="20"/>
        <v>7</v>
      </c>
      <c r="I70" s="83">
        <v>125</v>
      </c>
      <c r="J70" s="83">
        <f t="shared" si="21"/>
        <v>875</v>
      </c>
      <c r="K70" s="84">
        <v>0.55</v>
      </c>
      <c r="L70" s="85">
        <f t="shared" si="22"/>
        <v>3.85</v>
      </c>
      <c r="M70" s="86">
        <f>'LABOR SHEET'!C$5</f>
        <v>57.65</v>
      </c>
      <c r="N70" s="83">
        <f t="shared" si="23"/>
        <v>31.7075</v>
      </c>
      <c r="O70" s="83">
        <f t="shared" si="24"/>
        <v>221.9525</v>
      </c>
      <c r="P70" s="83">
        <f t="shared" si="25"/>
        <v>156.7075</v>
      </c>
      <c r="Q70" s="114">
        <f t="shared" si="26"/>
        <v>1096.9525</v>
      </c>
      <c r="R70" s="101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</row>
    <row r="71" s="31" customFormat="1" spans="1:36">
      <c r="A71" s="55">
        <f>IF(G71&lt;&gt;"",1+MAX($A$3:A70),"")</f>
        <v>57</v>
      </c>
      <c r="B71" s="77"/>
      <c r="C71" s="78"/>
      <c r="D71" s="57" t="s">
        <v>99</v>
      </c>
      <c r="E71" s="75">
        <v>2</v>
      </c>
      <c r="F71" s="58" t="s">
        <v>57</v>
      </c>
      <c r="G71" s="80">
        <v>0</v>
      </c>
      <c r="H71" s="81">
        <f t="shared" si="20"/>
        <v>2</v>
      </c>
      <c r="I71" s="83">
        <v>25.5</v>
      </c>
      <c r="J71" s="83">
        <f t="shared" si="21"/>
        <v>51</v>
      </c>
      <c r="K71" s="84">
        <v>0.51</v>
      </c>
      <c r="L71" s="85">
        <f t="shared" si="22"/>
        <v>1.02</v>
      </c>
      <c r="M71" s="86">
        <f>'LABOR SHEET'!C$5</f>
        <v>57.65</v>
      </c>
      <c r="N71" s="83">
        <f t="shared" si="23"/>
        <v>29.4015</v>
      </c>
      <c r="O71" s="83">
        <f t="shared" si="24"/>
        <v>58.803</v>
      </c>
      <c r="P71" s="83">
        <f t="shared" si="25"/>
        <v>54.9015</v>
      </c>
      <c r="Q71" s="114">
        <f t="shared" si="26"/>
        <v>109.803</v>
      </c>
      <c r="R71" s="101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</row>
    <row r="72" s="31" customFormat="1" spans="1:36">
      <c r="A72" s="55">
        <f>IF(G72&lt;&gt;"",1+MAX($A$3:A71),"")</f>
        <v>58</v>
      </c>
      <c r="B72" s="77"/>
      <c r="C72" s="78"/>
      <c r="D72" s="57" t="s">
        <v>100</v>
      </c>
      <c r="E72" s="75">
        <v>2</v>
      </c>
      <c r="F72" s="58" t="s">
        <v>57</v>
      </c>
      <c r="G72" s="80">
        <v>0</v>
      </c>
      <c r="H72" s="81">
        <f t="shared" si="20"/>
        <v>2</v>
      </c>
      <c r="I72" s="83">
        <v>69.5</v>
      </c>
      <c r="J72" s="83">
        <f t="shared" si="21"/>
        <v>139</v>
      </c>
      <c r="K72" s="84">
        <v>0.72</v>
      </c>
      <c r="L72" s="85">
        <f t="shared" si="22"/>
        <v>1.44</v>
      </c>
      <c r="M72" s="86">
        <f>'LABOR SHEET'!C$5</f>
        <v>57.65</v>
      </c>
      <c r="N72" s="83">
        <f t="shared" si="23"/>
        <v>41.508</v>
      </c>
      <c r="O72" s="83">
        <f t="shared" si="24"/>
        <v>83.016</v>
      </c>
      <c r="P72" s="83">
        <f t="shared" si="25"/>
        <v>111.008</v>
      </c>
      <c r="Q72" s="114">
        <f t="shared" si="26"/>
        <v>222.016</v>
      </c>
      <c r="R72" s="101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</row>
    <row r="73" s="31" customFormat="1" spans="1:36">
      <c r="A73" s="55">
        <f>IF(G73&lt;&gt;"",1+MAX($A$3:A72),"")</f>
        <v>59</v>
      </c>
      <c r="B73" s="77"/>
      <c r="C73" s="78"/>
      <c r="D73" s="57" t="s">
        <v>101</v>
      </c>
      <c r="E73" s="75">
        <v>2</v>
      </c>
      <c r="F73" s="58" t="s">
        <v>57</v>
      </c>
      <c r="G73" s="80">
        <v>0</v>
      </c>
      <c r="H73" s="81">
        <f t="shared" si="20"/>
        <v>2</v>
      </c>
      <c r="I73" s="83">
        <v>30.5</v>
      </c>
      <c r="J73" s="83">
        <f t="shared" si="21"/>
        <v>61</v>
      </c>
      <c r="K73" s="84">
        <v>0.68</v>
      </c>
      <c r="L73" s="85">
        <f t="shared" si="22"/>
        <v>1.36</v>
      </c>
      <c r="M73" s="86">
        <f>'LABOR SHEET'!C$5</f>
        <v>57.65</v>
      </c>
      <c r="N73" s="83">
        <f t="shared" si="23"/>
        <v>39.202</v>
      </c>
      <c r="O73" s="83">
        <f t="shared" si="24"/>
        <v>78.404</v>
      </c>
      <c r="P73" s="83">
        <f t="shared" si="25"/>
        <v>69.702</v>
      </c>
      <c r="Q73" s="114">
        <f t="shared" si="26"/>
        <v>139.404</v>
      </c>
      <c r="R73" s="101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</row>
    <row r="74" s="31" customFormat="1" spans="1:36">
      <c r="A74" s="55">
        <f>IF(G74&lt;&gt;"",1+MAX($A$3:A73),"")</f>
        <v>60</v>
      </c>
      <c r="B74" s="77"/>
      <c r="C74" s="78"/>
      <c r="D74" s="57" t="s">
        <v>102</v>
      </c>
      <c r="E74" s="75">
        <v>2</v>
      </c>
      <c r="F74" s="58" t="s">
        <v>57</v>
      </c>
      <c r="G74" s="80">
        <v>0</v>
      </c>
      <c r="H74" s="81">
        <f t="shared" si="20"/>
        <v>2</v>
      </c>
      <c r="I74" s="83">
        <v>150</v>
      </c>
      <c r="J74" s="83">
        <f t="shared" si="21"/>
        <v>300</v>
      </c>
      <c r="K74" s="84">
        <v>0.72</v>
      </c>
      <c r="L74" s="85">
        <f t="shared" si="22"/>
        <v>1.44</v>
      </c>
      <c r="M74" s="86">
        <f>'LABOR SHEET'!C$5</f>
        <v>57.65</v>
      </c>
      <c r="N74" s="83">
        <f t="shared" si="23"/>
        <v>41.508</v>
      </c>
      <c r="O74" s="83">
        <f t="shared" si="24"/>
        <v>83.016</v>
      </c>
      <c r="P74" s="83">
        <f t="shared" si="25"/>
        <v>191.508</v>
      </c>
      <c r="Q74" s="114">
        <f t="shared" si="26"/>
        <v>383.016</v>
      </c>
      <c r="R74" s="101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</row>
    <row r="75" s="31" customFormat="1" spans="1:36">
      <c r="A75" s="55" t="str">
        <f>IF(G75&lt;&gt;"",1+MAX($A$3:A74),"")</f>
        <v/>
      </c>
      <c r="B75" s="77"/>
      <c r="C75" s="78"/>
      <c r="D75" s="60"/>
      <c r="E75" s="64"/>
      <c r="F75" s="61"/>
      <c r="G75" s="115"/>
      <c r="H75" s="116"/>
      <c r="I75" s="87"/>
      <c r="J75" s="87"/>
      <c r="K75" s="84"/>
      <c r="L75" s="89"/>
      <c r="M75" s="90"/>
      <c r="N75" s="87"/>
      <c r="O75" s="87"/>
      <c r="P75" s="87"/>
      <c r="Q75" s="117"/>
      <c r="R75" s="118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</row>
    <row r="76" s="31" customFormat="1" ht="18" spans="1:36">
      <c r="A76" s="55" t="str">
        <f>IF(G76&lt;&gt;"",1+MAX($A$3:A75),"")</f>
        <v/>
      </c>
      <c r="B76" s="77"/>
      <c r="C76" s="78"/>
      <c r="D76" s="76" t="s">
        <v>103</v>
      </c>
      <c r="E76" s="75"/>
      <c r="F76" s="58"/>
      <c r="G76" s="80"/>
      <c r="H76" s="81"/>
      <c r="I76" s="87"/>
      <c r="J76" s="83"/>
      <c r="K76" s="84"/>
      <c r="L76" s="85"/>
      <c r="M76" s="86"/>
      <c r="N76" s="83"/>
      <c r="O76" s="83"/>
      <c r="P76" s="83"/>
      <c r="Q76" s="114"/>
      <c r="R76" s="101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</row>
    <row r="77" s="31" customFormat="1" spans="1:36">
      <c r="A77" s="55" t="str">
        <f>IF(G77&lt;&gt;"",1+MAX($A$3:A76),"")</f>
        <v/>
      </c>
      <c r="B77" s="77"/>
      <c r="C77" s="78"/>
      <c r="D77" s="79" t="s">
        <v>104</v>
      </c>
      <c r="E77" s="75"/>
      <c r="F77" s="58"/>
      <c r="G77" s="80"/>
      <c r="H77" s="81"/>
      <c r="I77" s="87"/>
      <c r="J77" s="83"/>
      <c r="K77" s="84"/>
      <c r="L77" s="85"/>
      <c r="M77" s="86"/>
      <c r="N77" s="83"/>
      <c r="O77" s="83"/>
      <c r="P77" s="83"/>
      <c r="Q77" s="114"/>
      <c r="R77" s="101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</row>
    <row r="78" s="31" customFormat="1" spans="1:36">
      <c r="A78" s="55">
        <f>IF(G78&lt;&gt;"",1+MAX($A$3:A77),"")</f>
        <v>61</v>
      </c>
      <c r="B78" s="77"/>
      <c r="C78" s="78"/>
      <c r="D78" s="57" t="s">
        <v>105</v>
      </c>
      <c r="E78" s="75">
        <v>313.25</v>
      </c>
      <c r="F78" s="58" t="s">
        <v>47</v>
      </c>
      <c r="G78" s="80">
        <v>0.05</v>
      </c>
      <c r="H78" s="81">
        <f t="shared" ref="H78:H81" si="27">E78*(1+G78)</f>
        <v>328.9125</v>
      </c>
      <c r="I78" s="83">
        <v>4.41</v>
      </c>
      <c r="J78" s="83">
        <f t="shared" ref="J78:J81" si="28">I78*H78</f>
        <v>1450.504125</v>
      </c>
      <c r="K78" s="84">
        <v>0.222</v>
      </c>
      <c r="L78" s="85">
        <f t="shared" ref="L78:L81" si="29">+K78*H78</f>
        <v>73.018575</v>
      </c>
      <c r="M78" s="86">
        <f>'LABOR SHEET'!C$5</f>
        <v>57.65</v>
      </c>
      <c r="N78" s="83">
        <f t="shared" ref="N78:N81" si="30">K78*M78</f>
        <v>12.7983</v>
      </c>
      <c r="O78" s="83">
        <f t="shared" ref="O78:O81" si="31">M78*L78</f>
        <v>4209.52084875</v>
      </c>
      <c r="P78" s="83">
        <f t="shared" ref="P78:P81" si="32">I78+N78</f>
        <v>17.2083</v>
      </c>
      <c r="Q78" s="114">
        <f t="shared" ref="Q78:Q81" si="33">P78*H78</f>
        <v>5660.02497375</v>
      </c>
      <c r="R78" s="101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</row>
    <row r="79" s="31" customFormat="1" spans="1:36">
      <c r="A79" s="55">
        <f>IF(G79&lt;&gt;"",1+MAX($A$3:A78),"")</f>
        <v>62</v>
      </c>
      <c r="B79" s="77"/>
      <c r="C79" s="78"/>
      <c r="D79" s="57" t="s">
        <v>106</v>
      </c>
      <c r="E79" s="75">
        <v>392.27</v>
      </c>
      <c r="F79" s="58" t="s">
        <v>47</v>
      </c>
      <c r="G79" s="80">
        <v>0.05</v>
      </c>
      <c r="H79" s="81">
        <f t="shared" si="27"/>
        <v>411.8835</v>
      </c>
      <c r="I79" s="83">
        <v>5</v>
      </c>
      <c r="J79" s="83">
        <f t="shared" si="28"/>
        <v>2059.4175</v>
      </c>
      <c r="K79" s="84">
        <v>0.271</v>
      </c>
      <c r="L79" s="85">
        <f t="shared" si="29"/>
        <v>111.6204285</v>
      </c>
      <c r="M79" s="86">
        <f>'LABOR SHEET'!C$5</f>
        <v>57.65</v>
      </c>
      <c r="N79" s="83">
        <f t="shared" si="30"/>
        <v>15.62315</v>
      </c>
      <c r="O79" s="83">
        <f t="shared" si="31"/>
        <v>6434.917703025</v>
      </c>
      <c r="P79" s="83">
        <f t="shared" si="32"/>
        <v>20.62315</v>
      </c>
      <c r="Q79" s="114">
        <f t="shared" si="33"/>
        <v>8494.335203025</v>
      </c>
      <c r="R79" s="101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</row>
    <row r="80" s="31" customFormat="1" spans="1:36">
      <c r="A80" s="55">
        <f>IF(G80&lt;&gt;"",1+MAX($A$3:A79),"")</f>
        <v>63</v>
      </c>
      <c r="B80" s="77"/>
      <c r="C80" s="78"/>
      <c r="D80" s="57" t="s">
        <v>107</v>
      </c>
      <c r="E80" s="75">
        <v>96.29</v>
      </c>
      <c r="F80" s="58" t="s">
        <v>47</v>
      </c>
      <c r="G80" s="80">
        <v>0.05</v>
      </c>
      <c r="H80" s="81">
        <f t="shared" si="27"/>
        <v>101.1045</v>
      </c>
      <c r="I80" s="83">
        <v>8.15</v>
      </c>
      <c r="J80" s="83">
        <f t="shared" si="28"/>
        <v>824.001675</v>
      </c>
      <c r="K80" s="84">
        <v>0.302</v>
      </c>
      <c r="L80" s="85">
        <f t="shared" si="29"/>
        <v>30.533559</v>
      </c>
      <c r="M80" s="86">
        <f>'LABOR SHEET'!C$5</f>
        <v>57.65</v>
      </c>
      <c r="N80" s="83">
        <f t="shared" si="30"/>
        <v>17.4103</v>
      </c>
      <c r="O80" s="83">
        <f t="shared" si="31"/>
        <v>1760.25967635</v>
      </c>
      <c r="P80" s="83">
        <f t="shared" si="32"/>
        <v>25.5603</v>
      </c>
      <c r="Q80" s="114">
        <f t="shared" si="33"/>
        <v>2584.26135135</v>
      </c>
      <c r="R80" s="101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</row>
    <row r="81" s="31" customFormat="1" spans="1:36">
      <c r="A81" s="55">
        <f>IF(G81&lt;&gt;"",1+MAX($A$3:A80),"")</f>
        <v>64</v>
      </c>
      <c r="B81" s="77"/>
      <c r="C81" s="78"/>
      <c r="D81" s="57" t="s">
        <v>108</v>
      </c>
      <c r="E81" s="75">
        <v>6.37</v>
      </c>
      <c r="F81" s="58" t="s">
        <v>47</v>
      </c>
      <c r="G81" s="80">
        <v>0.05</v>
      </c>
      <c r="H81" s="81">
        <f t="shared" si="27"/>
        <v>6.6885</v>
      </c>
      <c r="I81" s="83">
        <v>10.45</v>
      </c>
      <c r="J81" s="83">
        <f t="shared" si="28"/>
        <v>69.894825</v>
      </c>
      <c r="K81" s="84">
        <v>0.333</v>
      </c>
      <c r="L81" s="85">
        <f t="shared" si="29"/>
        <v>2.2272705</v>
      </c>
      <c r="M81" s="86">
        <f>'LABOR SHEET'!C$5</f>
        <v>57.65</v>
      </c>
      <c r="N81" s="83">
        <f t="shared" si="30"/>
        <v>19.19745</v>
      </c>
      <c r="O81" s="83">
        <f t="shared" si="31"/>
        <v>128.402144325</v>
      </c>
      <c r="P81" s="83">
        <f t="shared" si="32"/>
        <v>29.64745</v>
      </c>
      <c r="Q81" s="114">
        <f t="shared" si="33"/>
        <v>198.296969325</v>
      </c>
      <c r="R81" s="101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</row>
    <row r="82" s="31" customFormat="1" spans="1:36">
      <c r="A82" s="55" t="str">
        <f>IF(G82&lt;&gt;"",1+MAX($A$3:A81),"")</f>
        <v/>
      </c>
      <c r="B82" s="77"/>
      <c r="C82" s="78"/>
      <c r="D82" s="57"/>
      <c r="E82" s="75"/>
      <c r="F82" s="58"/>
      <c r="G82" s="80"/>
      <c r="H82" s="81"/>
      <c r="I82" s="87"/>
      <c r="J82" s="83"/>
      <c r="K82" s="84"/>
      <c r="L82" s="85"/>
      <c r="M82" s="86"/>
      <c r="N82" s="83"/>
      <c r="O82" s="83"/>
      <c r="P82" s="83"/>
      <c r="Q82" s="114"/>
      <c r="R82" s="101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</row>
    <row r="83" s="31" customFormat="1" spans="1:36">
      <c r="A83" s="55" t="str">
        <f>IF(G83&lt;&gt;"",1+MAX($A$3:A82),"")</f>
        <v/>
      </c>
      <c r="B83" s="77"/>
      <c r="C83" s="78"/>
      <c r="D83" s="82" t="s">
        <v>55</v>
      </c>
      <c r="E83" s="75"/>
      <c r="F83" s="58"/>
      <c r="G83" s="80"/>
      <c r="H83" s="81"/>
      <c r="I83" s="87"/>
      <c r="J83" s="83"/>
      <c r="K83" s="84"/>
      <c r="L83" s="85"/>
      <c r="M83" s="86"/>
      <c r="N83" s="83"/>
      <c r="O83" s="83"/>
      <c r="P83" s="83"/>
      <c r="Q83" s="114"/>
      <c r="R83" s="101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</row>
    <row r="84" s="31" customFormat="1" spans="1:36">
      <c r="A84" s="55">
        <f>IF(G84&lt;&gt;"",1+MAX($A$3:A83),"")</f>
        <v>65</v>
      </c>
      <c r="B84" s="77"/>
      <c r="C84" s="78"/>
      <c r="D84" s="57" t="s">
        <v>109</v>
      </c>
      <c r="E84" s="75">
        <v>9</v>
      </c>
      <c r="F84" s="58" t="s">
        <v>57</v>
      </c>
      <c r="G84" s="80">
        <v>0</v>
      </c>
      <c r="H84" s="81">
        <f t="shared" ref="H84:H99" si="34">E84*(1+G84)</f>
        <v>9</v>
      </c>
      <c r="I84" s="83">
        <v>2.5</v>
      </c>
      <c r="J84" s="83">
        <f t="shared" ref="J84:J99" si="35">I84*H84</f>
        <v>22.5</v>
      </c>
      <c r="K84" s="84">
        <v>0.45</v>
      </c>
      <c r="L84" s="85">
        <f t="shared" ref="L84:L99" si="36">+K84*H84</f>
        <v>4.05</v>
      </c>
      <c r="M84" s="86">
        <f>'LABOR SHEET'!C$5</f>
        <v>57.65</v>
      </c>
      <c r="N84" s="83">
        <f t="shared" ref="N84:N99" si="37">K84*M84</f>
        <v>25.9425</v>
      </c>
      <c r="O84" s="83">
        <f t="shared" ref="O84:O99" si="38">M84*L84</f>
        <v>233.4825</v>
      </c>
      <c r="P84" s="83">
        <f t="shared" ref="P84:P99" si="39">I84+N84</f>
        <v>28.4425</v>
      </c>
      <c r="Q84" s="114">
        <f t="shared" ref="Q84:Q99" si="40">P84*H84</f>
        <v>255.9825</v>
      </c>
      <c r="R84" s="101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</row>
    <row r="85" s="31" customFormat="1" spans="1:36">
      <c r="A85" s="55">
        <f>IF(G85&lt;&gt;"",1+MAX($A$3:A84),"")</f>
        <v>66</v>
      </c>
      <c r="B85" s="77"/>
      <c r="C85" s="78"/>
      <c r="D85" s="57" t="s">
        <v>110</v>
      </c>
      <c r="E85" s="75">
        <v>4</v>
      </c>
      <c r="F85" s="58" t="s">
        <v>57</v>
      </c>
      <c r="G85" s="80">
        <v>0</v>
      </c>
      <c r="H85" s="81">
        <f t="shared" si="34"/>
        <v>4</v>
      </c>
      <c r="I85" s="83">
        <v>4.54</v>
      </c>
      <c r="J85" s="83">
        <f t="shared" si="35"/>
        <v>18.16</v>
      </c>
      <c r="K85" s="84">
        <v>0.46</v>
      </c>
      <c r="L85" s="85">
        <f t="shared" si="36"/>
        <v>1.84</v>
      </c>
      <c r="M85" s="86">
        <f>'LABOR SHEET'!C$5</f>
        <v>57.65</v>
      </c>
      <c r="N85" s="83">
        <f t="shared" si="37"/>
        <v>26.519</v>
      </c>
      <c r="O85" s="83">
        <f t="shared" si="38"/>
        <v>106.076</v>
      </c>
      <c r="P85" s="83">
        <f t="shared" si="39"/>
        <v>31.059</v>
      </c>
      <c r="Q85" s="114">
        <f t="shared" si="40"/>
        <v>124.236</v>
      </c>
      <c r="R85" s="101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</row>
    <row r="86" s="31" customFormat="1" spans="1:36">
      <c r="A86" s="55">
        <f>IF(G86&lt;&gt;"",1+MAX($A$3:A85),"")</f>
        <v>67</v>
      </c>
      <c r="B86" s="77"/>
      <c r="C86" s="78"/>
      <c r="D86" s="57" t="s">
        <v>111</v>
      </c>
      <c r="E86" s="75">
        <v>35</v>
      </c>
      <c r="F86" s="58" t="s">
        <v>57</v>
      </c>
      <c r="G86" s="80">
        <v>0</v>
      </c>
      <c r="H86" s="81">
        <f t="shared" si="34"/>
        <v>35</v>
      </c>
      <c r="I86" s="83">
        <v>7.5</v>
      </c>
      <c r="J86" s="83">
        <f t="shared" si="35"/>
        <v>262.5</v>
      </c>
      <c r="K86" s="84">
        <v>0.47</v>
      </c>
      <c r="L86" s="85">
        <f t="shared" si="36"/>
        <v>16.45</v>
      </c>
      <c r="M86" s="86">
        <f>'LABOR SHEET'!C$5</f>
        <v>57.65</v>
      </c>
      <c r="N86" s="83">
        <f t="shared" si="37"/>
        <v>27.0955</v>
      </c>
      <c r="O86" s="83">
        <f t="shared" si="38"/>
        <v>948.3425</v>
      </c>
      <c r="P86" s="83">
        <f t="shared" si="39"/>
        <v>34.5955</v>
      </c>
      <c r="Q86" s="114">
        <f t="shared" si="40"/>
        <v>1210.8425</v>
      </c>
      <c r="R86" s="101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</row>
    <row r="87" s="31" customFormat="1" spans="1:36">
      <c r="A87" s="55">
        <f>IF(G87&lt;&gt;"",1+MAX($A$3:A86),"")</f>
        <v>68</v>
      </c>
      <c r="B87" s="77"/>
      <c r="C87" s="78"/>
      <c r="D87" s="57" t="s">
        <v>112</v>
      </c>
      <c r="E87" s="75">
        <v>35</v>
      </c>
      <c r="F87" s="58" t="s">
        <v>57</v>
      </c>
      <c r="G87" s="80">
        <v>0</v>
      </c>
      <c r="H87" s="81">
        <f t="shared" si="34"/>
        <v>35</v>
      </c>
      <c r="I87" s="83">
        <v>10.5</v>
      </c>
      <c r="J87" s="83">
        <f t="shared" si="35"/>
        <v>367.5</v>
      </c>
      <c r="K87" s="84">
        <v>0.48</v>
      </c>
      <c r="L87" s="85">
        <f t="shared" si="36"/>
        <v>16.8</v>
      </c>
      <c r="M87" s="86">
        <f>'LABOR SHEET'!C$5</f>
        <v>57.65</v>
      </c>
      <c r="N87" s="83">
        <f t="shared" si="37"/>
        <v>27.672</v>
      </c>
      <c r="O87" s="83">
        <f t="shared" si="38"/>
        <v>968.52</v>
      </c>
      <c r="P87" s="83">
        <f t="shared" si="39"/>
        <v>38.172</v>
      </c>
      <c r="Q87" s="114">
        <f t="shared" si="40"/>
        <v>1336.02</v>
      </c>
      <c r="R87" s="101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</row>
    <row r="88" s="31" customFormat="1" spans="1:36">
      <c r="A88" s="55">
        <f>IF(G88&lt;&gt;"",1+MAX($A$3:A87),"")</f>
        <v>69</v>
      </c>
      <c r="B88" s="77"/>
      <c r="C88" s="78"/>
      <c r="D88" s="57" t="s">
        <v>113</v>
      </c>
      <c r="E88" s="75">
        <v>3</v>
      </c>
      <c r="F88" s="58" t="s">
        <v>57</v>
      </c>
      <c r="G88" s="80">
        <v>0</v>
      </c>
      <c r="H88" s="81">
        <f t="shared" si="34"/>
        <v>3</v>
      </c>
      <c r="I88" s="83">
        <v>13.09</v>
      </c>
      <c r="J88" s="83">
        <f t="shared" si="35"/>
        <v>39.27</v>
      </c>
      <c r="K88" s="84">
        <v>0.5</v>
      </c>
      <c r="L88" s="85">
        <f t="shared" si="36"/>
        <v>1.5</v>
      </c>
      <c r="M88" s="86">
        <f>'LABOR SHEET'!C$5</f>
        <v>57.65</v>
      </c>
      <c r="N88" s="83">
        <f t="shared" si="37"/>
        <v>28.825</v>
      </c>
      <c r="O88" s="83">
        <f t="shared" si="38"/>
        <v>86.475</v>
      </c>
      <c r="P88" s="83">
        <f t="shared" si="39"/>
        <v>41.915</v>
      </c>
      <c r="Q88" s="114">
        <f t="shared" si="40"/>
        <v>125.745</v>
      </c>
      <c r="R88" s="101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</row>
    <row r="89" s="31" customFormat="1" spans="1:36">
      <c r="A89" s="55">
        <f>IF(G89&lt;&gt;"",1+MAX($A$3:A88),"")</f>
        <v>70</v>
      </c>
      <c r="B89" s="77"/>
      <c r="C89" s="78"/>
      <c r="D89" s="57" t="s">
        <v>114</v>
      </c>
      <c r="E89" s="75">
        <v>10</v>
      </c>
      <c r="F89" s="58" t="s">
        <v>57</v>
      </c>
      <c r="G89" s="80">
        <v>0</v>
      </c>
      <c r="H89" s="81">
        <f t="shared" si="34"/>
        <v>10</v>
      </c>
      <c r="I89" s="83">
        <v>19.2</v>
      </c>
      <c r="J89" s="83">
        <f t="shared" si="35"/>
        <v>192</v>
      </c>
      <c r="K89" s="84">
        <v>0.51</v>
      </c>
      <c r="L89" s="85">
        <f t="shared" si="36"/>
        <v>5.1</v>
      </c>
      <c r="M89" s="86">
        <f>'LABOR SHEET'!C$5</f>
        <v>57.65</v>
      </c>
      <c r="N89" s="83">
        <f t="shared" si="37"/>
        <v>29.4015</v>
      </c>
      <c r="O89" s="83">
        <f t="shared" si="38"/>
        <v>294.015</v>
      </c>
      <c r="P89" s="83">
        <f t="shared" si="39"/>
        <v>48.6015</v>
      </c>
      <c r="Q89" s="114">
        <f t="shared" si="40"/>
        <v>486.015</v>
      </c>
      <c r="R89" s="101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</row>
    <row r="90" s="31" customFormat="1" spans="1:36">
      <c r="A90" s="55">
        <f>IF(G90&lt;&gt;"",1+MAX($A$3:A89),"")</f>
        <v>71</v>
      </c>
      <c r="B90" s="77"/>
      <c r="C90" s="78"/>
      <c r="D90" s="57" t="s">
        <v>115</v>
      </c>
      <c r="E90" s="75">
        <v>18</v>
      </c>
      <c r="F90" s="58" t="s">
        <v>57</v>
      </c>
      <c r="G90" s="80">
        <v>0</v>
      </c>
      <c r="H90" s="81">
        <f t="shared" si="34"/>
        <v>18</v>
      </c>
      <c r="I90" s="83">
        <v>25.2</v>
      </c>
      <c r="J90" s="83">
        <f t="shared" si="35"/>
        <v>453.6</v>
      </c>
      <c r="K90" s="84">
        <v>0.52</v>
      </c>
      <c r="L90" s="85">
        <f t="shared" si="36"/>
        <v>9.36</v>
      </c>
      <c r="M90" s="86">
        <f>'LABOR SHEET'!C$5</f>
        <v>57.65</v>
      </c>
      <c r="N90" s="83">
        <f t="shared" si="37"/>
        <v>29.978</v>
      </c>
      <c r="O90" s="83">
        <f t="shared" si="38"/>
        <v>539.604</v>
      </c>
      <c r="P90" s="83">
        <f t="shared" si="39"/>
        <v>55.178</v>
      </c>
      <c r="Q90" s="114">
        <f t="shared" si="40"/>
        <v>993.204</v>
      </c>
      <c r="R90" s="101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</row>
    <row r="91" s="31" customFormat="1" spans="1:36">
      <c r="A91" s="55">
        <f>IF(G91&lt;&gt;"",1+MAX($A$3:A90),"")</f>
        <v>72</v>
      </c>
      <c r="B91" s="77"/>
      <c r="C91" s="78"/>
      <c r="D91" s="57" t="s">
        <v>116</v>
      </c>
      <c r="E91" s="75">
        <v>3</v>
      </c>
      <c r="F91" s="58" t="s">
        <v>57</v>
      </c>
      <c r="G91" s="80">
        <v>0</v>
      </c>
      <c r="H91" s="81">
        <f t="shared" si="34"/>
        <v>3</v>
      </c>
      <c r="I91" s="83">
        <v>29.5</v>
      </c>
      <c r="J91" s="83">
        <f t="shared" si="35"/>
        <v>88.5</v>
      </c>
      <c r="K91" s="84">
        <v>0.53</v>
      </c>
      <c r="L91" s="85">
        <f t="shared" si="36"/>
        <v>1.59</v>
      </c>
      <c r="M91" s="86">
        <f>'LABOR SHEET'!C$5</f>
        <v>57.65</v>
      </c>
      <c r="N91" s="83">
        <f t="shared" si="37"/>
        <v>30.5545</v>
      </c>
      <c r="O91" s="83">
        <f t="shared" si="38"/>
        <v>91.6635</v>
      </c>
      <c r="P91" s="83">
        <f t="shared" si="39"/>
        <v>60.0545</v>
      </c>
      <c r="Q91" s="114">
        <f t="shared" si="40"/>
        <v>180.1635</v>
      </c>
      <c r="R91" s="101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</row>
    <row r="92" s="31" customFormat="1" spans="1:36">
      <c r="A92" s="55">
        <f>IF(G92&lt;&gt;"",1+MAX($A$3:A91),"")</f>
        <v>73</v>
      </c>
      <c r="B92" s="77"/>
      <c r="C92" s="78"/>
      <c r="D92" s="57" t="s">
        <v>117</v>
      </c>
      <c r="E92" s="75">
        <v>9</v>
      </c>
      <c r="F92" s="58" t="s">
        <v>57</v>
      </c>
      <c r="G92" s="80">
        <v>0</v>
      </c>
      <c r="H92" s="81">
        <f t="shared" si="34"/>
        <v>9</v>
      </c>
      <c r="I92" s="83">
        <v>34.5</v>
      </c>
      <c r="J92" s="83">
        <f t="shared" si="35"/>
        <v>310.5</v>
      </c>
      <c r="K92" s="84">
        <v>0.54</v>
      </c>
      <c r="L92" s="85">
        <f t="shared" si="36"/>
        <v>4.86</v>
      </c>
      <c r="M92" s="86">
        <f>'LABOR SHEET'!C$5</f>
        <v>57.65</v>
      </c>
      <c r="N92" s="83">
        <f t="shared" si="37"/>
        <v>31.131</v>
      </c>
      <c r="O92" s="83">
        <f t="shared" si="38"/>
        <v>280.179</v>
      </c>
      <c r="P92" s="83">
        <f t="shared" si="39"/>
        <v>65.631</v>
      </c>
      <c r="Q92" s="114">
        <f t="shared" si="40"/>
        <v>590.679</v>
      </c>
      <c r="R92" s="101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</row>
    <row r="93" s="31" customFormat="1" spans="1:36">
      <c r="A93" s="55">
        <f>IF(G93&lt;&gt;"",1+MAX($A$3:A92),"")</f>
        <v>74</v>
      </c>
      <c r="B93" s="77"/>
      <c r="C93" s="78"/>
      <c r="D93" s="57" t="s">
        <v>118</v>
      </c>
      <c r="E93" s="75">
        <v>5</v>
      </c>
      <c r="F93" s="58" t="s">
        <v>57</v>
      </c>
      <c r="G93" s="80">
        <v>0</v>
      </c>
      <c r="H93" s="81">
        <f t="shared" si="34"/>
        <v>5</v>
      </c>
      <c r="I93" s="83">
        <v>38.5</v>
      </c>
      <c r="J93" s="83">
        <f t="shared" si="35"/>
        <v>192.5</v>
      </c>
      <c r="K93" s="84">
        <v>0.55</v>
      </c>
      <c r="L93" s="85">
        <f t="shared" si="36"/>
        <v>2.75</v>
      </c>
      <c r="M93" s="86">
        <f>'LABOR SHEET'!C$5</f>
        <v>57.65</v>
      </c>
      <c r="N93" s="83">
        <f t="shared" si="37"/>
        <v>31.7075</v>
      </c>
      <c r="O93" s="83">
        <f t="shared" si="38"/>
        <v>158.5375</v>
      </c>
      <c r="P93" s="83">
        <f t="shared" si="39"/>
        <v>70.2075</v>
      </c>
      <c r="Q93" s="114">
        <f t="shared" si="40"/>
        <v>351.0375</v>
      </c>
      <c r="R93" s="101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</row>
    <row r="94" s="31" customFormat="1" spans="1:36">
      <c r="A94" s="55">
        <f>IF(G94&lt;&gt;"",1+MAX($A$3:A93),"")</f>
        <v>75</v>
      </c>
      <c r="B94" s="77"/>
      <c r="C94" s="78"/>
      <c r="D94" s="57" t="s">
        <v>119</v>
      </c>
      <c r="E94" s="75">
        <v>1</v>
      </c>
      <c r="F94" s="58" t="s">
        <v>57</v>
      </c>
      <c r="G94" s="80">
        <v>0</v>
      </c>
      <c r="H94" s="81">
        <f t="shared" si="34"/>
        <v>1</v>
      </c>
      <c r="I94" s="83">
        <v>43.73</v>
      </c>
      <c r="J94" s="83">
        <f t="shared" si="35"/>
        <v>43.73</v>
      </c>
      <c r="K94" s="84">
        <v>0.56</v>
      </c>
      <c r="L94" s="85">
        <f t="shared" si="36"/>
        <v>0.56</v>
      </c>
      <c r="M94" s="86">
        <f>'LABOR SHEET'!C$5</f>
        <v>57.65</v>
      </c>
      <c r="N94" s="83">
        <f t="shared" si="37"/>
        <v>32.284</v>
      </c>
      <c r="O94" s="83">
        <f t="shared" si="38"/>
        <v>32.284</v>
      </c>
      <c r="P94" s="83">
        <f t="shared" si="39"/>
        <v>76.014</v>
      </c>
      <c r="Q94" s="114">
        <f t="shared" si="40"/>
        <v>76.014</v>
      </c>
      <c r="R94" s="101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</row>
    <row r="95" s="31" customFormat="1" spans="1:36">
      <c r="A95" s="55">
        <f>IF(G95&lt;&gt;"",1+MAX($A$3:A94),"")</f>
        <v>76</v>
      </c>
      <c r="B95" s="77"/>
      <c r="C95" s="78"/>
      <c r="D95" s="57" t="s">
        <v>120</v>
      </c>
      <c r="E95" s="75">
        <v>9</v>
      </c>
      <c r="F95" s="58" t="s">
        <v>57</v>
      </c>
      <c r="G95" s="80">
        <v>0</v>
      </c>
      <c r="H95" s="81">
        <f t="shared" si="34"/>
        <v>9</v>
      </c>
      <c r="I95" s="83">
        <v>13.5</v>
      </c>
      <c r="J95" s="83">
        <f t="shared" si="35"/>
        <v>121.5</v>
      </c>
      <c r="K95" s="84">
        <v>0.38</v>
      </c>
      <c r="L95" s="85">
        <f t="shared" si="36"/>
        <v>3.42</v>
      </c>
      <c r="M95" s="86">
        <f>'LABOR SHEET'!C$5</f>
        <v>57.65</v>
      </c>
      <c r="N95" s="83">
        <f t="shared" si="37"/>
        <v>21.907</v>
      </c>
      <c r="O95" s="83">
        <f t="shared" si="38"/>
        <v>197.163</v>
      </c>
      <c r="P95" s="83">
        <f t="shared" si="39"/>
        <v>35.407</v>
      </c>
      <c r="Q95" s="114">
        <f t="shared" si="40"/>
        <v>318.663</v>
      </c>
      <c r="R95" s="101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</row>
    <row r="96" s="31" customFormat="1" spans="1:36">
      <c r="A96" s="55">
        <f>IF(G96&lt;&gt;"",1+MAX($A$3:A95),"")</f>
        <v>77</v>
      </c>
      <c r="B96" s="77"/>
      <c r="C96" s="78"/>
      <c r="D96" s="57" t="s">
        <v>121</v>
      </c>
      <c r="E96" s="75">
        <v>2</v>
      </c>
      <c r="F96" s="58" t="s">
        <v>57</v>
      </c>
      <c r="G96" s="80">
        <v>0</v>
      </c>
      <c r="H96" s="81">
        <f t="shared" si="34"/>
        <v>2</v>
      </c>
      <c r="I96" s="83">
        <v>19.5</v>
      </c>
      <c r="J96" s="83">
        <f t="shared" si="35"/>
        <v>39</v>
      </c>
      <c r="K96" s="84">
        <v>0.39</v>
      </c>
      <c r="L96" s="85">
        <f t="shared" si="36"/>
        <v>0.78</v>
      </c>
      <c r="M96" s="86">
        <f>'LABOR SHEET'!C$5</f>
        <v>57.65</v>
      </c>
      <c r="N96" s="83">
        <f t="shared" si="37"/>
        <v>22.4835</v>
      </c>
      <c r="O96" s="83">
        <f t="shared" si="38"/>
        <v>44.967</v>
      </c>
      <c r="P96" s="83">
        <f t="shared" si="39"/>
        <v>41.9835</v>
      </c>
      <c r="Q96" s="114">
        <f t="shared" si="40"/>
        <v>83.967</v>
      </c>
      <c r="R96" s="101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</row>
    <row r="97" s="31" customFormat="1" spans="1:36">
      <c r="A97" s="55">
        <f>IF(G97&lt;&gt;"",1+MAX($A$3:A96),"")</f>
        <v>78</v>
      </c>
      <c r="B97" s="77"/>
      <c r="C97" s="78"/>
      <c r="D97" s="57" t="s">
        <v>122</v>
      </c>
      <c r="E97" s="75">
        <v>7</v>
      </c>
      <c r="F97" s="58" t="s">
        <v>57</v>
      </c>
      <c r="G97" s="80">
        <v>0</v>
      </c>
      <c r="H97" s="81">
        <f t="shared" si="34"/>
        <v>7</v>
      </c>
      <c r="I97" s="83">
        <v>25.2</v>
      </c>
      <c r="J97" s="83">
        <f t="shared" si="35"/>
        <v>176.4</v>
      </c>
      <c r="K97" s="84">
        <v>0.4</v>
      </c>
      <c r="L97" s="85">
        <f t="shared" si="36"/>
        <v>2.8</v>
      </c>
      <c r="M97" s="86">
        <f>'LABOR SHEET'!C$5</f>
        <v>57.65</v>
      </c>
      <c r="N97" s="83">
        <f t="shared" si="37"/>
        <v>23.06</v>
      </c>
      <c r="O97" s="83">
        <f t="shared" si="38"/>
        <v>161.42</v>
      </c>
      <c r="P97" s="83">
        <f t="shared" si="39"/>
        <v>48.26</v>
      </c>
      <c r="Q97" s="114">
        <f t="shared" si="40"/>
        <v>337.82</v>
      </c>
      <c r="R97" s="101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</row>
    <row r="98" s="31" customFormat="1" spans="1:36">
      <c r="A98" s="55">
        <f>IF(G98&lt;&gt;"",1+MAX($A$3:A97),"")</f>
        <v>79</v>
      </c>
      <c r="B98" s="77"/>
      <c r="C98" s="78"/>
      <c r="D98" s="57" t="s">
        <v>123</v>
      </c>
      <c r="E98" s="75">
        <v>1</v>
      </c>
      <c r="F98" s="58" t="s">
        <v>57</v>
      </c>
      <c r="G98" s="80">
        <v>0</v>
      </c>
      <c r="H98" s="81">
        <f t="shared" si="34"/>
        <v>1</v>
      </c>
      <c r="I98" s="83">
        <v>35.2</v>
      </c>
      <c r="J98" s="83">
        <f t="shared" si="35"/>
        <v>35.2</v>
      </c>
      <c r="K98" s="84">
        <v>0.41</v>
      </c>
      <c r="L98" s="85">
        <f t="shared" si="36"/>
        <v>0.41</v>
      </c>
      <c r="M98" s="86">
        <f>'LABOR SHEET'!C$5</f>
        <v>57.65</v>
      </c>
      <c r="N98" s="83">
        <f t="shared" si="37"/>
        <v>23.6365</v>
      </c>
      <c r="O98" s="83">
        <f t="shared" si="38"/>
        <v>23.6365</v>
      </c>
      <c r="P98" s="83">
        <f t="shared" si="39"/>
        <v>58.8365</v>
      </c>
      <c r="Q98" s="114">
        <f t="shared" si="40"/>
        <v>58.8365</v>
      </c>
      <c r="R98" s="101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</row>
    <row r="99" s="31" customFormat="1" spans="1:36">
      <c r="A99" s="55">
        <f>IF(G99&lt;&gt;"",1+MAX($A$3:A98),"")</f>
        <v>80</v>
      </c>
      <c r="B99" s="77"/>
      <c r="C99" s="78"/>
      <c r="D99" s="57" t="s">
        <v>124</v>
      </c>
      <c r="E99" s="75">
        <v>1</v>
      </c>
      <c r="F99" s="58" t="s">
        <v>57</v>
      </c>
      <c r="G99" s="80">
        <v>0</v>
      </c>
      <c r="H99" s="81">
        <f t="shared" si="34"/>
        <v>1</v>
      </c>
      <c r="I99" s="83">
        <v>55.2</v>
      </c>
      <c r="J99" s="83">
        <f t="shared" si="35"/>
        <v>55.2</v>
      </c>
      <c r="K99" s="84">
        <v>0.42</v>
      </c>
      <c r="L99" s="85">
        <f t="shared" si="36"/>
        <v>0.42</v>
      </c>
      <c r="M99" s="86">
        <f>'LABOR SHEET'!C$5</f>
        <v>57.65</v>
      </c>
      <c r="N99" s="83">
        <f t="shared" si="37"/>
        <v>24.213</v>
      </c>
      <c r="O99" s="83">
        <f t="shared" si="38"/>
        <v>24.213</v>
      </c>
      <c r="P99" s="83">
        <f t="shared" si="39"/>
        <v>79.413</v>
      </c>
      <c r="Q99" s="114">
        <f t="shared" si="40"/>
        <v>79.413</v>
      </c>
      <c r="R99" s="101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</row>
    <row r="100" s="31" customFormat="1" spans="1:36">
      <c r="A100" s="55" t="str">
        <f>IF(G100&lt;&gt;"",1+MAX($A$3:A99),"")</f>
        <v/>
      </c>
      <c r="B100" s="77"/>
      <c r="C100" s="78"/>
      <c r="D100" s="57"/>
      <c r="E100" s="75"/>
      <c r="F100" s="58"/>
      <c r="G100" s="80"/>
      <c r="H100" s="81"/>
      <c r="I100" s="87"/>
      <c r="J100" s="83"/>
      <c r="K100" s="84"/>
      <c r="L100" s="85"/>
      <c r="M100" s="86"/>
      <c r="N100" s="83"/>
      <c r="O100" s="83"/>
      <c r="P100" s="83"/>
      <c r="Q100" s="114"/>
      <c r="R100" s="101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</row>
    <row r="101" s="31" customFormat="1" ht="18" spans="1:36">
      <c r="A101" s="55" t="str">
        <f>IF(G101&lt;&gt;"",1+MAX($A$3:A100),"")</f>
        <v/>
      </c>
      <c r="B101" s="77"/>
      <c r="C101" s="78"/>
      <c r="D101" s="76" t="s">
        <v>125</v>
      </c>
      <c r="E101" s="75"/>
      <c r="F101" s="58"/>
      <c r="G101" s="80"/>
      <c r="H101" s="81"/>
      <c r="I101" s="87"/>
      <c r="J101" s="83"/>
      <c r="K101" s="84"/>
      <c r="L101" s="85"/>
      <c r="M101" s="86"/>
      <c r="N101" s="83"/>
      <c r="O101" s="83"/>
      <c r="P101" s="83"/>
      <c r="Q101" s="114"/>
      <c r="R101" s="101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</row>
    <row r="102" s="31" customFormat="1" spans="1:36">
      <c r="A102" s="55" t="str">
        <f>IF(G102&lt;&gt;"",1+MAX($A$3:A101),"")</f>
        <v/>
      </c>
      <c r="B102" s="77"/>
      <c r="C102" s="78"/>
      <c r="D102" s="79" t="s">
        <v>104</v>
      </c>
      <c r="E102" s="75"/>
      <c r="F102" s="58"/>
      <c r="G102" s="80"/>
      <c r="H102" s="81"/>
      <c r="I102" s="87"/>
      <c r="J102" s="83"/>
      <c r="K102" s="84"/>
      <c r="L102" s="85"/>
      <c r="M102" s="86"/>
      <c r="N102" s="83"/>
      <c r="O102" s="83"/>
      <c r="P102" s="83"/>
      <c r="Q102" s="114"/>
      <c r="R102" s="101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</row>
    <row r="103" s="31" customFormat="1" spans="1:36">
      <c r="A103" s="55">
        <f>IF(G103&lt;&gt;"",1+MAX($A$3:A102),"")</f>
        <v>81</v>
      </c>
      <c r="B103" s="77"/>
      <c r="C103" s="78"/>
      <c r="D103" s="57" t="s">
        <v>126</v>
      </c>
      <c r="E103" s="75">
        <v>250.47</v>
      </c>
      <c r="F103" s="58" t="s">
        <v>47</v>
      </c>
      <c r="G103" s="80">
        <v>0.05</v>
      </c>
      <c r="H103" s="81">
        <f t="shared" ref="H103:H107" si="41">E103*(1+G103)</f>
        <v>262.9935</v>
      </c>
      <c r="I103" s="83">
        <v>5</v>
      </c>
      <c r="J103" s="83">
        <f t="shared" ref="J103:J107" si="42">I103*H103</f>
        <v>1314.9675</v>
      </c>
      <c r="K103" s="84">
        <v>0.271</v>
      </c>
      <c r="L103" s="85">
        <f t="shared" ref="L103:L107" si="43">+K103*H103</f>
        <v>71.2712385</v>
      </c>
      <c r="M103" s="86">
        <f>'LABOR SHEET'!C$5</f>
        <v>57.65</v>
      </c>
      <c r="N103" s="83">
        <f t="shared" ref="N103:N107" si="44">K103*M103</f>
        <v>15.62315</v>
      </c>
      <c r="O103" s="83">
        <f t="shared" ref="O103:O107" si="45">M103*L103</f>
        <v>4108.786899525</v>
      </c>
      <c r="P103" s="83">
        <f t="shared" ref="P103:P107" si="46">I103+N103</f>
        <v>20.62315</v>
      </c>
      <c r="Q103" s="114">
        <f t="shared" ref="Q103:Q107" si="47">P103*H103</f>
        <v>5423.754399525</v>
      </c>
      <c r="R103" s="101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</row>
    <row r="104" s="31" customFormat="1" spans="1:36">
      <c r="A104" s="55">
        <f>IF(G104&lt;&gt;"",1+MAX($A$3:A103),"")</f>
        <v>82</v>
      </c>
      <c r="B104" s="77"/>
      <c r="C104" s="78"/>
      <c r="D104" s="57" t="s">
        <v>127</v>
      </c>
      <c r="E104" s="75">
        <v>280.51</v>
      </c>
      <c r="F104" s="58" t="s">
        <v>47</v>
      </c>
      <c r="G104" s="80">
        <v>0.05</v>
      </c>
      <c r="H104" s="81">
        <f t="shared" si="41"/>
        <v>294.5355</v>
      </c>
      <c r="I104" s="83">
        <v>8.15</v>
      </c>
      <c r="J104" s="83">
        <f t="shared" si="42"/>
        <v>2400.464325</v>
      </c>
      <c r="K104" s="84">
        <v>0.302</v>
      </c>
      <c r="L104" s="85">
        <f t="shared" si="43"/>
        <v>88.949721</v>
      </c>
      <c r="M104" s="86">
        <f>'LABOR SHEET'!C$5</f>
        <v>57.65</v>
      </c>
      <c r="N104" s="83">
        <f t="shared" si="44"/>
        <v>17.4103</v>
      </c>
      <c r="O104" s="83">
        <f t="shared" si="45"/>
        <v>5127.95141565</v>
      </c>
      <c r="P104" s="83">
        <f t="shared" si="46"/>
        <v>25.5603</v>
      </c>
      <c r="Q104" s="114">
        <f t="shared" si="47"/>
        <v>7528.41574065</v>
      </c>
      <c r="R104" s="101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</row>
    <row r="105" s="31" customFormat="1" spans="1:36">
      <c r="A105" s="55">
        <f>IF(G105&lt;&gt;"",1+MAX($A$3:A104),"")</f>
        <v>83</v>
      </c>
      <c r="B105" s="77"/>
      <c r="C105" s="78"/>
      <c r="D105" s="57" t="s">
        <v>128</v>
      </c>
      <c r="E105" s="75">
        <v>348.47</v>
      </c>
      <c r="F105" s="58" t="s">
        <v>47</v>
      </c>
      <c r="G105" s="80">
        <v>0.05</v>
      </c>
      <c r="H105" s="81">
        <f t="shared" si="41"/>
        <v>365.8935</v>
      </c>
      <c r="I105" s="83">
        <v>10.45</v>
      </c>
      <c r="J105" s="83">
        <f t="shared" si="42"/>
        <v>3823.587075</v>
      </c>
      <c r="K105" s="84">
        <v>0.333</v>
      </c>
      <c r="L105" s="85">
        <f t="shared" si="43"/>
        <v>121.8425355</v>
      </c>
      <c r="M105" s="86">
        <f>'LABOR SHEET'!C$5</f>
        <v>57.65</v>
      </c>
      <c r="N105" s="83">
        <f t="shared" si="44"/>
        <v>19.19745</v>
      </c>
      <c r="O105" s="83">
        <f t="shared" si="45"/>
        <v>7024.222171575</v>
      </c>
      <c r="P105" s="83">
        <f t="shared" si="46"/>
        <v>29.64745</v>
      </c>
      <c r="Q105" s="114">
        <f t="shared" si="47"/>
        <v>10847.809246575</v>
      </c>
      <c r="R105" s="101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</row>
    <row r="106" s="31" customFormat="1" spans="1:36">
      <c r="A106" s="55">
        <f>IF(G106&lt;&gt;"",1+MAX($A$3:A105),"")</f>
        <v>84</v>
      </c>
      <c r="B106" s="77"/>
      <c r="C106" s="78"/>
      <c r="D106" s="57" t="s">
        <v>129</v>
      </c>
      <c r="E106" s="75">
        <v>136.79</v>
      </c>
      <c r="F106" s="58" t="s">
        <v>47</v>
      </c>
      <c r="G106" s="80">
        <v>0.05</v>
      </c>
      <c r="H106" s="81">
        <f t="shared" si="41"/>
        <v>143.6295</v>
      </c>
      <c r="I106" s="83">
        <v>17.95</v>
      </c>
      <c r="J106" s="83">
        <f t="shared" si="42"/>
        <v>2578.149525</v>
      </c>
      <c r="K106" s="84">
        <v>0.41</v>
      </c>
      <c r="L106" s="85">
        <f t="shared" si="43"/>
        <v>58.888095</v>
      </c>
      <c r="M106" s="86">
        <f>'LABOR SHEET'!C$5</f>
        <v>57.65</v>
      </c>
      <c r="N106" s="83">
        <f t="shared" si="44"/>
        <v>23.6365</v>
      </c>
      <c r="O106" s="83">
        <f t="shared" si="45"/>
        <v>3394.89867675</v>
      </c>
      <c r="P106" s="83">
        <f t="shared" si="46"/>
        <v>41.5865</v>
      </c>
      <c r="Q106" s="114">
        <f t="shared" si="47"/>
        <v>5973.04820175</v>
      </c>
      <c r="R106" s="101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</row>
    <row r="107" s="31" customFormat="1" spans="1:36">
      <c r="A107" s="55">
        <f>IF(G107&lt;&gt;"",1+MAX($A$3:A106),"")</f>
        <v>85</v>
      </c>
      <c r="B107" s="77"/>
      <c r="C107" s="78"/>
      <c r="D107" s="57" t="s">
        <v>105</v>
      </c>
      <c r="E107" s="75">
        <v>11.56</v>
      </c>
      <c r="F107" s="58" t="s">
        <v>47</v>
      </c>
      <c r="G107" s="80">
        <v>0.05</v>
      </c>
      <c r="H107" s="81">
        <f t="shared" si="41"/>
        <v>12.138</v>
      </c>
      <c r="I107" s="83">
        <v>4.41</v>
      </c>
      <c r="J107" s="83">
        <f t="shared" si="42"/>
        <v>53.52858</v>
      </c>
      <c r="K107" s="84">
        <v>0.222</v>
      </c>
      <c r="L107" s="85">
        <f t="shared" si="43"/>
        <v>2.694636</v>
      </c>
      <c r="M107" s="86">
        <f>'LABOR SHEET'!C$5</f>
        <v>57.65</v>
      </c>
      <c r="N107" s="83">
        <f t="shared" si="44"/>
        <v>12.7983</v>
      </c>
      <c r="O107" s="83">
        <f t="shared" si="45"/>
        <v>155.3457654</v>
      </c>
      <c r="P107" s="83">
        <f t="shared" si="46"/>
        <v>17.2083</v>
      </c>
      <c r="Q107" s="114">
        <f t="shared" si="47"/>
        <v>208.8743454</v>
      </c>
      <c r="R107" s="101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</row>
    <row r="108" s="31" customFormat="1" spans="1:36">
      <c r="A108" s="55" t="str">
        <f>IF(G108&lt;&gt;"",1+MAX($A$3:A107),"")</f>
        <v/>
      </c>
      <c r="B108" s="77"/>
      <c r="C108" s="78"/>
      <c r="D108" s="57"/>
      <c r="E108" s="75"/>
      <c r="F108" s="58"/>
      <c r="G108" s="80"/>
      <c r="H108" s="81"/>
      <c r="I108" s="87"/>
      <c r="J108" s="83"/>
      <c r="K108" s="84"/>
      <c r="L108" s="85"/>
      <c r="M108" s="86"/>
      <c r="N108" s="83"/>
      <c r="O108" s="83"/>
      <c r="P108" s="83"/>
      <c r="Q108" s="114"/>
      <c r="R108" s="101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</row>
    <row r="109" s="31" customFormat="1" spans="1:36">
      <c r="A109" s="55" t="str">
        <f>IF(G109&lt;&gt;"",1+MAX($A$3:A108),"")</f>
        <v/>
      </c>
      <c r="B109" s="77"/>
      <c r="C109" s="78"/>
      <c r="D109" s="82" t="s">
        <v>55</v>
      </c>
      <c r="E109" s="75"/>
      <c r="F109" s="58"/>
      <c r="G109" s="80"/>
      <c r="H109" s="81"/>
      <c r="I109" s="87"/>
      <c r="J109" s="83"/>
      <c r="K109" s="84"/>
      <c r="L109" s="85"/>
      <c r="M109" s="86"/>
      <c r="N109" s="83"/>
      <c r="O109" s="83"/>
      <c r="P109" s="83"/>
      <c r="Q109" s="114"/>
      <c r="R109" s="101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</row>
    <row r="110" s="31" customFormat="1" spans="1:36">
      <c r="A110" s="55">
        <f>IF(G110&lt;&gt;"",1+MAX($A$3:A109),"")</f>
        <v>86</v>
      </c>
      <c r="B110" s="77"/>
      <c r="C110" s="78"/>
      <c r="D110" s="57" t="s">
        <v>130</v>
      </c>
      <c r="E110" s="75">
        <v>34</v>
      </c>
      <c r="F110" s="58" t="s">
        <v>57</v>
      </c>
      <c r="G110" s="80">
        <v>0</v>
      </c>
      <c r="H110" s="81">
        <f t="shared" ref="H110:H135" si="48">E110*(1+G110)</f>
        <v>34</v>
      </c>
      <c r="I110" s="83">
        <v>8.96</v>
      </c>
      <c r="J110" s="83">
        <f t="shared" ref="J110:J135" si="49">I110*H110</f>
        <v>304.64</v>
      </c>
      <c r="K110" s="84">
        <v>0.36</v>
      </c>
      <c r="L110" s="85">
        <f t="shared" ref="L110:L135" si="50">+K110*H110</f>
        <v>12.24</v>
      </c>
      <c r="M110" s="86">
        <f>'LABOR SHEET'!C$5</f>
        <v>57.65</v>
      </c>
      <c r="N110" s="83">
        <f t="shared" ref="N110:N135" si="51">K110*M110</f>
        <v>20.754</v>
      </c>
      <c r="O110" s="83">
        <f t="shared" ref="O110:O135" si="52">M110*L110</f>
        <v>705.636</v>
      </c>
      <c r="P110" s="83">
        <f t="shared" ref="P110:P135" si="53">I110+N110</f>
        <v>29.714</v>
      </c>
      <c r="Q110" s="114">
        <f t="shared" ref="Q110:Q135" si="54">P110*H110</f>
        <v>1010.276</v>
      </c>
      <c r="R110" s="101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</row>
    <row r="111" s="31" customFormat="1" spans="1:36">
      <c r="A111" s="55">
        <f>IF(G111&lt;&gt;"",1+MAX($A$3:A110),"")</f>
        <v>87</v>
      </c>
      <c r="B111" s="77"/>
      <c r="C111" s="78"/>
      <c r="D111" s="57" t="s">
        <v>131</v>
      </c>
      <c r="E111" s="75">
        <v>20</v>
      </c>
      <c r="F111" s="58" t="s">
        <v>57</v>
      </c>
      <c r="G111" s="80">
        <v>0</v>
      </c>
      <c r="H111" s="81">
        <f t="shared" si="48"/>
        <v>20</v>
      </c>
      <c r="I111" s="83">
        <v>15.5</v>
      </c>
      <c r="J111" s="83">
        <f t="shared" si="49"/>
        <v>310</v>
      </c>
      <c r="K111" s="84">
        <v>0.37</v>
      </c>
      <c r="L111" s="85">
        <f t="shared" si="50"/>
        <v>7.4</v>
      </c>
      <c r="M111" s="86">
        <f>'LABOR SHEET'!C$5</f>
        <v>57.65</v>
      </c>
      <c r="N111" s="83">
        <f t="shared" si="51"/>
        <v>21.3305</v>
      </c>
      <c r="O111" s="83">
        <f t="shared" si="52"/>
        <v>426.61</v>
      </c>
      <c r="P111" s="83">
        <f t="shared" si="53"/>
        <v>36.8305</v>
      </c>
      <c r="Q111" s="114">
        <f t="shared" si="54"/>
        <v>736.61</v>
      </c>
      <c r="R111" s="101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</row>
    <row r="112" s="31" customFormat="1" spans="1:36">
      <c r="A112" s="55">
        <f>IF(G112&lt;&gt;"",1+MAX($A$3:A111),"")</f>
        <v>88</v>
      </c>
      <c r="B112" s="77"/>
      <c r="C112" s="78"/>
      <c r="D112" s="57" t="s">
        <v>132</v>
      </c>
      <c r="E112" s="75">
        <v>24</v>
      </c>
      <c r="F112" s="58" t="s">
        <v>57</v>
      </c>
      <c r="G112" s="80">
        <v>0</v>
      </c>
      <c r="H112" s="81">
        <f t="shared" si="48"/>
        <v>24</v>
      </c>
      <c r="I112" s="83">
        <v>19.5</v>
      </c>
      <c r="J112" s="83">
        <f t="shared" si="49"/>
        <v>468</v>
      </c>
      <c r="K112" s="84">
        <v>0.38</v>
      </c>
      <c r="L112" s="85">
        <f t="shared" si="50"/>
        <v>9.12</v>
      </c>
      <c r="M112" s="86">
        <f>'LABOR SHEET'!C$5</f>
        <v>57.65</v>
      </c>
      <c r="N112" s="83">
        <f t="shared" si="51"/>
        <v>21.907</v>
      </c>
      <c r="O112" s="83">
        <f t="shared" si="52"/>
        <v>525.768</v>
      </c>
      <c r="P112" s="83">
        <f t="shared" si="53"/>
        <v>41.407</v>
      </c>
      <c r="Q112" s="114">
        <f t="shared" si="54"/>
        <v>993.768</v>
      </c>
      <c r="R112" s="101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</row>
    <row r="113" s="31" customFormat="1" spans="1:36">
      <c r="A113" s="55">
        <f>IF(G113&lt;&gt;"",1+MAX($A$3:A112),"")</f>
        <v>89</v>
      </c>
      <c r="B113" s="77"/>
      <c r="C113" s="78"/>
      <c r="D113" s="57" t="s">
        <v>133</v>
      </c>
      <c r="E113" s="75">
        <v>10</v>
      </c>
      <c r="F113" s="58" t="s">
        <v>57</v>
      </c>
      <c r="G113" s="80">
        <v>0</v>
      </c>
      <c r="H113" s="81">
        <f t="shared" si="48"/>
        <v>10</v>
      </c>
      <c r="I113" s="83">
        <v>10.5</v>
      </c>
      <c r="J113" s="83">
        <f t="shared" si="49"/>
        <v>105</v>
      </c>
      <c r="K113" s="84">
        <v>0.37</v>
      </c>
      <c r="L113" s="85">
        <f t="shared" si="50"/>
        <v>3.7</v>
      </c>
      <c r="M113" s="86">
        <f>'LABOR SHEET'!C$5</f>
        <v>57.65</v>
      </c>
      <c r="N113" s="83">
        <f t="shared" si="51"/>
        <v>21.3305</v>
      </c>
      <c r="O113" s="83">
        <f t="shared" si="52"/>
        <v>213.305</v>
      </c>
      <c r="P113" s="83">
        <f t="shared" si="53"/>
        <v>31.8305</v>
      </c>
      <c r="Q113" s="114">
        <f t="shared" si="54"/>
        <v>318.305</v>
      </c>
      <c r="R113" s="101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</row>
    <row r="114" s="31" customFormat="1" spans="1:36">
      <c r="A114" s="55">
        <f>IF(G114&lt;&gt;"",1+MAX($A$3:A113),"")</f>
        <v>90</v>
      </c>
      <c r="B114" s="77"/>
      <c r="C114" s="78"/>
      <c r="D114" s="57" t="s">
        <v>134</v>
      </c>
      <c r="E114" s="75">
        <v>20</v>
      </c>
      <c r="F114" s="58" t="s">
        <v>57</v>
      </c>
      <c r="G114" s="80">
        <v>0</v>
      </c>
      <c r="H114" s="81">
        <f t="shared" si="48"/>
        <v>20</v>
      </c>
      <c r="I114" s="83">
        <v>16.5</v>
      </c>
      <c r="J114" s="83">
        <f t="shared" si="49"/>
        <v>330</v>
      </c>
      <c r="K114" s="84">
        <v>0.39</v>
      </c>
      <c r="L114" s="85">
        <f t="shared" si="50"/>
        <v>7.8</v>
      </c>
      <c r="M114" s="86">
        <f>'LABOR SHEET'!C$5</f>
        <v>57.65</v>
      </c>
      <c r="N114" s="83">
        <f t="shared" si="51"/>
        <v>22.4835</v>
      </c>
      <c r="O114" s="83">
        <f t="shared" si="52"/>
        <v>449.67</v>
      </c>
      <c r="P114" s="83">
        <f t="shared" si="53"/>
        <v>38.9835</v>
      </c>
      <c r="Q114" s="114">
        <f t="shared" si="54"/>
        <v>779.67</v>
      </c>
      <c r="R114" s="101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</row>
    <row r="115" s="31" customFormat="1" spans="1:36">
      <c r="A115" s="55">
        <f>IF(G115&lt;&gt;"",1+MAX($A$3:A114),"")</f>
        <v>91</v>
      </c>
      <c r="B115" s="77"/>
      <c r="C115" s="78"/>
      <c r="D115" s="57" t="s">
        <v>135</v>
      </c>
      <c r="E115" s="75">
        <v>8</v>
      </c>
      <c r="F115" s="58" t="s">
        <v>57</v>
      </c>
      <c r="G115" s="80">
        <v>0</v>
      </c>
      <c r="H115" s="81">
        <f t="shared" si="48"/>
        <v>8</v>
      </c>
      <c r="I115" s="83">
        <v>22.5</v>
      </c>
      <c r="J115" s="83">
        <f t="shared" si="49"/>
        <v>180</v>
      </c>
      <c r="K115" s="84">
        <v>0.4</v>
      </c>
      <c r="L115" s="85">
        <f t="shared" si="50"/>
        <v>3.2</v>
      </c>
      <c r="M115" s="86">
        <f>'LABOR SHEET'!C$5</f>
        <v>57.65</v>
      </c>
      <c r="N115" s="83">
        <f t="shared" si="51"/>
        <v>23.06</v>
      </c>
      <c r="O115" s="83">
        <f t="shared" si="52"/>
        <v>184.48</v>
      </c>
      <c r="P115" s="83">
        <f t="shared" si="53"/>
        <v>45.56</v>
      </c>
      <c r="Q115" s="114">
        <f t="shared" si="54"/>
        <v>364.48</v>
      </c>
      <c r="R115" s="101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</row>
    <row r="116" s="31" customFormat="1" spans="1:36">
      <c r="A116" s="55">
        <f>IF(G116&lt;&gt;"",1+MAX($A$3:A115),"")</f>
        <v>92</v>
      </c>
      <c r="B116" s="77"/>
      <c r="C116" s="78"/>
      <c r="D116" s="57" t="s">
        <v>136</v>
      </c>
      <c r="E116" s="75">
        <v>30</v>
      </c>
      <c r="F116" s="58" t="s">
        <v>57</v>
      </c>
      <c r="G116" s="80">
        <v>0</v>
      </c>
      <c r="H116" s="81">
        <f t="shared" si="48"/>
        <v>30</v>
      </c>
      <c r="I116" s="83">
        <v>19.87</v>
      </c>
      <c r="J116" s="83">
        <f t="shared" si="49"/>
        <v>596.1</v>
      </c>
      <c r="K116" s="84">
        <v>0.45</v>
      </c>
      <c r="L116" s="85">
        <f t="shared" si="50"/>
        <v>13.5</v>
      </c>
      <c r="M116" s="86">
        <f>'LABOR SHEET'!C$5</f>
        <v>57.65</v>
      </c>
      <c r="N116" s="83">
        <f t="shared" si="51"/>
        <v>25.9425</v>
      </c>
      <c r="O116" s="83">
        <f t="shared" si="52"/>
        <v>778.275</v>
      </c>
      <c r="P116" s="83">
        <f t="shared" si="53"/>
        <v>45.8125</v>
      </c>
      <c r="Q116" s="114">
        <f t="shared" si="54"/>
        <v>1374.375</v>
      </c>
      <c r="R116" s="101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</row>
    <row r="117" s="31" customFormat="1" spans="1:36">
      <c r="A117" s="55">
        <f>IF(G117&lt;&gt;"",1+MAX($A$3:A116),"")</f>
        <v>93</v>
      </c>
      <c r="B117" s="77"/>
      <c r="C117" s="78"/>
      <c r="D117" s="57" t="s">
        <v>137</v>
      </c>
      <c r="E117" s="75">
        <v>1</v>
      </c>
      <c r="F117" s="58" t="s">
        <v>57</v>
      </c>
      <c r="G117" s="80">
        <v>0</v>
      </c>
      <c r="H117" s="81">
        <f t="shared" si="48"/>
        <v>1</v>
      </c>
      <c r="I117" s="83">
        <v>30.3</v>
      </c>
      <c r="J117" s="83">
        <f t="shared" si="49"/>
        <v>30.3</v>
      </c>
      <c r="K117" s="84">
        <v>0.46</v>
      </c>
      <c r="L117" s="85">
        <f t="shared" si="50"/>
        <v>0.46</v>
      </c>
      <c r="M117" s="86">
        <f>'LABOR SHEET'!C$5</f>
        <v>57.65</v>
      </c>
      <c r="N117" s="83">
        <f t="shared" si="51"/>
        <v>26.519</v>
      </c>
      <c r="O117" s="83">
        <f t="shared" si="52"/>
        <v>26.519</v>
      </c>
      <c r="P117" s="83">
        <f t="shared" si="53"/>
        <v>56.819</v>
      </c>
      <c r="Q117" s="114">
        <f t="shared" si="54"/>
        <v>56.819</v>
      </c>
      <c r="R117" s="101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</row>
    <row r="118" s="31" customFormat="1" spans="1:36">
      <c r="A118" s="55">
        <f>IF(G118&lt;&gt;"",1+MAX($A$3:A117),"")</f>
        <v>94</v>
      </c>
      <c r="B118" s="77"/>
      <c r="C118" s="78"/>
      <c r="D118" s="57" t="s">
        <v>138</v>
      </c>
      <c r="E118" s="75">
        <v>8</v>
      </c>
      <c r="F118" s="58" t="s">
        <v>57</v>
      </c>
      <c r="G118" s="80">
        <v>0</v>
      </c>
      <c r="H118" s="81">
        <f t="shared" si="48"/>
        <v>8</v>
      </c>
      <c r="I118" s="83">
        <v>50.2</v>
      </c>
      <c r="J118" s="83">
        <f t="shared" si="49"/>
        <v>401.6</v>
      </c>
      <c r="K118" s="84">
        <v>0.47</v>
      </c>
      <c r="L118" s="85">
        <f t="shared" si="50"/>
        <v>3.76</v>
      </c>
      <c r="M118" s="86">
        <f>'LABOR SHEET'!C$5</f>
        <v>57.65</v>
      </c>
      <c r="N118" s="83">
        <f t="shared" si="51"/>
        <v>27.0955</v>
      </c>
      <c r="O118" s="83">
        <f t="shared" si="52"/>
        <v>216.764</v>
      </c>
      <c r="P118" s="83">
        <f t="shared" si="53"/>
        <v>77.2955</v>
      </c>
      <c r="Q118" s="114">
        <f t="shared" si="54"/>
        <v>618.364</v>
      </c>
      <c r="R118" s="101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</row>
    <row r="119" s="31" customFormat="1" spans="1:36">
      <c r="A119" s="55">
        <f>IF(G119&lt;&gt;"",1+MAX($A$3:A118),"")</f>
        <v>95</v>
      </c>
      <c r="B119" s="77"/>
      <c r="C119" s="78"/>
      <c r="D119" s="57" t="s">
        <v>139</v>
      </c>
      <c r="E119" s="75">
        <v>5</v>
      </c>
      <c r="F119" s="58" t="s">
        <v>57</v>
      </c>
      <c r="G119" s="80">
        <v>0</v>
      </c>
      <c r="H119" s="81">
        <f t="shared" si="48"/>
        <v>5</v>
      </c>
      <c r="I119" s="83">
        <v>65.5</v>
      </c>
      <c r="J119" s="83">
        <f t="shared" si="49"/>
        <v>327.5</v>
      </c>
      <c r="K119" s="84">
        <v>0.48</v>
      </c>
      <c r="L119" s="85">
        <f t="shared" si="50"/>
        <v>2.4</v>
      </c>
      <c r="M119" s="86">
        <f>'LABOR SHEET'!C$5</f>
        <v>57.65</v>
      </c>
      <c r="N119" s="83">
        <f t="shared" si="51"/>
        <v>27.672</v>
      </c>
      <c r="O119" s="83">
        <f t="shared" si="52"/>
        <v>138.36</v>
      </c>
      <c r="P119" s="83">
        <f t="shared" si="53"/>
        <v>93.172</v>
      </c>
      <c r="Q119" s="114">
        <f t="shared" si="54"/>
        <v>465.86</v>
      </c>
      <c r="R119" s="101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</row>
    <row r="120" s="31" customFormat="1" spans="1:36">
      <c r="A120" s="55">
        <f>IF(G120&lt;&gt;"",1+MAX($A$3:A119),"")</f>
        <v>96</v>
      </c>
      <c r="B120" s="77"/>
      <c r="C120" s="78"/>
      <c r="D120" s="57" t="s">
        <v>140</v>
      </c>
      <c r="E120" s="75">
        <v>31</v>
      </c>
      <c r="F120" s="58" t="s">
        <v>57</v>
      </c>
      <c r="G120" s="80">
        <v>0</v>
      </c>
      <c r="H120" s="81">
        <f t="shared" si="48"/>
        <v>31</v>
      </c>
      <c r="I120" s="83">
        <v>72.2</v>
      </c>
      <c r="J120" s="83">
        <f t="shared" si="49"/>
        <v>2238.2</v>
      </c>
      <c r="K120" s="84">
        <v>0.49</v>
      </c>
      <c r="L120" s="85">
        <f t="shared" si="50"/>
        <v>15.19</v>
      </c>
      <c r="M120" s="86">
        <f>'LABOR SHEET'!C$5</f>
        <v>57.65</v>
      </c>
      <c r="N120" s="83">
        <f t="shared" si="51"/>
        <v>28.2485</v>
      </c>
      <c r="O120" s="83">
        <f t="shared" si="52"/>
        <v>875.7035</v>
      </c>
      <c r="P120" s="83">
        <f t="shared" si="53"/>
        <v>100.4485</v>
      </c>
      <c r="Q120" s="114">
        <f t="shared" si="54"/>
        <v>3113.9035</v>
      </c>
      <c r="R120" s="101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</row>
    <row r="121" s="31" customFormat="1" spans="1:36">
      <c r="A121" s="55">
        <f>IF(G121&lt;&gt;"",1+MAX($A$3:A120),"")</f>
        <v>97</v>
      </c>
      <c r="B121" s="77"/>
      <c r="C121" s="78"/>
      <c r="D121" s="57" t="s">
        <v>141</v>
      </c>
      <c r="E121" s="75">
        <v>10</v>
      </c>
      <c r="F121" s="58" t="s">
        <v>57</v>
      </c>
      <c r="G121" s="80">
        <v>0</v>
      </c>
      <c r="H121" s="81">
        <f t="shared" si="48"/>
        <v>10</v>
      </c>
      <c r="I121" s="83">
        <v>85.5</v>
      </c>
      <c r="J121" s="83">
        <f t="shared" si="49"/>
        <v>855</v>
      </c>
      <c r="K121" s="84">
        <v>0.5</v>
      </c>
      <c r="L121" s="85">
        <f t="shared" si="50"/>
        <v>5</v>
      </c>
      <c r="M121" s="86">
        <f>'LABOR SHEET'!C$5</f>
        <v>57.65</v>
      </c>
      <c r="N121" s="83">
        <f t="shared" si="51"/>
        <v>28.825</v>
      </c>
      <c r="O121" s="83">
        <f t="shared" si="52"/>
        <v>288.25</v>
      </c>
      <c r="P121" s="83">
        <f t="shared" si="53"/>
        <v>114.325</v>
      </c>
      <c r="Q121" s="114">
        <f t="shared" si="54"/>
        <v>1143.25</v>
      </c>
      <c r="R121" s="101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</row>
    <row r="122" s="31" customFormat="1" spans="1:36">
      <c r="A122" s="55">
        <f>IF(G122&lt;&gt;"",1+MAX($A$3:A121),"")</f>
        <v>98</v>
      </c>
      <c r="B122" s="77"/>
      <c r="C122" s="78"/>
      <c r="D122" s="57" t="s">
        <v>142</v>
      </c>
      <c r="E122" s="75">
        <v>3</v>
      </c>
      <c r="F122" s="58" t="s">
        <v>57</v>
      </c>
      <c r="G122" s="80">
        <v>0</v>
      </c>
      <c r="H122" s="81">
        <f t="shared" si="48"/>
        <v>3</v>
      </c>
      <c r="I122" s="83">
        <v>90</v>
      </c>
      <c r="J122" s="83">
        <f t="shared" si="49"/>
        <v>270</v>
      </c>
      <c r="K122" s="84">
        <v>0.51</v>
      </c>
      <c r="L122" s="85">
        <f t="shared" si="50"/>
        <v>1.53</v>
      </c>
      <c r="M122" s="86">
        <f>'LABOR SHEET'!C$5</f>
        <v>57.65</v>
      </c>
      <c r="N122" s="83">
        <f t="shared" si="51"/>
        <v>29.4015</v>
      </c>
      <c r="O122" s="83">
        <f t="shared" si="52"/>
        <v>88.2045</v>
      </c>
      <c r="P122" s="83">
        <f t="shared" si="53"/>
        <v>119.4015</v>
      </c>
      <c r="Q122" s="114">
        <f t="shared" si="54"/>
        <v>358.2045</v>
      </c>
      <c r="R122" s="101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</row>
    <row r="123" s="31" customFormat="1" spans="1:36">
      <c r="A123" s="55">
        <f>IF(G123&lt;&gt;"",1+MAX($A$3:A122),"")</f>
        <v>99</v>
      </c>
      <c r="B123" s="77"/>
      <c r="C123" s="78"/>
      <c r="D123" s="57" t="s">
        <v>143</v>
      </c>
      <c r="E123" s="75">
        <v>9</v>
      </c>
      <c r="F123" s="58" t="s">
        <v>57</v>
      </c>
      <c r="G123" s="80">
        <v>0</v>
      </c>
      <c r="H123" s="81">
        <f t="shared" si="48"/>
        <v>9</v>
      </c>
      <c r="I123" s="83">
        <v>98</v>
      </c>
      <c r="J123" s="83">
        <f t="shared" si="49"/>
        <v>882</v>
      </c>
      <c r="K123" s="84">
        <v>0.52</v>
      </c>
      <c r="L123" s="85">
        <f t="shared" si="50"/>
        <v>4.68</v>
      </c>
      <c r="M123" s="86">
        <f>'LABOR SHEET'!C$5</f>
        <v>57.65</v>
      </c>
      <c r="N123" s="83">
        <f t="shared" si="51"/>
        <v>29.978</v>
      </c>
      <c r="O123" s="83">
        <f t="shared" si="52"/>
        <v>269.802</v>
      </c>
      <c r="P123" s="83">
        <f t="shared" si="53"/>
        <v>127.978</v>
      </c>
      <c r="Q123" s="114">
        <f t="shared" si="54"/>
        <v>1151.802</v>
      </c>
      <c r="R123" s="101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</row>
    <row r="124" s="31" customFormat="1" spans="1:36">
      <c r="A124" s="55">
        <f>IF(G124&lt;&gt;"",1+MAX($A$3:A123),"")</f>
        <v>100</v>
      </c>
      <c r="B124" s="77"/>
      <c r="C124" s="78"/>
      <c r="D124" s="57" t="s">
        <v>144</v>
      </c>
      <c r="E124" s="75">
        <v>21</v>
      </c>
      <c r="F124" s="58" t="s">
        <v>57</v>
      </c>
      <c r="G124" s="80">
        <v>0</v>
      </c>
      <c r="H124" s="81">
        <f t="shared" si="48"/>
        <v>21</v>
      </c>
      <c r="I124" s="83">
        <v>105</v>
      </c>
      <c r="J124" s="83">
        <f t="shared" si="49"/>
        <v>2205</v>
      </c>
      <c r="K124" s="84">
        <v>0.53</v>
      </c>
      <c r="L124" s="85">
        <f t="shared" si="50"/>
        <v>11.13</v>
      </c>
      <c r="M124" s="86">
        <f>'LABOR SHEET'!C$5</f>
        <v>57.65</v>
      </c>
      <c r="N124" s="83">
        <f t="shared" si="51"/>
        <v>30.5545</v>
      </c>
      <c r="O124" s="83">
        <f t="shared" si="52"/>
        <v>641.6445</v>
      </c>
      <c r="P124" s="83">
        <f t="shared" si="53"/>
        <v>135.5545</v>
      </c>
      <c r="Q124" s="114">
        <f t="shared" si="54"/>
        <v>2846.6445</v>
      </c>
      <c r="R124" s="101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</row>
    <row r="125" s="31" customFormat="1" spans="1:36">
      <c r="A125" s="55">
        <f>IF(G125&lt;&gt;"",1+MAX($A$3:A124),"")</f>
        <v>101</v>
      </c>
      <c r="B125" s="77"/>
      <c r="C125" s="78"/>
      <c r="D125" s="57" t="s">
        <v>145</v>
      </c>
      <c r="E125" s="75">
        <v>4</v>
      </c>
      <c r="F125" s="58" t="s">
        <v>57</v>
      </c>
      <c r="G125" s="80">
        <v>0</v>
      </c>
      <c r="H125" s="81">
        <f t="shared" si="48"/>
        <v>4</v>
      </c>
      <c r="I125" s="83">
        <v>110</v>
      </c>
      <c r="J125" s="83">
        <f t="shared" si="49"/>
        <v>440</v>
      </c>
      <c r="K125" s="84">
        <v>0.54</v>
      </c>
      <c r="L125" s="85">
        <f t="shared" si="50"/>
        <v>2.16</v>
      </c>
      <c r="M125" s="86">
        <f>'LABOR SHEET'!C$5</f>
        <v>57.65</v>
      </c>
      <c r="N125" s="83">
        <f t="shared" si="51"/>
        <v>31.131</v>
      </c>
      <c r="O125" s="83">
        <f t="shared" si="52"/>
        <v>124.524</v>
      </c>
      <c r="P125" s="83">
        <f t="shared" si="53"/>
        <v>141.131</v>
      </c>
      <c r="Q125" s="114">
        <f t="shared" si="54"/>
        <v>564.524</v>
      </c>
      <c r="R125" s="101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</row>
    <row r="126" s="31" customFormat="1" spans="1:36">
      <c r="A126" s="55">
        <f>IF(G126&lt;&gt;"",1+MAX($A$3:A125),"")</f>
        <v>102</v>
      </c>
      <c r="B126" s="77"/>
      <c r="C126" s="78"/>
      <c r="D126" s="57" t="s">
        <v>146</v>
      </c>
      <c r="E126" s="75">
        <v>5</v>
      </c>
      <c r="F126" s="58" t="s">
        <v>57</v>
      </c>
      <c r="G126" s="80">
        <v>0</v>
      </c>
      <c r="H126" s="81">
        <f t="shared" si="48"/>
        <v>5</v>
      </c>
      <c r="I126" s="83">
        <v>119</v>
      </c>
      <c r="J126" s="83">
        <f t="shared" si="49"/>
        <v>595</v>
      </c>
      <c r="K126" s="84">
        <v>0.55</v>
      </c>
      <c r="L126" s="85">
        <f t="shared" si="50"/>
        <v>2.75</v>
      </c>
      <c r="M126" s="86">
        <f>'LABOR SHEET'!C$5</f>
        <v>57.65</v>
      </c>
      <c r="N126" s="83">
        <f t="shared" si="51"/>
        <v>31.7075</v>
      </c>
      <c r="O126" s="83">
        <f t="shared" si="52"/>
        <v>158.5375</v>
      </c>
      <c r="P126" s="83">
        <f t="shared" si="53"/>
        <v>150.7075</v>
      </c>
      <c r="Q126" s="114">
        <f t="shared" si="54"/>
        <v>753.5375</v>
      </c>
      <c r="R126" s="101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</row>
    <row r="127" s="31" customFormat="1" spans="1:36">
      <c r="A127" s="55">
        <f>IF(G127&lt;&gt;"",1+MAX($A$3:A126),"")</f>
        <v>103</v>
      </c>
      <c r="B127" s="77"/>
      <c r="C127" s="78"/>
      <c r="D127" s="57" t="s">
        <v>147</v>
      </c>
      <c r="E127" s="75">
        <v>2</v>
      </c>
      <c r="F127" s="58" t="s">
        <v>57</v>
      </c>
      <c r="G127" s="80">
        <v>0</v>
      </c>
      <c r="H127" s="81">
        <f t="shared" si="48"/>
        <v>2</v>
      </c>
      <c r="I127" s="83">
        <v>131</v>
      </c>
      <c r="J127" s="83">
        <f t="shared" si="49"/>
        <v>262</v>
      </c>
      <c r="K127" s="84">
        <v>0.56</v>
      </c>
      <c r="L127" s="85">
        <f t="shared" si="50"/>
        <v>1.12</v>
      </c>
      <c r="M127" s="86">
        <f>'LABOR SHEET'!C$5</f>
        <v>57.65</v>
      </c>
      <c r="N127" s="83">
        <f t="shared" si="51"/>
        <v>32.284</v>
      </c>
      <c r="O127" s="83">
        <f t="shared" si="52"/>
        <v>64.568</v>
      </c>
      <c r="P127" s="83">
        <f t="shared" si="53"/>
        <v>163.284</v>
      </c>
      <c r="Q127" s="114">
        <f t="shared" si="54"/>
        <v>326.568</v>
      </c>
      <c r="R127" s="101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</row>
    <row r="128" s="31" customFormat="1" spans="1:36">
      <c r="A128" s="55">
        <f>IF(G128&lt;&gt;"",1+MAX($A$3:A127),"")</f>
        <v>104</v>
      </c>
      <c r="B128" s="77"/>
      <c r="C128" s="78"/>
      <c r="D128" s="57" t="s">
        <v>148</v>
      </c>
      <c r="E128" s="75">
        <v>2</v>
      </c>
      <c r="F128" s="58" t="s">
        <v>57</v>
      </c>
      <c r="G128" s="80">
        <v>0</v>
      </c>
      <c r="H128" s="81">
        <f t="shared" si="48"/>
        <v>2</v>
      </c>
      <c r="I128" s="83">
        <v>141.29</v>
      </c>
      <c r="J128" s="83">
        <f t="shared" si="49"/>
        <v>282.58</v>
      </c>
      <c r="K128" s="84">
        <v>0.57</v>
      </c>
      <c r="L128" s="85">
        <f t="shared" si="50"/>
        <v>1.14</v>
      </c>
      <c r="M128" s="86">
        <f>'LABOR SHEET'!C$5</f>
        <v>57.65</v>
      </c>
      <c r="N128" s="83">
        <f t="shared" si="51"/>
        <v>32.8605</v>
      </c>
      <c r="O128" s="83">
        <f t="shared" si="52"/>
        <v>65.721</v>
      </c>
      <c r="P128" s="83">
        <f t="shared" si="53"/>
        <v>174.1505</v>
      </c>
      <c r="Q128" s="114">
        <f t="shared" si="54"/>
        <v>348.301</v>
      </c>
      <c r="R128" s="101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</row>
    <row r="129" s="31" customFormat="1" spans="1:36">
      <c r="A129" s="55">
        <f>IF(G129&lt;&gt;"",1+MAX($A$3:A128),"")</f>
        <v>105</v>
      </c>
      <c r="B129" s="77"/>
      <c r="C129" s="78"/>
      <c r="D129" s="57" t="s">
        <v>149</v>
      </c>
      <c r="E129" s="75">
        <v>12</v>
      </c>
      <c r="F129" s="58" t="s">
        <v>57</v>
      </c>
      <c r="G129" s="80">
        <v>0</v>
      </c>
      <c r="H129" s="81">
        <f t="shared" si="48"/>
        <v>12</v>
      </c>
      <c r="I129" s="83">
        <v>6.99</v>
      </c>
      <c r="J129" s="83">
        <f t="shared" si="49"/>
        <v>83.88</v>
      </c>
      <c r="K129" s="84">
        <v>0.5</v>
      </c>
      <c r="L129" s="85">
        <f t="shared" si="50"/>
        <v>6</v>
      </c>
      <c r="M129" s="86">
        <f>'LABOR SHEET'!C$5</f>
        <v>57.65</v>
      </c>
      <c r="N129" s="83">
        <f t="shared" si="51"/>
        <v>28.825</v>
      </c>
      <c r="O129" s="83">
        <f t="shared" si="52"/>
        <v>345.9</v>
      </c>
      <c r="P129" s="83">
        <f t="shared" si="53"/>
        <v>35.815</v>
      </c>
      <c r="Q129" s="114">
        <f t="shared" si="54"/>
        <v>429.78</v>
      </c>
      <c r="R129" s="101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</row>
    <row r="130" s="31" customFormat="1" spans="1:36">
      <c r="A130" s="55">
        <f>IF(G130&lt;&gt;"",1+MAX($A$3:A129),"")</f>
        <v>106</v>
      </c>
      <c r="B130" s="77"/>
      <c r="C130" s="78"/>
      <c r="D130" s="57" t="s">
        <v>150</v>
      </c>
      <c r="E130" s="75">
        <v>11</v>
      </c>
      <c r="F130" s="58" t="s">
        <v>57</v>
      </c>
      <c r="G130" s="80">
        <v>0</v>
      </c>
      <c r="H130" s="81">
        <f t="shared" si="48"/>
        <v>11</v>
      </c>
      <c r="I130" s="83">
        <v>19.5</v>
      </c>
      <c r="J130" s="83">
        <f t="shared" si="49"/>
        <v>214.5</v>
      </c>
      <c r="K130" s="84">
        <v>0.52</v>
      </c>
      <c r="L130" s="85">
        <f t="shared" si="50"/>
        <v>5.72</v>
      </c>
      <c r="M130" s="86">
        <f>'LABOR SHEET'!C$5</f>
        <v>57.65</v>
      </c>
      <c r="N130" s="83">
        <f t="shared" si="51"/>
        <v>29.978</v>
      </c>
      <c r="O130" s="83">
        <f t="shared" si="52"/>
        <v>329.758</v>
      </c>
      <c r="P130" s="83">
        <f t="shared" si="53"/>
        <v>49.478</v>
      </c>
      <c r="Q130" s="114">
        <f t="shared" si="54"/>
        <v>544.258</v>
      </c>
      <c r="R130" s="101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</row>
    <row r="131" s="31" customFormat="1" spans="1:36">
      <c r="A131" s="55">
        <f>IF(G131&lt;&gt;"",1+MAX($A$3:A130),"")</f>
        <v>107</v>
      </c>
      <c r="B131" s="77"/>
      <c r="C131" s="78"/>
      <c r="D131" s="57" t="s">
        <v>151</v>
      </c>
      <c r="E131" s="75">
        <v>5</v>
      </c>
      <c r="F131" s="58" t="s">
        <v>57</v>
      </c>
      <c r="G131" s="80">
        <v>0</v>
      </c>
      <c r="H131" s="81">
        <f t="shared" si="48"/>
        <v>5</v>
      </c>
      <c r="I131" s="83">
        <v>31.5</v>
      </c>
      <c r="J131" s="83">
        <f t="shared" si="49"/>
        <v>157.5</v>
      </c>
      <c r="K131" s="84">
        <v>0.54</v>
      </c>
      <c r="L131" s="85">
        <f t="shared" si="50"/>
        <v>2.7</v>
      </c>
      <c r="M131" s="86">
        <f>'LABOR SHEET'!C$5</f>
        <v>57.65</v>
      </c>
      <c r="N131" s="83">
        <f t="shared" si="51"/>
        <v>31.131</v>
      </c>
      <c r="O131" s="83">
        <f t="shared" si="52"/>
        <v>155.655</v>
      </c>
      <c r="P131" s="83">
        <f t="shared" si="53"/>
        <v>62.631</v>
      </c>
      <c r="Q131" s="114">
        <f t="shared" si="54"/>
        <v>313.155</v>
      </c>
      <c r="R131" s="101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</row>
    <row r="132" s="31" customFormat="1" spans="1:36">
      <c r="A132" s="55">
        <f>IF(G132&lt;&gt;"",1+MAX($A$3:A131),"")</f>
        <v>108</v>
      </c>
      <c r="B132" s="77"/>
      <c r="C132" s="78"/>
      <c r="D132" s="57" t="s">
        <v>152</v>
      </c>
      <c r="E132" s="75">
        <v>14</v>
      </c>
      <c r="F132" s="58" t="s">
        <v>57</v>
      </c>
      <c r="G132" s="80">
        <v>0</v>
      </c>
      <c r="H132" s="81">
        <f t="shared" si="48"/>
        <v>14</v>
      </c>
      <c r="I132" s="83">
        <v>50.5</v>
      </c>
      <c r="J132" s="83">
        <f t="shared" si="49"/>
        <v>707</v>
      </c>
      <c r="K132" s="84">
        <v>0.56</v>
      </c>
      <c r="L132" s="85">
        <f t="shared" si="50"/>
        <v>7.84</v>
      </c>
      <c r="M132" s="86">
        <f>'LABOR SHEET'!C$5</f>
        <v>57.65</v>
      </c>
      <c r="N132" s="83">
        <f t="shared" si="51"/>
        <v>32.284</v>
      </c>
      <c r="O132" s="83">
        <f t="shared" si="52"/>
        <v>451.976</v>
      </c>
      <c r="P132" s="83">
        <f t="shared" si="53"/>
        <v>82.784</v>
      </c>
      <c r="Q132" s="114">
        <f t="shared" si="54"/>
        <v>1158.976</v>
      </c>
      <c r="R132" s="101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</row>
    <row r="133" s="31" customFormat="1" spans="1:36">
      <c r="A133" s="55">
        <f>IF(G133&lt;&gt;"",1+MAX($A$3:A132),"")</f>
        <v>109</v>
      </c>
      <c r="B133" s="77"/>
      <c r="C133" s="78"/>
      <c r="D133" s="57" t="s">
        <v>153</v>
      </c>
      <c r="E133" s="75">
        <v>1</v>
      </c>
      <c r="F133" s="58" t="s">
        <v>57</v>
      </c>
      <c r="G133" s="80">
        <v>0</v>
      </c>
      <c r="H133" s="81">
        <f t="shared" si="48"/>
        <v>1</v>
      </c>
      <c r="I133" s="83">
        <v>65</v>
      </c>
      <c r="J133" s="83">
        <f t="shared" si="49"/>
        <v>65</v>
      </c>
      <c r="K133" s="84">
        <v>0.58</v>
      </c>
      <c r="L133" s="85">
        <f t="shared" si="50"/>
        <v>0.58</v>
      </c>
      <c r="M133" s="86">
        <f>'LABOR SHEET'!C$5</f>
        <v>57.65</v>
      </c>
      <c r="N133" s="83">
        <f t="shared" si="51"/>
        <v>33.437</v>
      </c>
      <c r="O133" s="83">
        <f t="shared" si="52"/>
        <v>33.437</v>
      </c>
      <c r="P133" s="83">
        <f t="shared" si="53"/>
        <v>98.437</v>
      </c>
      <c r="Q133" s="114">
        <f t="shared" si="54"/>
        <v>98.437</v>
      </c>
      <c r="R133" s="101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</row>
    <row r="134" s="31" customFormat="1" spans="1:36">
      <c r="A134" s="55">
        <f>IF(G134&lt;&gt;"",1+MAX($A$3:A133),"")</f>
        <v>110</v>
      </c>
      <c r="B134" s="77"/>
      <c r="C134" s="78"/>
      <c r="D134" s="57" t="s">
        <v>154</v>
      </c>
      <c r="E134" s="75">
        <v>1</v>
      </c>
      <c r="F134" s="58" t="s">
        <v>57</v>
      </c>
      <c r="G134" s="80">
        <v>0</v>
      </c>
      <c r="H134" s="81">
        <f t="shared" si="48"/>
        <v>1</v>
      </c>
      <c r="I134" s="83">
        <v>85</v>
      </c>
      <c r="J134" s="83">
        <f t="shared" si="49"/>
        <v>85</v>
      </c>
      <c r="K134" s="84">
        <v>0.6</v>
      </c>
      <c r="L134" s="85">
        <f t="shared" si="50"/>
        <v>0.6</v>
      </c>
      <c r="M134" s="86">
        <f>'LABOR SHEET'!C$5</f>
        <v>57.65</v>
      </c>
      <c r="N134" s="83">
        <f t="shared" si="51"/>
        <v>34.59</v>
      </c>
      <c r="O134" s="83">
        <f t="shared" si="52"/>
        <v>34.59</v>
      </c>
      <c r="P134" s="83">
        <f t="shared" si="53"/>
        <v>119.59</v>
      </c>
      <c r="Q134" s="114">
        <f t="shared" si="54"/>
        <v>119.59</v>
      </c>
      <c r="R134" s="101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</row>
    <row r="135" s="31" customFormat="1" spans="1:36">
      <c r="A135" s="55">
        <f>IF(G135&lt;&gt;"",1+MAX($A$3:A134),"")</f>
        <v>111</v>
      </c>
      <c r="B135" s="77"/>
      <c r="C135" s="78"/>
      <c r="D135" s="57" t="s">
        <v>155</v>
      </c>
      <c r="E135" s="75">
        <v>1</v>
      </c>
      <c r="F135" s="58" t="s">
        <v>57</v>
      </c>
      <c r="G135" s="80">
        <v>0</v>
      </c>
      <c r="H135" s="81">
        <f t="shared" si="48"/>
        <v>1</v>
      </c>
      <c r="I135" s="83">
        <v>35.5</v>
      </c>
      <c r="J135" s="83">
        <f t="shared" si="49"/>
        <v>35.5</v>
      </c>
      <c r="K135" s="84">
        <v>0.6</v>
      </c>
      <c r="L135" s="85">
        <f t="shared" si="50"/>
        <v>0.6</v>
      </c>
      <c r="M135" s="86">
        <f>'LABOR SHEET'!C$5</f>
        <v>57.65</v>
      </c>
      <c r="N135" s="83">
        <f t="shared" si="51"/>
        <v>34.59</v>
      </c>
      <c r="O135" s="83">
        <f t="shared" si="52"/>
        <v>34.59</v>
      </c>
      <c r="P135" s="83">
        <f t="shared" si="53"/>
        <v>70.09</v>
      </c>
      <c r="Q135" s="114">
        <f t="shared" si="54"/>
        <v>70.09</v>
      </c>
      <c r="R135" s="101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</row>
    <row r="136" s="31" customFormat="1" spans="1:36">
      <c r="A136" s="55" t="str">
        <f>IF(G136&lt;&gt;"",1+MAX($A$3:A135),"")</f>
        <v/>
      </c>
      <c r="B136" s="77"/>
      <c r="C136" s="78"/>
      <c r="D136" s="57"/>
      <c r="E136" s="75"/>
      <c r="F136" s="58"/>
      <c r="G136" s="80"/>
      <c r="H136" s="81"/>
      <c r="I136" s="87"/>
      <c r="J136" s="83"/>
      <c r="K136" s="84"/>
      <c r="L136" s="85"/>
      <c r="M136" s="86"/>
      <c r="N136" s="83"/>
      <c r="O136" s="83"/>
      <c r="P136" s="83"/>
      <c r="Q136" s="114"/>
      <c r="R136" s="101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</row>
    <row r="137" s="31" customFormat="1" ht="18" spans="1:36">
      <c r="A137" s="55" t="str">
        <f>IF(G137&lt;&gt;"",1+MAX($A$3:A136),"")</f>
        <v/>
      </c>
      <c r="B137" s="77"/>
      <c r="C137" s="78"/>
      <c r="D137" s="76" t="s">
        <v>156</v>
      </c>
      <c r="E137" s="75"/>
      <c r="F137" s="58"/>
      <c r="G137" s="80"/>
      <c r="H137" s="81"/>
      <c r="I137" s="87"/>
      <c r="J137" s="83"/>
      <c r="K137" s="84"/>
      <c r="L137" s="85"/>
      <c r="M137" s="86"/>
      <c r="N137" s="83"/>
      <c r="O137" s="83"/>
      <c r="P137" s="83"/>
      <c r="Q137" s="114"/>
      <c r="R137" s="101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</row>
    <row r="138" s="31" customFormat="1" spans="1:36">
      <c r="A138" s="55" t="str">
        <f>IF(G138&lt;&gt;"",1+MAX($A$3:A137),"")</f>
        <v/>
      </c>
      <c r="B138" s="77"/>
      <c r="C138" s="78"/>
      <c r="D138" s="79" t="s">
        <v>157</v>
      </c>
      <c r="E138" s="75"/>
      <c r="F138" s="58"/>
      <c r="G138" s="80"/>
      <c r="H138" s="81"/>
      <c r="I138" s="87"/>
      <c r="J138" s="83"/>
      <c r="K138" s="84"/>
      <c r="L138" s="85"/>
      <c r="M138" s="86"/>
      <c r="N138" s="83"/>
      <c r="O138" s="83"/>
      <c r="P138" s="83"/>
      <c r="Q138" s="114"/>
      <c r="R138" s="101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</row>
    <row r="139" s="31" customFormat="1" spans="1:36">
      <c r="A139" s="55">
        <f>IF(G139&lt;&gt;"",1+MAX($A$3:A138),"")</f>
        <v>112</v>
      </c>
      <c r="B139" s="77"/>
      <c r="C139" s="78"/>
      <c r="D139" s="57" t="s">
        <v>158</v>
      </c>
      <c r="E139" s="75">
        <v>34.73</v>
      </c>
      <c r="F139" s="58" t="s">
        <v>47</v>
      </c>
      <c r="G139" s="80">
        <v>0.05</v>
      </c>
      <c r="H139" s="81">
        <f t="shared" ref="H139:H151" si="55">E139*(1+G139)</f>
        <v>36.4665</v>
      </c>
      <c r="I139" s="83">
        <v>5</v>
      </c>
      <c r="J139" s="83">
        <f t="shared" ref="J139:J151" si="56">I139*H139</f>
        <v>182.3325</v>
      </c>
      <c r="K139" s="84">
        <v>0.271</v>
      </c>
      <c r="L139" s="85">
        <f t="shared" ref="L139:L151" si="57">+K139*H139</f>
        <v>9.8824215</v>
      </c>
      <c r="M139" s="86">
        <f>'LABOR SHEET'!C$5</f>
        <v>57.65</v>
      </c>
      <c r="N139" s="83">
        <f t="shared" ref="N139:N151" si="58">K139*M139</f>
        <v>15.62315</v>
      </c>
      <c r="O139" s="83">
        <f t="shared" ref="O139:O151" si="59">M139*L139</f>
        <v>569.721599475</v>
      </c>
      <c r="P139" s="83">
        <f t="shared" ref="P139:P151" si="60">I139+N139</f>
        <v>20.62315</v>
      </c>
      <c r="Q139" s="114">
        <f t="shared" ref="Q139:Q151" si="61">P139*H139</f>
        <v>752.054099475</v>
      </c>
      <c r="R139" s="101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</row>
    <row r="140" s="31" customFormat="1" spans="1:36">
      <c r="A140" s="55">
        <f>IF(G140&lt;&gt;"",1+MAX($A$3:A139),"")</f>
        <v>113</v>
      </c>
      <c r="B140" s="77"/>
      <c r="C140" s="78"/>
      <c r="D140" s="57" t="s">
        <v>159</v>
      </c>
      <c r="E140" s="75">
        <v>249.12</v>
      </c>
      <c r="F140" s="58" t="s">
        <v>47</v>
      </c>
      <c r="G140" s="80">
        <v>0.05</v>
      </c>
      <c r="H140" s="81">
        <f t="shared" si="55"/>
        <v>261.576</v>
      </c>
      <c r="I140" s="83">
        <v>8.15</v>
      </c>
      <c r="J140" s="83">
        <f t="shared" si="56"/>
        <v>2131.8444</v>
      </c>
      <c r="K140" s="84">
        <v>0.302</v>
      </c>
      <c r="L140" s="85">
        <f t="shared" si="57"/>
        <v>78.995952</v>
      </c>
      <c r="M140" s="86">
        <f>'LABOR SHEET'!C$5</f>
        <v>57.65</v>
      </c>
      <c r="N140" s="83">
        <f t="shared" si="58"/>
        <v>17.4103</v>
      </c>
      <c r="O140" s="83">
        <f t="shared" si="59"/>
        <v>4554.1166328</v>
      </c>
      <c r="P140" s="83">
        <f t="shared" si="60"/>
        <v>25.5603</v>
      </c>
      <c r="Q140" s="114">
        <f t="shared" si="61"/>
        <v>6685.9610328</v>
      </c>
      <c r="R140" s="101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</row>
    <row r="141" s="31" customFormat="1" spans="1:36">
      <c r="A141" s="55" t="str">
        <f>IF(G141&lt;&gt;"",1+MAX($A$3:A140),"")</f>
        <v/>
      </c>
      <c r="B141" s="77"/>
      <c r="C141" s="78"/>
      <c r="D141" s="57"/>
      <c r="E141" s="75"/>
      <c r="F141" s="58"/>
      <c r="G141" s="80"/>
      <c r="H141" s="81"/>
      <c r="I141" s="87"/>
      <c r="J141" s="83"/>
      <c r="K141" s="84"/>
      <c r="L141" s="85"/>
      <c r="M141" s="86"/>
      <c r="N141" s="83"/>
      <c r="O141" s="83"/>
      <c r="P141" s="83"/>
      <c r="Q141" s="114"/>
      <c r="R141" s="101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</row>
    <row r="142" s="31" customFormat="1" spans="1:36">
      <c r="A142" s="55" t="str">
        <f>IF(G142&lt;&gt;"",1+MAX($A$3:A141),"")</f>
        <v/>
      </c>
      <c r="B142" s="77"/>
      <c r="C142" s="78"/>
      <c r="D142" s="82" t="s">
        <v>55</v>
      </c>
      <c r="E142" s="75"/>
      <c r="F142" s="58"/>
      <c r="G142" s="80"/>
      <c r="H142" s="81"/>
      <c r="I142" s="87"/>
      <c r="J142" s="83"/>
      <c r="K142" s="84"/>
      <c r="L142" s="85"/>
      <c r="M142" s="86"/>
      <c r="N142" s="83"/>
      <c r="O142" s="83"/>
      <c r="P142" s="83"/>
      <c r="Q142" s="114"/>
      <c r="R142" s="101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</row>
    <row r="143" s="31" customFormat="1" spans="1:36">
      <c r="A143" s="55">
        <f>IF(G143&lt;&gt;"",1+MAX($A$3:A142),"")</f>
        <v>114</v>
      </c>
      <c r="B143" s="77"/>
      <c r="C143" s="78"/>
      <c r="D143" s="57" t="s">
        <v>160</v>
      </c>
      <c r="E143" s="75">
        <v>13</v>
      </c>
      <c r="F143" s="58" t="s">
        <v>57</v>
      </c>
      <c r="G143" s="80">
        <v>0</v>
      </c>
      <c r="H143" s="81">
        <f t="shared" si="55"/>
        <v>13</v>
      </c>
      <c r="I143" s="83">
        <v>40.97</v>
      </c>
      <c r="J143" s="83">
        <f t="shared" si="56"/>
        <v>532.61</v>
      </c>
      <c r="K143" s="84">
        <v>0.65</v>
      </c>
      <c r="L143" s="85">
        <f t="shared" si="57"/>
        <v>8.45</v>
      </c>
      <c r="M143" s="86">
        <f>'LABOR SHEET'!C$5</f>
        <v>57.65</v>
      </c>
      <c r="N143" s="83">
        <f t="shared" si="58"/>
        <v>37.4725</v>
      </c>
      <c r="O143" s="83">
        <f t="shared" si="59"/>
        <v>487.1425</v>
      </c>
      <c r="P143" s="83">
        <f t="shared" si="60"/>
        <v>78.4425</v>
      </c>
      <c r="Q143" s="114">
        <f t="shared" si="61"/>
        <v>1019.7525</v>
      </c>
      <c r="R143" s="101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</row>
    <row r="144" s="31" customFormat="1" spans="1:36">
      <c r="A144" s="55">
        <f>IF(G144&lt;&gt;"",1+MAX($A$3:A143),"")</f>
        <v>115</v>
      </c>
      <c r="B144" s="77"/>
      <c r="C144" s="78"/>
      <c r="D144" s="57" t="s">
        <v>161</v>
      </c>
      <c r="E144" s="75">
        <v>12</v>
      </c>
      <c r="F144" s="58" t="s">
        <v>57</v>
      </c>
      <c r="G144" s="80">
        <v>0</v>
      </c>
      <c r="H144" s="81">
        <f t="shared" si="55"/>
        <v>12</v>
      </c>
      <c r="I144" s="83">
        <v>65</v>
      </c>
      <c r="J144" s="83">
        <f t="shared" si="56"/>
        <v>780</v>
      </c>
      <c r="K144" s="84">
        <v>0.68</v>
      </c>
      <c r="L144" s="85">
        <f t="shared" si="57"/>
        <v>8.16</v>
      </c>
      <c r="M144" s="86">
        <f>'LABOR SHEET'!C$5</f>
        <v>57.65</v>
      </c>
      <c r="N144" s="83">
        <f t="shared" si="58"/>
        <v>39.202</v>
      </c>
      <c r="O144" s="83">
        <f t="shared" si="59"/>
        <v>470.424</v>
      </c>
      <c r="P144" s="83">
        <f t="shared" si="60"/>
        <v>104.202</v>
      </c>
      <c r="Q144" s="114">
        <f t="shared" si="61"/>
        <v>1250.424</v>
      </c>
      <c r="R144" s="101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</row>
    <row r="145" s="31" customFormat="1" spans="1:36">
      <c r="A145" s="55">
        <f>IF(G145&lt;&gt;"",1+MAX($A$3:A144),"")</f>
        <v>116</v>
      </c>
      <c r="B145" s="77"/>
      <c r="C145" s="78"/>
      <c r="D145" s="57" t="s">
        <v>162</v>
      </c>
      <c r="E145" s="75">
        <v>5</v>
      </c>
      <c r="F145" s="58" t="s">
        <v>57</v>
      </c>
      <c r="G145" s="80">
        <v>0</v>
      </c>
      <c r="H145" s="81">
        <f t="shared" si="55"/>
        <v>5</v>
      </c>
      <c r="I145" s="83">
        <v>48</v>
      </c>
      <c r="J145" s="83">
        <f t="shared" si="56"/>
        <v>240</v>
      </c>
      <c r="K145" s="84">
        <v>0.66</v>
      </c>
      <c r="L145" s="85">
        <f t="shared" si="57"/>
        <v>3.3</v>
      </c>
      <c r="M145" s="86">
        <f>'LABOR SHEET'!C$5</f>
        <v>57.65</v>
      </c>
      <c r="N145" s="83">
        <f t="shared" si="58"/>
        <v>38.049</v>
      </c>
      <c r="O145" s="83">
        <f t="shared" si="59"/>
        <v>190.245</v>
      </c>
      <c r="P145" s="83">
        <f t="shared" si="60"/>
        <v>86.049</v>
      </c>
      <c r="Q145" s="114">
        <f t="shared" si="61"/>
        <v>430.245</v>
      </c>
      <c r="R145" s="101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</row>
    <row r="146" s="31" customFormat="1" spans="1:36">
      <c r="A146" s="55">
        <f>IF(G146&lt;&gt;"",1+MAX($A$3:A145),"")</f>
        <v>117</v>
      </c>
      <c r="B146" s="77"/>
      <c r="C146" s="78"/>
      <c r="D146" s="57" t="s">
        <v>163</v>
      </c>
      <c r="E146" s="75">
        <v>6</v>
      </c>
      <c r="F146" s="58" t="s">
        <v>57</v>
      </c>
      <c r="G146" s="80">
        <v>0</v>
      </c>
      <c r="H146" s="81">
        <f t="shared" si="55"/>
        <v>6</v>
      </c>
      <c r="I146" s="83">
        <v>69</v>
      </c>
      <c r="J146" s="83">
        <f t="shared" si="56"/>
        <v>414</v>
      </c>
      <c r="K146" s="84">
        <v>0.69</v>
      </c>
      <c r="L146" s="85">
        <f t="shared" si="57"/>
        <v>4.14</v>
      </c>
      <c r="M146" s="86">
        <f>'LABOR SHEET'!C$5</f>
        <v>57.65</v>
      </c>
      <c r="N146" s="83">
        <f t="shared" si="58"/>
        <v>39.7785</v>
      </c>
      <c r="O146" s="83">
        <f t="shared" si="59"/>
        <v>238.671</v>
      </c>
      <c r="P146" s="83">
        <f t="shared" si="60"/>
        <v>108.7785</v>
      </c>
      <c r="Q146" s="114">
        <f t="shared" si="61"/>
        <v>652.671</v>
      </c>
      <c r="R146" s="101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</row>
    <row r="147" s="31" customFormat="1" spans="1:36">
      <c r="A147" s="55">
        <f>IF(G147&lt;&gt;"",1+MAX($A$3:A146),"")</f>
        <v>118</v>
      </c>
      <c r="B147" s="77"/>
      <c r="C147" s="78"/>
      <c r="D147" s="57" t="s">
        <v>164</v>
      </c>
      <c r="E147" s="75">
        <v>8</v>
      </c>
      <c r="F147" s="58" t="s">
        <v>57</v>
      </c>
      <c r="G147" s="80">
        <v>0</v>
      </c>
      <c r="H147" s="81">
        <f t="shared" si="55"/>
        <v>8</v>
      </c>
      <c r="I147" s="83">
        <v>29.26</v>
      </c>
      <c r="J147" s="83">
        <f t="shared" si="56"/>
        <v>234.08</v>
      </c>
      <c r="K147" s="84">
        <v>0.7</v>
      </c>
      <c r="L147" s="85">
        <f t="shared" si="57"/>
        <v>5.6</v>
      </c>
      <c r="M147" s="86">
        <f>'LABOR SHEET'!C$5</f>
        <v>57.65</v>
      </c>
      <c r="N147" s="83">
        <f t="shared" si="58"/>
        <v>40.355</v>
      </c>
      <c r="O147" s="83">
        <f t="shared" si="59"/>
        <v>322.84</v>
      </c>
      <c r="P147" s="83">
        <f t="shared" si="60"/>
        <v>69.615</v>
      </c>
      <c r="Q147" s="114">
        <f t="shared" si="61"/>
        <v>556.92</v>
      </c>
      <c r="R147" s="101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</row>
    <row r="148" s="31" customFormat="1" spans="1:36">
      <c r="A148" s="55">
        <f>IF(G148&lt;&gt;"",1+MAX($A$3:A147),"")</f>
        <v>119</v>
      </c>
      <c r="B148" s="77"/>
      <c r="C148" s="78"/>
      <c r="D148" s="57" t="s">
        <v>165</v>
      </c>
      <c r="E148" s="75">
        <v>2</v>
      </c>
      <c r="F148" s="58" t="s">
        <v>57</v>
      </c>
      <c r="G148" s="80">
        <v>0</v>
      </c>
      <c r="H148" s="81">
        <f t="shared" si="55"/>
        <v>2</v>
      </c>
      <c r="I148" s="83">
        <v>50.67</v>
      </c>
      <c r="J148" s="83">
        <f t="shared" si="56"/>
        <v>101.34</v>
      </c>
      <c r="K148" s="84">
        <v>0.72</v>
      </c>
      <c r="L148" s="85">
        <f t="shared" si="57"/>
        <v>1.44</v>
      </c>
      <c r="M148" s="86">
        <f>'LABOR SHEET'!C$5</f>
        <v>57.65</v>
      </c>
      <c r="N148" s="83">
        <f t="shared" si="58"/>
        <v>41.508</v>
      </c>
      <c r="O148" s="83">
        <f t="shared" si="59"/>
        <v>83.016</v>
      </c>
      <c r="P148" s="83">
        <f t="shared" si="60"/>
        <v>92.178</v>
      </c>
      <c r="Q148" s="114">
        <f t="shared" si="61"/>
        <v>184.356</v>
      </c>
      <c r="R148" s="101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</row>
    <row r="149" s="31" customFormat="1" spans="1:36">
      <c r="A149" s="55">
        <f>IF(G149&lt;&gt;"",1+MAX($A$3:A148),"")</f>
        <v>120</v>
      </c>
      <c r="B149" s="77"/>
      <c r="C149" s="78"/>
      <c r="D149" s="57" t="s">
        <v>166</v>
      </c>
      <c r="E149" s="75">
        <v>2</v>
      </c>
      <c r="F149" s="58" t="s">
        <v>57</v>
      </c>
      <c r="G149" s="80">
        <v>0</v>
      </c>
      <c r="H149" s="81">
        <f t="shared" si="55"/>
        <v>2</v>
      </c>
      <c r="I149" s="83">
        <v>62.2</v>
      </c>
      <c r="J149" s="83">
        <f t="shared" si="56"/>
        <v>124.4</v>
      </c>
      <c r="K149" s="84">
        <v>0.74</v>
      </c>
      <c r="L149" s="85">
        <f t="shared" si="57"/>
        <v>1.48</v>
      </c>
      <c r="M149" s="86">
        <f>'LABOR SHEET'!C$5</f>
        <v>57.65</v>
      </c>
      <c r="N149" s="83">
        <f t="shared" si="58"/>
        <v>42.661</v>
      </c>
      <c r="O149" s="83">
        <f t="shared" si="59"/>
        <v>85.322</v>
      </c>
      <c r="P149" s="83">
        <f t="shared" si="60"/>
        <v>104.861</v>
      </c>
      <c r="Q149" s="114">
        <f t="shared" si="61"/>
        <v>209.722</v>
      </c>
      <c r="R149" s="101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</row>
    <row r="150" s="31" customFormat="1" spans="1:36">
      <c r="A150" s="55">
        <f>IF(G150&lt;&gt;"",1+MAX($A$3:A149),"")</f>
        <v>121</v>
      </c>
      <c r="B150" s="77"/>
      <c r="C150" s="78"/>
      <c r="D150" s="57" t="s">
        <v>167</v>
      </c>
      <c r="E150" s="75">
        <v>2</v>
      </c>
      <c r="F150" s="58" t="s">
        <v>57</v>
      </c>
      <c r="G150" s="80">
        <v>0</v>
      </c>
      <c r="H150" s="81">
        <f t="shared" si="55"/>
        <v>2</v>
      </c>
      <c r="I150" s="83">
        <v>59.35</v>
      </c>
      <c r="J150" s="83">
        <f t="shared" si="56"/>
        <v>118.7</v>
      </c>
      <c r="K150" s="84">
        <v>0.65</v>
      </c>
      <c r="L150" s="85">
        <f t="shared" si="57"/>
        <v>1.3</v>
      </c>
      <c r="M150" s="86">
        <f>'LABOR SHEET'!C$5</f>
        <v>57.65</v>
      </c>
      <c r="N150" s="83">
        <f t="shared" si="58"/>
        <v>37.4725</v>
      </c>
      <c r="O150" s="83">
        <f t="shared" si="59"/>
        <v>74.945</v>
      </c>
      <c r="P150" s="83">
        <f t="shared" si="60"/>
        <v>96.8225</v>
      </c>
      <c r="Q150" s="114">
        <f t="shared" si="61"/>
        <v>193.645</v>
      </c>
      <c r="R150" s="101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</row>
    <row r="151" s="31" customFormat="1" spans="1:36">
      <c r="A151" s="55">
        <f>IF(G151&lt;&gt;"",1+MAX($A$3:A150),"")</f>
        <v>122</v>
      </c>
      <c r="B151" s="77"/>
      <c r="C151" s="78"/>
      <c r="D151" s="57" t="s">
        <v>168</v>
      </c>
      <c r="E151" s="75">
        <v>1</v>
      </c>
      <c r="F151" s="58" t="s">
        <v>57</v>
      </c>
      <c r="G151" s="80">
        <v>0</v>
      </c>
      <c r="H151" s="81">
        <f t="shared" si="55"/>
        <v>1</v>
      </c>
      <c r="I151" s="83">
        <v>62.5</v>
      </c>
      <c r="J151" s="83">
        <f t="shared" si="56"/>
        <v>62.5</v>
      </c>
      <c r="K151" s="84">
        <v>0.66</v>
      </c>
      <c r="L151" s="85">
        <f t="shared" si="57"/>
        <v>0.66</v>
      </c>
      <c r="M151" s="86">
        <f>'LABOR SHEET'!C$5</f>
        <v>57.65</v>
      </c>
      <c r="N151" s="83">
        <f t="shared" si="58"/>
        <v>38.049</v>
      </c>
      <c r="O151" s="83">
        <f t="shared" si="59"/>
        <v>38.049</v>
      </c>
      <c r="P151" s="83">
        <f t="shared" si="60"/>
        <v>100.549</v>
      </c>
      <c r="Q151" s="114">
        <f t="shared" si="61"/>
        <v>100.549</v>
      </c>
      <c r="R151" s="101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</row>
    <row r="152" s="31" customFormat="1" spans="1:36">
      <c r="A152" s="55" t="str">
        <f>IF(G152&lt;&gt;"",1+MAX($A$3:A151),"")</f>
        <v/>
      </c>
      <c r="B152" s="77"/>
      <c r="C152" s="78"/>
      <c r="D152" s="57"/>
      <c r="E152" s="75"/>
      <c r="F152" s="58"/>
      <c r="G152" s="80"/>
      <c r="H152" s="81"/>
      <c r="I152" s="87"/>
      <c r="J152" s="83"/>
      <c r="K152" s="84"/>
      <c r="L152" s="85"/>
      <c r="M152" s="86"/>
      <c r="N152" s="83"/>
      <c r="O152" s="83"/>
      <c r="P152" s="83"/>
      <c r="Q152" s="114"/>
      <c r="R152" s="101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</row>
    <row r="153" s="31" customFormat="1" ht="18" spans="1:36">
      <c r="A153" s="55" t="str">
        <f>IF(G153&lt;&gt;"",1+MAX($A$3:A152),"")</f>
        <v/>
      </c>
      <c r="B153" s="77"/>
      <c r="C153" s="78"/>
      <c r="D153" s="76" t="s">
        <v>169</v>
      </c>
      <c r="E153" s="75"/>
      <c r="F153" s="58"/>
      <c r="G153" s="80"/>
      <c r="H153" s="81"/>
      <c r="I153" s="87"/>
      <c r="J153" s="83"/>
      <c r="K153" s="84"/>
      <c r="L153" s="85"/>
      <c r="M153" s="86"/>
      <c r="N153" s="83"/>
      <c r="O153" s="83"/>
      <c r="P153" s="83"/>
      <c r="Q153" s="114"/>
      <c r="R153" s="101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</row>
    <row r="154" s="31" customFormat="1" spans="1:36">
      <c r="A154" s="55" t="str">
        <f>IF(G154&lt;&gt;"",1+MAX($A$3:A153),"")</f>
        <v/>
      </c>
      <c r="B154" s="77"/>
      <c r="C154" s="78"/>
      <c r="D154" s="79" t="s">
        <v>336</v>
      </c>
      <c r="E154" s="75"/>
      <c r="F154" s="58"/>
      <c r="G154" s="80"/>
      <c r="H154" s="81"/>
      <c r="I154" s="87"/>
      <c r="J154" s="83"/>
      <c r="K154" s="84"/>
      <c r="L154" s="85"/>
      <c r="M154" s="86"/>
      <c r="N154" s="83"/>
      <c r="O154" s="83"/>
      <c r="P154" s="83"/>
      <c r="Q154" s="114"/>
      <c r="R154" s="101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</row>
    <row r="155" s="31" customFormat="1" spans="1:36">
      <c r="A155" s="55">
        <f>IF(G155&lt;&gt;"",1+MAX($A$3:A154),"")</f>
        <v>123</v>
      </c>
      <c r="B155" s="77"/>
      <c r="C155" s="78"/>
      <c r="D155" s="57" t="s">
        <v>171</v>
      </c>
      <c r="E155" s="75">
        <v>35</v>
      </c>
      <c r="F155" s="58" t="s">
        <v>47</v>
      </c>
      <c r="G155" s="80">
        <v>0.05</v>
      </c>
      <c r="H155" s="81">
        <f t="shared" ref="H155:H170" si="62">E155*(1+G155)</f>
        <v>36.75</v>
      </c>
      <c r="I155" s="83">
        <f>0.3+(2.6)</f>
        <v>2.9</v>
      </c>
      <c r="J155" s="83">
        <f t="shared" ref="J155:J170" si="63">I155*H155</f>
        <v>106.575</v>
      </c>
      <c r="K155" s="84">
        <f>0.045+0.026</f>
        <v>0.071</v>
      </c>
      <c r="L155" s="85">
        <f t="shared" ref="L155:L170" si="64">+K155*H155</f>
        <v>2.60925</v>
      </c>
      <c r="M155" s="86">
        <f>'LABOR SHEET'!C$5</f>
        <v>57.65</v>
      </c>
      <c r="N155" s="83">
        <f t="shared" ref="N155:N170" si="65">K155*M155</f>
        <v>4.09315</v>
      </c>
      <c r="O155" s="83">
        <f t="shared" ref="O155:O170" si="66">M155*L155</f>
        <v>150.4232625</v>
      </c>
      <c r="P155" s="83">
        <f t="shared" ref="P155:P170" si="67">I155+N155</f>
        <v>6.99315</v>
      </c>
      <c r="Q155" s="114">
        <f t="shared" ref="Q155:Q170" si="68">P155*H155</f>
        <v>256.9982625</v>
      </c>
      <c r="R155" s="101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</row>
    <row r="156" s="31" customFormat="1" spans="1:36">
      <c r="A156" s="55">
        <f>IF(G156&lt;&gt;"",1+MAX($A$3:A155),"")</f>
        <v>124</v>
      </c>
      <c r="B156" s="77"/>
      <c r="C156" s="78"/>
      <c r="D156" s="57" t="s">
        <v>172</v>
      </c>
      <c r="E156" s="75">
        <v>205</v>
      </c>
      <c r="F156" s="58" t="s">
        <v>47</v>
      </c>
      <c r="G156" s="80">
        <v>0.05</v>
      </c>
      <c r="H156" s="81">
        <f t="shared" si="62"/>
        <v>215.25</v>
      </c>
      <c r="I156" s="83">
        <f>(0.3/0.375*0.5)+(2.6)</f>
        <v>3</v>
      </c>
      <c r="J156" s="83">
        <f t="shared" si="63"/>
        <v>645.75</v>
      </c>
      <c r="K156" s="84">
        <v>0.081</v>
      </c>
      <c r="L156" s="85">
        <f t="shared" si="64"/>
        <v>17.43525</v>
      </c>
      <c r="M156" s="86">
        <f>'LABOR SHEET'!C$5</f>
        <v>57.65</v>
      </c>
      <c r="N156" s="83">
        <f t="shared" si="65"/>
        <v>4.66965</v>
      </c>
      <c r="O156" s="83">
        <f t="shared" si="66"/>
        <v>1005.1421625</v>
      </c>
      <c r="P156" s="83">
        <f t="shared" si="67"/>
        <v>7.66965</v>
      </c>
      <c r="Q156" s="114">
        <f t="shared" si="68"/>
        <v>1650.8921625</v>
      </c>
      <c r="R156" s="101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</row>
    <row r="157" s="31" customFormat="1" spans="1:36">
      <c r="A157" s="55">
        <f>IF(G157&lt;&gt;"",1+MAX($A$3:A156),"")</f>
        <v>125</v>
      </c>
      <c r="B157" s="77"/>
      <c r="C157" s="78"/>
      <c r="D157" s="57" t="s">
        <v>173</v>
      </c>
      <c r="E157" s="75">
        <v>397.54</v>
      </c>
      <c r="F157" s="58" t="s">
        <v>47</v>
      </c>
      <c r="G157" s="80">
        <v>0.05</v>
      </c>
      <c r="H157" s="81">
        <f t="shared" si="62"/>
        <v>417.417</v>
      </c>
      <c r="I157" s="83">
        <f>0.52+(2.6)</f>
        <v>3.12</v>
      </c>
      <c r="J157" s="83">
        <f t="shared" si="63"/>
        <v>1302.34104</v>
      </c>
      <c r="K157" s="84">
        <v>0.091</v>
      </c>
      <c r="L157" s="85">
        <f t="shared" si="64"/>
        <v>37.984947</v>
      </c>
      <c r="M157" s="86">
        <f>'LABOR SHEET'!C$5</f>
        <v>57.65</v>
      </c>
      <c r="N157" s="83">
        <f t="shared" si="65"/>
        <v>5.24615</v>
      </c>
      <c r="O157" s="83">
        <f t="shared" si="66"/>
        <v>2189.83219455</v>
      </c>
      <c r="P157" s="83">
        <f t="shared" si="67"/>
        <v>8.36615</v>
      </c>
      <c r="Q157" s="114">
        <f t="shared" si="68"/>
        <v>3492.17323455</v>
      </c>
      <c r="R157" s="101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</row>
    <row r="158" s="31" customFormat="1" spans="1:36">
      <c r="A158" s="55">
        <f>IF(G158&lt;&gt;"",1+MAX($A$3:A157),"")</f>
        <v>126</v>
      </c>
      <c r="B158" s="77"/>
      <c r="C158" s="78"/>
      <c r="D158" s="57" t="s">
        <v>174</v>
      </c>
      <c r="E158" s="75">
        <v>149.84</v>
      </c>
      <c r="F158" s="58" t="s">
        <v>47</v>
      </c>
      <c r="G158" s="80">
        <v>0.05</v>
      </c>
      <c r="H158" s="81">
        <f t="shared" si="62"/>
        <v>157.332</v>
      </c>
      <c r="I158" s="83">
        <f>0.65+(2.6)</f>
        <v>3.25</v>
      </c>
      <c r="J158" s="83">
        <f t="shared" si="63"/>
        <v>511.329</v>
      </c>
      <c r="K158" s="84">
        <v>0.101</v>
      </c>
      <c r="L158" s="85">
        <f t="shared" si="64"/>
        <v>15.890532</v>
      </c>
      <c r="M158" s="86">
        <f>'LABOR SHEET'!C$5</f>
        <v>57.65</v>
      </c>
      <c r="N158" s="83">
        <f t="shared" si="65"/>
        <v>5.82265</v>
      </c>
      <c r="O158" s="83">
        <f t="shared" si="66"/>
        <v>916.0891698</v>
      </c>
      <c r="P158" s="83">
        <f t="shared" si="67"/>
        <v>9.07265</v>
      </c>
      <c r="Q158" s="114">
        <f t="shared" si="68"/>
        <v>1427.4181698</v>
      </c>
      <c r="R158" s="101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</row>
    <row r="159" s="31" customFormat="1" spans="1:36">
      <c r="A159" s="55">
        <f>IF(G159&lt;&gt;"",1+MAX($A$3:A158),"")</f>
        <v>127</v>
      </c>
      <c r="B159" s="77"/>
      <c r="C159" s="78"/>
      <c r="D159" s="57" t="s">
        <v>175</v>
      </c>
      <c r="E159" s="75">
        <v>71.84</v>
      </c>
      <c r="F159" s="58" t="s">
        <v>47</v>
      </c>
      <c r="G159" s="80">
        <v>0.05</v>
      </c>
      <c r="H159" s="81">
        <f t="shared" si="62"/>
        <v>75.432</v>
      </c>
      <c r="I159" s="83">
        <f>0.8+(2.6)</f>
        <v>3.4</v>
      </c>
      <c r="J159" s="83">
        <f t="shared" si="63"/>
        <v>256.4688</v>
      </c>
      <c r="K159" s="84">
        <v>0.111</v>
      </c>
      <c r="L159" s="85">
        <f t="shared" si="64"/>
        <v>8.372952</v>
      </c>
      <c r="M159" s="86">
        <f>'LABOR SHEET'!C$5</f>
        <v>57.65</v>
      </c>
      <c r="N159" s="83">
        <f t="shared" si="65"/>
        <v>6.39915</v>
      </c>
      <c r="O159" s="83">
        <f t="shared" si="66"/>
        <v>482.7006828</v>
      </c>
      <c r="P159" s="83">
        <f t="shared" si="67"/>
        <v>9.79915</v>
      </c>
      <c r="Q159" s="114">
        <f t="shared" si="68"/>
        <v>739.1694828</v>
      </c>
      <c r="R159" s="101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</row>
    <row r="160" s="31" customFormat="1" spans="1:36">
      <c r="A160" s="55">
        <f>IF(G160&lt;&gt;"",1+MAX($A$3:A159),"")</f>
        <v>128</v>
      </c>
      <c r="B160" s="77"/>
      <c r="C160" s="78"/>
      <c r="D160" s="57" t="s">
        <v>176</v>
      </c>
      <c r="E160" s="75">
        <v>306.12</v>
      </c>
      <c r="F160" s="58" t="s">
        <v>47</v>
      </c>
      <c r="G160" s="80">
        <v>0.05</v>
      </c>
      <c r="H160" s="81">
        <f t="shared" si="62"/>
        <v>321.426</v>
      </c>
      <c r="I160" s="83">
        <f>0.9+(2.6)</f>
        <v>3.5</v>
      </c>
      <c r="J160" s="83">
        <f t="shared" si="63"/>
        <v>1124.991</v>
      </c>
      <c r="K160" s="84">
        <v>0.121</v>
      </c>
      <c r="L160" s="85">
        <f t="shared" si="64"/>
        <v>38.892546</v>
      </c>
      <c r="M160" s="86">
        <f>'LABOR SHEET'!C$5</f>
        <v>57.65</v>
      </c>
      <c r="N160" s="83">
        <f t="shared" si="65"/>
        <v>6.97565</v>
      </c>
      <c r="O160" s="83">
        <f t="shared" si="66"/>
        <v>2242.1552769</v>
      </c>
      <c r="P160" s="83">
        <f t="shared" si="67"/>
        <v>10.47565</v>
      </c>
      <c r="Q160" s="114">
        <f t="shared" si="68"/>
        <v>3367.1462769</v>
      </c>
      <c r="R160" s="101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</row>
    <row r="161" s="31" customFormat="1" spans="1:36">
      <c r="A161" s="55">
        <f>IF(G161&lt;&gt;"",1+MAX($A$3:A160),"")</f>
        <v>129</v>
      </c>
      <c r="B161" s="77"/>
      <c r="C161" s="78"/>
      <c r="D161" s="57" t="s">
        <v>177</v>
      </c>
      <c r="E161" s="75">
        <v>51</v>
      </c>
      <c r="F161" s="58" t="s">
        <v>47</v>
      </c>
      <c r="G161" s="80">
        <v>0.05</v>
      </c>
      <c r="H161" s="81">
        <f t="shared" si="62"/>
        <v>53.55</v>
      </c>
      <c r="I161" s="83">
        <f>1.2+(2.6)</f>
        <v>3.8</v>
      </c>
      <c r="J161" s="83">
        <f t="shared" si="63"/>
        <v>203.49</v>
      </c>
      <c r="K161" s="84">
        <v>0.132</v>
      </c>
      <c r="L161" s="85">
        <f t="shared" si="64"/>
        <v>7.0686</v>
      </c>
      <c r="M161" s="86">
        <f>'LABOR SHEET'!C$5</f>
        <v>57.65</v>
      </c>
      <c r="N161" s="83">
        <f t="shared" si="65"/>
        <v>7.6098</v>
      </c>
      <c r="O161" s="83">
        <f t="shared" si="66"/>
        <v>407.50479</v>
      </c>
      <c r="P161" s="83">
        <f t="shared" si="67"/>
        <v>11.4098</v>
      </c>
      <c r="Q161" s="114">
        <f t="shared" si="68"/>
        <v>610.99479</v>
      </c>
      <c r="R161" s="101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</row>
    <row r="162" s="31" customFormat="1" spans="1:36">
      <c r="A162" s="55">
        <f>IF(G162&lt;&gt;"",1+MAX($A$3:A161),"")</f>
        <v>130</v>
      </c>
      <c r="B162" s="77"/>
      <c r="C162" s="78"/>
      <c r="D162" s="57" t="s">
        <v>178</v>
      </c>
      <c r="E162" s="75">
        <v>232.23</v>
      </c>
      <c r="F162" s="58" t="s">
        <v>47</v>
      </c>
      <c r="G162" s="80">
        <v>0.05</v>
      </c>
      <c r="H162" s="81">
        <f t="shared" si="62"/>
        <v>243.8415</v>
      </c>
      <c r="I162" s="83">
        <f>1.3+(2.6)</f>
        <v>3.9</v>
      </c>
      <c r="J162" s="83">
        <f t="shared" si="63"/>
        <v>950.98185</v>
      </c>
      <c r="K162" s="84">
        <v>0.136</v>
      </c>
      <c r="L162" s="85">
        <f t="shared" si="64"/>
        <v>33.162444</v>
      </c>
      <c r="M162" s="86">
        <f>'LABOR SHEET'!C$5</f>
        <v>57.65</v>
      </c>
      <c r="N162" s="83">
        <f t="shared" si="65"/>
        <v>7.8404</v>
      </c>
      <c r="O162" s="83">
        <f t="shared" si="66"/>
        <v>1911.8148966</v>
      </c>
      <c r="P162" s="83">
        <f t="shared" si="67"/>
        <v>11.7404</v>
      </c>
      <c r="Q162" s="114">
        <f t="shared" si="68"/>
        <v>2862.7967466</v>
      </c>
      <c r="R162" s="101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</row>
    <row r="163" s="31" customFormat="1" spans="1:36">
      <c r="A163" s="55">
        <f>IF(G163&lt;&gt;"",1+MAX($A$3:A162),"")</f>
        <v>131</v>
      </c>
      <c r="B163" s="77"/>
      <c r="C163" s="78"/>
      <c r="D163" s="57" t="s">
        <v>179</v>
      </c>
      <c r="E163" s="75">
        <v>441.96</v>
      </c>
      <c r="F163" s="58" t="s">
        <v>47</v>
      </c>
      <c r="G163" s="80">
        <v>0.05</v>
      </c>
      <c r="H163" s="81">
        <f t="shared" si="62"/>
        <v>464.058</v>
      </c>
      <c r="I163" s="83">
        <f>(0.3/0.375*0.5)+(2.6)</f>
        <v>3</v>
      </c>
      <c r="J163" s="83">
        <f t="shared" si="63"/>
        <v>1392.174</v>
      </c>
      <c r="K163" s="84">
        <v>0.081</v>
      </c>
      <c r="L163" s="85">
        <f t="shared" si="64"/>
        <v>37.588698</v>
      </c>
      <c r="M163" s="86">
        <f>'LABOR SHEET'!C$5</f>
        <v>57.65</v>
      </c>
      <c r="N163" s="83">
        <f t="shared" si="65"/>
        <v>4.66965</v>
      </c>
      <c r="O163" s="83">
        <f t="shared" si="66"/>
        <v>2166.9884397</v>
      </c>
      <c r="P163" s="83">
        <f t="shared" si="67"/>
        <v>7.66965</v>
      </c>
      <c r="Q163" s="114">
        <f t="shared" si="68"/>
        <v>3559.1624397</v>
      </c>
      <c r="R163" s="101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</row>
    <row r="164" s="31" customFormat="1" spans="1:36">
      <c r="A164" s="55">
        <f>IF(G164&lt;&gt;"",1+MAX($A$3:A163),"")</f>
        <v>132</v>
      </c>
      <c r="B164" s="77"/>
      <c r="C164" s="78"/>
      <c r="D164" s="57" t="s">
        <v>180</v>
      </c>
      <c r="E164" s="75">
        <v>30</v>
      </c>
      <c r="F164" s="58" t="s">
        <v>47</v>
      </c>
      <c r="G164" s="80">
        <v>0.05</v>
      </c>
      <c r="H164" s="81">
        <f t="shared" si="62"/>
        <v>31.5</v>
      </c>
      <c r="I164" s="83">
        <f>0.3+(2.6)</f>
        <v>2.9</v>
      </c>
      <c r="J164" s="83">
        <f t="shared" si="63"/>
        <v>91.35</v>
      </c>
      <c r="K164" s="84">
        <v>0.071</v>
      </c>
      <c r="L164" s="85">
        <f t="shared" si="64"/>
        <v>2.2365</v>
      </c>
      <c r="M164" s="86">
        <f>'LABOR SHEET'!C$5</f>
        <v>57.65</v>
      </c>
      <c r="N164" s="83">
        <f t="shared" si="65"/>
        <v>4.09315</v>
      </c>
      <c r="O164" s="83">
        <f t="shared" si="66"/>
        <v>128.934225</v>
      </c>
      <c r="P164" s="83">
        <f t="shared" si="67"/>
        <v>6.99315</v>
      </c>
      <c r="Q164" s="114">
        <f t="shared" si="68"/>
        <v>220.284225</v>
      </c>
      <c r="R164" s="101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</row>
    <row r="165" s="31" customFormat="1" spans="1:36">
      <c r="A165" s="55">
        <f>IF(G165&lt;&gt;"",1+MAX($A$3:A164),"")</f>
        <v>133</v>
      </c>
      <c r="B165" s="77"/>
      <c r="C165" s="78"/>
      <c r="D165" s="57" t="s">
        <v>181</v>
      </c>
      <c r="E165" s="75">
        <v>50</v>
      </c>
      <c r="F165" s="58" t="s">
        <v>47</v>
      </c>
      <c r="G165" s="80">
        <v>0.05</v>
      </c>
      <c r="H165" s="81">
        <f t="shared" si="62"/>
        <v>52.5</v>
      </c>
      <c r="I165" s="83">
        <f>(0.3/0.375*0.5)+(2.6)</f>
        <v>3</v>
      </c>
      <c r="J165" s="83">
        <f t="shared" si="63"/>
        <v>157.5</v>
      </c>
      <c r="K165" s="84">
        <v>0.081</v>
      </c>
      <c r="L165" s="85">
        <f t="shared" si="64"/>
        <v>4.2525</v>
      </c>
      <c r="M165" s="86">
        <f>'LABOR SHEET'!C$5</f>
        <v>57.65</v>
      </c>
      <c r="N165" s="83">
        <f t="shared" si="65"/>
        <v>4.66965</v>
      </c>
      <c r="O165" s="83">
        <f t="shared" si="66"/>
        <v>245.156625</v>
      </c>
      <c r="P165" s="83">
        <f t="shared" si="67"/>
        <v>7.66965</v>
      </c>
      <c r="Q165" s="114">
        <f t="shared" si="68"/>
        <v>402.656625</v>
      </c>
      <c r="R165" s="101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</row>
    <row r="166" s="31" customFormat="1" spans="1:36">
      <c r="A166" s="55">
        <f>IF(G166&lt;&gt;"",1+MAX($A$3:A165),"")</f>
        <v>134</v>
      </c>
      <c r="B166" s="77"/>
      <c r="C166" s="78"/>
      <c r="D166" s="57" t="s">
        <v>182</v>
      </c>
      <c r="E166" s="75">
        <v>215.27</v>
      </c>
      <c r="F166" s="58" t="s">
        <v>47</v>
      </c>
      <c r="G166" s="80">
        <v>0.05</v>
      </c>
      <c r="H166" s="81">
        <f t="shared" si="62"/>
        <v>226.0335</v>
      </c>
      <c r="I166" s="83">
        <f>0.52+(2.6)</f>
        <v>3.12</v>
      </c>
      <c r="J166" s="83">
        <f t="shared" si="63"/>
        <v>705.22452</v>
      </c>
      <c r="K166" s="84">
        <v>0.091</v>
      </c>
      <c r="L166" s="85">
        <f t="shared" si="64"/>
        <v>20.5690485</v>
      </c>
      <c r="M166" s="86">
        <f>'LABOR SHEET'!C$5</f>
        <v>57.65</v>
      </c>
      <c r="N166" s="83">
        <f t="shared" si="65"/>
        <v>5.24615</v>
      </c>
      <c r="O166" s="83">
        <f t="shared" si="66"/>
        <v>1185.805646025</v>
      </c>
      <c r="P166" s="83">
        <f t="shared" si="67"/>
        <v>8.36615</v>
      </c>
      <c r="Q166" s="114">
        <f t="shared" si="68"/>
        <v>1891.030166025</v>
      </c>
      <c r="R166" s="101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</row>
    <row r="167" s="31" customFormat="1" spans="1:36">
      <c r="A167" s="55">
        <f>IF(G167&lt;&gt;"",1+MAX($A$3:A166),"")</f>
        <v>135</v>
      </c>
      <c r="B167" s="77"/>
      <c r="C167" s="78"/>
      <c r="D167" s="57" t="s">
        <v>183</v>
      </c>
      <c r="E167" s="75">
        <v>116.08</v>
      </c>
      <c r="F167" s="58" t="s">
        <v>47</v>
      </c>
      <c r="G167" s="80">
        <v>0.05</v>
      </c>
      <c r="H167" s="81">
        <f t="shared" si="62"/>
        <v>121.884</v>
      </c>
      <c r="I167" s="83">
        <f>0.65+(2.6)</f>
        <v>3.25</v>
      </c>
      <c r="J167" s="83">
        <f t="shared" si="63"/>
        <v>396.123</v>
      </c>
      <c r="K167" s="84">
        <v>0.101</v>
      </c>
      <c r="L167" s="85">
        <f t="shared" si="64"/>
        <v>12.310284</v>
      </c>
      <c r="M167" s="86">
        <f>'LABOR SHEET'!C$5</f>
        <v>57.65</v>
      </c>
      <c r="N167" s="83">
        <f t="shared" si="65"/>
        <v>5.82265</v>
      </c>
      <c r="O167" s="83">
        <f t="shared" si="66"/>
        <v>709.6878726</v>
      </c>
      <c r="P167" s="83">
        <f t="shared" si="67"/>
        <v>9.07265</v>
      </c>
      <c r="Q167" s="114">
        <f t="shared" si="68"/>
        <v>1105.8108726</v>
      </c>
      <c r="R167" s="101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</row>
    <row r="168" s="31" customFormat="1" spans="1:36">
      <c r="A168" s="55">
        <f>IF(G168&lt;&gt;"",1+MAX($A$3:A167),"")</f>
        <v>136</v>
      </c>
      <c r="B168" s="77"/>
      <c r="C168" s="78"/>
      <c r="D168" s="57" t="s">
        <v>184</v>
      </c>
      <c r="E168" s="75">
        <v>232.98</v>
      </c>
      <c r="F168" s="58" t="s">
        <v>47</v>
      </c>
      <c r="G168" s="80">
        <v>0.05</v>
      </c>
      <c r="H168" s="81">
        <f t="shared" si="62"/>
        <v>244.629</v>
      </c>
      <c r="I168" s="83">
        <f>0.8+(2.6)</f>
        <v>3.4</v>
      </c>
      <c r="J168" s="83">
        <f t="shared" si="63"/>
        <v>831.7386</v>
      </c>
      <c r="K168" s="84">
        <v>0.111</v>
      </c>
      <c r="L168" s="85">
        <f t="shared" si="64"/>
        <v>27.153819</v>
      </c>
      <c r="M168" s="86">
        <f>'LABOR SHEET'!C$5</f>
        <v>57.65</v>
      </c>
      <c r="N168" s="83">
        <f t="shared" si="65"/>
        <v>6.39915</v>
      </c>
      <c r="O168" s="83">
        <f t="shared" si="66"/>
        <v>1565.41766535</v>
      </c>
      <c r="P168" s="83">
        <f t="shared" si="67"/>
        <v>9.79915</v>
      </c>
      <c r="Q168" s="114">
        <f t="shared" si="68"/>
        <v>2397.15626535</v>
      </c>
      <c r="R168" s="101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</row>
    <row r="169" s="31" customFormat="1" spans="1:36">
      <c r="A169" s="55">
        <f>IF(G169&lt;&gt;"",1+MAX($A$3:A168),"")</f>
        <v>137</v>
      </c>
      <c r="B169" s="77"/>
      <c r="C169" s="78"/>
      <c r="D169" s="57" t="s">
        <v>185</v>
      </c>
      <c r="E169" s="75">
        <v>167.74</v>
      </c>
      <c r="F169" s="58" t="s">
        <v>47</v>
      </c>
      <c r="G169" s="80">
        <v>0.05</v>
      </c>
      <c r="H169" s="81">
        <f t="shared" si="62"/>
        <v>176.127</v>
      </c>
      <c r="I169" s="83">
        <f>0.9+(2.6)</f>
        <v>3.5</v>
      </c>
      <c r="J169" s="83">
        <f t="shared" si="63"/>
        <v>616.4445</v>
      </c>
      <c r="K169" s="84">
        <v>0.121</v>
      </c>
      <c r="L169" s="85">
        <f t="shared" si="64"/>
        <v>21.311367</v>
      </c>
      <c r="M169" s="86">
        <f>'LABOR SHEET'!C$5</f>
        <v>57.65</v>
      </c>
      <c r="N169" s="83">
        <f t="shared" si="65"/>
        <v>6.97565</v>
      </c>
      <c r="O169" s="83">
        <f t="shared" si="66"/>
        <v>1228.60030755</v>
      </c>
      <c r="P169" s="83">
        <f t="shared" si="67"/>
        <v>10.47565</v>
      </c>
      <c r="Q169" s="114">
        <f t="shared" si="68"/>
        <v>1845.04480755</v>
      </c>
      <c r="R169" s="101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</row>
    <row r="170" s="31" customFormat="1" spans="1:36">
      <c r="A170" s="55">
        <f>IF(G170&lt;&gt;"",1+MAX($A$3:A169),"")</f>
        <v>138</v>
      </c>
      <c r="B170" s="77"/>
      <c r="C170" s="78"/>
      <c r="D170" s="57" t="s">
        <v>186</v>
      </c>
      <c r="E170" s="75">
        <v>105</v>
      </c>
      <c r="F170" s="58" t="s">
        <v>47</v>
      </c>
      <c r="G170" s="80">
        <v>0.05</v>
      </c>
      <c r="H170" s="81">
        <f t="shared" si="62"/>
        <v>110.25</v>
      </c>
      <c r="I170" s="83">
        <f>(0.3/0.375*0.5)+(2.6)</f>
        <v>3</v>
      </c>
      <c r="J170" s="83">
        <f t="shared" si="63"/>
        <v>330.75</v>
      </c>
      <c r="K170" s="84">
        <v>0.081</v>
      </c>
      <c r="L170" s="85">
        <f t="shared" si="64"/>
        <v>8.93025</v>
      </c>
      <c r="M170" s="86">
        <f>'LABOR SHEET'!C$5</f>
        <v>57.65</v>
      </c>
      <c r="N170" s="83">
        <f t="shared" si="65"/>
        <v>4.66965</v>
      </c>
      <c r="O170" s="83">
        <f t="shared" si="66"/>
        <v>514.8289125</v>
      </c>
      <c r="P170" s="83">
        <f t="shared" si="67"/>
        <v>7.66965</v>
      </c>
      <c r="Q170" s="114">
        <f t="shared" si="68"/>
        <v>845.5789125</v>
      </c>
      <c r="R170" s="101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</row>
    <row r="171" s="31" customFormat="1" spans="1:36">
      <c r="A171" s="55" t="str">
        <f>IF(G171&lt;&gt;"",1+MAX($A$3:A170),"")</f>
        <v/>
      </c>
      <c r="B171" s="77"/>
      <c r="C171" s="78"/>
      <c r="D171" s="57"/>
      <c r="E171" s="75"/>
      <c r="F171" s="58"/>
      <c r="G171" s="80"/>
      <c r="H171" s="81"/>
      <c r="I171" s="87"/>
      <c r="J171" s="83"/>
      <c r="K171" s="84"/>
      <c r="L171" s="85"/>
      <c r="M171" s="86"/>
      <c r="N171" s="83"/>
      <c r="O171" s="83"/>
      <c r="P171" s="83"/>
      <c r="Q171" s="114"/>
      <c r="R171" s="101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</row>
    <row r="172" s="31" customFormat="1" spans="1:36">
      <c r="A172" s="55" t="str">
        <f>IF(G172&lt;&gt;"",1+MAX($A$3:A171),"")</f>
        <v/>
      </c>
      <c r="B172" s="77"/>
      <c r="C172" s="78"/>
      <c r="D172" s="79" t="s">
        <v>187</v>
      </c>
      <c r="E172" s="75"/>
      <c r="F172" s="58"/>
      <c r="G172" s="80"/>
      <c r="H172" s="81"/>
      <c r="I172" s="87"/>
      <c r="J172" s="83"/>
      <c r="K172" s="84"/>
      <c r="L172" s="85"/>
      <c r="M172" s="86"/>
      <c r="N172" s="83"/>
      <c r="O172" s="83"/>
      <c r="P172" s="83"/>
      <c r="Q172" s="114"/>
      <c r="R172" s="101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</row>
    <row r="173" s="31" customFormat="1" spans="1:36">
      <c r="A173" s="55">
        <f>IF(G173&lt;&gt;"",1+MAX($A$3:A172),"")</f>
        <v>139</v>
      </c>
      <c r="B173" s="77"/>
      <c r="C173" s="78"/>
      <c r="D173" s="57" t="s">
        <v>171</v>
      </c>
      <c r="E173" s="75">
        <v>35</v>
      </c>
      <c r="F173" s="58" t="s">
        <v>47</v>
      </c>
      <c r="G173" s="80">
        <v>0.05</v>
      </c>
      <c r="H173" s="81">
        <f t="shared" ref="H173:H178" si="69">E173*(1+G173)</f>
        <v>36.75</v>
      </c>
      <c r="I173" s="83">
        <f>0.3+(2.6)</f>
        <v>2.9</v>
      </c>
      <c r="J173" s="83">
        <f t="shared" ref="J173:J178" si="70">I173*H173</f>
        <v>106.575</v>
      </c>
      <c r="K173" s="84">
        <f>0.045+0.026</f>
        <v>0.071</v>
      </c>
      <c r="L173" s="85">
        <f t="shared" ref="L173:L178" si="71">+K173*H173</f>
        <v>2.60925</v>
      </c>
      <c r="M173" s="86">
        <f>'LABOR SHEET'!C$5</f>
        <v>57.65</v>
      </c>
      <c r="N173" s="83">
        <f t="shared" ref="N173:N178" si="72">K173*M173</f>
        <v>4.09315</v>
      </c>
      <c r="O173" s="83">
        <f t="shared" ref="O173:O178" si="73">M173*L173</f>
        <v>150.4232625</v>
      </c>
      <c r="P173" s="83">
        <f t="shared" ref="P173:P178" si="74">I173+N173</f>
        <v>6.99315</v>
      </c>
      <c r="Q173" s="114">
        <f t="shared" ref="Q173:Q178" si="75">P173*H173</f>
        <v>256.9982625</v>
      </c>
      <c r="R173" s="101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</row>
    <row r="174" s="31" customFormat="1" spans="1:36">
      <c r="A174" s="55">
        <f>IF(G174&lt;&gt;"",1+MAX($A$3:A173),"")</f>
        <v>140</v>
      </c>
      <c r="B174" s="77"/>
      <c r="C174" s="78"/>
      <c r="D174" s="57" t="s">
        <v>172</v>
      </c>
      <c r="E174" s="75">
        <v>205</v>
      </c>
      <c r="F174" s="58" t="s">
        <v>47</v>
      </c>
      <c r="G174" s="80">
        <v>0.05</v>
      </c>
      <c r="H174" s="81">
        <f t="shared" si="69"/>
        <v>215.25</v>
      </c>
      <c r="I174" s="83">
        <f>(0.3/0.375*0.5)+(2.6)</f>
        <v>3</v>
      </c>
      <c r="J174" s="83">
        <f t="shared" si="70"/>
        <v>645.75</v>
      </c>
      <c r="K174" s="84">
        <v>0.081</v>
      </c>
      <c r="L174" s="85">
        <f t="shared" si="71"/>
        <v>17.43525</v>
      </c>
      <c r="M174" s="86">
        <f>'LABOR SHEET'!C$5</f>
        <v>57.65</v>
      </c>
      <c r="N174" s="83">
        <f t="shared" si="72"/>
        <v>4.66965</v>
      </c>
      <c r="O174" s="83">
        <f t="shared" si="73"/>
        <v>1005.1421625</v>
      </c>
      <c r="P174" s="83">
        <f t="shared" si="74"/>
        <v>7.66965</v>
      </c>
      <c r="Q174" s="114">
        <f t="shared" si="75"/>
        <v>1650.8921625</v>
      </c>
      <c r="R174" s="101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</row>
    <row r="175" s="31" customFormat="1" spans="1:36">
      <c r="A175" s="55">
        <f>IF(G175&lt;&gt;"",1+MAX($A$3:A174),"")</f>
        <v>141</v>
      </c>
      <c r="B175" s="77"/>
      <c r="C175" s="78"/>
      <c r="D175" s="57" t="s">
        <v>173</v>
      </c>
      <c r="E175" s="75">
        <v>397.54</v>
      </c>
      <c r="F175" s="58" t="s">
        <v>47</v>
      </c>
      <c r="G175" s="80">
        <v>0.05</v>
      </c>
      <c r="H175" s="81">
        <f t="shared" si="69"/>
        <v>417.417</v>
      </c>
      <c r="I175" s="83">
        <f>0.52+(2.6)</f>
        <v>3.12</v>
      </c>
      <c r="J175" s="83">
        <f t="shared" si="70"/>
        <v>1302.34104</v>
      </c>
      <c r="K175" s="84">
        <v>0.091</v>
      </c>
      <c r="L175" s="85">
        <f t="shared" si="71"/>
        <v>37.984947</v>
      </c>
      <c r="M175" s="86">
        <f>'LABOR SHEET'!C$5</f>
        <v>57.65</v>
      </c>
      <c r="N175" s="83">
        <f t="shared" si="72"/>
        <v>5.24615</v>
      </c>
      <c r="O175" s="83">
        <f t="shared" si="73"/>
        <v>2189.83219455</v>
      </c>
      <c r="P175" s="83">
        <f t="shared" si="74"/>
        <v>8.36615</v>
      </c>
      <c r="Q175" s="114">
        <f t="shared" si="75"/>
        <v>3492.17323455</v>
      </c>
      <c r="R175" s="101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</row>
    <row r="176" s="31" customFormat="1" spans="1:36">
      <c r="A176" s="55">
        <f>IF(G176&lt;&gt;"",1+MAX($A$3:A175),"")</f>
        <v>142</v>
      </c>
      <c r="B176" s="77"/>
      <c r="C176" s="78"/>
      <c r="D176" s="57" t="s">
        <v>174</v>
      </c>
      <c r="E176" s="75">
        <v>149.84</v>
      </c>
      <c r="F176" s="58" t="s">
        <v>47</v>
      </c>
      <c r="G176" s="80">
        <v>0.05</v>
      </c>
      <c r="H176" s="81">
        <f t="shared" si="69"/>
        <v>157.332</v>
      </c>
      <c r="I176" s="83">
        <f>0.65+(2.6)</f>
        <v>3.25</v>
      </c>
      <c r="J176" s="83">
        <f t="shared" si="70"/>
        <v>511.329</v>
      </c>
      <c r="K176" s="84">
        <v>0.101</v>
      </c>
      <c r="L176" s="85">
        <f t="shared" si="71"/>
        <v>15.890532</v>
      </c>
      <c r="M176" s="86">
        <f>'LABOR SHEET'!C$5</f>
        <v>57.65</v>
      </c>
      <c r="N176" s="83">
        <f t="shared" si="72"/>
        <v>5.82265</v>
      </c>
      <c r="O176" s="83">
        <f t="shared" si="73"/>
        <v>916.0891698</v>
      </c>
      <c r="P176" s="83">
        <f t="shared" si="74"/>
        <v>9.07265</v>
      </c>
      <c r="Q176" s="114">
        <f t="shared" si="75"/>
        <v>1427.4181698</v>
      </c>
      <c r="R176" s="101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</row>
    <row r="177" s="31" customFormat="1" spans="1:36">
      <c r="A177" s="55">
        <f>IF(G177&lt;&gt;"",1+MAX($A$3:A176),"")</f>
        <v>143</v>
      </c>
      <c r="B177" s="77"/>
      <c r="C177" s="78"/>
      <c r="D177" s="57" t="s">
        <v>175</v>
      </c>
      <c r="E177" s="75">
        <v>71.84</v>
      </c>
      <c r="F177" s="58" t="s">
        <v>47</v>
      </c>
      <c r="G177" s="80">
        <v>0.05</v>
      </c>
      <c r="H177" s="81">
        <f t="shared" si="69"/>
        <v>75.432</v>
      </c>
      <c r="I177" s="83">
        <f>0.8+(2.6)</f>
        <v>3.4</v>
      </c>
      <c r="J177" s="83">
        <f t="shared" si="70"/>
        <v>256.4688</v>
      </c>
      <c r="K177" s="84">
        <v>0.111</v>
      </c>
      <c r="L177" s="85">
        <f t="shared" si="71"/>
        <v>8.372952</v>
      </c>
      <c r="M177" s="86">
        <f>'LABOR SHEET'!C$5</f>
        <v>57.65</v>
      </c>
      <c r="N177" s="83">
        <f t="shared" si="72"/>
        <v>6.39915</v>
      </c>
      <c r="O177" s="83">
        <f t="shared" si="73"/>
        <v>482.7006828</v>
      </c>
      <c r="P177" s="83">
        <f t="shared" si="74"/>
        <v>9.79915</v>
      </c>
      <c r="Q177" s="114">
        <f t="shared" si="75"/>
        <v>739.1694828</v>
      </c>
      <c r="R177" s="101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</row>
    <row r="178" s="31" customFormat="1" spans="1:36">
      <c r="A178" s="55">
        <f>IF(G178&lt;&gt;"",1+MAX($A$3:A177),"")</f>
        <v>144</v>
      </c>
      <c r="B178" s="77"/>
      <c r="C178" s="78"/>
      <c r="D178" s="57" t="s">
        <v>176</v>
      </c>
      <c r="E178" s="75">
        <v>306.12</v>
      </c>
      <c r="F178" s="58" t="s">
        <v>47</v>
      </c>
      <c r="G178" s="80">
        <v>0.05</v>
      </c>
      <c r="H178" s="81">
        <f t="shared" si="69"/>
        <v>321.426</v>
      </c>
      <c r="I178" s="83">
        <f>0.9+(2.6)</f>
        <v>3.5</v>
      </c>
      <c r="J178" s="83">
        <f t="shared" si="70"/>
        <v>1124.991</v>
      </c>
      <c r="K178" s="84">
        <v>0.121</v>
      </c>
      <c r="L178" s="85">
        <f t="shared" si="71"/>
        <v>38.892546</v>
      </c>
      <c r="M178" s="86">
        <f>'LABOR SHEET'!C$5</f>
        <v>57.65</v>
      </c>
      <c r="N178" s="83">
        <f t="shared" si="72"/>
        <v>6.97565</v>
      </c>
      <c r="O178" s="83">
        <f t="shared" si="73"/>
        <v>2242.1552769</v>
      </c>
      <c r="P178" s="83">
        <f t="shared" si="74"/>
        <v>10.47565</v>
      </c>
      <c r="Q178" s="114">
        <f t="shared" si="75"/>
        <v>3367.1462769</v>
      </c>
      <c r="R178" s="101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</row>
    <row r="179" s="31" customFormat="1" spans="1:36">
      <c r="A179" s="55" t="str">
        <f>IF(G179&lt;&gt;"",1+MAX($A$3:A178),"")</f>
        <v/>
      </c>
      <c r="B179" s="77"/>
      <c r="C179" s="78"/>
      <c r="D179" s="57"/>
      <c r="E179" s="75"/>
      <c r="F179" s="58"/>
      <c r="G179" s="80"/>
      <c r="H179" s="81"/>
      <c r="I179" s="87"/>
      <c r="J179" s="83"/>
      <c r="K179" s="84"/>
      <c r="L179" s="85"/>
      <c r="M179" s="86"/>
      <c r="N179" s="83"/>
      <c r="O179" s="83"/>
      <c r="P179" s="83"/>
      <c r="Q179" s="114"/>
      <c r="R179" s="101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</row>
    <row r="180" s="31" customFormat="1" spans="1:36">
      <c r="A180" s="55" t="str">
        <f>IF(G180&lt;&gt;"",1+MAX($A$3:A179),"")</f>
        <v/>
      </c>
      <c r="B180" s="77"/>
      <c r="C180" s="78"/>
      <c r="D180" s="79" t="s">
        <v>188</v>
      </c>
      <c r="E180" s="75"/>
      <c r="F180" s="58"/>
      <c r="G180" s="80"/>
      <c r="H180" s="81"/>
      <c r="I180" s="87"/>
      <c r="J180" s="83"/>
      <c r="K180" s="84"/>
      <c r="L180" s="85"/>
      <c r="M180" s="86"/>
      <c r="N180" s="83"/>
      <c r="O180" s="83"/>
      <c r="P180" s="83"/>
      <c r="Q180" s="114"/>
      <c r="R180" s="101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</row>
    <row r="181" s="31" customFormat="1" spans="1:36">
      <c r="A181" s="55">
        <f>IF(G181&lt;&gt;"",1+MAX($A$3:A180),"")</f>
        <v>145</v>
      </c>
      <c r="B181" s="77"/>
      <c r="C181" s="78"/>
      <c r="D181" s="57" t="s">
        <v>177</v>
      </c>
      <c r="E181" s="75">
        <v>51</v>
      </c>
      <c r="F181" s="58" t="s">
        <v>47</v>
      </c>
      <c r="G181" s="80">
        <v>0.05</v>
      </c>
      <c r="H181" s="81">
        <f t="shared" ref="H181:H186" si="76">E181*(1+G181)</f>
        <v>53.55</v>
      </c>
      <c r="I181" s="83">
        <f>1.2+(3.4)</f>
        <v>4.6</v>
      </c>
      <c r="J181" s="83">
        <f t="shared" ref="J181:J186" si="77">I181*H181</f>
        <v>246.33</v>
      </c>
      <c r="K181" s="84">
        <v>0.132</v>
      </c>
      <c r="L181" s="85">
        <f t="shared" ref="L181:L186" si="78">+K181*H181</f>
        <v>7.0686</v>
      </c>
      <c r="M181" s="86">
        <f>'LABOR SHEET'!C$5</f>
        <v>57.65</v>
      </c>
      <c r="N181" s="83">
        <f t="shared" ref="N181:N186" si="79">K181*M181</f>
        <v>7.6098</v>
      </c>
      <c r="O181" s="83">
        <f t="shared" ref="O181:O186" si="80">M181*L181</f>
        <v>407.50479</v>
      </c>
      <c r="P181" s="83">
        <f t="shared" ref="P181:P186" si="81">I181+N181</f>
        <v>12.2098</v>
      </c>
      <c r="Q181" s="114">
        <f t="shared" ref="Q181:Q186" si="82">P181*H181</f>
        <v>653.83479</v>
      </c>
      <c r="R181" s="101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</row>
    <row r="182" s="31" customFormat="1" spans="1:36">
      <c r="A182" s="55">
        <f>IF(G182&lt;&gt;"",1+MAX($A$3:A181),"")</f>
        <v>146</v>
      </c>
      <c r="B182" s="77"/>
      <c r="C182" s="78"/>
      <c r="D182" s="57" t="s">
        <v>178</v>
      </c>
      <c r="E182" s="75">
        <v>232.23</v>
      </c>
      <c r="F182" s="58" t="s">
        <v>47</v>
      </c>
      <c r="G182" s="80">
        <v>0.05</v>
      </c>
      <c r="H182" s="81">
        <f t="shared" si="76"/>
        <v>243.8415</v>
      </c>
      <c r="I182" s="83">
        <f>1.3+(3.4)</f>
        <v>4.7</v>
      </c>
      <c r="J182" s="83">
        <f t="shared" si="77"/>
        <v>1146.05505</v>
      </c>
      <c r="K182" s="84">
        <v>0.136</v>
      </c>
      <c r="L182" s="85">
        <f t="shared" si="78"/>
        <v>33.162444</v>
      </c>
      <c r="M182" s="86">
        <f>'LABOR SHEET'!C$5</f>
        <v>57.65</v>
      </c>
      <c r="N182" s="83">
        <f t="shared" si="79"/>
        <v>7.8404</v>
      </c>
      <c r="O182" s="83">
        <f t="shared" si="80"/>
        <v>1911.8148966</v>
      </c>
      <c r="P182" s="83">
        <f t="shared" si="81"/>
        <v>12.5404</v>
      </c>
      <c r="Q182" s="114">
        <f t="shared" si="82"/>
        <v>3057.8699466</v>
      </c>
      <c r="R182" s="101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</row>
    <row r="183" s="31" customFormat="1" spans="1:36">
      <c r="A183" s="55">
        <f>IF(G183&lt;&gt;"",1+MAX($A$3:A182),"")</f>
        <v>147</v>
      </c>
      <c r="B183" s="77"/>
      <c r="C183" s="78"/>
      <c r="D183" s="57" t="s">
        <v>179</v>
      </c>
      <c r="E183" s="75">
        <v>441.96</v>
      </c>
      <c r="F183" s="58" t="s">
        <v>47</v>
      </c>
      <c r="G183" s="80">
        <v>0.05</v>
      </c>
      <c r="H183" s="81">
        <f t="shared" si="76"/>
        <v>464.058</v>
      </c>
      <c r="I183" s="83">
        <f>(0.3/0.375*0.5)+(3.4)</f>
        <v>3.8</v>
      </c>
      <c r="J183" s="83">
        <f t="shared" si="77"/>
        <v>1763.4204</v>
      </c>
      <c r="K183" s="84">
        <v>0.081</v>
      </c>
      <c r="L183" s="85">
        <f t="shared" si="78"/>
        <v>37.588698</v>
      </c>
      <c r="M183" s="86">
        <f>'LABOR SHEET'!C$5</f>
        <v>57.65</v>
      </c>
      <c r="N183" s="83">
        <f t="shared" si="79"/>
        <v>4.66965</v>
      </c>
      <c r="O183" s="83">
        <f t="shared" si="80"/>
        <v>2166.9884397</v>
      </c>
      <c r="P183" s="83">
        <f t="shared" si="81"/>
        <v>8.46965</v>
      </c>
      <c r="Q183" s="114">
        <f t="shared" si="82"/>
        <v>3930.4088397</v>
      </c>
      <c r="R183" s="101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</row>
    <row r="184" s="31" customFormat="1" spans="1:36">
      <c r="A184" s="55">
        <f>IF(G184&lt;&gt;"",1+MAX($A$3:A183),"")</f>
        <v>148</v>
      </c>
      <c r="B184" s="77"/>
      <c r="C184" s="78"/>
      <c r="D184" s="57" t="s">
        <v>180</v>
      </c>
      <c r="E184" s="75">
        <v>30</v>
      </c>
      <c r="F184" s="58" t="s">
        <v>47</v>
      </c>
      <c r="G184" s="80">
        <v>0.05</v>
      </c>
      <c r="H184" s="81">
        <f t="shared" si="76"/>
        <v>31.5</v>
      </c>
      <c r="I184" s="83">
        <f>0.3+(3.4)</f>
        <v>3.7</v>
      </c>
      <c r="J184" s="83">
        <f t="shared" si="77"/>
        <v>116.55</v>
      </c>
      <c r="K184" s="84">
        <v>0.071</v>
      </c>
      <c r="L184" s="85">
        <f t="shared" si="78"/>
        <v>2.2365</v>
      </c>
      <c r="M184" s="86">
        <f>'LABOR SHEET'!C$5</f>
        <v>57.65</v>
      </c>
      <c r="N184" s="83">
        <f t="shared" si="79"/>
        <v>4.09315</v>
      </c>
      <c r="O184" s="83">
        <f t="shared" si="80"/>
        <v>128.934225</v>
      </c>
      <c r="P184" s="83">
        <f t="shared" si="81"/>
        <v>7.79315</v>
      </c>
      <c r="Q184" s="114">
        <f t="shared" si="82"/>
        <v>245.484225</v>
      </c>
      <c r="R184" s="101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</row>
    <row r="185" s="31" customFormat="1" spans="1:36">
      <c r="A185" s="55">
        <f>IF(G185&lt;&gt;"",1+MAX($A$3:A184),"")</f>
        <v>149</v>
      </c>
      <c r="B185" s="77"/>
      <c r="C185" s="78"/>
      <c r="D185" s="57" t="s">
        <v>181</v>
      </c>
      <c r="E185" s="75">
        <v>50</v>
      </c>
      <c r="F185" s="58" t="s">
        <v>47</v>
      </c>
      <c r="G185" s="80">
        <v>0.05</v>
      </c>
      <c r="H185" s="81">
        <f t="shared" si="76"/>
        <v>52.5</v>
      </c>
      <c r="I185" s="83">
        <f>(0.3/0.375*0.5)+(3.4)</f>
        <v>3.8</v>
      </c>
      <c r="J185" s="83">
        <f t="shared" si="77"/>
        <v>199.5</v>
      </c>
      <c r="K185" s="84">
        <v>0.081</v>
      </c>
      <c r="L185" s="85">
        <f t="shared" si="78"/>
        <v>4.2525</v>
      </c>
      <c r="M185" s="86">
        <f>'LABOR SHEET'!C$5</f>
        <v>57.65</v>
      </c>
      <c r="N185" s="83">
        <f t="shared" si="79"/>
        <v>4.66965</v>
      </c>
      <c r="O185" s="83">
        <f t="shared" si="80"/>
        <v>245.156625</v>
      </c>
      <c r="P185" s="83">
        <f t="shared" si="81"/>
        <v>8.46965</v>
      </c>
      <c r="Q185" s="114">
        <f t="shared" si="82"/>
        <v>444.656625</v>
      </c>
      <c r="R185" s="101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</row>
    <row r="186" s="31" customFormat="1" spans="1:36">
      <c r="A186" s="55">
        <f>IF(G186&lt;&gt;"",1+MAX($A$3:A185),"")</f>
        <v>150</v>
      </c>
      <c r="B186" s="77"/>
      <c r="C186" s="78"/>
      <c r="D186" s="57" t="s">
        <v>182</v>
      </c>
      <c r="E186" s="75">
        <v>215.27</v>
      </c>
      <c r="F186" s="58" t="s">
        <v>47</v>
      </c>
      <c r="G186" s="80">
        <v>0.05</v>
      </c>
      <c r="H186" s="81">
        <f t="shared" si="76"/>
        <v>226.0335</v>
      </c>
      <c r="I186" s="83">
        <f>0.52+(3.4)</f>
        <v>3.92</v>
      </c>
      <c r="J186" s="83">
        <f t="shared" si="77"/>
        <v>886.05132</v>
      </c>
      <c r="K186" s="84">
        <v>0.091</v>
      </c>
      <c r="L186" s="85">
        <f t="shared" si="78"/>
        <v>20.5690485</v>
      </c>
      <c r="M186" s="86">
        <f>'LABOR SHEET'!C$5</f>
        <v>57.65</v>
      </c>
      <c r="N186" s="83">
        <f t="shared" si="79"/>
        <v>5.24615</v>
      </c>
      <c r="O186" s="83">
        <f t="shared" si="80"/>
        <v>1185.805646025</v>
      </c>
      <c r="P186" s="83">
        <f t="shared" si="81"/>
        <v>9.16615</v>
      </c>
      <c r="Q186" s="114">
        <f t="shared" si="82"/>
        <v>2071.856966025</v>
      </c>
      <c r="R186" s="101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</row>
    <row r="187" s="31" customFormat="1" spans="1:36">
      <c r="A187" s="55" t="str">
        <f>IF(G187&lt;&gt;"",1+MAX($A$3:A186),"")</f>
        <v/>
      </c>
      <c r="B187" s="77"/>
      <c r="C187" s="78"/>
      <c r="D187" s="57"/>
      <c r="E187" s="75"/>
      <c r="F187" s="58"/>
      <c r="G187" s="80"/>
      <c r="H187" s="81"/>
      <c r="I187" s="87"/>
      <c r="J187" s="83"/>
      <c r="K187" s="84"/>
      <c r="L187" s="85"/>
      <c r="M187" s="86"/>
      <c r="N187" s="83"/>
      <c r="O187" s="83"/>
      <c r="P187" s="83"/>
      <c r="Q187" s="114"/>
      <c r="R187" s="101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</row>
    <row r="188" s="31" customFormat="1" spans="1:36">
      <c r="A188" s="55" t="str">
        <f>IF(G188&lt;&gt;"",1+MAX($A$3:A187),"")</f>
        <v/>
      </c>
      <c r="B188" s="77"/>
      <c r="C188" s="78"/>
      <c r="D188" s="79" t="s">
        <v>189</v>
      </c>
      <c r="E188" s="75"/>
      <c r="F188" s="58"/>
      <c r="G188" s="80"/>
      <c r="H188" s="81"/>
      <c r="I188" s="87"/>
      <c r="J188" s="83"/>
      <c r="K188" s="84"/>
      <c r="L188" s="85"/>
      <c r="M188" s="86"/>
      <c r="N188" s="83"/>
      <c r="O188" s="83"/>
      <c r="P188" s="83"/>
      <c r="Q188" s="114"/>
      <c r="R188" s="101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</row>
    <row r="189" s="31" customFormat="1" spans="1:36">
      <c r="A189" s="55">
        <f>IF(G189&lt;&gt;"",1+MAX($A$3:A188),"")</f>
        <v>151</v>
      </c>
      <c r="B189" s="77"/>
      <c r="C189" s="78"/>
      <c r="D189" s="57" t="s">
        <v>183</v>
      </c>
      <c r="E189" s="75">
        <v>116.08</v>
      </c>
      <c r="F189" s="58" t="s">
        <v>47</v>
      </c>
      <c r="G189" s="80">
        <v>0.05</v>
      </c>
      <c r="H189" s="81">
        <f t="shared" ref="H189:H191" si="83">E189*(1+G189)</f>
        <v>121.884</v>
      </c>
      <c r="I189" s="83">
        <f>0.65+(3.9)</f>
        <v>4.55</v>
      </c>
      <c r="J189" s="83">
        <f t="shared" ref="J189:J191" si="84">I189*H189</f>
        <v>554.5722</v>
      </c>
      <c r="K189" s="84">
        <v>0.101</v>
      </c>
      <c r="L189" s="85">
        <f t="shared" ref="L189:L191" si="85">+K189*H189</f>
        <v>12.310284</v>
      </c>
      <c r="M189" s="86">
        <f>'LABOR SHEET'!C$5</f>
        <v>57.65</v>
      </c>
      <c r="N189" s="83">
        <f t="shared" ref="N189:N191" si="86">K189*M189</f>
        <v>5.82265</v>
      </c>
      <c r="O189" s="83">
        <f t="shared" ref="O189:O191" si="87">M189*L189</f>
        <v>709.6878726</v>
      </c>
      <c r="P189" s="83">
        <f t="shared" ref="P189:P191" si="88">I189+N189</f>
        <v>10.37265</v>
      </c>
      <c r="Q189" s="114">
        <f t="shared" ref="Q189:Q191" si="89">P189*H189</f>
        <v>1264.2600726</v>
      </c>
      <c r="R189" s="101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</row>
    <row r="190" s="31" customFormat="1" spans="1:36">
      <c r="A190" s="55">
        <f>IF(G190&lt;&gt;"",1+MAX($A$3:A189),"")</f>
        <v>152</v>
      </c>
      <c r="B190" s="77"/>
      <c r="C190" s="78"/>
      <c r="D190" s="57" t="s">
        <v>184</v>
      </c>
      <c r="E190" s="75">
        <v>232.98</v>
      </c>
      <c r="F190" s="58" t="s">
        <v>47</v>
      </c>
      <c r="G190" s="80">
        <v>0.05</v>
      </c>
      <c r="H190" s="81">
        <f t="shared" si="83"/>
        <v>244.629</v>
      </c>
      <c r="I190" s="83">
        <f>0.8+(3.9)</f>
        <v>4.7</v>
      </c>
      <c r="J190" s="83">
        <f t="shared" si="84"/>
        <v>1149.7563</v>
      </c>
      <c r="K190" s="84">
        <v>0.111</v>
      </c>
      <c r="L190" s="85">
        <f t="shared" si="85"/>
        <v>27.153819</v>
      </c>
      <c r="M190" s="86">
        <f>'LABOR SHEET'!C$5</f>
        <v>57.65</v>
      </c>
      <c r="N190" s="83">
        <f t="shared" si="86"/>
        <v>6.39915</v>
      </c>
      <c r="O190" s="83">
        <f t="shared" si="87"/>
        <v>1565.41766535</v>
      </c>
      <c r="P190" s="83">
        <f t="shared" si="88"/>
        <v>11.09915</v>
      </c>
      <c r="Q190" s="114">
        <f t="shared" si="89"/>
        <v>2715.17396535</v>
      </c>
      <c r="R190" s="101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</row>
    <row r="191" s="31" customFormat="1" spans="1:36">
      <c r="A191" s="55">
        <f>IF(G191&lt;&gt;"",1+MAX($A$3:A190),"")</f>
        <v>153</v>
      </c>
      <c r="B191" s="77"/>
      <c r="C191" s="78"/>
      <c r="D191" s="57" t="s">
        <v>185</v>
      </c>
      <c r="E191" s="75">
        <v>167.74</v>
      </c>
      <c r="F191" s="58" t="s">
        <v>47</v>
      </c>
      <c r="G191" s="80">
        <v>0.05</v>
      </c>
      <c r="H191" s="81">
        <f t="shared" si="83"/>
        <v>176.127</v>
      </c>
      <c r="I191" s="83">
        <f>0.9+(3.9)</f>
        <v>4.8</v>
      </c>
      <c r="J191" s="83">
        <f t="shared" si="84"/>
        <v>845.4096</v>
      </c>
      <c r="K191" s="84">
        <v>0.121</v>
      </c>
      <c r="L191" s="85">
        <f t="shared" si="85"/>
        <v>21.311367</v>
      </c>
      <c r="M191" s="86">
        <f>'LABOR SHEET'!C$5</f>
        <v>57.65</v>
      </c>
      <c r="N191" s="83">
        <f t="shared" si="86"/>
        <v>6.97565</v>
      </c>
      <c r="O191" s="83">
        <f t="shared" si="87"/>
        <v>1228.60030755</v>
      </c>
      <c r="P191" s="83">
        <f t="shared" si="88"/>
        <v>11.77565</v>
      </c>
      <c r="Q191" s="114">
        <f t="shared" si="89"/>
        <v>2074.00990755</v>
      </c>
      <c r="R191" s="101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</row>
    <row r="192" s="31" customFormat="1" spans="1:36">
      <c r="A192" s="55" t="str">
        <f>IF(G192&lt;&gt;"",1+MAX($A$3:A191),"")</f>
        <v/>
      </c>
      <c r="B192" s="77"/>
      <c r="C192" s="78"/>
      <c r="D192" s="57"/>
      <c r="E192" s="75"/>
      <c r="F192" s="58"/>
      <c r="G192" s="80"/>
      <c r="H192" s="81"/>
      <c r="I192" s="87"/>
      <c r="J192" s="83"/>
      <c r="K192" s="84"/>
      <c r="L192" s="85"/>
      <c r="M192" s="86"/>
      <c r="N192" s="83"/>
      <c r="O192" s="83"/>
      <c r="P192" s="83"/>
      <c r="Q192" s="114"/>
      <c r="R192" s="101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</row>
    <row r="193" s="31" customFormat="1" spans="1:36">
      <c r="A193" s="55" t="str">
        <f>IF(G193&lt;&gt;"",1+MAX($A$3:A192),"")</f>
        <v/>
      </c>
      <c r="B193" s="77"/>
      <c r="C193" s="78"/>
      <c r="D193" s="82" t="s">
        <v>55</v>
      </c>
      <c r="E193" s="75"/>
      <c r="F193" s="58"/>
      <c r="G193" s="80"/>
      <c r="H193" s="81"/>
      <c r="I193" s="87"/>
      <c r="J193" s="83"/>
      <c r="K193" s="84"/>
      <c r="L193" s="85"/>
      <c r="M193" s="86"/>
      <c r="N193" s="83"/>
      <c r="O193" s="83"/>
      <c r="P193" s="83"/>
      <c r="Q193" s="114"/>
      <c r="R193" s="101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</row>
    <row r="194" s="31" customFormat="1" spans="1:36">
      <c r="A194" s="55">
        <f>IF(G194&lt;&gt;"",1+MAX($A$3:A193),"")</f>
        <v>154</v>
      </c>
      <c r="B194" s="77"/>
      <c r="C194" s="78"/>
      <c r="D194" s="57" t="s">
        <v>337</v>
      </c>
      <c r="E194" s="75">
        <v>96</v>
      </c>
      <c r="F194" s="58" t="s">
        <v>57</v>
      </c>
      <c r="G194" s="80">
        <v>0</v>
      </c>
      <c r="H194" s="81">
        <f t="shared" ref="H194:H234" si="90">E194*(1+G194)</f>
        <v>96</v>
      </c>
      <c r="I194" s="83">
        <v>2.48</v>
      </c>
      <c r="J194" s="83">
        <f t="shared" ref="J194:J234" si="91">I194*H194</f>
        <v>238.08</v>
      </c>
      <c r="K194" s="84">
        <v>0.45</v>
      </c>
      <c r="L194" s="85">
        <f t="shared" ref="L194:L234" si="92">+K194*H194</f>
        <v>43.2</v>
      </c>
      <c r="M194" s="86">
        <f>'LABOR SHEET'!C$5</f>
        <v>57.65</v>
      </c>
      <c r="N194" s="83">
        <f t="shared" ref="N194:N234" si="93">K194*M194</f>
        <v>25.9425</v>
      </c>
      <c r="O194" s="83">
        <f t="shared" ref="O194:O234" si="94">M194*L194</f>
        <v>2490.48</v>
      </c>
      <c r="P194" s="83">
        <f t="shared" ref="P194:P234" si="95">I194+N194</f>
        <v>28.4225</v>
      </c>
      <c r="Q194" s="114">
        <f t="shared" ref="Q194:Q234" si="96">P194*H194</f>
        <v>2728.56</v>
      </c>
      <c r="R194" s="101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</row>
    <row r="195" s="31" customFormat="1" spans="1:36">
      <c r="A195" s="55">
        <f>IF(G195&lt;&gt;"",1+MAX($A$3:A194),"")</f>
        <v>155</v>
      </c>
      <c r="B195" s="77"/>
      <c r="C195" s="78"/>
      <c r="D195" s="57" t="s">
        <v>338</v>
      </c>
      <c r="E195" s="75">
        <v>79</v>
      </c>
      <c r="F195" s="58" t="s">
        <v>57</v>
      </c>
      <c r="G195" s="80">
        <v>0</v>
      </c>
      <c r="H195" s="81">
        <f t="shared" si="90"/>
        <v>79</v>
      </c>
      <c r="I195" s="83">
        <v>6.5</v>
      </c>
      <c r="J195" s="83">
        <f t="shared" si="91"/>
        <v>513.5</v>
      </c>
      <c r="K195" s="84">
        <v>0.46</v>
      </c>
      <c r="L195" s="85">
        <f t="shared" si="92"/>
        <v>36.34</v>
      </c>
      <c r="M195" s="86">
        <f>'LABOR SHEET'!C$5</f>
        <v>57.65</v>
      </c>
      <c r="N195" s="83">
        <f t="shared" si="93"/>
        <v>26.519</v>
      </c>
      <c r="O195" s="83">
        <f t="shared" si="94"/>
        <v>2095.001</v>
      </c>
      <c r="P195" s="83">
        <f t="shared" si="95"/>
        <v>33.019</v>
      </c>
      <c r="Q195" s="114">
        <f t="shared" si="96"/>
        <v>2608.501</v>
      </c>
      <c r="R195" s="101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</row>
    <row r="196" s="31" customFormat="1" spans="1:36">
      <c r="A196" s="55">
        <f>IF(G196&lt;&gt;"",1+MAX($A$3:A195),"")</f>
        <v>156</v>
      </c>
      <c r="B196" s="77"/>
      <c r="C196" s="78"/>
      <c r="D196" s="57" t="s">
        <v>339</v>
      </c>
      <c r="E196" s="75">
        <v>18</v>
      </c>
      <c r="F196" s="58" t="s">
        <v>57</v>
      </c>
      <c r="G196" s="80">
        <v>0</v>
      </c>
      <c r="H196" s="81">
        <f t="shared" si="90"/>
        <v>18</v>
      </c>
      <c r="I196" s="83">
        <v>10.5</v>
      </c>
      <c r="J196" s="83">
        <f t="shared" si="91"/>
        <v>189</v>
      </c>
      <c r="K196" s="84">
        <v>0.47</v>
      </c>
      <c r="L196" s="85">
        <f t="shared" si="92"/>
        <v>8.46</v>
      </c>
      <c r="M196" s="86">
        <f>'LABOR SHEET'!C$5</f>
        <v>57.65</v>
      </c>
      <c r="N196" s="83">
        <f t="shared" si="93"/>
        <v>27.0955</v>
      </c>
      <c r="O196" s="83">
        <f t="shared" si="94"/>
        <v>487.719</v>
      </c>
      <c r="P196" s="83">
        <f t="shared" si="95"/>
        <v>37.5955</v>
      </c>
      <c r="Q196" s="114">
        <f t="shared" si="96"/>
        <v>676.719</v>
      </c>
      <c r="R196" s="101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</row>
    <row r="197" s="31" customFormat="1" spans="1:36">
      <c r="A197" s="55">
        <f>IF(G197&lt;&gt;"",1+MAX($A$3:A196),"")</f>
        <v>157</v>
      </c>
      <c r="B197" s="77"/>
      <c r="C197" s="78"/>
      <c r="D197" s="57" t="s">
        <v>340</v>
      </c>
      <c r="E197" s="75">
        <v>13</v>
      </c>
      <c r="F197" s="58" t="s">
        <v>57</v>
      </c>
      <c r="G197" s="80">
        <v>0</v>
      </c>
      <c r="H197" s="81">
        <f t="shared" si="90"/>
        <v>13</v>
      </c>
      <c r="I197" s="83">
        <v>13.5</v>
      </c>
      <c r="J197" s="83">
        <f t="shared" si="91"/>
        <v>175.5</v>
      </c>
      <c r="K197" s="84">
        <v>0.48</v>
      </c>
      <c r="L197" s="85">
        <f t="shared" si="92"/>
        <v>6.24</v>
      </c>
      <c r="M197" s="86">
        <f>'LABOR SHEET'!C$5</f>
        <v>57.65</v>
      </c>
      <c r="N197" s="83">
        <f t="shared" si="93"/>
        <v>27.672</v>
      </c>
      <c r="O197" s="83">
        <f t="shared" si="94"/>
        <v>359.736</v>
      </c>
      <c r="P197" s="83">
        <f t="shared" si="95"/>
        <v>41.172</v>
      </c>
      <c r="Q197" s="114">
        <f t="shared" si="96"/>
        <v>535.236</v>
      </c>
      <c r="R197" s="101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</row>
    <row r="198" s="31" customFormat="1" spans="1:36">
      <c r="A198" s="55">
        <f>IF(G198&lt;&gt;"",1+MAX($A$3:A197),"")</f>
        <v>158</v>
      </c>
      <c r="B198" s="77"/>
      <c r="C198" s="78"/>
      <c r="D198" s="57" t="s">
        <v>341</v>
      </c>
      <c r="E198" s="75">
        <v>40</v>
      </c>
      <c r="F198" s="58" t="s">
        <v>57</v>
      </c>
      <c r="G198" s="80">
        <v>0</v>
      </c>
      <c r="H198" s="81">
        <f t="shared" si="90"/>
        <v>40</v>
      </c>
      <c r="I198" s="83">
        <v>16.5</v>
      </c>
      <c r="J198" s="83">
        <f t="shared" si="91"/>
        <v>660</v>
      </c>
      <c r="K198" s="84">
        <v>0.49</v>
      </c>
      <c r="L198" s="85">
        <f t="shared" si="92"/>
        <v>19.6</v>
      </c>
      <c r="M198" s="86">
        <f>'LABOR SHEET'!C$5</f>
        <v>57.65</v>
      </c>
      <c r="N198" s="83">
        <f t="shared" si="93"/>
        <v>28.2485</v>
      </c>
      <c r="O198" s="83">
        <f t="shared" si="94"/>
        <v>1129.94</v>
      </c>
      <c r="P198" s="83">
        <f t="shared" si="95"/>
        <v>44.7485</v>
      </c>
      <c r="Q198" s="114">
        <f t="shared" si="96"/>
        <v>1789.94</v>
      </c>
      <c r="R198" s="101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</row>
    <row r="199" s="31" customFormat="1" spans="1:36">
      <c r="A199" s="55">
        <f>IF(G199&lt;&gt;"",1+MAX($A$3:A198),"")</f>
        <v>159</v>
      </c>
      <c r="B199" s="77"/>
      <c r="C199" s="78"/>
      <c r="D199" s="57" t="s">
        <v>342</v>
      </c>
      <c r="E199" s="75">
        <v>6</v>
      </c>
      <c r="F199" s="58" t="s">
        <v>57</v>
      </c>
      <c r="G199" s="80">
        <v>0</v>
      </c>
      <c r="H199" s="81">
        <f t="shared" si="90"/>
        <v>6</v>
      </c>
      <c r="I199" s="83">
        <v>22.5</v>
      </c>
      <c r="J199" s="83">
        <f t="shared" si="91"/>
        <v>135</v>
      </c>
      <c r="K199" s="84">
        <v>0.5</v>
      </c>
      <c r="L199" s="85">
        <f t="shared" si="92"/>
        <v>3</v>
      </c>
      <c r="M199" s="86">
        <f>'LABOR SHEET'!C$5</f>
        <v>57.65</v>
      </c>
      <c r="N199" s="83">
        <f t="shared" si="93"/>
        <v>28.825</v>
      </c>
      <c r="O199" s="83">
        <f t="shared" si="94"/>
        <v>172.95</v>
      </c>
      <c r="P199" s="83">
        <f t="shared" si="95"/>
        <v>51.325</v>
      </c>
      <c r="Q199" s="114">
        <f t="shared" si="96"/>
        <v>307.95</v>
      </c>
      <c r="R199" s="101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</row>
    <row r="200" s="31" customFormat="1" spans="1:36">
      <c r="A200" s="55">
        <f>IF(G200&lt;&gt;"",1+MAX($A$3:A199),"")</f>
        <v>160</v>
      </c>
      <c r="B200" s="77"/>
      <c r="C200" s="78"/>
      <c r="D200" s="57" t="s">
        <v>343</v>
      </c>
      <c r="E200" s="75">
        <v>6</v>
      </c>
      <c r="F200" s="58" t="s">
        <v>57</v>
      </c>
      <c r="G200" s="80">
        <v>0</v>
      </c>
      <c r="H200" s="81">
        <f t="shared" si="90"/>
        <v>6</v>
      </c>
      <c r="I200" s="83">
        <v>4.49</v>
      </c>
      <c r="J200" s="83">
        <f t="shared" si="91"/>
        <v>26.94</v>
      </c>
      <c r="K200" s="84">
        <v>0.43</v>
      </c>
      <c r="L200" s="85">
        <f t="shared" si="92"/>
        <v>2.58</v>
      </c>
      <c r="M200" s="86">
        <f>'LABOR SHEET'!C$5</f>
        <v>57.65</v>
      </c>
      <c r="N200" s="83">
        <f t="shared" si="93"/>
        <v>24.7895</v>
      </c>
      <c r="O200" s="83">
        <f t="shared" si="94"/>
        <v>148.737</v>
      </c>
      <c r="P200" s="83">
        <f t="shared" si="95"/>
        <v>29.2795</v>
      </c>
      <c r="Q200" s="114">
        <f t="shared" si="96"/>
        <v>175.677</v>
      </c>
      <c r="R200" s="101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</row>
    <row r="201" s="31" customFormat="1" spans="1:36">
      <c r="A201" s="55">
        <f>IF(G201&lt;&gt;"",1+MAX($A$3:A200),"")</f>
        <v>161</v>
      </c>
      <c r="B201" s="77"/>
      <c r="C201" s="78"/>
      <c r="D201" s="57" t="s">
        <v>344</v>
      </c>
      <c r="E201" s="75">
        <v>19</v>
      </c>
      <c r="F201" s="58" t="s">
        <v>57</v>
      </c>
      <c r="G201" s="80">
        <v>0</v>
      </c>
      <c r="H201" s="81">
        <f t="shared" si="90"/>
        <v>19</v>
      </c>
      <c r="I201" s="83">
        <v>7.75</v>
      </c>
      <c r="J201" s="83">
        <f t="shared" si="91"/>
        <v>147.25</v>
      </c>
      <c r="K201" s="84">
        <v>0.44</v>
      </c>
      <c r="L201" s="85">
        <f t="shared" si="92"/>
        <v>8.36</v>
      </c>
      <c r="M201" s="86">
        <f>'LABOR SHEET'!C$5</f>
        <v>57.65</v>
      </c>
      <c r="N201" s="83">
        <f t="shared" si="93"/>
        <v>25.366</v>
      </c>
      <c r="O201" s="83">
        <f t="shared" si="94"/>
        <v>481.954</v>
      </c>
      <c r="P201" s="83">
        <f t="shared" si="95"/>
        <v>33.116</v>
      </c>
      <c r="Q201" s="114">
        <f t="shared" si="96"/>
        <v>629.204</v>
      </c>
      <c r="R201" s="101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</row>
    <row r="202" s="31" customFormat="1" spans="1:36">
      <c r="A202" s="55">
        <f>IF(G202&lt;&gt;"",1+MAX($A$3:A201),"")</f>
        <v>162</v>
      </c>
      <c r="B202" s="77"/>
      <c r="C202" s="78"/>
      <c r="D202" s="57" t="s">
        <v>345</v>
      </c>
      <c r="E202" s="75">
        <v>20</v>
      </c>
      <c r="F202" s="58" t="s">
        <v>57</v>
      </c>
      <c r="G202" s="80">
        <v>0</v>
      </c>
      <c r="H202" s="81">
        <f t="shared" si="90"/>
        <v>20</v>
      </c>
      <c r="I202" s="83">
        <v>13.25</v>
      </c>
      <c r="J202" s="83">
        <f t="shared" si="91"/>
        <v>265</v>
      </c>
      <c r="K202" s="84">
        <v>0.45</v>
      </c>
      <c r="L202" s="85">
        <f t="shared" si="92"/>
        <v>9</v>
      </c>
      <c r="M202" s="86">
        <f>'LABOR SHEET'!C$5</f>
        <v>57.65</v>
      </c>
      <c r="N202" s="83">
        <f t="shared" si="93"/>
        <v>25.9425</v>
      </c>
      <c r="O202" s="83">
        <f t="shared" si="94"/>
        <v>518.85</v>
      </c>
      <c r="P202" s="83">
        <f t="shared" si="95"/>
        <v>39.1925</v>
      </c>
      <c r="Q202" s="114">
        <f t="shared" si="96"/>
        <v>783.85</v>
      </c>
      <c r="R202" s="101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</row>
    <row r="203" s="31" customFormat="1" spans="1:36">
      <c r="A203" s="55">
        <f>IF(G203&lt;&gt;"",1+MAX($A$3:A202),"")</f>
        <v>163</v>
      </c>
      <c r="B203" s="77"/>
      <c r="C203" s="78"/>
      <c r="D203" s="57" t="s">
        <v>346</v>
      </c>
      <c r="E203" s="75">
        <v>6</v>
      </c>
      <c r="F203" s="58" t="s">
        <v>57</v>
      </c>
      <c r="G203" s="80">
        <v>0</v>
      </c>
      <c r="H203" s="81">
        <f t="shared" si="90"/>
        <v>6</v>
      </c>
      <c r="I203" s="83">
        <v>15.9</v>
      </c>
      <c r="J203" s="83">
        <f t="shared" si="91"/>
        <v>95.4</v>
      </c>
      <c r="K203" s="84">
        <v>0.46</v>
      </c>
      <c r="L203" s="85">
        <f t="shared" si="92"/>
        <v>2.76</v>
      </c>
      <c r="M203" s="86">
        <f>'LABOR SHEET'!C$5</f>
        <v>57.65</v>
      </c>
      <c r="N203" s="83">
        <f t="shared" si="93"/>
        <v>26.519</v>
      </c>
      <c r="O203" s="83">
        <f t="shared" si="94"/>
        <v>159.114</v>
      </c>
      <c r="P203" s="83">
        <f t="shared" si="95"/>
        <v>42.419</v>
      </c>
      <c r="Q203" s="114">
        <f t="shared" si="96"/>
        <v>254.514</v>
      </c>
      <c r="R203" s="101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</row>
    <row r="204" s="31" customFormat="1" spans="1:36">
      <c r="A204" s="55">
        <f>IF(G204&lt;&gt;"",1+MAX($A$3:A203),"")</f>
        <v>164</v>
      </c>
      <c r="B204" s="77"/>
      <c r="C204" s="78"/>
      <c r="D204" s="57" t="s">
        <v>347</v>
      </c>
      <c r="E204" s="75">
        <v>9</v>
      </c>
      <c r="F204" s="58" t="s">
        <v>57</v>
      </c>
      <c r="G204" s="80">
        <v>0</v>
      </c>
      <c r="H204" s="81">
        <f t="shared" si="90"/>
        <v>9</v>
      </c>
      <c r="I204" s="83">
        <v>18.2</v>
      </c>
      <c r="J204" s="83">
        <f t="shared" si="91"/>
        <v>163.8</v>
      </c>
      <c r="K204" s="84">
        <v>0.47</v>
      </c>
      <c r="L204" s="85">
        <f t="shared" si="92"/>
        <v>4.23</v>
      </c>
      <c r="M204" s="86">
        <f>'LABOR SHEET'!C$5</f>
        <v>57.65</v>
      </c>
      <c r="N204" s="83">
        <f t="shared" si="93"/>
        <v>27.0955</v>
      </c>
      <c r="O204" s="83">
        <f t="shared" si="94"/>
        <v>243.8595</v>
      </c>
      <c r="P204" s="83">
        <f t="shared" si="95"/>
        <v>45.2955</v>
      </c>
      <c r="Q204" s="114">
        <f t="shared" si="96"/>
        <v>407.6595</v>
      </c>
      <c r="R204" s="101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</row>
    <row r="205" s="31" customFormat="1" spans="1:36">
      <c r="A205" s="55">
        <f>IF(G205&lt;&gt;"",1+MAX($A$3:A204),"")</f>
        <v>165</v>
      </c>
      <c r="B205" s="77"/>
      <c r="C205" s="78"/>
      <c r="D205" s="57" t="s">
        <v>348</v>
      </c>
      <c r="E205" s="75">
        <v>3</v>
      </c>
      <c r="F205" s="58" t="s">
        <v>57</v>
      </c>
      <c r="G205" s="80">
        <v>0</v>
      </c>
      <c r="H205" s="81">
        <f t="shared" si="90"/>
        <v>3</v>
      </c>
      <c r="I205" s="83">
        <v>21.2</v>
      </c>
      <c r="J205" s="83">
        <f t="shared" si="91"/>
        <v>63.6</v>
      </c>
      <c r="K205" s="84">
        <v>0.48</v>
      </c>
      <c r="L205" s="85">
        <f t="shared" si="92"/>
        <v>1.44</v>
      </c>
      <c r="M205" s="86">
        <f>'LABOR SHEET'!C$5</f>
        <v>57.65</v>
      </c>
      <c r="N205" s="83">
        <f t="shared" si="93"/>
        <v>27.672</v>
      </c>
      <c r="O205" s="83">
        <f t="shared" si="94"/>
        <v>83.016</v>
      </c>
      <c r="P205" s="83">
        <f t="shared" si="95"/>
        <v>48.872</v>
      </c>
      <c r="Q205" s="114">
        <f t="shared" si="96"/>
        <v>146.616</v>
      </c>
      <c r="R205" s="101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</row>
    <row r="206" s="31" customFormat="1" spans="1:36">
      <c r="A206" s="55">
        <f>IF(G206&lt;&gt;"",1+MAX($A$3:A205),"")</f>
        <v>166</v>
      </c>
      <c r="B206" s="77"/>
      <c r="C206" s="78"/>
      <c r="D206" s="57" t="s">
        <v>349</v>
      </c>
      <c r="E206" s="75">
        <v>1</v>
      </c>
      <c r="F206" s="58" t="s">
        <v>57</v>
      </c>
      <c r="G206" s="80">
        <v>0</v>
      </c>
      <c r="H206" s="81">
        <f t="shared" si="90"/>
        <v>1</v>
      </c>
      <c r="I206" s="83">
        <v>23.8</v>
      </c>
      <c r="J206" s="83">
        <f t="shared" si="91"/>
        <v>23.8</v>
      </c>
      <c r="K206" s="84">
        <v>0.49</v>
      </c>
      <c r="L206" s="85">
        <f t="shared" si="92"/>
        <v>0.49</v>
      </c>
      <c r="M206" s="86">
        <f>'LABOR SHEET'!C$5</f>
        <v>57.65</v>
      </c>
      <c r="N206" s="83">
        <f t="shared" si="93"/>
        <v>28.2485</v>
      </c>
      <c r="O206" s="83">
        <f t="shared" si="94"/>
        <v>28.2485</v>
      </c>
      <c r="P206" s="83">
        <f t="shared" si="95"/>
        <v>52.0485</v>
      </c>
      <c r="Q206" s="114">
        <f t="shared" si="96"/>
        <v>52.0485</v>
      </c>
      <c r="R206" s="101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</row>
    <row r="207" s="31" customFormat="1" spans="1:36">
      <c r="A207" s="55">
        <f>IF(G207&lt;&gt;"",1+MAX($A$3:A206),"")</f>
        <v>167</v>
      </c>
      <c r="B207" s="77"/>
      <c r="C207" s="78"/>
      <c r="D207" s="57" t="s">
        <v>350</v>
      </c>
      <c r="E207" s="75">
        <v>5</v>
      </c>
      <c r="F207" s="58" t="s">
        <v>57</v>
      </c>
      <c r="G207" s="80">
        <v>0</v>
      </c>
      <c r="H207" s="81">
        <f t="shared" si="90"/>
        <v>5</v>
      </c>
      <c r="I207" s="83">
        <v>28.5</v>
      </c>
      <c r="J207" s="83">
        <f t="shared" si="91"/>
        <v>142.5</v>
      </c>
      <c r="K207" s="84">
        <v>0.5</v>
      </c>
      <c r="L207" s="85">
        <f t="shared" si="92"/>
        <v>2.5</v>
      </c>
      <c r="M207" s="86">
        <f>'LABOR SHEET'!C$5</f>
        <v>57.65</v>
      </c>
      <c r="N207" s="83">
        <f t="shared" si="93"/>
        <v>28.825</v>
      </c>
      <c r="O207" s="83">
        <f t="shared" si="94"/>
        <v>144.125</v>
      </c>
      <c r="P207" s="83">
        <f t="shared" si="95"/>
        <v>57.325</v>
      </c>
      <c r="Q207" s="114">
        <f t="shared" si="96"/>
        <v>286.625</v>
      </c>
      <c r="R207" s="101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</row>
    <row r="208" s="31" customFormat="1" spans="1:36">
      <c r="A208" s="55">
        <f>IF(G208&lt;&gt;"",1+MAX($A$3:A207),"")</f>
        <v>168</v>
      </c>
      <c r="B208" s="77"/>
      <c r="C208" s="78"/>
      <c r="D208" s="57" t="s">
        <v>351</v>
      </c>
      <c r="E208" s="75">
        <v>5</v>
      </c>
      <c r="F208" s="58" t="s">
        <v>57</v>
      </c>
      <c r="G208" s="80">
        <v>0</v>
      </c>
      <c r="H208" s="81">
        <f t="shared" si="90"/>
        <v>5</v>
      </c>
      <c r="I208" s="83">
        <v>32.1</v>
      </c>
      <c r="J208" s="83">
        <f t="shared" si="91"/>
        <v>160.5</v>
      </c>
      <c r="K208" s="84">
        <v>0.51</v>
      </c>
      <c r="L208" s="85">
        <f t="shared" si="92"/>
        <v>2.55</v>
      </c>
      <c r="M208" s="86">
        <f>'LABOR SHEET'!C$5</f>
        <v>57.65</v>
      </c>
      <c r="N208" s="83">
        <f t="shared" si="93"/>
        <v>29.4015</v>
      </c>
      <c r="O208" s="83">
        <f t="shared" si="94"/>
        <v>147.0075</v>
      </c>
      <c r="P208" s="83">
        <f t="shared" si="95"/>
        <v>61.5015</v>
      </c>
      <c r="Q208" s="114">
        <f t="shared" si="96"/>
        <v>307.5075</v>
      </c>
      <c r="R208" s="101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</row>
    <row r="209" s="31" customFormat="1" spans="1:36">
      <c r="A209" s="55">
        <f>IF(G209&lt;&gt;"",1+MAX($A$3:A208),"")</f>
        <v>169</v>
      </c>
      <c r="B209" s="77"/>
      <c r="C209" s="78"/>
      <c r="D209" s="57" t="s">
        <v>352</v>
      </c>
      <c r="E209" s="75">
        <v>3</v>
      </c>
      <c r="F209" s="58" t="s">
        <v>57</v>
      </c>
      <c r="G209" s="80">
        <v>0</v>
      </c>
      <c r="H209" s="81">
        <f t="shared" si="90"/>
        <v>3</v>
      </c>
      <c r="I209" s="83">
        <v>34.4</v>
      </c>
      <c r="J209" s="83">
        <f t="shared" si="91"/>
        <v>103.2</v>
      </c>
      <c r="K209" s="84">
        <v>0.52</v>
      </c>
      <c r="L209" s="85">
        <f t="shared" si="92"/>
        <v>1.56</v>
      </c>
      <c r="M209" s="86">
        <f>'LABOR SHEET'!C$5</f>
        <v>57.65</v>
      </c>
      <c r="N209" s="83">
        <f t="shared" si="93"/>
        <v>29.978</v>
      </c>
      <c r="O209" s="83">
        <f t="shared" si="94"/>
        <v>89.934</v>
      </c>
      <c r="P209" s="83">
        <f t="shared" si="95"/>
        <v>64.378</v>
      </c>
      <c r="Q209" s="114">
        <f t="shared" si="96"/>
        <v>193.134</v>
      </c>
      <c r="R209" s="101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</row>
    <row r="210" s="31" customFormat="1" spans="1:36">
      <c r="A210" s="55">
        <f>IF(G210&lt;&gt;"",1+MAX($A$3:A209),"")</f>
        <v>170</v>
      </c>
      <c r="B210" s="77"/>
      <c r="C210" s="78"/>
      <c r="D210" s="57" t="s">
        <v>353</v>
      </c>
      <c r="E210" s="75">
        <v>1</v>
      </c>
      <c r="F210" s="58" t="s">
        <v>57</v>
      </c>
      <c r="G210" s="80">
        <v>0</v>
      </c>
      <c r="H210" s="81">
        <f t="shared" si="90"/>
        <v>1</v>
      </c>
      <c r="I210" s="83">
        <v>38.6</v>
      </c>
      <c r="J210" s="83">
        <f t="shared" si="91"/>
        <v>38.6</v>
      </c>
      <c r="K210" s="84">
        <v>0.53</v>
      </c>
      <c r="L210" s="85">
        <f t="shared" si="92"/>
        <v>0.53</v>
      </c>
      <c r="M210" s="86">
        <f>'LABOR SHEET'!C$5</f>
        <v>57.65</v>
      </c>
      <c r="N210" s="83">
        <f t="shared" si="93"/>
        <v>30.5545</v>
      </c>
      <c r="O210" s="83">
        <f t="shared" si="94"/>
        <v>30.5545</v>
      </c>
      <c r="P210" s="83">
        <f t="shared" si="95"/>
        <v>69.1545</v>
      </c>
      <c r="Q210" s="114">
        <f t="shared" si="96"/>
        <v>69.1545</v>
      </c>
      <c r="R210" s="101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</row>
    <row r="211" s="31" customFormat="1" spans="1:36">
      <c r="A211" s="55">
        <f>IF(G211&lt;&gt;"",1+MAX($A$3:A210),"")</f>
        <v>171</v>
      </c>
      <c r="B211" s="77"/>
      <c r="C211" s="78"/>
      <c r="D211" s="57" t="s">
        <v>354</v>
      </c>
      <c r="E211" s="75">
        <v>2</v>
      </c>
      <c r="F211" s="58" t="s">
        <v>57</v>
      </c>
      <c r="G211" s="80">
        <v>0</v>
      </c>
      <c r="H211" s="81">
        <f t="shared" si="90"/>
        <v>2</v>
      </c>
      <c r="I211" s="83">
        <v>45.2</v>
      </c>
      <c r="J211" s="83">
        <f t="shared" si="91"/>
        <v>90.4</v>
      </c>
      <c r="K211" s="84">
        <v>0.54</v>
      </c>
      <c r="L211" s="85">
        <f t="shared" si="92"/>
        <v>1.08</v>
      </c>
      <c r="M211" s="86">
        <f>'LABOR SHEET'!C$5</f>
        <v>57.65</v>
      </c>
      <c r="N211" s="83">
        <f t="shared" si="93"/>
        <v>31.131</v>
      </c>
      <c r="O211" s="83">
        <f t="shared" si="94"/>
        <v>62.262</v>
      </c>
      <c r="P211" s="83">
        <f t="shared" si="95"/>
        <v>76.331</v>
      </c>
      <c r="Q211" s="114">
        <f t="shared" si="96"/>
        <v>152.662</v>
      </c>
      <c r="R211" s="101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</row>
    <row r="212" s="31" customFormat="1" spans="1:36">
      <c r="A212" s="55">
        <f>IF(G212&lt;&gt;"",1+MAX($A$3:A211),"")</f>
        <v>172</v>
      </c>
      <c r="B212" s="77"/>
      <c r="C212" s="78"/>
      <c r="D212" s="57" t="s">
        <v>355</v>
      </c>
      <c r="E212" s="75">
        <v>2</v>
      </c>
      <c r="F212" s="58" t="s">
        <v>57</v>
      </c>
      <c r="G212" s="80">
        <v>0</v>
      </c>
      <c r="H212" s="81">
        <f t="shared" si="90"/>
        <v>2</v>
      </c>
      <c r="I212" s="83">
        <v>50.2</v>
      </c>
      <c r="J212" s="83">
        <f t="shared" si="91"/>
        <v>100.4</v>
      </c>
      <c r="K212" s="84">
        <v>0.55</v>
      </c>
      <c r="L212" s="85">
        <f t="shared" si="92"/>
        <v>1.1</v>
      </c>
      <c r="M212" s="86">
        <f>'LABOR SHEET'!C$5</f>
        <v>57.65</v>
      </c>
      <c r="N212" s="83">
        <f t="shared" si="93"/>
        <v>31.7075</v>
      </c>
      <c r="O212" s="83">
        <f t="shared" si="94"/>
        <v>63.415</v>
      </c>
      <c r="P212" s="83">
        <f t="shared" si="95"/>
        <v>81.9075</v>
      </c>
      <c r="Q212" s="114">
        <f t="shared" si="96"/>
        <v>163.815</v>
      </c>
      <c r="R212" s="101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</row>
    <row r="213" s="31" customFormat="1" spans="1:36">
      <c r="A213" s="55">
        <f>IF(G213&lt;&gt;"",1+MAX($A$3:A212),"")</f>
        <v>173</v>
      </c>
      <c r="B213" s="77"/>
      <c r="C213" s="78"/>
      <c r="D213" s="57" t="s">
        <v>356</v>
      </c>
      <c r="E213" s="75">
        <v>1</v>
      </c>
      <c r="F213" s="58" t="s">
        <v>57</v>
      </c>
      <c r="G213" s="80">
        <v>0</v>
      </c>
      <c r="H213" s="81">
        <f t="shared" si="90"/>
        <v>1</v>
      </c>
      <c r="I213" s="83">
        <v>58.1</v>
      </c>
      <c r="J213" s="83">
        <f t="shared" si="91"/>
        <v>58.1</v>
      </c>
      <c r="K213" s="84">
        <v>0.56</v>
      </c>
      <c r="L213" s="85">
        <f t="shared" si="92"/>
        <v>0.56</v>
      </c>
      <c r="M213" s="86">
        <f>'LABOR SHEET'!C$5</f>
        <v>57.65</v>
      </c>
      <c r="N213" s="83">
        <f t="shared" si="93"/>
        <v>32.284</v>
      </c>
      <c r="O213" s="83">
        <f t="shared" si="94"/>
        <v>32.284</v>
      </c>
      <c r="P213" s="83">
        <f t="shared" si="95"/>
        <v>90.384</v>
      </c>
      <c r="Q213" s="114">
        <f t="shared" si="96"/>
        <v>90.384</v>
      </c>
      <c r="R213" s="101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</row>
    <row r="214" s="31" customFormat="1" spans="1:36">
      <c r="A214" s="55">
        <f>IF(G214&lt;&gt;"",1+MAX($A$3:A213),"")</f>
        <v>174</v>
      </c>
      <c r="B214" s="77"/>
      <c r="C214" s="78"/>
      <c r="D214" s="57" t="s">
        <v>357</v>
      </c>
      <c r="E214" s="75">
        <v>1</v>
      </c>
      <c r="F214" s="58" t="s">
        <v>57</v>
      </c>
      <c r="G214" s="80">
        <v>0</v>
      </c>
      <c r="H214" s="81">
        <f t="shared" si="90"/>
        <v>1</v>
      </c>
      <c r="I214" s="83">
        <v>64.2</v>
      </c>
      <c r="J214" s="83">
        <f t="shared" si="91"/>
        <v>64.2</v>
      </c>
      <c r="K214" s="84">
        <v>0.57</v>
      </c>
      <c r="L214" s="85">
        <f t="shared" si="92"/>
        <v>0.57</v>
      </c>
      <c r="M214" s="86">
        <f>'LABOR SHEET'!C$5</f>
        <v>57.65</v>
      </c>
      <c r="N214" s="83">
        <f t="shared" si="93"/>
        <v>32.8605</v>
      </c>
      <c r="O214" s="83">
        <f t="shared" si="94"/>
        <v>32.8605</v>
      </c>
      <c r="P214" s="83">
        <f t="shared" si="95"/>
        <v>97.0605</v>
      </c>
      <c r="Q214" s="114">
        <f t="shared" si="96"/>
        <v>97.0605</v>
      </c>
      <c r="R214" s="101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</row>
    <row r="215" s="31" customFormat="1" spans="1:36">
      <c r="A215" s="55">
        <f>IF(G215&lt;&gt;"",1+MAX($A$3:A214),"")</f>
        <v>175</v>
      </c>
      <c r="B215" s="77"/>
      <c r="C215" s="78"/>
      <c r="D215" s="57" t="s">
        <v>358</v>
      </c>
      <c r="E215" s="75">
        <v>10</v>
      </c>
      <c r="F215" s="58" t="s">
        <v>57</v>
      </c>
      <c r="G215" s="80">
        <v>0</v>
      </c>
      <c r="H215" s="81">
        <f t="shared" si="90"/>
        <v>10</v>
      </c>
      <c r="I215" s="83">
        <v>70.2</v>
      </c>
      <c r="J215" s="83">
        <f t="shared" si="91"/>
        <v>702</v>
      </c>
      <c r="K215" s="84">
        <v>0.58</v>
      </c>
      <c r="L215" s="85">
        <f t="shared" si="92"/>
        <v>5.8</v>
      </c>
      <c r="M215" s="86">
        <f>'LABOR SHEET'!C$5</f>
        <v>57.65</v>
      </c>
      <c r="N215" s="83">
        <f t="shared" si="93"/>
        <v>33.437</v>
      </c>
      <c r="O215" s="83">
        <f t="shared" si="94"/>
        <v>334.37</v>
      </c>
      <c r="P215" s="83">
        <f t="shared" si="95"/>
        <v>103.637</v>
      </c>
      <c r="Q215" s="114">
        <f t="shared" si="96"/>
        <v>1036.37</v>
      </c>
      <c r="R215" s="101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</row>
    <row r="216" s="31" customFormat="1" spans="1:36">
      <c r="A216" s="55">
        <f>IF(G216&lt;&gt;"",1+MAX($A$3:A215),"")</f>
        <v>176</v>
      </c>
      <c r="B216" s="77"/>
      <c r="C216" s="78"/>
      <c r="D216" s="57" t="s">
        <v>359</v>
      </c>
      <c r="E216" s="75">
        <v>2</v>
      </c>
      <c r="F216" s="58" t="s">
        <v>57</v>
      </c>
      <c r="G216" s="80">
        <v>0</v>
      </c>
      <c r="H216" s="81">
        <f t="shared" si="90"/>
        <v>2</v>
      </c>
      <c r="I216" s="83">
        <v>85.2</v>
      </c>
      <c r="J216" s="83">
        <f t="shared" si="91"/>
        <v>170.4</v>
      </c>
      <c r="K216" s="84">
        <v>0.59</v>
      </c>
      <c r="L216" s="85">
        <f t="shared" si="92"/>
        <v>1.18</v>
      </c>
      <c r="M216" s="86">
        <f>'LABOR SHEET'!C$5</f>
        <v>57.65</v>
      </c>
      <c r="N216" s="83">
        <f t="shared" si="93"/>
        <v>34.0135</v>
      </c>
      <c r="O216" s="83">
        <f t="shared" si="94"/>
        <v>68.027</v>
      </c>
      <c r="P216" s="83">
        <f t="shared" si="95"/>
        <v>119.2135</v>
      </c>
      <c r="Q216" s="114">
        <f t="shared" si="96"/>
        <v>238.427</v>
      </c>
      <c r="R216" s="101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</row>
    <row r="217" s="31" customFormat="1" spans="1:36">
      <c r="A217" s="55">
        <f>IF(G217&lt;&gt;"",1+MAX($A$3:A216),"")</f>
        <v>177</v>
      </c>
      <c r="B217" s="77"/>
      <c r="C217" s="78"/>
      <c r="D217" s="57" t="s">
        <v>360</v>
      </c>
      <c r="E217" s="75">
        <v>1</v>
      </c>
      <c r="F217" s="58" t="s">
        <v>57</v>
      </c>
      <c r="G217" s="80">
        <v>0</v>
      </c>
      <c r="H217" s="81">
        <f t="shared" si="90"/>
        <v>1</v>
      </c>
      <c r="I217" s="83">
        <v>90.4</v>
      </c>
      <c r="J217" s="83">
        <f t="shared" si="91"/>
        <v>90.4</v>
      </c>
      <c r="K217" s="84">
        <v>0.6</v>
      </c>
      <c r="L217" s="85">
        <f t="shared" si="92"/>
        <v>0.6</v>
      </c>
      <c r="M217" s="86">
        <f>'LABOR SHEET'!C$5</f>
        <v>57.65</v>
      </c>
      <c r="N217" s="83">
        <f t="shared" si="93"/>
        <v>34.59</v>
      </c>
      <c r="O217" s="83">
        <f t="shared" si="94"/>
        <v>34.59</v>
      </c>
      <c r="P217" s="83">
        <f t="shared" si="95"/>
        <v>124.99</v>
      </c>
      <c r="Q217" s="114">
        <f t="shared" si="96"/>
        <v>124.99</v>
      </c>
      <c r="R217" s="101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</row>
    <row r="218" s="31" customFormat="1" spans="1:36">
      <c r="A218" s="55">
        <f>IF(G218&lt;&gt;"",1+MAX($A$3:A217),"")</f>
        <v>178</v>
      </c>
      <c r="B218" s="77"/>
      <c r="C218" s="78"/>
      <c r="D218" s="57" t="s">
        <v>361</v>
      </c>
      <c r="E218" s="75">
        <v>2</v>
      </c>
      <c r="F218" s="58" t="s">
        <v>57</v>
      </c>
      <c r="G218" s="80">
        <v>0</v>
      </c>
      <c r="H218" s="81">
        <f t="shared" si="90"/>
        <v>2</v>
      </c>
      <c r="I218" s="83">
        <v>96.5</v>
      </c>
      <c r="J218" s="83">
        <f t="shared" si="91"/>
        <v>193</v>
      </c>
      <c r="K218" s="84">
        <v>0.61</v>
      </c>
      <c r="L218" s="85">
        <f t="shared" si="92"/>
        <v>1.22</v>
      </c>
      <c r="M218" s="86">
        <f>'LABOR SHEET'!C$5</f>
        <v>57.65</v>
      </c>
      <c r="N218" s="83">
        <f t="shared" si="93"/>
        <v>35.1665</v>
      </c>
      <c r="O218" s="83">
        <f t="shared" si="94"/>
        <v>70.333</v>
      </c>
      <c r="P218" s="83">
        <f t="shared" si="95"/>
        <v>131.6665</v>
      </c>
      <c r="Q218" s="114">
        <f t="shared" si="96"/>
        <v>263.333</v>
      </c>
      <c r="R218" s="101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</row>
    <row r="219" s="31" customFormat="1" spans="1:36">
      <c r="A219" s="55">
        <f>IF(G219&lt;&gt;"",1+MAX($A$3:A218),"")</f>
        <v>179</v>
      </c>
      <c r="B219" s="77"/>
      <c r="C219" s="78"/>
      <c r="D219" s="57" t="s">
        <v>362</v>
      </c>
      <c r="E219" s="75">
        <v>1</v>
      </c>
      <c r="F219" s="58" t="s">
        <v>57</v>
      </c>
      <c r="G219" s="80">
        <v>0</v>
      </c>
      <c r="H219" s="81">
        <f t="shared" si="90"/>
        <v>1</v>
      </c>
      <c r="I219" s="83">
        <v>100</v>
      </c>
      <c r="J219" s="83">
        <f t="shared" si="91"/>
        <v>100</v>
      </c>
      <c r="K219" s="84">
        <v>0.62</v>
      </c>
      <c r="L219" s="85">
        <f t="shared" si="92"/>
        <v>0.62</v>
      </c>
      <c r="M219" s="86">
        <f>'LABOR SHEET'!C$5</f>
        <v>57.65</v>
      </c>
      <c r="N219" s="83">
        <f t="shared" si="93"/>
        <v>35.743</v>
      </c>
      <c r="O219" s="83">
        <f t="shared" si="94"/>
        <v>35.743</v>
      </c>
      <c r="P219" s="83">
        <f t="shared" si="95"/>
        <v>135.743</v>
      </c>
      <c r="Q219" s="114">
        <f t="shared" si="96"/>
        <v>135.743</v>
      </c>
      <c r="R219" s="101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</row>
    <row r="220" s="31" customFormat="1" spans="1:36">
      <c r="A220" s="55">
        <f>IF(G220&lt;&gt;"",1+MAX($A$3:A219),"")</f>
        <v>180</v>
      </c>
      <c r="B220" s="77"/>
      <c r="C220" s="78"/>
      <c r="D220" s="57" t="s">
        <v>363</v>
      </c>
      <c r="E220" s="75">
        <v>1</v>
      </c>
      <c r="F220" s="58" t="s">
        <v>57</v>
      </c>
      <c r="G220" s="80">
        <v>0</v>
      </c>
      <c r="H220" s="81">
        <f t="shared" si="90"/>
        <v>1</v>
      </c>
      <c r="I220" s="83">
        <v>105</v>
      </c>
      <c r="J220" s="83">
        <f t="shared" si="91"/>
        <v>105</v>
      </c>
      <c r="K220" s="84">
        <v>0.63</v>
      </c>
      <c r="L220" s="85">
        <f t="shared" si="92"/>
        <v>0.63</v>
      </c>
      <c r="M220" s="86">
        <f>'LABOR SHEET'!C$5</f>
        <v>57.65</v>
      </c>
      <c r="N220" s="83">
        <f t="shared" si="93"/>
        <v>36.3195</v>
      </c>
      <c r="O220" s="83">
        <f t="shared" si="94"/>
        <v>36.3195</v>
      </c>
      <c r="P220" s="83">
        <f t="shared" si="95"/>
        <v>141.3195</v>
      </c>
      <c r="Q220" s="114">
        <f t="shared" si="96"/>
        <v>141.3195</v>
      </c>
      <c r="R220" s="101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</row>
    <row r="221" s="31" customFormat="1" spans="1:36">
      <c r="A221" s="55">
        <f>IF(G221&lt;&gt;"",1+MAX($A$3:A220),"")</f>
        <v>181</v>
      </c>
      <c r="B221" s="77"/>
      <c r="C221" s="78"/>
      <c r="D221" s="57" t="s">
        <v>364</v>
      </c>
      <c r="E221" s="75">
        <v>3</v>
      </c>
      <c r="F221" s="58" t="s">
        <v>57</v>
      </c>
      <c r="G221" s="80">
        <v>0</v>
      </c>
      <c r="H221" s="81">
        <f t="shared" si="90"/>
        <v>3</v>
      </c>
      <c r="I221" s="83">
        <v>108</v>
      </c>
      <c r="J221" s="83">
        <f t="shared" si="91"/>
        <v>324</v>
      </c>
      <c r="K221" s="84">
        <v>0.64</v>
      </c>
      <c r="L221" s="85">
        <f t="shared" si="92"/>
        <v>1.92</v>
      </c>
      <c r="M221" s="86">
        <f>'LABOR SHEET'!C$5</f>
        <v>57.65</v>
      </c>
      <c r="N221" s="83">
        <f t="shared" si="93"/>
        <v>36.896</v>
      </c>
      <c r="O221" s="83">
        <f t="shared" si="94"/>
        <v>110.688</v>
      </c>
      <c r="P221" s="83">
        <f t="shared" si="95"/>
        <v>144.896</v>
      </c>
      <c r="Q221" s="114">
        <f t="shared" si="96"/>
        <v>434.688</v>
      </c>
      <c r="R221" s="101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</row>
    <row r="222" s="31" customFormat="1" spans="1:36">
      <c r="A222" s="55">
        <f>IF(G222&lt;&gt;"",1+MAX($A$3:A221),"")</f>
        <v>182</v>
      </c>
      <c r="B222" s="77"/>
      <c r="C222" s="78"/>
      <c r="D222" s="57" t="s">
        <v>365</v>
      </c>
      <c r="E222" s="75">
        <v>12</v>
      </c>
      <c r="F222" s="58" t="s">
        <v>57</v>
      </c>
      <c r="G222" s="80">
        <v>0</v>
      </c>
      <c r="H222" s="81">
        <f t="shared" si="90"/>
        <v>12</v>
      </c>
      <c r="I222" s="83">
        <v>2.23</v>
      </c>
      <c r="J222" s="83">
        <f t="shared" si="91"/>
        <v>26.76</v>
      </c>
      <c r="K222" s="84">
        <v>0.35</v>
      </c>
      <c r="L222" s="85">
        <f t="shared" si="92"/>
        <v>4.2</v>
      </c>
      <c r="M222" s="86">
        <f>'LABOR SHEET'!C$5</f>
        <v>57.65</v>
      </c>
      <c r="N222" s="83">
        <f t="shared" si="93"/>
        <v>20.1775</v>
      </c>
      <c r="O222" s="83">
        <f t="shared" si="94"/>
        <v>242.13</v>
      </c>
      <c r="P222" s="83">
        <f t="shared" si="95"/>
        <v>22.4075</v>
      </c>
      <c r="Q222" s="114">
        <f t="shared" si="96"/>
        <v>268.89</v>
      </c>
      <c r="R222" s="101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</row>
    <row r="223" s="31" customFormat="1" spans="1:36">
      <c r="A223" s="55">
        <f>IF(G223&lt;&gt;"",1+MAX($A$3:A222),"")</f>
        <v>183</v>
      </c>
      <c r="B223" s="77"/>
      <c r="C223" s="78"/>
      <c r="D223" s="57" t="s">
        <v>366</v>
      </c>
      <c r="E223" s="75">
        <v>10</v>
      </c>
      <c r="F223" s="58" t="s">
        <v>57</v>
      </c>
      <c r="G223" s="80">
        <v>0</v>
      </c>
      <c r="H223" s="81">
        <f t="shared" si="90"/>
        <v>10</v>
      </c>
      <c r="I223" s="83">
        <v>6.7</v>
      </c>
      <c r="J223" s="83">
        <f t="shared" si="91"/>
        <v>67</v>
      </c>
      <c r="K223" s="84">
        <v>0.355</v>
      </c>
      <c r="L223" s="85">
        <f t="shared" si="92"/>
        <v>3.55</v>
      </c>
      <c r="M223" s="86">
        <f>'LABOR SHEET'!C$5</f>
        <v>57.65</v>
      </c>
      <c r="N223" s="83">
        <f t="shared" si="93"/>
        <v>20.46575</v>
      </c>
      <c r="O223" s="83">
        <f t="shared" si="94"/>
        <v>204.6575</v>
      </c>
      <c r="P223" s="83">
        <f t="shared" si="95"/>
        <v>27.16575</v>
      </c>
      <c r="Q223" s="114">
        <f t="shared" si="96"/>
        <v>271.6575</v>
      </c>
      <c r="R223" s="101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</row>
    <row r="224" s="31" customFormat="1" spans="1:36">
      <c r="A224" s="55">
        <f>IF(G224&lt;&gt;"",1+MAX($A$3:A223),"")</f>
        <v>184</v>
      </c>
      <c r="B224" s="77"/>
      <c r="C224" s="78"/>
      <c r="D224" s="57" t="s">
        <v>367</v>
      </c>
      <c r="E224" s="75">
        <v>1</v>
      </c>
      <c r="F224" s="58" t="s">
        <v>57</v>
      </c>
      <c r="G224" s="80">
        <v>0</v>
      </c>
      <c r="H224" s="81">
        <f t="shared" si="90"/>
        <v>1</v>
      </c>
      <c r="I224" s="83">
        <v>11.2</v>
      </c>
      <c r="J224" s="83">
        <f t="shared" si="91"/>
        <v>11.2</v>
      </c>
      <c r="K224" s="84">
        <v>0.36</v>
      </c>
      <c r="L224" s="85">
        <f t="shared" si="92"/>
        <v>0.36</v>
      </c>
      <c r="M224" s="86">
        <f>'LABOR SHEET'!C$5</f>
        <v>57.65</v>
      </c>
      <c r="N224" s="83">
        <f t="shared" si="93"/>
        <v>20.754</v>
      </c>
      <c r="O224" s="83">
        <f t="shared" si="94"/>
        <v>20.754</v>
      </c>
      <c r="P224" s="83">
        <f t="shared" si="95"/>
        <v>31.954</v>
      </c>
      <c r="Q224" s="114">
        <f t="shared" si="96"/>
        <v>31.954</v>
      </c>
      <c r="R224" s="101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</row>
    <row r="225" s="31" customFormat="1" spans="1:36">
      <c r="A225" s="55">
        <f>IF(G225&lt;&gt;"",1+MAX($A$3:A224),"")</f>
        <v>185</v>
      </c>
      <c r="B225" s="77"/>
      <c r="C225" s="78"/>
      <c r="D225" s="57" t="s">
        <v>368</v>
      </c>
      <c r="E225" s="75">
        <v>7</v>
      </c>
      <c r="F225" s="58" t="s">
        <v>57</v>
      </c>
      <c r="G225" s="80">
        <v>0</v>
      </c>
      <c r="H225" s="81">
        <f t="shared" si="90"/>
        <v>7</v>
      </c>
      <c r="I225" s="83">
        <v>16.2</v>
      </c>
      <c r="J225" s="83">
        <f t="shared" si="91"/>
        <v>113.4</v>
      </c>
      <c r="K225" s="84">
        <v>0.365</v>
      </c>
      <c r="L225" s="85">
        <f t="shared" si="92"/>
        <v>2.555</v>
      </c>
      <c r="M225" s="86">
        <f>'LABOR SHEET'!C$5</f>
        <v>57.65</v>
      </c>
      <c r="N225" s="83">
        <f t="shared" si="93"/>
        <v>21.04225</v>
      </c>
      <c r="O225" s="83">
        <f t="shared" si="94"/>
        <v>147.29575</v>
      </c>
      <c r="P225" s="83">
        <f t="shared" si="95"/>
        <v>37.24225</v>
      </c>
      <c r="Q225" s="114">
        <f t="shared" si="96"/>
        <v>260.69575</v>
      </c>
      <c r="R225" s="101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</row>
    <row r="226" s="31" customFormat="1" spans="1:36">
      <c r="A226" s="55">
        <f>IF(G226&lt;&gt;"",1+MAX($A$3:A225),"")</f>
        <v>186</v>
      </c>
      <c r="B226" s="77"/>
      <c r="C226" s="78"/>
      <c r="D226" s="57" t="s">
        <v>369</v>
      </c>
      <c r="E226" s="75">
        <v>0</v>
      </c>
      <c r="F226" s="58" t="s">
        <v>57</v>
      </c>
      <c r="G226" s="80">
        <v>0</v>
      </c>
      <c r="H226" s="81">
        <f t="shared" si="90"/>
        <v>0</v>
      </c>
      <c r="I226" s="83">
        <v>22.3</v>
      </c>
      <c r="J226" s="83">
        <f t="shared" si="91"/>
        <v>0</v>
      </c>
      <c r="K226" s="84">
        <v>0.37</v>
      </c>
      <c r="L226" s="85">
        <f t="shared" si="92"/>
        <v>0</v>
      </c>
      <c r="M226" s="86">
        <f>'LABOR SHEET'!C$5</f>
        <v>57.65</v>
      </c>
      <c r="N226" s="83">
        <f t="shared" si="93"/>
        <v>21.3305</v>
      </c>
      <c r="O226" s="83">
        <f t="shared" si="94"/>
        <v>0</v>
      </c>
      <c r="P226" s="83">
        <f t="shared" si="95"/>
        <v>43.6305</v>
      </c>
      <c r="Q226" s="114">
        <f t="shared" si="96"/>
        <v>0</v>
      </c>
      <c r="R226" s="101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</row>
    <row r="227" s="31" customFormat="1" spans="1:36">
      <c r="A227" s="55">
        <f>IF(G227&lt;&gt;"",1+MAX($A$3:A226),"")</f>
        <v>187</v>
      </c>
      <c r="B227" s="77"/>
      <c r="C227" s="78"/>
      <c r="D227" s="57" t="s">
        <v>370</v>
      </c>
      <c r="E227" s="75">
        <v>3</v>
      </c>
      <c r="F227" s="58" t="s">
        <v>57</v>
      </c>
      <c r="G227" s="80">
        <v>0</v>
      </c>
      <c r="H227" s="81">
        <f t="shared" si="90"/>
        <v>3</v>
      </c>
      <c r="I227" s="83">
        <v>28.4</v>
      </c>
      <c r="J227" s="83">
        <f t="shared" si="91"/>
        <v>85.2</v>
      </c>
      <c r="K227" s="84">
        <v>0.375</v>
      </c>
      <c r="L227" s="85">
        <f t="shared" si="92"/>
        <v>1.125</v>
      </c>
      <c r="M227" s="86">
        <f>'LABOR SHEET'!C$5</f>
        <v>57.65</v>
      </c>
      <c r="N227" s="83">
        <f t="shared" si="93"/>
        <v>21.61875</v>
      </c>
      <c r="O227" s="83">
        <f t="shared" si="94"/>
        <v>64.85625</v>
      </c>
      <c r="P227" s="83">
        <f t="shared" si="95"/>
        <v>50.01875</v>
      </c>
      <c r="Q227" s="114">
        <f t="shared" si="96"/>
        <v>150.05625</v>
      </c>
      <c r="R227" s="101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</row>
    <row r="228" s="31" customFormat="1" spans="1:36">
      <c r="A228" s="55">
        <f>IF(G228&lt;&gt;"",1+MAX($A$3:A227),"")</f>
        <v>188</v>
      </c>
      <c r="B228" s="77"/>
      <c r="C228" s="78"/>
      <c r="D228" s="57" t="s">
        <v>371</v>
      </c>
      <c r="E228" s="75">
        <v>1</v>
      </c>
      <c r="F228" s="58" t="s">
        <v>57</v>
      </c>
      <c r="G228" s="80">
        <v>0</v>
      </c>
      <c r="H228" s="81">
        <f t="shared" si="90"/>
        <v>1</v>
      </c>
      <c r="I228" s="83">
        <v>35.9</v>
      </c>
      <c r="J228" s="83">
        <f t="shared" si="91"/>
        <v>35.9</v>
      </c>
      <c r="K228" s="84">
        <v>0.38</v>
      </c>
      <c r="L228" s="85">
        <f t="shared" si="92"/>
        <v>0.38</v>
      </c>
      <c r="M228" s="86">
        <f>'LABOR SHEET'!C$5</f>
        <v>57.65</v>
      </c>
      <c r="N228" s="83">
        <f t="shared" si="93"/>
        <v>21.907</v>
      </c>
      <c r="O228" s="83">
        <f t="shared" si="94"/>
        <v>21.907</v>
      </c>
      <c r="P228" s="83">
        <f t="shared" si="95"/>
        <v>57.807</v>
      </c>
      <c r="Q228" s="114">
        <f t="shared" si="96"/>
        <v>57.807</v>
      </c>
      <c r="R228" s="101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</row>
    <row r="229" s="31" customFormat="1" spans="1:36">
      <c r="A229" s="55">
        <f>IF(G229&lt;&gt;"",1+MAX($A$3:A228),"")</f>
        <v>189</v>
      </c>
      <c r="B229" s="77"/>
      <c r="C229" s="78"/>
      <c r="D229" s="57" t="s">
        <v>372</v>
      </c>
      <c r="E229" s="75">
        <v>2</v>
      </c>
      <c r="F229" s="58" t="s">
        <v>57</v>
      </c>
      <c r="G229" s="80">
        <v>0</v>
      </c>
      <c r="H229" s="81">
        <f t="shared" si="90"/>
        <v>2</v>
      </c>
      <c r="I229" s="83">
        <v>42.3</v>
      </c>
      <c r="J229" s="83">
        <f t="shared" si="91"/>
        <v>84.6</v>
      </c>
      <c r="K229" s="84">
        <v>0.385</v>
      </c>
      <c r="L229" s="85">
        <f t="shared" si="92"/>
        <v>0.77</v>
      </c>
      <c r="M229" s="86">
        <f>'LABOR SHEET'!C$5</f>
        <v>57.65</v>
      </c>
      <c r="N229" s="83">
        <f t="shared" si="93"/>
        <v>22.19525</v>
      </c>
      <c r="O229" s="83">
        <f t="shared" si="94"/>
        <v>44.3905</v>
      </c>
      <c r="P229" s="83">
        <f t="shared" si="95"/>
        <v>64.49525</v>
      </c>
      <c r="Q229" s="114">
        <f t="shared" si="96"/>
        <v>128.9905</v>
      </c>
      <c r="R229" s="101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</row>
    <row r="230" s="31" customFormat="1" spans="1:36">
      <c r="A230" s="55">
        <f>IF(G230&lt;&gt;"",1+MAX($A$3:A229),"")</f>
        <v>190</v>
      </c>
      <c r="B230" s="77"/>
      <c r="C230" s="78"/>
      <c r="D230" s="57" t="s">
        <v>373</v>
      </c>
      <c r="E230" s="75">
        <v>3</v>
      </c>
      <c r="F230" s="58" t="s">
        <v>57</v>
      </c>
      <c r="G230" s="80">
        <v>0</v>
      </c>
      <c r="H230" s="81">
        <f t="shared" si="90"/>
        <v>3</v>
      </c>
      <c r="I230" s="83">
        <v>48.6</v>
      </c>
      <c r="J230" s="83">
        <f t="shared" si="91"/>
        <v>145.8</v>
      </c>
      <c r="K230" s="84">
        <v>0.39</v>
      </c>
      <c r="L230" s="85">
        <f t="shared" si="92"/>
        <v>1.17</v>
      </c>
      <c r="M230" s="86">
        <f>'LABOR SHEET'!C$5</f>
        <v>57.65</v>
      </c>
      <c r="N230" s="83">
        <f t="shared" si="93"/>
        <v>22.4835</v>
      </c>
      <c r="O230" s="83">
        <f t="shared" si="94"/>
        <v>67.4505</v>
      </c>
      <c r="P230" s="83">
        <f t="shared" si="95"/>
        <v>71.0835</v>
      </c>
      <c r="Q230" s="114">
        <f t="shared" si="96"/>
        <v>213.2505</v>
      </c>
      <c r="R230" s="101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</row>
    <row r="231" s="31" customFormat="1" spans="1:36">
      <c r="A231" s="55">
        <f>IF(G231&lt;&gt;"",1+MAX($A$3:A230),"")</f>
        <v>191</v>
      </c>
      <c r="B231" s="77"/>
      <c r="C231" s="78"/>
      <c r="D231" s="57" t="s">
        <v>374</v>
      </c>
      <c r="E231" s="75">
        <v>1</v>
      </c>
      <c r="F231" s="58" t="s">
        <v>57</v>
      </c>
      <c r="G231" s="80">
        <v>0</v>
      </c>
      <c r="H231" s="81">
        <f t="shared" si="90"/>
        <v>1</v>
      </c>
      <c r="I231" s="83">
        <v>50.3</v>
      </c>
      <c r="J231" s="83">
        <f t="shared" si="91"/>
        <v>50.3</v>
      </c>
      <c r="K231" s="84">
        <v>0.395</v>
      </c>
      <c r="L231" s="85">
        <f t="shared" si="92"/>
        <v>0.395</v>
      </c>
      <c r="M231" s="86">
        <f>'LABOR SHEET'!C$5</f>
        <v>57.65</v>
      </c>
      <c r="N231" s="83">
        <f t="shared" si="93"/>
        <v>22.77175</v>
      </c>
      <c r="O231" s="83">
        <f t="shared" si="94"/>
        <v>22.77175</v>
      </c>
      <c r="P231" s="83">
        <f t="shared" si="95"/>
        <v>73.07175</v>
      </c>
      <c r="Q231" s="114">
        <f t="shared" si="96"/>
        <v>73.07175</v>
      </c>
      <c r="R231" s="101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</row>
    <row r="232" s="31" customFormat="1" spans="1:36">
      <c r="A232" s="55">
        <f>IF(G232&lt;&gt;"",1+MAX($A$3:A231),"")</f>
        <v>192</v>
      </c>
      <c r="B232" s="77"/>
      <c r="C232" s="78"/>
      <c r="D232" s="57" t="s">
        <v>375</v>
      </c>
      <c r="E232" s="75">
        <v>3</v>
      </c>
      <c r="F232" s="58" t="s">
        <v>57</v>
      </c>
      <c r="G232" s="80">
        <v>0</v>
      </c>
      <c r="H232" s="81">
        <f t="shared" si="90"/>
        <v>3</v>
      </c>
      <c r="I232" s="83">
        <v>55.2</v>
      </c>
      <c r="J232" s="83">
        <f t="shared" si="91"/>
        <v>165.6</v>
      </c>
      <c r="K232" s="84">
        <v>0.4</v>
      </c>
      <c r="L232" s="85">
        <f t="shared" si="92"/>
        <v>1.2</v>
      </c>
      <c r="M232" s="86">
        <f>'LABOR SHEET'!C$5</f>
        <v>57.65</v>
      </c>
      <c r="N232" s="83">
        <f t="shared" si="93"/>
        <v>23.06</v>
      </c>
      <c r="O232" s="83">
        <f t="shared" si="94"/>
        <v>69.18</v>
      </c>
      <c r="P232" s="83">
        <f t="shared" si="95"/>
        <v>78.26</v>
      </c>
      <c r="Q232" s="114">
        <f t="shared" si="96"/>
        <v>234.78</v>
      </c>
      <c r="R232" s="101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</row>
    <row r="233" s="31" customFormat="1" spans="1:36">
      <c r="A233" s="55">
        <f>IF(G233&lt;&gt;"",1+MAX($A$3:A232),"")</f>
        <v>193</v>
      </c>
      <c r="B233" s="77"/>
      <c r="C233" s="78"/>
      <c r="D233" s="57" t="s">
        <v>376</v>
      </c>
      <c r="E233" s="75">
        <v>2</v>
      </c>
      <c r="F233" s="58" t="s">
        <v>57</v>
      </c>
      <c r="G233" s="80">
        <v>0</v>
      </c>
      <c r="H233" s="81">
        <f t="shared" si="90"/>
        <v>2</v>
      </c>
      <c r="I233" s="83">
        <v>60</v>
      </c>
      <c r="J233" s="83">
        <f t="shared" si="91"/>
        <v>120</v>
      </c>
      <c r="K233" s="84">
        <v>0.405</v>
      </c>
      <c r="L233" s="85">
        <f t="shared" si="92"/>
        <v>0.81</v>
      </c>
      <c r="M233" s="86">
        <f>'LABOR SHEET'!C$5</f>
        <v>57.65</v>
      </c>
      <c r="N233" s="83">
        <f t="shared" si="93"/>
        <v>23.34825</v>
      </c>
      <c r="O233" s="83">
        <f t="shared" si="94"/>
        <v>46.6965</v>
      </c>
      <c r="P233" s="83">
        <f t="shared" si="95"/>
        <v>83.34825</v>
      </c>
      <c r="Q233" s="114">
        <f t="shared" si="96"/>
        <v>166.6965</v>
      </c>
      <c r="R233" s="101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</row>
    <row r="234" s="31" customFormat="1" spans="1:36">
      <c r="A234" s="55">
        <f>IF(G234&lt;&gt;"",1+MAX($A$3:A233),"")</f>
        <v>194</v>
      </c>
      <c r="B234" s="77"/>
      <c r="C234" s="78"/>
      <c r="D234" s="57" t="s">
        <v>377</v>
      </c>
      <c r="E234" s="75">
        <v>1</v>
      </c>
      <c r="F234" s="58" t="s">
        <v>57</v>
      </c>
      <c r="G234" s="80">
        <v>0</v>
      </c>
      <c r="H234" s="81">
        <f t="shared" si="90"/>
        <v>1</v>
      </c>
      <c r="I234" s="83">
        <v>63.77</v>
      </c>
      <c r="J234" s="83">
        <f t="shared" si="91"/>
        <v>63.77</v>
      </c>
      <c r="K234" s="84">
        <v>0.41</v>
      </c>
      <c r="L234" s="85">
        <f t="shared" si="92"/>
        <v>0.41</v>
      </c>
      <c r="M234" s="86">
        <f>'LABOR SHEET'!C$5</f>
        <v>57.65</v>
      </c>
      <c r="N234" s="83">
        <f t="shared" si="93"/>
        <v>23.6365</v>
      </c>
      <c r="O234" s="83">
        <f t="shared" si="94"/>
        <v>23.6365</v>
      </c>
      <c r="P234" s="83">
        <f t="shared" si="95"/>
        <v>87.4065</v>
      </c>
      <c r="Q234" s="114">
        <f t="shared" si="96"/>
        <v>87.4065</v>
      </c>
      <c r="R234" s="101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</row>
    <row r="235" s="31" customFormat="1" spans="1:36">
      <c r="A235" s="55" t="str">
        <f>IF(G235&lt;&gt;"",1+MAX($A$3:A234),"")</f>
        <v/>
      </c>
      <c r="B235" s="77"/>
      <c r="C235" s="78"/>
      <c r="D235" s="57"/>
      <c r="E235" s="75"/>
      <c r="F235" s="58"/>
      <c r="G235" s="80"/>
      <c r="H235" s="81"/>
      <c r="I235" s="87"/>
      <c r="J235" s="83"/>
      <c r="K235" s="84"/>
      <c r="L235" s="85"/>
      <c r="M235" s="86"/>
      <c r="N235" s="83"/>
      <c r="O235" s="83"/>
      <c r="P235" s="83"/>
      <c r="Q235" s="114"/>
      <c r="R235" s="101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</row>
    <row r="236" s="31" customFormat="1" ht="18" spans="1:36">
      <c r="A236" s="55" t="str">
        <f>IF(G236&lt;&gt;"",1+MAX($A$3:A152),"")</f>
        <v/>
      </c>
      <c r="B236" s="77"/>
      <c r="C236" s="78"/>
      <c r="D236" s="76" t="s">
        <v>231</v>
      </c>
      <c r="E236" s="75"/>
      <c r="F236" s="58"/>
      <c r="G236" s="80"/>
      <c r="H236" s="81"/>
      <c r="I236" s="87"/>
      <c r="J236" s="83"/>
      <c r="K236" s="84"/>
      <c r="L236" s="85"/>
      <c r="M236" s="86"/>
      <c r="N236" s="83"/>
      <c r="O236" s="83"/>
      <c r="P236" s="83"/>
      <c r="Q236" s="114"/>
      <c r="R236" s="101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</row>
    <row r="237" s="31" customFormat="1" spans="1:36">
      <c r="A237" s="55" t="str">
        <f>IF(G237&lt;&gt;"",1+MAX($A$3:A236),"")</f>
        <v/>
      </c>
      <c r="B237" s="77"/>
      <c r="C237" s="78"/>
      <c r="D237" s="79" t="s">
        <v>232</v>
      </c>
      <c r="E237" s="75"/>
      <c r="F237" s="58"/>
      <c r="G237" s="80"/>
      <c r="H237" s="81"/>
      <c r="I237" s="87"/>
      <c r="J237" s="83"/>
      <c r="K237" s="84"/>
      <c r="L237" s="85"/>
      <c r="M237" s="86"/>
      <c r="N237" s="83"/>
      <c r="O237" s="83"/>
      <c r="P237" s="83"/>
      <c r="Q237" s="114"/>
      <c r="R237" s="101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</row>
    <row r="238" s="31" customFormat="1" spans="1:36">
      <c r="A238" s="55">
        <f>IF(G238&lt;&gt;"",1+MAX($A$3:A237),"")</f>
        <v>195</v>
      </c>
      <c r="B238" s="77"/>
      <c r="C238" s="78"/>
      <c r="D238" s="57" t="s">
        <v>233</v>
      </c>
      <c r="E238" s="75">
        <v>58.6</v>
      </c>
      <c r="F238" s="58" t="s">
        <v>47</v>
      </c>
      <c r="G238" s="80">
        <v>0.05</v>
      </c>
      <c r="H238" s="81">
        <f t="shared" ref="H238:H243" si="97">E238*(1+G238)</f>
        <v>61.53</v>
      </c>
      <c r="I238" s="87">
        <f>((5.15)-(1))+(2.6)</f>
        <v>6.75</v>
      </c>
      <c r="J238" s="83">
        <f t="shared" ref="J238:J243" si="98">I238*H238</f>
        <v>415.3275</v>
      </c>
      <c r="K238" s="84">
        <v>0.105</v>
      </c>
      <c r="L238" s="85">
        <f t="shared" ref="L238:L243" si="99">+K238*H238</f>
        <v>6.46065</v>
      </c>
      <c r="M238" s="86">
        <f>'LABOR SHEET'!C$5</f>
        <v>57.65</v>
      </c>
      <c r="N238" s="83">
        <f t="shared" ref="N238:N243" si="100">K238*M238</f>
        <v>6.05325</v>
      </c>
      <c r="O238" s="83">
        <f t="shared" ref="O238:O243" si="101">M238*L238</f>
        <v>372.4564725</v>
      </c>
      <c r="P238" s="83">
        <f t="shared" ref="P238:P243" si="102">I238+N238</f>
        <v>12.80325</v>
      </c>
      <c r="Q238" s="114">
        <f t="shared" ref="Q238:Q243" si="103">P238*H238</f>
        <v>787.7839725</v>
      </c>
      <c r="R238" s="101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</row>
    <row r="239" s="31" customFormat="1" spans="1:36">
      <c r="A239" s="55">
        <f>IF(G239&lt;&gt;"",1+MAX($A$3:A238),"")</f>
        <v>196</v>
      </c>
      <c r="B239" s="77"/>
      <c r="C239" s="78"/>
      <c r="D239" s="57" t="s">
        <v>233</v>
      </c>
      <c r="E239" s="75">
        <v>744.72</v>
      </c>
      <c r="F239" s="58" t="s">
        <v>47</v>
      </c>
      <c r="G239" s="80">
        <v>0.05</v>
      </c>
      <c r="H239" s="81">
        <f t="shared" si="97"/>
        <v>781.956</v>
      </c>
      <c r="I239" s="87">
        <f>(5.15-(1))+(2.6)</f>
        <v>6.75</v>
      </c>
      <c r="J239" s="83">
        <f t="shared" si="98"/>
        <v>5278.203</v>
      </c>
      <c r="K239" s="84">
        <v>0.105</v>
      </c>
      <c r="L239" s="85">
        <f t="shared" si="99"/>
        <v>82.10538</v>
      </c>
      <c r="M239" s="86">
        <f>'LABOR SHEET'!C$5</f>
        <v>57.65</v>
      </c>
      <c r="N239" s="83">
        <f t="shared" si="100"/>
        <v>6.05325</v>
      </c>
      <c r="O239" s="83">
        <f t="shared" si="101"/>
        <v>4733.375157</v>
      </c>
      <c r="P239" s="83">
        <f t="shared" si="102"/>
        <v>12.80325</v>
      </c>
      <c r="Q239" s="114">
        <f t="shared" si="103"/>
        <v>10011.578157</v>
      </c>
      <c r="R239" s="101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</row>
    <row r="240" s="31" customFormat="1" spans="1:36">
      <c r="A240" s="55">
        <f>IF(G240&lt;&gt;"",1+MAX($A$3:A239),"")</f>
        <v>197</v>
      </c>
      <c r="B240" s="77"/>
      <c r="C240" s="78"/>
      <c r="D240" s="57" t="s">
        <v>234</v>
      </c>
      <c r="E240" s="75">
        <v>48.81</v>
      </c>
      <c r="F240" s="58" t="s">
        <v>47</v>
      </c>
      <c r="G240" s="80">
        <v>0.05</v>
      </c>
      <c r="H240" s="81">
        <f t="shared" si="97"/>
        <v>51.2505</v>
      </c>
      <c r="I240" s="87">
        <f>(7.25-(1))+(2.6)</f>
        <v>8.85</v>
      </c>
      <c r="J240" s="83">
        <f t="shared" si="98"/>
        <v>453.566925</v>
      </c>
      <c r="K240" s="84">
        <v>0.118</v>
      </c>
      <c r="L240" s="85">
        <f t="shared" si="99"/>
        <v>6.047559</v>
      </c>
      <c r="M240" s="86">
        <f>'LABOR SHEET'!C$5</f>
        <v>57.65</v>
      </c>
      <c r="N240" s="83">
        <f t="shared" si="100"/>
        <v>6.8027</v>
      </c>
      <c r="O240" s="83">
        <f t="shared" si="101"/>
        <v>348.64177635</v>
      </c>
      <c r="P240" s="83">
        <f t="shared" si="102"/>
        <v>15.6527</v>
      </c>
      <c r="Q240" s="114">
        <f t="shared" si="103"/>
        <v>802.20870135</v>
      </c>
      <c r="R240" s="101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</row>
    <row r="241" s="31" customFormat="1" spans="1:36">
      <c r="A241" s="55">
        <f>IF(G241&lt;&gt;"",1+MAX($A$3:A240),"")</f>
        <v>198</v>
      </c>
      <c r="B241" s="77"/>
      <c r="C241" s="78"/>
      <c r="D241" s="57" t="s">
        <v>234</v>
      </c>
      <c r="E241" s="75">
        <v>97.81</v>
      </c>
      <c r="F241" s="58" t="s">
        <v>47</v>
      </c>
      <c r="G241" s="80">
        <v>0.05</v>
      </c>
      <c r="H241" s="81">
        <f t="shared" si="97"/>
        <v>102.7005</v>
      </c>
      <c r="I241" s="87">
        <f>(7.28-(1))+(2.6)</f>
        <v>8.88</v>
      </c>
      <c r="J241" s="83">
        <f t="shared" si="98"/>
        <v>911.98044</v>
      </c>
      <c r="K241" s="84">
        <v>0.118</v>
      </c>
      <c r="L241" s="85">
        <f t="shared" si="99"/>
        <v>12.118659</v>
      </c>
      <c r="M241" s="86">
        <f>'LABOR SHEET'!C$5</f>
        <v>57.65</v>
      </c>
      <c r="N241" s="83">
        <f t="shared" si="100"/>
        <v>6.8027</v>
      </c>
      <c r="O241" s="83">
        <f t="shared" si="101"/>
        <v>698.64069135</v>
      </c>
      <c r="P241" s="83">
        <f t="shared" si="102"/>
        <v>15.6827</v>
      </c>
      <c r="Q241" s="114">
        <f t="shared" si="103"/>
        <v>1610.62113135</v>
      </c>
      <c r="R241" s="101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</row>
    <row r="242" s="31" customFormat="1" spans="1:36">
      <c r="A242" s="55">
        <f>IF(G242&lt;&gt;"",1+MAX($A$3:A241),"")</f>
        <v>199</v>
      </c>
      <c r="B242" s="77"/>
      <c r="C242" s="78"/>
      <c r="D242" s="57" t="s">
        <v>235</v>
      </c>
      <c r="E242" s="75">
        <v>8.36</v>
      </c>
      <c r="F242" s="58" t="s">
        <v>47</v>
      </c>
      <c r="G242" s="80">
        <v>0.05</v>
      </c>
      <c r="H242" s="81">
        <f t="shared" si="97"/>
        <v>8.778</v>
      </c>
      <c r="I242" s="87">
        <f>(9.85-(1))+(2.6)</f>
        <v>11.45</v>
      </c>
      <c r="J242" s="83">
        <f t="shared" si="98"/>
        <v>100.5081</v>
      </c>
      <c r="K242" s="84">
        <v>0.138</v>
      </c>
      <c r="L242" s="85">
        <f t="shared" si="99"/>
        <v>1.211364</v>
      </c>
      <c r="M242" s="86">
        <f>'LABOR SHEET'!C$5</f>
        <v>57.65</v>
      </c>
      <c r="N242" s="83">
        <f t="shared" si="100"/>
        <v>7.9557</v>
      </c>
      <c r="O242" s="83">
        <f t="shared" si="101"/>
        <v>69.8351346</v>
      </c>
      <c r="P242" s="83">
        <f t="shared" si="102"/>
        <v>19.4057</v>
      </c>
      <c r="Q242" s="114">
        <f t="shared" si="103"/>
        <v>170.3432346</v>
      </c>
      <c r="R242" s="101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</row>
    <row r="243" s="31" customFormat="1" spans="1:36">
      <c r="A243" s="55">
        <f>IF(G243&lt;&gt;"",1+MAX($A$3:A242),"")</f>
        <v>200</v>
      </c>
      <c r="B243" s="77"/>
      <c r="C243" s="78"/>
      <c r="D243" s="57" t="s">
        <v>235</v>
      </c>
      <c r="E243" s="75">
        <v>4.55</v>
      </c>
      <c r="F243" s="58" t="s">
        <v>47</v>
      </c>
      <c r="G243" s="80">
        <v>0.05</v>
      </c>
      <c r="H243" s="81">
        <f t="shared" si="97"/>
        <v>4.7775</v>
      </c>
      <c r="I243" s="87">
        <f>(9.85-(1))+(2.6)</f>
        <v>11.45</v>
      </c>
      <c r="J243" s="83">
        <f t="shared" si="98"/>
        <v>54.702375</v>
      </c>
      <c r="K243" s="84">
        <v>0.138</v>
      </c>
      <c r="L243" s="85">
        <f t="shared" si="99"/>
        <v>0.659295</v>
      </c>
      <c r="M243" s="86">
        <f>'LABOR SHEET'!C$5</f>
        <v>57.65</v>
      </c>
      <c r="N243" s="83">
        <f t="shared" si="100"/>
        <v>7.9557</v>
      </c>
      <c r="O243" s="83">
        <f t="shared" si="101"/>
        <v>38.00835675</v>
      </c>
      <c r="P243" s="83">
        <f t="shared" si="102"/>
        <v>19.4057</v>
      </c>
      <c r="Q243" s="114">
        <f t="shared" si="103"/>
        <v>92.71073175</v>
      </c>
      <c r="R243" s="101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</row>
    <row r="244" s="31" customFormat="1" spans="1:36">
      <c r="A244" s="55" t="str">
        <f>IF(G244&lt;&gt;"",1+MAX($A$3:A243),"")</f>
        <v/>
      </c>
      <c r="B244" s="77"/>
      <c r="C244" s="78"/>
      <c r="D244" s="57"/>
      <c r="E244" s="75"/>
      <c r="F244" s="58"/>
      <c r="G244" s="80"/>
      <c r="H244" s="81"/>
      <c r="I244" s="87"/>
      <c r="J244" s="83"/>
      <c r="K244" s="84"/>
      <c r="L244" s="85"/>
      <c r="M244" s="86"/>
      <c r="N244" s="83"/>
      <c r="O244" s="83"/>
      <c r="P244" s="83"/>
      <c r="Q244" s="114"/>
      <c r="R244" s="101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</row>
    <row r="245" s="31" customFormat="1" spans="1:36">
      <c r="A245" s="55" t="str">
        <f>IF(G245&lt;&gt;"",1+MAX($A$3:A244),"")</f>
        <v/>
      </c>
      <c r="B245" s="77"/>
      <c r="C245" s="78"/>
      <c r="D245" s="79" t="s">
        <v>187</v>
      </c>
      <c r="E245" s="75"/>
      <c r="F245" s="58"/>
      <c r="G245" s="80"/>
      <c r="H245" s="81"/>
      <c r="I245" s="87"/>
      <c r="J245" s="83"/>
      <c r="K245" s="84"/>
      <c r="L245" s="85"/>
      <c r="M245" s="86"/>
      <c r="N245" s="83"/>
      <c r="O245" s="83"/>
      <c r="P245" s="83"/>
      <c r="Q245" s="114"/>
      <c r="R245" s="101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</row>
    <row r="246" s="31" customFormat="1" spans="1:36">
      <c r="A246" s="55">
        <f>IF(G246&lt;&gt;"",1+MAX($A$3:A245),"")</f>
        <v>201</v>
      </c>
      <c r="B246" s="77"/>
      <c r="C246" s="78"/>
      <c r="D246" s="57" t="s">
        <v>233</v>
      </c>
      <c r="E246" s="75">
        <v>58.6</v>
      </c>
      <c r="F246" s="58" t="s">
        <v>47</v>
      </c>
      <c r="G246" s="80">
        <v>0.05</v>
      </c>
      <c r="H246" s="81">
        <f t="shared" ref="H246:H248" si="104">E246*(1+G246)</f>
        <v>61.53</v>
      </c>
      <c r="I246" s="87">
        <f>((5.15)-(1))+(2.6)</f>
        <v>6.75</v>
      </c>
      <c r="J246" s="83">
        <f t="shared" ref="J246:J248" si="105">I246*H246</f>
        <v>415.3275</v>
      </c>
      <c r="K246" s="84">
        <v>0.105</v>
      </c>
      <c r="L246" s="85">
        <f t="shared" ref="L246:L248" si="106">+K246*H246</f>
        <v>6.46065</v>
      </c>
      <c r="M246" s="86">
        <f>'LABOR SHEET'!C$5</f>
        <v>57.65</v>
      </c>
      <c r="N246" s="83">
        <f t="shared" ref="N246:N248" si="107">K246*M246</f>
        <v>6.05325</v>
      </c>
      <c r="O246" s="83">
        <f t="shared" ref="O246:O248" si="108">M246*L246</f>
        <v>372.4564725</v>
      </c>
      <c r="P246" s="83">
        <f t="shared" ref="P246:P248" si="109">I246+N246</f>
        <v>12.80325</v>
      </c>
      <c r="Q246" s="114">
        <f t="shared" ref="Q246:Q248" si="110">P246*H246</f>
        <v>787.7839725</v>
      </c>
      <c r="R246" s="101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</row>
    <row r="247" s="31" customFormat="1" spans="1:36">
      <c r="A247" s="55">
        <f>IF(G247&lt;&gt;"",1+MAX($A$3:A246),"")</f>
        <v>202</v>
      </c>
      <c r="B247" s="77"/>
      <c r="C247" s="78"/>
      <c r="D247" s="57" t="s">
        <v>234</v>
      </c>
      <c r="E247" s="75">
        <v>48.81</v>
      </c>
      <c r="F247" s="58" t="s">
        <v>47</v>
      </c>
      <c r="G247" s="80">
        <v>0.05</v>
      </c>
      <c r="H247" s="81">
        <f t="shared" si="104"/>
        <v>51.2505</v>
      </c>
      <c r="I247" s="87">
        <f>(7.25-(1))+(2.6)</f>
        <v>8.85</v>
      </c>
      <c r="J247" s="83">
        <f t="shared" si="105"/>
        <v>453.566925</v>
      </c>
      <c r="K247" s="84">
        <v>0.118</v>
      </c>
      <c r="L247" s="85">
        <f t="shared" si="106"/>
        <v>6.047559</v>
      </c>
      <c r="M247" s="86">
        <f>'LABOR SHEET'!C$5</f>
        <v>57.65</v>
      </c>
      <c r="N247" s="83">
        <f t="shared" si="107"/>
        <v>6.8027</v>
      </c>
      <c r="O247" s="83">
        <f t="shared" si="108"/>
        <v>348.64177635</v>
      </c>
      <c r="P247" s="83">
        <f t="shared" si="109"/>
        <v>15.6527</v>
      </c>
      <c r="Q247" s="114">
        <f t="shared" si="110"/>
        <v>802.20870135</v>
      </c>
      <c r="R247" s="101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</row>
    <row r="248" s="31" customFormat="1" spans="1:36">
      <c r="A248" s="55">
        <f>IF(G248&lt;&gt;"",1+MAX($A$3:A247),"")</f>
        <v>203</v>
      </c>
      <c r="B248" s="77"/>
      <c r="C248" s="78"/>
      <c r="D248" s="57" t="s">
        <v>235</v>
      </c>
      <c r="E248" s="75">
        <v>8.36</v>
      </c>
      <c r="F248" s="58" t="s">
        <v>47</v>
      </c>
      <c r="G248" s="80">
        <v>0.05</v>
      </c>
      <c r="H248" s="81">
        <f t="shared" si="104"/>
        <v>8.778</v>
      </c>
      <c r="I248" s="87">
        <f>(9.85-(1))+(2.6)</f>
        <v>11.45</v>
      </c>
      <c r="J248" s="83">
        <f t="shared" si="105"/>
        <v>100.5081</v>
      </c>
      <c r="K248" s="84">
        <v>0.138</v>
      </c>
      <c r="L248" s="85">
        <f t="shared" si="106"/>
        <v>1.211364</v>
      </c>
      <c r="M248" s="86">
        <f>'LABOR SHEET'!C$5</f>
        <v>57.65</v>
      </c>
      <c r="N248" s="83">
        <f t="shared" si="107"/>
        <v>7.9557</v>
      </c>
      <c r="O248" s="83">
        <f t="shared" si="108"/>
        <v>69.8351346</v>
      </c>
      <c r="P248" s="83">
        <f t="shared" si="109"/>
        <v>19.4057</v>
      </c>
      <c r="Q248" s="114">
        <f t="shared" si="110"/>
        <v>170.3432346</v>
      </c>
      <c r="R248" s="101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</row>
    <row r="249" s="31" customFormat="1" spans="1:36">
      <c r="A249" s="55" t="str">
        <f>IF(G249&lt;&gt;"",1+MAX($A$3:A248),"")</f>
        <v/>
      </c>
      <c r="B249" s="77"/>
      <c r="C249" s="78"/>
      <c r="D249" s="57"/>
      <c r="E249" s="75"/>
      <c r="F249" s="58"/>
      <c r="G249" s="80"/>
      <c r="H249" s="81"/>
      <c r="J249" s="83"/>
      <c r="K249" s="84"/>
      <c r="L249" s="85"/>
      <c r="M249" s="86"/>
      <c r="N249" s="83"/>
      <c r="O249" s="83"/>
      <c r="P249" s="83"/>
      <c r="Q249" s="114"/>
      <c r="R249" s="101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</row>
    <row r="250" s="31" customFormat="1" spans="1:36">
      <c r="A250" s="55" t="str">
        <f>IF(G250&lt;&gt;"",1+MAX($A$3:A249),"")</f>
        <v/>
      </c>
      <c r="B250" s="77"/>
      <c r="C250" s="78"/>
      <c r="D250" s="79" t="s">
        <v>236</v>
      </c>
      <c r="E250" s="75"/>
      <c r="F250" s="58"/>
      <c r="G250" s="80"/>
      <c r="H250" s="81"/>
      <c r="I250" s="87"/>
      <c r="J250" s="83"/>
      <c r="K250" s="84"/>
      <c r="L250" s="85"/>
      <c r="M250" s="86"/>
      <c r="N250" s="83"/>
      <c r="O250" s="83"/>
      <c r="P250" s="83"/>
      <c r="Q250" s="114"/>
      <c r="R250" s="101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</row>
    <row r="251" s="31" customFormat="1" spans="1:36">
      <c r="A251" s="55">
        <f>IF(G251&lt;&gt;"",1+MAX($A$3:A250),"")</f>
        <v>204</v>
      </c>
      <c r="B251" s="77"/>
      <c r="C251" s="78"/>
      <c r="D251" s="57" t="s">
        <v>233</v>
      </c>
      <c r="E251" s="75">
        <v>744.72</v>
      </c>
      <c r="F251" s="58" t="s">
        <v>47</v>
      </c>
      <c r="G251" s="80">
        <v>0.05</v>
      </c>
      <c r="H251" s="81">
        <f t="shared" ref="H251:H253" si="111">E251*(1+G251)</f>
        <v>781.956</v>
      </c>
      <c r="I251" s="87">
        <f>((5.15)-(1))+(2.6)</f>
        <v>6.75</v>
      </c>
      <c r="J251" s="83">
        <f t="shared" ref="J251:J253" si="112">I251*H251</f>
        <v>5278.203</v>
      </c>
      <c r="K251" s="84">
        <v>0.105</v>
      </c>
      <c r="L251" s="85">
        <f t="shared" ref="L251:L253" si="113">+K251*H251</f>
        <v>82.10538</v>
      </c>
      <c r="M251" s="86">
        <f>'LABOR SHEET'!C$5</f>
        <v>57.65</v>
      </c>
      <c r="N251" s="83">
        <f t="shared" ref="N251:N253" si="114">K251*M251</f>
        <v>6.05325</v>
      </c>
      <c r="O251" s="83">
        <f t="shared" ref="O251:O253" si="115">M251*L251</f>
        <v>4733.375157</v>
      </c>
      <c r="P251" s="83">
        <f t="shared" ref="P251:P253" si="116">I251+N251</f>
        <v>12.80325</v>
      </c>
      <c r="Q251" s="114">
        <f t="shared" ref="Q251:Q253" si="117">P251*H251</f>
        <v>10011.578157</v>
      </c>
      <c r="R251" s="101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</row>
    <row r="252" s="31" customFormat="1" spans="1:36">
      <c r="A252" s="55">
        <f>IF(G252&lt;&gt;"",1+MAX($A$3:A251),"")</f>
        <v>205</v>
      </c>
      <c r="B252" s="77"/>
      <c r="C252" s="78"/>
      <c r="D252" s="57" t="s">
        <v>234</v>
      </c>
      <c r="E252" s="75">
        <v>97.81</v>
      </c>
      <c r="F252" s="58" t="s">
        <v>47</v>
      </c>
      <c r="G252" s="80">
        <v>0.05</v>
      </c>
      <c r="H252" s="81">
        <f t="shared" si="111"/>
        <v>102.7005</v>
      </c>
      <c r="I252" s="87">
        <f>(7.25-(1))+(2.6)</f>
        <v>8.85</v>
      </c>
      <c r="J252" s="83">
        <f t="shared" si="112"/>
        <v>908.899425</v>
      </c>
      <c r="K252" s="84">
        <v>0.118</v>
      </c>
      <c r="L252" s="85">
        <f t="shared" si="113"/>
        <v>12.118659</v>
      </c>
      <c r="M252" s="86">
        <f>'LABOR SHEET'!C$5</f>
        <v>57.65</v>
      </c>
      <c r="N252" s="83">
        <f t="shared" si="114"/>
        <v>6.8027</v>
      </c>
      <c r="O252" s="83">
        <f t="shared" si="115"/>
        <v>698.64069135</v>
      </c>
      <c r="P252" s="83">
        <f t="shared" si="116"/>
        <v>15.6527</v>
      </c>
      <c r="Q252" s="114">
        <f t="shared" si="117"/>
        <v>1607.54011635</v>
      </c>
      <c r="R252" s="101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</row>
    <row r="253" s="31" customFormat="1" spans="1:36">
      <c r="A253" s="55">
        <f>IF(G253&lt;&gt;"",1+MAX($A$3:A252),"")</f>
        <v>206</v>
      </c>
      <c r="B253" s="77"/>
      <c r="C253" s="78"/>
      <c r="D253" s="57" t="s">
        <v>235</v>
      </c>
      <c r="E253" s="75">
        <v>4.55</v>
      </c>
      <c r="F253" s="58" t="s">
        <v>47</v>
      </c>
      <c r="G253" s="80">
        <v>0.05</v>
      </c>
      <c r="H253" s="81">
        <f t="shared" si="111"/>
        <v>4.7775</v>
      </c>
      <c r="I253" s="87">
        <f>(9.85-(1))+(2.6)</f>
        <v>11.45</v>
      </c>
      <c r="J253" s="83">
        <f t="shared" si="112"/>
        <v>54.702375</v>
      </c>
      <c r="K253" s="84">
        <v>0.138</v>
      </c>
      <c r="L253" s="85">
        <f t="shared" si="113"/>
        <v>0.659295</v>
      </c>
      <c r="M253" s="86">
        <f>'LABOR SHEET'!C$5</f>
        <v>57.65</v>
      </c>
      <c r="N253" s="83">
        <f t="shared" si="114"/>
        <v>7.9557</v>
      </c>
      <c r="O253" s="83">
        <f t="shared" si="115"/>
        <v>38.00835675</v>
      </c>
      <c r="P253" s="83">
        <f t="shared" si="116"/>
        <v>19.4057</v>
      </c>
      <c r="Q253" s="114">
        <f t="shared" si="117"/>
        <v>92.71073175</v>
      </c>
      <c r="R253" s="101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</row>
    <row r="254" s="31" customFormat="1" spans="1:36">
      <c r="A254" s="55" t="str">
        <f>IF(G254&lt;&gt;"",1+MAX($A$3:A253),"")</f>
        <v/>
      </c>
      <c r="B254" s="77"/>
      <c r="C254" s="78"/>
      <c r="D254" s="57"/>
      <c r="E254" s="75"/>
      <c r="F254" s="58"/>
      <c r="G254" s="80"/>
      <c r="H254" s="81"/>
      <c r="I254" s="87"/>
      <c r="J254" s="83"/>
      <c r="K254" s="84"/>
      <c r="L254" s="85"/>
      <c r="M254" s="86"/>
      <c r="N254" s="83"/>
      <c r="O254" s="83"/>
      <c r="P254" s="83"/>
      <c r="Q254" s="114"/>
      <c r="R254" s="101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</row>
    <row r="255" s="31" customFormat="1" spans="1:36">
      <c r="A255" s="55" t="str">
        <f>IF(G255&lt;&gt;"",1+MAX($A$3:A254),"")</f>
        <v/>
      </c>
      <c r="B255" s="77"/>
      <c r="C255" s="78"/>
      <c r="D255" s="82" t="s">
        <v>55</v>
      </c>
      <c r="E255" s="75"/>
      <c r="F255" s="58"/>
      <c r="G255" s="80"/>
      <c r="H255" s="81"/>
      <c r="I255" s="87"/>
      <c r="J255" s="83"/>
      <c r="K255" s="84"/>
      <c r="L255" s="85"/>
      <c r="M255" s="86"/>
      <c r="N255" s="83"/>
      <c r="O255" s="83"/>
      <c r="P255" s="83"/>
      <c r="Q255" s="114"/>
      <c r="R255" s="101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</row>
    <row r="256" s="31" customFormat="1" spans="1:36">
      <c r="A256" s="55">
        <f>IF(G256&lt;&gt;"",1+MAX($A$3:A255),"")</f>
        <v>207</v>
      </c>
      <c r="B256" s="77"/>
      <c r="C256" s="78"/>
      <c r="D256" s="57" t="s">
        <v>237</v>
      </c>
      <c r="E256" s="75">
        <v>50</v>
      </c>
      <c r="F256" s="58" t="s">
        <v>57</v>
      </c>
      <c r="G256" s="80">
        <v>0</v>
      </c>
      <c r="H256" s="81">
        <f t="shared" ref="H256:H263" si="118">E256*(1+G256)</f>
        <v>50</v>
      </c>
      <c r="I256" s="83">
        <v>1.65</v>
      </c>
      <c r="J256" s="83">
        <f t="shared" ref="J256:J263" si="119">I256*H256</f>
        <v>82.5</v>
      </c>
      <c r="K256" s="84">
        <v>0.44</v>
      </c>
      <c r="L256" s="85">
        <f t="shared" ref="L256:L263" si="120">+K256*H256</f>
        <v>22</v>
      </c>
      <c r="M256" s="86">
        <f>'LABOR SHEET'!C$5</f>
        <v>57.65</v>
      </c>
      <c r="N256" s="83">
        <f t="shared" ref="N256:N263" si="121">K256*M256</f>
        <v>25.366</v>
      </c>
      <c r="O256" s="83">
        <f t="shared" ref="O256:O263" si="122">M256*L256</f>
        <v>1268.3</v>
      </c>
      <c r="P256" s="83">
        <f t="shared" ref="P256:P263" si="123">I256+N256</f>
        <v>27.016</v>
      </c>
      <c r="Q256" s="114">
        <f t="shared" ref="Q256:Q263" si="124">P256*H256</f>
        <v>1350.8</v>
      </c>
      <c r="R256" s="101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</row>
    <row r="257" s="31" customFormat="1" spans="1:36">
      <c r="A257" s="55">
        <f>IF(G257&lt;&gt;"",1+MAX($A$3:A256),"")</f>
        <v>208</v>
      </c>
      <c r="B257" s="77"/>
      <c r="C257" s="78"/>
      <c r="D257" s="57" t="s">
        <v>238</v>
      </c>
      <c r="E257" s="75">
        <v>8</v>
      </c>
      <c r="F257" s="58" t="s">
        <v>57</v>
      </c>
      <c r="G257" s="80">
        <v>0</v>
      </c>
      <c r="H257" s="81">
        <f t="shared" si="118"/>
        <v>8</v>
      </c>
      <c r="I257" s="83">
        <v>2.1</v>
      </c>
      <c r="J257" s="83">
        <f t="shared" si="119"/>
        <v>16.8</v>
      </c>
      <c r="K257" s="84">
        <v>0.45</v>
      </c>
      <c r="L257" s="85">
        <f t="shared" si="120"/>
        <v>3.6</v>
      </c>
      <c r="M257" s="86">
        <f>'LABOR SHEET'!C$5</f>
        <v>57.65</v>
      </c>
      <c r="N257" s="83">
        <f t="shared" si="121"/>
        <v>25.9425</v>
      </c>
      <c r="O257" s="83">
        <f t="shared" si="122"/>
        <v>207.54</v>
      </c>
      <c r="P257" s="83">
        <f t="shared" si="123"/>
        <v>28.0425</v>
      </c>
      <c r="Q257" s="114">
        <f t="shared" si="124"/>
        <v>224.34</v>
      </c>
      <c r="R257" s="101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</row>
    <row r="258" s="31" customFormat="1" spans="1:36">
      <c r="A258" s="55">
        <f>IF(G258&lt;&gt;"",1+MAX($A$3:A257),"")</f>
        <v>209</v>
      </c>
      <c r="B258" s="77"/>
      <c r="C258" s="78"/>
      <c r="D258" s="57" t="s">
        <v>239</v>
      </c>
      <c r="E258" s="75">
        <v>1</v>
      </c>
      <c r="F258" s="58" t="s">
        <v>57</v>
      </c>
      <c r="G258" s="80">
        <v>0</v>
      </c>
      <c r="H258" s="81">
        <f t="shared" si="118"/>
        <v>1</v>
      </c>
      <c r="I258" s="83">
        <v>6.65</v>
      </c>
      <c r="J258" s="83">
        <f t="shared" si="119"/>
        <v>6.65</v>
      </c>
      <c r="K258" s="84">
        <v>0.465</v>
      </c>
      <c r="L258" s="85">
        <f t="shared" si="120"/>
        <v>0.465</v>
      </c>
      <c r="M258" s="86">
        <f>'LABOR SHEET'!C$5</f>
        <v>57.65</v>
      </c>
      <c r="N258" s="83">
        <f t="shared" si="121"/>
        <v>26.80725</v>
      </c>
      <c r="O258" s="83">
        <f t="shared" si="122"/>
        <v>26.80725</v>
      </c>
      <c r="P258" s="83">
        <f t="shared" si="123"/>
        <v>33.45725</v>
      </c>
      <c r="Q258" s="114">
        <f t="shared" si="124"/>
        <v>33.45725</v>
      </c>
      <c r="R258" s="101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</row>
    <row r="259" s="31" customFormat="1" spans="1:36">
      <c r="A259" s="55">
        <f>IF(G259&lt;&gt;"",1+MAX($A$3:A258),"")</f>
        <v>210</v>
      </c>
      <c r="B259" s="77"/>
      <c r="C259" s="78"/>
      <c r="D259" s="57" t="s">
        <v>240</v>
      </c>
      <c r="E259" s="75">
        <v>5</v>
      </c>
      <c r="F259" s="58" t="s">
        <v>57</v>
      </c>
      <c r="G259" s="80">
        <v>0</v>
      </c>
      <c r="H259" s="81">
        <f t="shared" si="118"/>
        <v>5</v>
      </c>
      <c r="I259" s="83">
        <v>8.5</v>
      </c>
      <c r="J259" s="83">
        <f t="shared" si="119"/>
        <v>42.5</v>
      </c>
      <c r="K259" s="84">
        <v>0.47</v>
      </c>
      <c r="L259" s="85">
        <f t="shared" si="120"/>
        <v>2.35</v>
      </c>
      <c r="M259" s="86">
        <f>'LABOR SHEET'!C$5</f>
        <v>57.65</v>
      </c>
      <c r="N259" s="83">
        <f t="shared" si="121"/>
        <v>27.0955</v>
      </c>
      <c r="O259" s="83">
        <f t="shared" si="122"/>
        <v>135.4775</v>
      </c>
      <c r="P259" s="83">
        <f t="shared" si="123"/>
        <v>35.5955</v>
      </c>
      <c r="Q259" s="114">
        <f t="shared" si="124"/>
        <v>177.9775</v>
      </c>
      <c r="R259" s="101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</row>
    <row r="260" s="31" customFormat="1" spans="1:36">
      <c r="A260" s="55">
        <f>IF(G260&lt;&gt;"",1+MAX($A$3:A259),"")</f>
        <v>211</v>
      </c>
      <c r="B260" s="77"/>
      <c r="C260" s="78"/>
      <c r="D260" s="57" t="s">
        <v>241</v>
      </c>
      <c r="E260" s="75">
        <v>6</v>
      </c>
      <c r="F260" s="58" t="s">
        <v>57</v>
      </c>
      <c r="G260" s="80">
        <v>0</v>
      </c>
      <c r="H260" s="81">
        <f t="shared" si="118"/>
        <v>6</v>
      </c>
      <c r="I260" s="83">
        <v>9.9</v>
      </c>
      <c r="J260" s="83">
        <f t="shared" si="119"/>
        <v>59.4</v>
      </c>
      <c r="K260" s="84">
        <v>0.475</v>
      </c>
      <c r="L260" s="85">
        <f t="shared" si="120"/>
        <v>2.85</v>
      </c>
      <c r="M260" s="86">
        <f>'LABOR SHEET'!C$5</f>
        <v>57.65</v>
      </c>
      <c r="N260" s="83">
        <f t="shared" si="121"/>
        <v>27.38375</v>
      </c>
      <c r="O260" s="83">
        <f t="shared" si="122"/>
        <v>164.3025</v>
      </c>
      <c r="P260" s="83">
        <f t="shared" si="123"/>
        <v>37.28375</v>
      </c>
      <c r="Q260" s="114">
        <f t="shared" si="124"/>
        <v>223.7025</v>
      </c>
      <c r="R260" s="101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</row>
    <row r="261" s="31" customFormat="1" spans="1:36">
      <c r="A261" s="55">
        <f>IF(G261&lt;&gt;"",1+MAX($A$3:A260),"")</f>
        <v>212</v>
      </c>
      <c r="B261" s="77"/>
      <c r="C261" s="78"/>
      <c r="D261" s="57" t="s">
        <v>242</v>
      </c>
      <c r="E261" s="75">
        <v>1</v>
      </c>
      <c r="F261" s="58" t="s">
        <v>57</v>
      </c>
      <c r="G261" s="80">
        <v>0</v>
      </c>
      <c r="H261" s="81">
        <f t="shared" si="118"/>
        <v>1</v>
      </c>
      <c r="I261" s="83">
        <v>10.2</v>
      </c>
      <c r="J261" s="83">
        <f t="shared" si="119"/>
        <v>10.2</v>
      </c>
      <c r="K261" s="84">
        <v>0.48</v>
      </c>
      <c r="L261" s="85">
        <f t="shared" si="120"/>
        <v>0.48</v>
      </c>
      <c r="M261" s="86">
        <f>'LABOR SHEET'!C$5</f>
        <v>57.65</v>
      </c>
      <c r="N261" s="83">
        <f t="shared" si="121"/>
        <v>27.672</v>
      </c>
      <c r="O261" s="83">
        <f t="shared" si="122"/>
        <v>27.672</v>
      </c>
      <c r="P261" s="83">
        <f t="shared" si="123"/>
        <v>37.872</v>
      </c>
      <c r="Q261" s="114">
        <f t="shared" si="124"/>
        <v>37.872</v>
      </c>
      <c r="R261" s="101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</row>
    <row r="262" s="31" customFormat="1" spans="1:36">
      <c r="A262" s="55">
        <f>IF(G262&lt;&gt;"",1+MAX($A$3:A261),"")</f>
        <v>213</v>
      </c>
      <c r="B262" s="77"/>
      <c r="C262" s="78"/>
      <c r="D262" s="57" t="s">
        <v>243</v>
      </c>
      <c r="E262" s="75">
        <v>3</v>
      </c>
      <c r="F262" s="58" t="s">
        <v>57</v>
      </c>
      <c r="G262" s="80">
        <v>0</v>
      </c>
      <c r="H262" s="81">
        <f t="shared" si="118"/>
        <v>3</v>
      </c>
      <c r="I262" s="83">
        <v>12.3</v>
      </c>
      <c r="J262" s="83">
        <f t="shared" si="119"/>
        <v>36.9</v>
      </c>
      <c r="K262" s="84">
        <v>0.485</v>
      </c>
      <c r="L262" s="85">
        <f t="shared" si="120"/>
        <v>1.455</v>
      </c>
      <c r="M262" s="86">
        <f>'LABOR SHEET'!C$5</f>
        <v>57.65</v>
      </c>
      <c r="N262" s="83">
        <f t="shared" si="121"/>
        <v>27.96025</v>
      </c>
      <c r="O262" s="83">
        <f t="shared" si="122"/>
        <v>83.88075</v>
      </c>
      <c r="P262" s="83">
        <f t="shared" si="123"/>
        <v>40.26025</v>
      </c>
      <c r="Q262" s="114">
        <f t="shared" si="124"/>
        <v>120.78075</v>
      </c>
      <c r="R262" s="101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</row>
    <row r="263" s="31" customFormat="1" spans="1:36">
      <c r="A263" s="55">
        <f>IF(G263&lt;&gt;"",1+MAX($A$3:A262),"")</f>
        <v>214</v>
      </c>
      <c r="B263" s="77"/>
      <c r="C263" s="78"/>
      <c r="D263" s="57" t="s">
        <v>244</v>
      </c>
      <c r="E263" s="75">
        <v>1</v>
      </c>
      <c r="F263" s="58" t="s">
        <v>57</v>
      </c>
      <c r="G263" s="80">
        <v>0</v>
      </c>
      <c r="H263" s="81">
        <f t="shared" si="118"/>
        <v>1</v>
      </c>
      <c r="I263" s="83">
        <v>12.9</v>
      </c>
      <c r="J263" s="83">
        <f t="shared" si="119"/>
        <v>12.9</v>
      </c>
      <c r="K263" s="84">
        <v>0.49</v>
      </c>
      <c r="L263" s="85">
        <f t="shared" si="120"/>
        <v>0.49</v>
      </c>
      <c r="M263" s="86">
        <f>'LABOR SHEET'!C$5</f>
        <v>57.65</v>
      </c>
      <c r="N263" s="83">
        <f t="shared" si="121"/>
        <v>28.2485</v>
      </c>
      <c r="O263" s="83">
        <f t="shared" si="122"/>
        <v>28.2485</v>
      </c>
      <c r="P263" s="83">
        <f t="shared" si="123"/>
        <v>41.1485</v>
      </c>
      <c r="Q263" s="114">
        <f t="shared" si="124"/>
        <v>41.1485</v>
      </c>
      <c r="R263" s="101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</row>
    <row r="264" s="31" customFormat="1" spans="1:36">
      <c r="A264" s="55" t="str">
        <f>IF(G264&lt;&gt;"",1+MAX($A$3:A263),"")</f>
        <v/>
      </c>
      <c r="B264" s="77"/>
      <c r="C264" s="78"/>
      <c r="D264" s="57"/>
      <c r="E264" s="75"/>
      <c r="F264" s="58"/>
      <c r="G264" s="80"/>
      <c r="H264" s="81"/>
      <c r="I264" s="87"/>
      <c r="J264" s="83"/>
      <c r="K264" s="84"/>
      <c r="L264" s="85"/>
      <c r="M264" s="86"/>
      <c r="N264" s="83"/>
      <c r="O264" s="83"/>
      <c r="P264" s="83"/>
      <c r="Q264" s="114"/>
      <c r="R264" s="101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</row>
    <row r="265" s="31" customFormat="1" spans="1:36">
      <c r="A265" s="55" t="str">
        <f>IF(G265&lt;&gt;"",1+MAX($A$3:A264),"")</f>
        <v/>
      </c>
      <c r="B265" s="77"/>
      <c r="C265" s="78"/>
      <c r="D265" s="82" t="s">
        <v>86</v>
      </c>
      <c r="E265" s="75"/>
      <c r="F265" s="58"/>
      <c r="G265" s="80"/>
      <c r="H265" s="81"/>
      <c r="I265" s="87"/>
      <c r="J265" s="83"/>
      <c r="K265" s="84"/>
      <c r="L265" s="85"/>
      <c r="M265" s="86"/>
      <c r="N265" s="83"/>
      <c r="O265" s="83"/>
      <c r="P265" s="83"/>
      <c r="Q265" s="114"/>
      <c r="R265" s="101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</row>
    <row r="266" s="31" customFormat="1" spans="1:36">
      <c r="A266" s="55">
        <f>IF(G266&lt;&gt;"",1+MAX($A$3:A265),"")</f>
        <v>215</v>
      </c>
      <c r="B266" s="77"/>
      <c r="C266" s="78"/>
      <c r="D266" s="57" t="s">
        <v>245</v>
      </c>
      <c r="E266" s="75">
        <v>17</v>
      </c>
      <c r="F266" s="58" t="s">
        <v>57</v>
      </c>
      <c r="G266" s="80">
        <v>0</v>
      </c>
      <c r="H266" s="81">
        <f t="shared" ref="H266:H288" si="125">E266*(1+G266)</f>
        <v>17</v>
      </c>
      <c r="I266" s="83">
        <v>13.5</v>
      </c>
      <c r="J266" s="83">
        <f t="shared" ref="J266:J288" si="126">I266*H266</f>
        <v>229.5</v>
      </c>
      <c r="K266" s="84">
        <v>0.6</v>
      </c>
      <c r="L266" s="85">
        <f t="shared" ref="L266:L288" si="127">+K266*H266</f>
        <v>10.2</v>
      </c>
      <c r="M266" s="86">
        <f>'LABOR SHEET'!C$5</f>
        <v>57.65</v>
      </c>
      <c r="N266" s="83">
        <f t="shared" ref="N266:N288" si="128">K266*M266</f>
        <v>34.59</v>
      </c>
      <c r="O266" s="83">
        <f t="shared" ref="O266:O288" si="129">M266*L266</f>
        <v>588.03</v>
      </c>
      <c r="P266" s="83">
        <f t="shared" ref="P266:P288" si="130">I266+N266</f>
        <v>48.09</v>
      </c>
      <c r="Q266" s="114">
        <f t="shared" ref="Q266:Q288" si="131">P266*H266</f>
        <v>817.53</v>
      </c>
      <c r="R266" s="101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</row>
    <row r="267" s="31" customFormat="1" spans="1:36">
      <c r="A267" s="55">
        <f>IF(G267&lt;&gt;"",1+MAX($A$3:A266),"")</f>
        <v>216</v>
      </c>
      <c r="B267" s="77"/>
      <c r="C267" s="78"/>
      <c r="D267" s="57" t="s">
        <v>246</v>
      </c>
      <c r="E267" s="75">
        <v>1</v>
      </c>
      <c r="F267" s="58" t="s">
        <v>57</v>
      </c>
      <c r="G267" s="80">
        <v>0</v>
      </c>
      <c r="H267" s="81">
        <f t="shared" si="125"/>
        <v>1</v>
      </c>
      <c r="I267" s="83">
        <v>18.8</v>
      </c>
      <c r="J267" s="83">
        <f t="shared" si="126"/>
        <v>18.8</v>
      </c>
      <c r="K267" s="84">
        <v>0.62</v>
      </c>
      <c r="L267" s="85">
        <f t="shared" si="127"/>
        <v>0.62</v>
      </c>
      <c r="M267" s="86">
        <f>'LABOR SHEET'!C$5</f>
        <v>57.65</v>
      </c>
      <c r="N267" s="83">
        <f t="shared" si="128"/>
        <v>35.743</v>
      </c>
      <c r="O267" s="83">
        <f t="shared" si="129"/>
        <v>35.743</v>
      </c>
      <c r="P267" s="83">
        <f t="shared" si="130"/>
        <v>54.543</v>
      </c>
      <c r="Q267" s="114">
        <f t="shared" si="131"/>
        <v>54.543</v>
      </c>
      <c r="R267" s="101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</row>
    <row r="268" s="31" customFormat="1" spans="1:36">
      <c r="A268" s="55" t="str">
        <f>IF(G268&lt;&gt;"",1+MAX($A$3:A267),"")</f>
        <v/>
      </c>
      <c r="B268" s="77"/>
      <c r="C268" s="78"/>
      <c r="D268" s="60"/>
      <c r="E268" s="64"/>
      <c r="F268" s="61"/>
      <c r="G268" s="115"/>
      <c r="H268" s="116"/>
      <c r="I268" s="87"/>
      <c r="J268" s="87"/>
      <c r="K268" s="84"/>
      <c r="L268" s="89"/>
      <c r="M268" s="90"/>
      <c r="N268" s="87"/>
      <c r="O268" s="87"/>
      <c r="P268" s="87"/>
      <c r="Q268" s="117"/>
      <c r="R268" s="118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</row>
    <row r="269" s="31" customFormat="1" ht="18" spans="1:36">
      <c r="A269" s="55" t="str">
        <f>IF(G269&lt;&gt;"",1+MAX($A$3:A268),"")</f>
        <v/>
      </c>
      <c r="B269" s="77"/>
      <c r="C269" s="75"/>
      <c r="D269" s="76" t="s">
        <v>86</v>
      </c>
      <c r="E269" s="58"/>
      <c r="F269" s="58"/>
      <c r="G269" s="58"/>
      <c r="H269" s="58"/>
      <c r="I269" s="87"/>
      <c r="J269" s="83"/>
      <c r="K269" s="84"/>
      <c r="L269" s="93"/>
      <c r="M269" s="94"/>
      <c r="N269" s="83"/>
      <c r="O269" s="83"/>
      <c r="P269" s="83"/>
      <c r="Q269" s="111"/>
      <c r="R269" s="112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</row>
    <row r="270" s="31" customFormat="1" spans="1:36">
      <c r="A270" s="55">
        <f>IF(G270&lt;&gt;"",1+MAX($A$3:A269),"")</f>
        <v>217</v>
      </c>
      <c r="B270" s="77"/>
      <c r="C270" s="78"/>
      <c r="D270" s="57" t="s">
        <v>247</v>
      </c>
      <c r="E270" s="75">
        <v>2</v>
      </c>
      <c r="F270" s="58" t="s">
        <v>57</v>
      </c>
      <c r="G270" s="80">
        <v>0</v>
      </c>
      <c r="H270" s="81">
        <f t="shared" si="125"/>
        <v>2</v>
      </c>
      <c r="I270" s="83">
        <v>113</v>
      </c>
      <c r="J270" s="83">
        <f t="shared" si="126"/>
        <v>226</v>
      </c>
      <c r="K270" s="84">
        <v>0.85</v>
      </c>
      <c r="L270" s="85">
        <f t="shared" si="127"/>
        <v>1.7</v>
      </c>
      <c r="M270" s="86">
        <f>'LABOR SHEET'!C$5</f>
        <v>57.65</v>
      </c>
      <c r="N270" s="83">
        <f t="shared" si="128"/>
        <v>49.0025</v>
      </c>
      <c r="O270" s="83">
        <f t="shared" si="129"/>
        <v>98.005</v>
      </c>
      <c r="P270" s="83">
        <f t="shared" si="130"/>
        <v>162.0025</v>
      </c>
      <c r="Q270" s="114">
        <f t="shared" si="131"/>
        <v>324.005</v>
      </c>
      <c r="R270" s="101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</row>
    <row r="271" s="31" customFormat="1" spans="1:36">
      <c r="A271" s="55">
        <f>IF(G271&lt;&gt;"",1+MAX($A$3:A270),"")</f>
        <v>218</v>
      </c>
      <c r="B271" s="77"/>
      <c r="C271" s="78"/>
      <c r="D271" s="57" t="s">
        <v>248</v>
      </c>
      <c r="E271" s="75">
        <v>2</v>
      </c>
      <c r="F271" s="58" t="s">
        <v>57</v>
      </c>
      <c r="G271" s="80">
        <v>0</v>
      </c>
      <c r="H271" s="81">
        <f t="shared" si="125"/>
        <v>2</v>
      </c>
      <c r="I271" s="83">
        <v>126</v>
      </c>
      <c r="J271" s="83">
        <f t="shared" si="126"/>
        <v>252</v>
      </c>
      <c r="K271" s="84">
        <v>0.95</v>
      </c>
      <c r="L271" s="85">
        <f t="shared" si="127"/>
        <v>1.9</v>
      </c>
      <c r="M271" s="86">
        <f>'LABOR SHEET'!C$5</f>
        <v>57.65</v>
      </c>
      <c r="N271" s="83">
        <f t="shared" si="128"/>
        <v>54.7675</v>
      </c>
      <c r="O271" s="83">
        <f t="shared" si="129"/>
        <v>109.535</v>
      </c>
      <c r="P271" s="83">
        <f t="shared" si="130"/>
        <v>180.7675</v>
      </c>
      <c r="Q271" s="114">
        <f t="shared" si="131"/>
        <v>361.535</v>
      </c>
      <c r="R271" s="101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</row>
    <row r="272" s="31" customFormat="1" spans="1:36">
      <c r="A272" s="55">
        <f>IF(G272&lt;&gt;"",1+MAX($A$3:A271),"")</f>
        <v>219</v>
      </c>
      <c r="B272" s="77"/>
      <c r="C272" s="78"/>
      <c r="D272" s="57" t="s">
        <v>249</v>
      </c>
      <c r="E272" s="75">
        <v>1</v>
      </c>
      <c r="F272" s="58" t="s">
        <v>57</v>
      </c>
      <c r="G272" s="80">
        <v>0</v>
      </c>
      <c r="H272" s="81">
        <f t="shared" si="125"/>
        <v>1</v>
      </c>
      <c r="I272" s="83">
        <v>165</v>
      </c>
      <c r="J272" s="83">
        <f t="shared" si="126"/>
        <v>165</v>
      </c>
      <c r="K272" s="84">
        <v>1</v>
      </c>
      <c r="L272" s="85">
        <f t="shared" si="127"/>
        <v>1</v>
      </c>
      <c r="M272" s="86">
        <f>'LABOR SHEET'!C$5</f>
        <v>57.65</v>
      </c>
      <c r="N272" s="83">
        <f t="shared" si="128"/>
        <v>57.65</v>
      </c>
      <c r="O272" s="83">
        <f t="shared" si="129"/>
        <v>57.65</v>
      </c>
      <c r="P272" s="83">
        <f t="shared" si="130"/>
        <v>222.65</v>
      </c>
      <c r="Q272" s="114">
        <f t="shared" si="131"/>
        <v>222.65</v>
      </c>
      <c r="R272" s="101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</row>
    <row r="273" s="31" customFormat="1" spans="1:36">
      <c r="A273" s="55">
        <f>IF(G273&lt;&gt;"",1+MAX($A$3:A272),"")</f>
        <v>220</v>
      </c>
      <c r="B273" s="77"/>
      <c r="C273" s="78"/>
      <c r="D273" s="57" t="s">
        <v>250</v>
      </c>
      <c r="E273" s="75">
        <v>40</v>
      </c>
      <c r="F273" s="58" t="s">
        <v>57</v>
      </c>
      <c r="G273" s="80">
        <v>0</v>
      </c>
      <c r="H273" s="81">
        <f t="shared" si="125"/>
        <v>40</v>
      </c>
      <c r="I273" s="83">
        <v>23</v>
      </c>
      <c r="J273" s="83">
        <f t="shared" si="126"/>
        <v>920</v>
      </c>
      <c r="K273" s="84">
        <v>0.64</v>
      </c>
      <c r="L273" s="85">
        <f t="shared" si="127"/>
        <v>25.6</v>
      </c>
      <c r="M273" s="86">
        <f>'LABOR SHEET'!C$5</f>
        <v>57.65</v>
      </c>
      <c r="N273" s="83">
        <f t="shared" si="128"/>
        <v>36.896</v>
      </c>
      <c r="O273" s="83">
        <f t="shared" si="129"/>
        <v>1475.84</v>
      </c>
      <c r="P273" s="83">
        <f t="shared" si="130"/>
        <v>59.896</v>
      </c>
      <c r="Q273" s="114">
        <f t="shared" si="131"/>
        <v>2395.84</v>
      </c>
      <c r="R273" s="101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</row>
    <row r="274" s="31" customFormat="1" spans="1:36">
      <c r="A274" s="55">
        <f>IF(G274&lt;&gt;"",1+MAX($A$3:A273),"")</f>
        <v>221</v>
      </c>
      <c r="B274" s="77"/>
      <c r="C274" s="78"/>
      <c r="D274" s="57" t="s">
        <v>251</v>
      </c>
      <c r="E274" s="75">
        <v>8</v>
      </c>
      <c r="F274" s="58" t="s">
        <v>57</v>
      </c>
      <c r="G274" s="80">
        <v>0</v>
      </c>
      <c r="H274" s="81">
        <f t="shared" si="125"/>
        <v>8</v>
      </c>
      <c r="I274" s="83">
        <v>30.5</v>
      </c>
      <c r="J274" s="83">
        <f t="shared" si="126"/>
        <v>244</v>
      </c>
      <c r="K274" s="84">
        <v>0.66</v>
      </c>
      <c r="L274" s="85">
        <f t="shared" si="127"/>
        <v>5.28</v>
      </c>
      <c r="M274" s="86">
        <f>'LABOR SHEET'!C$5</f>
        <v>57.65</v>
      </c>
      <c r="N274" s="83">
        <f t="shared" si="128"/>
        <v>38.049</v>
      </c>
      <c r="O274" s="83">
        <f t="shared" si="129"/>
        <v>304.392</v>
      </c>
      <c r="P274" s="83">
        <f t="shared" si="130"/>
        <v>68.549</v>
      </c>
      <c r="Q274" s="114">
        <f t="shared" si="131"/>
        <v>548.392</v>
      </c>
      <c r="R274" s="101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</row>
    <row r="275" s="31" customFormat="1" spans="1:36">
      <c r="A275" s="55">
        <f>IF(G275&lt;&gt;"",1+MAX($A$3:A274),"")</f>
        <v>222</v>
      </c>
      <c r="B275" s="77"/>
      <c r="C275" s="78"/>
      <c r="D275" s="57" t="s">
        <v>252</v>
      </c>
      <c r="E275" s="75">
        <v>2</v>
      </c>
      <c r="F275" s="58" t="s">
        <v>57</v>
      </c>
      <c r="G275" s="80">
        <v>0</v>
      </c>
      <c r="H275" s="81">
        <f t="shared" si="125"/>
        <v>2</v>
      </c>
      <c r="I275" s="83">
        <v>16.49</v>
      </c>
      <c r="J275" s="83">
        <f t="shared" si="126"/>
        <v>32.98</v>
      </c>
      <c r="K275" s="84">
        <v>0.4</v>
      </c>
      <c r="L275" s="85">
        <f t="shared" si="127"/>
        <v>0.8</v>
      </c>
      <c r="M275" s="86">
        <f>'LABOR SHEET'!C$5</f>
        <v>57.65</v>
      </c>
      <c r="N275" s="83">
        <f t="shared" si="128"/>
        <v>23.06</v>
      </c>
      <c r="O275" s="83">
        <f t="shared" si="129"/>
        <v>46.12</v>
      </c>
      <c r="P275" s="83">
        <f t="shared" si="130"/>
        <v>39.55</v>
      </c>
      <c r="Q275" s="114">
        <f t="shared" si="131"/>
        <v>79.1</v>
      </c>
      <c r="R275" s="101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</row>
    <row r="276" s="31" customFormat="1" spans="1:36">
      <c r="A276" s="55">
        <f>IF(G276&lt;&gt;"",1+MAX($A$3:A275),"")</f>
        <v>223</v>
      </c>
      <c r="B276" s="77"/>
      <c r="C276" s="78"/>
      <c r="D276" s="57" t="s">
        <v>253</v>
      </c>
      <c r="E276" s="75">
        <v>25</v>
      </c>
      <c r="F276" s="58" t="s">
        <v>57</v>
      </c>
      <c r="G276" s="80">
        <v>0</v>
      </c>
      <c r="H276" s="81">
        <f t="shared" si="125"/>
        <v>25</v>
      </c>
      <c r="I276" s="83">
        <v>98.05</v>
      </c>
      <c r="J276" s="83">
        <f t="shared" si="126"/>
        <v>2451.25</v>
      </c>
      <c r="K276" s="84">
        <v>0.85</v>
      </c>
      <c r="L276" s="85">
        <f t="shared" si="127"/>
        <v>21.25</v>
      </c>
      <c r="M276" s="86">
        <f>'LABOR SHEET'!C$5</f>
        <v>57.65</v>
      </c>
      <c r="N276" s="83">
        <f t="shared" si="128"/>
        <v>49.0025</v>
      </c>
      <c r="O276" s="83">
        <f t="shared" si="129"/>
        <v>1225.0625</v>
      </c>
      <c r="P276" s="83">
        <f t="shared" si="130"/>
        <v>147.0525</v>
      </c>
      <c r="Q276" s="114">
        <f t="shared" si="131"/>
        <v>3676.3125</v>
      </c>
      <c r="R276" s="101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</row>
    <row r="277" s="31" customFormat="1" spans="1:36">
      <c r="A277" s="55">
        <f>IF(G277&lt;&gt;"",1+MAX($A$3:A276),"")</f>
        <v>224</v>
      </c>
      <c r="B277" s="77"/>
      <c r="C277" s="78"/>
      <c r="D277" s="57" t="s">
        <v>254</v>
      </c>
      <c r="E277" s="75">
        <v>3</v>
      </c>
      <c r="F277" s="58" t="s">
        <v>57</v>
      </c>
      <c r="G277" s="80">
        <v>0</v>
      </c>
      <c r="H277" s="81">
        <f t="shared" si="125"/>
        <v>3</v>
      </c>
      <c r="I277" s="83">
        <v>30.2</v>
      </c>
      <c r="J277" s="83">
        <f t="shared" si="126"/>
        <v>90.6</v>
      </c>
      <c r="K277" s="84">
        <v>0.62</v>
      </c>
      <c r="L277" s="85">
        <f t="shared" si="127"/>
        <v>1.86</v>
      </c>
      <c r="M277" s="86">
        <f>'LABOR SHEET'!C$5</f>
        <v>57.65</v>
      </c>
      <c r="N277" s="83">
        <f t="shared" si="128"/>
        <v>35.743</v>
      </c>
      <c r="O277" s="83">
        <f t="shared" si="129"/>
        <v>107.229</v>
      </c>
      <c r="P277" s="83">
        <f t="shared" si="130"/>
        <v>65.943</v>
      </c>
      <c r="Q277" s="114">
        <f t="shared" si="131"/>
        <v>197.829</v>
      </c>
      <c r="R277" s="101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</row>
    <row r="278" s="31" customFormat="1" spans="1:36">
      <c r="A278" s="55">
        <f>IF(G278&lt;&gt;"",1+MAX($A$3:A277),"")</f>
        <v>225</v>
      </c>
      <c r="B278" s="77"/>
      <c r="C278" s="78"/>
      <c r="D278" s="57" t="s">
        <v>255</v>
      </c>
      <c r="E278" s="75">
        <v>17</v>
      </c>
      <c r="F278" s="58" t="s">
        <v>57</v>
      </c>
      <c r="G278" s="80">
        <v>0</v>
      </c>
      <c r="H278" s="81">
        <f t="shared" si="125"/>
        <v>17</v>
      </c>
      <c r="I278" s="83">
        <v>35.2</v>
      </c>
      <c r="J278" s="83">
        <f t="shared" si="126"/>
        <v>598.4</v>
      </c>
      <c r="K278" s="84">
        <v>0.65</v>
      </c>
      <c r="L278" s="85">
        <f t="shared" si="127"/>
        <v>11.05</v>
      </c>
      <c r="M278" s="86">
        <f>'LABOR SHEET'!C$5</f>
        <v>57.65</v>
      </c>
      <c r="N278" s="83">
        <f t="shared" si="128"/>
        <v>37.4725</v>
      </c>
      <c r="O278" s="83">
        <f t="shared" si="129"/>
        <v>637.0325</v>
      </c>
      <c r="P278" s="83">
        <f t="shared" si="130"/>
        <v>72.6725</v>
      </c>
      <c r="Q278" s="114">
        <f t="shared" si="131"/>
        <v>1235.4325</v>
      </c>
      <c r="R278" s="101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</row>
    <row r="279" s="31" customFormat="1" spans="1:36">
      <c r="A279" s="55">
        <f>IF(G279&lt;&gt;"",1+MAX($A$3:A278),"")</f>
        <v>226</v>
      </c>
      <c r="B279" s="77"/>
      <c r="C279" s="78"/>
      <c r="D279" s="57" t="s">
        <v>256</v>
      </c>
      <c r="E279" s="75">
        <v>5</v>
      </c>
      <c r="F279" s="58" t="s">
        <v>57</v>
      </c>
      <c r="G279" s="80">
        <v>0</v>
      </c>
      <c r="H279" s="81">
        <f t="shared" si="125"/>
        <v>5</v>
      </c>
      <c r="I279" s="83">
        <f>35/0.75</f>
        <v>46.6666666666667</v>
      </c>
      <c r="J279" s="83">
        <f t="shared" si="126"/>
        <v>233.333333333333</v>
      </c>
      <c r="K279" s="84">
        <v>0.68</v>
      </c>
      <c r="L279" s="85">
        <f t="shared" si="127"/>
        <v>3.4</v>
      </c>
      <c r="M279" s="86">
        <f>'LABOR SHEET'!C$5</f>
        <v>57.65</v>
      </c>
      <c r="N279" s="83">
        <f t="shared" si="128"/>
        <v>39.202</v>
      </c>
      <c r="O279" s="83">
        <f t="shared" si="129"/>
        <v>196.01</v>
      </c>
      <c r="P279" s="83">
        <f t="shared" si="130"/>
        <v>85.8686666666667</v>
      </c>
      <c r="Q279" s="114">
        <f t="shared" si="131"/>
        <v>429.343333333333</v>
      </c>
      <c r="R279" s="101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</row>
    <row r="280" s="31" customFormat="1" spans="1:36">
      <c r="A280" s="55">
        <f>IF(G280&lt;&gt;"",1+MAX($A$3:A279),"")</f>
        <v>227</v>
      </c>
      <c r="B280" s="77"/>
      <c r="C280" s="78"/>
      <c r="D280" s="57" t="s">
        <v>257</v>
      </c>
      <c r="E280" s="75">
        <v>2</v>
      </c>
      <c r="F280" s="58" t="s">
        <v>57</v>
      </c>
      <c r="G280" s="80">
        <v>0</v>
      </c>
      <c r="H280" s="81">
        <f t="shared" si="125"/>
        <v>2</v>
      </c>
      <c r="I280" s="83">
        <v>65.5</v>
      </c>
      <c r="J280" s="83">
        <f t="shared" si="126"/>
        <v>131</v>
      </c>
      <c r="K280" s="84">
        <v>0.71</v>
      </c>
      <c r="L280" s="85">
        <f t="shared" si="127"/>
        <v>1.42</v>
      </c>
      <c r="M280" s="86">
        <f>'LABOR SHEET'!C$5</f>
        <v>57.65</v>
      </c>
      <c r="N280" s="83">
        <f t="shared" si="128"/>
        <v>40.9315</v>
      </c>
      <c r="O280" s="83">
        <f t="shared" si="129"/>
        <v>81.863</v>
      </c>
      <c r="P280" s="83">
        <f t="shared" si="130"/>
        <v>106.4315</v>
      </c>
      <c r="Q280" s="114">
        <f t="shared" si="131"/>
        <v>212.863</v>
      </c>
      <c r="R280" s="101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</row>
    <row r="281" s="31" customFormat="1" spans="1:36">
      <c r="A281" s="55">
        <f>IF(G281&lt;&gt;"",1+MAX($A$3:A280),"")</f>
        <v>228</v>
      </c>
      <c r="B281" s="77"/>
      <c r="C281" s="78"/>
      <c r="D281" s="57" t="s">
        <v>258</v>
      </c>
      <c r="E281" s="75">
        <v>2</v>
      </c>
      <c r="F281" s="58" t="s">
        <v>57</v>
      </c>
      <c r="G281" s="80">
        <v>0</v>
      </c>
      <c r="H281" s="81">
        <f t="shared" si="125"/>
        <v>2</v>
      </c>
      <c r="I281" s="83">
        <v>69.5</v>
      </c>
      <c r="J281" s="83">
        <f t="shared" si="126"/>
        <v>139</v>
      </c>
      <c r="K281" s="84">
        <v>0.72</v>
      </c>
      <c r="L281" s="85">
        <f t="shared" si="127"/>
        <v>1.44</v>
      </c>
      <c r="M281" s="86">
        <f>'LABOR SHEET'!C$5</f>
        <v>57.65</v>
      </c>
      <c r="N281" s="83">
        <f t="shared" si="128"/>
        <v>41.508</v>
      </c>
      <c r="O281" s="83">
        <f t="shared" si="129"/>
        <v>83.016</v>
      </c>
      <c r="P281" s="83">
        <f t="shared" si="130"/>
        <v>111.008</v>
      </c>
      <c r="Q281" s="114">
        <f t="shared" si="131"/>
        <v>222.016</v>
      </c>
      <c r="R281" s="101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</row>
    <row r="282" s="31" customFormat="1" spans="1:36">
      <c r="A282" s="55">
        <f>IF(G282&lt;&gt;"",1+MAX($A$3:A281),"")</f>
        <v>229</v>
      </c>
      <c r="B282" s="77"/>
      <c r="C282" s="78"/>
      <c r="D282" s="57" t="s">
        <v>259</v>
      </c>
      <c r="E282" s="75">
        <v>6</v>
      </c>
      <c r="F282" s="58" t="s">
        <v>57</v>
      </c>
      <c r="G282" s="80">
        <v>0</v>
      </c>
      <c r="H282" s="81">
        <f t="shared" si="125"/>
        <v>6</v>
      </c>
      <c r="I282" s="83">
        <v>156.97</v>
      </c>
      <c r="J282" s="83">
        <f t="shared" si="126"/>
        <v>941.82</v>
      </c>
      <c r="K282" s="84">
        <v>1.2</v>
      </c>
      <c r="L282" s="85">
        <f t="shared" si="127"/>
        <v>7.2</v>
      </c>
      <c r="M282" s="86">
        <f>'LABOR SHEET'!C$5</f>
        <v>57.65</v>
      </c>
      <c r="N282" s="83">
        <f t="shared" si="128"/>
        <v>69.18</v>
      </c>
      <c r="O282" s="83">
        <f t="shared" si="129"/>
        <v>415.08</v>
      </c>
      <c r="P282" s="83">
        <f t="shared" si="130"/>
        <v>226.15</v>
      </c>
      <c r="Q282" s="114">
        <f t="shared" si="131"/>
        <v>1356.9</v>
      </c>
      <c r="R282" s="101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</row>
    <row r="283" s="31" customFormat="1" spans="1:36">
      <c r="A283" s="55">
        <f>IF(G283&lt;&gt;"",1+MAX($A$3:A282),"")</f>
        <v>230</v>
      </c>
      <c r="B283" s="77"/>
      <c r="C283" s="78"/>
      <c r="D283" s="57" t="s">
        <v>260</v>
      </c>
      <c r="E283" s="75">
        <v>1</v>
      </c>
      <c r="F283" s="58" t="s">
        <v>57</v>
      </c>
      <c r="G283" s="80">
        <v>0</v>
      </c>
      <c r="H283" s="81">
        <f t="shared" si="125"/>
        <v>1</v>
      </c>
      <c r="I283" s="83">
        <v>101</v>
      </c>
      <c r="J283" s="83">
        <f t="shared" si="126"/>
        <v>101</v>
      </c>
      <c r="K283" s="84">
        <v>1.15</v>
      </c>
      <c r="L283" s="85">
        <f t="shared" si="127"/>
        <v>1.15</v>
      </c>
      <c r="M283" s="86">
        <f>'LABOR SHEET'!C$5</f>
        <v>57.65</v>
      </c>
      <c r="N283" s="83">
        <f t="shared" si="128"/>
        <v>66.2975</v>
      </c>
      <c r="O283" s="83">
        <f t="shared" si="129"/>
        <v>66.2975</v>
      </c>
      <c r="P283" s="83">
        <f t="shared" si="130"/>
        <v>167.2975</v>
      </c>
      <c r="Q283" s="114">
        <f t="shared" si="131"/>
        <v>167.2975</v>
      </c>
      <c r="R283" s="101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</row>
    <row r="284" s="31" customFormat="1" spans="1:36">
      <c r="A284" s="55">
        <f>IF(G284&lt;&gt;"",1+MAX($A$3:A283),"")</f>
        <v>231</v>
      </c>
      <c r="B284" s="77"/>
      <c r="C284" s="78"/>
      <c r="D284" s="57" t="s">
        <v>261</v>
      </c>
      <c r="E284" s="75">
        <v>8</v>
      </c>
      <c r="F284" s="58" t="s">
        <v>57</v>
      </c>
      <c r="G284" s="80">
        <v>0</v>
      </c>
      <c r="H284" s="81">
        <f t="shared" si="125"/>
        <v>8</v>
      </c>
      <c r="I284" s="83">
        <v>165</v>
      </c>
      <c r="J284" s="83">
        <f t="shared" si="126"/>
        <v>1320</v>
      </c>
      <c r="K284" s="84">
        <v>1.35</v>
      </c>
      <c r="L284" s="85">
        <f t="shared" si="127"/>
        <v>10.8</v>
      </c>
      <c r="M284" s="86">
        <f>'LABOR SHEET'!C$5</f>
        <v>57.65</v>
      </c>
      <c r="N284" s="83">
        <f t="shared" si="128"/>
        <v>77.8275</v>
      </c>
      <c r="O284" s="83">
        <f t="shared" si="129"/>
        <v>622.62</v>
      </c>
      <c r="P284" s="83">
        <f t="shared" si="130"/>
        <v>242.8275</v>
      </c>
      <c r="Q284" s="114">
        <f t="shared" si="131"/>
        <v>1942.62</v>
      </c>
      <c r="R284" s="101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</row>
    <row r="285" s="31" customFormat="1" spans="1:36">
      <c r="A285" s="55">
        <f>IF(G285&lt;&gt;"",1+MAX($A$3:A284),"")</f>
        <v>232</v>
      </c>
      <c r="B285" s="77"/>
      <c r="C285" s="78"/>
      <c r="D285" s="57" t="s">
        <v>262</v>
      </c>
      <c r="E285" s="75">
        <v>15</v>
      </c>
      <c r="F285" s="58" t="s">
        <v>57</v>
      </c>
      <c r="G285" s="80">
        <v>0</v>
      </c>
      <c r="H285" s="81">
        <f t="shared" si="125"/>
        <v>15</v>
      </c>
      <c r="I285" s="83">
        <v>185</v>
      </c>
      <c r="J285" s="83">
        <f t="shared" si="126"/>
        <v>2775</v>
      </c>
      <c r="K285" s="84">
        <v>1.15</v>
      </c>
      <c r="L285" s="85">
        <f t="shared" si="127"/>
        <v>17.25</v>
      </c>
      <c r="M285" s="86">
        <f>'LABOR SHEET'!C$5</f>
        <v>57.65</v>
      </c>
      <c r="N285" s="83">
        <f t="shared" si="128"/>
        <v>66.2975</v>
      </c>
      <c r="O285" s="83">
        <f t="shared" si="129"/>
        <v>994.4625</v>
      </c>
      <c r="P285" s="83">
        <f t="shared" si="130"/>
        <v>251.2975</v>
      </c>
      <c r="Q285" s="114">
        <f t="shared" si="131"/>
        <v>3769.4625</v>
      </c>
      <c r="R285" s="101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</row>
    <row r="286" s="31" customFormat="1" spans="1:36">
      <c r="A286" s="55">
        <f>IF(G286&lt;&gt;"",1+MAX($A$3:A285),"")</f>
        <v>233</v>
      </c>
      <c r="B286" s="77"/>
      <c r="C286" s="78"/>
      <c r="D286" s="57" t="s">
        <v>263</v>
      </c>
      <c r="E286" s="75">
        <v>10</v>
      </c>
      <c r="F286" s="58" t="s">
        <v>57</v>
      </c>
      <c r="G286" s="80">
        <v>0</v>
      </c>
      <c r="H286" s="81">
        <f t="shared" si="125"/>
        <v>10</v>
      </c>
      <c r="I286" s="83">
        <v>266</v>
      </c>
      <c r="J286" s="83">
        <f t="shared" si="126"/>
        <v>2660</v>
      </c>
      <c r="K286" s="84">
        <v>1.4</v>
      </c>
      <c r="L286" s="85">
        <f t="shared" si="127"/>
        <v>14</v>
      </c>
      <c r="M286" s="86">
        <f>'LABOR SHEET'!C$5</f>
        <v>57.65</v>
      </c>
      <c r="N286" s="83">
        <f t="shared" si="128"/>
        <v>80.71</v>
      </c>
      <c r="O286" s="83">
        <f t="shared" si="129"/>
        <v>807.1</v>
      </c>
      <c r="P286" s="83">
        <f t="shared" si="130"/>
        <v>346.71</v>
      </c>
      <c r="Q286" s="114">
        <f t="shared" si="131"/>
        <v>3467.1</v>
      </c>
      <c r="R286" s="101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</row>
    <row r="287" s="31" customFormat="1" spans="1:36">
      <c r="A287" s="55">
        <f>IF(G287&lt;&gt;"",1+MAX($A$3:A286),"")</f>
        <v>234</v>
      </c>
      <c r="B287" s="77"/>
      <c r="C287" s="78"/>
      <c r="D287" s="57" t="s">
        <v>264</v>
      </c>
      <c r="E287" s="75">
        <v>6</v>
      </c>
      <c r="F287" s="58" t="s">
        <v>57</v>
      </c>
      <c r="G287" s="80">
        <v>0</v>
      </c>
      <c r="H287" s="81">
        <f t="shared" si="125"/>
        <v>6</v>
      </c>
      <c r="I287" s="83">
        <v>310</v>
      </c>
      <c r="J287" s="83">
        <f t="shared" si="126"/>
        <v>1860</v>
      </c>
      <c r="K287" s="84">
        <v>1.45</v>
      </c>
      <c r="L287" s="85">
        <f t="shared" si="127"/>
        <v>8.7</v>
      </c>
      <c r="M287" s="86">
        <f>'LABOR SHEET'!C$5</f>
        <v>57.65</v>
      </c>
      <c r="N287" s="83">
        <f t="shared" si="128"/>
        <v>83.5925</v>
      </c>
      <c r="O287" s="83">
        <f t="shared" si="129"/>
        <v>501.555</v>
      </c>
      <c r="P287" s="83">
        <f t="shared" si="130"/>
        <v>393.5925</v>
      </c>
      <c r="Q287" s="114">
        <f t="shared" si="131"/>
        <v>2361.555</v>
      </c>
      <c r="R287" s="101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</row>
    <row r="288" s="31" customFormat="1" spans="1:36">
      <c r="A288" s="55">
        <f>IF(G288&lt;&gt;"",1+MAX($A$3:A287),"")</f>
        <v>235</v>
      </c>
      <c r="B288" s="77"/>
      <c r="C288" s="78"/>
      <c r="D288" s="57" t="s">
        <v>265</v>
      </c>
      <c r="E288" s="75">
        <v>5</v>
      </c>
      <c r="F288" s="58" t="s">
        <v>57</v>
      </c>
      <c r="G288" s="80">
        <v>0</v>
      </c>
      <c r="H288" s="81">
        <f t="shared" si="125"/>
        <v>5</v>
      </c>
      <c r="I288" s="83">
        <v>355</v>
      </c>
      <c r="J288" s="83">
        <f t="shared" si="126"/>
        <v>1775</v>
      </c>
      <c r="K288" s="84">
        <v>1.5</v>
      </c>
      <c r="L288" s="85">
        <f t="shared" si="127"/>
        <v>7.5</v>
      </c>
      <c r="M288" s="86">
        <f>'LABOR SHEET'!C$5</f>
        <v>57.65</v>
      </c>
      <c r="N288" s="83">
        <f t="shared" si="128"/>
        <v>86.475</v>
      </c>
      <c r="O288" s="83">
        <f t="shared" si="129"/>
        <v>432.375</v>
      </c>
      <c r="P288" s="83">
        <f t="shared" si="130"/>
        <v>441.475</v>
      </c>
      <c r="Q288" s="114">
        <f t="shared" si="131"/>
        <v>2207.375</v>
      </c>
      <c r="R288" s="101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</row>
    <row r="289" s="31" customFormat="1" spans="1:36">
      <c r="A289" s="55" t="str">
        <f>IF(G289&lt;&gt;"",1+MAX($A$3:A288),"")</f>
        <v/>
      </c>
      <c r="B289" s="77"/>
      <c r="C289" s="78"/>
      <c r="D289" s="57"/>
      <c r="E289" s="75"/>
      <c r="F289" s="58"/>
      <c r="G289" s="80"/>
      <c r="H289" s="81"/>
      <c r="I289" s="87"/>
      <c r="J289" s="83"/>
      <c r="K289" s="84"/>
      <c r="L289" s="85"/>
      <c r="M289" s="86"/>
      <c r="N289" s="83"/>
      <c r="O289" s="83"/>
      <c r="P289" s="83"/>
      <c r="Q289" s="114"/>
      <c r="R289" s="101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</row>
    <row r="290" s="31" customFormat="1" ht="18" spans="1:36">
      <c r="A290" s="55" t="str">
        <f>IF(G290&lt;&gt;"",1+MAX($A$3:A289),"")</f>
        <v/>
      </c>
      <c r="B290" s="77"/>
      <c r="C290" s="75"/>
      <c r="D290" s="76" t="s">
        <v>266</v>
      </c>
      <c r="E290" s="58"/>
      <c r="F290" s="58"/>
      <c r="G290" s="58"/>
      <c r="H290" s="58"/>
      <c r="I290" s="87"/>
      <c r="J290" s="83"/>
      <c r="K290" s="84"/>
      <c r="L290" s="93"/>
      <c r="M290" s="94"/>
      <c r="N290" s="83"/>
      <c r="O290" s="83"/>
      <c r="P290" s="83"/>
      <c r="Q290" s="111"/>
      <c r="R290" s="112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</row>
    <row r="291" s="31" customFormat="1" ht="46.8" spans="1:36">
      <c r="A291" s="55">
        <f>IF(G291&lt;&gt;"",1+MAX($A$3:A290),"")</f>
        <v>236</v>
      </c>
      <c r="B291" s="77"/>
      <c r="C291" s="78"/>
      <c r="D291" s="119" t="s">
        <v>267</v>
      </c>
      <c r="E291" s="75">
        <v>1</v>
      </c>
      <c r="F291" s="58" t="s">
        <v>57</v>
      </c>
      <c r="G291" s="80">
        <v>0</v>
      </c>
      <c r="H291" s="81">
        <f t="shared" ref="H291:H297" si="132">E291*(1+G291)</f>
        <v>1</v>
      </c>
      <c r="I291" s="83">
        <f>26226+3450</f>
        <v>29676</v>
      </c>
      <c r="J291" s="83">
        <f t="shared" ref="J291:J297" si="133">I291*H291</f>
        <v>29676</v>
      </c>
      <c r="K291" s="84">
        <v>10.5</v>
      </c>
      <c r="L291" s="85">
        <f t="shared" ref="L291:L297" si="134">+K291*H291</f>
        <v>10.5</v>
      </c>
      <c r="M291" s="86">
        <f>'LABOR SHEET'!C$5</f>
        <v>57.65</v>
      </c>
      <c r="N291" s="83">
        <f t="shared" ref="N291:N297" si="135">K291*M291</f>
        <v>605.325</v>
      </c>
      <c r="O291" s="83">
        <f t="shared" ref="O291:O297" si="136">M291*L291</f>
        <v>605.325</v>
      </c>
      <c r="P291" s="83">
        <f t="shared" ref="P291:P297" si="137">I291+N291</f>
        <v>30281.325</v>
      </c>
      <c r="Q291" s="114">
        <f t="shared" ref="Q291:Q297" si="138">P291*H291</f>
        <v>30281.325</v>
      </c>
      <c r="R291" s="101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</row>
    <row r="292" s="31" customFormat="1" ht="46.8" spans="1:36">
      <c r="A292" s="55">
        <f>IF(G292&lt;&gt;"",1+MAX($A$3:A291),"")</f>
        <v>237</v>
      </c>
      <c r="B292" s="77"/>
      <c r="C292" s="78"/>
      <c r="D292" s="119" t="s">
        <v>268</v>
      </c>
      <c r="E292" s="75">
        <v>1</v>
      </c>
      <c r="F292" s="58" t="s">
        <v>57</v>
      </c>
      <c r="G292" s="80">
        <v>0</v>
      </c>
      <c r="H292" s="81">
        <f t="shared" si="132"/>
        <v>1</v>
      </c>
      <c r="I292" s="83">
        <f>26226+3450</f>
        <v>29676</v>
      </c>
      <c r="J292" s="83">
        <f t="shared" si="133"/>
        <v>29676</v>
      </c>
      <c r="K292" s="84">
        <v>10.5</v>
      </c>
      <c r="L292" s="85">
        <f t="shared" si="134"/>
        <v>10.5</v>
      </c>
      <c r="M292" s="86">
        <f>'LABOR SHEET'!C$5</f>
        <v>57.65</v>
      </c>
      <c r="N292" s="83">
        <f t="shared" si="135"/>
        <v>605.325</v>
      </c>
      <c r="O292" s="83">
        <f t="shared" si="136"/>
        <v>605.325</v>
      </c>
      <c r="P292" s="83">
        <f t="shared" si="137"/>
        <v>30281.325</v>
      </c>
      <c r="Q292" s="114">
        <f t="shared" si="138"/>
        <v>30281.325</v>
      </c>
      <c r="R292" s="101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</row>
    <row r="293" s="31" customFormat="1" spans="1:36">
      <c r="A293" s="55">
        <f>IF(G293&lt;&gt;"",1+MAX($A$3:A292),"")</f>
        <v>238</v>
      </c>
      <c r="B293" s="77"/>
      <c r="C293" s="78"/>
      <c r="D293" s="119" t="s">
        <v>269</v>
      </c>
      <c r="E293" s="75">
        <v>1</v>
      </c>
      <c r="F293" s="58" t="s">
        <v>57</v>
      </c>
      <c r="G293" s="80">
        <v>0</v>
      </c>
      <c r="H293" s="81">
        <f t="shared" si="132"/>
        <v>1</v>
      </c>
      <c r="I293" s="83">
        <v>831.41</v>
      </c>
      <c r="J293" s="83">
        <f t="shared" si="133"/>
        <v>831.41</v>
      </c>
      <c r="K293" s="84">
        <v>3.5</v>
      </c>
      <c r="L293" s="85">
        <f t="shared" si="134"/>
        <v>3.5</v>
      </c>
      <c r="M293" s="86">
        <f>'LABOR SHEET'!C$5</f>
        <v>57.65</v>
      </c>
      <c r="N293" s="83">
        <f t="shared" si="135"/>
        <v>201.775</v>
      </c>
      <c r="O293" s="83">
        <f t="shared" si="136"/>
        <v>201.775</v>
      </c>
      <c r="P293" s="83">
        <f t="shared" si="137"/>
        <v>1033.185</v>
      </c>
      <c r="Q293" s="114">
        <f t="shared" si="138"/>
        <v>1033.185</v>
      </c>
      <c r="R293" s="101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</row>
    <row r="294" s="31" customFormat="1" spans="1:36">
      <c r="A294" s="55">
        <f>IF(G294&lt;&gt;"",1+MAX($A$3:A293),"")</f>
        <v>239</v>
      </c>
      <c r="B294" s="77"/>
      <c r="C294" s="78"/>
      <c r="D294" s="119" t="s">
        <v>270</v>
      </c>
      <c r="E294" s="75">
        <v>1</v>
      </c>
      <c r="F294" s="58" t="s">
        <v>57</v>
      </c>
      <c r="G294" s="80">
        <v>0</v>
      </c>
      <c r="H294" s="81">
        <f t="shared" si="132"/>
        <v>1</v>
      </c>
      <c r="I294" s="83">
        <v>831.41</v>
      </c>
      <c r="J294" s="83">
        <f t="shared" si="133"/>
        <v>831.41</v>
      </c>
      <c r="K294" s="84">
        <v>3.5</v>
      </c>
      <c r="L294" s="85">
        <f t="shared" si="134"/>
        <v>3.5</v>
      </c>
      <c r="M294" s="86">
        <f>'LABOR SHEET'!C$5</f>
        <v>57.65</v>
      </c>
      <c r="N294" s="83">
        <f t="shared" si="135"/>
        <v>201.775</v>
      </c>
      <c r="O294" s="83">
        <f t="shared" si="136"/>
        <v>201.775</v>
      </c>
      <c r="P294" s="83">
        <f t="shared" si="137"/>
        <v>1033.185</v>
      </c>
      <c r="Q294" s="114">
        <f t="shared" si="138"/>
        <v>1033.185</v>
      </c>
      <c r="R294" s="101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</row>
    <row r="295" s="31" customFormat="1" ht="78" spans="1:36">
      <c r="A295" s="55">
        <f>IF(G295&lt;&gt;"",1+MAX($A$3:A294),"")</f>
        <v>240</v>
      </c>
      <c r="B295" s="77"/>
      <c r="C295" s="78"/>
      <c r="D295" s="119" t="s">
        <v>271</v>
      </c>
      <c r="E295" s="75">
        <v>1</v>
      </c>
      <c r="F295" s="58" t="s">
        <v>57</v>
      </c>
      <c r="G295" s="80">
        <v>0</v>
      </c>
      <c r="H295" s="81">
        <f t="shared" si="132"/>
        <v>1</v>
      </c>
      <c r="I295" s="83">
        <v>21500</v>
      </c>
      <c r="J295" s="83">
        <f t="shared" si="133"/>
        <v>21500</v>
      </c>
      <c r="K295" s="84">
        <v>8.5</v>
      </c>
      <c r="L295" s="85">
        <f t="shared" si="134"/>
        <v>8.5</v>
      </c>
      <c r="M295" s="86">
        <f>'LABOR SHEET'!C$5</f>
        <v>57.65</v>
      </c>
      <c r="N295" s="83">
        <f t="shared" si="135"/>
        <v>490.025</v>
      </c>
      <c r="O295" s="83">
        <f t="shared" si="136"/>
        <v>490.025</v>
      </c>
      <c r="P295" s="83">
        <f t="shared" si="137"/>
        <v>21990.025</v>
      </c>
      <c r="Q295" s="114">
        <f t="shared" si="138"/>
        <v>21990.025</v>
      </c>
      <c r="R295" s="101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</row>
    <row r="296" s="31" customFormat="1" ht="46.8" spans="1:36">
      <c r="A296" s="55">
        <f>IF(G296&lt;&gt;"",1+MAX($A$3:A295),"")</f>
        <v>241</v>
      </c>
      <c r="B296" s="77"/>
      <c r="C296" s="78"/>
      <c r="D296" s="119" t="s">
        <v>272</v>
      </c>
      <c r="E296" s="75">
        <v>1</v>
      </c>
      <c r="F296" s="58" t="s">
        <v>57</v>
      </c>
      <c r="G296" s="80">
        <v>0</v>
      </c>
      <c r="H296" s="81">
        <f t="shared" si="132"/>
        <v>1</v>
      </c>
      <c r="I296" s="83">
        <v>1752.36</v>
      </c>
      <c r="J296" s="83">
        <f t="shared" si="133"/>
        <v>1752.36</v>
      </c>
      <c r="K296" s="84">
        <v>3.5</v>
      </c>
      <c r="L296" s="85">
        <f t="shared" si="134"/>
        <v>3.5</v>
      </c>
      <c r="M296" s="86">
        <f>'LABOR SHEET'!C$5</f>
        <v>57.65</v>
      </c>
      <c r="N296" s="83">
        <f t="shared" si="135"/>
        <v>201.775</v>
      </c>
      <c r="O296" s="83">
        <f t="shared" si="136"/>
        <v>201.775</v>
      </c>
      <c r="P296" s="83">
        <f t="shared" si="137"/>
        <v>1954.135</v>
      </c>
      <c r="Q296" s="114">
        <f t="shared" si="138"/>
        <v>1954.135</v>
      </c>
      <c r="R296" s="101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</row>
    <row r="297" s="31" customFormat="1" ht="46.8" spans="1:36">
      <c r="A297" s="55">
        <f>IF(G297&lt;&gt;"",1+MAX($A$3:A296),"")</f>
        <v>242</v>
      </c>
      <c r="B297" s="77"/>
      <c r="C297" s="78"/>
      <c r="D297" s="119" t="s">
        <v>273</v>
      </c>
      <c r="E297" s="75">
        <v>1</v>
      </c>
      <c r="F297" s="58" t="s">
        <v>57</v>
      </c>
      <c r="G297" s="80">
        <v>0</v>
      </c>
      <c r="H297" s="81">
        <f t="shared" si="132"/>
        <v>1</v>
      </c>
      <c r="I297" s="83">
        <v>1752.36</v>
      </c>
      <c r="J297" s="83">
        <f t="shared" si="133"/>
        <v>1752.36</v>
      </c>
      <c r="K297" s="84">
        <v>3.5</v>
      </c>
      <c r="L297" s="85">
        <f t="shared" si="134"/>
        <v>3.5</v>
      </c>
      <c r="M297" s="86">
        <f>'LABOR SHEET'!C$5</f>
        <v>57.65</v>
      </c>
      <c r="N297" s="83">
        <f t="shared" si="135"/>
        <v>201.775</v>
      </c>
      <c r="O297" s="83">
        <f t="shared" si="136"/>
        <v>201.775</v>
      </c>
      <c r="P297" s="83">
        <f t="shared" si="137"/>
        <v>1954.135</v>
      </c>
      <c r="Q297" s="114">
        <f t="shared" si="138"/>
        <v>1954.135</v>
      </c>
      <c r="R297" s="101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</row>
    <row r="298" s="31" customFormat="1" spans="1:36">
      <c r="A298" s="55" t="str">
        <f>IF(G298&lt;&gt;"",1+MAX($A$3:A297),"")</f>
        <v/>
      </c>
      <c r="B298" s="77"/>
      <c r="C298" s="78"/>
      <c r="D298" s="57"/>
      <c r="E298" s="75"/>
      <c r="F298" s="58"/>
      <c r="G298" s="80"/>
      <c r="H298" s="81"/>
      <c r="I298" s="87"/>
      <c r="J298" s="83"/>
      <c r="K298" s="84"/>
      <c r="L298" s="85"/>
      <c r="M298" s="86"/>
      <c r="N298" s="83"/>
      <c r="O298" s="83"/>
      <c r="P298" s="83"/>
      <c r="Q298" s="114"/>
      <c r="R298" s="101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</row>
    <row r="299" s="31" customFormat="1" spans="1:36">
      <c r="A299" s="55" t="str">
        <f>IF(G299&lt;&gt;"",1+MAX($A$3:A298),"")</f>
        <v/>
      </c>
      <c r="B299" s="77"/>
      <c r="C299" s="78"/>
      <c r="D299" s="82" t="s">
        <v>274</v>
      </c>
      <c r="E299" s="75"/>
      <c r="F299" s="58"/>
      <c r="G299" s="80"/>
      <c r="H299" s="81"/>
      <c r="I299" s="87"/>
      <c r="J299" s="83"/>
      <c r="K299" s="84"/>
      <c r="L299" s="85"/>
      <c r="M299" s="86"/>
      <c r="N299" s="83"/>
      <c r="O299" s="83"/>
      <c r="P299" s="83"/>
      <c r="Q299" s="114"/>
      <c r="R299" s="101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</row>
    <row r="300" s="31" customFormat="1" spans="1:36">
      <c r="A300" s="55">
        <f>IF(G300&lt;&gt;"",1+MAX($A$3:A299),"")</f>
        <v>243</v>
      </c>
      <c r="B300" s="77"/>
      <c r="C300" s="78"/>
      <c r="D300" s="57" t="s">
        <v>275</v>
      </c>
      <c r="E300" s="75">
        <v>2</v>
      </c>
      <c r="F300" s="58" t="s">
        <v>57</v>
      </c>
      <c r="G300" s="80">
        <v>0</v>
      </c>
      <c r="H300" s="81">
        <f t="shared" ref="H300:H314" si="139">E300*(1+G300)</f>
        <v>2</v>
      </c>
      <c r="I300" s="83">
        <v>273.82</v>
      </c>
      <c r="J300" s="83">
        <f t="shared" ref="J300:J314" si="140">I300*H300</f>
        <v>547.64</v>
      </c>
      <c r="K300" s="84">
        <v>2.5</v>
      </c>
      <c r="L300" s="85">
        <f t="shared" ref="L300:L314" si="141">+K300*H300</f>
        <v>5</v>
      </c>
      <c r="M300" s="86">
        <f>'LABOR SHEET'!C$5</f>
        <v>57.65</v>
      </c>
      <c r="N300" s="83">
        <f t="shared" ref="N300:N314" si="142">K300*M300</f>
        <v>144.125</v>
      </c>
      <c r="O300" s="83">
        <f t="shared" ref="O300:O314" si="143">M300*L300</f>
        <v>288.25</v>
      </c>
      <c r="P300" s="83">
        <f t="shared" ref="P300:P314" si="144">I300+N300</f>
        <v>417.945</v>
      </c>
      <c r="Q300" s="114">
        <f t="shared" ref="Q300:Q314" si="145">P300*H300</f>
        <v>835.89</v>
      </c>
      <c r="R300" s="101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</row>
    <row r="301" s="31" customFormat="1" spans="1:36">
      <c r="A301" s="55">
        <f>IF(G301&lt;&gt;"",1+MAX($A$3:A300),"")</f>
        <v>244</v>
      </c>
      <c r="B301" s="77"/>
      <c r="C301" s="78"/>
      <c r="D301" s="57" t="s">
        <v>276</v>
      </c>
      <c r="E301" s="75">
        <v>4</v>
      </c>
      <c r="F301" s="58" t="s">
        <v>57</v>
      </c>
      <c r="G301" s="80">
        <v>0</v>
      </c>
      <c r="H301" s="81">
        <f t="shared" si="139"/>
        <v>4</v>
      </c>
      <c r="I301" s="83">
        <v>11.38</v>
      </c>
      <c r="J301" s="83">
        <f t="shared" si="140"/>
        <v>45.52</v>
      </c>
      <c r="K301" s="84">
        <v>0.6</v>
      </c>
      <c r="L301" s="85">
        <f t="shared" si="141"/>
        <v>2.4</v>
      </c>
      <c r="M301" s="86">
        <f>'LABOR SHEET'!C$5</f>
        <v>57.65</v>
      </c>
      <c r="N301" s="83">
        <f t="shared" si="142"/>
        <v>34.59</v>
      </c>
      <c r="O301" s="83">
        <f t="shared" si="143"/>
        <v>138.36</v>
      </c>
      <c r="P301" s="83">
        <f t="shared" si="144"/>
        <v>45.97</v>
      </c>
      <c r="Q301" s="114">
        <f t="shared" si="145"/>
        <v>183.88</v>
      </c>
      <c r="R301" s="101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</row>
    <row r="302" s="31" customFormat="1" spans="1:36">
      <c r="A302" s="55">
        <f>IF(G302&lt;&gt;"",1+MAX($A$3:A301),"")</f>
        <v>245</v>
      </c>
      <c r="B302" s="77"/>
      <c r="C302" s="78"/>
      <c r="D302" s="57" t="s">
        <v>252</v>
      </c>
      <c r="E302" s="75">
        <v>4</v>
      </c>
      <c r="F302" s="58" t="s">
        <v>57</v>
      </c>
      <c r="G302" s="80">
        <v>0</v>
      </c>
      <c r="H302" s="81">
        <f t="shared" si="139"/>
        <v>4</v>
      </c>
      <c r="I302" s="83">
        <v>23.5</v>
      </c>
      <c r="J302" s="83">
        <f t="shared" si="140"/>
        <v>94</v>
      </c>
      <c r="K302" s="84">
        <v>0.62</v>
      </c>
      <c r="L302" s="85">
        <f t="shared" si="141"/>
        <v>2.48</v>
      </c>
      <c r="M302" s="86">
        <f>'LABOR SHEET'!C$5</f>
        <v>57.65</v>
      </c>
      <c r="N302" s="83">
        <f t="shared" si="142"/>
        <v>35.743</v>
      </c>
      <c r="O302" s="83">
        <f t="shared" si="143"/>
        <v>142.972</v>
      </c>
      <c r="P302" s="83">
        <f t="shared" si="144"/>
        <v>59.243</v>
      </c>
      <c r="Q302" s="114">
        <f t="shared" si="145"/>
        <v>236.972</v>
      </c>
      <c r="R302" s="101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</row>
    <row r="303" s="31" customFormat="1" spans="1:36">
      <c r="A303" s="55">
        <f>IF(G303&lt;&gt;"",1+MAX($A$3:A302),"")</f>
        <v>246</v>
      </c>
      <c r="B303" s="77"/>
      <c r="C303" s="78"/>
      <c r="D303" s="57" t="s">
        <v>277</v>
      </c>
      <c r="E303" s="75">
        <v>4</v>
      </c>
      <c r="F303" s="58" t="s">
        <v>57</v>
      </c>
      <c r="G303" s="80">
        <v>0</v>
      </c>
      <c r="H303" s="81">
        <f t="shared" si="139"/>
        <v>4</v>
      </c>
      <c r="I303" s="83">
        <v>25.5</v>
      </c>
      <c r="J303" s="83">
        <f t="shared" si="140"/>
        <v>102</v>
      </c>
      <c r="K303" s="84">
        <v>0.55</v>
      </c>
      <c r="L303" s="85">
        <f t="shared" si="141"/>
        <v>2.2</v>
      </c>
      <c r="M303" s="86">
        <f>'LABOR SHEET'!C$5</f>
        <v>57.65</v>
      </c>
      <c r="N303" s="83">
        <f t="shared" si="142"/>
        <v>31.7075</v>
      </c>
      <c r="O303" s="83">
        <f t="shared" si="143"/>
        <v>126.83</v>
      </c>
      <c r="P303" s="83">
        <f t="shared" si="144"/>
        <v>57.2075</v>
      </c>
      <c r="Q303" s="114">
        <f t="shared" si="145"/>
        <v>228.83</v>
      </c>
      <c r="R303" s="101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</row>
    <row r="304" s="31" customFormat="1" spans="1:36">
      <c r="A304" s="55">
        <f>IF(G304&lt;&gt;"",1+MAX($A$3:A303),"")</f>
        <v>247</v>
      </c>
      <c r="B304" s="77"/>
      <c r="C304" s="78"/>
      <c r="D304" s="57" t="s">
        <v>278</v>
      </c>
      <c r="E304" s="75">
        <v>8</v>
      </c>
      <c r="F304" s="58" t="s">
        <v>57</v>
      </c>
      <c r="G304" s="80">
        <v>0</v>
      </c>
      <c r="H304" s="81">
        <f t="shared" si="139"/>
        <v>8</v>
      </c>
      <c r="I304" s="83">
        <v>17.59</v>
      </c>
      <c r="J304" s="83">
        <f t="shared" si="140"/>
        <v>140.72</v>
      </c>
      <c r="K304" s="84">
        <v>0.58</v>
      </c>
      <c r="L304" s="85">
        <f t="shared" si="141"/>
        <v>4.64</v>
      </c>
      <c r="M304" s="86">
        <f>'LABOR SHEET'!C$5</f>
        <v>57.65</v>
      </c>
      <c r="N304" s="83">
        <f t="shared" si="142"/>
        <v>33.437</v>
      </c>
      <c r="O304" s="83">
        <f t="shared" si="143"/>
        <v>267.496</v>
      </c>
      <c r="P304" s="83">
        <f t="shared" si="144"/>
        <v>51.027</v>
      </c>
      <c r="Q304" s="114">
        <f t="shared" si="145"/>
        <v>408.216</v>
      </c>
      <c r="R304" s="101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</row>
    <row r="305" s="31" customFormat="1" spans="1:36">
      <c r="A305" s="55">
        <f>IF(G305&lt;&gt;"",1+MAX($A$3:A304),"")</f>
        <v>248</v>
      </c>
      <c r="B305" s="77"/>
      <c r="C305" s="78"/>
      <c r="D305" s="57" t="s">
        <v>279</v>
      </c>
      <c r="E305" s="75">
        <v>2</v>
      </c>
      <c r="F305" s="58" t="s">
        <v>57</v>
      </c>
      <c r="G305" s="80">
        <v>0</v>
      </c>
      <c r="H305" s="81">
        <f t="shared" si="139"/>
        <v>2</v>
      </c>
      <c r="I305" s="83">
        <v>19.622</v>
      </c>
      <c r="J305" s="83">
        <f t="shared" si="140"/>
        <v>39.244</v>
      </c>
      <c r="K305" s="84">
        <v>0.58</v>
      </c>
      <c r="L305" s="85">
        <f t="shared" si="141"/>
        <v>1.16</v>
      </c>
      <c r="M305" s="86">
        <f>'LABOR SHEET'!C$5</f>
        <v>57.65</v>
      </c>
      <c r="N305" s="83">
        <f t="shared" si="142"/>
        <v>33.437</v>
      </c>
      <c r="O305" s="83">
        <f t="shared" si="143"/>
        <v>66.874</v>
      </c>
      <c r="P305" s="83">
        <f t="shared" si="144"/>
        <v>53.059</v>
      </c>
      <c r="Q305" s="114">
        <f t="shared" si="145"/>
        <v>106.118</v>
      </c>
      <c r="R305" s="101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</row>
    <row r="306" s="31" customFormat="1" spans="1:36">
      <c r="A306" s="55">
        <f>IF(G306&lt;&gt;"",1+MAX($A$3:A305),"")</f>
        <v>249</v>
      </c>
      <c r="B306" s="77"/>
      <c r="C306" s="78"/>
      <c r="D306" s="57" t="s">
        <v>280</v>
      </c>
      <c r="E306" s="75">
        <v>2</v>
      </c>
      <c r="F306" s="58" t="s">
        <v>57</v>
      </c>
      <c r="G306" s="80">
        <v>0</v>
      </c>
      <c r="H306" s="81">
        <f t="shared" si="139"/>
        <v>2</v>
      </c>
      <c r="I306" s="83">
        <v>40.25</v>
      </c>
      <c r="J306" s="83">
        <f t="shared" si="140"/>
        <v>80.5</v>
      </c>
      <c r="K306" s="84">
        <v>0.64</v>
      </c>
      <c r="L306" s="85">
        <f t="shared" si="141"/>
        <v>1.28</v>
      </c>
      <c r="M306" s="86">
        <f>'LABOR SHEET'!C$5</f>
        <v>57.65</v>
      </c>
      <c r="N306" s="83">
        <f t="shared" si="142"/>
        <v>36.896</v>
      </c>
      <c r="O306" s="83">
        <f t="shared" si="143"/>
        <v>73.792</v>
      </c>
      <c r="P306" s="83">
        <f t="shared" si="144"/>
        <v>77.146</v>
      </c>
      <c r="Q306" s="114">
        <f t="shared" si="145"/>
        <v>154.292</v>
      </c>
      <c r="R306" s="101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</row>
    <row r="307" s="31" customFormat="1" spans="1:36">
      <c r="A307" s="55">
        <f>IF(G307&lt;&gt;"",1+MAX($A$3:A306),"")</f>
        <v>250</v>
      </c>
      <c r="B307" s="77"/>
      <c r="C307" s="78"/>
      <c r="D307" s="57" t="s">
        <v>281</v>
      </c>
      <c r="E307" s="75">
        <v>2</v>
      </c>
      <c r="F307" s="58" t="s">
        <v>57</v>
      </c>
      <c r="G307" s="80">
        <v>0</v>
      </c>
      <c r="H307" s="81">
        <f t="shared" si="139"/>
        <v>2</v>
      </c>
      <c r="I307" s="83">
        <v>85.5</v>
      </c>
      <c r="J307" s="83">
        <f t="shared" si="140"/>
        <v>171</v>
      </c>
      <c r="K307" s="84">
        <v>0.66</v>
      </c>
      <c r="L307" s="85">
        <f t="shared" si="141"/>
        <v>1.32</v>
      </c>
      <c r="M307" s="86">
        <f>'LABOR SHEET'!C$5</f>
        <v>57.65</v>
      </c>
      <c r="N307" s="83">
        <f t="shared" si="142"/>
        <v>38.049</v>
      </c>
      <c r="O307" s="83">
        <f t="shared" si="143"/>
        <v>76.098</v>
      </c>
      <c r="P307" s="83">
        <f t="shared" si="144"/>
        <v>123.549</v>
      </c>
      <c r="Q307" s="114">
        <f t="shared" si="145"/>
        <v>247.098</v>
      </c>
      <c r="R307" s="101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</row>
    <row r="308" s="31" customFormat="1" spans="1:36">
      <c r="A308" s="55">
        <f>IF(G308&lt;&gt;"",1+MAX($A$3:A307),"")</f>
        <v>251</v>
      </c>
      <c r="B308" s="77"/>
      <c r="C308" s="78"/>
      <c r="D308" s="57" t="s">
        <v>254</v>
      </c>
      <c r="E308" s="75">
        <v>4</v>
      </c>
      <c r="F308" s="58" t="s">
        <v>57</v>
      </c>
      <c r="G308" s="80">
        <v>0</v>
      </c>
      <c r="H308" s="81">
        <f t="shared" si="139"/>
        <v>4</v>
      </c>
      <c r="I308" s="83">
        <v>30.2</v>
      </c>
      <c r="J308" s="83">
        <f t="shared" si="140"/>
        <v>120.8</v>
      </c>
      <c r="K308" s="84">
        <v>0.62</v>
      </c>
      <c r="L308" s="85">
        <f t="shared" si="141"/>
        <v>2.48</v>
      </c>
      <c r="M308" s="86">
        <f>'LABOR SHEET'!C$5</f>
        <v>57.65</v>
      </c>
      <c r="N308" s="83">
        <f t="shared" si="142"/>
        <v>35.743</v>
      </c>
      <c r="O308" s="83">
        <f t="shared" si="143"/>
        <v>142.972</v>
      </c>
      <c r="P308" s="83">
        <f t="shared" si="144"/>
        <v>65.943</v>
      </c>
      <c r="Q308" s="114">
        <f t="shared" si="145"/>
        <v>263.772</v>
      </c>
      <c r="R308" s="101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</row>
    <row r="309" s="31" customFormat="1" spans="1:36">
      <c r="A309" s="55">
        <f>IF(G309&lt;&gt;"",1+MAX($A$3:A308),"")</f>
        <v>252</v>
      </c>
      <c r="B309" s="77"/>
      <c r="C309" s="78"/>
      <c r="D309" s="57" t="s">
        <v>257</v>
      </c>
      <c r="E309" s="75">
        <v>6</v>
      </c>
      <c r="F309" s="58" t="s">
        <v>57</v>
      </c>
      <c r="G309" s="80">
        <v>0</v>
      </c>
      <c r="H309" s="81">
        <f t="shared" si="139"/>
        <v>6</v>
      </c>
      <c r="I309" s="83">
        <v>65.5</v>
      </c>
      <c r="J309" s="83">
        <f t="shared" si="140"/>
        <v>393</v>
      </c>
      <c r="K309" s="84">
        <v>0.71</v>
      </c>
      <c r="L309" s="85">
        <f t="shared" si="141"/>
        <v>4.26</v>
      </c>
      <c r="M309" s="86">
        <f>'LABOR SHEET'!C$5</f>
        <v>57.65</v>
      </c>
      <c r="N309" s="83">
        <f t="shared" si="142"/>
        <v>40.9315</v>
      </c>
      <c r="O309" s="83">
        <f t="shared" si="143"/>
        <v>245.589</v>
      </c>
      <c r="P309" s="83">
        <f t="shared" si="144"/>
        <v>106.4315</v>
      </c>
      <c r="Q309" s="114">
        <f t="shared" si="145"/>
        <v>638.589</v>
      </c>
      <c r="R309" s="101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</row>
    <row r="310" s="31" customFormat="1" spans="1:36">
      <c r="A310" s="55">
        <f>IF(G310&lt;&gt;"",1+MAX($A$3:A309),"")</f>
        <v>253</v>
      </c>
      <c r="B310" s="77"/>
      <c r="C310" s="78"/>
      <c r="D310" s="57" t="s">
        <v>282</v>
      </c>
      <c r="E310" s="75">
        <v>1</v>
      </c>
      <c r="F310" s="58" t="s">
        <v>57</v>
      </c>
      <c r="G310" s="80">
        <v>0</v>
      </c>
      <c r="H310" s="81">
        <f t="shared" si="139"/>
        <v>1</v>
      </c>
      <c r="I310" s="83">
        <v>156.97</v>
      </c>
      <c r="J310" s="83">
        <f t="shared" si="140"/>
        <v>156.97</v>
      </c>
      <c r="K310" s="84">
        <v>0.75</v>
      </c>
      <c r="L310" s="85">
        <f t="shared" si="141"/>
        <v>0.75</v>
      </c>
      <c r="M310" s="86">
        <f>'LABOR SHEET'!C$5</f>
        <v>57.65</v>
      </c>
      <c r="N310" s="83">
        <f t="shared" si="142"/>
        <v>43.2375</v>
      </c>
      <c r="O310" s="83">
        <f t="shared" si="143"/>
        <v>43.2375</v>
      </c>
      <c r="P310" s="83">
        <f t="shared" si="144"/>
        <v>200.2075</v>
      </c>
      <c r="Q310" s="114">
        <f t="shared" si="145"/>
        <v>200.2075</v>
      </c>
      <c r="R310" s="101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</row>
    <row r="311" s="31" customFormat="1" spans="1:36">
      <c r="A311" s="55">
        <f>IF(G311&lt;&gt;"",1+MAX($A$3:A310),"")</f>
        <v>254</v>
      </c>
      <c r="B311" s="77"/>
      <c r="C311" s="78"/>
      <c r="D311" s="57" t="s">
        <v>283</v>
      </c>
      <c r="E311" s="75">
        <v>2</v>
      </c>
      <c r="F311" s="58" t="s">
        <v>57</v>
      </c>
      <c r="G311" s="80">
        <v>0</v>
      </c>
      <c r="H311" s="81">
        <f t="shared" si="139"/>
        <v>2</v>
      </c>
      <c r="I311" s="83">
        <v>72.45</v>
      </c>
      <c r="J311" s="83">
        <f t="shared" si="140"/>
        <v>144.9</v>
      </c>
      <c r="K311" s="84">
        <v>0.78</v>
      </c>
      <c r="L311" s="85">
        <f t="shared" si="141"/>
        <v>1.56</v>
      </c>
      <c r="M311" s="86">
        <f>'LABOR SHEET'!C$5</f>
        <v>57.65</v>
      </c>
      <c r="N311" s="83">
        <f t="shared" si="142"/>
        <v>44.967</v>
      </c>
      <c r="O311" s="83">
        <f t="shared" si="143"/>
        <v>89.934</v>
      </c>
      <c r="P311" s="83">
        <f t="shared" si="144"/>
        <v>117.417</v>
      </c>
      <c r="Q311" s="114">
        <f t="shared" si="145"/>
        <v>234.834</v>
      </c>
      <c r="R311" s="101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</row>
    <row r="312" s="31" customFormat="1" spans="1:36">
      <c r="A312" s="55">
        <f>IF(G312&lt;&gt;"",1+MAX($A$3:A311),"")</f>
        <v>255</v>
      </c>
      <c r="B312" s="77"/>
      <c r="C312" s="78"/>
      <c r="D312" s="57" t="s">
        <v>284</v>
      </c>
      <c r="E312" s="75">
        <v>2</v>
      </c>
      <c r="F312" s="58" t="s">
        <v>57</v>
      </c>
      <c r="G312" s="80">
        <v>0</v>
      </c>
      <c r="H312" s="81">
        <f t="shared" si="139"/>
        <v>2</v>
      </c>
      <c r="I312" s="83">
        <v>108</v>
      </c>
      <c r="J312" s="83">
        <f t="shared" si="140"/>
        <v>216</v>
      </c>
      <c r="K312" s="84">
        <v>1.2</v>
      </c>
      <c r="L312" s="85">
        <f t="shared" si="141"/>
        <v>2.4</v>
      </c>
      <c r="M312" s="86">
        <f>'LABOR SHEET'!C$5</f>
        <v>57.65</v>
      </c>
      <c r="N312" s="83">
        <f t="shared" si="142"/>
        <v>69.18</v>
      </c>
      <c r="O312" s="83">
        <f t="shared" si="143"/>
        <v>138.36</v>
      </c>
      <c r="P312" s="83">
        <f t="shared" si="144"/>
        <v>177.18</v>
      </c>
      <c r="Q312" s="114">
        <f t="shared" si="145"/>
        <v>354.36</v>
      </c>
      <c r="R312" s="101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</row>
    <row r="313" s="31" customFormat="1" spans="1:36">
      <c r="A313" s="55">
        <f>IF(G313&lt;&gt;"",1+MAX($A$3:A312),"")</f>
        <v>256</v>
      </c>
      <c r="B313" s="77"/>
      <c r="C313" s="78"/>
      <c r="D313" s="57" t="s">
        <v>285</v>
      </c>
      <c r="E313" s="75">
        <v>2</v>
      </c>
      <c r="F313" s="58" t="s">
        <v>57</v>
      </c>
      <c r="G313" s="80">
        <v>0</v>
      </c>
      <c r="H313" s="81">
        <f t="shared" si="139"/>
        <v>2</v>
      </c>
      <c r="I313" s="83">
        <v>99.99</v>
      </c>
      <c r="J313" s="83">
        <f t="shared" si="140"/>
        <v>199.98</v>
      </c>
      <c r="K313" s="84">
        <v>0.6</v>
      </c>
      <c r="L313" s="85">
        <f t="shared" si="141"/>
        <v>1.2</v>
      </c>
      <c r="M313" s="86">
        <f>'LABOR SHEET'!C$5</f>
        <v>57.65</v>
      </c>
      <c r="N313" s="83">
        <f t="shared" si="142"/>
        <v>34.59</v>
      </c>
      <c r="O313" s="83">
        <f t="shared" si="143"/>
        <v>69.18</v>
      </c>
      <c r="P313" s="83">
        <f t="shared" si="144"/>
        <v>134.58</v>
      </c>
      <c r="Q313" s="114">
        <f t="shared" si="145"/>
        <v>269.16</v>
      </c>
      <c r="R313" s="101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</row>
    <row r="314" s="31" customFormat="1" spans="1:36">
      <c r="A314" s="55">
        <f>IF(G314&lt;&gt;"",1+MAX($A$3:A313),"")</f>
        <v>257</v>
      </c>
      <c r="B314" s="77"/>
      <c r="C314" s="78"/>
      <c r="D314" s="57" t="s">
        <v>286</v>
      </c>
      <c r="E314" s="75">
        <v>2</v>
      </c>
      <c r="F314" s="58" t="s">
        <v>57</v>
      </c>
      <c r="G314" s="80">
        <v>0</v>
      </c>
      <c r="H314" s="81">
        <f t="shared" si="139"/>
        <v>2</v>
      </c>
      <c r="I314" s="83">
        <f>13+1.5*32</f>
        <v>61</v>
      </c>
      <c r="J314" s="83">
        <f t="shared" si="140"/>
        <v>122</v>
      </c>
      <c r="K314" s="84">
        <f>0.025*32+0.1</f>
        <v>0.9</v>
      </c>
      <c r="L314" s="85">
        <f t="shared" si="141"/>
        <v>1.8</v>
      </c>
      <c r="M314" s="86">
        <f>'LABOR SHEET'!C$5</f>
        <v>57.65</v>
      </c>
      <c r="N314" s="83">
        <f t="shared" si="142"/>
        <v>51.885</v>
      </c>
      <c r="O314" s="83">
        <f t="shared" si="143"/>
        <v>103.77</v>
      </c>
      <c r="P314" s="83">
        <f t="shared" si="144"/>
        <v>112.885</v>
      </c>
      <c r="Q314" s="114">
        <f t="shared" si="145"/>
        <v>225.77</v>
      </c>
      <c r="R314" s="101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</row>
    <row r="315" s="31" customFormat="1" spans="1:36">
      <c r="A315" s="55" t="str">
        <f>IF(G315&lt;&gt;"",1+MAX($A$3:A314),"")</f>
        <v/>
      </c>
      <c r="B315" s="77"/>
      <c r="C315" s="78"/>
      <c r="D315" s="57"/>
      <c r="E315" s="75"/>
      <c r="F315" s="58"/>
      <c r="G315" s="80"/>
      <c r="H315" s="81"/>
      <c r="I315" s="87"/>
      <c r="J315" s="83"/>
      <c r="K315" s="84"/>
      <c r="L315" s="85"/>
      <c r="M315" s="86"/>
      <c r="N315" s="83"/>
      <c r="O315" s="83"/>
      <c r="P315" s="83"/>
      <c r="Q315" s="114"/>
      <c r="R315" s="101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</row>
    <row r="316" s="31" customFormat="1" spans="1:36">
      <c r="A316" s="55" t="str">
        <f>IF(G316&lt;&gt;"",1+MAX($A$3:A315),"")</f>
        <v/>
      </c>
      <c r="B316" s="77"/>
      <c r="C316" s="78"/>
      <c r="D316" s="82" t="s">
        <v>287</v>
      </c>
      <c r="E316" s="75"/>
      <c r="F316" s="58"/>
      <c r="G316" s="80"/>
      <c r="H316" s="81"/>
      <c r="I316" s="87"/>
      <c r="J316" s="83"/>
      <c r="K316" s="84"/>
      <c r="L316" s="85"/>
      <c r="M316" s="86"/>
      <c r="N316" s="83"/>
      <c r="O316" s="83"/>
      <c r="P316" s="83"/>
      <c r="Q316" s="114"/>
      <c r="R316" s="101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</row>
    <row r="317" s="31" customFormat="1" spans="1:36">
      <c r="A317" s="55">
        <f>IF(G317&lt;&gt;"",1+MAX($A$3:A316),"")</f>
        <v>258</v>
      </c>
      <c r="B317" s="77"/>
      <c r="C317" s="78"/>
      <c r="D317" s="57" t="s">
        <v>288</v>
      </c>
      <c r="E317" s="75">
        <v>1</v>
      </c>
      <c r="F317" s="58" t="s">
        <v>57</v>
      </c>
      <c r="G317" s="80">
        <v>0</v>
      </c>
      <c r="H317" s="81">
        <f t="shared" ref="H317:H323" si="146">E317*(1+G317)</f>
        <v>1</v>
      </c>
      <c r="I317" s="83">
        <v>250</v>
      </c>
      <c r="J317" s="83">
        <f t="shared" ref="J317:J323" si="147">I317*H317</f>
        <v>250</v>
      </c>
      <c r="K317" s="84">
        <v>2.5</v>
      </c>
      <c r="L317" s="85">
        <f t="shared" ref="L317:L323" si="148">+K317*H317</f>
        <v>2.5</v>
      </c>
      <c r="M317" s="86">
        <f>'LABOR SHEET'!C$5</f>
        <v>57.65</v>
      </c>
      <c r="N317" s="83">
        <f t="shared" ref="N317:N323" si="149">K317*M317</f>
        <v>144.125</v>
      </c>
      <c r="O317" s="83">
        <f t="shared" ref="O317:O323" si="150">M317*L317</f>
        <v>144.125</v>
      </c>
      <c r="P317" s="83">
        <f t="shared" ref="P317:P323" si="151">I317+N317</f>
        <v>394.125</v>
      </c>
      <c r="Q317" s="114">
        <f t="shared" ref="Q317:Q323" si="152">P317*H317</f>
        <v>394.125</v>
      </c>
      <c r="R317" s="101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</row>
    <row r="318" s="31" customFormat="1" spans="1:36">
      <c r="A318" s="55">
        <f>IF(G318&lt;&gt;"",1+MAX($A$3:A317),"")</f>
        <v>259</v>
      </c>
      <c r="B318" s="77"/>
      <c r="C318" s="78"/>
      <c r="D318" s="57" t="s">
        <v>289</v>
      </c>
      <c r="E318" s="75">
        <v>2</v>
      </c>
      <c r="F318" s="58" t="s">
        <v>57</v>
      </c>
      <c r="G318" s="80">
        <v>0</v>
      </c>
      <c r="H318" s="81">
        <f t="shared" si="146"/>
        <v>2</v>
      </c>
      <c r="I318" s="83">
        <v>88</v>
      </c>
      <c r="J318" s="83">
        <f t="shared" si="147"/>
        <v>176</v>
      </c>
      <c r="K318" s="84">
        <v>0.85</v>
      </c>
      <c r="L318" s="85">
        <f t="shared" si="148"/>
        <v>1.7</v>
      </c>
      <c r="M318" s="86">
        <f>'LABOR SHEET'!C$5</f>
        <v>57.65</v>
      </c>
      <c r="N318" s="83">
        <f t="shared" si="149"/>
        <v>49.0025</v>
      </c>
      <c r="O318" s="83">
        <f t="shared" si="150"/>
        <v>98.005</v>
      </c>
      <c r="P318" s="83">
        <f t="shared" si="151"/>
        <v>137.0025</v>
      </c>
      <c r="Q318" s="114">
        <f t="shared" si="152"/>
        <v>274.005</v>
      </c>
      <c r="R318" s="101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</row>
    <row r="319" s="31" customFormat="1" spans="1:36">
      <c r="A319" s="55">
        <f>IF(G319&lt;&gt;"",1+MAX($A$3:A318),"")</f>
        <v>260</v>
      </c>
      <c r="B319" s="77"/>
      <c r="C319" s="78"/>
      <c r="D319" s="57" t="s">
        <v>290</v>
      </c>
      <c r="E319" s="75">
        <v>2</v>
      </c>
      <c r="F319" s="58" t="s">
        <v>57</v>
      </c>
      <c r="G319" s="80">
        <v>0</v>
      </c>
      <c r="H319" s="81">
        <f t="shared" si="146"/>
        <v>2</v>
      </c>
      <c r="I319" s="83">
        <v>28.5</v>
      </c>
      <c r="J319" s="83">
        <f t="shared" si="147"/>
        <v>57</v>
      </c>
      <c r="K319" s="84">
        <v>0.35</v>
      </c>
      <c r="L319" s="85">
        <f t="shared" si="148"/>
        <v>0.7</v>
      </c>
      <c r="M319" s="86">
        <f>'LABOR SHEET'!C$5</f>
        <v>57.65</v>
      </c>
      <c r="N319" s="83">
        <f t="shared" si="149"/>
        <v>20.1775</v>
      </c>
      <c r="O319" s="83">
        <f t="shared" si="150"/>
        <v>40.355</v>
      </c>
      <c r="P319" s="83">
        <f t="shared" si="151"/>
        <v>48.6775</v>
      </c>
      <c r="Q319" s="114">
        <f t="shared" si="152"/>
        <v>97.355</v>
      </c>
      <c r="R319" s="101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</row>
    <row r="320" s="31" customFormat="1" spans="1:36">
      <c r="A320" s="55">
        <f>IF(G320&lt;&gt;"",1+MAX($A$3:A319),"")</f>
        <v>261</v>
      </c>
      <c r="B320" s="77"/>
      <c r="C320" s="78"/>
      <c r="D320" s="57" t="s">
        <v>291</v>
      </c>
      <c r="E320" s="75">
        <v>1</v>
      </c>
      <c r="F320" s="58" t="s">
        <v>57</v>
      </c>
      <c r="G320" s="80">
        <v>0</v>
      </c>
      <c r="H320" s="81">
        <f t="shared" si="146"/>
        <v>1</v>
      </c>
      <c r="I320" s="83">
        <v>112.7</v>
      </c>
      <c r="J320" s="83">
        <f t="shared" si="147"/>
        <v>112.7</v>
      </c>
      <c r="K320" s="84">
        <v>0.4</v>
      </c>
      <c r="L320" s="85">
        <f t="shared" si="148"/>
        <v>0.4</v>
      </c>
      <c r="M320" s="86">
        <f>'LABOR SHEET'!C$5</f>
        <v>57.65</v>
      </c>
      <c r="N320" s="83">
        <f t="shared" si="149"/>
        <v>23.06</v>
      </c>
      <c r="O320" s="83">
        <f t="shared" si="150"/>
        <v>23.06</v>
      </c>
      <c r="P320" s="83">
        <f t="shared" si="151"/>
        <v>135.76</v>
      </c>
      <c r="Q320" s="114">
        <f t="shared" si="152"/>
        <v>135.76</v>
      </c>
      <c r="R320" s="101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</row>
    <row r="321" s="31" customFormat="1" spans="1:36">
      <c r="A321" s="55">
        <f>IF(G321&lt;&gt;"",1+MAX($A$3:A320),"")</f>
        <v>262</v>
      </c>
      <c r="B321" s="77"/>
      <c r="C321" s="78"/>
      <c r="D321" s="57" t="s">
        <v>292</v>
      </c>
      <c r="E321" s="75">
        <v>1</v>
      </c>
      <c r="F321" s="58" t="s">
        <v>57</v>
      </c>
      <c r="G321" s="80">
        <v>0</v>
      </c>
      <c r="H321" s="81">
        <f t="shared" si="146"/>
        <v>1</v>
      </c>
      <c r="I321" s="83">
        <v>112</v>
      </c>
      <c r="J321" s="83">
        <f t="shared" si="147"/>
        <v>112</v>
      </c>
      <c r="K321" s="84">
        <v>0.42</v>
      </c>
      <c r="L321" s="85">
        <f t="shared" si="148"/>
        <v>0.42</v>
      </c>
      <c r="M321" s="86">
        <f>'LABOR SHEET'!C$5</f>
        <v>57.65</v>
      </c>
      <c r="N321" s="83">
        <f t="shared" si="149"/>
        <v>24.213</v>
      </c>
      <c r="O321" s="83">
        <f t="shared" si="150"/>
        <v>24.213</v>
      </c>
      <c r="P321" s="83">
        <f t="shared" si="151"/>
        <v>136.213</v>
      </c>
      <c r="Q321" s="114">
        <f t="shared" si="152"/>
        <v>136.213</v>
      </c>
      <c r="R321" s="101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</row>
    <row r="322" s="31" customFormat="1" spans="1:36">
      <c r="A322" s="55">
        <f>IF(G322&lt;&gt;"",1+MAX($A$3:A321),"")</f>
        <v>263</v>
      </c>
      <c r="B322" s="77"/>
      <c r="C322" s="78"/>
      <c r="D322" s="57" t="s">
        <v>293</v>
      </c>
      <c r="E322" s="75">
        <v>2</v>
      </c>
      <c r="F322" s="58" t="s">
        <v>57</v>
      </c>
      <c r="G322" s="80">
        <v>0</v>
      </c>
      <c r="H322" s="81">
        <f t="shared" si="146"/>
        <v>2</v>
      </c>
      <c r="I322" s="83">
        <v>101</v>
      </c>
      <c r="J322" s="83">
        <f t="shared" si="147"/>
        <v>202</v>
      </c>
      <c r="K322" s="84">
        <v>0.71</v>
      </c>
      <c r="L322" s="85">
        <f t="shared" si="148"/>
        <v>1.42</v>
      </c>
      <c r="M322" s="86">
        <f>'LABOR SHEET'!C$5</f>
        <v>57.65</v>
      </c>
      <c r="N322" s="83">
        <f t="shared" si="149"/>
        <v>40.9315</v>
      </c>
      <c r="O322" s="83">
        <f t="shared" si="150"/>
        <v>81.863</v>
      </c>
      <c r="P322" s="83">
        <f t="shared" si="151"/>
        <v>141.9315</v>
      </c>
      <c r="Q322" s="114">
        <f t="shared" si="152"/>
        <v>283.863</v>
      </c>
      <c r="R322" s="101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</row>
    <row r="323" s="31" customFormat="1" spans="1:36">
      <c r="A323" s="55">
        <f>IF(G323&lt;&gt;"",1+MAX($A$3:A322),"")</f>
        <v>264</v>
      </c>
      <c r="B323" s="77"/>
      <c r="C323" s="78"/>
      <c r="D323" s="57" t="s">
        <v>294</v>
      </c>
      <c r="E323" s="75">
        <v>2</v>
      </c>
      <c r="F323" s="58" t="s">
        <v>57</v>
      </c>
      <c r="G323" s="80">
        <v>0</v>
      </c>
      <c r="H323" s="81">
        <f t="shared" si="146"/>
        <v>2</v>
      </c>
      <c r="I323" s="83">
        <v>25.5</v>
      </c>
      <c r="J323" s="83">
        <f t="shared" si="147"/>
        <v>51</v>
      </c>
      <c r="K323" s="84">
        <v>0.35</v>
      </c>
      <c r="L323" s="85">
        <f t="shared" si="148"/>
        <v>0.7</v>
      </c>
      <c r="M323" s="86">
        <f>'LABOR SHEET'!C$5</f>
        <v>57.65</v>
      </c>
      <c r="N323" s="83">
        <f t="shared" si="149"/>
        <v>20.1775</v>
      </c>
      <c r="O323" s="83">
        <f t="shared" si="150"/>
        <v>40.355</v>
      </c>
      <c r="P323" s="83">
        <f t="shared" si="151"/>
        <v>45.6775</v>
      </c>
      <c r="Q323" s="114">
        <f t="shared" si="152"/>
        <v>91.355</v>
      </c>
      <c r="R323" s="101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</row>
    <row r="324" s="31" customFormat="1" spans="1:36">
      <c r="A324" s="55" t="str">
        <f>IF(G324&lt;&gt;"",1+MAX($A$3:A323),"")</f>
        <v/>
      </c>
      <c r="B324" s="77"/>
      <c r="C324" s="78"/>
      <c r="D324" s="57"/>
      <c r="E324" s="75"/>
      <c r="F324" s="58"/>
      <c r="G324" s="80"/>
      <c r="H324" s="81"/>
      <c r="I324" s="87"/>
      <c r="J324" s="83"/>
      <c r="K324" s="84"/>
      <c r="L324" s="85"/>
      <c r="M324" s="86"/>
      <c r="N324" s="83"/>
      <c r="O324" s="83"/>
      <c r="P324" s="83"/>
      <c r="Q324" s="114"/>
      <c r="R324" s="101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</row>
    <row r="325" s="31" customFormat="1" ht="18" spans="1:36">
      <c r="A325" s="55" t="str">
        <f>IF(G325&lt;&gt;"",1+MAX($A$3:A324),"")</f>
        <v/>
      </c>
      <c r="B325" s="77"/>
      <c r="C325" s="75"/>
      <c r="D325" s="76" t="s">
        <v>295</v>
      </c>
      <c r="E325" s="58"/>
      <c r="F325" s="58"/>
      <c r="G325" s="58"/>
      <c r="H325" s="58"/>
      <c r="I325" s="87"/>
      <c r="J325" s="83"/>
      <c r="K325" s="84"/>
      <c r="L325" s="93"/>
      <c r="M325" s="94"/>
      <c r="N325" s="83"/>
      <c r="O325" s="83"/>
      <c r="P325" s="83"/>
      <c r="Q325" s="111"/>
      <c r="R325" s="112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</row>
    <row r="326" s="31" customFormat="1" spans="1:36">
      <c r="A326" s="55">
        <f>IF(G326&lt;&gt;"",1+MAX($A$3:A325),"")</f>
        <v>265</v>
      </c>
      <c r="B326" s="77"/>
      <c r="C326" s="78"/>
      <c r="D326" s="119" t="s">
        <v>296</v>
      </c>
      <c r="E326" s="75">
        <v>1</v>
      </c>
      <c r="F326" s="58" t="s">
        <v>57</v>
      </c>
      <c r="G326" s="80">
        <v>0</v>
      </c>
      <c r="H326" s="81">
        <f t="shared" ref="H326:H353" si="153">E326*(1+G326)</f>
        <v>1</v>
      </c>
      <c r="I326" s="83">
        <v>125</v>
      </c>
      <c r="J326" s="83">
        <f t="shared" ref="J326:J353" si="154">I326*H326</f>
        <v>125</v>
      </c>
      <c r="K326" s="84">
        <v>1.85</v>
      </c>
      <c r="L326" s="85">
        <f t="shared" ref="L326:L353" si="155">+K326*H326</f>
        <v>1.85</v>
      </c>
      <c r="M326" s="86">
        <f>'LABOR SHEET'!C$5</f>
        <v>57.65</v>
      </c>
      <c r="N326" s="83">
        <f t="shared" ref="N326:N353" si="156">K326*M326</f>
        <v>106.6525</v>
      </c>
      <c r="O326" s="83">
        <f t="shared" ref="O326:O353" si="157">M326*L326</f>
        <v>106.6525</v>
      </c>
      <c r="P326" s="83">
        <f t="shared" ref="P326:P353" si="158">I326+N326</f>
        <v>231.6525</v>
      </c>
      <c r="Q326" s="114">
        <f t="shared" ref="Q326:Q353" si="159">P326*H326</f>
        <v>231.6525</v>
      </c>
      <c r="R326" s="101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</row>
    <row r="327" s="31" customFormat="1" spans="1:36">
      <c r="A327" s="55">
        <f>IF(G327&lt;&gt;"",1+MAX($A$3:A326),"")</f>
        <v>266</v>
      </c>
      <c r="B327" s="77"/>
      <c r="C327" s="78"/>
      <c r="D327" s="119" t="s">
        <v>297</v>
      </c>
      <c r="E327" s="75">
        <v>3</v>
      </c>
      <c r="F327" s="58" t="s">
        <v>57</v>
      </c>
      <c r="G327" s="80">
        <v>0</v>
      </c>
      <c r="H327" s="81">
        <f t="shared" si="153"/>
        <v>3</v>
      </c>
      <c r="I327" s="83">
        <v>125</v>
      </c>
      <c r="J327" s="83">
        <f t="shared" si="154"/>
        <v>375</v>
      </c>
      <c r="K327" s="84">
        <v>1.85</v>
      </c>
      <c r="L327" s="85">
        <f t="shared" si="155"/>
        <v>5.55</v>
      </c>
      <c r="M327" s="86">
        <f>'LABOR SHEET'!C$5</f>
        <v>57.65</v>
      </c>
      <c r="N327" s="83">
        <f t="shared" si="156"/>
        <v>106.6525</v>
      </c>
      <c r="O327" s="83">
        <f t="shared" si="157"/>
        <v>319.9575</v>
      </c>
      <c r="P327" s="83">
        <f t="shared" si="158"/>
        <v>231.6525</v>
      </c>
      <c r="Q327" s="114">
        <f t="shared" si="159"/>
        <v>694.9575</v>
      </c>
      <c r="R327" s="101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</row>
    <row r="328" s="31" customFormat="1" spans="1:36">
      <c r="A328" s="55">
        <f>IF(G328&lt;&gt;"",1+MAX($A$3:A327),"")</f>
        <v>267</v>
      </c>
      <c r="B328" s="77"/>
      <c r="C328" s="78"/>
      <c r="D328" s="119" t="s">
        <v>298</v>
      </c>
      <c r="E328" s="75">
        <v>2</v>
      </c>
      <c r="F328" s="58" t="s">
        <v>57</v>
      </c>
      <c r="G328" s="80">
        <v>0</v>
      </c>
      <c r="H328" s="81">
        <f t="shared" si="153"/>
        <v>2</v>
      </c>
      <c r="I328" s="83">
        <v>1799</v>
      </c>
      <c r="J328" s="83">
        <f t="shared" si="154"/>
        <v>3598</v>
      </c>
      <c r="K328" s="84">
        <v>3.2</v>
      </c>
      <c r="L328" s="85">
        <f t="shared" si="155"/>
        <v>6.4</v>
      </c>
      <c r="M328" s="86">
        <f>'LABOR SHEET'!C$5</f>
        <v>57.65</v>
      </c>
      <c r="N328" s="83">
        <f t="shared" si="156"/>
        <v>184.48</v>
      </c>
      <c r="O328" s="83">
        <f t="shared" si="157"/>
        <v>368.96</v>
      </c>
      <c r="P328" s="83">
        <f t="shared" si="158"/>
        <v>1983.48</v>
      </c>
      <c r="Q328" s="114">
        <f t="shared" si="159"/>
        <v>3966.96</v>
      </c>
      <c r="R328" s="101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</row>
    <row r="329" s="31" customFormat="1" spans="1:36">
      <c r="A329" s="55">
        <f>IF(G329&lt;&gt;"",1+MAX($A$3:A328),"")</f>
        <v>268</v>
      </c>
      <c r="B329" s="77"/>
      <c r="C329" s="78"/>
      <c r="D329" s="119" t="s">
        <v>299</v>
      </c>
      <c r="E329" s="75">
        <v>1</v>
      </c>
      <c r="F329" s="58" t="s">
        <v>57</v>
      </c>
      <c r="G329" s="80">
        <v>0</v>
      </c>
      <c r="H329" s="81">
        <f t="shared" si="153"/>
        <v>1</v>
      </c>
      <c r="I329" s="83">
        <v>94.51</v>
      </c>
      <c r="J329" s="83">
        <f t="shared" si="154"/>
        <v>94.51</v>
      </c>
      <c r="K329" s="84">
        <v>1.38</v>
      </c>
      <c r="L329" s="85">
        <f t="shared" si="155"/>
        <v>1.38</v>
      </c>
      <c r="M329" s="86">
        <f>'LABOR SHEET'!C$5</f>
        <v>57.65</v>
      </c>
      <c r="N329" s="83">
        <f t="shared" si="156"/>
        <v>79.557</v>
      </c>
      <c r="O329" s="83">
        <f t="shared" si="157"/>
        <v>79.557</v>
      </c>
      <c r="P329" s="83">
        <f t="shared" si="158"/>
        <v>174.067</v>
      </c>
      <c r="Q329" s="114">
        <f t="shared" si="159"/>
        <v>174.067</v>
      </c>
      <c r="R329" s="101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</row>
    <row r="330" s="31" customFormat="1" spans="1:36">
      <c r="A330" s="55">
        <f>IF(G330&lt;&gt;"",1+MAX($A$3:A329),"")</f>
        <v>269</v>
      </c>
      <c r="B330" s="77"/>
      <c r="C330" s="78"/>
      <c r="D330" s="119" t="s">
        <v>300</v>
      </c>
      <c r="E330" s="75">
        <v>1</v>
      </c>
      <c r="F330" s="58" t="s">
        <v>57</v>
      </c>
      <c r="G330" s="80">
        <v>0</v>
      </c>
      <c r="H330" s="81">
        <f t="shared" si="153"/>
        <v>1</v>
      </c>
      <c r="I330" s="83">
        <v>4544.89</v>
      </c>
      <c r="J330" s="83">
        <f t="shared" si="154"/>
        <v>4544.89</v>
      </c>
      <c r="K330" s="84">
        <v>4.5</v>
      </c>
      <c r="L330" s="85">
        <f t="shared" si="155"/>
        <v>4.5</v>
      </c>
      <c r="M330" s="86">
        <f>'LABOR SHEET'!C$5</f>
        <v>57.65</v>
      </c>
      <c r="N330" s="83">
        <f t="shared" si="156"/>
        <v>259.425</v>
      </c>
      <c r="O330" s="83">
        <f t="shared" si="157"/>
        <v>259.425</v>
      </c>
      <c r="P330" s="83">
        <f t="shared" si="158"/>
        <v>4804.315</v>
      </c>
      <c r="Q330" s="114">
        <f t="shared" si="159"/>
        <v>4804.315</v>
      </c>
      <c r="R330" s="101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</row>
    <row r="331" s="31" customFormat="1" spans="1:36">
      <c r="A331" s="55">
        <f>IF(G331&lt;&gt;"",1+MAX($A$3:A330),"")</f>
        <v>270</v>
      </c>
      <c r="B331" s="77"/>
      <c r="C331" s="78"/>
      <c r="D331" s="119" t="s">
        <v>301</v>
      </c>
      <c r="E331" s="75">
        <v>1</v>
      </c>
      <c r="F331" s="58" t="s">
        <v>57</v>
      </c>
      <c r="G331" s="80">
        <v>0</v>
      </c>
      <c r="H331" s="81">
        <f t="shared" si="153"/>
        <v>1</v>
      </c>
      <c r="I331" s="83">
        <v>2015</v>
      </c>
      <c r="J331" s="83">
        <f t="shared" si="154"/>
        <v>2015</v>
      </c>
      <c r="K331" s="84">
        <v>5.35</v>
      </c>
      <c r="L331" s="85">
        <f t="shared" si="155"/>
        <v>5.35</v>
      </c>
      <c r="M331" s="86">
        <f>'LABOR SHEET'!C$5</f>
        <v>57.65</v>
      </c>
      <c r="N331" s="83">
        <f t="shared" si="156"/>
        <v>308.4275</v>
      </c>
      <c r="O331" s="83">
        <f t="shared" si="157"/>
        <v>308.4275</v>
      </c>
      <c r="P331" s="83">
        <f t="shared" si="158"/>
        <v>2323.4275</v>
      </c>
      <c r="Q331" s="114">
        <f t="shared" si="159"/>
        <v>2323.4275</v>
      </c>
      <c r="R331" s="101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</row>
    <row r="332" s="31" customFormat="1" spans="1:36">
      <c r="A332" s="55">
        <f>IF(G332&lt;&gt;"",1+MAX($A$3:A331),"")</f>
        <v>271</v>
      </c>
      <c r="B332" s="77"/>
      <c r="C332" s="78"/>
      <c r="D332" s="119" t="s">
        <v>302</v>
      </c>
      <c r="E332" s="75">
        <v>4</v>
      </c>
      <c r="F332" s="58" t="s">
        <v>57</v>
      </c>
      <c r="G332" s="80">
        <v>0</v>
      </c>
      <c r="H332" s="81">
        <f t="shared" si="153"/>
        <v>4</v>
      </c>
      <c r="I332" s="83">
        <v>3058.2</v>
      </c>
      <c r="J332" s="83">
        <f t="shared" si="154"/>
        <v>12232.8</v>
      </c>
      <c r="K332" s="84">
        <v>5.15</v>
      </c>
      <c r="L332" s="85">
        <f t="shared" si="155"/>
        <v>20.6</v>
      </c>
      <c r="M332" s="86">
        <f>'LABOR SHEET'!C$5</f>
        <v>57.65</v>
      </c>
      <c r="N332" s="83">
        <f t="shared" si="156"/>
        <v>296.8975</v>
      </c>
      <c r="O332" s="83">
        <f t="shared" si="157"/>
        <v>1187.59</v>
      </c>
      <c r="P332" s="83">
        <f t="shared" si="158"/>
        <v>3355.0975</v>
      </c>
      <c r="Q332" s="114">
        <f t="shared" si="159"/>
        <v>13420.39</v>
      </c>
      <c r="R332" s="101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</row>
    <row r="333" s="31" customFormat="1" spans="1:36">
      <c r="A333" s="55">
        <f>IF(G333&lt;&gt;"",1+MAX($A$3:A332),"")</f>
        <v>272</v>
      </c>
      <c r="B333" s="77"/>
      <c r="C333" s="78"/>
      <c r="D333" s="119" t="s">
        <v>303</v>
      </c>
      <c r="E333" s="75">
        <v>8</v>
      </c>
      <c r="F333" s="58" t="s">
        <v>57</v>
      </c>
      <c r="G333" s="80">
        <v>0</v>
      </c>
      <c r="H333" s="81">
        <f t="shared" si="153"/>
        <v>8</v>
      </c>
      <c r="I333" s="83">
        <v>1949.99</v>
      </c>
      <c r="J333" s="83">
        <f t="shared" si="154"/>
        <v>15599.92</v>
      </c>
      <c r="K333" s="84">
        <v>5.15</v>
      </c>
      <c r="L333" s="85">
        <f t="shared" si="155"/>
        <v>41.2</v>
      </c>
      <c r="M333" s="86">
        <f>'LABOR SHEET'!C$5</f>
        <v>57.65</v>
      </c>
      <c r="N333" s="83">
        <f t="shared" si="156"/>
        <v>296.8975</v>
      </c>
      <c r="O333" s="83">
        <f t="shared" si="157"/>
        <v>2375.18</v>
      </c>
      <c r="P333" s="83">
        <f t="shared" si="158"/>
        <v>2246.8875</v>
      </c>
      <c r="Q333" s="114">
        <f t="shared" si="159"/>
        <v>17975.1</v>
      </c>
      <c r="R333" s="101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</row>
    <row r="334" s="31" customFormat="1" spans="1:36">
      <c r="A334" s="55">
        <f>IF(G334&lt;&gt;"",1+MAX($A$3:A333),"")</f>
        <v>273</v>
      </c>
      <c r="B334" s="77"/>
      <c r="C334" s="78"/>
      <c r="D334" s="119" t="s">
        <v>304</v>
      </c>
      <c r="E334" s="75">
        <v>8</v>
      </c>
      <c r="F334" s="58" t="s">
        <v>57</v>
      </c>
      <c r="G334" s="80">
        <v>0</v>
      </c>
      <c r="H334" s="81">
        <f t="shared" si="153"/>
        <v>8</v>
      </c>
      <c r="I334" s="83">
        <v>380</v>
      </c>
      <c r="J334" s="83">
        <f t="shared" si="154"/>
        <v>3040</v>
      </c>
      <c r="K334" s="84">
        <v>2.85</v>
      </c>
      <c r="L334" s="85">
        <f t="shared" si="155"/>
        <v>22.8</v>
      </c>
      <c r="M334" s="86">
        <f>'LABOR SHEET'!C$5</f>
        <v>57.65</v>
      </c>
      <c r="N334" s="83">
        <f t="shared" si="156"/>
        <v>164.3025</v>
      </c>
      <c r="O334" s="83">
        <f t="shared" si="157"/>
        <v>1314.42</v>
      </c>
      <c r="P334" s="83">
        <f t="shared" si="158"/>
        <v>544.3025</v>
      </c>
      <c r="Q334" s="114">
        <f t="shared" si="159"/>
        <v>4354.42</v>
      </c>
      <c r="R334" s="101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</row>
    <row r="335" s="31" customFormat="1" spans="1:36">
      <c r="A335" s="55">
        <f>IF(G335&lt;&gt;"",1+MAX($A$3:A334),"")</f>
        <v>274</v>
      </c>
      <c r="B335" s="77"/>
      <c r="C335" s="78"/>
      <c r="D335" s="119" t="s">
        <v>305</v>
      </c>
      <c r="E335" s="75">
        <v>2</v>
      </c>
      <c r="F335" s="58" t="s">
        <v>57</v>
      </c>
      <c r="G335" s="80">
        <v>0</v>
      </c>
      <c r="H335" s="81">
        <f t="shared" si="153"/>
        <v>2</v>
      </c>
      <c r="I335" s="83">
        <v>1485</v>
      </c>
      <c r="J335" s="83">
        <f t="shared" si="154"/>
        <v>2970</v>
      </c>
      <c r="K335" s="84">
        <v>6.12</v>
      </c>
      <c r="L335" s="85">
        <f t="shared" si="155"/>
        <v>12.24</v>
      </c>
      <c r="M335" s="86">
        <f>'LABOR SHEET'!C$5</f>
        <v>57.65</v>
      </c>
      <c r="N335" s="83">
        <f t="shared" si="156"/>
        <v>352.818</v>
      </c>
      <c r="O335" s="83">
        <f t="shared" si="157"/>
        <v>705.636</v>
      </c>
      <c r="P335" s="83">
        <f t="shared" si="158"/>
        <v>1837.818</v>
      </c>
      <c r="Q335" s="114">
        <f t="shared" si="159"/>
        <v>3675.636</v>
      </c>
      <c r="R335" s="101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</row>
    <row r="336" s="31" customFormat="1" ht="31.2" spans="1:36">
      <c r="A336" s="55">
        <f>IF(G336&lt;&gt;"",1+MAX($A$3:A335),"")</f>
        <v>275</v>
      </c>
      <c r="B336" s="77"/>
      <c r="C336" s="78"/>
      <c r="D336" s="119" t="s">
        <v>306</v>
      </c>
      <c r="E336" s="75">
        <v>2</v>
      </c>
      <c r="F336" s="58" t="s">
        <v>57</v>
      </c>
      <c r="G336" s="80">
        <v>0</v>
      </c>
      <c r="H336" s="81">
        <f t="shared" si="153"/>
        <v>2</v>
      </c>
      <c r="I336" s="83">
        <v>2012</v>
      </c>
      <c r="J336" s="83">
        <f t="shared" si="154"/>
        <v>4024</v>
      </c>
      <c r="K336" s="84">
        <v>3.95</v>
      </c>
      <c r="L336" s="85">
        <f t="shared" si="155"/>
        <v>7.9</v>
      </c>
      <c r="M336" s="86">
        <f>'LABOR SHEET'!C$5</f>
        <v>57.65</v>
      </c>
      <c r="N336" s="83">
        <f t="shared" si="156"/>
        <v>227.7175</v>
      </c>
      <c r="O336" s="83">
        <f t="shared" si="157"/>
        <v>455.435</v>
      </c>
      <c r="P336" s="83">
        <f t="shared" si="158"/>
        <v>2239.7175</v>
      </c>
      <c r="Q336" s="114">
        <f t="shared" si="159"/>
        <v>4479.435</v>
      </c>
      <c r="R336" s="101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</row>
    <row r="337" s="31" customFormat="1" ht="31.2" spans="1:36">
      <c r="A337" s="55">
        <f>IF(G337&lt;&gt;"",1+MAX($A$3:A336),"")</f>
        <v>276</v>
      </c>
      <c r="B337" s="77"/>
      <c r="C337" s="78"/>
      <c r="D337" s="119" t="s">
        <v>307</v>
      </c>
      <c r="E337" s="75">
        <v>1</v>
      </c>
      <c r="F337" s="58" t="s">
        <v>57</v>
      </c>
      <c r="G337" s="80">
        <v>0</v>
      </c>
      <c r="H337" s="81">
        <f t="shared" si="153"/>
        <v>1</v>
      </c>
      <c r="I337" s="83">
        <v>3061.8</v>
      </c>
      <c r="J337" s="83">
        <f t="shared" si="154"/>
        <v>3061.8</v>
      </c>
      <c r="K337" s="84">
        <v>4.65</v>
      </c>
      <c r="L337" s="85">
        <f t="shared" si="155"/>
        <v>4.65</v>
      </c>
      <c r="M337" s="86">
        <f>'LABOR SHEET'!C$5</f>
        <v>57.65</v>
      </c>
      <c r="N337" s="83">
        <f t="shared" si="156"/>
        <v>268.0725</v>
      </c>
      <c r="O337" s="83">
        <f t="shared" si="157"/>
        <v>268.0725</v>
      </c>
      <c r="P337" s="83">
        <f t="shared" si="158"/>
        <v>3329.8725</v>
      </c>
      <c r="Q337" s="114">
        <f t="shared" si="159"/>
        <v>3329.8725</v>
      </c>
      <c r="R337" s="101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</row>
    <row r="338" s="31" customFormat="1" ht="31.2" spans="1:36">
      <c r="A338" s="55">
        <f>IF(G338&lt;&gt;"",1+MAX($A$3:A337),"")</f>
        <v>277</v>
      </c>
      <c r="B338" s="77"/>
      <c r="C338" s="78"/>
      <c r="D338" s="119" t="s">
        <v>308</v>
      </c>
      <c r="E338" s="75">
        <v>2</v>
      </c>
      <c r="F338" s="58" t="s">
        <v>57</v>
      </c>
      <c r="G338" s="80">
        <v>0</v>
      </c>
      <c r="H338" s="81">
        <f t="shared" si="153"/>
        <v>2</v>
      </c>
      <c r="I338" s="83">
        <v>2937.5</v>
      </c>
      <c r="J338" s="83">
        <f t="shared" si="154"/>
        <v>5875</v>
      </c>
      <c r="K338" s="84">
        <v>5.85</v>
      </c>
      <c r="L338" s="85">
        <f t="shared" si="155"/>
        <v>11.7</v>
      </c>
      <c r="M338" s="86">
        <f>'LABOR SHEET'!C$5</f>
        <v>57.65</v>
      </c>
      <c r="N338" s="83">
        <f t="shared" si="156"/>
        <v>337.2525</v>
      </c>
      <c r="O338" s="83">
        <f t="shared" si="157"/>
        <v>674.505</v>
      </c>
      <c r="P338" s="83">
        <f t="shared" si="158"/>
        <v>3274.7525</v>
      </c>
      <c r="Q338" s="114">
        <f t="shared" si="159"/>
        <v>6549.505</v>
      </c>
      <c r="R338" s="101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</row>
    <row r="339" s="31" customFormat="1" ht="31.2" spans="1:36">
      <c r="A339" s="55">
        <f>IF(G339&lt;&gt;"",1+MAX($A$3:A338),"")</f>
        <v>278</v>
      </c>
      <c r="B339" s="77"/>
      <c r="C339" s="78"/>
      <c r="D339" s="119" t="s">
        <v>309</v>
      </c>
      <c r="E339" s="75">
        <v>1</v>
      </c>
      <c r="F339" s="58" t="s">
        <v>57</v>
      </c>
      <c r="G339" s="80">
        <v>0</v>
      </c>
      <c r="H339" s="81">
        <f t="shared" si="153"/>
        <v>1</v>
      </c>
      <c r="I339" s="83">
        <v>950</v>
      </c>
      <c r="J339" s="83">
        <f t="shared" si="154"/>
        <v>950</v>
      </c>
      <c r="K339" s="84">
        <v>3.85</v>
      </c>
      <c r="L339" s="85">
        <f t="shared" si="155"/>
        <v>3.85</v>
      </c>
      <c r="M339" s="86">
        <f>'LABOR SHEET'!C$5</f>
        <v>57.65</v>
      </c>
      <c r="N339" s="83">
        <f t="shared" si="156"/>
        <v>221.9525</v>
      </c>
      <c r="O339" s="83">
        <f t="shared" si="157"/>
        <v>221.9525</v>
      </c>
      <c r="P339" s="83">
        <f t="shared" si="158"/>
        <v>1171.9525</v>
      </c>
      <c r="Q339" s="114">
        <f t="shared" si="159"/>
        <v>1171.9525</v>
      </c>
      <c r="R339" s="101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</row>
    <row r="340" s="31" customFormat="1" ht="46.8" spans="1:36">
      <c r="A340" s="55">
        <f>IF(G340&lt;&gt;"",1+MAX($A$3:A339),"")</f>
        <v>279</v>
      </c>
      <c r="B340" s="77"/>
      <c r="C340" s="78"/>
      <c r="D340" s="119" t="s">
        <v>310</v>
      </c>
      <c r="E340" s="75">
        <v>5</v>
      </c>
      <c r="F340" s="58" t="s">
        <v>57</v>
      </c>
      <c r="G340" s="80">
        <v>0</v>
      </c>
      <c r="H340" s="81">
        <f t="shared" si="153"/>
        <v>5</v>
      </c>
      <c r="I340" s="83">
        <v>248.67</v>
      </c>
      <c r="J340" s="83">
        <f t="shared" si="154"/>
        <v>1243.35</v>
      </c>
      <c r="K340" s="84">
        <v>1.84</v>
      </c>
      <c r="L340" s="85">
        <f t="shared" si="155"/>
        <v>9.2</v>
      </c>
      <c r="M340" s="86">
        <f>'LABOR SHEET'!C$5</f>
        <v>57.65</v>
      </c>
      <c r="N340" s="83">
        <f t="shared" si="156"/>
        <v>106.076</v>
      </c>
      <c r="O340" s="83">
        <f t="shared" si="157"/>
        <v>530.38</v>
      </c>
      <c r="P340" s="83">
        <f t="shared" si="158"/>
        <v>354.746</v>
      </c>
      <c r="Q340" s="114">
        <f t="shared" si="159"/>
        <v>1773.73</v>
      </c>
      <c r="R340" s="101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</row>
    <row r="341" s="31" customFormat="1" ht="78" spans="1:36">
      <c r="A341" s="55">
        <f>IF(G341&lt;&gt;"",1+MAX($A$3:A340),"")</f>
        <v>280</v>
      </c>
      <c r="B341" s="77"/>
      <c r="C341" s="78"/>
      <c r="D341" s="119" t="s">
        <v>311</v>
      </c>
      <c r="E341" s="75">
        <v>2</v>
      </c>
      <c r="F341" s="58" t="s">
        <v>57</v>
      </c>
      <c r="G341" s="80">
        <v>0</v>
      </c>
      <c r="H341" s="81">
        <f t="shared" si="153"/>
        <v>2</v>
      </c>
      <c r="I341" s="83">
        <v>1050</v>
      </c>
      <c r="J341" s="83">
        <f t="shared" si="154"/>
        <v>2100</v>
      </c>
      <c r="K341" s="84">
        <v>5.15</v>
      </c>
      <c r="L341" s="85">
        <f t="shared" si="155"/>
        <v>10.3</v>
      </c>
      <c r="M341" s="86">
        <f>'LABOR SHEET'!C$5</f>
        <v>57.65</v>
      </c>
      <c r="N341" s="83">
        <f t="shared" si="156"/>
        <v>296.8975</v>
      </c>
      <c r="O341" s="83">
        <f t="shared" si="157"/>
        <v>593.795</v>
      </c>
      <c r="P341" s="83">
        <f t="shared" si="158"/>
        <v>1346.8975</v>
      </c>
      <c r="Q341" s="114">
        <f t="shared" si="159"/>
        <v>2693.795</v>
      </c>
      <c r="R341" s="101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</row>
    <row r="342" s="31" customFormat="1" ht="46.8" spans="1:36">
      <c r="A342" s="55">
        <f>IF(G342&lt;&gt;"",1+MAX($A$3:A341),"")</f>
        <v>281</v>
      </c>
      <c r="B342" s="77"/>
      <c r="C342" s="78"/>
      <c r="D342" s="119" t="s">
        <v>312</v>
      </c>
      <c r="E342" s="75">
        <v>2</v>
      </c>
      <c r="F342" s="58" t="s">
        <v>57</v>
      </c>
      <c r="G342" s="80">
        <v>0</v>
      </c>
      <c r="H342" s="81">
        <f t="shared" si="153"/>
        <v>2</v>
      </c>
      <c r="I342" s="83">
        <v>450</v>
      </c>
      <c r="J342" s="83">
        <f t="shared" si="154"/>
        <v>900</v>
      </c>
      <c r="K342" s="84">
        <v>2.25</v>
      </c>
      <c r="L342" s="85">
        <f t="shared" si="155"/>
        <v>4.5</v>
      </c>
      <c r="M342" s="86">
        <f>'LABOR SHEET'!C$5</f>
        <v>57.65</v>
      </c>
      <c r="N342" s="83">
        <f t="shared" si="156"/>
        <v>129.7125</v>
      </c>
      <c r="O342" s="83">
        <f t="shared" si="157"/>
        <v>259.425</v>
      </c>
      <c r="P342" s="83">
        <f t="shared" si="158"/>
        <v>579.7125</v>
      </c>
      <c r="Q342" s="114">
        <f t="shared" si="159"/>
        <v>1159.425</v>
      </c>
      <c r="R342" s="101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</row>
    <row r="343" s="31" customFormat="1" ht="78" spans="1:36">
      <c r="A343" s="55">
        <f>IF(G343&lt;&gt;"",1+MAX($A$3:A342),"")</f>
        <v>282</v>
      </c>
      <c r="B343" s="77"/>
      <c r="C343" s="78"/>
      <c r="D343" s="119" t="s">
        <v>313</v>
      </c>
      <c r="E343" s="75">
        <v>2</v>
      </c>
      <c r="F343" s="58" t="s">
        <v>57</v>
      </c>
      <c r="G343" s="80">
        <v>0</v>
      </c>
      <c r="H343" s="81">
        <f t="shared" si="153"/>
        <v>2</v>
      </c>
      <c r="I343" s="83">
        <v>165</v>
      </c>
      <c r="J343" s="83">
        <f t="shared" si="154"/>
        <v>330</v>
      </c>
      <c r="K343" s="84">
        <v>1.25</v>
      </c>
      <c r="L343" s="85">
        <f t="shared" si="155"/>
        <v>2.5</v>
      </c>
      <c r="M343" s="86">
        <f>'LABOR SHEET'!C$5</f>
        <v>57.65</v>
      </c>
      <c r="N343" s="83">
        <f t="shared" si="156"/>
        <v>72.0625</v>
      </c>
      <c r="O343" s="83">
        <f t="shared" si="157"/>
        <v>144.125</v>
      </c>
      <c r="P343" s="83">
        <f t="shared" si="158"/>
        <v>237.0625</v>
      </c>
      <c r="Q343" s="114">
        <f t="shared" si="159"/>
        <v>474.125</v>
      </c>
      <c r="R343" s="101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</row>
    <row r="344" s="31" customFormat="1" ht="46.8" spans="1:36">
      <c r="A344" s="55">
        <f>IF(G344&lt;&gt;"",1+MAX($A$3:A343),"")</f>
        <v>283</v>
      </c>
      <c r="B344" s="77"/>
      <c r="C344" s="78"/>
      <c r="D344" s="119" t="s">
        <v>314</v>
      </c>
      <c r="E344" s="75">
        <v>4</v>
      </c>
      <c r="F344" s="58" t="s">
        <v>57</v>
      </c>
      <c r="G344" s="80">
        <v>0</v>
      </c>
      <c r="H344" s="81">
        <f t="shared" si="153"/>
        <v>4</v>
      </c>
      <c r="I344" s="83">
        <v>858</v>
      </c>
      <c r="J344" s="83">
        <f t="shared" si="154"/>
        <v>3432</v>
      </c>
      <c r="K344" s="84">
        <v>4.89</v>
      </c>
      <c r="L344" s="85">
        <f t="shared" si="155"/>
        <v>19.56</v>
      </c>
      <c r="M344" s="86">
        <f>'LABOR SHEET'!C$5</f>
        <v>57.65</v>
      </c>
      <c r="N344" s="83">
        <f t="shared" si="156"/>
        <v>281.9085</v>
      </c>
      <c r="O344" s="83">
        <f t="shared" si="157"/>
        <v>1127.634</v>
      </c>
      <c r="P344" s="83">
        <f t="shared" si="158"/>
        <v>1139.9085</v>
      </c>
      <c r="Q344" s="114">
        <f t="shared" si="159"/>
        <v>4559.634</v>
      </c>
      <c r="R344" s="101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</row>
    <row r="345" s="31" customFormat="1" ht="46.8" spans="1:36">
      <c r="A345" s="55">
        <f>IF(G345&lt;&gt;"",1+MAX($A$3:A344),"")</f>
        <v>284</v>
      </c>
      <c r="B345" s="77"/>
      <c r="C345" s="78"/>
      <c r="D345" s="119" t="s">
        <v>315</v>
      </c>
      <c r="E345" s="75">
        <v>1</v>
      </c>
      <c r="F345" s="58" t="s">
        <v>57</v>
      </c>
      <c r="G345" s="80">
        <v>0</v>
      </c>
      <c r="H345" s="81">
        <f t="shared" si="153"/>
        <v>1</v>
      </c>
      <c r="I345" s="83">
        <v>485</v>
      </c>
      <c r="J345" s="83">
        <f t="shared" si="154"/>
        <v>485</v>
      </c>
      <c r="K345" s="84">
        <v>2.85</v>
      </c>
      <c r="L345" s="85">
        <f t="shared" si="155"/>
        <v>2.85</v>
      </c>
      <c r="M345" s="86">
        <f>'LABOR SHEET'!C$5</f>
        <v>57.65</v>
      </c>
      <c r="N345" s="83">
        <f t="shared" si="156"/>
        <v>164.3025</v>
      </c>
      <c r="O345" s="83">
        <f t="shared" si="157"/>
        <v>164.3025</v>
      </c>
      <c r="P345" s="83">
        <f t="shared" si="158"/>
        <v>649.3025</v>
      </c>
      <c r="Q345" s="114">
        <f t="shared" si="159"/>
        <v>649.3025</v>
      </c>
      <c r="R345" s="101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</row>
    <row r="346" s="31" customFormat="1" ht="78" spans="1:36">
      <c r="A346" s="55">
        <f>IF(G346&lt;&gt;"",1+MAX($A$3:A345),"")</f>
        <v>285</v>
      </c>
      <c r="B346" s="77"/>
      <c r="C346" s="78"/>
      <c r="D346" s="119" t="s">
        <v>316</v>
      </c>
      <c r="E346" s="75">
        <v>12</v>
      </c>
      <c r="F346" s="58" t="s">
        <v>57</v>
      </c>
      <c r="G346" s="80">
        <v>0</v>
      </c>
      <c r="H346" s="81">
        <f t="shared" si="153"/>
        <v>12</v>
      </c>
      <c r="I346" s="83">
        <v>1250</v>
      </c>
      <c r="J346" s="83">
        <f t="shared" si="154"/>
        <v>15000</v>
      </c>
      <c r="K346" s="84">
        <v>5.5</v>
      </c>
      <c r="L346" s="85">
        <f t="shared" si="155"/>
        <v>66</v>
      </c>
      <c r="M346" s="86">
        <f>'LABOR SHEET'!C$5</f>
        <v>57.65</v>
      </c>
      <c r="N346" s="83">
        <f t="shared" si="156"/>
        <v>317.075</v>
      </c>
      <c r="O346" s="83">
        <f t="shared" si="157"/>
        <v>3804.9</v>
      </c>
      <c r="P346" s="83">
        <f t="shared" si="158"/>
        <v>1567.075</v>
      </c>
      <c r="Q346" s="114">
        <f t="shared" si="159"/>
        <v>18804.9</v>
      </c>
      <c r="R346" s="101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</row>
    <row r="347" s="31" customFormat="1" ht="78" spans="1:36">
      <c r="A347" s="55">
        <f>IF(G347&lt;&gt;"",1+MAX($A$3:A346),"")</f>
        <v>286</v>
      </c>
      <c r="B347" s="77"/>
      <c r="C347" s="78"/>
      <c r="D347" s="119" t="s">
        <v>317</v>
      </c>
      <c r="E347" s="75">
        <v>1</v>
      </c>
      <c r="F347" s="58" t="s">
        <v>57</v>
      </c>
      <c r="G347" s="80">
        <v>0</v>
      </c>
      <c r="H347" s="81">
        <f t="shared" si="153"/>
        <v>1</v>
      </c>
      <c r="I347" s="83">
        <v>1325</v>
      </c>
      <c r="J347" s="83">
        <f t="shared" si="154"/>
        <v>1325</v>
      </c>
      <c r="K347" s="84">
        <v>5.5</v>
      </c>
      <c r="L347" s="85">
        <f t="shared" si="155"/>
        <v>5.5</v>
      </c>
      <c r="M347" s="86">
        <f>'LABOR SHEET'!C$5</f>
        <v>57.65</v>
      </c>
      <c r="N347" s="83">
        <f t="shared" si="156"/>
        <v>317.075</v>
      </c>
      <c r="O347" s="83">
        <f t="shared" si="157"/>
        <v>317.075</v>
      </c>
      <c r="P347" s="83">
        <f t="shared" si="158"/>
        <v>1642.075</v>
      </c>
      <c r="Q347" s="114">
        <f t="shared" si="159"/>
        <v>1642.075</v>
      </c>
      <c r="R347" s="101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</row>
    <row r="348" s="31" customFormat="1" ht="109.2" spans="1:36">
      <c r="A348" s="55">
        <f>IF(G348&lt;&gt;"",1+MAX($A$3:A347),"")</f>
        <v>287</v>
      </c>
      <c r="B348" s="77"/>
      <c r="C348" s="78"/>
      <c r="D348" s="119" t="s">
        <v>318</v>
      </c>
      <c r="E348" s="75">
        <v>1</v>
      </c>
      <c r="F348" s="58" t="s">
        <v>57</v>
      </c>
      <c r="G348" s="80">
        <v>0</v>
      </c>
      <c r="H348" s="81">
        <f t="shared" si="153"/>
        <v>1</v>
      </c>
      <c r="I348" s="83">
        <v>1650</v>
      </c>
      <c r="J348" s="83">
        <f t="shared" si="154"/>
        <v>1650</v>
      </c>
      <c r="K348" s="84">
        <v>5.5</v>
      </c>
      <c r="L348" s="85">
        <f t="shared" si="155"/>
        <v>5.5</v>
      </c>
      <c r="M348" s="86">
        <f>'LABOR SHEET'!C$5</f>
        <v>57.65</v>
      </c>
      <c r="N348" s="83">
        <f t="shared" si="156"/>
        <v>317.075</v>
      </c>
      <c r="O348" s="83">
        <f t="shared" si="157"/>
        <v>317.075</v>
      </c>
      <c r="P348" s="83">
        <f t="shared" si="158"/>
        <v>1967.075</v>
      </c>
      <c r="Q348" s="114">
        <f t="shared" si="159"/>
        <v>1967.075</v>
      </c>
      <c r="R348" s="101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</row>
    <row r="349" s="31" customFormat="1" ht="109.2" spans="1:36">
      <c r="A349" s="55">
        <f>IF(G349&lt;&gt;"",1+MAX($A$3:A348),"")</f>
        <v>288</v>
      </c>
      <c r="B349" s="77"/>
      <c r="C349" s="78"/>
      <c r="D349" s="119" t="s">
        <v>319</v>
      </c>
      <c r="E349" s="75">
        <v>8</v>
      </c>
      <c r="F349" s="58" t="s">
        <v>57</v>
      </c>
      <c r="G349" s="80">
        <v>0</v>
      </c>
      <c r="H349" s="81">
        <f t="shared" si="153"/>
        <v>8</v>
      </c>
      <c r="I349" s="83">
        <v>243.99</v>
      </c>
      <c r="J349" s="83">
        <f t="shared" si="154"/>
        <v>1951.92</v>
      </c>
      <c r="K349" s="84">
        <v>1.35</v>
      </c>
      <c r="L349" s="85">
        <f t="shared" si="155"/>
        <v>10.8</v>
      </c>
      <c r="M349" s="86">
        <f>'LABOR SHEET'!C$5</f>
        <v>57.65</v>
      </c>
      <c r="N349" s="83">
        <f t="shared" si="156"/>
        <v>77.8275</v>
      </c>
      <c r="O349" s="83">
        <f t="shared" si="157"/>
        <v>622.62</v>
      </c>
      <c r="P349" s="83">
        <f t="shared" si="158"/>
        <v>321.8175</v>
      </c>
      <c r="Q349" s="114">
        <f t="shared" si="159"/>
        <v>2574.54</v>
      </c>
      <c r="R349" s="101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</row>
    <row r="350" s="31" customFormat="1" ht="93.6" spans="1:36">
      <c r="A350" s="55">
        <f>IF(G350&lt;&gt;"",1+MAX($A$3:A349),"")</f>
        <v>289</v>
      </c>
      <c r="B350" s="77"/>
      <c r="C350" s="78"/>
      <c r="D350" s="119" t="s">
        <v>320</v>
      </c>
      <c r="E350" s="75">
        <v>1</v>
      </c>
      <c r="F350" s="58" t="s">
        <v>57</v>
      </c>
      <c r="G350" s="80">
        <v>0</v>
      </c>
      <c r="H350" s="81">
        <f t="shared" si="153"/>
        <v>1</v>
      </c>
      <c r="I350" s="83">
        <v>294.7</v>
      </c>
      <c r="J350" s="83">
        <f t="shared" si="154"/>
        <v>294.7</v>
      </c>
      <c r="K350" s="84">
        <v>1.4</v>
      </c>
      <c r="L350" s="85">
        <f t="shared" si="155"/>
        <v>1.4</v>
      </c>
      <c r="M350" s="86">
        <f>'LABOR SHEET'!C$5</f>
        <v>57.65</v>
      </c>
      <c r="N350" s="83">
        <f t="shared" si="156"/>
        <v>80.71</v>
      </c>
      <c r="O350" s="83">
        <f t="shared" si="157"/>
        <v>80.71</v>
      </c>
      <c r="P350" s="83">
        <f t="shared" si="158"/>
        <v>375.41</v>
      </c>
      <c r="Q350" s="114">
        <f t="shared" si="159"/>
        <v>375.41</v>
      </c>
      <c r="R350" s="101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</row>
    <row r="351" s="31" customFormat="1" ht="109.2" spans="1:36">
      <c r="A351" s="55">
        <f>IF(G351&lt;&gt;"",1+MAX($A$3:A350),"")</f>
        <v>290</v>
      </c>
      <c r="B351" s="77"/>
      <c r="C351" s="78"/>
      <c r="D351" s="119" t="s">
        <v>321</v>
      </c>
      <c r="E351" s="75">
        <v>1</v>
      </c>
      <c r="F351" s="58" t="s">
        <v>57</v>
      </c>
      <c r="G351" s="80">
        <v>0</v>
      </c>
      <c r="H351" s="81">
        <f t="shared" si="153"/>
        <v>1</v>
      </c>
      <c r="I351" s="83">
        <f>294.7/2*3</f>
        <v>442.05</v>
      </c>
      <c r="J351" s="83">
        <f t="shared" si="154"/>
        <v>442.05</v>
      </c>
      <c r="K351" s="84">
        <v>1.42</v>
      </c>
      <c r="L351" s="85">
        <f t="shared" si="155"/>
        <v>1.42</v>
      </c>
      <c r="M351" s="86">
        <f>'LABOR SHEET'!C$5</f>
        <v>57.65</v>
      </c>
      <c r="N351" s="83">
        <f t="shared" si="156"/>
        <v>81.863</v>
      </c>
      <c r="O351" s="83">
        <f t="shared" si="157"/>
        <v>81.863</v>
      </c>
      <c r="P351" s="83">
        <f t="shared" si="158"/>
        <v>523.913</v>
      </c>
      <c r="Q351" s="114">
        <f t="shared" si="159"/>
        <v>523.913</v>
      </c>
      <c r="R351" s="101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</row>
    <row r="352" s="31" customFormat="1" ht="78" spans="1:36">
      <c r="A352" s="55">
        <f>IF(G352&lt;&gt;"",1+MAX($A$3:A351),"")</f>
        <v>291</v>
      </c>
      <c r="B352" s="77"/>
      <c r="C352" s="78"/>
      <c r="D352" s="119" t="s">
        <v>322</v>
      </c>
      <c r="E352" s="75">
        <v>1</v>
      </c>
      <c r="F352" s="58" t="s">
        <v>57</v>
      </c>
      <c r="G352" s="80">
        <v>0</v>
      </c>
      <c r="H352" s="81">
        <f t="shared" si="153"/>
        <v>1</v>
      </c>
      <c r="I352" s="83">
        <f>345*5</f>
        <v>1725</v>
      </c>
      <c r="J352" s="83">
        <f t="shared" si="154"/>
        <v>1725</v>
      </c>
      <c r="K352" s="84">
        <f>0.35*5</f>
        <v>1.75</v>
      </c>
      <c r="L352" s="85">
        <f t="shared" si="155"/>
        <v>1.75</v>
      </c>
      <c r="M352" s="86">
        <f>'LABOR SHEET'!C$5</f>
        <v>57.65</v>
      </c>
      <c r="N352" s="83">
        <f t="shared" si="156"/>
        <v>100.8875</v>
      </c>
      <c r="O352" s="83">
        <f t="shared" si="157"/>
        <v>100.8875</v>
      </c>
      <c r="P352" s="83">
        <f t="shared" si="158"/>
        <v>1825.8875</v>
      </c>
      <c r="Q352" s="114">
        <f t="shared" si="159"/>
        <v>1825.8875</v>
      </c>
      <c r="R352" s="101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</row>
    <row r="353" s="31" customFormat="1" ht="46.8" spans="1:36">
      <c r="A353" s="55">
        <f>IF(G353&lt;&gt;"",1+MAX($A$3:A352),"")</f>
        <v>292</v>
      </c>
      <c r="B353" s="77"/>
      <c r="C353" s="78"/>
      <c r="D353" s="119" t="s">
        <v>323</v>
      </c>
      <c r="E353" s="75">
        <v>6</v>
      </c>
      <c r="F353" s="58" t="s">
        <v>57</v>
      </c>
      <c r="G353" s="80">
        <v>0</v>
      </c>
      <c r="H353" s="81">
        <f t="shared" si="153"/>
        <v>6</v>
      </c>
      <c r="I353" s="83">
        <f>345*5</f>
        <v>1725</v>
      </c>
      <c r="J353" s="83">
        <f t="shared" si="154"/>
        <v>10350</v>
      </c>
      <c r="K353" s="84">
        <f>0.35*5</f>
        <v>1.75</v>
      </c>
      <c r="L353" s="85">
        <f t="shared" si="155"/>
        <v>10.5</v>
      </c>
      <c r="M353" s="86">
        <f>'LABOR SHEET'!C$5</f>
        <v>57.65</v>
      </c>
      <c r="N353" s="83">
        <f t="shared" si="156"/>
        <v>100.8875</v>
      </c>
      <c r="O353" s="83">
        <f t="shared" si="157"/>
        <v>605.325</v>
      </c>
      <c r="P353" s="83">
        <f t="shared" si="158"/>
        <v>1825.8875</v>
      </c>
      <c r="Q353" s="114">
        <f t="shared" si="159"/>
        <v>10955.325</v>
      </c>
      <c r="R353" s="101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</row>
    <row r="354" s="31" customFormat="1" ht="93.6" spans="1:36">
      <c r="A354" s="55" t="str">
        <f>IF(G354&lt;&gt;"",1+MAX($A$3:A353),"")</f>
        <v/>
      </c>
      <c r="B354" s="77"/>
      <c r="C354" s="78"/>
      <c r="D354" s="119" t="s">
        <v>324</v>
      </c>
      <c r="E354" s="75">
        <v>1</v>
      </c>
      <c r="F354" s="58" t="s">
        <v>57</v>
      </c>
      <c r="G354" s="120"/>
      <c r="H354" s="121"/>
      <c r="I354" s="121"/>
      <c r="J354" s="121"/>
      <c r="K354" s="121"/>
      <c r="L354" s="121"/>
      <c r="M354" s="162"/>
      <c r="N354" s="163"/>
      <c r="O354" s="163"/>
      <c r="P354" s="163"/>
      <c r="Q354" s="182"/>
      <c r="R354" s="18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</row>
    <row r="355" s="31" customFormat="1" spans="1:36">
      <c r="A355" s="55" t="str">
        <f>IF(G355&lt;&gt;"",1+MAX($A$3:A354),"")</f>
        <v/>
      </c>
      <c r="B355" s="77"/>
      <c r="C355" s="78"/>
      <c r="D355" s="60"/>
      <c r="E355" s="64"/>
      <c r="F355" s="61"/>
      <c r="G355" s="115"/>
      <c r="H355" s="116"/>
      <c r="I355" s="87"/>
      <c r="J355" s="87"/>
      <c r="K355" s="84"/>
      <c r="L355" s="89"/>
      <c r="M355" s="90"/>
      <c r="N355" s="87"/>
      <c r="O355" s="87"/>
      <c r="P355" s="87"/>
      <c r="Q355" s="117"/>
      <c r="R355" s="118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</row>
    <row r="356" s="31" customFormat="1" ht="18" spans="1:36">
      <c r="A356" s="55" t="str">
        <f>IF(G356&lt;&gt;"",1+MAX($A$3:A355),"")</f>
        <v/>
      </c>
      <c r="B356" s="77"/>
      <c r="C356" s="75"/>
      <c r="D356" s="76" t="s">
        <v>325</v>
      </c>
      <c r="E356" s="58"/>
      <c r="F356" s="58"/>
      <c r="G356" s="58"/>
      <c r="H356" s="58"/>
      <c r="I356" s="87"/>
      <c r="J356" s="83"/>
      <c r="K356" s="84"/>
      <c r="L356" s="93"/>
      <c r="M356" s="94"/>
      <c r="N356" s="83"/>
      <c r="O356" s="83"/>
      <c r="P356" s="83"/>
      <c r="Q356" s="111"/>
      <c r="R356" s="112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</row>
    <row r="357" s="31" customFormat="1" spans="1:36">
      <c r="A357" s="55">
        <f>IF(G357&lt;&gt;"",1+MAX($A$3:A356),"")</f>
        <v>293</v>
      </c>
      <c r="B357" s="77"/>
      <c r="C357" s="78"/>
      <c r="D357" s="57" t="s">
        <v>288</v>
      </c>
      <c r="E357" s="75">
        <v>2</v>
      </c>
      <c r="F357" s="58" t="s">
        <v>57</v>
      </c>
      <c r="G357" s="80">
        <v>0</v>
      </c>
      <c r="H357" s="81">
        <f t="shared" ref="H357:H360" si="160">E357*(1+G357)</f>
        <v>2</v>
      </c>
      <c r="I357" s="83">
        <v>250</v>
      </c>
      <c r="J357" s="83">
        <f t="shared" ref="J357:J360" si="161">I357*H357</f>
        <v>500</v>
      </c>
      <c r="K357" s="84">
        <v>2.5</v>
      </c>
      <c r="L357" s="85">
        <f t="shared" ref="L357:L360" si="162">+K357*H357</f>
        <v>5</v>
      </c>
      <c r="M357" s="86">
        <f>'LABOR SHEET'!C$5</f>
        <v>57.65</v>
      </c>
      <c r="N357" s="83">
        <f t="shared" ref="N357:N360" si="163">K357*M357</f>
        <v>144.125</v>
      </c>
      <c r="O357" s="83">
        <f t="shared" ref="O357:O360" si="164">M357*L357</f>
        <v>288.25</v>
      </c>
      <c r="P357" s="83">
        <f t="shared" ref="P357:P360" si="165">I357+N357</f>
        <v>394.125</v>
      </c>
      <c r="Q357" s="114">
        <f t="shared" ref="Q357:Q360" si="166">P357*H357</f>
        <v>788.25</v>
      </c>
      <c r="R357" s="101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</row>
    <row r="358" s="31" customFormat="1" spans="1:36">
      <c r="A358" s="55">
        <f>IF(G358&lt;&gt;"",1+MAX($A$3:A357),"")</f>
        <v>294</v>
      </c>
      <c r="B358" s="77"/>
      <c r="C358" s="78"/>
      <c r="D358" s="57" t="s">
        <v>326</v>
      </c>
      <c r="E358" s="75">
        <v>8</v>
      </c>
      <c r="F358" s="58" t="s">
        <v>57</v>
      </c>
      <c r="G358" s="80">
        <v>0</v>
      </c>
      <c r="H358" s="81">
        <f t="shared" si="160"/>
        <v>8</v>
      </c>
      <c r="I358" s="83">
        <v>22</v>
      </c>
      <c r="J358" s="83">
        <f t="shared" si="161"/>
        <v>176</v>
      </c>
      <c r="K358" s="84">
        <v>0.45</v>
      </c>
      <c r="L358" s="85">
        <f t="shared" si="162"/>
        <v>3.6</v>
      </c>
      <c r="M358" s="86">
        <f>'LABOR SHEET'!C$5</f>
        <v>57.65</v>
      </c>
      <c r="N358" s="83">
        <f t="shared" si="163"/>
        <v>25.9425</v>
      </c>
      <c r="O358" s="83">
        <f t="shared" si="164"/>
        <v>207.54</v>
      </c>
      <c r="P358" s="83">
        <f t="shared" si="165"/>
        <v>47.9425</v>
      </c>
      <c r="Q358" s="114">
        <f t="shared" si="166"/>
        <v>383.54</v>
      </c>
      <c r="R358" s="101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</row>
    <row r="359" s="31" customFormat="1" spans="1:36">
      <c r="A359" s="55">
        <f>IF(G359&lt;&gt;"",1+MAX($A$3:A358),"")</f>
        <v>295</v>
      </c>
      <c r="B359" s="77"/>
      <c r="C359" s="78"/>
      <c r="D359" s="57" t="s">
        <v>327</v>
      </c>
      <c r="E359" s="75">
        <v>2</v>
      </c>
      <c r="F359" s="58" t="s">
        <v>57</v>
      </c>
      <c r="G359" s="80">
        <v>0</v>
      </c>
      <c r="H359" s="81">
        <f t="shared" si="160"/>
        <v>2</v>
      </c>
      <c r="I359" s="83">
        <v>16.28</v>
      </c>
      <c r="J359" s="83">
        <f t="shared" si="161"/>
        <v>32.56</v>
      </c>
      <c r="K359" s="84">
        <v>0.35</v>
      </c>
      <c r="L359" s="85">
        <f t="shared" si="162"/>
        <v>0.7</v>
      </c>
      <c r="M359" s="86">
        <f>'LABOR SHEET'!C$5</f>
        <v>57.65</v>
      </c>
      <c r="N359" s="83">
        <f t="shared" si="163"/>
        <v>20.1775</v>
      </c>
      <c r="O359" s="83">
        <f t="shared" si="164"/>
        <v>40.355</v>
      </c>
      <c r="P359" s="83">
        <f t="shared" si="165"/>
        <v>36.4575</v>
      </c>
      <c r="Q359" s="114">
        <f t="shared" si="166"/>
        <v>72.915</v>
      </c>
      <c r="R359" s="101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</row>
    <row r="360" s="31" customFormat="1" spans="1:36">
      <c r="A360" s="55">
        <f>IF(G360&lt;&gt;"",1+MAX($A$3:A359),"")</f>
        <v>296</v>
      </c>
      <c r="B360" s="77"/>
      <c r="C360" s="78"/>
      <c r="D360" s="57" t="s">
        <v>328</v>
      </c>
      <c r="E360" s="75">
        <f>(3*1*1312)/27</f>
        <v>145.777777777778</v>
      </c>
      <c r="F360" s="122" t="s">
        <v>329</v>
      </c>
      <c r="G360" s="80">
        <v>0</v>
      </c>
      <c r="H360" s="81">
        <f t="shared" si="160"/>
        <v>145.777777777778</v>
      </c>
      <c r="I360" s="83">
        <v>5</v>
      </c>
      <c r="J360" s="83">
        <f t="shared" si="161"/>
        <v>728.888888888889</v>
      </c>
      <c r="K360" s="84">
        <f>0.28+0.26</f>
        <v>0.54</v>
      </c>
      <c r="L360" s="85">
        <f t="shared" si="162"/>
        <v>78.72</v>
      </c>
      <c r="M360" s="86">
        <f>'LABOR SHEET'!C$5</f>
        <v>57.65</v>
      </c>
      <c r="N360" s="83">
        <f t="shared" si="163"/>
        <v>31.131</v>
      </c>
      <c r="O360" s="83">
        <f t="shared" si="164"/>
        <v>4538.208</v>
      </c>
      <c r="P360" s="83">
        <f t="shared" si="165"/>
        <v>36.131</v>
      </c>
      <c r="Q360" s="114">
        <f t="shared" si="166"/>
        <v>5267.09688888889</v>
      </c>
      <c r="R360" s="101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</row>
    <row r="361" s="31" customFormat="1" ht="16.35" spans="1:36">
      <c r="A361" s="55" t="str">
        <f>IF(G361&lt;&gt;"",1+MAX($A$3:A360),"")</f>
        <v/>
      </c>
      <c r="B361" s="77"/>
      <c r="C361" s="78"/>
      <c r="D361" s="57"/>
      <c r="E361" s="75"/>
      <c r="F361" s="58"/>
      <c r="G361" s="80"/>
      <c r="H361" s="81"/>
      <c r="I361" s="83"/>
      <c r="J361" s="83"/>
      <c r="K361" s="84"/>
      <c r="L361" s="85"/>
      <c r="M361" s="86"/>
      <c r="N361" s="83"/>
      <c r="O361" s="83"/>
      <c r="P361" s="83"/>
      <c r="Q361" s="114"/>
      <c r="R361" s="101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</row>
    <row r="362" s="31" customFormat="1" ht="18.75" spans="1:19">
      <c r="A362" s="62" t="str">
        <f>IF(G362&lt;&gt;"",1+MAX($A$3:A361),"")</f>
        <v/>
      </c>
      <c r="B362" s="123"/>
      <c r="C362" s="124"/>
      <c r="D362" s="66" t="s">
        <v>42</v>
      </c>
      <c r="E362" s="125"/>
      <c r="F362" s="126"/>
      <c r="G362" s="126"/>
      <c r="H362" s="127"/>
      <c r="I362" s="164"/>
      <c r="J362" s="164"/>
      <c r="K362" s="126"/>
      <c r="L362" s="165"/>
      <c r="M362" s="165"/>
      <c r="N362" s="164"/>
      <c r="O362" s="166"/>
      <c r="P362" s="167"/>
      <c r="Q362" s="184"/>
      <c r="R362" s="106">
        <f>SUM(Q15:Q362)</f>
        <v>470944.522688464</v>
      </c>
      <c r="S362" s="185"/>
    </row>
    <row r="363" s="31" customFormat="1" spans="1:19">
      <c r="A363" s="69" t="str">
        <f>IF(G363&lt;&gt;"",1+MAX($A$3:A362),"")</f>
        <v/>
      </c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107"/>
      <c r="S363" s="185"/>
    </row>
    <row r="364" s="31" customFormat="1" ht="16.35" spans="1:19">
      <c r="A364" s="69" t="str">
        <f>IF(G364&lt;&gt;"",1+MAX($A$3:A363),"")</f>
        <v/>
      </c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107"/>
      <c r="S364" s="185"/>
    </row>
    <row r="365" s="32" customFormat="1" ht="21.75" spans="1:19">
      <c r="A365" s="128"/>
      <c r="B365" s="129"/>
      <c r="C365" s="129"/>
      <c r="D365" s="130"/>
      <c r="E365" s="131" t="s">
        <v>24</v>
      </c>
      <c r="F365" s="132"/>
      <c r="G365" s="133"/>
      <c r="H365" s="134">
        <f>SUM(J15:J363)</f>
        <v>301949.623104889</v>
      </c>
      <c r="I365" s="168"/>
      <c r="J365" s="169" t="s">
        <v>330</v>
      </c>
      <c r="K365" s="170"/>
      <c r="L365" s="171">
        <f>SUM(L15:L363)</f>
        <v>2931.3946155</v>
      </c>
      <c r="M365" s="172" t="s">
        <v>331</v>
      </c>
      <c r="N365" s="173"/>
      <c r="O365" s="174"/>
      <c r="P365" s="175">
        <f>SUM(O15:O363)</f>
        <v>168994.899583575</v>
      </c>
      <c r="Q365" s="186"/>
      <c r="R365" s="187"/>
      <c r="S365" s="188"/>
    </row>
    <row r="366" s="32" customFormat="1" ht="21" spans="1:19">
      <c r="A366" s="135"/>
      <c r="B366" s="136"/>
      <c r="C366" s="137"/>
      <c r="D366" s="138" t="s">
        <v>332</v>
      </c>
      <c r="E366" s="139"/>
      <c r="F366" s="139"/>
      <c r="G366" s="139"/>
      <c r="H366" s="140"/>
      <c r="I366" s="176"/>
      <c r="J366" s="176"/>
      <c r="K366" s="139"/>
      <c r="L366" s="139"/>
      <c r="M366" s="139"/>
      <c r="N366" s="176"/>
      <c r="O366" s="176"/>
      <c r="P366" s="176"/>
      <c r="Q366" s="189"/>
      <c r="R366" s="190">
        <f>SUM(R13:R363)</f>
        <v>524944.522688464</v>
      </c>
      <c r="S366" s="191"/>
    </row>
    <row r="367" s="32" customFormat="1" ht="21" spans="1:36">
      <c r="A367" s="135"/>
      <c r="B367" s="136"/>
      <c r="C367" s="141"/>
      <c r="D367" s="142" t="s">
        <v>333</v>
      </c>
      <c r="E367" s="143"/>
      <c r="F367" s="137"/>
      <c r="G367" s="137"/>
      <c r="H367" s="143"/>
      <c r="I367" s="177"/>
      <c r="J367" s="177"/>
      <c r="K367" s="137"/>
      <c r="L367" s="137"/>
      <c r="M367" s="137"/>
      <c r="N367" s="177">
        <v>0.05</v>
      </c>
      <c r="O367" s="177"/>
      <c r="P367" s="177"/>
      <c r="Q367" s="192"/>
      <c r="R367" s="193">
        <f>R366*N367</f>
        <v>26247.2261344232</v>
      </c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</row>
    <row r="368" s="32" customFormat="1" ht="21" spans="1:36">
      <c r="A368" s="144"/>
      <c r="B368" s="145"/>
      <c r="C368" s="146"/>
      <c r="D368" s="147" t="s">
        <v>334</v>
      </c>
      <c r="E368" s="148"/>
      <c r="F368" s="149"/>
      <c r="G368" s="149"/>
      <c r="H368" s="148"/>
      <c r="I368" s="178"/>
      <c r="J368" s="178"/>
      <c r="K368" s="149"/>
      <c r="L368" s="149"/>
      <c r="M368" s="149"/>
      <c r="N368" s="178">
        <v>0.1</v>
      </c>
      <c r="O368" s="178"/>
      <c r="P368" s="178"/>
      <c r="Q368" s="195"/>
      <c r="R368" s="196">
        <f>R366*N368</f>
        <v>52494.4522688464</v>
      </c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</row>
    <row r="369" s="32" customFormat="1" ht="21" spans="1:36">
      <c r="A369" s="150"/>
      <c r="B369" s="151"/>
      <c r="C369" s="152"/>
      <c r="D369" s="153" t="s">
        <v>335</v>
      </c>
      <c r="E369" s="154"/>
      <c r="F369" s="155"/>
      <c r="G369" s="155"/>
      <c r="H369" s="154"/>
      <c r="I369" s="179"/>
      <c r="J369" s="179"/>
      <c r="K369" s="155"/>
      <c r="L369" s="155"/>
      <c r="M369" s="155"/>
      <c r="N369" s="179">
        <v>0.105</v>
      </c>
      <c r="O369" s="179"/>
      <c r="P369" s="179"/>
      <c r="Q369" s="197"/>
      <c r="R369" s="198">
        <f>R366*N369</f>
        <v>55119.1748822887</v>
      </c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</row>
    <row r="370" s="32" customFormat="1" ht="21" spans="1:36">
      <c r="A370" s="150"/>
      <c r="B370" s="151"/>
      <c r="C370" s="152"/>
      <c r="D370" s="153" t="s">
        <v>10</v>
      </c>
      <c r="E370" s="154"/>
      <c r="F370" s="155"/>
      <c r="G370" s="155"/>
      <c r="H370" s="154"/>
      <c r="I370" s="180"/>
      <c r="J370" s="180"/>
      <c r="K370" s="155"/>
      <c r="L370" s="155"/>
      <c r="M370" s="155"/>
      <c r="N370" s="180">
        <v>0.015</v>
      </c>
      <c r="O370" s="180"/>
      <c r="P370" s="180"/>
      <c r="Q370" s="197"/>
      <c r="R370" s="198">
        <f>R366*N370</f>
        <v>7874.16784032696</v>
      </c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</row>
    <row r="371" s="32" customFormat="1" ht="21.75" spans="1:18">
      <c r="A371" s="156"/>
      <c r="B371" s="157"/>
      <c r="C371" s="158"/>
      <c r="D371" s="159" t="s">
        <v>11</v>
      </c>
      <c r="E371" s="160"/>
      <c r="F371" s="160"/>
      <c r="G371" s="160"/>
      <c r="H371" s="161"/>
      <c r="I371" s="181"/>
      <c r="J371" s="181"/>
      <c r="K371" s="160"/>
      <c r="L371" s="160"/>
      <c r="M371" s="160"/>
      <c r="N371" s="181"/>
      <c r="O371" s="181"/>
      <c r="P371" s="181"/>
      <c r="Q371" s="199"/>
      <c r="R371" s="200">
        <f>SUM(R366:R370)</f>
        <v>666679.543814349</v>
      </c>
    </row>
  </sheetData>
  <mergeCells count="13">
    <mergeCell ref="A1:R1"/>
    <mergeCell ref="A2:H2"/>
    <mergeCell ref="I2:R2"/>
    <mergeCell ref="A14:R14"/>
    <mergeCell ref="A363:R363"/>
    <mergeCell ref="A364:R364"/>
    <mergeCell ref="E365:G365"/>
    <mergeCell ref="H365:I365"/>
    <mergeCell ref="J365:K365"/>
    <mergeCell ref="M365:O365"/>
    <mergeCell ref="P365:Q365"/>
    <mergeCell ref="B17:B361"/>
    <mergeCell ref="Q5:Q11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32"/>
  <sheetViews>
    <sheetView workbookViewId="0">
      <selection activeCell="A2" sqref="$A2:$XFD4"/>
    </sheetView>
  </sheetViews>
  <sheetFormatPr defaultColWidth="9.125" defaultRowHeight="14.4" outlineLevelCol="2"/>
  <cols>
    <col min="1" max="1" width="26.875" style="1" customWidth="1"/>
    <col min="2" max="2" width="19.625" style="2" customWidth="1"/>
    <col min="3" max="3" width="20.5" style="2" customWidth="1"/>
    <col min="4" max="16384" width="9.125" style="2"/>
  </cols>
  <sheetData>
    <row r="1" spans="1:3">
      <c r="A1" s="3"/>
      <c r="B1" s="4"/>
      <c r="C1" s="4"/>
    </row>
    <row r="2" ht="15.15" spans="1:3">
      <c r="A2" s="3"/>
      <c r="B2" s="3"/>
      <c r="C2" s="3"/>
    </row>
    <row r="3" ht="16.35" spans="1:3">
      <c r="A3" s="3"/>
      <c r="B3" s="5" t="s">
        <v>378</v>
      </c>
      <c r="C3" s="6" t="s">
        <v>379</v>
      </c>
    </row>
    <row r="4" ht="15.6" spans="1:3">
      <c r="A4" s="7"/>
      <c r="B4" s="8"/>
      <c r="C4" s="9"/>
    </row>
    <row r="5" ht="15.6" spans="1:3">
      <c r="A5" s="10" t="s">
        <v>5</v>
      </c>
      <c r="B5" s="11" t="s">
        <v>380</v>
      </c>
      <c r="C5" s="12">
        <v>57.65</v>
      </c>
    </row>
    <row r="6" ht="16.35" spans="1:3">
      <c r="A6" s="13"/>
      <c r="B6" s="14"/>
      <c r="C6" s="15"/>
    </row>
    <row r="7" spans="1:3">
      <c r="A7" s="3"/>
      <c r="B7" s="3"/>
      <c r="C7" s="3"/>
    </row>
    <row r="8" ht="15.15" spans="1:3">
      <c r="A8" s="3"/>
      <c r="B8" s="3"/>
      <c r="C8" s="3"/>
    </row>
    <row r="9" ht="16.35" spans="1:3">
      <c r="A9" s="3"/>
      <c r="B9" s="16" t="s">
        <v>381</v>
      </c>
      <c r="C9" s="17"/>
    </row>
    <row r="10" ht="15.6" spans="1:3">
      <c r="A10" s="18" t="s">
        <v>382</v>
      </c>
      <c r="B10" s="19" t="s">
        <v>57</v>
      </c>
      <c r="C10" s="20">
        <v>0</v>
      </c>
    </row>
    <row r="11" ht="15.6" spans="1:3">
      <c r="A11" s="21" t="s">
        <v>383</v>
      </c>
      <c r="B11" s="22" t="s">
        <v>47</v>
      </c>
      <c r="C11" s="23">
        <v>0.05</v>
      </c>
    </row>
    <row r="12" ht="15.6" spans="1:3">
      <c r="A12" s="21" t="s">
        <v>384</v>
      </c>
      <c r="B12" s="22" t="s">
        <v>385</v>
      </c>
      <c r="C12" s="23">
        <v>0.1</v>
      </c>
    </row>
    <row r="13" ht="15.6" spans="1:3">
      <c r="A13" s="21" t="s">
        <v>386</v>
      </c>
      <c r="B13" s="22" t="s">
        <v>387</v>
      </c>
      <c r="C13" s="23">
        <v>0.1</v>
      </c>
    </row>
    <row r="14" ht="15.6" spans="1:3">
      <c r="A14" s="21" t="s">
        <v>388</v>
      </c>
      <c r="B14" s="22" t="s">
        <v>329</v>
      </c>
      <c r="C14" s="23">
        <v>0.1</v>
      </c>
    </row>
    <row r="15" ht="15.6" spans="1:3">
      <c r="A15" s="21" t="s">
        <v>389</v>
      </c>
      <c r="B15" s="22" t="s">
        <v>35</v>
      </c>
      <c r="C15" s="23">
        <v>0</v>
      </c>
    </row>
    <row r="16" ht="15.6" spans="1:3">
      <c r="A16" s="21" t="s">
        <v>390</v>
      </c>
      <c r="B16" s="22" t="s">
        <v>391</v>
      </c>
      <c r="C16" s="23">
        <v>0</v>
      </c>
    </row>
    <row r="17" ht="15.6" spans="1:3">
      <c r="A17" s="21" t="s">
        <v>392</v>
      </c>
      <c r="B17" s="22" t="s">
        <v>393</v>
      </c>
      <c r="C17" s="23">
        <v>0</v>
      </c>
    </row>
    <row r="18" ht="15.6" spans="1:3">
      <c r="A18" s="21" t="s">
        <v>394</v>
      </c>
      <c r="B18" s="22" t="s">
        <v>395</v>
      </c>
      <c r="C18" s="23">
        <v>0</v>
      </c>
    </row>
    <row r="19" ht="15.6" spans="1:3">
      <c r="A19" s="21" t="s">
        <v>396</v>
      </c>
      <c r="B19" s="22" t="s">
        <v>397</v>
      </c>
      <c r="C19" s="23">
        <v>0</v>
      </c>
    </row>
    <row r="20" ht="15.6" spans="1:3">
      <c r="A20" s="21" t="s">
        <v>398</v>
      </c>
      <c r="B20" s="22" t="s">
        <v>399</v>
      </c>
      <c r="C20" s="23">
        <v>0.1</v>
      </c>
    </row>
    <row r="21" ht="15.6" spans="1:3">
      <c r="A21" s="21" t="s">
        <v>400</v>
      </c>
      <c r="B21" s="22" t="s">
        <v>401</v>
      </c>
      <c r="C21" s="23">
        <v>0.1</v>
      </c>
    </row>
    <row r="22" ht="15.6" spans="1:3">
      <c r="A22" s="21" t="s">
        <v>402</v>
      </c>
      <c r="B22" s="22" t="s">
        <v>403</v>
      </c>
      <c r="C22" s="23">
        <v>0</v>
      </c>
    </row>
    <row r="23" ht="15.6" spans="1:3">
      <c r="A23" s="21" t="s">
        <v>404</v>
      </c>
      <c r="B23" s="22" t="s">
        <v>405</v>
      </c>
      <c r="C23" s="23">
        <v>0</v>
      </c>
    </row>
    <row r="24" ht="15.6" spans="1:3">
      <c r="A24" s="21" t="s">
        <v>406</v>
      </c>
      <c r="B24" s="22" t="s">
        <v>406</v>
      </c>
      <c r="C24" s="23">
        <v>0.1</v>
      </c>
    </row>
    <row r="25" ht="15.6" spans="1:3">
      <c r="A25" s="21" t="s">
        <v>407</v>
      </c>
      <c r="B25" s="22" t="s">
        <v>408</v>
      </c>
      <c r="C25" s="23">
        <v>0</v>
      </c>
    </row>
    <row r="26" ht="15.6" spans="1:3">
      <c r="A26" s="21" t="s">
        <v>409</v>
      </c>
      <c r="B26" s="22" t="s">
        <v>410</v>
      </c>
      <c r="C26" s="23">
        <v>0</v>
      </c>
    </row>
    <row r="27" ht="15.6" spans="1:3">
      <c r="A27" s="21" t="s">
        <v>411</v>
      </c>
      <c r="B27" s="22" t="s">
        <v>412</v>
      </c>
      <c r="C27" s="23">
        <v>0</v>
      </c>
    </row>
    <row r="28" ht="15.6" spans="1:3">
      <c r="A28" s="21" t="s">
        <v>402</v>
      </c>
      <c r="B28" s="22" t="s">
        <v>413</v>
      </c>
      <c r="C28" s="23">
        <v>0</v>
      </c>
    </row>
    <row r="29" ht="15.6" spans="1:3">
      <c r="A29" s="21" t="s">
        <v>414</v>
      </c>
      <c r="B29" s="22" t="s">
        <v>415</v>
      </c>
      <c r="C29" s="23">
        <v>0</v>
      </c>
    </row>
    <row r="30" ht="15.6" spans="1:3">
      <c r="A30" s="21" t="s">
        <v>416</v>
      </c>
      <c r="B30" s="22" t="s">
        <v>417</v>
      </c>
      <c r="C30" s="23">
        <v>0</v>
      </c>
    </row>
    <row r="31" ht="15.6" spans="1:3">
      <c r="A31" s="21" t="s">
        <v>418</v>
      </c>
      <c r="B31" s="22" t="s">
        <v>419</v>
      </c>
      <c r="C31" s="23">
        <v>0.1</v>
      </c>
    </row>
    <row r="32" ht="16.35" spans="1:3">
      <c r="A32" s="24" t="s">
        <v>420</v>
      </c>
      <c r="B32" s="25" t="s">
        <v>420</v>
      </c>
      <c r="C32" s="26">
        <v>0</v>
      </c>
    </row>
  </sheetData>
  <mergeCells count="1">
    <mergeCell ref="B9:C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15B136-88C7-4620-8301-5D13344CE7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General Summary</vt:lpstr>
      <vt:lpstr>Base Bid</vt:lpstr>
      <vt:lpstr>Alternate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Hp</cp:lastModifiedBy>
  <dcterms:created xsi:type="dcterms:W3CDTF">2016-03-30T11:57:00Z</dcterms:created>
  <cp:lastPrinted>2023-01-11T20:23:00Z</cp:lastPrinted>
  <dcterms:modified xsi:type="dcterms:W3CDTF">2025-09-04T14:20:15Z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{6A15B136-88C7-4620-8301-5D13344CE71C}</vt:lpwstr>
  </property>
  <property fmtid="{D5CDD505-2E9C-101B-9397-08002B2CF9AE}" pid="6" name="ICV">
    <vt:lpwstr>C0355749BF9D44798015635CE4871A7B_13</vt:lpwstr>
  </property>
  <property fmtid="{D5CDD505-2E9C-101B-9397-08002B2CF9AE}" pid="7" name="KSOProductBuildVer">
    <vt:lpwstr>1033-12.2.0.21931</vt:lpwstr>
  </property>
</Properties>
</file>