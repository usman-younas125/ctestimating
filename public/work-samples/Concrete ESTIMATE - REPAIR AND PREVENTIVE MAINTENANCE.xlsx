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20" activeTab="1"/>
  </bookViews>
  <sheets>
    <sheet name="General Summary" sheetId="4" r:id="rId1"/>
    <sheet name="Takeoff Breakdown" sheetId="1" r:id="rId2"/>
    <sheet name="LABOR SHEET" sheetId="6" r:id="rId3"/>
  </sheets>
  <definedNames>
    <definedName name="_xlnm._FilterDatabase" localSheetId="1" hidden="1">'Takeoff Breakdown'!$A$17:$AJ$49</definedName>
    <definedName name="_xlnm.Print_Area" localSheetId="0">'General Summary'!$A$1:$N$12</definedName>
    <definedName name="_xlnm.Print_Area" localSheetId="1">'Takeoff Breakdown'!$A$2:$Q$49</definedName>
    <definedName name="_xlnm.Print_Titles" localSheetId="1">'Takeoff Breakdown'!$1:$6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<sst xmlns="http://schemas.openxmlformats.org/spreadsheetml/2006/main" count="183" uniqueCount="144">
  <si>
    <t>GENERAL SUMMARY</t>
  </si>
  <si>
    <t>DIVISION NO.</t>
  </si>
  <si>
    <t>DESCRIPTION</t>
  </si>
  <si>
    <t>TOTAL DIV. COST</t>
  </si>
  <si>
    <t>General Requirments</t>
  </si>
  <si>
    <t>Concrete</t>
  </si>
  <si>
    <t>TOTAL TRADE COST</t>
  </si>
  <si>
    <t>CONTINGENCY</t>
  </si>
  <si>
    <t>OVERHEAD &amp; PROFIT (20%)</t>
  </si>
  <si>
    <t>TAX (6.63%)</t>
  </si>
  <si>
    <t>PERFORMANCE AND PAYMENT BONDS</t>
  </si>
  <si>
    <t>TOTAL BASEBID</t>
  </si>
  <si>
    <t>DETAILED BREAKDOWN OF ITEMS</t>
  </si>
  <si>
    <t>Project Name</t>
  </si>
  <si>
    <t>REPAIR AND PREVENTIVE MAINTENANCE OF THE 85 CHALLENGER ROAD PARKING STRUCTURE</t>
  </si>
  <si>
    <t>Project Address</t>
  </si>
  <si>
    <t>85 CHALLENGER ROAD, RIDGEFIELD PARK, NEW JERSEY 07660</t>
  </si>
  <si>
    <t>Scope:</t>
  </si>
  <si>
    <t>CONCRETE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</si>
  <si>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</si>
  <si>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</si>
  <si>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</si>
  <si>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</si>
  <si>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</si>
  <si>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</si>
  <si>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</si>
  <si>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</si>
  <si>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</si>
  <si>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</si>
  <si>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</si>
  <si>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</si>
  <si>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</si>
  <si>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</si>
  <si>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</si>
  <si>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</si>
  <si>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</si>
  <si>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</si>
  <si>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</si>
  <si>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</si>
  <si>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</si>
  <si>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</si>
  <si>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</si>
  <si>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</si>
  <si>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</si>
  <si>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</si>
  <si>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03- CONCRETE</t>
  </si>
  <si>
    <t>FOOTING</t>
  </si>
  <si>
    <t>FULL DEPTH CONCRETE SLAB ON METAL DECK REPAIR</t>
  </si>
  <si>
    <t>SF</t>
  </si>
  <si>
    <t>SAWCUT CONCRETE</t>
  </si>
  <si>
    <t>LF</t>
  </si>
  <si>
    <t>REMOVE EXISTING CONCRETE</t>
  </si>
  <si>
    <t>5000 PSI FIBER REINFORCED CONCRETE</t>
  </si>
  <si>
    <t>CY</t>
  </si>
  <si>
    <t>NEW W4xW4 —W4.0 X 4.0 EPOXY COATED WIREMESH</t>
  </si>
  <si>
    <t>1/2"X1/2" JOINT ALONG CONCRETE PERIMETER INSTALL APPROVED JOINT SEALANT</t>
  </si>
  <si>
    <t>#4 EPOXY COATED REBAR 2' LONG @ 18" O.C. 6" EMBEDED IN EXISTING SLAB</t>
  </si>
  <si>
    <t>LBS</t>
  </si>
  <si>
    <t>CONCRETE SLAB SCALING REPAIR</t>
  </si>
  <si>
    <t>1/2" THICK CEMENTITIOUS PATCHING MORTAR</t>
  </si>
  <si>
    <t>REMOVE CONCRETE 7/8" DEEP x 6" WIDE ALONG PERIPHERY WORK OF WORK AREA USING CHIPPING HAMMERS &amp; REPLACE IT</t>
  </si>
  <si>
    <t>EXTERIOR PANEL REPAIR</t>
  </si>
  <si>
    <t>SAWCUT 1/4" AT REPAIR AREAS</t>
  </si>
  <si>
    <t>SPALLED CONCRETE TO BE REMOVED. SANDBLAST CLEAN EXPOSED REBARS AND PATCH WITH TROWEL APPLIED APPROVED PATCHING MATERIAL.
(FORM &amp; POUR IF THE AREA IS BIGGER THAN 5 SF)</t>
  </si>
  <si>
    <t>APPROVED MATERIALS
1- SIKAREPAIR SHB, SHA WITH LATEX R BY SIKA CORPORATION.
2 - MASTER EMACO N400, N400RS BY BASE.
3 -APPROVED EQUAL.</t>
  </si>
  <si>
    <t>COLUMN ENCASEMENT SPALL TO BE REPAIRED (11' H) (ASSUMING 12"X12" SIZE)</t>
  </si>
  <si>
    <t>EA</t>
  </si>
  <si>
    <t>PATCH WITH APPROVED PATCHING MATERIAL
SANDBLAST CLEAN EXPOSED STEEL COLUMN AND REINFORCE AS DIRECTED BY THE ENGINEER
INSTALL 1/4" DIA. STAINLESS STEEL PINS @ 6" O.C. DRILL IN MIN. 4" AND EPOXY GROUT;
ALTERNATIVELY, HOOP BARS SHOULD BE INSTALLED AS DIRECTED BY ENGINEER</t>
  </si>
  <si>
    <r>
      <rPr>
        <b/>
        <sz val="12"/>
        <color theme="1"/>
        <rFont val="Calibri"/>
        <charset val="134"/>
      </rPr>
      <t xml:space="preserve">ROUT &amp; SEAL ALL CRACKS PRIOR TO WATERPROOFING </t>
    </r>
    <r>
      <rPr>
        <b/>
        <sz val="12"/>
        <color rgb="FFFF0000"/>
        <rFont val="Calibri"/>
        <charset val="134"/>
      </rPr>
      <t>( VIF, IF REQUIRED)</t>
    </r>
  </si>
  <si>
    <t>TOTAL LABOR HOURS</t>
  </si>
  <si>
    <t>TOTAL AMOUNT</t>
  </si>
  <si>
    <t>CONTIGENCIES (5%)</t>
  </si>
  <si>
    <t>Labor Type</t>
  </si>
  <si>
    <t>Labor Rate</t>
  </si>
  <si>
    <t>Carpenter</t>
  </si>
  <si>
    <t>CARP</t>
  </si>
  <si>
    <t>Plumbing</t>
  </si>
  <si>
    <t>Plum</t>
  </si>
  <si>
    <t>Mechanical</t>
  </si>
  <si>
    <t>Mech</t>
  </si>
  <si>
    <t>Electrical</t>
  </si>
  <si>
    <t>Elec</t>
  </si>
  <si>
    <t>Earthwork</t>
  </si>
  <si>
    <t>Q14C</t>
  </si>
  <si>
    <t>Drywaller</t>
  </si>
  <si>
    <t>Finisher</t>
  </si>
  <si>
    <t>Painting</t>
  </si>
  <si>
    <t>Painter</t>
  </si>
  <si>
    <t>Tile Contractor</t>
  </si>
  <si>
    <t>Tilf</t>
  </si>
  <si>
    <t>CMU/Stone</t>
  </si>
  <si>
    <t>D8</t>
  </si>
  <si>
    <t>B14S</t>
  </si>
  <si>
    <t>Metal</t>
  </si>
  <si>
    <t>Steel</t>
  </si>
  <si>
    <t>Roofing</t>
  </si>
  <si>
    <t>Roofer</t>
  </si>
  <si>
    <t>Genral Labor</t>
  </si>
  <si>
    <t>Labor</t>
  </si>
  <si>
    <t>Exterior Improvement</t>
  </si>
  <si>
    <t>B15S</t>
  </si>
  <si>
    <t>Misc</t>
  </si>
  <si>
    <t>Manhour Increase Factor</t>
  </si>
  <si>
    <t>Each/Count</t>
  </si>
  <si>
    <t>Linear Footage</t>
  </si>
  <si>
    <t>Square Footage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</si>
  <si>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</si>
  <si>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</si>
  <si>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</si>
  <si>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</si>
  <si>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</si>
  <si>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</si>
  <si>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</si>
  <si>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</si>
  <si>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</si>
  <si>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</si>
  <si>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</si>
  <si>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</si>
  <si>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</si>
  <si>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</si>
  <si>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</si>
  <si>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</si>
  <si>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</si>
  <si>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</si>
  <si>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</si>
  <si>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</si>
  <si>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</si>
  <si>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</si>
  <si>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</si>
  <si>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</si>
  <si>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</si>
  <si>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</si>
  <si>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</si>
  <si>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</si>
  <si>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</si>
  <si>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</si>
  <si>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</si>
  <si>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</si>
  <si>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</si>
  <si>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</si>
  <si>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NOTE:</t>
  </si>
  <si>
    <t>Prevailing wages have been included in this estimate in compliance with the Davis-Bacon Act.</t>
  </si>
  <si>
    <t>Material pricing is based on current market rates sourced from reputable online platforms and suppliers.</t>
  </si>
  <si>
    <t>Please note that actual costs may vary depending on site-specific conditions, unforeseen circumstances, or changes in market conditions.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</si>
</sst>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.0_);_(&quot;$&quot;* \(#,##0.0\);_(&quot;$&quot;* &quot;-&quot;??_);_(@_)"/>
    <numFmt numFmtId="179" formatCode="_(&quot;$&quot;* #,##0_);_(&quot;$&quot;* \(#,##0\);_(&quot;$&quot;* &quot;-&quot;??_);_(@_)"/>
    <numFmt numFmtId="180" formatCode="000000"/>
    <numFmt numFmtId="181" formatCode="0.000"/>
    <numFmt numFmtId="182" formatCode="0.0"/>
    <numFmt numFmtId="183" formatCode="0.0%"/>
    <numFmt numFmtId="184" formatCode="[$-409]d/mmm/yy;@"/>
    <numFmt numFmtId="185" formatCode="_-[$$-409]* #,##0.00_ ;_-[$$-409]* \-#,##0.00\ ;_-[$$-409]* &quot;-&quot;??_ ;_-@_ "/>
    <numFmt numFmtId="186" formatCode="_-* #,##0.00_-;\-* #,##0.00_-;_-* &quot;-&quot;??_-;_-@_-"/>
  </numFmts>
  <fonts count="55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b/>
      <sz val="10"/>
      <color rgb="FFFF0000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theme="1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name val="Calibri"/>
      <charset val="134"/>
    </font>
    <font>
      <b/>
      <sz val="12"/>
      <color rgb="FF009A88"/>
      <name val="Calibri"/>
      <charset val="134"/>
    </font>
    <font>
      <sz val="12"/>
      <color rgb="FFFFFFFF"/>
      <name val="Calibri"/>
      <charset val="134"/>
    </font>
    <font>
      <b/>
      <sz val="12"/>
      <color rgb="FFFFFFFF"/>
      <name val="Calibri"/>
      <charset val="134"/>
    </font>
    <font>
      <sz val="12"/>
      <color indexed="9"/>
      <name val="Calibri"/>
      <charset val="134"/>
    </font>
    <font>
      <b/>
      <sz val="12"/>
      <color indexed="9"/>
      <name val="Calibri"/>
      <charset val="134"/>
    </font>
    <font>
      <b/>
      <sz val="12"/>
      <color indexed="8"/>
      <name val="Calibri"/>
      <charset val="134"/>
    </font>
    <font>
      <b/>
      <sz val="12"/>
      <color rgb="FF0000CC"/>
      <name val="Calibri"/>
      <charset val="134"/>
    </font>
    <font>
      <sz val="12"/>
      <color rgb="FFFF0000"/>
      <name val="Calibri"/>
      <charset val="134"/>
    </font>
    <font>
      <b/>
      <sz val="12"/>
      <name val="Calibri"/>
      <charset val="134"/>
    </font>
    <font>
      <b/>
      <sz val="12"/>
      <color rgb="FF000000"/>
      <name val="Calibri"/>
      <charset val="134"/>
    </font>
    <font>
      <b/>
      <sz val="12"/>
      <color rgb="FF0C0C0C"/>
      <name val="Calibri"/>
      <charset val="134"/>
    </font>
    <font>
      <b/>
      <sz val="12"/>
      <color theme="6"/>
      <name val="Calibri"/>
      <charset val="134"/>
    </font>
    <font>
      <b/>
      <sz val="11"/>
      <color rgb="FF000000"/>
      <name val="Calibri"/>
      <charset val="134"/>
    </font>
    <font>
      <sz val="16"/>
      <color rgb="FFFFFFFF"/>
      <name val="Calibri"/>
      <charset val="134"/>
    </font>
    <font>
      <sz val="14"/>
      <color rgb="FFFFFFFF"/>
      <name val="Calibri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sz val="11"/>
      <color rgb="FF000000"/>
      <name val="Calibri"/>
      <charset val="134"/>
    </font>
    <font>
      <b/>
      <sz val="12"/>
      <color theme="1"/>
      <name val="Tw Cen MT"/>
      <charset val="134"/>
      <scheme val="minor"/>
    </font>
    <font>
      <b/>
      <sz val="12"/>
      <color rgb="FFFF0000"/>
      <name val="Calibri"/>
      <charset val="134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7" borderId="42" applyNumberFormat="0" applyFont="0" applyAlignment="0" applyProtection="0"/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8" borderId="45" applyNumberFormat="0" applyAlignment="0" applyProtection="0">
      <alignment vertical="center"/>
    </xf>
    <xf numFmtId="0" fontId="41" fillId="19" borderId="46" applyNumberFormat="0" applyAlignment="0" applyProtection="0">
      <alignment vertical="center"/>
    </xf>
    <xf numFmtId="0" fontId="42" fillId="19" borderId="45" applyNumberFormat="0" applyAlignment="0" applyProtection="0">
      <alignment vertical="center"/>
    </xf>
    <xf numFmtId="0" fontId="43" fillId="20" borderId="47" applyNumberFormat="0" applyAlignment="0" applyProtection="0">
      <alignment vertical="center"/>
    </xf>
    <xf numFmtId="0" fontId="44" fillId="0" borderId="48" applyNumberFormat="0" applyFill="0" applyAlignment="0" applyProtection="0">
      <alignment vertical="center"/>
    </xf>
    <xf numFmtId="0" fontId="45" fillId="0" borderId="49" applyNumberFormat="0" applyFill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51" fillId="0" borderId="0"/>
    <xf numFmtId="0" fontId="52" fillId="0" borderId="0">
      <protection locked="0"/>
    </xf>
    <xf numFmtId="9" fontId="51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53" fillId="2" borderId="15">
      <alignment horizontal="center" vertical="center"/>
    </xf>
  </cellStyleXfs>
  <cellXfs count="225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3" borderId="1" xfId="52" applyFont="1" applyFill="1" applyBorder="1" applyAlignment="1">
      <alignment horizontal="center"/>
    </xf>
    <xf numFmtId="0" fontId="4" fillId="3" borderId="2" xfId="52" applyFont="1" applyFill="1" applyBorder="1" applyAlignment="1">
      <alignment horizontal="center"/>
    </xf>
    <xf numFmtId="0" fontId="3" fillId="4" borderId="3" xfId="52" applyFont="1" applyFill="1" applyBorder="1" applyAlignment="1">
      <alignment horizontal="right"/>
    </xf>
    <xf numFmtId="0" fontId="4" fillId="4" borderId="4" xfId="52" applyFont="1" applyFill="1" applyBorder="1"/>
    <xf numFmtId="44" fontId="4" fillId="4" borderId="5" xfId="51" applyFont="1" applyFill="1" applyBorder="1"/>
    <xf numFmtId="0" fontId="3" fillId="4" borderId="6" xfId="52" applyFont="1" applyFill="1" applyBorder="1" applyAlignment="1">
      <alignment horizontal="right"/>
    </xf>
    <xf numFmtId="0" fontId="4" fillId="4" borderId="0" xfId="52" applyFont="1" applyFill="1"/>
    <xf numFmtId="44" fontId="4" fillId="4" borderId="7" xfId="51" applyFont="1" applyFill="1" applyBorder="1"/>
    <xf numFmtId="178" fontId="4" fillId="4" borderId="7" xfId="51" applyNumberFormat="1" applyFont="1" applyFill="1" applyBorder="1"/>
    <xf numFmtId="0" fontId="3" fillId="4" borderId="8" xfId="52" applyFont="1" applyFill="1" applyBorder="1" applyAlignment="1">
      <alignment horizontal="right"/>
    </xf>
    <xf numFmtId="0" fontId="4" fillId="4" borderId="9" xfId="52" applyFont="1" applyFill="1" applyBorder="1"/>
    <xf numFmtId="179" fontId="4" fillId="4" borderId="10" xfId="51" applyNumberFormat="1" applyFont="1" applyFill="1" applyBorder="1"/>
    <xf numFmtId="0" fontId="3" fillId="3" borderId="1" xfId="52" applyFont="1" applyFill="1" applyBorder="1" applyAlignment="1">
      <alignment horizontal="right"/>
    </xf>
    <xf numFmtId="9" fontId="3" fillId="3" borderId="2" xfId="56" applyFont="1" applyFill="1" applyBorder="1"/>
    <xf numFmtId="0" fontId="4" fillId="3" borderId="3" xfId="52" applyFont="1" applyFill="1" applyBorder="1" applyAlignment="1">
      <alignment horizontal="center"/>
    </xf>
    <xf numFmtId="0" fontId="4" fillId="3" borderId="5" xfId="52" applyFont="1" applyFill="1" applyBorder="1" applyAlignment="1">
      <alignment horizontal="center"/>
    </xf>
    <xf numFmtId="0" fontId="4" fillId="5" borderId="3" xfId="52" applyFont="1" applyFill="1" applyBorder="1" applyAlignment="1">
      <alignment horizontal="right"/>
    </xf>
    <xf numFmtId="0" fontId="4" fillId="5" borderId="4" xfId="52" applyFont="1" applyFill="1" applyBorder="1"/>
    <xf numFmtId="9" fontId="4" fillId="5" borderId="5" xfId="56" applyFont="1" applyFill="1" applyBorder="1"/>
    <xf numFmtId="0" fontId="4" fillId="5" borderId="6" xfId="52" applyFont="1" applyFill="1" applyBorder="1"/>
    <xf numFmtId="0" fontId="4" fillId="5" borderId="0" xfId="52" applyFont="1" applyFill="1"/>
    <xf numFmtId="9" fontId="4" fillId="5" borderId="7" xfId="56" applyFont="1" applyFill="1" applyBorder="1"/>
    <xf numFmtId="0" fontId="4" fillId="5" borderId="8" xfId="52" applyFont="1" applyFill="1" applyBorder="1"/>
    <xf numFmtId="0" fontId="4" fillId="5" borderId="9" xfId="52" applyFont="1" applyFill="1" applyBorder="1"/>
    <xf numFmtId="9" fontId="4" fillId="5" borderId="10" xfId="56" applyFont="1" applyFill="1" applyBorder="1"/>
    <xf numFmtId="0" fontId="5" fillId="2" borderId="0" xfId="52" applyFont="1" applyFill="1"/>
    <xf numFmtId="0" fontId="6" fillId="2" borderId="0" xfId="52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11" fillId="0" borderId="4" xfId="0" applyFont="1" applyBorder="1" applyAlignment="1">
      <alignment horizontal="left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2" borderId="0" xfId="0" applyNumberFormat="1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left" vertical="center" wrapText="1"/>
    </xf>
    <xf numFmtId="180" fontId="16" fillId="8" borderId="12" xfId="0" applyNumberFormat="1" applyFont="1" applyFill="1" applyBorder="1" applyAlignment="1">
      <alignment horizontal="center" vertical="center" wrapText="1"/>
    </xf>
    <xf numFmtId="180" fontId="16" fillId="8" borderId="13" xfId="0" applyNumberFormat="1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180" fontId="18" fillId="9" borderId="14" xfId="0" applyNumberFormat="1" applyFont="1" applyFill="1" applyBorder="1" applyAlignment="1">
      <alignment horizontal="center" vertical="center" wrapText="1"/>
    </xf>
    <xf numFmtId="180" fontId="18" fillId="9" borderId="15" xfId="0" applyNumberFormat="1" applyFont="1" applyFill="1" applyBorder="1" applyAlignment="1">
      <alignment horizontal="center" vertical="center" wrapText="1"/>
    </xf>
    <xf numFmtId="180" fontId="16" fillId="8" borderId="15" xfId="0" applyNumberFormat="1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left" vertical="center" wrapText="1"/>
    </xf>
    <xf numFmtId="1" fontId="12" fillId="2" borderId="12" xfId="8" applyNumberFormat="1" applyFont="1" applyFill="1" applyBorder="1" applyAlignment="1">
      <alignment horizontal="center" vertical="center"/>
    </xf>
    <xf numFmtId="1" fontId="12" fillId="2" borderId="16" xfId="8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2" fillId="2" borderId="14" xfId="8" applyNumberFormat="1" applyFont="1" applyFill="1" applyBorder="1" applyAlignment="1">
      <alignment horizontal="center" vertical="center"/>
    </xf>
    <xf numFmtId="1" fontId="12" fillId="2" borderId="17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20" fillId="0" borderId="22" xfId="0" applyFont="1" applyBorder="1" applyAlignment="1">
      <alignment horizontal="right" vertical="center" wrapText="1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7" fillId="8" borderId="15" xfId="0" applyFont="1" applyFill="1" applyBorder="1" applyAlignment="1">
      <alignment horizontal="left" vertical="center" wrapText="1"/>
    </xf>
    <xf numFmtId="0" fontId="13" fillId="0" borderId="15" xfId="0" applyFont="1" applyBorder="1" applyAlignment="1">
      <alignment vertical="center"/>
    </xf>
    <xf numFmtId="0" fontId="20" fillId="10" borderId="15" xfId="0" applyFont="1" applyFill="1" applyBorder="1" applyAlignment="1">
      <alignment horizontal="center"/>
    </xf>
    <xf numFmtId="1" fontId="21" fillId="0" borderId="17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1" fontId="12" fillId="2" borderId="19" xfId="8" applyNumberFormat="1" applyFont="1" applyFill="1" applyBorder="1" applyAlignment="1">
      <alignment horizontal="center" vertical="center"/>
    </xf>
    <xf numFmtId="1" fontId="12" fillId="2" borderId="15" xfId="8" applyNumberFormat="1" applyFont="1" applyFill="1" applyBorder="1" applyAlignment="1">
      <alignment vertical="center"/>
    </xf>
    <xf numFmtId="0" fontId="13" fillId="0" borderId="25" xfId="0" applyFont="1" applyBorder="1" applyAlignment="1">
      <alignment horizontal="left" wrapText="1"/>
    </xf>
    <xf numFmtId="1" fontId="13" fillId="0" borderId="15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3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 wrapText="1"/>
    </xf>
    <xf numFmtId="0" fontId="13" fillId="0" borderId="25" xfId="0" applyFont="1" applyFill="1" applyBorder="1" applyAlignment="1">
      <alignment horizontal="left" wrapText="1"/>
    </xf>
    <xf numFmtId="1" fontId="13" fillId="0" borderId="15" xfId="0" applyNumberFormat="1" applyFont="1" applyFill="1" applyBorder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9" fontId="13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23" fillId="11" borderId="27" xfId="0" applyFont="1" applyFill="1" applyBorder="1" applyAlignment="1">
      <alignment horizontal="center" vertical="center"/>
    </xf>
    <xf numFmtId="0" fontId="24" fillId="12" borderId="14" xfId="0" applyFont="1" applyFill="1" applyBorder="1" applyAlignment="1">
      <alignment horizontal="left" vertical="center"/>
    </xf>
    <xf numFmtId="0" fontId="9" fillId="12" borderId="15" xfId="0" applyFont="1" applyFill="1" applyBorder="1" applyAlignment="1">
      <alignment horizontal="center" vertical="center"/>
    </xf>
    <xf numFmtId="0" fontId="24" fillId="12" borderId="15" xfId="0" applyFont="1" applyFill="1" applyBorder="1" applyAlignment="1">
      <alignment horizontal="center" vertical="center"/>
    </xf>
    <xf numFmtId="0" fontId="24" fillId="12" borderId="15" xfId="0" applyFont="1" applyFill="1" applyBorder="1" applyAlignment="1">
      <alignment horizontal="left" vertical="center" wrapText="1"/>
    </xf>
    <xf numFmtId="0" fontId="25" fillId="12" borderId="15" xfId="0" applyFont="1" applyFill="1" applyBorder="1" applyAlignment="1">
      <alignment horizontal="center" vertical="center"/>
    </xf>
    <xf numFmtId="1" fontId="25" fillId="12" borderId="15" xfId="0" applyNumberFormat="1" applyFont="1" applyFill="1" applyBorder="1" applyAlignment="1">
      <alignment horizontal="center" vertical="center"/>
    </xf>
    <xf numFmtId="0" fontId="24" fillId="12" borderId="15" xfId="0" applyFont="1" applyFill="1" applyBorder="1" applyAlignment="1">
      <alignment horizontal="center"/>
    </xf>
    <xf numFmtId="0" fontId="24" fillId="12" borderId="15" xfId="0" applyFont="1" applyFill="1" applyBorder="1" applyAlignment="1">
      <alignment horizontal="left"/>
    </xf>
    <xf numFmtId="1" fontId="24" fillId="12" borderId="15" xfId="0" applyNumberFormat="1" applyFont="1" applyFill="1" applyBorder="1" applyAlignment="1">
      <alignment horizontal="center" vertical="center"/>
    </xf>
    <xf numFmtId="0" fontId="24" fillId="13" borderId="14" xfId="0" applyFont="1" applyFill="1" applyBorder="1" applyAlignment="1">
      <alignment horizontal="left" vertical="center"/>
    </xf>
    <xf numFmtId="0" fontId="9" fillId="13" borderId="15" xfId="0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/>
    </xf>
    <xf numFmtId="0" fontId="24" fillId="13" borderId="15" xfId="0" applyFont="1" applyFill="1" applyBorder="1" applyAlignment="1">
      <alignment horizontal="left"/>
    </xf>
    <xf numFmtId="1" fontId="24" fillId="13" borderId="15" xfId="0" applyNumberFormat="1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 vertical="center"/>
    </xf>
    <xf numFmtId="0" fontId="24" fillId="14" borderId="14" xfId="0" applyFont="1" applyFill="1" applyBorder="1" applyAlignment="1">
      <alignment horizontal="left" vertical="center"/>
    </xf>
    <xf numFmtId="0" fontId="9" fillId="14" borderId="15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/>
    </xf>
    <xf numFmtId="0" fontId="24" fillId="14" borderId="15" xfId="0" applyFont="1" applyFill="1" applyBorder="1" applyAlignment="1">
      <alignment horizontal="left"/>
    </xf>
    <xf numFmtId="1" fontId="24" fillId="14" borderId="15" xfId="0" applyNumberFormat="1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/>
    </xf>
    <xf numFmtId="0" fontId="24" fillId="14" borderId="28" xfId="0" applyFont="1" applyFill="1" applyBorder="1" applyAlignment="1">
      <alignment horizontal="left" vertical="center"/>
    </xf>
    <xf numFmtId="0" fontId="9" fillId="14" borderId="29" xfId="0" applyFont="1" applyFill="1" applyBorder="1" applyAlignment="1">
      <alignment horizontal="center" vertical="center"/>
    </xf>
    <xf numFmtId="180" fontId="24" fillId="14" borderId="29" xfId="0" applyNumberFormat="1" applyFont="1" applyFill="1" applyBorder="1" applyAlignment="1">
      <alignment horizontal="center" vertical="center"/>
    </xf>
    <xf numFmtId="0" fontId="24" fillId="14" borderId="29" xfId="0" applyFont="1" applyFill="1" applyBorder="1" applyAlignment="1">
      <alignment horizontal="left" vertical="center" wrapText="1"/>
    </xf>
    <xf numFmtId="0" fontId="25" fillId="14" borderId="29" xfId="0" applyFont="1" applyFill="1" applyBorder="1" applyAlignment="1">
      <alignment horizontal="center" vertical="center"/>
    </xf>
    <xf numFmtId="1" fontId="25" fillId="14" borderId="29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3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181" fontId="9" fillId="15" borderId="15" xfId="0" applyNumberFormat="1" applyFont="1" applyFill="1" applyBorder="1" applyAlignment="1">
      <alignment horizontal="center" vertical="center"/>
    </xf>
    <xf numFmtId="182" fontId="9" fillId="15" borderId="15" xfId="0" applyNumberFormat="1" applyFont="1" applyFill="1" applyBorder="1" applyAlignment="1">
      <alignment horizontal="center" vertical="center"/>
    </xf>
    <xf numFmtId="44" fontId="7" fillId="15" borderId="15" xfId="2" applyFont="1" applyFill="1" applyBorder="1" applyAlignment="1" applyProtection="1">
      <alignment horizontal="center" vertical="center"/>
    </xf>
    <xf numFmtId="178" fontId="7" fillId="15" borderId="15" xfId="0" applyNumberFormat="1" applyFont="1" applyFill="1" applyBorder="1" applyAlignment="1">
      <alignment horizontal="left" vertical="center"/>
    </xf>
    <xf numFmtId="178" fontId="7" fillId="0" borderId="15" xfId="0" applyNumberFormat="1" applyFont="1" applyBorder="1" applyAlignment="1">
      <alignment horizontal="left" vertical="center"/>
    </xf>
    <xf numFmtId="181" fontId="9" fillId="15" borderId="18" xfId="0" applyNumberFormat="1" applyFont="1" applyFill="1" applyBorder="1" applyAlignment="1">
      <alignment horizontal="center" vertical="center"/>
    </xf>
    <xf numFmtId="182" fontId="9" fillId="15" borderId="18" xfId="0" applyNumberFormat="1" applyFont="1" applyFill="1" applyBorder="1" applyAlignment="1">
      <alignment horizontal="center" vertical="center"/>
    </xf>
    <xf numFmtId="44" fontId="7" fillId="15" borderId="18" xfId="2" applyFont="1" applyFill="1" applyBorder="1" applyAlignment="1" applyProtection="1">
      <alignment horizontal="center" vertical="center"/>
    </xf>
    <xf numFmtId="178" fontId="7" fillId="15" borderId="18" xfId="0" applyNumberFormat="1" applyFont="1" applyFill="1" applyBorder="1" applyAlignment="1">
      <alignment horizontal="left" vertical="center"/>
    </xf>
    <xf numFmtId="44" fontId="13" fillId="0" borderId="23" xfId="2" applyFont="1" applyFill="1" applyBorder="1" applyAlignment="1">
      <alignment horizontal="right" vertical="center"/>
    </xf>
    <xf numFmtId="181" fontId="7" fillId="0" borderId="15" xfId="0" applyNumberFormat="1" applyFont="1" applyBorder="1" applyAlignment="1">
      <alignment horizontal="center" vertical="center"/>
    </xf>
    <xf numFmtId="44" fontId="7" fillId="0" borderId="15" xfId="2" applyFont="1" applyFill="1" applyBorder="1" applyAlignment="1">
      <alignment horizontal="center" vertical="center"/>
    </xf>
    <xf numFmtId="181" fontId="7" fillId="15" borderId="15" xfId="0" applyNumberFormat="1" applyFont="1" applyFill="1" applyBorder="1" applyAlignment="1">
      <alignment horizontal="center" vertical="center"/>
    </xf>
    <xf numFmtId="1" fontId="7" fillId="15" borderId="15" xfId="0" applyNumberFormat="1" applyFont="1" applyFill="1" applyBorder="1" applyAlignment="1">
      <alignment horizontal="center" vertical="center"/>
    </xf>
    <xf numFmtId="44" fontId="7" fillId="15" borderId="15" xfId="2" applyFont="1" applyFill="1" applyBorder="1" applyAlignment="1">
      <alignment horizontal="center" vertical="center"/>
    </xf>
    <xf numFmtId="181" fontId="9" fillId="0" borderId="15" xfId="0" applyNumberFormat="1" applyFont="1" applyBorder="1" applyAlignment="1">
      <alignment horizontal="center" vertical="center"/>
    </xf>
    <xf numFmtId="182" fontId="9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 applyProtection="1">
      <alignment horizontal="center" vertical="center"/>
    </xf>
    <xf numFmtId="181" fontId="9" fillId="0" borderId="18" xfId="0" applyNumberFormat="1" applyFont="1" applyBorder="1" applyAlignment="1">
      <alignment horizontal="center" vertical="center"/>
    </xf>
    <xf numFmtId="182" fontId="9" fillId="0" borderId="15" xfId="0" applyNumberFormat="1" applyFont="1" applyBorder="1" applyAlignment="1">
      <alignment vertical="center"/>
    </xf>
    <xf numFmtId="178" fontId="7" fillId="0" borderId="18" xfId="0" applyNumberFormat="1" applyFont="1" applyBorder="1" applyAlignment="1">
      <alignment horizontal="left" vertical="center"/>
    </xf>
    <xf numFmtId="0" fontId="20" fillId="0" borderId="23" xfId="0" applyFont="1" applyBorder="1" applyAlignment="1">
      <alignment vertical="center"/>
    </xf>
    <xf numFmtId="179" fontId="20" fillId="0" borderId="23" xfId="0" applyNumberFormat="1" applyFont="1" applyBorder="1" applyAlignment="1">
      <alignment horizontal="center" vertical="center"/>
    </xf>
    <xf numFmtId="178" fontId="20" fillId="0" borderId="23" xfId="0" applyNumberFormat="1" applyFont="1" applyBorder="1" applyAlignment="1">
      <alignment vertical="center"/>
    </xf>
    <xf numFmtId="0" fontId="23" fillId="11" borderId="30" xfId="0" applyFont="1" applyFill="1" applyBorder="1" applyAlignment="1">
      <alignment horizontal="center" vertical="center"/>
    </xf>
    <xf numFmtId="182" fontId="23" fillId="11" borderId="21" xfId="0" applyNumberFormat="1" applyFont="1" applyFill="1" applyBorder="1" applyAlignment="1">
      <alignment horizontal="center" vertical="center" wrapText="1"/>
    </xf>
    <xf numFmtId="0" fontId="23" fillId="4" borderId="27" xfId="0" applyFont="1" applyFill="1" applyBorder="1" applyAlignment="1">
      <alignment horizontal="center" vertical="center" wrapText="1"/>
    </xf>
    <xf numFmtId="0" fontId="23" fillId="4" borderId="30" xfId="0" applyFont="1" applyFill="1" applyBorder="1" applyAlignment="1">
      <alignment horizontal="center" vertical="center" wrapText="1"/>
    </xf>
    <xf numFmtId="178" fontId="23" fillId="4" borderId="15" xfId="0" applyNumberFormat="1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 wrapText="1"/>
    </xf>
    <xf numFmtId="178" fontId="23" fillId="5" borderId="15" xfId="0" applyNumberFormat="1" applyFont="1" applyFill="1" applyBorder="1" applyAlignment="1">
      <alignment horizontal="center" vertical="center"/>
    </xf>
    <xf numFmtId="44" fontId="25" fillId="12" borderId="15" xfId="0" applyNumberFormat="1" applyFont="1" applyFill="1" applyBorder="1" applyAlignment="1">
      <alignment horizontal="left" vertical="center"/>
    </xf>
    <xf numFmtId="9" fontId="24" fillId="12" borderId="15" xfId="0" applyNumberFormat="1" applyFont="1" applyFill="1" applyBorder="1" applyAlignment="1">
      <alignment horizontal="left" vertical="center"/>
    </xf>
    <xf numFmtId="9" fontId="24" fillId="13" borderId="15" xfId="0" applyNumberFormat="1" applyFont="1" applyFill="1" applyBorder="1" applyAlignment="1">
      <alignment horizontal="left" vertical="center"/>
    </xf>
    <xf numFmtId="10" fontId="24" fillId="14" borderId="15" xfId="0" applyNumberFormat="1" applyFont="1" applyFill="1" applyBorder="1" applyAlignment="1">
      <alignment horizontal="left" vertical="center"/>
    </xf>
    <xf numFmtId="183" fontId="24" fillId="14" borderId="15" xfId="0" applyNumberFormat="1" applyFont="1" applyFill="1" applyBorder="1" applyAlignment="1">
      <alignment horizontal="left" vertical="center"/>
    </xf>
    <xf numFmtId="44" fontId="25" fillId="14" borderId="29" xfId="0" applyNumberFormat="1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184" fontId="14" fillId="2" borderId="7" xfId="0" applyNumberFormat="1" applyFont="1" applyFill="1" applyBorder="1" applyAlignment="1">
      <alignment horizontal="center" vertical="center" wrapText="1"/>
    </xf>
    <xf numFmtId="180" fontId="16" fillId="8" borderId="31" xfId="0" applyNumberFormat="1" applyFont="1" applyFill="1" applyBorder="1" applyAlignment="1">
      <alignment horizontal="center" vertical="center" wrapText="1"/>
    </xf>
    <xf numFmtId="180" fontId="18" fillId="9" borderId="32" xfId="0" applyNumberFormat="1" applyFont="1" applyFill="1" applyBorder="1" applyAlignment="1">
      <alignment horizontal="center" vertical="center" wrapText="1"/>
    </xf>
    <xf numFmtId="44" fontId="7" fillId="0" borderId="33" xfId="0" applyNumberFormat="1" applyFont="1" applyBorder="1" applyAlignment="1">
      <alignment vertical="center" wrapText="1"/>
    </xf>
    <xf numFmtId="44" fontId="7" fillId="2" borderId="0" xfId="0" applyNumberFormat="1" applyFont="1" applyFill="1" applyAlignment="1">
      <alignment vertical="center"/>
    </xf>
    <xf numFmtId="44" fontId="7" fillId="15" borderId="33" xfId="0" applyNumberFormat="1" applyFont="1" applyFill="1" applyBorder="1" applyAlignment="1">
      <alignment vertical="center" wrapText="1"/>
    </xf>
    <xf numFmtId="179" fontId="20" fillId="16" borderId="34" xfId="0" applyNumberFormat="1" applyFont="1" applyFill="1" applyBorder="1" applyAlignment="1">
      <alignment horizontal="center" vertical="center"/>
    </xf>
    <xf numFmtId="44" fontId="7" fillId="0" borderId="0" xfId="0" applyNumberFormat="1" applyFont="1" applyAlignment="1">
      <alignment vertical="center"/>
    </xf>
    <xf numFmtId="0" fontId="13" fillId="0" borderId="35" xfId="0" applyFont="1" applyBorder="1" applyAlignment="1">
      <alignment vertical="center"/>
    </xf>
    <xf numFmtId="179" fontId="18" fillId="9" borderId="3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179" fontId="7" fillId="0" borderId="32" xfId="0" applyNumberFormat="1" applyFont="1" applyBorder="1" applyAlignment="1">
      <alignment horizontal="center" vertical="center" wrapText="1"/>
    </xf>
    <xf numFmtId="179" fontId="7" fillId="15" borderId="32" xfId="0" applyNumberFormat="1" applyFont="1" applyFill="1" applyBorder="1" applyAlignment="1">
      <alignment horizontal="center" vertical="center" wrapText="1"/>
    </xf>
    <xf numFmtId="179" fontId="7" fillId="0" borderId="31" xfId="0" applyNumberFormat="1" applyFont="1" applyBorder="1" applyAlignment="1">
      <alignment horizontal="center" vertical="center" wrapText="1"/>
    </xf>
    <xf numFmtId="179" fontId="7" fillId="0" borderId="33" xfId="0" applyNumberFormat="1" applyFont="1" applyBorder="1" applyAlignment="1">
      <alignment horizontal="center" vertical="center" wrapText="1"/>
    </xf>
    <xf numFmtId="178" fontId="7" fillId="0" borderId="3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179" fontId="27" fillId="12" borderId="32" xfId="0" applyNumberFormat="1" applyFont="1" applyFill="1" applyBorder="1" applyAlignment="1">
      <alignment horizontal="left" vertical="center"/>
    </xf>
    <xf numFmtId="0" fontId="24" fillId="0" borderId="0" xfId="0" applyFont="1"/>
    <xf numFmtId="179" fontId="27" fillId="13" borderId="32" xfId="0" applyNumberFormat="1" applyFont="1" applyFill="1" applyBorder="1" applyAlignment="1">
      <alignment horizontal="left" vertical="center"/>
    </xf>
    <xf numFmtId="179" fontId="27" fillId="14" borderId="32" xfId="0" applyNumberFormat="1" applyFont="1" applyFill="1" applyBorder="1" applyAlignment="1">
      <alignment horizontal="left" vertical="center"/>
    </xf>
    <xf numFmtId="179" fontId="27" fillId="14" borderId="36" xfId="0" applyNumberFormat="1" applyFont="1" applyFill="1" applyBorder="1" applyAlignment="1">
      <alignment horizontal="left" vertical="center"/>
    </xf>
    <xf numFmtId="0" fontId="0" fillId="2" borderId="0" xfId="0" applyFill="1"/>
    <xf numFmtId="179" fontId="0" fillId="2" borderId="0" xfId="0" applyNumberFormat="1" applyFill="1"/>
    <xf numFmtId="180" fontId="28" fillId="8" borderId="37" xfId="0" applyNumberFormat="1" applyFont="1" applyFill="1" applyBorder="1" applyAlignment="1">
      <alignment horizontal="center" vertical="center" wrapText="1"/>
    </xf>
    <xf numFmtId="180" fontId="28" fillId="8" borderId="24" xfId="0" applyNumberFormat="1" applyFont="1" applyFill="1" applyBorder="1" applyAlignment="1">
      <alignment horizontal="center" vertical="center" wrapText="1"/>
    </xf>
    <xf numFmtId="0" fontId="24" fillId="12" borderId="38" xfId="0" applyFont="1" applyFill="1" applyBorder="1" applyAlignment="1">
      <alignment horizontal="center" vertical="center"/>
    </xf>
    <xf numFmtId="0" fontId="24" fillId="12" borderId="39" xfId="0" applyFont="1" applyFill="1" applyBorder="1" applyAlignment="1">
      <alignment horizontal="center" vertical="center"/>
    </xf>
    <xf numFmtId="180" fontId="29" fillId="8" borderId="15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179" fontId="7" fillId="0" borderId="31" xfId="0" applyNumberFormat="1" applyFont="1" applyBorder="1"/>
    <xf numFmtId="0" fontId="23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179" fontId="7" fillId="0" borderId="32" xfId="0" applyNumberFormat="1" applyFont="1" applyBorder="1"/>
    <xf numFmtId="0" fontId="13" fillId="0" borderId="40" xfId="0" applyFont="1" applyBorder="1" applyAlignment="1">
      <alignment horizontal="center" vertical="center"/>
    </xf>
    <xf numFmtId="179" fontId="30" fillId="0" borderId="40" xfId="49" applyNumberFormat="1" applyFont="1" applyFill="1" applyBorder="1" applyAlignment="1">
      <alignment vertical="center"/>
    </xf>
    <xf numFmtId="44" fontId="0" fillId="2" borderId="0" xfId="0" applyNumberFormat="1" applyFill="1"/>
    <xf numFmtId="49" fontId="31" fillId="0" borderId="40" xfId="0" applyNumberFormat="1" applyFont="1" applyBorder="1" applyAlignment="1">
      <alignment horizontal="center" vertical="center"/>
    </xf>
    <xf numFmtId="9" fontId="24" fillId="12" borderId="14" xfId="3" applyFont="1" applyFill="1" applyBorder="1" applyAlignment="1">
      <alignment horizontal="center" vertical="center"/>
    </xf>
    <xf numFmtId="185" fontId="24" fillId="12" borderId="14" xfId="0" applyNumberFormat="1" applyFont="1" applyFill="1" applyBorder="1" applyAlignment="1">
      <alignment horizontal="left" vertical="center"/>
    </xf>
    <xf numFmtId="9" fontId="24" fillId="12" borderId="14" xfId="3" applyNumberFormat="1" applyFont="1" applyFill="1" applyBorder="1" applyAlignment="1">
      <alignment horizontal="center" vertical="center"/>
    </xf>
    <xf numFmtId="183" fontId="24" fillId="13" borderId="14" xfId="3" applyNumberFormat="1" applyFont="1" applyFill="1" applyBorder="1" applyAlignment="1">
      <alignment horizontal="center" vertical="center"/>
    </xf>
    <xf numFmtId="185" fontId="24" fillId="13" borderId="14" xfId="0" applyNumberFormat="1" applyFont="1" applyFill="1" applyBorder="1" applyAlignment="1">
      <alignment horizontal="left" vertical="center"/>
    </xf>
    <xf numFmtId="183" fontId="24" fillId="14" borderId="14" xfId="3" applyNumberFormat="1" applyFont="1" applyFill="1" applyBorder="1" applyAlignment="1">
      <alignment horizontal="center" vertical="center"/>
    </xf>
    <xf numFmtId="185" fontId="24" fillId="14" borderId="14" xfId="0" applyNumberFormat="1" applyFont="1" applyFill="1" applyBorder="1" applyAlignment="1">
      <alignment horizontal="left" vertical="center"/>
    </xf>
    <xf numFmtId="186" fontId="0" fillId="2" borderId="9" xfId="0" applyNumberFormat="1" applyFill="1" applyBorder="1"/>
    <xf numFmtId="0" fontId="0" fillId="2" borderId="9" xfId="0" applyFill="1" applyBorder="1"/>
    <xf numFmtId="180" fontId="28" fillId="8" borderId="16" xfId="0" applyNumberFormat="1" applyFont="1" applyFill="1" applyBorder="1" applyAlignment="1">
      <alignment horizontal="center" vertical="center" wrapText="1"/>
    </xf>
    <xf numFmtId="0" fontId="24" fillId="12" borderId="41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10" xfId="0" applyFill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</cellStyles>
  <tableStyles count="0" defaultTableStyle="TableStyleMedium9" defaultPivotStyle="PivotStyleLight16"/>
  <colors>
    <mruColors>
      <color rgb="0000496A"/>
      <color rgb="004A4C4C"/>
      <color rgb="00013554"/>
      <color rgb="00001521"/>
      <color rgb="0000A6A5"/>
      <color rgb="0000C8C3"/>
      <color rgb="0000A8A4"/>
      <color rgb="0000DED9"/>
      <color rgb="0000BCB8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"DIVISION COST COMPARISON"</c:f>
              <c:strCache>
                <c:ptCount val="1"/>
                <c:pt idx="0">
                  <c:v>DIVISION COST COMPARISON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'General Summary'!$B$4:$B$5</c:f>
              <c:strCache>
                <c:ptCount val="2"/>
                <c:pt idx="0">
                  <c:v>General Requirments</c:v>
                </c:pt>
                <c:pt idx="1">
                  <c:v>Concrete</c:v>
                </c:pt>
              </c:strCache>
            </c:strRef>
          </c:cat>
          <c:val>
            <c:numRef>
              <c:f>'General Summary'!$C$4:$C$5</c:f>
              <c:numCache>
                <c:formatCode>_("$"* #,##0_);_("$"* \(#,##0\);_("$"* "-"??_);_(@_)</c:formatCode>
                <c:ptCount val="2"/>
                <c:pt idx="0">
                  <c:v>58000</c:v>
                </c:pt>
                <c:pt idx="1">
                  <c:v>763625.25556255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608117-6762-4150-8034-bcf1b5f9718a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1543</xdr:colOff>
      <xdr:row>2</xdr:row>
      <xdr:rowOff>10886</xdr:rowOff>
    </xdr:from>
    <xdr:to>
      <xdr:col>14</xdr:col>
      <xdr:colOff>2969</xdr:colOff>
      <xdr:row>11</xdr:row>
      <xdr:rowOff>196496</xdr:rowOff>
    </xdr:to>
    <xdr:graphicFrame>
      <xdr:nvGraphicFramePr>
        <xdr:cNvPr id="2" name="Chart 1"/>
        <xdr:cNvGraphicFramePr/>
      </xdr:nvGraphicFramePr>
      <xdr:xfrm>
        <a:off x="9077325" y="544195"/>
        <a:ext cx="7545070" cy="2027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1</xdr:row>
      <xdr:rowOff>0</xdr:rowOff>
    </xdr:from>
    <xdr:ext cx="184731" cy="287420"/>
    <xdr:sp>
      <xdr:nvSpPr>
        <xdr:cNvPr id="3" name="TextBox 2"/>
        <xdr:cNvSpPr txBox="1"/>
      </xdr:nvSpPr>
      <xdr:spPr>
        <a:xfrm>
          <a:off x="2192020" y="0"/>
          <a:ext cx="184150" cy="2870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87420"/>
    <xdr:sp>
      <xdr:nvSpPr>
        <xdr:cNvPr id="5" name="TextBox 4"/>
        <xdr:cNvSpPr txBox="1"/>
      </xdr:nvSpPr>
      <xdr:spPr>
        <a:xfrm>
          <a:off x="1734820" y="0"/>
          <a:ext cx="184150" cy="2870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22"/>
  <sheetViews>
    <sheetView view="pageBreakPreview" zoomScale="85" zoomScaleNormal="100" workbookViewId="0">
      <selection activeCell="B26" sqref="B26"/>
    </sheetView>
  </sheetViews>
  <sheetFormatPr defaultColWidth="9" defaultRowHeight="13.8"/>
  <cols>
    <col min="1" max="1" width="38.4416666666667" style="195" customWidth="1"/>
    <col min="2" max="2" width="63.1083333333333" style="195" customWidth="1"/>
    <col min="3" max="3" width="17.5583333333333" style="196" customWidth="1"/>
    <col min="4" max="16384" width="9" style="195"/>
  </cols>
  <sheetData>
    <row r="1" ht="21" spans="1:14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221"/>
    </row>
    <row r="2" ht="21" customHeight="1" spans="1:14">
      <c r="A2" s="199"/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22"/>
    </row>
    <row r="3" ht="18" spans="1:14">
      <c r="A3" s="201" t="s">
        <v>1</v>
      </c>
      <c r="B3" s="201" t="s">
        <v>2</v>
      </c>
      <c r="C3" s="201" t="s">
        <v>3</v>
      </c>
      <c r="N3" s="223"/>
    </row>
    <row r="4" ht="15.6" spans="1:14">
      <c r="A4" s="202">
        <v>1000</v>
      </c>
      <c r="B4" s="203" t="s">
        <v>4</v>
      </c>
      <c r="C4" s="204">
        <f>'Takeoff Breakdown'!Q15</f>
        <v>58000</v>
      </c>
      <c r="N4" s="223"/>
    </row>
    <row r="5" ht="16.35" spans="1:14">
      <c r="A5" s="205">
        <v>3000</v>
      </c>
      <c r="B5" s="206" t="s">
        <v>5</v>
      </c>
      <c r="C5" s="207">
        <f>'Takeoff Breakdown'!Q42</f>
        <v>763625.25556255</v>
      </c>
      <c r="N5" s="223"/>
    </row>
    <row r="6" ht="16.35" spans="1:14">
      <c r="A6" s="208" t="s">
        <v>6</v>
      </c>
      <c r="B6" s="208"/>
      <c r="C6" s="209">
        <f>SUM(C4:C5)</f>
        <v>821625.25556255</v>
      </c>
      <c r="E6" s="210"/>
      <c r="N6" s="223"/>
    </row>
    <row r="7" ht="16.35" spans="1:14">
      <c r="A7" s="211"/>
      <c r="B7" s="211"/>
      <c r="C7" s="211"/>
      <c r="N7" s="223"/>
    </row>
    <row r="8" ht="15.6" spans="1:14">
      <c r="A8" s="103" t="s">
        <v>7</v>
      </c>
      <c r="B8" s="212">
        <v>0.05</v>
      </c>
      <c r="C8" s="213">
        <f>C6*B8</f>
        <v>41081.2627781275</v>
      </c>
      <c r="D8" s="210"/>
      <c r="E8" s="210"/>
      <c r="N8" s="223"/>
    </row>
    <row r="9" ht="15.6" spans="1:14">
      <c r="A9" s="103" t="s">
        <v>8</v>
      </c>
      <c r="B9" s="214">
        <v>0.2</v>
      </c>
      <c r="C9" s="213">
        <f>C6*B9</f>
        <v>164325.05111251</v>
      </c>
      <c r="N9" s="223"/>
    </row>
    <row r="10" ht="15.6" spans="1:14">
      <c r="A10" s="112" t="s">
        <v>9</v>
      </c>
      <c r="B10" s="215">
        <v>0.0663</v>
      </c>
      <c r="C10" s="216">
        <f>'Takeoff Breakdown'!Q47</f>
        <v>15044.656829007</v>
      </c>
      <c r="N10" s="223"/>
    </row>
    <row r="11" ht="15.6" spans="1:14">
      <c r="A11" s="118" t="s">
        <v>10</v>
      </c>
      <c r="B11" s="217">
        <v>0.015</v>
      </c>
      <c r="C11" s="218">
        <f>C6*B11</f>
        <v>12324.3788334382</v>
      </c>
      <c r="N11" s="223"/>
    </row>
    <row r="12" ht="16.35" spans="1:14">
      <c r="A12" s="118" t="s">
        <v>11</v>
      </c>
      <c r="B12" s="217"/>
      <c r="C12" s="218">
        <f>SUM(C6,C8:C11)</f>
        <v>1054400.60511563</v>
      </c>
      <c r="D12" s="219"/>
      <c r="E12" s="220"/>
      <c r="F12" s="220"/>
      <c r="G12" s="220"/>
      <c r="H12" s="220"/>
      <c r="I12" s="220"/>
      <c r="J12" s="220"/>
      <c r="K12" s="220"/>
      <c r="L12" s="220"/>
      <c r="M12" s="220"/>
      <c r="N12" s="224"/>
    </row>
    <row r="22" spans="3:3">
      <c r="C22" s="195"/>
    </row>
  </sheetData>
  <mergeCells count="4">
    <mergeCell ref="A1:N1"/>
    <mergeCell ref="A2:N2"/>
    <mergeCell ref="A6:B6"/>
    <mergeCell ref="A7:C7"/>
  </mergeCells>
  <pageMargins left="0.7" right="0.7" top="0.75" bottom="0.75" header="0.3" footer="0.3"/>
  <pageSetup paperSize="1" scale="5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49"/>
  <sheetViews>
    <sheetView showGridLines="0" tabSelected="1" zoomScale="55" zoomScaleNormal="55" zoomScaleSheetLayoutView="85" topLeftCell="A2" workbookViewId="0">
      <pane ySplit="5" topLeftCell="A20" activePane="bottomLeft" state="frozen"/>
      <selection/>
      <selection pane="bottomLeft" activeCell="D32" sqref="D32"/>
    </sheetView>
  </sheetViews>
  <sheetFormatPr defaultColWidth="9" defaultRowHeight="15.6"/>
  <cols>
    <col min="1" max="1" width="4.10833333333333" style="35" customWidth="1"/>
    <col min="2" max="2" width="9.21666666666667" style="35" customWidth="1"/>
    <col min="3" max="3" width="9.44166666666667" style="35" customWidth="1"/>
    <col min="4" max="4" width="81.45" style="35" customWidth="1"/>
    <col min="5" max="6" width="11.5583333333333" style="36" customWidth="1"/>
    <col min="7" max="7" width="14" style="36" customWidth="1"/>
    <col min="8" max="8" width="10.5583333333333" style="35" customWidth="1"/>
    <col min="9" max="10" width="14" style="36" customWidth="1"/>
    <col min="11" max="12" width="12.5583333333333" style="35" customWidth="1"/>
    <col min="13" max="13" width="14.4416666666667" style="35" customWidth="1"/>
    <col min="14" max="14" width="13.625" style="35" customWidth="1"/>
    <col min="15" max="15" width="14.6666666666667" style="35" customWidth="1"/>
    <col min="16" max="16" width="12.5583333333333" style="35" customWidth="1"/>
    <col min="17" max="17" width="15.2166666666667" style="37" customWidth="1"/>
    <col min="18" max="18" width="12.4416666666667" style="35" customWidth="1"/>
    <col min="19" max="16384" width="9" style="35"/>
  </cols>
  <sheetData>
    <row r="1" s="31" customFormat="1" ht="15" hidden="1" customHeight="1" spans="1:17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ht="18.75" spans="1:17">
      <c r="A2" s="40" t="s">
        <v>12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172"/>
    </row>
    <row r="3" ht="17.4" customHeight="1" spans="1:17">
      <c r="A3" s="42"/>
      <c r="B3" s="43" t="s">
        <v>13</v>
      </c>
      <c r="C3" s="43"/>
      <c r="D3" s="35" t="s">
        <v>14</v>
      </c>
      <c r="E3" s="44"/>
      <c r="F3" s="44"/>
      <c r="G3" s="45"/>
      <c r="H3" s="45"/>
      <c r="I3" s="45"/>
      <c r="J3" s="45"/>
      <c r="K3" s="45"/>
      <c r="L3" s="45"/>
      <c r="M3" s="45"/>
      <c r="N3" s="45"/>
      <c r="O3" s="130"/>
      <c r="P3" s="131"/>
      <c r="Q3" s="173"/>
    </row>
    <row r="4" ht="18" customHeight="1" spans="1:17">
      <c r="A4" s="42"/>
      <c r="B4" s="46" t="s">
        <v>15</v>
      </c>
      <c r="C4" s="46"/>
      <c r="D4" s="35" t="s">
        <v>16</v>
      </c>
      <c r="E4" s="47"/>
      <c r="F4" s="47"/>
      <c r="G4" s="47"/>
      <c r="H4" s="48"/>
      <c r="I4" s="47"/>
      <c r="J4" s="47"/>
      <c r="K4" s="45"/>
      <c r="L4" s="45"/>
      <c r="M4" s="45"/>
      <c r="N4" s="45"/>
      <c r="O4" s="130"/>
      <c r="P4" s="131"/>
      <c r="Q4" s="173"/>
    </row>
    <row r="5" ht="24" customHeight="1" spans="1:17">
      <c r="A5" s="42"/>
      <c r="B5" s="49" t="s">
        <v>17</v>
      </c>
      <c r="C5" s="49"/>
      <c r="D5" s="35" t="s">
        <v>18</v>
      </c>
      <c r="E5" s="50"/>
      <c r="F5" s="47"/>
      <c r="G5" s="47"/>
      <c r="H5" s="50"/>
      <c r="I5" s="47"/>
      <c r="J5" s="47"/>
      <c r="K5" s="132"/>
      <c r="L5" s="132"/>
      <c r="M5" s="132"/>
      <c r="N5" s="132"/>
      <c r="O5" s="133"/>
      <c r="P5" s="134"/>
      <c r="Q5" s="173"/>
    </row>
    <row r="6" s="31" customFormat="1" ht="59.4" customHeight="1" spans="1:17">
      <c r="A6" s="51" t="s">
        <v>19</v>
      </c>
      <c r="B6" s="52" t="s">
        <v>20</v>
      </c>
      <c r="C6" s="52" t="s">
        <v>21</v>
      </c>
      <c r="D6" s="53" t="s">
        <v>2</v>
      </c>
      <c r="E6" s="52" t="s">
        <v>22</v>
      </c>
      <c r="F6" s="52" t="s">
        <v>23</v>
      </c>
      <c r="G6" s="52" t="s">
        <v>24</v>
      </c>
      <c r="H6" s="52" t="s">
        <v>25</v>
      </c>
      <c r="I6" s="52" t="s">
        <v>26</v>
      </c>
      <c r="J6" s="52" t="s">
        <v>27</v>
      </c>
      <c r="K6" s="52" t="s">
        <v>28</v>
      </c>
      <c r="L6" s="52" t="s">
        <v>29</v>
      </c>
      <c r="M6" s="52" t="s">
        <v>30</v>
      </c>
      <c r="N6" s="52" t="s">
        <v>31</v>
      </c>
      <c r="O6" s="52" t="s">
        <v>32</v>
      </c>
      <c r="P6" s="52" t="s">
        <v>33</v>
      </c>
      <c r="Q6" s="174" t="s">
        <v>34</v>
      </c>
    </row>
    <row r="7" s="32" customFormat="1" ht="18" customHeight="1" spans="1:17">
      <c r="A7" s="54"/>
      <c r="B7" s="55"/>
      <c r="C7" s="56">
        <v>1</v>
      </c>
      <c r="D7" s="57" t="s">
        <v>35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175"/>
    </row>
    <row r="8" ht="18" customHeight="1" spans="1:18">
      <c r="A8" s="58">
        <f>IF(F8&lt;&gt;"",1+MAX($A$2:A7),"")</f>
        <v>1</v>
      </c>
      <c r="B8" s="59"/>
      <c r="C8" s="59"/>
      <c r="D8" s="60" t="s">
        <v>36</v>
      </c>
      <c r="E8" s="61">
        <v>1</v>
      </c>
      <c r="F8" s="62">
        <v>0</v>
      </c>
      <c r="G8" s="63">
        <f t="shared" ref="G8:G14" si="0">(F8*E8)+E8</f>
        <v>1</v>
      </c>
      <c r="H8" s="61" t="s">
        <v>37</v>
      </c>
      <c r="I8" s="135">
        <v>0</v>
      </c>
      <c r="J8" s="136">
        <f t="shared" ref="J8:J14" si="1">+I8*G8</f>
        <v>0</v>
      </c>
      <c r="K8" s="137">
        <v>0</v>
      </c>
      <c r="L8" s="138">
        <f t="shared" ref="L8:L14" si="2">I8*K8</f>
        <v>0</v>
      </c>
      <c r="M8" s="138">
        <f t="shared" ref="M8:M14" si="3">K8*J8</f>
        <v>0</v>
      </c>
      <c r="N8" s="138">
        <v>0</v>
      </c>
      <c r="O8" s="138">
        <f t="shared" ref="O8:O14" si="4">N8*G8</f>
        <v>0</v>
      </c>
      <c r="P8" s="139">
        <v>3800</v>
      </c>
      <c r="Q8" s="176">
        <f t="shared" ref="Q8:Q14" si="5">P8*G8</f>
        <v>3800</v>
      </c>
      <c r="R8" s="177"/>
    </row>
    <row r="9" ht="18" customHeight="1" spans="1:18">
      <c r="A9" s="64">
        <f>IF(F9&lt;&gt;"",1+MAX($A$2:A8),"")</f>
        <v>2</v>
      </c>
      <c r="B9" s="65"/>
      <c r="C9" s="65"/>
      <c r="D9" s="66" t="s">
        <v>38</v>
      </c>
      <c r="E9" s="67">
        <v>1</v>
      </c>
      <c r="F9" s="68">
        <v>0</v>
      </c>
      <c r="G9" s="69">
        <f t="shared" si="0"/>
        <v>1</v>
      </c>
      <c r="H9" s="67" t="s">
        <v>37</v>
      </c>
      <c r="I9" s="135">
        <v>0</v>
      </c>
      <c r="J9" s="136">
        <f t="shared" si="1"/>
        <v>0</v>
      </c>
      <c r="K9" s="137">
        <v>0</v>
      </c>
      <c r="L9" s="138">
        <f t="shared" si="2"/>
        <v>0</v>
      </c>
      <c r="M9" s="138">
        <f t="shared" si="3"/>
        <v>0</v>
      </c>
      <c r="N9" s="138">
        <v>0</v>
      </c>
      <c r="O9" s="138">
        <f t="shared" si="4"/>
        <v>0</v>
      </c>
      <c r="P9" s="139">
        <v>16000</v>
      </c>
      <c r="Q9" s="176">
        <f t="shared" si="5"/>
        <v>16000</v>
      </c>
      <c r="R9" s="177"/>
    </row>
    <row r="10" ht="18" customHeight="1" spans="1:18">
      <c r="A10" s="64">
        <f>IF(F10&lt;&gt;"",1+MAX($A$2:A9),"")</f>
        <v>3</v>
      </c>
      <c r="B10" s="65"/>
      <c r="C10" s="65"/>
      <c r="D10" s="66" t="s">
        <v>39</v>
      </c>
      <c r="E10" s="67">
        <v>1</v>
      </c>
      <c r="F10" s="68">
        <v>0</v>
      </c>
      <c r="G10" s="69">
        <f t="shared" si="0"/>
        <v>1</v>
      </c>
      <c r="H10" s="67" t="s">
        <v>37</v>
      </c>
      <c r="I10" s="135">
        <v>0</v>
      </c>
      <c r="J10" s="136">
        <f t="shared" si="1"/>
        <v>0</v>
      </c>
      <c r="K10" s="137">
        <v>0</v>
      </c>
      <c r="L10" s="138">
        <f t="shared" si="2"/>
        <v>0</v>
      </c>
      <c r="M10" s="138">
        <f t="shared" si="3"/>
        <v>0</v>
      </c>
      <c r="N10" s="138">
        <v>0</v>
      </c>
      <c r="O10" s="138">
        <f t="shared" si="4"/>
        <v>0</v>
      </c>
      <c r="P10" s="138">
        <v>0</v>
      </c>
      <c r="Q10" s="178">
        <f t="shared" si="5"/>
        <v>0</v>
      </c>
      <c r="R10" s="177"/>
    </row>
    <row r="11" ht="18" customHeight="1" spans="1:18">
      <c r="A11" s="64">
        <f>IF(F11&lt;&gt;"",1+MAX($A$2:A10),"")</f>
        <v>4</v>
      </c>
      <c r="B11" s="65"/>
      <c r="C11" s="65"/>
      <c r="D11" s="66" t="s">
        <v>40</v>
      </c>
      <c r="E11" s="67">
        <v>1</v>
      </c>
      <c r="F11" s="68">
        <v>0</v>
      </c>
      <c r="G11" s="69">
        <f t="shared" si="0"/>
        <v>1</v>
      </c>
      <c r="H11" s="67" t="s">
        <v>37</v>
      </c>
      <c r="I11" s="135">
        <v>0</v>
      </c>
      <c r="J11" s="136">
        <f t="shared" si="1"/>
        <v>0</v>
      </c>
      <c r="K11" s="137">
        <v>0</v>
      </c>
      <c r="L11" s="138">
        <f t="shared" si="2"/>
        <v>0</v>
      </c>
      <c r="M11" s="138">
        <f t="shared" si="3"/>
        <v>0</v>
      </c>
      <c r="N11" s="138">
        <v>0</v>
      </c>
      <c r="O11" s="138">
        <f t="shared" si="4"/>
        <v>0</v>
      </c>
      <c r="P11" s="139">
        <v>6500</v>
      </c>
      <c r="Q11" s="176">
        <f t="shared" si="5"/>
        <v>6500</v>
      </c>
      <c r="R11" s="177"/>
    </row>
    <row r="12" ht="18" customHeight="1" spans="1:18">
      <c r="A12" s="64">
        <f>IF(F12&lt;&gt;"",1+MAX($A$2:A11),"")</f>
        <v>5</v>
      </c>
      <c r="B12" s="65"/>
      <c r="C12" s="65"/>
      <c r="D12" s="66" t="s">
        <v>41</v>
      </c>
      <c r="E12" s="67">
        <v>1</v>
      </c>
      <c r="F12" s="68">
        <v>0</v>
      </c>
      <c r="G12" s="69">
        <f t="shared" si="0"/>
        <v>1</v>
      </c>
      <c r="H12" s="67" t="s">
        <v>37</v>
      </c>
      <c r="I12" s="135">
        <v>0</v>
      </c>
      <c r="J12" s="136">
        <f t="shared" si="1"/>
        <v>0</v>
      </c>
      <c r="K12" s="137">
        <v>0</v>
      </c>
      <c r="L12" s="138">
        <f t="shared" si="2"/>
        <v>0</v>
      </c>
      <c r="M12" s="138">
        <f t="shared" si="3"/>
        <v>0</v>
      </c>
      <c r="N12" s="138">
        <v>0</v>
      </c>
      <c r="O12" s="138">
        <f t="shared" si="4"/>
        <v>0</v>
      </c>
      <c r="P12" s="139">
        <v>24500</v>
      </c>
      <c r="Q12" s="176">
        <f t="shared" si="5"/>
        <v>24500</v>
      </c>
      <c r="R12" s="177"/>
    </row>
    <row r="13" ht="18" customHeight="1" spans="1:18">
      <c r="A13" s="64">
        <f>IF(F13&lt;&gt;"",1+MAX($A$2:A12),"")</f>
        <v>6</v>
      </c>
      <c r="B13" s="65"/>
      <c r="C13" s="65"/>
      <c r="D13" s="66" t="s">
        <v>42</v>
      </c>
      <c r="E13" s="67">
        <v>1</v>
      </c>
      <c r="F13" s="68">
        <v>0</v>
      </c>
      <c r="G13" s="69">
        <f t="shared" si="0"/>
        <v>1</v>
      </c>
      <c r="H13" s="67" t="s">
        <v>37</v>
      </c>
      <c r="I13" s="135">
        <v>0</v>
      </c>
      <c r="J13" s="136">
        <f t="shared" si="1"/>
        <v>0</v>
      </c>
      <c r="K13" s="137">
        <v>0</v>
      </c>
      <c r="L13" s="138">
        <f t="shared" si="2"/>
        <v>0</v>
      </c>
      <c r="M13" s="138">
        <f t="shared" si="3"/>
        <v>0</v>
      </c>
      <c r="N13" s="138">
        <v>0</v>
      </c>
      <c r="O13" s="138">
        <f t="shared" si="4"/>
        <v>0</v>
      </c>
      <c r="P13" s="138">
        <v>0</v>
      </c>
      <c r="Q13" s="178">
        <f t="shared" si="5"/>
        <v>0</v>
      </c>
      <c r="R13" s="177"/>
    </row>
    <row r="14" ht="18" customHeight="1" spans="1:18">
      <c r="A14" s="64">
        <f>IF(F14&lt;&gt;"",1+MAX($A$2:A13),"")</f>
        <v>7</v>
      </c>
      <c r="B14" s="65"/>
      <c r="C14" s="65"/>
      <c r="D14" s="70" t="s">
        <v>43</v>
      </c>
      <c r="E14" s="71">
        <v>1</v>
      </c>
      <c r="F14" s="72">
        <v>0</v>
      </c>
      <c r="G14" s="73">
        <f t="shared" si="0"/>
        <v>1</v>
      </c>
      <c r="H14" s="71" t="s">
        <v>37</v>
      </c>
      <c r="I14" s="140">
        <v>0</v>
      </c>
      <c r="J14" s="141">
        <f t="shared" si="1"/>
        <v>0</v>
      </c>
      <c r="K14" s="142">
        <v>0</v>
      </c>
      <c r="L14" s="143">
        <f t="shared" si="2"/>
        <v>0</v>
      </c>
      <c r="M14" s="143">
        <f t="shared" si="3"/>
        <v>0</v>
      </c>
      <c r="N14" s="143">
        <v>0</v>
      </c>
      <c r="O14" s="143">
        <f t="shared" si="4"/>
        <v>0</v>
      </c>
      <c r="P14" s="139">
        <v>7200</v>
      </c>
      <c r="Q14" s="176">
        <f t="shared" si="5"/>
        <v>7200</v>
      </c>
      <c r="R14" s="177"/>
    </row>
    <row r="15" s="31" customFormat="1" ht="16.35" spans="1:18">
      <c r="A15" s="74" t="str">
        <f>IF(F15&lt;&gt;"",1+MAX($A$2:A14),"")</f>
        <v/>
      </c>
      <c r="B15" s="75"/>
      <c r="C15" s="76"/>
      <c r="D15" s="77" t="s">
        <v>44</v>
      </c>
      <c r="E15" s="78"/>
      <c r="F15" s="78"/>
      <c r="G15" s="78"/>
      <c r="H15" s="78"/>
      <c r="I15" s="78"/>
      <c r="J15" s="78"/>
      <c r="K15" s="144"/>
      <c r="L15" s="144"/>
      <c r="M15" s="144"/>
      <c r="N15" s="144"/>
      <c r="O15" s="144"/>
      <c r="P15" s="144"/>
      <c r="Q15" s="179">
        <f>SUM(Q8:Q14)</f>
        <v>58000</v>
      </c>
      <c r="R15" s="180"/>
    </row>
    <row r="16" s="31" customFormat="1" spans="1:18">
      <c r="A16" s="74" t="str">
        <f>IF(F16&lt;&gt;"",1+MAX($A$2:A15),"")</f>
        <v/>
      </c>
      <c r="B16" s="75"/>
      <c r="C16" s="75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181"/>
      <c r="R16" s="180"/>
    </row>
    <row r="17" s="33" customFormat="1" spans="1:19">
      <c r="A17" s="54" t="str">
        <f>IF(F17&lt;&gt;"",1+MAX($A$2:A16),"")</f>
        <v/>
      </c>
      <c r="B17" s="55"/>
      <c r="C17" s="56">
        <v>3</v>
      </c>
      <c r="D17" s="80" t="s">
        <v>45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182"/>
      <c r="S17" s="183"/>
    </row>
    <row r="18" ht="18" customHeight="1" spans="1:19">
      <c r="A18" s="74" t="str">
        <f>IF(F18&lt;&gt;"",1+MAX($A$2:A17),"")</f>
        <v/>
      </c>
      <c r="B18" s="81"/>
      <c r="C18" s="76"/>
      <c r="D18" s="82" t="s">
        <v>46</v>
      </c>
      <c r="E18" s="83"/>
      <c r="F18" s="84"/>
      <c r="G18" s="69"/>
      <c r="H18" s="69"/>
      <c r="I18" s="145"/>
      <c r="J18" s="69"/>
      <c r="K18" s="146"/>
      <c r="L18" s="146"/>
      <c r="M18" s="146"/>
      <c r="N18" s="146"/>
      <c r="O18" s="146"/>
      <c r="P18" s="146"/>
      <c r="Q18" s="184"/>
      <c r="R18" s="177"/>
      <c r="S18" s="177"/>
    </row>
    <row r="19" ht="18" customHeight="1" spans="1:19">
      <c r="A19" s="85" t="str">
        <f>IF(F19&lt;&gt;"",1+MAX($A$2:A18),"")</f>
        <v/>
      </c>
      <c r="B19" s="86"/>
      <c r="C19" s="65"/>
      <c r="D19" s="87" t="s">
        <v>47</v>
      </c>
      <c r="E19" s="88">
        <f>528.04+23381.45</f>
        <v>23909.49</v>
      </c>
      <c r="F19" s="68"/>
      <c r="G19" s="69"/>
      <c r="H19" s="89" t="s">
        <v>48</v>
      </c>
      <c r="I19" s="147"/>
      <c r="J19" s="148"/>
      <c r="K19" s="149"/>
      <c r="L19" s="149"/>
      <c r="M19" s="149"/>
      <c r="N19" s="149"/>
      <c r="O19" s="149"/>
      <c r="P19" s="149"/>
      <c r="Q19" s="185"/>
      <c r="R19" s="177"/>
      <c r="S19" s="177"/>
    </row>
    <row r="20" spans="1:19">
      <c r="A20" s="85">
        <f>IF(F20&lt;&gt;"",1+MAX($A$2:A19),"")</f>
        <v>8</v>
      </c>
      <c r="B20" s="86"/>
      <c r="C20" s="90"/>
      <c r="D20" s="91" t="s">
        <v>49</v>
      </c>
      <c r="E20" s="69">
        <f>544.7+17145.91</f>
        <v>17690.61</v>
      </c>
      <c r="F20" s="68">
        <v>0.05</v>
      </c>
      <c r="G20" s="69">
        <f t="shared" ref="G20" si="6">(F20*E20)+E20</f>
        <v>18575.1405</v>
      </c>
      <c r="H20" s="67" t="s">
        <v>50</v>
      </c>
      <c r="I20" s="150">
        <v>0.024</v>
      </c>
      <c r="J20" s="151">
        <f t="shared" ref="J20" si="7">+I20*G20</f>
        <v>445.803372</v>
      </c>
      <c r="K20" s="152">
        <v>132.0435</v>
      </c>
      <c r="L20" s="139">
        <f t="shared" ref="L20" si="8">I20*K20</f>
        <v>3.169044</v>
      </c>
      <c r="M20" s="139">
        <f t="shared" ref="M20" si="9">K20*J20</f>
        <v>58865.437550682</v>
      </c>
      <c r="N20" s="138">
        <v>0</v>
      </c>
      <c r="O20" s="138">
        <f t="shared" ref="O20" si="10">N20*G20</f>
        <v>0</v>
      </c>
      <c r="P20" s="139">
        <f t="shared" ref="P20" si="11">(I20*K20)+N20</f>
        <v>3.169044</v>
      </c>
      <c r="Q20" s="186">
        <f t="shared" ref="Q20" si="12">P20*G20</f>
        <v>58865.437550682</v>
      </c>
      <c r="R20" s="177"/>
      <c r="S20" s="177"/>
    </row>
    <row r="21" spans="1:19">
      <c r="A21" s="85">
        <f>IF(F21&lt;&gt;"",1+MAX($A$2:A20),"")</f>
        <v>9</v>
      </c>
      <c r="B21" s="86"/>
      <c r="C21" s="90"/>
      <c r="D21" s="91" t="s">
        <v>51</v>
      </c>
      <c r="E21" s="69">
        <f>+E19</f>
        <v>23909.49</v>
      </c>
      <c r="F21" s="68">
        <v>0.1</v>
      </c>
      <c r="G21" s="69">
        <f t="shared" ref="G21:G39" si="13">(F21*E21)+E21</f>
        <v>26300.439</v>
      </c>
      <c r="H21" s="67" t="s">
        <v>48</v>
      </c>
      <c r="I21" s="150">
        <v>0.058</v>
      </c>
      <c r="J21" s="151">
        <f t="shared" ref="J21:J25" si="14">+I21*G21</f>
        <v>1525.425462</v>
      </c>
      <c r="K21" s="152">
        <v>63.7875</v>
      </c>
      <c r="L21" s="139">
        <f t="shared" ref="L21:L25" si="15">I21*K21</f>
        <v>3.699675</v>
      </c>
      <c r="M21" s="139">
        <f t="shared" ref="M21:M25" si="16">K21*J21</f>
        <v>97303.076657325</v>
      </c>
      <c r="N21" s="138">
        <v>0</v>
      </c>
      <c r="O21" s="138">
        <f t="shared" ref="O21:O25" si="17">N21*G21</f>
        <v>0</v>
      </c>
      <c r="P21" s="139">
        <f t="shared" ref="P21:P25" si="18">(I21*K21)+N21</f>
        <v>3.699675</v>
      </c>
      <c r="Q21" s="186">
        <f t="shared" ref="Q21:Q25" si="19">P21*G21</f>
        <v>97303.076657325</v>
      </c>
      <c r="R21" s="177"/>
      <c r="S21" s="177"/>
    </row>
    <row r="22" spans="1:19">
      <c r="A22" s="85">
        <f>IF(F22&lt;&gt;"",1+MAX($A$2:A21),"")</f>
        <v>10</v>
      </c>
      <c r="B22" s="86"/>
      <c r="C22" s="90"/>
      <c r="D22" s="91" t="s">
        <v>52</v>
      </c>
      <c r="E22" s="69">
        <f>+E19*0.33/27</f>
        <v>292.2271</v>
      </c>
      <c r="F22" s="68">
        <v>0.1</v>
      </c>
      <c r="G22" s="69">
        <f t="shared" si="13"/>
        <v>321.44981</v>
      </c>
      <c r="H22" s="67" t="s">
        <v>53</v>
      </c>
      <c r="I22" s="150">
        <v>5.92</v>
      </c>
      <c r="J22" s="151">
        <f t="shared" si="14"/>
        <v>1902.9828752</v>
      </c>
      <c r="K22" s="152">
        <v>70.8615</v>
      </c>
      <c r="L22" s="139">
        <f t="shared" si="15"/>
        <v>419.50008</v>
      </c>
      <c r="M22" s="139">
        <f t="shared" si="16"/>
        <v>134848.221010985</v>
      </c>
      <c r="N22" s="139">
        <v>260</v>
      </c>
      <c r="O22" s="139">
        <f t="shared" si="17"/>
        <v>83576.9506</v>
      </c>
      <c r="P22" s="139">
        <f t="shared" si="18"/>
        <v>679.50008</v>
      </c>
      <c r="Q22" s="186">
        <f t="shared" si="19"/>
        <v>218425.171610985</v>
      </c>
      <c r="R22" s="177"/>
      <c r="S22" s="177"/>
    </row>
    <row r="23" spans="1:19">
      <c r="A23" s="85">
        <f>IF(F23&lt;&gt;"",1+MAX($A$2:A22),"")</f>
        <v>11</v>
      </c>
      <c r="B23" s="86"/>
      <c r="C23" s="90"/>
      <c r="D23" s="91" t="s">
        <v>54</v>
      </c>
      <c r="E23" s="69">
        <f>+E19</f>
        <v>23909.49</v>
      </c>
      <c r="F23" s="68">
        <v>0.1</v>
      </c>
      <c r="G23" s="69">
        <f t="shared" si="13"/>
        <v>26300.439</v>
      </c>
      <c r="H23" s="67" t="s">
        <v>48</v>
      </c>
      <c r="I23" s="150">
        <v>0.006</v>
      </c>
      <c r="J23" s="151">
        <f t="shared" si="14"/>
        <v>157.802634</v>
      </c>
      <c r="K23" s="152">
        <v>87.075</v>
      </c>
      <c r="L23" s="139">
        <f t="shared" si="15"/>
        <v>0.52245</v>
      </c>
      <c r="M23" s="139">
        <f t="shared" si="16"/>
        <v>13740.66435555</v>
      </c>
      <c r="N23" s="139">
        <v>0.48</v>
      </c>
      <c r="O23" s="139">
        <f t="shared" si="17"/>
        <v>12624.21072</v>
      </c>
      <c r="P23" s="139">
        <f t="shared" si="18"/>
        <v>1.00245</v>
      </c>
      <c r="Q23" s="186">
        <f t="shared" si="19"/>
        <v>26364.87507555</v>
      </c>
      <c r="R23" s="177"/>
      <c r="S23" s="177"/>
    </row>
    <row r="24" ht="18" customHeight="1" spans="1:19">
      <c r="A24" s="85">
        <f>IF(F24&lt;&gt;"",1+MAX($A$2:A23),"")</f>
        <v>12</v>
      </c>
      <c r="B24" s="86"/>
      <c r="C24" s="65"/>
      <c r="D24" s="91" t="s">
        <v>55</v>
      </c>
      <c r="E24" s="69">
        <f>+E20</f>
        <v>17690.61</v>
      </c>
      <c r="F24" s="68">
        <v>0.05</v>
      </c>
      <c r="G24" s="69">
        <f t="shared" si="13"/>
        <v>18575.1405</v>
      </c>
      <c r="H24" s="67" t="s">
        <v>50</v>
      </c>
      <c r="I24" s="150">
        <v>0.04</v>
      </c>
      <c r="J24" s="151">
        <f t="shared" si="14"/>
        <v>743.00562</v>
      </c>
      <c r="K24" s="152">
        <v>79.11</v>
      </c>
      <c r="L24" s="139">
        <f t="shared" si="15"/>
        <v>3.1644</v>
      </c>
      <c r="M24" s="139">
        <f t="shared" si="16"/>
        <v>58779.1745982</v>
      </c>
      <c r="N24" s="139">
        <v>1.28</v>
      </c>
      <c r="O24" s="139">
        <f t="shared" si="17"/>
        <v>23776.17984</v>
      </c>
      <c r="P24" s="139">
        <f t="shared" si="18"/>
        <v>4.4444</v>
      </c>
      <c r="Q24" s="186">
        <f t="shared" si="19"/>
        <v>82555.3544382</v>
      </c>
      <c r="R24" s="177"/>
      <c r="S24" s="177"/>
    </row>
    <row r="25" spans="1:19">
      <c r="A25" s="85">
        <f>IF(F25&lt;&gt;"",1+MAX($A$2:A24),"")</f>
        <v>13</v>
      </c>
      <c r="B25" s="86"/>
      <c r="C25" s="90"/>
      <c r="D25" s="91" t="s">
        <v>56</v>
      </c>
      <c r="E25" s="69">
        <f>+ROUNDUP(E24/1.5,0)*2*0.668</f>
        <v>15756.784</v>
      </c>
      <c r="F25" s="68">
        <v>0.05</v>
      </c>
      <c r="G25" s="69">
        <f t="shared" si="13"/>
        <v>16544.6232</v>
      </c>
      <c r="H25" s="67" t="s">
        <v>57</v>
      </c>
      <c r="I25" s="150">
        <v>0.01</v>
      </c>
      <c r="J25" s="151">
        <f t="shared" si="14"/>
        <v>165.446232</v>
      </c>
      <c r="K25" s="152">
        <v>87.1425</v>
      </c>
      <c r="L25" s="139">
        <f t="shared" si="15"/>
        <v>0.871425</v>
      </c>
      <c r="M25" s="139">
        <f t="shared" si="16"/>
        <v>14417.39827206</v>
      </c>
      <c r="N25" s="139">
        <v>0.75</v>
      </c>
      <c r="O25" s="139">
        <f t="shared" si="17"/>
        <v>12408.4674</v>
      </c>
      <c r="P25" s="139">
        <f t="shared" si="18"/>
        <v>1.621425</v>
      </c>
      <c r="Q25" s="186">
        <f t="shared" si="19"/>
        <v>26825.86567206</v>
      </c>
      <c r="R25" s="177"/>
      <c r="S25" s="177"/>
    </row>
    <row r="26" spans="1:19">
      <c r="A26" s="85" t="str">
        <f>IF(F26&lt;&gt;"",1+MAX($A$2:A25),"")</f>
        <v/>
      </c>
      <c r="B26" s="86"/>
      <c r="C26" s="90"/>
      <c r="D26" s="60"/>
      <c r="E26" s="69"/>
      <c r="F26" s="68"/>
      <c r="G26" s="69"/>
      <c r="H26" s="67"/>
      <c r="I26" s="150"/>
      <c r="J26" s="151"/>
      <c r="K26" s="152"/>
      <c r="L26" s="139"/>
      <c r="M26" s="139"/>
      <c r="N26" s="139"/>
      <c r="O26" s="139"/>
      <c r="P26" s="139"/>
      <c r="Q26" s="186"/>
      <c r="R26" s="177"/>
      <c r="S26" s="177"/>
    </row>
    <row r="27" ht="18" customHeight="1" spans="1:19">
      <c r="A27" s="85" t="str">
        <f>IF(F27&lt;&gt;"",1+MAX($A$2:A26),"")</f>
        <v/>
      </c>
      <c r="B27" s="86"/>
      <c r="C27" s="65"/>
      <c r="D27" s="87" t="s">
        <v>58</v>
      </c>
      <c r="E27" s="88">
        <v>840</v>
      </c>
      <c r="F27" s="68"/>
      <c r="G27" s="69"/>
      <c r="H27" s="89" t="s">
        <v>48</v>
      </c>
      <c r="I27" s="147"/>
      <c r="J27" s="148"/>
      <c r="K27" s="149"/>
      <c r="L27" s="149"/>
      <c r="M27" s="149"/>
      <c r="N27" s="149"/>
      <c r="O27" s="149"/>
      <c r="P27" s="149"/>
      <c r="Q27" s="185"/>
      <c r="R27" s="177"/>
      <c r="S27" s="177"/>
    </row>
    <row r="28" spans="1:19">
      <c r="A28" s="85">
        <f>IF(F28&lt;&gt;"",1+MAX($A$2:A27),"")</f>
        <v>14</v>
      </c>
      <c r="B28" s="86"/>
      <c r="C28" s="90"/>
      <c r="D28" s="91" t="s">
        <v>59</v>
      </c>
      <c r="E28" s="69">
        <f>+E27-E29*0.5</f>
        <v>501.5</v>
      </c>
      <c r="F28" s="68">
        <v>0.1</v>
      </c>
      <c r="G28" s="69">
        <f t="shared" si="13"/>
        <v>551.65</v>
      </c>
      <c r="H28" s="67" t="s">
        <v>48</v>
      </c>
      <c r="I28" s="150">
        <v>0.032</v>
      </c>
      <c r="J28" s="151">
        <f t="shared" ref="J28:J29" si="20">+I28*G28</f>
        <v>17.6528</v>
      </c>
      <c r="K28" s="152">
        <v>70.308</v>
      </c>
      <c r="L28" s="139">
        <f t="shared" ref="L28:L29" si="21">I28*K28</f>
        <v>2.249856</v>
      </c>
      <c r="M28" s="139">
        <f t="shared" ref="M28:M29" si="22">K28*J28</f>
        <v>1241.1330624</v>
      </c>
      <c r="N28" s="139">
        <v>2.42</v>
      </c>
      <c r="O28" s="139">
        <f t="shared" ref="O28:O29" si="23">N28*G28</f>
        <v>1334.993</v>
      </c>
      <c r="P28" s="139">
        <f t="shared" ref="P28:P29" si="24">(I28*K28)+N28</f>
        <v>4.669856</v>
      </c>
      <c r="Q28" s="186">
        <f t="shared" ref="Q28:Q29" si="25">P28*G28</f>
        <v>2576.1260624</v>
      </c>
      <c r="R28" s="177"/>
      <c r="S28" s="177"/>
    </row>
    <row r="29" ht="31.2" spans="1:19">
      <c r="A29" s="85">
        <f>IF(F29&lt;&gt;"",1+MAX($A$2:A28),"")</f>
        <v>15</v>
      </c>
      <c r="B29" s="86"/>
      <c r="C29" s="90"/>
      <c r="D29" s="92" t="s">
        <v>60</v>
      </c>
      <c r="E29" s="69">
        <v>677</v>
      </c>
      <c r="F29" s="68">
        <v>0.05</v>
      </c>
      <c r="G29" s="69">
        <f t="shared" si="13"/>
        <v>710.85</v>
      </c>
      <c r="H29" s="67" t="s">
        <v>50</v>
      </c>
      <c r="I29" s="150">
        <v>0.06</v>
      </c>
      <c r="J29" s="151">
        <f t="shared" si="20"/>
        <v>42.651</v>
      </c>
      <c r="K29" s="152">
        <v>70.8615</v>
      </c>
      <c r="L29" s="139">
        <f t="shared" si="21"/>
        <v>4.25169</v>
      </c>
      <c r="M29" s="139">
        <f t="shared" si="22"/>
        <v>3022.3138365</v>
      </c>
      <c r="N29" s="139">
        <v>1.845</v>
      </c>
      <c r="O29" s="139">
        <f t="shared" si="23"/>
        <v>1311.51825</v>
      </c>
      <c r="P29" s="139">
        <f t="shared" si="24"/>
        <v>6.09669</v>
      </c>
      <c r="Q29" s="186">
        <f t="shared" si="25"/>
        <v>4333.8320865</v>
      </c>
      <c r="R29" s="177"/>
      <c r="S29" s="177"/>
    </row>
    <row r="30" spans="1:19">
      <c r="A30" s="85" t="str">
        <f>IF(F30&lt;&gt;"",1+MAX($A$2:A29),"")</f>
        <v/>
      </c>
      <c r="B30" s="86"/>
      <c r="C30" s="90"/>
      <c r="D30" s="60"/>
      <c r="E30" s="69"/>
      <c r="F30" s="68"/>
      <c r="G30" s="69"/>
      <c r="H30" s="67"/>
      <c r="I30" s="150"/>
      <c r="J30" s="151"/>
      <c r="K30" s="152"/>
      <c r="L30" s="139"/>
      <c r="M30" s="139"/>
      <c r="N30" s="139"/>
      <c r="O30" s="139"/>
      <c r="P30" s="139"/>
      <c r="Q30" s="186"/>
      <c r="R30" s="177"/>
      <c r="S30" s="177"/>
    </row>
    <row r="31" ht="18" customHeight="1" spans="1:19">
      <c r="A31" s="85" t="str">
        <f>IF(F31&lt;&gt;"",1+MAX($A$2:A30),"")</f>
        <v/>
      </c>
      <c r="B31" s="86"/>
      <c r="C31" s="65"/>
      <c r="D31" s="93" t="s">
        <v>61</v>
      </c>
      <c r="E31" s="94">
        <v>155.17</v>
      </c>
      <c r="F31" s="68"/>
      <c r="G31" s="69"/>
      <c r="H31" s="89" t="s">
        <v>48</v>
      </c>
      <c r="I31" s="147"/>
      <c r="J31" s="148"/>
      <c r="K31" s="149"/>
      <c r="L31" s="149"/>
      <c r="M31" s="149"/>
      <c r="N31" s="149"/>
      <c r="O31" s="149"/>
      <c r="P31" s="149"/>
      <c r="Q31" s="185"/>
      <c r="R31" s="177"/>
      <c r="S31" s="177"/>
    </row>
    <row r="32" spans="1:19">
      <c r="A32" s="85">
        <f>IF(F32&lt;&gt;"",1+MAX($A$2:A31),"")</f>
        <v>16</v>
      </c>
      <c r="B32" s="86"/>
      <c r="C32" s="90"/>
      <c r="D32" s="91" t="s">
        <v>62</v>
      </c>
      <c r="E32" s="69">
        <v>293.2</v>
      </c>
      <c r="F32" s="68">
        <v>0.05</v>
      </c>
      <c r="G32" s="69">
        <f t="shared" si="13"/>
        <v>307.86</v>
      </c>
      <c r="H32" s="67" t="s">
        <v>50</v>
      </c>
      <c r="I32" s="150">
        <v>0.018</v>
      </c>
      <c r="J32" s="151">
        <f t="shared" ref="J32:J33" si="26">+I32*G32</f>
        <v>5.54148</v>
      </c>
      <c r="K32" s="152">
        <v>132.0435</v>
      </c>
      <c r="L32" s="139">
        <f t="shared" ref="L32:L33" si="27">I32*K32</f>
        <v>2.376783</v>
      </c>
      <c r="M32" s="139">
        <f t="shared" ref="M32:M33" si="28">K32*J32</f>
        <v>731.71641438</v>
      </c>
      <c r="N32" s="138">
        <v>0</v>
      </c>
      <c r="O32" s="138">
        <f t="shared" ref="O32:O33" si="29">N32*G32</f>
        <v>0</v>
      </c>
      <c r="P32" s="139">
        <f t="shared" ref="P32:P33" si="30">(I32*K32)+N32</f>
        <v>2.376783</v>
      </c>
      <c r="Q32" s="186">
        <f t="shared" ref="Q32:Q33" si="31">P32*G32</f>
        <v>731.71641438</v>
      </c>
      <c r="R32" s="177"/>
      <c r="S32" s="177"/>
    </row>
    <row r="33" ht="46.8" spans="1:19">
      <c r="A33" s="85">
        <f>IF(F33&lt;&gt;"",1+MAX($A$2:A32),"")</f>
        <v>17</v>
      </c>
      <c r="B33" s="86"/>
      <c r="C33" s="65"/>
      <c r="D33" s="92" t="s">
        <v>63</v>
      </c>
      <c r="E33" s="69">
        <f>+E31</f>
        <v>155.17</v>
      </c>
      <c r="F33" s="68">
        <v>0.1</v>
      </c>
      <c r="G33" s="69">
        <f t="shared" si="13"/>
        <v>170.687</v>
      </c>
      <c r="H33" s="67" t="s">
        <v>48</v>
      </c>
      <c r="I33" s="150">
        <v>0.056</v>
      </c>
      <c r="J33" s="151">
        <f t="shared" si="26"/>
        <v>9.558472</v>
      </c>
      <c r="K33" s="152">
        <v>70.308</v>
      </c>
      <c r="L33" s="139">
        <f t="shared" si="27"/>
        <v>3.937248</v>
      </c>
      <c r="M33" s="139">
        <f t="shared" si="28"/>
        <v>672.037049376</v>
      </c>
      <c r="N33" s="139">
        <v>1.7</v>
      </c>
      <c r="O33" s="139">
        <f t="shared" si="29"/>
        <v>290.1679</v>
      </c>
      <c r="P33" s="139">
        <f t="shared" si="30"/>
        <v>5.637248</v>
      </c>
      <c r="Q33" s="186">
        <f t="shared" si="31"/>
        <v>962.204949376</v>
      </c>
      <c r="R33" s="177"/>
      <c r="S33" s="177"/>
    </row>
    <row r="34" spans="1:19">
      <c r="A34" s="85" t="str">
        <f>IF(F34&lt;&gt;"",1+MAX($A$2:A33),"")</f>
        <v/>
      </c>
      <c r="B34" s="86"/>
      <c r="C34" s="90"/>
      <c r="D34" s="60"/>
      <c r="E34" s="69"/>
      <c r="F34" s="68"/>
      <c r="G34" s="69"/>
      <c r="H34" s="67"/>
      <c r="I34" s="150"/>
      <c r="J34" s="151"/>
      <c r="K34" s="152"/>
      <c r="L34" s="139"/>
      <c r="M34" s="139"/>
      <c r="N34" s="139"/>
      <c r="O34" s="139"/>
      <c r="P34" s="139"/>
      <c r="Q34" s="186"/>
      <c r="R34" s="177"/>
      <c r="S34" s="177"/>
    </row>
    <row r="35" ht="62.4" spans="1:19">
      <c r="A35" s="85" t="str">
        <f>IF(F35&lt;&gt;"",1+MAX($A$2:A34),"")</f>
        <v/>
      </c>
      <c r="B35" s="86"/>
      <c r="C35" s="90"/>
      <c r="D35" s="95" t="s">
        <v>64</v>
      </c>
      <c r="E35" s="69"/>
      <c r="F35" s="68"/>
      <c r="G35" s="69"/>
      <c r="H35" s="67"/>
      <c r="I35" s="150"/>
      <c r="J35" s="151"/>
      <c r="K35" s="152"/>
      <c r="L35" s="139"/>
      <c r="M35" s="139"/>
      <c r="N35" s="139"/>
      <c r="O35" s="139"/>
      <c r="P35" s="139"/>
      <c r="Q35" s="186"/>
      <c r="R35" s="177"/>
      <c r="S35" s="177"/>
    </row>
    <row r="36" ht="18" customHeight="1" spans="1:19">
      <c r="A36" s="85" t="str">
        <f>IF(F36&lt;&gt;"",1+MAX($A$2:A35),"")</f>
        <v/>
      </c>
      <c r="B36" s="86"/>
      <c r="C36" s="65"/>
      <c r="D36" s="60"/>
      <c r="E36" s="69"/>
      <c r="F36" s="68"/>
      <c r="G36" s="69"/>
      <c r="H36" s="67"/>
      <c r="I36" s="150"/>
      <c r="J36" s="151"/>
      <c r="K36" s="152"/>
      <c r="L36" s="139"/>
      <c r="M36" s="139"/>
      <c r="N36" s="139"/>
      <c r="O36" s="139"/>
      <c r="P36" s="139"/>
      <c r="Q36" s="186"/>
      <c r="R36" s="177"/>
      <c r="S36" s="177"/>
    </row>
    <row r="37" spans="1:19">
      <c r="A37" s="85" t="str">
        <f>IF(F37&lt;&gt;"",1+MAX($A$2:A36),"")</f>
        <v/>
      </c>
      <c r="B37" s="86"/>
      <c r="C37" s="90"/>
      <c r="D37" s="96" t="s">
        <v>65</v>
      </c>
      <c r="E37" s="88">
        <v>40</v>
      </c>
      <c r="F37" s="97"/>
      <c r="G37" s="88">
        <f t="shared" si="13"/>
        <v>40</v>
      </c>
      <c r="H37" s="98" t="s">
        <v>66</v>
      </c>
      <c r="I37" s="147"/>
      <c r="J37" s="148"/>
      <c r="K37" s="149"/>
      <c r="L37" s="149"/>
      <c r="M37" s="149"/>
      <c r="N37" s="149"/>
      <c r="O37" s="149"/>
      <c r="P37" s="149"/>
      <c r="Q37" s="185"/>
      <c r="R37" s="177"/>
      <c r="S37" s="177"/>
    </row>
    <row r="38" ht="62.4" spans="1:19">
      <c r="A38" s="85">
        <f>IF(F38&lt;&gt;"",1+MAX($A$2:A37),"")</f>
        <v>18</v>
      </c>
      <c r="B38" s="86"/>
      <c r="C38" s="65"/>
      <c r="D38" s="92" t="s">
        <v>67</v>
      </c>
      <c r="E38" s="69">
        <f>+E37</f>
        <v>40</v>
      </c>
      <c r="F38" s="68">
        <v>0</v>
      </c>
      <c r="G38" s="69">
        <f t="shared" si="13"/>
        <v>40</v>
      </c>
      <c r="H38" s="67" t="s">
        <v>66</v>
      </c>
      <c r="I38" s="150">
        <v>0.875</v>
      </c>
      <c r="J38" s="151">
        <f>+I38*G38</f>
        <v>35</v>
      </c>
      <c r="K38" s="152">
        <v>70.308</v>
      </c>
      <c r="L38" s="139">
        <f>I38*K38</f>
        <v>61.5195</v>
      </c>
      <c r="M38" s="139">
        <f>K38*J38</f>
        <v>2460.78</v>
      </c>
      <c r="N38" s="139">
        <v>28.5</v>
      </c>
      <c r="O38" s="139">
        <f>N38*G38</f>
        <v>1140</v>
      </c>
      <c r="P38" s="139">
        <f>(I38*K38)+N38</f>
        <v>90.0195</v>
      </c>
      <c r="Q38" s="186">
        <f>P38*G38</f>
        <v>3600.78</v>
      </c>
      <c r="R38" s="177"/>
      <c r="S38" s="177"/>
    </row>
    <row r="39" spans="1:19">
      <c r="A39" s="85"/>
      <c r="B39" s="86"/>
      <c r="C39" s="65"/>
      <c r="D39" s="99"/>
      <c r="E39" s="69"/>
      <c r="F39" s="68"/>
      <c r="G39" s="69"/>
      <c r="H39" s="67"/>
      <c r="I39" s="150"/>
      <c r="J39" s="151"/>
      <c r="K39" s="152"/>
      <c r="L39" s="139"/>
      <c r="M39" s="139"/>
      <c r="N39" s="139"/>
      <c r="O39" s="139"/>
      <c r="P39" s="139"/>
      <c r="Q39" s="186"/>
      <c r="R39" s="177"/>
      <c r="S39" s="177"/>
    </row>
    <row r="40" spans="1:19">
      <c r="A40" s="85">
        <f>IF(F40&lt;&gt;"",1+MAX($A$2:A38),"")</f>
        <v>19</v>
      </c>
      <c r="B40" s="86"/>
      <c r="C40" s="90"/>
      <c r="D40" s="96" t="s">
        <v>68</v>
      </c>
      <c r="E40" s="69">
        <f>241150-E19-E27</f>
        <v>216400.51</v>
      </c>
      <c r="F40" s="68">
        <v>0.1</v>
      </c>
      <c r="G40" s="69">
        <f>(F40*E40)+E40</f>
        <v>238040.561</v>
      </c>
      <c r="H40" s="67" t="s">
        <v>48</v>
      </c>
      <c r="I40" s="150">
        <v>0.009</v>
      </c>
      <c r="J40" s="151">
        <f>+I40*G40</f>
        <v>2142.365049</v>
      </c>
      <c r="K40" s="152">
        <v>70.308</v>
      </c>
      <c r="L40" s="139">
        <f>I40*K40</f>
        <v>0.632772</v>
      </c>
      <c r="M40" s="139">
        <f>K40*J40</f>
        <v>150625.401865092</v>
      </c>
      <c r="N40" s="139">
        <v>0.38</v>
      </c>
      <c r="O40" s="139">
        <f>N40*G40</f>
        <v>90455.41318</v>
      </c>
      <c r="P40" s="139">
        <f>(I40*K40)+N40</f>
        <v>1.012772</v>
      </c>
      <c r="Q40" s="186">
        <f>P40*G40</f>
        <v>241080.815045092</v>
      </c>
      <c r="R40" s="177"/>
      <c r="S40" s="177"/>
    </row>
    <row r="41" ht="16.35" spans="1:19">
      <c r="A41" s="85" t="str">
        <f>IF(F41&lt;&gt;"",1+MAX($A$2:A40),"")</f>
        <v/>
      </c>
      <c r="B41" s="86"/>
      <c r="C41" s="90"/>
      <c r="D41" s="100"/>
      <c r="E41" s="73"/>
      <c r="F41" s="72"/>
      <c r="G41" s="73"/>
      <c r="H41" s="71"/>
      <c r="I41" s="153"/>
      <c r="J41" s="154"/>
      <c r="K41" s="154"/>
      <c r="L41" s="155"/>
      <c r="M41" s="155"/>
      <c r="N41" s="155"/>
      <c r="O41" s="155"/>
      <c r="P41" s="155"/>
      <c r="Q41" s="187"/>
      <c r="R41" s="177"/>
      <c r="S41" s="177"/>
    </row>
    <row r="42" s="31" customFormat="1" ht="16.35" spans="1:18">
      <c r="A42" s="74" t="str">
        <f>IF(F42&lt;&gt;"",1+MAX($A$2:A41),"")</f>
        <v/>
      </c>
      <c r="B42" s="81"/>
      <c r="C42" s="76"/>
      <c r="D42" s="77" t="s">
        <v>44</v>
      </c>
      <c r="E42" s="78"/>
      <c r="F42" s="78"/>
      <c r="G42" s="78"/>
      <c r="H42" s="78"/>
      <c r="I42" s="78"/>
      <c r="J42" s="156"/>
      <c r="K42" s="156"/>
      <c r="L42" s="157"/>
      <c r="M42" s="158"/>
      <c r="N42" s="157"/>
      <c r="O42" s="144"/>
      <c r="P42" s="144"/>
      <c r="Q42" s="179">
        <f>SUM(Q20:Q40)</f>
        <v>763625.25556255</v>
      </c>
      <c r="R42" s="180"/>
    </row>
    <row r="43" s="34" customFormat="1" ht="46.8" spans="1:19">
      <c r="A43" s="101"/>
      <c r="B43" s="101"/>
      <c r="C43" s="101"/>
      <c r="D43" s="101"/>
      <c r="E43" s="101"/>
      <c r="F43" s="101"/>
      <c r="G43" s="101"/>
      <c r="H43" s="102" t="s">
        <v>69</v>
      </c>
      <c r="I43" s="159"/>
      <c r="J43" s="160">
        <f>SUM(J17:J42)</f>
        <v>7193.2349962</v>
      </c>
      <c r="K43" s="161" t="s">
        <v>30</v>
      </c>
      <c r="L43" s="162"/>
      <c r="M43" s="163">
        <f>SUM(M17:M42)</f>
        <v>536707.35467255</v>
      </c>
      <c r="N43" s="164" t="s">
        <v>32</v>
      </c>
      <c r="O43" s="165">
        <f>SUM(O17:O42)</f>
        <v>226917.90089</v>
      </c>
      <c r="P43" s="101"/>
      <c r="Q43" s="188"/>
      <c r="S43" s="189"/>
    </row>
    <row r="44" s="34" customFormat="1" spans="1:17">
      <c r="A44" s="103"/>
      <c r="B44" s="104"/>
      <c r="C44" s="105"/>
      <c r="D44" s="106" t="s">
        <v>70</v>
      </c>
      <c r="E44" s="107"/>
      <c r="F44" s="107"/>
      <c r="G44" s="108"/>
      <c r="H44" s="107"/>
      <c r="I44" s="107"/>
      <c r="J44" s="107"/>
      <c r="K44" s="107"/>
      <c r="L44" s="166"/>
      <c r="M44" s="166"/>
      <c r="N44" s="166"/>
      <c r="O44" s="166"/>
      <c r="P44" s="166"/>
      <c r="Q44" s="190">
        <f>SUM(Q8:Q42)/2</f>
        <v>821625.25556255</v>
      </c>
    </row>
    <row r="45" s="34" customFormat="1" spans="1:36">
      <c r="A45" s="103"/>
      <c r="B45" s="104"/>
      <c r="C45" s="109"/>
      <c r="D45" s="110" t="s">
        <v>71</v>
      </c>
      <c r="E45" s="111"/>
      <c r="F45" s="105"/>
      <c r="G45" s="111"/>
      <c r="H45" s="105"/>
      <c r="I45" s="105"/>
      <c r="J45" s="105"/>
      <c r="K45" s="105"/>
      <c r="L45" s="167">
        <v>0.05</v>
      </c>
      <c r="M45" s="167"/>
      <c r="N45" s="167"/>
      <c r="O45" s="167"/>
      <c r="P45" s="167"/>
      <c r="Q45" s="190">
        <f>Q44*L45</f>
        <v>41081.2627781275</v>
      </c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</row>
    <row r="46" s="34" customFormat="1" spans="1:36">
      <c r="A46" s="112"/>
      <c r="B46" s="113"/>
      <c r="C46" s="114"/>
      <c r="D46" s="115" t="s">
        <v>8</v>
      </c>
      <c r="E46" s="116"/>
      <c r="F46" s="117"/>
      <c r="G46" s="116"/>
      <c r="H46" s="117"/>
      <c r="I46" s="117"/>
      <c r="J46" s="117"/>
      <c r="K46" s="117"/>
      <c r="L46" s="168">
        <v>0.2</v>
      </c>
      <c r="M46" s="168"/>
      <c r="N46" s="168"/>
      <c r="O46" s="168"/>
      <c r="P46" s="168"/>
      <c r="Q46" s="192">
        <f>Q44*L46</f>
        <v>164325.05111251</v>
      </c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</row>
    <row r="47" s="34" customFormat="1" spans="1:36">
      <c r="A47" s="118"/>
      <c r="B47" s="119"/>
      <c r="C47" s="120"/>
      <c r="D47" s="121" t="s">
        <v>9</v>
      </c>
      <c r="E47" s="122"/>
      <c r="F47" s="123"/>
      <c r="G47" s="122"/>
      <c r="H47" s="123"/>
      <c r="I47" s="123"/>
      <c r="J47" s="123"/>
      <c r="K47" s="123"/>
      <c r="L47" s="169">
        <v>0.0663</v>
      </c>
      <c r="M47" s="169"/>
      <c r="N47" s="169"/>
      <c r="O47" s="169"/>
      <c r="P47" s="169"/>
      <c r="Q47" s="193">
        <f>O43*L47</f>
        <v>15044.656829007</v>
      </c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</row>
    <row r="48" s="34" customFormat="1" spans="1:36">
      <c r="A48" s="118"/>
      <c r="B48" s="119"/>
      <c r="C48" s="120"/>
      <c r="D48" s="121" t="s">
        <v>10</v>
      </c>
      <c r="E48" s="122"/>
      <c r="F48" s="123"/>
      <c r="G48" s="122"/>
      <c r="H48" s="123"/>
      <c r="I48" s="123"/>
      <c r="J48" s="123"/>
      <c r="K48" s="123"/>
      <c r="L48" s="170">
        <v>0.015</v>
      </c>
      <c r="M48" s="170"/>
      <c r="N48" s="170"/>
      <c r="O48" s="170"/>
      <c r="P48" s="170"/>
      <c r="Q48" s="193">
        <f>Q44*L48</f>
        <v>12324.3788334382</v>
      </c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</row>
    <row r="49" s="34" customFormat="1" ht="16.35" spans="1:17">
      <c r="A49" s="124"/>
      <c r="B49" s="125"/>
      <c r="C49" s="126"/>
      <c r="D49" s="127" t="s">
        <v>11</v>
      </c>
      <c r="E49" s="128"/>
      <c r="F49" s="128"/>
      <c r="G49" s="129"/>
      <c r="H49" s="128"/>
      <c r="I49" s="128"/>
      <c r="J49" s="128"/>
      <c r="K49" s="128"/>
      <c r="L49" s="171"/>
      <c r="M49" s="171"/>
      <c r="N49" s="171"/>
      <c r="O49" s="171"/>
      <c r="P49" s="171"/>
      <c r="Q49" s="194">
        <f>SUM(Q44:Q48)</f>
        <v>1054400.60511563</v>
      </c>
    </row>
  </sheetData>
  <mergeCells count="6">
    <mergeCell ref="A2:Q2"/>
    <mergeCell ref="B3:C3"/>
    <mergeCell ref="B4:C4"/>
    <mergeCell ref="B5:C5"/>
    <mergeCell ref="H43:I43"/>
    <mergeCell ref="K43:L43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52"/>
  <sheetViews>
    <sheetView topLeftCell="A33" workbookViewId="0">
      <selection activeCell="E45" sqref="E45"/>
    </sheetView>
  </sheetViews>
  <sheetFormatPr defaultColWidth="9.10833333333333" defaultRowHeight="14.4" outlineLevelCol="7"/>
  <cols>
    <col min="1" max="1" width="26.8833333333333" style="1" customWidth="1"/>
    <col min="2" max="2" width="19.6666666666667" style="2" customWidth="1"/>
    <col min="3" max="3" width="20.5583333333333" style="2" customWidth="1"/>
    <col min="4" max="16384" width="9.10833333333333" style="2"/>
  </cols>
  <sheetData>
    <row r="1" ht="16.35" spans="1:3">
      <c r="A1" s="3"/>
      <c r="B1" s="4" t="s">
        <v>72</v>
      </c>
      <c r="C1" s="5" t="s">
        <v>73</v>
      </c>
    </row>
    <row r="2" ht="15.6" spans="1:3">
      <c r="A2" s="6"/>
      <c r="B2" s="7"/>
      <c r="C2" s="8"/>
    </row>
    <row r="3" ht="15.6" spans="1:3">
      <c r="A3" s="9" t="s">
        <v>74</v>
      </c>
      <c r="B3" s="10" t="s">
        <v>75</v>
      </c>
      <c r="C3" s="11">
        <v>60</v>
      </c>
    </row>
    <row r="4" ht="15.6" spans="1:3">
      <c r="A4" s="9" t="s">
        <v>76</v>
      </c>
      <c r="B4" s="10" t="s">
        <v>77</v>
      </c>
      <c r="C4" s="11">
        <v>70</v>
      </c>
    </row>
    <row r="5" ht="15.6" spans="1:3">
      <c r="A5" s="9" t="s">
        <v>78</v>
      </c>
      <c r="B5" s="10" t="s">
        <v>79</v>
      </c>
      <c r="C5" s="11">
        <v>70</v>
      </c>
    </row>
    <row r="6" ht="15.6" spans="1:3">
      <c r="A6" s="9" t="s">
        <v>80</v>
      </c>
      <c r="B6" s="10" t="s">
        <v>81</v>
      </c>
      <c r="C6" s="11">
        <v>70</v>
      </c>
    </row>
    <row r="7" ht="15.6" spans="1:3">
      <c r="A7" s="9" t="s">
        <v>82</v>
      </c>
      <c r="B7" s="10" t="s">
        <v>83</v>
      </c>
      <c r="C7" s="11">
        <v>60</v>
      </c>
    </row>
    <row r="8" ht="15.6" spans="1:3">
      <c r="A8" s="9" t="s">
        <v>84</v>
      </c>
      <c r="B8" s="10" t="s">
        <v>84</v>
      </c>
      <c r="C8" s="11">
        <v>60</v>
      </c>
    </row>
    <row r="9" ht="15.6" spans="1:3">
      <c r="A9" s="9" t="s">
        <v>85</v>
      </c>
      <c r="B9" s="10" t="s">
        <v>85</v>
      </c>
      <c r="C9" s="11">
        <v>55</v>
      </c>
    </row>
    <row r="10" ht="15.6" spans="1:3">
      <c r="A10" s="9" t="s">
        <v>86</v>
      </c>
      <c r="B10" s="10" t="s">
        <v>87</v>
      </c>
      <c r="C10" s="11">
        <v>50</v>
      </c>
    </row>
    <row r="11" ht="15.6" spans="1:3">
      <c r="A11" s="9" t="s">
        <v>88</v>
      </c>
      <c r="B11" s="10" t="s">
        <v>89</v>
      </c>
      <c r="C11" s="11">
        <v>60</v>
      </c>
    </row>
    <row r="12" ht="15.6" spans="1:3">
      <c r="A12" s="9" t="s">
        <v>90</v>
      </c>
      <c r="B12" s="10" t="s">
        <v>91</v>
      </c>
      <c r="C12" s="11">
        <v>70</v>
      </c>
    </row>
    <row r="13" ht="15.6" spans="1:3">
      <c r="A13" s="9" t="s">
        <v>5</v>
      </c>
      <c r="B13" s="10" t="s">
        <v>92</v>
      </c>
      <c r="C13" s="11">
        <v>70</v>
      </c>
    </row>
    <row r="14" ht="15.6" spans="1:3">
      <c r="A14" s="9" t="s">
        <v>93</v>
      </c>
      <c r="B14" s="10" t="s">
        <v>94</v>
      </c>
      <c r="C14" s="11">
        <v>70</v>
      </c>
    </row>
    <row r="15" ht="15.6" spans="1:3">
      <c r="A15" s="9" t="s">
        <v>95</v>
      </c>
      <c r="B15" s="10" t="s">
        <v>96</v>
      </c>
      <c r="C15" s="11">
        <v>70</v>
      </c>
    </row>
    <row r="16" ht="15.6" spans="1:3">
      <c r="A16" s="9" t="s">
        <v>97</v>
      </c>
      <c r="B16" s="10" t="s">
        <v>98</v>
      </c>
      <c r="C16" s="11">
        <v>85</v>
      </c>
    </row>
    <row r="17" ht="15.6" spans="1:3">
      <c r="A17" s="9" t="s">
        <v>99</v>
      </c>
      <c r="B17" s="10" t="s">
        <v>100</v>
      </c>
      <c r="C17" s="11">
        <v>65</v>
      </c>
    </row>
    <row r="18" ht="15.6" spans="1:3">
      <c r="A18" s="9" t="s">
        <v>101</v>
      </c>
      <c r="B18" s="10" t="s">
        <v>101</v>
      </c>
      <c r="C18" s="12">
        <v>45</v>
      </c>
    </row>
    <row r="19" ht="16.35" spans="1:3">
      <c r="A19" s="13"/>
      <c r="B19" s="14"/>
      <c r="C19" s="15"/>
    </row>
    <row r="20" ht="15.15" spans="1:3">
      <c r="A20" s="3"/>
      <c r="B20" s="3"/>
      <c r="C20" s="3"/>
    </row>
    <row r="21" ht="15.15" spans="1:3">
      <c r="A21" s="16" t="s">
        <v>102</v>
      </c>
      <c r="B21" s="17">
        <v>0</v>
      </c>
      <c r="C21" s="3"/>
    </row>
    <row r="22" ht="15.15" spans="1:3">
      <c r="A22" s="3"/>
      <c r="B22" s="3"/>
      <c r="C22" s="3"/>
    </row>
    <row r="23" ht="16.35" spans="1:3">
      <c r="A23" s="3"/>
      <c r="B23" s="18" t="s">
        <v>23</v>
      </c>
      <c r="C23" s="19"/>
    </row>
    <row r="24" ht="15.6" spans="1:3">
      <c r="A24" s="20" t="s">
        <v>103</v>
      </c>
      <c r="B24" s="21" t="s">
        <v>66</v>
      </c>
      <c r="C24" s="22">
        <v>0</v>
      </c>
    </row>
    <row r="25" ht="15.6" spans="1:3">
      <c r="A25" s="23" t="s">
        <v>104</v>
      </c>
      <c r="B25" s="24" t="s">
        <v>50</v>
      </c>
      <c r="C25" s="25">
        <v>0.05</v>
      </c>
    </row>
    <row r="26" ht="15.6" spans="1:3">
      <c r="A26" s="23" t="s">
        <v>105</v>
      </c>
      <c r="B26" s="24" t="s">
        <v>48</v>
      </c>
      <c r="C26" s="25">
        <v>0.1</v>
      </c>
    </row>
    <row r="27" ht="15.6" spans="1:3">
      <c r="A27" s="23" t="s">
        <v>106</v>
      </c>
      <c r="B27" s="24" t="s">
        <v>107</v>
      </c>
      <c r="C27" s="25">
        <v>0.1</v>
      </c>
    </row>
    <row r="28" ht="15.6" spans="1:3">
      <c r="A28" s="23" t="s">
        <v>108</v>
      </c>
      <c r="B28" s="24" t="s">
        <v>53</v>
      </c>
      <c r="C28" s="25">
        <v>0.1</v>
      </c>
    </row>
    <row r="29" ht="15.6" spans="1:3">
      <c r="A29" s="23" t="s">
        <v>109</v>
      </c>
      <c r="B29" s="24" t="s">
        <v>37</v>
      </c>
      <c r="C29" s="25">
        <v>0</v>
      </c>
    </row>
    <row r="30" ht="15.6" spans="1:3">
      <c r="A30" s="23" t="s">
        <v>110</v>
      </c>
      <c r="B30" s="24" t="s">
        <v>111</v>
      </c>
      <c r="C30" s="25">
        <v>0</v>
      </c>
    </row>
    <row r="31" ht="15.6" spans="1:3">
      <c r="A31" s="23" t="s">
        <v>112</v>
      </c>
      <c r="B31" s="24" t="s">
        <v>113</v>
      </c>
      <c r="C31" s="25">
        <v>0</v>
      </c>
    </row>
    <row r="32" ht="15.6" spans="1:3">
      <c r="A32" s="23" t="s">
        <v>114</v>
      </c>
      <c r="B32" s="24" t="s">
        <v>115</v>
      </c>
      <c r="C32" s="25">
        <v>0</v>
      </c>
    </row>
    <row r="33" ht="15.6" spans="1:3">
      <c r="A33" s="23" t="s">
        <v>116</v>
      </c>
      <c r="B33" s="24" t="s">
        <v>117</v>
      </c>
      <c r="C33" s="25">
        <v>0</v>
      </c>
    </row>
    <row r="34" ht="15.6" spans="1:3">
      <c r="A34" s="23" t="s">
        <v>118</v>
      </c>
      <c r="B34" s="24" t="s">
        <v>119</v>
      </c>
      <c r="C34" s="25">
        <v>0.1</v>
      </c>
    </row>
    <row r="35" ht="15.6" spans="1:3">
      <c r="A35" s="23" t="s">
        <v>120</v>
      </c>
      <c r="B35" s="24" t="s">
        <v>57</v>
      </c>
      <c r="C35" s="25">
        <v>0.1</v>
      </c>
    </row>
    <row r="36" ht="15.6" spans="1:3">
      <c r="A36" s="23" t="s">
        <v>121</v>
      </c>
      <c r="B36" s="24" t="s">
        <v>122</v>
      </c>
      <c r="C36" s="25">
        <v>0</v>
      </c>
    </row>
    <row r="37" ht="15.6" spans="1:3">
      <c r="A37" s="23" t="s">
        <v>123</v>
      </c>
      <c r="B37" s="24" t="s">
        <v>124</v>
      </c>
      <c r="C37" s="25">
        <v>0</v>
      </c>
    </row>
    <row r="38" ht="15.6" spans="1:3">
      <c r="A38" s="23" t="s">
        <v>125</v>
      </c>
      <c r="B38" s="24" t="s">
        <v>125</v>
      </c>
      <c r="C38" s="25">
        <v>0.1</v>
      </c>
    </row>
    <row r="39" ht="15.6" spans="1:3">
      <c r="A39" s="23" t="s">
        <v>126</v>
      </c>
      <c r="B39" s="24" t="s">
        <v>127</v>
      </c>
      <c r="C39" s="25">
        <v>0</v>
      </c>
    </row>
    <row r="40" ht="15.6" spans="1:3">
      <c r="A40" s="23" t="s">
        <v>128</v>
      </c>
      <c r="B40" s="24" t="s">
        <v>129</v>
      </c>
      <c r="C40" s="25">
        <v>0</v>
      </c>
    </row>
    <row r="41" ht="15.6" spans="1:3">
      <c r="A41" s="23" t="s">
        <v>130</v>
      </c>
      <c r="B41" s="24" t="s">
        <v>131</v>
      </c>
      <c r="C41" s="25">
        <v>0</v>
      </c>
    </row>
    <row r="42" ht="15.6" spans="1:3">
      <c r="A42" s="23" t="s">
        <v>121</v>
      </c>
      <c r="B42" s="24" t="s">
        <v>132</v>
      </c>
      <c r="C42" s="25">
        <v>0</v>
      </c>
    </row>
    <row r="43" ht="15.6" spans="1:3">
      <c r="A43" s="23" t="s">
        <v>133</v>
      </c>
      <c r="B43" s="24" t="s">
        <v>134</v>
      </c>
      <c r="C43" s="25">
        <v>0</v>
      </c>
    </row>
    <row r="44" ht="15.6" spans="1:3">
      <c r="A44" s="23" t="s">
        <v>135</v>
      </c>
      <c r="B44" s="24" t="s">
        <v>136</v>
      </c>
      <c r="C44" s="25">
        <v>0</v>
      </c>
    </row>
    <row r="45" ht="15.6" spans="1:3">
      <c r="A45" s="23" t="s">
        <v>137</v>
      </c>
      <c r="B45" s="24" t="s">
        <v>138</v>
      </c>
      <c r="C45" s="25">
        <v>0.1</v>
      </c>
    </row>
    <row r="46" ht="16.35" spans="1:3">
      <c r="A46" s="26" t="s">
        <v>139</v>
      </c>
      <c r="B46" s="27" t="s">
        <v>139</v>
      </c>
      <c r="C46" s="28">
        <v>0</v>
      </c>
    </row>
    <row r="49" spans="1:8">
      <c r="A49" s="29" t="s">
        <v>140</v>
      </c>
      <c r="B49" s="30"/>
      <c r="C49" s="30"/>
      <c r="D49" s="30"/>
      <c r="E49" s="30"/>
      <c r="F49" s="30"/>
      <c r="G49" s="30"/>
      <c r="H49" s="30"/>
    </row>
    <row r="50" spans="1:8">
      <c r="A50" s="30" t="s">
        <v>141</v>
      </c>
      <c r="B50" s="30"/>
      <c r="C50" s="30"/>
      <c r="D50" s="30"/>
      <c r="E50" s="30"/>
      <c r="F50" s="30"/>
      <c r="G50" s="30"/>
      <c r="H50" s="30"/>
    </row>
    <row r="51" spans="1:8">
      <c r="A51" s="30" t="s">
        <v>142</v>
      </c>
      <c r="B51" s="30"/>
      <c r="C51" s="30"/>
      <c r="D51" s="30"/>
      <c r="E51" s="30"/>
      <c r="F51" s="30"/>
      <c r="G51" s="30"/>
      <c r="H51" s="30"/>
    </row>
    <row r="52" spans="1:8">
      <c r="A52" s="30" t="s">
        <v>143</v>
      </c>
      <c r="B52" s="30"/>
      <c r="C52" s="30"/>
      <c r="D52" s="30"/>
      <c r="E52" s="30"/>
      <c r="F52" s="30"/>
      <c r="G52" s="30"/>
      <c r="H52" s="30"/>
    </row>
  </sheetData>
  <mergeCells count="1">
    <mergeCell ref="B23:C2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0B2BD-4A39-44CC-AC5E-7B6D7C01B7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 Summary</vt:lpstr>
      <vt:lpstr>Takeoff Breakdown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Huzaifa Malik</cp:lastModifiedBy>
  <dcterms:created xsi:type="dcterms:W3CDTF">2016-03-30T11:57:00Z</dcterms:created>
  <cp:lastPrinted>2023-01-11T20:23:00Z</cp:lastPrinted>
  <dcterms:modified xsi:type="dcterms:W3CDTF">2025-10-27T20:07:29Z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{4EC0B2BD-4A39-44CC-AC5E-7B6D7C01B7CC}</vt:lpwstr>
  </property>
  <property fmtid="{D5CDD505-2E9C-101B-9397-08002B2CF9AE}" pid="6" name="ICV">
    <vt:lpwstr>EC1FCEACD50048F7BE22E171269F4281_12</vt:lpwstr>
  </property>
  <property fmtid="{D5CDD505-2E9C-101B-9397-08002B2CF9AE}" pid="7" name="KSOProductBuildVer">
    <vt:lpwstr>1033-12.2.0.23131</vt:lpwstr>
  </property>
</Properties>
</file>