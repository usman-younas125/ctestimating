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28" windowHeight="9000" activeTab="1"/>
  </bookViews>
  <sheets>
    <sheet name="SITE" sheetId="8" r:id="rId1"/>
    <sheet name="BUILDING 01" sheetId="7" r:id="rId2"/>
    <sheet name="MIXING BUILDING" sheetId="1" r:id="rId3"/>
    <sheet name="LABOR SHEET" sheetId="6" r:id="rId4"/>
  </sheets>
  <definedNames>
    <definedName name="_xlnm._FilterDatabase" localSheetId="2" hidden="1">'MIXING BUILDING'!$A$17:$AJ$269</definedName>
    <definedName name="_xlnm.Print_Area" localSheetId="2">'MIXING BUILDING'!$A$2:$Q$269</definedName>
    <definedName name="_xlnm.Print_Titles" localSheetId="2">'MIXING BUILDING'!$1:$6</definedName>
    <definedName name="_xlnm._FilterDatabase" localSheetId="1" hidden="1">'BUILDING 01'!$A$17:$AJ$797</definedName>
    <definedName name="_xlnm.Print_Area" localSheetId="1">'BUILDING 01'!$A$2:$Q$797</definedName>
    <definedName name="_xlnm.Print_Titles" localSheetId="1">'BUILDING 01'!$1:$6</definedName>
    <definedName name="_xlnm._FilterDatabase" hidden="1">SITE!$A$32:$AJ$177</definedName>
    <definedName name="_xlnm.Print_Area">SITE!$A$2:$Q$177</definedName>
    <definedName name="_xlnm.Print_Titles">SITE!$1:$6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<sst xmlns="http://schemas.openxmlformats.org/spreadsheetml/2006/main" count="2640" uniqueCount="1090">
  <si>
    <t>DETAILED BREAKDOWN OF ITEMS</t>
  </si>
  <si>
    <t>PROJECT NAME</t>
  </si>
  <si>
    <t>THE GOODYEAR TIRE &amp; RUBBER COMPANY</t>
  </si>
  <si>
    <t>ADDRESS</t>
  </si>
  <si>
    <t>NAPANEE, ONTARIOM CANADA</t>
  </si>
  <si>
    <t>S#</t>
  </si>
  <si>
    <t>CSI NO</t>
  </si>
  <si>
    <t>Tag</t>
  </si>
  <si>
    <t>DESCRIPTION</t>
  </si>
  <si>
    <t>QTY.</t>
  </si>
  <si>
    <t>Wastage</t>
  </si>
  <si>
    <t>Qty w/ Waste</t>
  </si>
  <si>
    <t>UNIT</t>
  </si>
  <si>
    <t>UNIT LABOR HOUR</t>
  </si>
  <si>
    <t>TOTAL LABOR HOUR</t>
  </si>
  <si>
    <t>LABOR WAGE/ HOUR</t>
  </si>
  <si>
    <t>UNIT LABOR COST</t>
  </si>
  <si>
    <t>TOTAL LABOR COST</t>
  </si>
  <si>
    <t>UNIT MATERIAL  COST</t>
  </si>
  <si>
    <t>TOTAL MATERIAL COST</t>
  </si>
  <si>
    <t>UNIT PRICE (Labor &amp; Material)</t>
  </si>
  <si>
    <t>TRADE TOTAL</t>
  </si>
  <si>
    <t>DIVISION 01-GENERAL REQUIREMENTS</t>
  </si>
  <si>
    <t>Permits</t>
  </si>
  <si>
    <t>LS</t>
  </si>
  <si>
    <t>Supervision and Coordination</t>
  </si>
  <si>
    <t>Submittals and Shop drawings</t>
  </si>
  <si>
    <t>Final Cleaning</t>
  </si>
  <si>
    <t>Mobilization Costs</t>
  </si>
  <si>
    <t>Temporary Control &amp; Facilities</t>
  </si>
  <si>
    <t>Scaffolding</t>
  </si>
  <si>
    <t>SUBTOTAL</t>
  </si>
  <si>
    <t>DIVISION 02-DEMOLITION</t>
  </si>
  <si>
    <t>ELECTRICAL DEMOLITION</t>
  </si>
  <si>
    <t>Remove Existing Conduit (25'-0" )</t>
  </si>
  <si>
    <t>EA</t>
  </si>
  <si>
    <t>Remove Existing 4/0 Bare Cu. Ground Loop</t>
  </si>
  <si>
    <t>LF</t>
  </si>
  <si>
    <t>DIVISION 26-ELECTRICAL</t>
  </si>
  <si>
    <t>LIGHTING FIXTURE</t>
  </si>
  <si>
    <t>K10</t>
  </si>
  <si>
    <t>K10 - 4' LINEAR VAPOUR TIGHT STRIP
Manufacturer: EE LIGHTING
Model: VTB2
Catalogue: VTB2-4-557D</t>
  </si>
  <si>
    <t>K10 EM</t>
  </si>
  <si>
    <t>K10 EM- 4' LINEAR VAPOUR TIGHT STRIP
Manufacturer: EE LIGHTING
Model: VTB2
Catalogue: VTB2-4-557D</t>
  </si>
  <si>
    <t>H10</t>
  </si>
  <si>
    <t>H10 - HIGHBAY ROUND FIXTURE FOR PRODUCTION AREAS
Manufacturer: EE LIGHTING
Model: CHBQ
Catalogue: CHBQ-3575 BLACK</t>
  </si>
  <si>
    <t>P1</t>
  </si>
  <si>
    <t>P1 - LED EXTERIOR POLE FIXTURE
Manufacturer: PREMISE
Model: FL4
Catalogue: FL4-150-4-T5-2</t>
  </si>
  <si>
    <t>P2</t>
  </si>
  <si>
    <t>P2 - LED EXTERIOR POLE FIXTURE
Manufacturer: PREMISE
Model: FL4
Catalogue: FL4-150-4-T5-2</t>
  </si>
  <si>
    <t>W1</t>
  </si>
  <si>
    <t>W1 EM- EXTERIOR WALL MOUNT
Manufacturer: PREMISE
Model: WP7
Catalogue: WP7-80W-4000K-1</t>
  </si>
  <si>
    <t>POWER</t>
  </si>
  <si>
    <t>Disconnect Switch</t>
  </si>
  <si>
    <t>Duplex Receptacle Standard, Mounted Above Counter ,20A, Plug Load Contorl</t>
  </si>
  <si>
    <t>Electric  Heater Base board</t>
  </si>
  <si>
    <t>Input/Output Replay</t>
  </si>
  <si>
    <t>Supervised Valve</t>
  </si>
  <si>
    <t>GENERATOR</t>
  </si>
  <si>
    <t>GEN-EM</t>
  </si>
  <si>
    <t>GEN-EM 200KW/250KVA 600V 3PH, 3W Gnerator</t>
  </si>
  <si>
    <t>TRANSFORMER</t>
  </si>
  <si>
    <t>750 KVA 4160V Transformer</t>
  </si>
  <si>
    <t>500 KVA 4160V Transformer</t>
  </si>
  <si>
    <t>TX-CR6-EMLS</t>
  </si>
  <si>
    <t>TX-CR6-EMLS 225 KVA-3PH 4160V-600/347V Transformer</t>
  </si>
  <si>
    <t>LV-CR6-EMLS</t>
  </si>
  <si>
    <t>LV-CR6-EMLS 400A, 600/347V Distribution Panel</t>
  </si>
  <si>
    <t>1500 KVA 4160V Transformer</t>
  </si>
  <si>
    <t>2000 KVA 4160V Transformer</t>
  </si>
  <si>
    <t>3500 KVA 4160V Transformer</t>
  </si>
  <si>
    <t>1200/5 Current Transformer</t>
  </si>
  <si>
    <t>50/5 Current Transformer</t>
  </si>
  <si>
    <t>100/5 Current Transformer</t>
  </si>
  <si>
    <t>1000/1333/14933 KVA 44KV-416KV Transformer</t>
  </si>
  <si>
    <t>TX-SUB3-PP-1</t>
  </si>
  <si>
    <t>TX-SUB3-PP-1 30KVA 600V-208/120V, 3PH, 4W Transformer</t>
  </si>
  <si>
    <t>TX-CR6-FS18</t>
  </si>
  <si>
    <t>TX-CR6-FS18 1500/1725/1935KVA 4160V-600/347VTransformer</t>
  </si>
  <si>
    <t>TX-CR5-FS15</t>
  </si>
  <si>
    <t>TX-CR5-FS15 1500/1725/1935KVA 4160V-600/347V Transformer</t>
  </si>
  <si>
    <t>2000/5 Current Transformer</t>
  </si>
  <si>
    <t>TX-MX3-DP-1</t>
  </si>
  <si>
    <t>TX-MX3-DP-1 150KVA 600V-208/120V, 3PH, 4W Transformer</t>
  </si>
  <si>
    <t>TX-EXT-DP-1</t>
  </si>
  <si>
    <t>TX-EXT-DP-1 150KVA 600V-208/120V, 3PH, 4W Transformer</t>
  </si>
  <si>
    <t>TX-ELEV-C</t>
  </si>
  <si>
    <t>TX-ELEV-C 30KVA 600V-208/120V, 3PH, 4W Transformer</t>
  </si>
  <si>
    <t>15KVA 600V-208/120V, 3PH, 4W Transformer</t>
  </si>
  <si>
    <t>Transformer (3W + Ground) (4W + Ground)</t>
  </si>
  <si>
    <t>CIRCUIT BREAKER</t>
  </si>
  <si>
    <t>1200A 3P Circuit Breaker W/ Disconnect Switch</t>
  </si>
  <si>
    <t>2000A 3P Circuit Breaker W/ Disconnect Switch</t>
  </si>
  <si>
    <t>2000A Breaker With Disconnect Switch</t>
  </si>
  <si>
    <t>40A, 3P Circuit Breaker</t>
  </si>
  <si>
    <t>250A Circuit Breaker</t>
  </si>
  <si>
    <t>300A Circuit Breaker</t>
  </si>
  <si>
    <t>20A, 3P Circuit Breaker</t>
  </si>
  <si>
    <t>15A, 3P Circuit Breaker</t>
  </si>
  <si>
    <t>50A, 3P Circuit Breaker</t>
  </si>
  <si>
    <t>150A, 3P Circuit Breaker</t>
  </si>
  <si>
    <t>110A, 3P Circuit Breaker</t>
  </si>
  <si>
    <t>600A3P  Circuit Breaker W/ Disconnect Switch</t>
  </si>
  <si>
    <t>800A 3P Circuit Breaker W/ Disconnect Switch</t>
  </si>
  <si>
    <t>400A 3P Circuit Breaker W/ Disconnect Switch</t>
  </si>
  <si>
    <t>200A 3P Circuit Breaker W/ Disconnect Switch</t>
  </si>
  <si>
    <t>450A 3P Circuit Breaker W/ Disconnect Switch</t>
  </si>
  <si>
    <t>80A, 3P Circuit Breaker</t>
  </si>
  <si>
    <t>60A, 3P Circuit Breaker</t>
  </si>
  <si>
    <t>100A, 3P Circuit Breaker</t>
  </si>
  <si>
    <t>600A, 3P Circuit Breaker</t>
  </si>
  <si>
    <t>350A, 3P Circuit Breaker</t>
  </si>
  <si>
    <t>12.6A, 3P Circuit Breaker</t>
  </si>
  <si>
    <t>22A, 3P Circuit Breaker</t>
  </si>
  <si>
    <t>77A, 3P Circuit Breaker</t>
  </si>
  <si>
    <t>52A, 3P Circuit Breaker</t>
  </si>
  <si>
    <t>17A, 3P Circuit Breaker</t>
  </si>
  <si>
    <t>41A, 3P Circuit Breaker</t>
  </si>
  <si>
    <t>30A, 3P Circuit Breaker</t>
  </si>
  <si>
    <t>90A, 3P Circuit Breaker</t>
  </si>
  <si>
    <t>200A, 3P Circuit Breaker</t>
  </si>
  <si>
    <t>SWITCHES</t>
  </si>
  <si>
    <t>100A 3P Load Break Switch W/ Disconnect Switch</t>
  </si>
  <si>
    <t>TC5</t>
  </si>
  <si>
    <t>TC5 Load Break Switch 600A</t>
  </si>
  <si>
    <t>TC8</t>
  </si>
  <si>
    <t>TC8 Load Break Switch 800A</t>
  </si>
  <si>
    <t>300E Fused Without Disconnect</t>
  </si>
  <si>
    <t>Breaker With Disconnect Switch</t>
  </si>
  <si>
    <t>Fuse W/ Disconnect Switch</t>
  </si>
  <si>
    <t>WC5</t>
  </si>
  <si>
    <t>WC5 Load Break Switch 600A</t>
  </si>
  <si>
    <t>Load Break Switch 400A</t>
  </si>
  <si>
    <t>TC9</t>
  </si>
  <si>
    <t>TC9 Load Break Switch 600A</t>
  </si>
  <si>
    <t>TC7</t>
  </si>
  <si>
    <t>TC7 Load Break Switch 600A</t>
  </si>
  <si>
    <t>TC6</t>
  </si>
  <si>
    <t>TC6 Load Break Switch 600A</t>
  </si>
  <si>
    <t>40E Fused Without Disconnect</t>
  </si>
  <si>
    <t>WC4</t>
  </si>
  <si>
    <t>WC4 Load Break Switch 600A</t>
  </si>
  <si>
    <t>Pedestal Mounted 44KV Load Break Switch</t>
  </si>
  <si>
    <t>182A Disconnect Switch</t>
  </si>
  <si>
    <t>11A Disconnect Switch</t>
  </si>
  <si>
    <t>9A Disconnect Switch</t>
  </si>
  <si>
    <t>27A Disconnect Switch</t>
  </si>
  <si>
    <t>99A Disconnect Switch</t>
  </si>
  <si>
    <t>22A Disconnect Switch</t>
  </si>
  <si>
    <t>77A Disconnect Switch</t>
  </si>
  <si>
    <t>2.2A Disconnect Switch</t>
  </si>
  <si>
    <t>7A Disconnect Switch</t>
  </si>
  <si>
    <t>2.1A Disconnect Switch</t>
  </si>
  <si>
    <t>32A Disconnect Switch</t>
  </si>
  <si>
    <t>41A Disconnect Switch</t>
  </si>
  <si>
    <t>PT</t>
  </si>
  <si>
    <t>PT 600/120V Without Fuse</t>
  </si>
  <si>
    <t>12.6A Disconnect Switch</t>
  </si>
  <si>
    <t>12.3A Disconnect Switch</t>
  </si>
  <si>
    <t>5.1A Disconnect Switch</t>
  </si>
  <si>
    <t>3.9A Disconnect Switch</t>
  </si>
  <si>
    <t>5.7A Disconnect Switch</t>
  </si>
  <si>
    <t>157A Disconnect Switch</t>
  </si>
  <si>
    <t>9KW Direct Connection</t>
  </si>
  <si>
    <t>91A Disconnect Switch</t>
  </si>
  <si>
    <t>6.1A Disconnect Switch</t>
  </si>
  <si>
    <t>116.2A Disconnect Switch</t>
  </si>
  <si>
    <t>365A Disconnect Switch</t>
  </si>
  <si>
    <t>GROUNDING</t>
  </si>
  <si>
    <t>2/0 AWG Bare Stranded Medium Hard Drawn Copepr Conductor 
1"x9'-10" Copper Weld Steel Grounding Conductor 
Ground Connector Burndy Type " GD" 
 Flexible Copper Braid Ground Connector Burndy Type" GG"</t>
  </si>
  <si>
    <t>4/0 Bare Cu. Ground Loop Cable</t>
  </si>
  <si>
    <t>MISC. ITEMS</t>
  </si>
  <si>
    <t>Cable Tray</t>
  </si>
  <si>
    <t>4160 Volts Bus</t>
  </si>
  <si>
    <t>PT With Fuse</t>
  </si>
  <si>
    <t>1.5KVA 600/120V Control Power</t>
  </si>
  <si>
    <t>Splitter Box</t>
  </si>
  <si>
    <t>Splitter 200A, 600V, 3PH, 3W</t>
  </si>
  <si>
    <t>5 KV Switch Provided By Nitrogen Equpment Supplier</t>
  </si>
  <si>
    <t>DIVISION 28- ELECTRONIC SAFETY AND SECURITY</t>
  </si>
  <si>
    <t>FIRE ALARM</t>
  </si>
  <si>
    <t>Manual Pull Station ''NC'' Indicates Normally Closed Auxiliary Contacts ''ERT'' Indicates Emergency Response Team</t>
  </si>
  <si>
    <t>Smoke Detector (R=Relay Base) Ceiling Mount, Wall Mount, Duct Smoke Detctor</t>
  </si>
  <si>
    <t>Fire Alarm Strobe (110 cd)</t>
  </si>
  <si>
    <t>Fire Alarm Speaker ( Bull-Horn Style)</t>
  </si>
  <si>
    <t>TOTAL LABOR HOURS</t>
  </si>
  <si>
    <t>TOTAL AMOUNT</t>
  </si>
  <si>
    <t>CONTIGENCIES (5%)</t>
  </si>
  <si>
    <t>OVERHEAD (10%)</t>
  </si>
  <si>
    <t>PROFIT (10%)</t>
  </si>
  <si>
    <t>TAX (8.5%)</t>
  </si>
  <si>
    <t>PERFORMANCE AND PAYMENT BONDS</t>
  </si>
  <si>
    <t>TOTAL BASEBID</t>
  </si>
  <si>
    <t>DIVISION 23- HVAC</t>
  </si>
  <si>
    <t>DEMOLITION &amp; RELOCATION</t>
  </si>
  <si>
    <t>DEMO AND REMOVE DUCTWORK</t>
  </si>
  <si>
    <t>DEMO AND REMOVE DIFFUSERS</t>
  </si>
  <si>
    <t>DEMO AND REMOVE EXISTING GAS FURNACE, CONDENSING UNIT AND ALL ASSOCIATED PIPING AND WIRING.</t>
  </si>
  <si>
    <t>DEMO AND REMOVE EXISTING WINDOW SHAKER AC UNIT AND ALL ASSOCIATED PIPING AND WIRING</t>
  </si>
  <si>
    <t>EXISTING AIR HANDLING UNIT TO BE REMOVED COMPLETE WITH ALL
ASSOCIATED DUCTWORK, WIRING AND CONRETE PAD.</t>
  </si>
  <si>
    <t>EXISTING CONDENSING UNIT TO BE RELOCATED AND INSTALLED INSIDE
PLANT CLOSE TO AC UNIT.</t>
  </si>
  <si>
    <t>EXISTING DRY COOLER AND ALL ASSOCIATED PIPING, PUMPS AND
ACCESSORIES OUTDOORS TO BE REMOVED. EXISTING PIPING TO BE
CAPPED AT HIGH LEVEL INSIDE.</t>
  </si>
  <si>
    <t>EXISTING EXHAUST FAN CAN BE REMOVED AFTER NEW EXHAUST FANS
ARE OPERATIONAL.</t>
  </si>
  <si>
    <t>EXISTING HVAC UNIT TO BE REMOVED COMPLETE WITH ALL ASSOCIATED PAWIRING, DCTWORK AND CONTROLS. EXISTING GAS TO BE CUT AND CAPPED INSIDE.</t>
  </si>
  <si>
    <t>EXISTING HVAC UNIT TO BE REMOVED COMPLETE WITH ALL DUCTWORK AND CONTROLS. EXISTING CHILLED WATER AND GAS PIPING TO BE CUT TO HIGH LEVEL AND PREPARED FOR NEW CONNECTION.</t>
  </si>
  <si>
    <t>EXISTING HVAC UNIT TO BE REMOVED INCLUDING ALL
DUCTWORK AND CONTROLS. EXISTING CHILLED WATER AND
GAS PIPING TO BE CUT TO HIGH LEVEL AND PREPARED
FOR NEW CONNECTION.</t>
  </si>
  <si>
    <t>EXISTING HVAC UNIT TO BE REMOVED INCLUDING ALL
DUCTWORK AND CONTROLS. EXISTING CHILLED WATER AND I
GAS PIPING TO BE CUT TO HIGH LEVEL AND PREPARED
FOR NEW CONNECTION. RE-WORK THE EXISTING ROOF
OPENING AND PREPARE FOR NEW OUTDOOR AIR INTAKE FOR NEW UNIT.</t>
  </si>
  <si>
    <t>EXISTING LOUVRES TO BE REMOVED.</t>
  </si>
  <si>
    <t>EXISTING UNIT HEATER AND EXHAUST DUCTWORK TO BE REMOVED. CAP
GAS PIPING FOR FUTURE USE.</t>
  </si>
  <si>
    <t>EXISTING COOLING TOWERS, PUMPS, EXPANSION TANKS AND CHEMICAL
TREATMENT TO BE RELOCATED COMPLETE WITH ALL ASSOCIATED PIPING,
PADS AND SUPPORTS.</t>
  </si>
  <si>
    <t>EXISTING WELDING EXHAUST DUCT TO BE RELOCATED TO ROOF PENETRTION.</t>
  </si>
  <si>
    <t>EXISTING WELDING EXHAUST DUCT TO BE RELOCATED. RELOCATE DUCT
PENETRATION THRU HIGH ROOF.</t>
  </si>
  <si>
    <t>DUCTS</t>
  </si>
  <si>
    <t>ROUND AND RECTANGULAR</t>
  </si>
  <si>
    <t>10"X14" SUPPLY AIR DUCT</t>
  </si>
  <si>
    <t>10"X6" SUPPLY AIR DUCT</t>
  </si>
  <si>
    <t>100"X36" SUPPLY AIR DUCT</t>
  </si>
  <si>
    <t>100"X36" SUPPLY AIR DUCT WITH LINING</t>
  </si>
  <si>
    <t>100"X50" SUPPLY AIR DUCT</t>
  </si>
  <si>
    <t>100"X50" SUPPLY AIR DUCT WITH LINING</t>
  </si>
  <si>
    <t>108"X36" OUTSIDE AIR DUCTAIR DUCT</t>
  </si>
  <si>
    <t>108"X58" SUPPLY AIR DUCT AIR DUCT</t>
  </si>
  <si>
    <t>114"X36" SUPPLY AIR DUCT</t>
  </si>
  <si>
    <t>114"X56" SUPPLY AIR DUCT</t>
  </si>
  <si>
    <t>12"X10" EXHAUST AIR DUCT</t>
  </si>
  <si>
    <t>12"X10" SUPPLY AIR DUCT</t>
  </si>
  <si>
    <t>12"X12" OUTSIDE AIR DUCT</t>
  </si>
  <si>
    <t>12"X12" RETURN AIR DUCT</t>
  </si>
  <si>
    <t>12"X16" SUPPLY AIR DUCT</t>
  </si>
  <si>
    <t>136"X36" SUPPLY AIR DUCT WITH ACCOUSTICAL LINING</t>
  </si>
  <si>
    <t>14"X8" RETURN AIR DUCT</t>
  </si>
  <si>
    <t>142"X44" SUPPLY AIR DUCT</t>
  </si>
  <si>
    <t>144"X56" SUPPLY AIR DUCT</t>
  </si>
  <si>
    <t>24" SUPPLY AIR DUCT</t>
  </si>
  <si>
    <t>30"X24" SUPPLY AIR DUCT</t>
  </si>
  <si>
    <t>36"X36" OUTSIDE AIR DUCTAIR DUCT</t>
  </si>
  <si>
    <t>36"X96" OUTSIDE AIR DUCTAIR DUCT</t>
  </si>
  <si>
    <t>38"X54" SUPPLY AIR DUCT</t>
  </si>
  <si>
    <t>40"X10" RETURN AIR DUCT</t>
  </si>
  <si>
    <t>40"X10" SUPPLY AIR DUCT</t>
  </si>
  <si>
    <t>44"X60" SUPPLY AIR DUCT</t>
  </si>
  <si>
    <t>44"X80" SUPPLY AIR DUCT</t>
  </si>
  <si>
    <t>46"X52" OUTSIDE AIR DUCT</t>
  </si>
  <si>
    <t>46"X54" OUTSIDE AIR DUCT</t>
  </si>
  <si>
    <t>48"X24" SUPPLY AIR DUCT</t>
  </si>
  <si>
    <t>48"X36" OUTSIDE AIR DUCT</t>
  </si>
  <si>
    <t>48"X48" OUTSIDE AIR DUCT</t>
  </si>
  <si>
    <t>48"X48" RETURN AIR DUCT</t>
  </si>
  <si>
    <t>48"X48" SUPPLY AIR DUCT</t>
  </si>
  <si>
    <t>48"X80" RETURN AIR DUCT</t>
  </si>
  <si>
    <t>50"X50" SUPPLY AIR DUCT</t>
  </si>
  <si>
    <t>50"X50" SUPPLY AIR DUCT WITH LINING</t>
  </si>
  <si>
    <t>52"X48" OUTSIDE AIR DUCT</t>
  </si>
  <si>
    <t>52"X48" OUTSIDE AIR DUCT WITH LINING</t>
  </si>
  <si>
    <t>54"X44" SUPPLY AIR DUCT</t>
  </si>
  <si>
    <t>54"X58" SUPPLY AIR DUCT</t>
  </si>
  <si>
    <t>6" COMBUSTION AIR DUCT</t>
  </si>
  <si>
    <t>60"X36" RETURN AIR DUCT</t>
  </si>
  <si>
    <t>60"X36" SUPPLY AIR DUCT</t>
  </si>
  <si>
    <t>60"X48" SUPPLY AIR DUCT</t>
  </si>
  <si>
    <t>68"X46" SUPPLY AIR DUCT</t>
  </si>
  <si>
    <t>69"X72" SUPPLY AIR DUCT</t>
  </si>
  <si>
    <t>76"X54" SUPPLY AIR DUCT</t>
  </si>
  <si>
    <t>76"X54" SUPPLY AIR DUCT WITH LINING</t>
  </si>
  <si>
    <t>80"X44" RECIRCULATION DUCT</t>
  </si>
  <si>
    <t>86"X36" SUPPLY AIR DUCT</t>
  </si>
  <si>
    <t>86"X74" SUPPLY AIR DUCT</t>
  </si>
  <si>
    <t>ENGINEERED 12" DOUBLE WALL COMBINED FLUE VENT</t>
  </si>
  <si>
    <t>ENGINEERED 14" DOUBLE WALL COMBINED FLUE VENT</t>
  </si>
  <si>
    <t>6" EXHAUST AIR DUCT</t>
  </si>
  <si>
    <t>6"X6" EXHAUST AIR DUCT</t>
  </si>
  <si>
    <t>24" EXHAUST AIR DUCT</t>
  </si>
  <si>
    <t>12"X12" EXHAUST AIR DUCT</t>
  </si>
  <si>
    <t>14"X14" EXHAUST AIR DUCT</t>
  </si>
  <si>
    <t>14"X6" EXHAUST AIR DUCT</t>
  </si>
  <si>
    <t>34"X34" EXHAUST AIR DUCT</t>
  </si>
  <si>
    <t>52"X52" EXHAUST AIR DUCT</t>
  </si>
  <si>
    <t>52"X52" EXHAUST AIR DUCT WITH LINING</t>
  </si>
  <si>
    <t>DUCT FITTINGS AND DEVICES</t>
  </si>
  <si>
    <t>6" ELBOW</t>
  </si>
  <si>
    <t>12" ELBOW</t>
  </si>
  <si>
    <t>14" ELBOW</t>
  </si>
  <si>
    <t>24" ELBOW</t>
  </si>
  <si>
    <t>10"X14" ELBOW</t>
  </si>
  <si>
    <t>48"X60" ELBOW</t>
  </si>
  <si>
    <t>50"X50" ELBOW</t>
  </si>
  <si>
    <t>60"X36" ELBOW</t>
  </si>
  <si>
    <t>76"X54" ELBOW</t>
  </si>
  <si>
    <t>80"X44" ELBOW</t>
  </si>
  <si>
    <t>86"X74" ELBOW</t>
  </si>
  <si>
    <t>108"X36" ELBOW</t>
  </si>
  <si>
    <t>108"X58" ELBOW</t>
  </si>
  <si>
    <t>12"X10" ELBOW</t>
  </si>
  <si>
    <t>12"X12" ELBOW</t>
  </si>
  <si>
    <t>12"X16" ELBOW</t>
  </si>
  <si>
    <t>14"X6" ELBOW</t>
  </si>
  <si>
    <t>14"X8" ELBOW</t>
  </si>
  <si>
    <t>14"X14" ELBOW</t>
  </si>
  <si>
    <t>30"X24" ELBOW</t>
  </si>
  <si>
    <t>48"X24" ELBOW</t>
  </si>
  <si>
    <t>114"X36" ELBOW</t>
  </si>
  <si>
    <t>6"X6" TAKEOFF</t>
  </si>
  <si>
    <t>10"X6" TAKEOFF</t>
  </si>
  <si>
    <t>10"X14" TAKEOFF</t>
  </si>
  <si>
    <t>12"X10" TAKEOFF</t>
  </si>
  <si>
    <t>12"X16" TAKEOFF</t>
  </si>
  <si>
    <t>14"X6" TAKEOFF</t>
  </si>
  <si>
    <t>14"X8" TAKEOFF</t>
  </si>
  <si>
    <t>14"X14" TAKEOFF</t>
  </si>
  <si>
    <t>38"X54" TAKEOFF</t>
  </si>
  <si>
    <t>44"X80" TAKEOFF</t>
  </si>
  <si>
    <t>48"X48" TAKEOFF</t>
  </si>
  <si>
    <t>50"X50" TAKEOFF</t>
  </si>
  <si>
    <t>52"X52" TAKEOFF</t>
  </si>
  <si>
    <t>54"X58" TAKEOFF</t>
  </si>
  <si>
    <t>30"X24" FIRE DAMPER</t>
  </si>
  <si>
    <t>114"X36" FIRE DAMPER</t>
  </si>
  <si>
    <t>12"X12" FIRE DAMPER</t>
  </si>
  <si>
    <t>24"X24" GRAVITY DAMPER AND FIRE DAMPER</t>
  </si>
  <si>
    <t>36"X24" GOOSENECK</t>
  </si>
  <si>
    <t>36"X36" MOTORIZED DAMPER</t>
  </si>
  <si>
    <t>40"X10" BIRD SCREEN</t>
  </si>
  <si>
    <t>44"X80" MOTORIZED DAMPER</t>
  </si>
  <si>
    <t>48"X60" MOTORIZED DAMPER</t>
  </si>
  <si>
    <t>60"X36" FIRE DAMPER</t>
  </si>
  <si>
    <t>114"X36" GOOSENECK</t>
  </si>
  <si>
    <t>130"X36" OAD PLENUM</t>
  </si>
  <si>
    <t>INSULATION</t>
  </si>
  <si>
    <t>1-1/2" THICK FIBERGLASS INSULATION WITH FLAME RESISTANT VAPOR BARRIER</t>
  </si>
  <si>
    <t>SF</t>
  </si>
  <si>
    <t>Minimum 25 mm (I thick acoustic lining material meeting NFPA 90A requirements and flame spread and smoke developed fire hazard ratings of CAN/ULC-S102, flexible for round ducts, board type for rectangular ducts, consisting of a bonded fiberglass mat coated on the inside (airside) face with a black fire-resistant coating.</t>
  </si>
  <si>
    <t>PIPES</t>
  </si>
  <si>
    <t>REFRIGERANT PIPES - (TYPE ACR COPPER AND 3/4" FIBERGLASS INSULATION - ASSUMED)</t>
  </si>
  <si>
    <t>3/8" RS AND 5/8" RL REFRIGERANT PIPE WITH ALL ACCESSORIES</t>
  </si>
  <si>
    <t>REFRIGERANT PIPES FITTINGS</t>
  </si>
  <si>
    <t>3/8" 90 DEG ELBOW</t>
  </si>
  <si>
    <t>5/8" 90 DEG ELBOW</t>
  </si>
  <si>
    <t>3/8" TEE</t>
  </si>
  <si>
    <t>5/8" TEE</t>
  </si>
  <si>
    <t>AIR DEVICES</t>
  </si>
  <si>
    <t>12"x12" VENTILATION AIR LOUVRE AT HIGH LEVEL BELOW JOIST. LOUVRE TO BE EH PRICE DE635.</t>
  </si>
  <si>
    <t>24"X6" VENTILATION AIR LOUVER BY ARCH DIVISION AND 48"X24" COMBUSTION AIR LOUVER BY ARCH DIVISION</t>
  </si>
  <si>
    <t>24"X16" R/A BELLMOUTH C/W WIRE MESH</t>
  </si>
  <si>
    <t>24"X18" EXHAUST AIR LOUVRE (EH PRICE 635).</t>
  </si>
  <si>
    <t>24"X18" OUTSIDE AIR LOUVRE (EH PRICE 635).</t>
  </si>
  <si>
    <t>30"X18" GRAVITY DAMPER</t>
  </si>
  <si>
    <t>34X"34"X108" PLENUM C/W MOTORIZED DAMPER WITH LINING</t>
  </si>
  <si>
    <t>36"X36" BRAINABLE LOUVER PENTHOUSE</t>
  </si>
  <si>
    <t>36"X96" DRAINABLE LOUVERED PENTHOUSE</t>
  </si>
  <si>
    <t>48"X36" LOUVERED PENTHOUSE</t>
  </si>
  <si>
    <t>48"X48" DRAINABLE LOUVERED PENTHOUSE</t>
  </si>
  <si>
    <t>52X"52"X108" PLENUM C/W MOTORIZED DAMPER WITH LINING</t>
  </si>
  <si>
    <t>60"X60"X48" 37 SOFT FREE AREA, INSTALLED ON 18"
CURB.</t>
  </si>
  <si>
    <t>108"X36" BRAINABLE LOUVER PENTHOUSE</t>
  </si>
  <si>
    <t>PENTHOUSE TO BE 108"X48"X72", INSTALLED ON 18"
CURB.</t>
  </si>
  <si>
    <t>TYPE R2 RETURN GRILLE WITH 60"X36" F/D</t>
  </si>
  <si>
    <t>ROOF MOUNTED DRAINABLE LOUVERED PENTHOUSE EH PRICE
MODEL#BCDE635. THROAT SIZE TO BE 108"X36" PENTHOUSE
TO BE WITH 120"X48"X72" 84 SOFT FREE AREA, INSTALLED ON 18"
CURB.</t>
  </si>
  <si>
    <t>ROOF MOUNTED DRAINABLE LOUVERED PENTHOUSE EH PRICE
MODEL#BCDE635 OR EQUAL. THROAT SIZE TO BE 36"X36" PENTHOUSE
TO BE 48"X48"X48" WITH 27 SOFT FREE AREA, INSTALLED ON 18"
CURB.</t>
  </si>
  <si>
    <t>ROOF MOUNTED DRAINABLE LOUVERED PENTHOUSE EH PRICE MODEL #BCDE635</t>
  </si>
  <si>
    <t>ROOF MOUNTED DRAINABLE LOUVERED PENTHOUSE EH PRICE MODEL #BCFE635M, 96"X36"</t>
  </si>
  <si>
    <t>ROOF MOUNTED DRAINABLE LOUVERED PENTHOUSE EH PRICE MODEL#BCDE635, 72"X96"X60" ON 18" CURCB AND 60"X84" THROAT</t>
  </si>
  <si>
    <t>ROOF MOUNTED DRAINABLE LOUVERED PENTHOUSE EH PRICE MODEL#BCDE635, 96"X48"X72" ON 18" CURCB AND 90"X36" THROAT</t>
  </si>
  <si>
    <t>ROOF MOUNTED DRAINABLE LOUVERED PENTHOUSE EH PRICE MODEL#BCDE635, 120"X66"X48" ON 18" CURCB AND 112"X54" THROAT</t>
  </si>
  <si>
    <t>ROOF MOUNTED DRAINABLE LOUVERED PENTHOUSE EH PRICE MODEL#BCDE635, 120"X84"X48" ON 18" CURCB AND 112"X72" THROAT</t>
  </si>
  <si>
    <t>ROOF MOUNTED DRAINABLE LOUVERED PENTHOUSE EH PRICE MODEL#BCDE635, 150"X60"X72" ON 18" CURCB AND 114"X48" THROAT</t>
  </si>
  <si>
    <t>18-GAUGE SPILL CHAMBER 16" HIGH</t>
  </si>
  <si>
    <t>180"X96"X18" PLENUM AND 6FT AIR BAFFLE</t>
  </si>
  <si>
    <t>E1</t>
  </si>
  <si>
    <t>E1, KRUGER, EGC10</t>
  </si>
  <si>
    <t>E2</t>
  </si>
  <si>
    <t>E2, KRUGER, EGC10</t>
  </si>
  <si>
    <t>E3</t>
  </si>
  <si>
    <t>E3, KRUGER, EGC10</t>
  </si>
  <si>
    <t>R1</t>
  </si>
  <si>
    <t>R1, PRICE, 500</t>
  </si>
  <si>
    <t>S-1</t>
  </si>
  <si>
    <t>S-1, PRICE, HCD</t>
  </si>
  <si>
    <t>S-5</t>
  </si>
  <si>
    <t>S-5, PRICE, HCD</t>
  </si>
  <si>
    <t>S1</t>
  </si>
  <si>
    <t>S1, PRICE, HCD</t>
  </si>
  <si>
    <t>S2</t>
  </si>
  <si>
    <t>S2, PRICE, HCD</t>
  </si>
  <si>
    <t>S4</t>
  </si>
  <si>
    <t>S4, PRICE, HCD</t>
  </si>
  <si>
    <t>S5</t>
  </si>
  <si>
    <t>S5, PRICE, 302</t>
  </si>
  <si>
    <t>S6</t>
  </si>
  <si>
    <t>S6, PRICE, 302</t>
  </si>
  <si>
    <t>FANS</t>
  </si>
  <si>
    <t>EF-BEAD APEXER-1</t>
  </si>
  <si>
    <t>EF-BEAD APEXER-1, GREENHECK, CUBE-300-15</t>
  </si>
  <si>
    <t>EF-SUB STATION-1</t>
  </si>
  <si>
    <t>EF-SUB STATION-1, GREENHECK, GB-240</t>
  </si>
  <si>
    <t>EF-LOADING DOCK-1</t>
  </si>
  <si>
    <t>EF-LOADING DOCK-1, GREENHECK, GB-240</t>
  </si>
  <si>
    <t>EF-TIRE ASSEMBLY-1A</t>
  </si>
  <si>
    <t>EF-TIRE ASSEMBLY-1A, GREENHECK, CUBE-300-20</t>
  </si>
  <si>
    <t>EF-TIRE ASSEMBLY-1B</t>
  </si>
  <si>
    <t>EF-TIRE ASSEMBLY-1B, GREENHECK, CUBE-300-20</t>
  </si>
  <si>
    <t>EF-TIRE ASSEMBLY-1C</t>
  </si>
  <si>
    <t>EF-TIRE ASSEMBLY-1C, GREENHECK, CUBE-300-20</t>
  </si>
  <si>
    <t>EF-FINAL FINISH-1A</t>
  </si>
  <si>
    <t>EF-FINAL FINISH-1A, GREENHECK, TAUB-CA-54-100</t>
  </si>
  <si>
    <t>EF-FINAL FINISH-1B</t>
  </si>
  <si>
    <t>EF-FINAL FINISH-1B, GREENHECK, TAUB-CA-54-100</t>
  </si>
  <si>
    <t>EF-FINAL FINISH-1C</t>
  </si>
  <si>
    <t>EF-FINAL FINISH-1C, GREENHECK, TAUB-CA-48-50</t>
  </si>
  <si>
    <t>EF-FINAL FINISH-1D</t>
  </si>
  <si>
    <t>EF-FINAL FINISH-1D, GREENHECK, TAUB-CA-48-50</t>
  </si>
  <si>
    <t>EF-FINAL FINISH-1E</t>
  </si>
  <si>
    <t>EF-FINAL FINISH-1E, GREENHECK, TAUB-CA-48-50</t>
  </si>
  <si>
    <t>EF-FINAL FINISH-1F</t>
  </si>
  <si>
    <t>EF-FINAL FINISH-1F, GREENHECK, TAUB-CA-48-50</t>
  </si>
  <si>
    <t>EF-EXTRUDER-1E</t>
  </si>
  <si>
    <t>EF-EXTRUDER-1E, GREENHECK, TAUB-CA-48-50</t>
  </si>
  <si>
    <t>EF-ASRS-1A</t>
  </si>
  <si>
    <t>EF-ASRS-1A, GREENHECK, TAUB-CA-48-50</t>
  </si>
  <si>
    <t>EF-ASRS-1B</t>
  </si>
  <si>
    <t>EF-ASRS-1B, GREENHECK, TAUB-CA-54-100</t>
  </si>
  <si>
    <t>EF-COMPRESSOR-1</t>
  </si>
  <si>
    <t>EF-COMPRESSOR-1, GREENHECK, TAUB-CA-54-75</t>
  </si>
  <si>
    <t>EF-CURRING-1A-1</t>
  </si>
  <si>
    <t>EF-CURING-1A-1, GREENHECK, TAUB-CA-54-50</t>
  </si>
  <si>
    <t>EF-CURRING-1A-2</t>
  </si>
  <si>
    <t>EF-CURING-1A-2, GREENHECK, TAUB-CA-54-51</t>
  </si>
  <si>
    <t>EF-CURRING-1B-1</t>
  </si>
  <si>
    <t>EF-CURING-1B-1, GREENHECK, TAUB-CA-54-52</t>
  </si>
  <si>
    <t>EF-CURRING-1B-2</t>
  </si>
  <si>
    <t>EF-CURING-1B-2, GREENHECK, TAUB-CA-54-53</t>
  </si>
  <si>
    <t>EF-CURRING-1C-1</t>
  </si>
  <si>
    <t>EF-CURING-1C-1, GREENHECK, TAUB-CA-54-54</t>
  </si>
  <si>
    <t>EF-CURRING-1C-2</t>
  </si>
  <si>
    <t>EF-CURING-1C-2, GREENHECK, TAUB-CA-54-55</t>
  </si>
  <si>
    <t>EF-CURRING-1D-1</t>
  </si>
  <si>
    <t>EF-CURING-1D-1, GREENHECK, TAUB-CA-54-56</t>
  </si>
  <si>
    <t>EF-CURRING-1D-2</t>
  </si>
  <si>
    <t>EF-CURING-1D-2, GREENHECK, TAUB-CA-54-57</t>
  </si>
  <si>
    <t>EF-CURRING-1E-1</t>
  </si>
  <si>
    <t>EF-CURING-1E-1, GREENHECK, TAUB-CA-54-58</t>
  </si>
  <si>
    <t>EF-CURRING-1E-2</t>
  </si>
  <si>
    <t>EF-CURING-1E-2, GREENHECK, TAUB-CA-54-59</t>
  </si>
  <si>
    <t>EF-CURRING-1F-1</t>
  </si>
  <si>
    <t>EF-CURING-1F-1, GREENHECK, TAUB-CA-54-60</t>
  </si>
  <si>
    <t>EF-CURRING-1F-2</t>
  </si>
  <si>
    <t>EF-CURING-1F-2, GREENHECK, TAUB-CA-54-61</t>
  </si>
  <si>
    <t>EF-CURRING-2</t>
  </si>
  <si>
    <t>EF-CURING-2, GREENHECK, GB-098-4</t>
  </si>
  <si>
    <t>EF-CURRING-3</t>
  </si>
  <si>
    <t>EF-CURING-3, GREENHECK, CUBE 099-4</t>
  </si>
  <si>
    <t>EF-CUTTER-1</t>
  </si>
  <si>
    <t>EF-CUTTER-1, GREENHECK, CUBE-300-15</t>
  </si>
  <si>
    <t>EF-EXTRUDER-1A</t>
  </si>
  <si>
    <t>EF-EXTRUDER-1A, GREENHECK, TAUB-CA-54-75</t>
  </si>
  <si>
    <t>EF-EXTRUDER-1B</t>
  </si>
  <si>
    <t>EF-EXTRUDER-1B, GREENHECK, TAUB-CA-54-75</t>
  </si>
  <si>
    <t>EF-EXTRUDER-1C</t>
  </si>
  <si>
    <t>EF-EXTRUDER-1C, GREENHECK, TAUB-CA-48-50</t>
  </si>
  <si>
    <t>EF-EXTRUDER-1D</t>
  </si>
  <si>
    <t>EF-EXTRUDER-1D, GREENHECK, TAUB-CA-48-50</t>
  </si>
  <si>
    <t>EF-EXTRUDER-2</t>
  </si>
  <si>
    <t>EF-EXTRUDER-2, GREENHECK, CUBE-099-4</t>
  </si>
  <si>
    <t>EF-WAREHOUSE-1A</t>
  </si>
  <si>
    <t>EF-WAREHOUSE-1A, GREENHECK, TAUB-CA-54-75</t>
  </si>
  <si>
    <t>EF-WAREHOUSE-1B</t>
  </si>
  <si>
    <t>EF-WAREHOUSE-1B, GREENHECK, TAUB-CA-42-50</t>
  </si>
  <si>
    <t>EF-WAREHOUSE-1C</t>
  </si>
  <si>
    <t>EF-WAREHOUSE-1C, GREENHECK, TAUB-CA-42-50</t>
  </si>
  <si>
    <t>EF-WAREHOUSE-2</t>
  </si>
  <si>
    <t>EF-WAREHOUSE-2, GREENHECK, GB-098-4</t>
  </si>
  <si>
    <t>SF-WAREHOUSE-1A</t>
  </si>
  <si>
    <t>SF-WAREHOUSE-1A, GREENHECK, BSQ-420</t>
  </si>
  <si>
    <t>SF-WAREHOUSE-1B</t>
  </si>
  <si>
    <t>SF-WAREHOUSE-1B, GREENHECK, BSQ-420</t>
  </si>
  <si>
    <t>SF-EXTRUDER-1A</t>
  </si>
  <si>
    <t>SF-EXTRUDER-1A, WALL MOUNTED</t>
  </si>
  <si>
    <t>SF-EXTRUDER-1C</t>
  </si>
  <si>
    <t>SF-EXTRUDER-1C, WALL MOUNTED</t>
  </si>
  <si>
    <t>SF-EXTRUDER-1B</t>
  </si>
  <si>
    <t>SF-EXTRUDER-1B, WALL MOUNTED</t>
  </si>
  <si>
    <t>CON-WAREHOUSE-1</t>
  </si>
  <si>
    <t>CON-WAREHOUSE-1, MITSUBISHI, MSZ-GL24NA</t>
  </si>
  <si>
    <t>EQUIPMENT</t>
  </si>
  <si>
    <t>AC-RECIEVING AREA-1</t>
  </si>
  <si>
    <t>AC-RECIEVING AREA-1 , MITSUBISHI, MSZ-GL24NA</t>
  </si>
  <si>
    <t>AC-RECIEVING AREA-2</t>
  </si>
  <si>
    <t>AC-RECIEVING AREA-2 , MITSUBISHI, MSZ-GL24NA</t>
  </si>
  <si>
    <t>AC-RECIEVING AREA-3</t>
  </si>
  <si>
    <t>AC-RECEIVING AREA-3 , MITSUBISHI, MSZ-GL12NA</t>
  </si>
  <si>
    <t>AC-WAREHOUSE-1</t>
  </si>
  <si>
    <t>AC-WAREHOUSE-1, MITSUBISHI, MSZ-GL24NA</t>
  </si>
  <si>
    <t>AC-WAREHOUSE-2</t>
  </si>
  <si>
    <t>AC-WAREHOUSE-2, MITSUBISHI, MSZ-GL24NA</t>
  </si>
  <si>
    <t>AIR CURTAIN-1</t>
  </si>
  <si>
    <t>AIR CURTAIN-1, AMBIENT AIR CURTAIN, BERNER, IDC16-1108A</t>
  </si>
  <si>
    <t>BBH-2</t>
  </si>
  <si>
    <t>BBH-2, BASEBOARD HEATER</t>
  </si>
  <si>
    <t>CON-RECEIVING-1</t>
  </si>
  <si>
    <t>DC-1</t>
  </si>
  <si>
    <t>DC-1, DUCT COLLECTOR, DONALDSON,  DFE-3-36</t>
  </si>
  <si>
    <t>DF-HOT HOUSE-1,2</t>
  </si>
  <si>
    <t>DF-HOT HOUSE-1,2, HEATCO, HP-A225-CS-B-S</t>
  </si>
  <si>
    <t>ERV-RECEIVING AREA-1</t>
  </si>
  <si>
    <t>ERV-RECEIVING AREA-1, SUPPLY AND INSTALL ERV COMPLETE WITH VIBRATION ISOLATOR, FLEXIBLE DUCT CONNECTOR AND REQUIRED TRANSITION.</t>
  </si>
  <si>
    <t>FCU-1</t>
  </si>
  <si>
    <t>FCU-1, CARRIER COPR. CO.</t>
  </si>
  <si>
    <t>FCU-3</t>
  </si>
  <si>
    <t>FCU-3 TO 10, CARRIER COPR. CO.</t>
  </si>
  <si>
    <t>FFH-2</t>
  </si>
  <si>
    <t>FFH-2, FAN FORCED HEATER, OUELLET</t>
  </si>
  <si>
    <t>GUH-1</t>
  </si>
  <si>
    <t>GUH-1, CHROMALOX</t>
  </si>
  <si>
    <t>GUH-2</t>
  </si>
  <si>
    <t>GUH-2, CHROMALOX</t>
  </si>
  <si>
    <t>HV-ASRS-1</t>
  </si>
  <si>
    <t>HV-ASRS-1, YORK</t>
  </si>
  <si>
    <t>HV-EXTRUDER-1A</t>
  </si>
  <si>
    <t>HV-EXTRUDER-1A, YORK</t>
  </si>
  <si>
    <t>HV-EXTRUDER-1B</t>
  </si>
  <si>
    <t>HV-EXTRUDER-1B, YORK</t>
  </si>
  <si>
    <t>HV-WAREHOUSE-1</t>
  </si>
  <si>
    <t>HV-WAREHOUSE-1, YORK</t>
  </si>
  <si>
    <t>HVAC-BEAD APEXER-1</t>
  </si>
  <si>
    <t>HVAC-CUTTER-1</t>
  </si>
  <si>
    <t>HVAC-TIRE ASSEMBLY-1A</t>
  </si>
  <si>
    <t>HVAC-TIRE ASSEMBLY-1B</t>
  </si>
  <si>
    <t>HVAC-TIRE ASSEMBLY-1C</t>
  </si>
  <si>
    <t>ME-02</t>
  </si>
  <si>
    <t>RAC-02A</t>
  </si>
  <si>
    <t>RAC-02B</t>
  </si>
  <si>
    <t>RAC-02C</t>
  </si>
  <si>
    <t>STANDALONE CONTROLLER</t>
  </si>
  <si>
    <t>TEMPORARY FAN, GREENHECK SBS-2H20</t>
  </si>
  <si>
    <t>TK-02</t>
  </si>
  <si>
    <t>VAC-EXTRUDER-1</t>
  </si>
  <si>
    <t>VAC-EXTRUDER-1, YORK</t>
  </si>
  <si>
    <t>72"X96"X60" PENTHOUSE LOUVER WITH 18" CURB</t>
  </si>
  <si>
    <t>180"X96" LOUVER</t>
  </si>
  <si>
    <t>AIR BAFFLE</t>
  </si>
  <si>
    <t>T, THERMOSTAT</t>
  </si>
  <si>
    <t>DIVISION 26- ELECTRICAL</t>
  </si>
  <si>
    <t>Disconnect and Remove Equipment, Remove all Redundant Junction Boxes</t>
  </si>
  <si>
    <t>Disconnect and Remove Existing Electrical Conduit, Wiring etc.</t>
  </si>
  <si>
    <t>Every Existing Exit Sign to be Disconnected and Removed. Allow for one Stemmed, Double Sided Directional Running man.</t>
  </si>
  <si>
    <t>Relocate Existing Fire Alarm Pull Station to Nearest Column and Excange single Stage Pull Station for 2-Stage Pulll Station</t>
  </si>
  <si>
    <t>Powered Overhead Door To Demolished
Disconnect and Remove Existing Conduit, Ducts, Equipment, Remove all Redundant Junction Boxes, Conduit, Wiring</t>
  </si>
  <si>
    <t>Existing Scale To Be Be Demolished. Disconnect and Remove Existing Conduit, Ducts, Equipment ectc. Remove All Redundant Junction boxes, Conduit wiring ectc.</t>
  </si>
  <si>
    <t>Existing 600A 600V POwer Feed To Nitrogen Building To Be Disconnect and Removed To Bew SPlice. Two Teck Cables Route in Cable Tray within Building and Transition yo Underground when Leaviing the Building</t>
  </si>
  <si>
    <t>Existing Equipment that has Electrical Connection that needs to be Relocated to a new location because the wall it is mounted to id beng removed</t>
  </si>
  <si>
    <t>Remove Existing Electrical Equipment. Disconnect and Remove and OR Relocate Existing Conduit, Ducts, Equipment etc, Remove All Redundant Junction Boxes, Conduit, Wiring etc, Back to point of origin.</t>
  </si>
  <si>
    <t>Existing Exterior Wall Mounted Cable Tray To Be Removed.</t>
  </si>
  <si>
    <t>Existing Conduit Against Wall to be Demolished To Be either reworked</t>
  </si>
  <si>
    <t>Exterior Post Mounted Junction Box with underground fed to be demolished. Disconnect and Remove existing conduit, ducts, equipment etc</t>
  </si>
  <si>
    <t>Relocate Existing Conduit to New Location For Reloacted Mechanical Equipment. Disconnect and Remove and OR Relocate Existing Conduit. Ducys, Equipment, etc, Remoce All Redundant Junction Boxes, Conduit, Wiring etc,</t>
  </si>
  <si>
    <t>Disconnect and Remove and OR Relocate Existing Conduit, Ducts, Equipment etc, Remove All Redundant Junction Boxes, Conduit, Wiring etc,</t>
  </si>
  <si>
    <t>All Existing Sprinkler Tree Devices To Be Relocated and Re- Installed with Mechanical Piping</t>
  </si>
  <si>
    <t>DISTRIBUTION</t>
  </si>
  <si>
    <t>CONDUCTOR</t>
  </si>
  <si>
    <t>1 Set of 3#500 kcmil Copper, TECK 90</t>
  </si>
  <si>
    <t>2 Set of 3#500 kcmil Copper, TECK 90</t>
  </si>
  <si>
    <t>6 Set of 3#500 kcmil Copper, TECK 90</t>
  </si>
  <si>
    <t>1 Set of 3#2 AWG Copper, TECK 90</t>
  </si>
  <si>
    <t>1 Set of 3#6 AWG Copper, TECK 90</t>
  </si>
  <si>
    <t>1 Set of 3#12 AWG Copper, TECK 90</t>
  </si>
  <si>
    <t>1 Set of 3#8 AWG Copper, TECK 90</t>
  </si>
  <si>
    <t>1 Set of 3#3 AWG Copper, TECK 90</t>
  </si>
  <si>
    <t>1 Set of 3#10 AWG Copper, TECK 90</t>
  </si>
  <si>
    <t>3 Set of 3#3/0 AWG Copper, TECK 90</t>
  </si>
  <si>
    <t>3 Set of 3#300 kcmil Copper, TECK 90</t>
  </si>
  <si>
    <t>2 Set of 3#250 kcmil Copper, TECK 90</t>
  </si>
  <si>
    <t>2 Set of 3#3/0 AWG Copper, TECK 90</t>
  </si>
  <si>
    <t>2 Set of 3#300 kcmil Copper, TECK 90</t>
  </si>
  <si>
    <t>1 Set of 3#1 AWG Copper, TECK 90</t>
  </si>
  <si>
    <t>1 Set of 3#4/0 AWG Copper, TECK 90</t>
  </si>
  <si>
    <t>2 Set of 3#4/0 kcmil Copper, TECK 90</t>
  </si>
  <si>
    <t>3 Set of 3#400 kcmil Copper, TECK 90</t>
  </si>
  <si>
    <t>2 Set of 3#4/0 AWG Copper, TECK 90</t>
  </si>
  <si>
    <t>1 Set of 3#350 kcmil Copper, TECK 90</t>
  </si>
  <si>
    <t>5 Set of 3#750 kcmil Copper, TECK 90</t>
  </si>
  <si>
    <t>2 Set of 3#350 kcmil Copper, TECK 90</t>
  </si>
  <si>
    <t>5 Set of 3#500 kcmil Copper, TECK 90</t>
  </si>
  <si>
    <t>4 Set of 3#350 kcmil Copper, TECK 90</t>
  </si>
  <si>
    <t>4 Set of 2#10 AWG Copper, TECK 90</t>
  </si>
  <si>
    <t>3 Set of 1#250 kcmil Copper, MI CABLE</t>
  </si>
  <si>
    <t>1 Set of 3#3/0 AWG Copper, RW90</t>
  </si>
  <si>
    <t>2 Set of 3#3/0 AWG Copper, RW90</t>
  </si>
  <si>
    <t>1 Set of 3#3/0 AWG Copper, TECK 90</t>
  </si>
  <si>
    <t>1 Set of 3#4 AWG Copper, TECK 90</t>
  </si>
  <si>
    <t>LUGS</t>
  </si>
  <si>
    <t>Compression Lug CU With 1-Hole , #9 CU Wire</t>
  </si>
  <si>
    <t>Heat Shrink Tubing for #9 CU Wire</t>
  </si>
  <si>
    <t>Heat Shrink Tubing for #5 CU Wire</t>
  </si>
  <si>
    <t>Compression Lug CU With 1-Hole , #4 CU Wire</t>
  </si>
  <si>
    <t>Heat Shrink Tubing for #4 CU Wire</t>
  </si>
  <si>
    <t>Compression Lug CU With 1-Hole , #2 CU Wire</t>
  </si>
  <si>
    <t>Heat Shrink Tubing for #2 CU Wire</t>
  </si>
  <si>
    <t>Compression Lug CU With 1-Hole , #4/0 CU Wire</t>
  </si>
  <si>
    <t>Heat Shrink Tubing for #4/0 CU Wire</t>
  </si>
  <si>
    <t>Compression Lug CU With 1-Hole , #350 KCMIL CU Wire</t>
  </si>
  <si>
    <t>Heat Shrink Tubing for #350 KCMIL CU Wire</t>
  </si>
  <si>
    <t>Compression Lug CU With 1-Hole , #500 KCMIL CU Wire</t>
  </si>
  <si>
    <t>Heat Shrink Tubing for #500 KCMIL CU Wire</t>
  </si>
  <si>
    <t>Compression Lug CU With 1-Hole , #750 KCMIL CU Wire</t>
  </si>
  <si>
    <t>Heat Shrink Tubing for #750 KCMIL CU Wire</t>
  </si>
  <si>
    <t>X10 - EXIT SIGN - SINGLE FACE
Manufacturer: BELUCE
Model: STELLA RM
Catalogue: SL-RM-ACDC-U-0LR-M-120/277</t>
  </si>
  <si>
    <t>H10 EM- HIGHBAY ROUND FIXTURE FOR PRODUCTION AREAS
Manufacturer: EE LIGHTING
Model: CHBQ
Catalogue: CHBQ-3575 BLACK</t>
  </si>
  <si>
    <t>R10 - 2x4 RECESSED TROFFER
Manufacturer: PREMISE
Model: FPH3
Catalogue: FPH3-2440-P-40-3</t>
  </si>
  <si>
    <t>R10 EM- 2x4 RECESSED TROFFER
Manufacturer: PREMISE
Model: FPH3
Catalogue: FPH3-2440-P-40-3</t>
  </si>
  <si>
    <t>X10 EM- EXIT SIGN - SINGLE FACE
Manufacturer: BELUCE
Model: STELLA RM
Catalogue: SL-RM-ACDC-U-0LR-M-120/277</t>
  </si>
  <si>
    <t>X11 EM- SAME AS 'X10' EXCEPT WITH LEFT / RIGHT / UP ARROW
Manufacturer: BELUCE
Model: STELLA RM
Catalogue: SL-RM-ACDC-U-0LR-M-120/277</t>
  </si>
  <si>
    <t>X12 EM- SAME AS 'X11' EXCEPT WITH DOUBLE FACE
Manufacturer: BELUCE
Model: STELLA RM
Catalogue: SL-RM-ACDC-U-0LR-M-120/277</t>
  </si>
  <si>
    <t>BU1 EM- BATTERY PACK C/W 2x MR-16 LED HEADS
Manufacturer: BELUCE
Model: NOVA
Catalogue: NV-6-36-2BTMR-LED MR16-7W-120/277</t>
  </si>
  <si>
    <t>E10 - DOUBLE REMOTE MR-16 LED HEAD
Manufacturer: BELUCE
Model: BTMR2
Catalogue: BTMR2-LEDMR16-7W-6V</t>
  </si>
  <si>
    <t>BU1 - BATTERY PACK C/W 2x MR-16 LED HEADS
Manufacturer: BELUCE
Model: NOVA
Catalogue: NV-6-36-2BTMR-LED MR16-7W-120/277</t>
  </si>
  <si>
    <t>W1 - EXTERIOR WALL MOUNT
Manufacturer: PREMISE
Model: WP7
Catalogue: WP7-80W-4000K-1</t>
  </si>
  <si>
    <t>Duplex Receptical Standard, 20A</t>
  </si>
  <si>
    <t>Door Operator Push Button</t>
  </si>
  <si>
    <t>Direct Connection (Control )</t>
  </si>
  <si>
    <t>Direct Connection</t>
  </si>
  <si>
    <t>Starter for SF-Warehouse</t>
  </si>
  <si>
    <t>GFCI Duplex Receptacle 20A, Plug Load Control</t>
  </si>
  <si>
    <t>Direct Connection (Burner Control PNL )</t>
  </si>
  <si>
    <t>Direct Connection (Lighting )</t>
  </si>
  <si>
    <t>Panel Board</t>
  </si>
  <si>
    <t>Motor, Air Curtain -1</t>
  </si>
  <si>
    <t>Motor, HVAC-Tire Assembly- 1A</t>
  </si>
  <si>
    <t>Electric Unit Heater</t>
  </si>
  <si>
    <t>Hand Dryer</t>
  </si>
  <si>
    <t>Control Transfarmer</t>
  </si>
  <si>
    <t>Panelboard</t>
  </si>
  <si>
    <t>Electric  Heater</t>
  </si>
  <si>
    <t>GFCI Duplex Recetacle</t>
  </si>
  <si>
    <t>DUplex Receptacle</t>
  </si>
  <si>
    <t>100A Disconnect Switch</t>
  </si>
  <si>
    <t>Double Way Switch</t>
  </si>
  <si>
    <t>200A Tie Btreaker</t>
  </si>
  <si>
    <t>69KV 1200A Circuit Switcher Series 2000 Model 2030</t>
  </si>
  <si>
    <t>46 KV 3 Pole Double Break Integer Alduti-Rupter Switch</t>
  </si>
  <si>
    <t>S&amp;C Switch Oprator Type AS-1A</t>
  </si>
  <si>
    <t>CT/PT Primary Metering Unit</t>
  </si>
  <si>
    <t>10MVA 44KV-4160V Transformer</t>
  </si>
  <si>
    <t>300A Fuse</t>
  </si>
  <si>
    <t>Control Power Transformer</t>
  </si>
  <si>
    <t>PANEL</t>
  </si>
  <si>
    <t>Panel CB-PP-1</t>
  </si>
  <si>
    <t>Panel CB-PP-1: 100A, 120/208V, 3Ph, 4W, Mains: MCB, 22KAIC, 24 Poles, NEMA 12</t>
  </si>
  <si>
    <t>Panel RA-PP-2</t>
  </si>
  <si>
    <t>Panel RA-PP-2: 100A, 120/208V, 3Ph, 4W, Mains: MCB, 22KAIC, 24 Poles, Surface Mounted, NEMA 12</t>
  </si>
  <si>
    <t>Panel EXT-PDP-1Main</t>
  </si>
  <si>
    <t>Panel EXT-PDP-1
Main: 400A
NEMA Type: NEMA 12
Volts: 3 Phase, 3 W</t>
  </si>
  <si>
    <t>Panel EXT-PDP-2Main</t>
  </si>
  <si>
    <t>Panel EXT-PDP-2
Main: 400A
NEMA Type: NEMA 12
Volts: 3 Phase, 3 W</t>
  </si>
  <si>
    <t>Panel CUT-PDP-1Main</t>
  </si>
  <si>
    <t>Panel CUT-PDP-1
Main: 600A
NEMA Type: NEMA 12
Volts: 3 Phase, 3 W</t>
  </si>
  <si>
    <t>Panel CUT-PDP-2Main</t>
  </si>
  <si>
    <t>Panel CUT-PDP-2
Main: 600A
NEMA Type: NEMA 12
Volts: 3 Phase, 3 W</t>
  </si>
  <si>
    <t>Panel CUT-PP-1
Main</t>
  </si>
  <si>
    <t>Panel CUT-PP-1
Main: 100A
NEMA Type: NEMA 12
Volts: 3 Phase, 4 W</t>
  </si>
  <si>
    <t>Panel EXT-PP-1Main</t>
  </si>
  <si>
    <t>Panel EXT-PP-1
Main: 100A
NEMA Type: NEMA 12
Volts: 3 Phase, 4 W</t>
  </si>
  <si>
    <t>Panel EXT-PP-2Main</t>
  </si>
  <si>
    <t>Panel EXT-PP-2
Main: 100A
NEMA Type: NEMA 12
Volts: 3 Phase, 4 W</t>
  </si>
  <si>
    <t>Panel EXT-PP-3Main</t>
  </si>
  <si>
    <t>Panel EXT-PP-3
Main: 100A
NEMA Type: NEMA 12
Volts: 3 Phase, 4 W</t>
  </si>
  <si>
    <t>Panel EXT-PP-4Main</t>
  </si>
  <si>
    <t>Panel EXT-PP-4
Main: 100A
NEMA Type: NEMA 12
Volts: 3 Phase, 4 W</t>
  </si>
  <si>
    <t>Panel EXT-PP-5Main</t>
  </si>
  <si>
    <t>Panel EXT-PP-5
Main: 100A
NEMA Type: NEMA 12
Volts: 3 Phase, 4 W</t>
  </si>
  <si>
    <t>Panel EXT-PP-6Main</t>
  </si>
  <si>
    <t>Panel EXT-PP-6
Main: 100A
NEMA Type: NEMA 12
Volts: 3 Phase, 4 W</t>
  </si>
  <si>
    <t>Panel EXT-PP-7Main</t>
  </si>
  <si>
    <t>Panel EXT-PP-7
Main: 100A
NEMA Type: NEMA 12
Volts: 3 Phase, 4 W</t>
  </si>
  <si>
    <t>Panel LP-EM-1Main</t>
  </si>
  <si>
    <t>Panel LP-EM-1
Main: 125A
NEMA Type: NEMA 1
Volts: 3 Phase, 4 W</t>
  </si>
  <si>
    <t>Panel LP-EM-2Main</t>
  </si>
  <si>
    <t>Panel LP-EM-3Main</t>
  </si>
  <si>
    <t>Panel LP-EM-4Main</t>
  </si>
  <si>
    <t>Panel LP-EM-EX-1Main</t>
  </si>
  <si>
    <t>Panel LP-EM-EX-1
Main: 100A
NEMA Type: NEMA 12
Volts: 3 Phase, 4 W</t>
  </si>
  <si>
    <t>Shore Power PanelMain</t>
  </si>
  <si>
    <t>Shore Power Panel
Main: 60A
NEMA Type: NEMA 3R
Volts: 1 Phase, 3 W</t>
  </si>
  <si>
    <t>Panel FF-PDP-1 (91-Dr2s)</t>
  </si>
  <si>
    <t>Panel FF-PDP-1 (91-Dz2S): 400A, 600V, 3Ph, 3W, Mains: MLO, 35KAIC, 30 Poles</t>
  </si>
  <si>
    <t>Panel FF-PDP-2 (84-JzS)</t>
  </si>
  <si>
    <t>Panel FF-PDP-2 (84-JzS): 400A, 600V, 3Ph, 3W, Mains: MLO, 35KAIC, 30 Poles`</t>
  </si>
  <si>
    <t>Panel LP-EM-4
Main: 100A
NEMA Type: NEMA 3R
Volts: 3 Phase, 4 W</t>
  </si>
  <si>
    <t>Panel TA-PDP-1Main</t>
  </si>
  <si>
    <t>Panel TA-PDP-1
Main: 400A
NEMA Type: NEMA 12
Volts: 3 Phase, 3 W</t>
  </si>
  <si>
    <t>Panel TA-PDP-2Main</t>
  </si>
  <si>
    <t>Panel TA-PDP-2
Main: 400A
NEMA Type: NEMA 12
Volts: 3 Phase, 3 W</t>
  </si>
  <si>
    <t>Panel TA-PP-1Main</t>
  </si>
  <si>
    <t>Panel TA-PP-1
Main: 100A
NEMA Type: NEMA 12
Volts: 3 Phase, 3 W</t>
  </si>
  <si>
    <t>Panel TA-PP-2Main</t>
  </si>
  <si>
    <t>Panel TA-PP-2
Main: 100A
NEMA Type: NEMA 12
Volts: 3 Phase, 3 W</t>
  </si>
  <si>
    <t>Panel TA-PP-3Main</t>
  </si>
  <si>
    <t>Panel TA-PP-3
Main: 100A
NEMA Type: NEMA 12
Volts: 3 Phase, 3 W</t>
  </si>
  <si>
    <t>Panel TA-PP-4Main</t>
  </si>
  <si>
    <t>Panel TA-PP-4
Main: 100A
NEMA Type: NEMA 12
Volts: 3 Phase, 3 W</t>
  </si>
  <si>
    <t>Panel CUT-PDP-1 (38Y-GzS)</t>
  </si>
  <si>
    <t>Panel CUT-PDP-1 (38Y-GzS): 400A, 120/208V, 3Ph, 3W, Mains: MLO, 35KAIC, 30 Poles, Surface Mounted, NEMA 12</t>
  </si>
  <si>
    <t>Panel FF-PDP-1Main</t>
  </si>
  <si>
    <t>Panel FF-PDP-1
Main: 400A
NEMA Type: NEMA 12
Volts: 3 Phase, 3 W</t>
  </si>
  <si>
    <t>Panel CUR-PDP-1Main</t>
  </si>
  <si>
    <t>Panel CUR-PDP-1
Main: 600A
NEMA Type: NEMA 12
Volts: 3 Phase, 3 W</t>
  </si>
  <si>
    <t>Panel CUR-PDP-2Main</t>
  </si>
  <si>
    <t>Panel CUR-PDP-2
Main: 600A
NEMA Type: NEMA 12
Volts: 3 Phase, 3 W</t>
  </si>
  <si>
    <t>Panel FF-PDP-2Main</t>
  </si>
  <si>
    <t>Panel FF-PDP-2
Main: 400A
NEMA Type: NEMA 12
Volts: 3 Phase, 3 W</t>
  </si>
  <si>
    <t>Panel FF-PP-1Main</t>
  </si>
  <si>
    <t>Panel FF-PP-1
Main: 60A
NEMA Type: NEMA 12
Volts: 3 Phase, 4 W</t>
  </si>
  <si>
    <t>Panel FF-PP-2Main</t>
  </si>
  <si>
    <t>Panel FF-PP-2
Main: 60A
NEMA Type: NEMA 12
Volts: 3 Phase, 4 W</t>
  </si>
  <si>
    <t>Panel FF-PP-3Main</t>
  </si>
  <si>
    <t>Panel FF-PP-3
Main: 100A
NEMA Type: NEMA 12
Volts: 3 Phase, 4 W</t>
  </si>
  <si>
    <t>Panel FF-PP-4Main</t>
  </si>
  <si>
    <t>Panel FF-PP-4
Main: 100A
NEMA Type: NEMA 12
Volts: 3 Phase, 4 W</t>
  </si>
  <si>
    <t>Panel FF-PP-5Main</t>
  </si>
  <si>
    <t>Panel FF-PP-5
Main: 100A
NEMA Type: NEMA 12
Volts: 3 Phase, 4 W</t>
  </si>
  <si>
    <t>Panel FF-PP-6Main</t>
  </si>
  <si>
    <t>Panel FF-PP-6
Main: 60A
NEMA Type: NEMA 12
Volts: 3 Phase, 4 W</t>
  </si>
  <si>
    <t>Panel CUR-PDP-3Main</t>
  </si>
  <si>
    <t>Panel CUR-PDP-3
Main: 800A
NEMA Type: NEMA 12
Volts: 3 Phase, 3 W</t>
  </si>
  <si>
    <t>Panel CUR-PDP-4Main</t>
  </si>
  <si>
    <t>Panel CUR-PDP-4
Main: 800A
NEMA Type: NEMA 12
Volts: 3 Phase, 3 W</t>
  </si>
  <si>
    <t>Panel CUR-PDP-5Main</t>
  </si>
  <si>
    <t>Panel CUR-PDP-5
Main: 800A
NEMA Type: NEMA 12
Volts: 3 Phase, 3 W</t>
  </si>
  <si>
    <t>Panel CUR-PDP-6Main</t>
  </si>
  <si>
    <t>Panel CUR-PDP-6
Main: 800A
NEMA Type: NEMA 12
Volts: 3 Phase, 3 W</t>
  </si>
  <si>
    <t>Panel CUR-PDP-7Main</t>
  </si>
  <si>
    <t>Panel CUR-PDP-7
Main: 800A
NEMA Type: NEMA 12
Volts: 3 Phase, 3 W</t>
  </si>
  <si>
    <t>Panel CUR-PP-1Main</t>
  </si>
  <si>
    <t>Panel CUR-PP-1
Main: 100A
NEMA Type: NEMA 12
Volts: 3 Phase, 4 W</t>
  </si>
  <si>
    <t>Panel CUR-PP-2Main</t>
  </si>
  <si>
    <t>Panel CUR-PP-2
Main: 100A
NEMA Type: NEMA 12
Volts: 3 Phase, 4 W</t>
  </si>
  <si>
    <t>Panel CUR-PP-3Main</t>
  </si>
  <si>
    <t>Panel CUR-PP-3
Main: 100A
NEMA Type: NEMA 12
Volts: 3 Phase, 4 W</t>
  </si>
  <si>
    <t>Panel CUR-PP-4Main</t>
  </si>
  <si>
    <t>Panel CUR-PP-4
Main: 100A
NEMA Type: NEMA 12
Volts: 3 Phase, 4 W</t>
  </si>
  <si>
    <t>Panel CUR-PP-5Main</t>
  </si>
  <si>
    <t>Panel CUR-PP-5
Main: 100A
NEMA Type: NEMA 12
Volts: 3 Phase, 4 W</t>
  </si>
  <si>
    <t>Panel CUR-PP-6Main</t>
  </si>
  <si>
    <t>Panel CUR-PP-6
Main: 100A
NEMA Type: NEMA 12
Volts: 3 Phase, 4 W</t>
  </si>
  <si>
    <t>Panel 4-PDP-1Main</t>
  </si>
  <si>
    <t>Panel 4-PDP-1
Main: 400A
NEMA Type: NEMA 12
Volts: 3 Phase, 3 W</t>
  </si>
  <si>
    <t>Panel 4-PP-1Main</t>
  </si>
  <si>
    <t>Panel 4-PP-1
Main: 100A
NEMA Type: NEMA 12
Volts: 3 Phase, 4 W</t>
  </si>
  <si>
    <t>Panel 4-PP-2Main</t>
  </si>
  <si>
    <t>Panel 4-PP-2
Main: 100A
NEMA Type: NEMA 12
Volts: 3 Phase, 4 W</t>
  </si>
  <si>
    <t>Panel 4-PP-3Main</t>
  </si>
  <si>
    <t>Panel 4-PP-3
Main: 100A
NEMA Type: NEMA 12
Volts: 3 Phase, 4 W</t>
  </si>
  <si>
    <t>Panel LP-EM-3
Main: 125A
NEMA Type: NEMA 1
Volts: 3 Phase, 4 W</t>
  </si>
  <si>
    <t>Panel SUB3-PP-1Main</t>
  </si>
  <si>
    <t>Panel SUB3-PP-1
Main: 100A
NEMA Type: NEMA 12
Volts: 3 Phase, 4 W</t>
  </si>
  <si>
    <t>1P/15A Breaker</t>
  </si>
  <si>
    <t>1P/20A Breaker</t>
  </si>
  <si>
    <t>1P/20A GFCI Breaker</t>
  </si>
  <si>
    <t>2P/15A Breaker</t>
  </si>
  <si>
    <t>2P/25A Breaker</t>
  </si>
  <si>
    <t>2P/40A Breaker</t>
  </si>
  <si>
    <t>3P/100A MCB</t>
  </si>
  <si>
    <t>3P/100AS/100AF Breaker</t>
  </si>
  <si>
    <t>3P/150AS/150AF Breaker</t>
  </si>
  <si>
    <t>3P/200AS/200AF Breaker</t>
  </si>
  <si>
    <t>3P/250AS/250AF Breaker</t>
  </si>
  <si>
    <t>3P/30AS/30AF Breaker</t>
  </si>
  <si>
    <t>3P/60AS/60AF Breaker</t>
  </si>
  <si>
    <t>3P/125AS/125AF Breaker</t>
  </si>
  <si>
    <t>1P/15AS/15AF Breaker</t>
  </si>
  <si>
    <t>3P/15AS/15AF Breaker</t>
  </si>
  <si>
    <t>3P/225AS/225AF Breaker</t>
  </si>
  <si>
    <t>3P/80AS/80AF Breaker</t>
  </si>
  <si>
    <t>1P/30A Breaker</t>
  </si>
  <si>
    <t>3P/20A Breaker</t>
  </si>
  <si>
    <t>RACEWAY</t>
  </si>
  <si>
    <t>36"x4"X, 7-10 11/16" Cable Tray</t>
  </si>
  <si>
    <t>36"x4"X, 15'-5" Cable Tray</t>
  </si>
  <si>
    <t>12"x4" Cable Tray</t>
  </si>
  <si>
    <t>36"x4" Cable Tray</t>
  </si>
  <si>
    <t>DIVISION 27- COMMUNICATION</t>
  </si>
  <si>
    <t>COMMUNICATION</t>
  </si>
  <si>
    <t>Low Voltage  Data outlet</t>
  </si>
  <si>
    <t>Low Voltage Data outlet</t>
  </si>
  <si>
    <t>Manual Pull Station</t>
  </si>
  <si>
    <t>Fire Alarm Speaker (Bull - Horn Style</t>
  </si>
  <si>
    <t>Fire Alarm Speaker Wall Mount</t>
  </si>
  <si>
    <t>OCCUPANCY SENSOR</t>
  </si>
  <si>
    <t>Smoke Detector</t>
  </si>
  <si>
    <t>Fire Alarm Strobe (110 Cd)</t>
  </si>
  <si>
    <t>Smoke  Detector</t>
  </si>
  <si>
    <t>Fire Alarm Speaker (Bull - Horn Style)</t>
  </si>
  <si>
    <t>Manual Pull Station, "NC" Indicates Normally Closed Auxiliary Contacs, "ERT" Indicates Emergency Responce Team"</t>
  </si>
  <si>
    <t>Fire Alarm Speaker 15 cd</t>
  </si>
  <si>
    <t>Fire Alarm Strobe (30 cd)</t>
  </si>
  <si>
    <t>Heat Detector (Relay Base)</t>
  </si>
  <si>
    <t>Fire Alarm Speaker 60 cd</t>
  </si>
  <si>
    <t>Fire Alarm Strobe (15 cd)</t>
  </si>
  <si>
    <t>OCCUPANCY LIGHT SENSOR</t>
  </si>
  <si>
    <t>OVERHEAD &amp; PROFIT (15%)</t>
  </si>
  <si>
    <t>EXISTING LOUVER AND HV UNIT TO BE REMOVED. EXISTING GAS PIPING TO BE CUT BACK TO HIGH LEVEL AND CAPPED</t>
  </si>
  <si>
    <t>24" SUPPLY AI DUCT</t>
  </si>
  <si>
    <t>110"X40" SUPPLY AIR DUCT</t>
  </si>
  <si>
    <t>18"X60" SUPPLY AIR DUCT</t>
  </si>
  <si>
    <t>192"X54" SUPPLY AIR DUCT</t>
  </si>
  <si>
    <t>24"X24" SUPPLY AIR DUCT</t>
  </si>
  <si>
    <t>26"X68" SUPPLY AIR DUCT</t>
  </si>
  <si>
    <t>28"X28" SUPPLY AIR DUCT</t>
  </si>
  <si>
    <t>28"X72" SUPPLY AIR DUCT</t>
  </si>
  <si>
    <t>28"X72" SUPPLY AIR DUCT WITH LINING</t>
  </si>
  <si>
    <t>36"X24" SUPPLY AIR DUCT</t>
  </si>
  <si>
    <t>38"X156" SUPPLY AIR DUCT</t>
  </si>
  <si>
    <t>44"X56" SUPPLY AIR DUCT</t>
  </si>
  <si>
    <t>46"X24" SUPPLY AIR DUCT</t>
  </si>
  <si>
    <t>46"X42" SUPPLY AIR DUCT</t>
  </si>
  <si>
    <t>48"x32" SUPPLY AIR DUCT</t>
  </si>
  <si>
    <t>48"X50" SUPPLY AIR DUCT</t>
  </si>
  <si>
    <t>48"x78" INSULATED PLENUM</t>
  </si>
  <si>
    <t>50"X148" SUPPLY AIR DUCT</t>
  </si>
  <si>
    <t>56"X50" SUPPLY AIR DUCT</t>
  </si>
  <si>
    <t>64"X44" SUPPLY AIR DUCT</t>
  </si>
  <si>
    <t>66"X84" SUPPLY AIR DUCT</t>
  </si>
  <si>
    <t>68"X18" SUPPLY AIR DUCT</t>
  </si>
  <si>
    <t>68"X26" SUPPLY AIR DUCT</t>
  </si>
  <si>
    <t>68"X32" SUPPLY AIR DUCT</t>
  </si>
  <si>
    <t>78"X48" SUPPLY AIR DUCT</t>
  </si>
  <si>
    <t>94"X44" SUPPLY AIR DUCT</t>
  </si>
  <si>
    <t>94"X44" SUPPLY AI DUCT</t>
  </si>
  <si>
    <t>84"X30" SUPPLY AI DUCT</t>
  </si>
  <si>
    <t>136"X96" SUPPLY AIR DUCT</t>
  </si>
  <si>
    <t>136"X96" SUPPLY AIR DUCT WITH ACCOUSTICAL LINING</t>
  </si>
  <si>
    <t>14"X20" SUPPLY AIR DUCT</t>
  </si>
  <si>
    <t>148"X50" SUPPLY AIR DUCT</t>
  </si>
  <si>
    <t>156"X44" SUPPLY AIR DUCT</t>
  </si>
  <si>
    <t>6" COMBUSTION AI DUCT</t>
  </si>
  <si>
    <t>10" PROCESS EXHAUST DUCT</t>
  </si>
  <si>
    <t>50"X48" EXHAUST AIR DUCT</t>
  </si>
  <si>
    <t>8"X6" EXHAUST AIR DUCT</t>
  </si>
  <si>
    <t>162"X56" EXHAUST AIR DUCT</t>
  </si>
  <si>
    <t>DUCT FITTINGS AND ACCESSORIES</t>
  </si>
  <si>
    <t>24" OFFSET</t>
  </si>
  <si>
    <t>24" TAKEOFF</t>
  </si>
  <si>
    <t>12"X12" TAKEOFF</t>
  </si>
  <si>
    <t>14"X20" ELBOW</t>
  </si>
  <si>
    <t>14"X20" TAKEOFF</t>
  </si>
  <si>
    <t>156"X38" ELBOW</t>
  </si>
  <si>
    <t>156"X44" ELBOW</t>
  </si>
  <si>
    <t>18"X60 TAKEOFF</t>
  </si>
  <si>
    <t>24"X46" ELBOW</t>
  </si>
  <si>
    <t>26"X68 TAKEOFF</t>
  </si>
  <si>
    <t>26"X68" ELBOW</t>
  </si>
  <si>
    <t>28"X28" TAKEOFF</t>
  </si>
  <si>
    <t>46"24" X 24"X24" X 36"X24" WYE</t>
  </si>
  <si>
    <t>50"X148" ELBOW</t>
  </si>
  <si>
    <t>64"X44" TAKEOFF</t>
  </si>
  <si>
    <t>66"X84" ELBOW</t>
  </si>
  <si>
    <t>72"X28" ELBOW</t>
  </si>
  <si>
    <t>84"X30" X 46"24" X 46"X24" WYE</t>
  </si>
  <si>
    <t>94"X44" ELBOW</t>
  </si>
  <si>
    <t>48"X48" FIRE DAMPER</t>
  </si>
  <si>
    <t>14"X20" FIRE DAMPER</t>
  </si>
  <si>
    <t>28"X28" FIRE DAMPER</t>
  </si>
  <si>
    <t>192"x78" LOUVER (36" LONG)</t>
  </si>
  <si>
    <t>234"x126" LOUVER WITH ACCESS DOOR</t>
  </si>
  <si>
    <t>24"X24" LOUVER</t>
  </si>
  <si>
    <t>270"X164" LOUVER</t>
  </si>
  <si>
    <t>28"X28" GRAVITY DAMPER AND FIRE DAMPER</t>
  </si>
  <si>
    <t>72" INSULATED PLENUM WITH ACCESS DOOR</t>
  </si>
  <si>
    <t>S1, PRICE, 302</t>
  </si>
  <si>
    <t>SUPPLY DIFFUSER</t>
  </si>
  <si>
    <t>CEILING EXHAUST GRILLE</t>
  </si>
  <si>
    <t>EF-CARBON BLACK-1</t>
  </si>
  <si>
    <t>EF-CARBON BLACK-1, GREENHECK, G-090-VG</t>
  </si>
  <si>
    <t>EF-MIXING-1-1</t>
  </si>
  <si>
    <t>EF-MIXING-1-1, GREENHECK, BAER-48</t>
  </si>
  <si>
    <t>EF-MIXING-1-2</t>
  </si>
  <si>
    <t>EF-MIXING-1-2, GREENHECK, BAER-48</t>
  </si>
  <si>
    <t>SF-MIXING-2-1</t>
  </si>
  <si>
    <t>SF-MIXING-2-1, GREENHECK, SB3C-HJ42-75</t>
  </si>
  <si>
    <t>SF-MIXING-2-2</t>
  </si>
  <si>
    <t>SF-MIXING-2-2 , GREENHECK, SB3C-HJ42-75</t>
  </si>
  <si>
    <t>SF-MIXING-3</t>
  </si>
  <si>
    <t>SF-MIXING-3,  GREENHECK, SB3C-HJ36-50</t>
  </si>
  <si>
    <t>SF-MIXING-1-1</t>
  </si>
  <si>
    <t>SF-MIXING-1-1, GREENHECK, SB3C-HJ48-100</t>
  </si>
  <si>
    <t>SF-MIXING-1-2</t>
  </si>
  <si>
    <t>SF-MIXING-1-2,  GREENHECK, SB3C-HJ48-100</t>
  </si>
  <si>
    <t>EF-MIXING-2-2</t>
  </si>
  <si>
    <t>EF-MIXING-2-2, GREENHECK, BAER-36</t>
  </si>
  <si>
    <t>EF-MIXING-2A</t>
  </si>
  <si>
    <t>EF-MIXING-2A, GREENHECK, BAER-48</t>
  </si>
  <si>
    <t>EF-MIXING-2B</t>
  </si>
  <si>
    <t>EF-MIXING-2B, GREENHECK, BAER-30</t>
  </si>
  <si>
    <t>EF-MIXING-2C</t>
  </si>
  <si>
    <t>EF-MIXING-2C, GREENHECK, BAER-36</t>
  </si>
  <si>
    <t>EF-MIXING-2D</t>
  </si>
  <si>
    <t>EF-MIXING-2D, GREENHECK, BAER-30</t>
  </si>
  <si>
    <t>EF-MIXING-2E-1</t>
  </si>
  <si>
    <t>EF-MIXING-2E-1, GREENHECK, BAER-48</t>
  </si>
  <si>
    <t>EF-MIXING-2E-2</t>
  </si>
  <si>
    <t>EF-MIXING-2E-2, GREENHECK, BAER-48</t>
  </si>
  <si>
    <t>EF-MIXING-3</t>
  </si>
  <si>
    <t>EF-MIXING-3, GREENHECK, BAER-30</t>
  </si>
  <si>
    <t>EF-MIXING-6</t>
  </si>
  <si>
    <t>EF-MIXING-6, GREENHECK, SP-A200</t>
  </si>
  <si>
    <t>EF-HOT HOUSE-1</t>
  </si>
  <si>
    <t>EF-HOT HOUSE-1, SUPPLY AND INSTALL UTILITY TYPE EXHAUST FAN COMPLETE WITH BASE VIBRATION ISOLATOR, FLEXIBLE DUCT CONNECTOR AND REQUIRED TRANSITION. FAN TO BE RATED FOR 200F AIR TEMPERATURE. FAN TO BE SUPPORTED FROM THE TOP OF THE CEILING ASSEMBLY.</t>
  </si>
  <si>
    <t>EF-HOT HOUSE-2</t>
  </si>
  <si>
    <t>EF-HOT HOUSE-2, SUPPLY AND INSTALL UTILITY TYPE EXHAUST FAN COMPLETE WITH BASE VIBRATION ISOLATOR, FLEXIBLE DUCT CONNECTOR AND REQUIRED TRANSITION. FAN TO BE RATED FOR 200F AIR TEMPERATURE. FAN TO BE SUPPORTED FROM THE TOP OF THE CEILING ASSEMBLY.</t>
  </si>
  <si>
    <t>SF-HOT HOUSE-1</t>
  </si>
  <si>
    <t>SF-HOT HOUSE-1, SUPPLY AND INSTALL INLINE SUPPLY FAN COMPLETE WITH BASE VIBRATION ISOLATOR, INSULATED HOUSING, FLEXIBLE DUCT CONNECTOR AND REQUIRED TRANSITION. FAN TO BE RATED FOR 200F AIR TEMPERATURE. FAN TO BE SUPPORTED FROM THE TOP OF THE CEILING ASSEMBLY.</t>
  </si>
  <si>
    <t>SF-HOT HOUSE-2</t>
  </si>
  <si>
    <t>SF-HOT HOUSE-2, SUPPLY AND INSTALL INLINE SUPPLY FAN COMPLETE WITH BASE VIBRATION ISOLATOR, INSULATED HOUSING, FLEXIBLE DUCT CONNECTOR AND REQUIRED TRANSITION. FAN TO BE RATED FOR 200F AIR TEMPERATURE. FAN TO BE SUPPORTED FROM THE TOP OF THE CEILING ASSEMBLY.</t>
  </si>
  <si>
    <t>AC-1</t>
  </si>
  <si>
    <t>AC-1, SPLIT SYSTEM INDOOR</t>
  </si>
  <si>
    <t>AC-2</t>
  </si>
  <si>
    <t>AC-2, SPLIT SYSTEM INDOOR</t>
  </si>
  <si>
    <t>AC-3</t>
  </si>
  <si>
    <t>AC-3, SPLIT SYSTEM INDOOR</t>
  </si>
  <si>
    <t>AC-4</t>
  </si>
  <si>
    <t>AC-4, SPLIT SYSTEM INDOOR</t>
  </si>
  <si>
    <t>CU-1</t>
  </si>
  <si>
    <t>CU-1, SPLIT SYSTEM OUTDOOR</t>
  </si>
  <si>
    <t>CU-2</t>
  </si>
  <si>
    <t>CU-2, SPLIT SYSTEM OUTDOOR</t>
  </si>
  <si>
    <t>CU-3</t>
  </si>
  <si>
    <t>CU-3, SPLIT SYSTEM OUTDOOR</t>
  </si>
  <si>
    <t>CU-4</t>
  </si>
  <si>
    <t>CU-4, SPLIT SYSTEM OUTDOOR</t>
  </si>
  <si>
    <t>BBH-1</t>
  </si>
  <si>
    <t>BBH-1, BASEBOARD HEATER</t>
  </si>
  <si>
    <t>DC-2</t>
  </si>
  <si>
    <t>DC-2, DUCT COLLECTOR, DONALDSON,  DFE-3-36</t>
  </si>
  <si>
    <t>DC-3</t>
  </si>
  <si>
    <t>DC-3, DUCT COLLECTOR, DONALDSON,  DFE-3-36</t>
  </si>
  <si>
    <t>DF-HOT HOUSE-1</t>
  </si>
  <si>
    <t>DF-HOT HOUSE-1, INDIRECT FIRED GAS HEATER SUPPLY AND INSTALL IN-DIRECT FIRED GAS HEATER. 
FLEXIBLE DUCT CONNECTOR, BASE ISOLATOR AND FLOOR SUPPORT FOR ON TOP OF CEILING MOUNT. PROVIDE GOOSENECK COMPLETE WITH INSECT SCREEN</t>
  </si>
  <si>
    <t>DF-HOT HOUSE-2</t>
  </si>
  <si>
    <t>DF-HOT HOUSE-2, INDIRECT FIRED GAS HEATER SUPPLY AND INSTALL IN-DIRECT FIRED GAS HEATER. 
FLEXIBLE DUCT CONNECTOR, BASE ISOLATOR AND FLOOR SUPPORT FOR ON TOP OF CEILING MOUNT. PROVIDE GOOSENECK COMPLETE WITH INSECT SCREEN</t>
  </si>
  <si>
    <t>FFH-1</t>
  </si>
  <si>
    <t>FFH-1, FAN FORCED HEATER, OUELLET</t>
  </si>
  <si>
    <t>FFH-1, SUPPLY AND INSTALL ELECTRIC FORCE FLOW HEATER</t>
  </si>
  <si>
    <t>HV-MIXING-2A</t>
  </si>
  <si>
    <t>HV-MIXING-2A, YORK</t>
  </si>
  <si>
    <t>HV-MIXING-2B</t>
  </si>
  <si>
    <t>HV-MIXING-2B, YORK</t>
  </si>
  <si>
    <t>HV-MIXING-2C</t>
  </si>
  <si>
    <t>HV-MIXING-2C, YORK</t>
  </si>
  <si>
    <t>HV-MIXING-2D</t>
  </si>
  <si>
    <t>HV-MIXING-2D, YORK</t>
  </si>
  <si>
    <t>HV-MIXING-2E</t>
  </si>
  <si>
    <t>HV-MIXING-2E, YORK</t>
  </si>
  <si>
    <t>VAC-MIXING-1</t>
  </si>
  <si>
    <t>VAC-MIXING-1, YORK</t>
  </si>
  <si>
    <t>AC-ELEV-CTRL RM-1</t>
  </si>
  <si>
    <t>AC-ELEV-CTRL RM-1 , MITSUBISHI, MSY-G18NA</t>
  </si>
  <si>
    <t>AC-ELEV-CTRL-RM-2</t>
  </si>
  <si>
    <t>AC-ELEV-CTRL-RM-2 , VERTIV, MT060HE1B009HU</t>
  </si>
  <si>
    <t>T</t>
  </si>
  <si>
    <t>MISC: T, THERMOSTAT</t>
  </si>
  <si>
    <t>MISC: #18/4C CONTROL CABLE</t>
  </si>
  <si>
    <t>10" GOOSENECK</t>
  </si>
  <si>
    <t>Disconnect and Remove Existing Conduit, Ducts, Equipment, Remove all Redundant Junction Boxes, Conduit, Wiring</t>
  </si>
  <si>
    <t>K10 EM- 4' LINEAR VAPOUR TIGHT STRIP
Manufacturer: EE LIGHTING
Model: VTB2
Catalogue: VTB2-4-557</t>
  </si>
  <si>
    <t>K10 - 4' LINEAR VAPOUR TIGHT STRIP
Manufacturer: EE LIGHTING
Model: VTB2
Catalogue: VTB2-4-557</t>
  </si>
  <si>
    <t>BU1 EM</t>
  </si>
  <si>
    <t>BU1 EM - BATTERY PACK C/W 2x MR-16 LED HEADS
Manufacturer: BELUCE
Model: NOVA
Catalogue: NV-6-36-2BTMR-LED MR16-7W-120/277</t>
  </si>
  <si>
    <t>H10 EM</t>
  </si>
  <si>
    <t>W1 EM</t>
  </si>
  <si>
    <t>X13</t>
  </si>
  <si>
    <t>X13 - 
Manufacturer: BELUCE
Model: AQUA RM
Catalogue: AQ-RM-L-2-0LR-W</t>
  </si>
  <si>
    <t>Exit Sign</t>
  </si>
  <si>
    <t>Lighting Switch</t>
  </si>
  <si>
    <t>Direct Connection (Trap Seal Primer)</t>
  </si>
  <si>
    <t>Direct Connection (Compressed Air Control )</t>
  </si>
  <si>
    <t>Pannel Board</t>
  </si>
  <si>
    <t>#8 CU THHN/THWN</t>
  </si>
  <si>
    <t>#6 CU THHN/THWN</t>
  </si>
  <si>
    <t>#4 CU THHN/THWN</t>
  </si>
  <si>
    <t>#3 CU THHN/THWN</t>
  </si>
  <si>
    <t>#2 CU THHN/THWN</t>
  </si>
  <si>
    <t>#1 CU THHN/THWN</t>
  </si>
  <si>
    <t>#1/0 CU THHN/THWN</t>
  </si>
  <si>
    <t>#3/0 CU THHN/THWN</t>
  </si>
  <si>
    <t>#4/0 CU THHN/THWN</t>
  </si>
  <si>
    <t>#250 KCMIL CU THHN/THWN</t>
  </si>
  <si>
    <t>#350 KCMIL CU THHN/THWN</t>
  </si>
  <si>
    <t>#500 KCMIL CU THHN/THWN</t>
  </si>
  <si>
    <t>#750 KCMIL CU THHN/THWN</t>
  </si>
  <si>
    <t>Panel MX3-PDP-1</t>
  </si>
  <si>
    <t>Panel MX3-PDP-1 
Main: 800A
NEMA Type: NEMA 1 
Volts: 3 Phase, 3 W</t>
  </si>
  <si>
    <t>Panel MX3-PDP-2Main</t>
  </si>
  <si>
    <t>Panel MX3-PDP-2
Main: 800A
NEMA Type: NEMA 1 
Volts: 3 Phase, 3 W</t>
  </si>
  <si>
    <t>Panel MX3-PP-1AMain</t>
  </si>
  <si>
    <t>Panel MX3-PP-1A
Main: 100A
NEMA Type: NEMA 12</t>
  </si>
  <si>
    <t>Panel MX3-PP-2Main</t>
  </si>
  <si>
    <t>Panel MX3-PP-2
Main: 100A
NEMA Type: NEMA 1 
Volts: 3 Phase, 4 W</t>
  </si>
  <si>
    <t>Panel MX3-PP-3Main</t>
  </si>
  <si>
    <t>Panel MX3-PP-3
Main: 100A
NEMA Type: NEMA 12
Volts: 3 Phase, 4 W</t>
  </si>
  <si>
    <t>Panel MX3-PP-4Main</t>
  </si>
  <si>
    <t>Panel MX3-PP-4
Main: 100A
NEMA Type: NEMA 12
Volts: 3 Phase, 4 W</t>
  </si>
  <si>
    <t>Panel LP-EM-2
Main: 125A
NEMA Type: NEMA 1 
Volts: 3 Phase, 4 W</t>
  </si>
  <si>
    <t>Panel MX3-PP-1BMain</t>
  </si>
  <si>
    <t>Panel MX3-PP-1B
Main: 120A
NEMA Type: NEMA 12
Volts: 3 Phase, 4 W</t>
  </si>
  <si>
    <t>2P/20A Breaker</t>
  </si>
  <si>
    <t>2P/30A Breaker</t>
  </si>
  <si>
    <t>3P/20A GFCI Breaker</t>
  </si>
  <si>
    <t>3P/20AS/20AF Breaker</t>
  </si>
  <si>
    <t>3P/25AS/25AF Breaker</t>
  </si>
  <si>
    <t>3P/50AS/50AF Breaker</t>
  </si>
  <si>
    <t>3P/70AS/70AF Breaker</t>
  </si>
  <si>
    <t>Fire Alaram, Annuniciator Panel C/W Nema 3 Rated  Enclosure</t>
  </si>
  <si>
    <t>Heat Detector</t>
  </si>
  <si>
    <t>Fire Alarm Speaker (30 cd)</t>
  </si>
  <si>
    <t>Fire Alarm Strobe (75 cd)</t>
  </si>
  <si>
    <t>Low Voltage  Delta outlet</t>
  </si>
  <si>
    <t>Fire Alarm Booster Panel</t>
  </si>
  <si>
    <t>Labor Type</t>
  </si>
  <si>
    <t>Labor Rate</t>
  </si>
  <si>
    <t>Carpenter</t>
  </si>
  <si>
    <t>CARP</t>
  </si>
  <si>
    <t>Plumbing</t>
  </si>
  <si>
    <t>Plum</t>
  </si>
  <si>
    <t>Mechanical</t>
  </si>
  <si>
    <t>Mech</t>
  </si>
  <si>
    <t>Electrical</t>
  </si>
  <si>
    <t>Elec</t>
  </si>
  <si>
    <t>Earthwork</t>
  </si>
  <si>
    <t>Q14C</t>
  </si>
  <si>
    <t>Drywaller</t>
  </si>
  <si>
    <t>Finisher</t>
  </si>
  <si>
    <t>Painting</t>
  </si>
  <si>
    <t>Painter</t>
  </si>
  <si>
    <t>Tile Contractor</t>
  </si>
  <si>
    <t>Tilf</t>
  </si>
  <si>
    <t>CMU/Stone</t>
  </si>
  <si>
    <t>D8</t>
  </si>
  <si>
    <t>Concrete</t>
  </si>
  <si>
    <t>B14S</t>
  </si>
  <si>
    <t>Metal</t>
  </si>
  <si>
    <t>Steel</t>
  </si>
  <si>
    <t>Roofing</t>
  </si>
  <si>
    <t>Roofer</t>
  </si>
  <si>
    <t>Genral Labor</t>
  </si>
  <si>
    <t>Labor</t>
  </si>
  <si>
    <t>Exterior Improvement</t>
  </si>
  <si>
    <t>B15S</t>
  </si>
  <si>
    <t>Misc</t>
  </si>
  <si>
    <t>Manhour Increase Factor</t>
  </si>
  <si>
    <t>Each/Count</t>
  </si>
  <si>
    <t>Linear Footage</t>
  </si>
  <si>
    <t>Square Footage</t>
  </si>
  <si>
    <t>Square Yard</t>
  </si>
  <si>
    <t>SY</t>
  </si>
  <si>
    <t>Cubic Yard</t>
  </si>
  <si>
    <t>CY</t>
  </si>
  <si>
    <t>Lumpsum</t>
  </si>
  <si>
    <t>Survery</t>
  </si>
  <si>
    <t>Survey</t>
  </si>
  <si>
    <t>Stair Riser</t>
  </si>
  <si>
    <t>RISER</t>
  </si>
  <si>
    <t>Blocks Count</t>
  </si>
  <si>
    <t>BLOCKS</t>
  </si>
  <si>
    <t>Bags of Pre-Mix Mortar</t>
  </si>
  <si>
    <t>BAGS</t>
  </si>
  <si>
    <t>Linear Footage of Wall</t>
  </si>
  <si>
    <t>LF.Wall</t>
  </si>
  <si>
    <t>Pounds</t>
  </si>
  <si>
    <t>LBS</t>
  </si>
  <si>
    <t>Pieces</t>
  </si>
  <si>
    <t>PCs</t>
  </si>
  <si>
    <t>Location</t>
  </si>
  <si>
    <t>LOC</t>
  </si>
  <si>
    <t>Bundle</t>
  </si>
  <si>
    <t>Rolls</t>
  </si>
  <si>
    <t>ROLLS</t>
  </si>
  <si>
    <t>Boxes</t>
  </si>
  <si>
    <t>BOX</t>
  </si>
  <si>
    <t>Holeses</t>
  </si>
  <si>
    <t>Holes</t>
  </si>
  <si>
    <t>PC</t>
  </si>
  <si>
    <t>Tubes</t>
  </si>
  <si>
    <t>Tube</t>
  </si>
  <si>
    <t>Gallons</t>
  </si>
  <si>
    <t>GA</t>
  </si>
  <si>
    <t>Square of Roofing</t>
  </si>
  <si>
    <t>SQ</t>
  </si>
  <si>
    <t>N/A</t>
  </si>
  <si>
    <t>NOTE:</t>
  </si>
  <si>
    <t>Prevailing wages have been included in this estimate in compliance with the Davis-Bacon Act.</t>
  </si>
  <si>
    <t>Material pricing is based on current market rates sourced from reputable online platforms and suppliers.</t>
  </si>
  <si>
    <t>Please note that actual costs may vary depending on site-specific conditions, unforeseen circumstances, or changes in market conditions.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</si>
</sst>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quot;$&quot;* #,##0.0_);_(&quot;$&quot;* \(#,##0.0\);_(&quot;$&quot;* &quot;-&quot;??_);_(@_)"/>
    <numFmt numFmtId="179" formatCode="_(&quot;$&quot;* #,##0_);_(&quot;$&quot;* \(#,##0\);_(&quot;$&quot;* &quot;-&quot;??_);_(@_)"/>
    <numFmt numFmtId="180" formatCode="000000"/>
    <numFmt numFmtId="181" formatCode="0.000"/>
    <numFmt numFmtId="182" formatCode="0.0"/>
    <numFmt numFmtId="183" formatCode="[$-409]d/mmm/yy;@"/>
    <numFmt numFmtId="184" formatCode="0.0%"/>
    <numFmt numFmtId="185" formatCode="0_ "/>
  </numFmts>
  <fonts count="51">
    <font>
      <sz val="11"/>
      <color theme="1"/>
      <name val="Tw Cen MT"/>
      <charset val="134"/>
      <scheme val="minor"/>
    </font>
    <font>
      <b/>
      <sz val="11"/>
      <color theme="1"/>
      <name val="Calibri"/>
      <charset val="134"/>
    </font>
    <font>
      <sz val="11"/>
      <color theme="1"/>
      <name val="Calibri"/>
      <charset val="134"/>
    </font>
    <font>
      <b/>
      <i/>
      <sz val="11"/>
      <color theme="1"/>
      <name val="Calibri"/>
      <charset val="134"/>
    </font>
    <font>
      <b/>
      <i/>
      <sz val="12"/>
      <color theme="1"/>
      <name val="Calibri"/>
      <charset val="134"/>
    </font>
    <font>
      <b/>
      <sz val="10"/>
      <color rgb="FFFF0000"/>
      <name val="Calibri"/>
      <charset val="134"/>
    </font>
    <font>
      <sz val="10"/>
      <color theme="1"/>
      <name val="Calibri"/>
      <charset val="134"/>
    </font>
    <font>
      <sz val="12"/>
      <color theme="1"/>
      <name val="Calibri"/>
      <charset val="134"/>
    </font>
    <font>
      <sz val="12"/>
      <color indexed="8"/>
      <name val="Calibri"/>
      <charset val="134"/>
    </font>
    <font>
      <sz val="12"/>
      <color rgb="FF000000"/>
      <name val="Calibri"/>
      <charset val="134"/>
    </font>
    <font>
      <b/>
      <sz val="14"/>
      <color theme="0"/>
      <name val="Calibri"/>
      <charset val="134"/>
    </font>
    <font>
      <b/>
      <sz val="14"/>
      <color theme="1"/>
      <name val="Calibri"/>
      <charset val="134"/>
    </font>
    <font>
      <b/>
      <sz val="12"/>
      <color theme="1"/>
      <name val="Calibri"/>
      <charset val="134"/>
    </font>
    <font>
      <sz val="12"/>
      <name val="Calibri"/>
      <charset val="134"/>
    </font>
    <font>
      <b/>
      <sz val="14"/>
      <name val="Calibri"/>
      <charset val="134"/>
    </font>
    <font>
      <b/>
      <sz val="12"/>
      <color rgb="FF009A88"/>
      <name val="Calibri"/>
      <charset val="134"/>
    </font>
    <font>
      <sz val="12"/>
      <color rgb="FFFFFFFF"/>
      <name val="Calibri"/>
      <charset val="134"/>
    </font>
    <font>
      <b/>
      <sz val="12"/>
      <color rgb="FFFFFFFF"/>
      <name val="Calibri"/>
      <charset val="134"/>
    </font>
    <font>
      <sz val="12"/>
      <color indexed="9"/>
      <name val="Calibri"/>
      <charset val="134"/>
    </font>
    <font>
      <b/>
      <sz val="12"/>
      <color indexed="9"/>
      <name val="Calibri"/>
      <charset val="134"/>
    </font>
    <font>
      <b/>
      <sz val="12"/>
      <color indexed="8"/>
      <name val="Calibri"/>
      <charset val="134"/>
    </font>
    <font>
      <sz val="12"/>
      <color rgb="FF0C0C0C"/>
      <name val="Calibri"/>
      <charset val="134"/>
    </font>
    <font>
      <b/>
      <sz val="12"/>
      <color theme="6"/>
      <name val="Calibri"/>
      <charset val="134"/>
    </font>
    <font>
      <b/>
      <sz val="12"/>
      <name val="Calibri"/>
      <charset val="134"/>
    </font>
    <font>
      <b/>
      <sz val="12"/>
      <color theme="1"/>
      <name val="Times New Roman"/>
      <charset val="134"/>
    </font>
    <font>
      <b/>
      <sz val="12"/>
      <color rgb="FF000000"/>
      <name val="Calibri"/>
      <charset val="134"/>
    </font>
    <font>
      <b/>
      <sz val="12"/>
      <color rgb="FF0C0C0C"/>
      <name val="Calibri"/>
      <charset val="134"/>
    </font>
    <font>
      <b/>
      <sz val="11"/>
      <color rgb="FF000000"/>
      <name val="Calibri"/>
      <charset val="134"/>
    </font>
    <font>
      <b/>
      <sz val="12"/>
      <color rgb="FFFF0000"/>
      <name val="Calibri"/>
      <charset val="134"/>
    </font>
    <font>
      <u/>
      <sz val="11"/>
      <color rgb="FF0000FF"/>
      <name val="Tw Cen MT"/>
      <charset val="0"/>
      <scheme val="minor"/>
    </font>
    <font>
      <u/>
      <sz val="11"/>
      <color rgb="FF800080"/>
      <name val="Tw Cen MT"/>
      <charset val="0"/>
      <scheme val="minor"/>
    </font>
    <font>
      <sz val="11"/>
      <color rgb="FFFF0000"/>
      <name val="Tw Cen MT"/>
      <charset val="0"/>
      <scheme val="minor"/>
    </font>
    <font>
      <b/>
      <sz val="18"/>
      <color theme="3"/>
      <name val="Tw Cen MT"/>
      <charset val="134"/>
      <scheme val="minor"/>
    </font>
    <font>
      <i/>
      <sz val="11"/>
      <color rgb="FF7F7F7F"/>
      <name val="Tw Cen MT"/>
      <charset val="0"/>
      <scheme val="minor"/>
    </font>
    <font>
      <b/>
      <sz val="15"/>
      <color theme="3"/>
      <name val="Tw Cen MT"/>
      <charset val="134"/>
      <scheme val="minor"/>
    </font>
    <font>
      <b/>
      <sz val="13"/>
      <color theme="3"/>
      <name val="Tw Cen MT"/>
      <charset val="134"/>
      <scheme val="minor"/>
    </font>
    <font>
      <b/>
      <sz val="11"/>
      <color theme="3"/>
      <name val="Tw Cen MT"/>
      <charset val="134"/>
      <scheme val="minor"/>
    </font>
    <font>
      <sz val="11"/>
      <color rgb="FF3F3F76"/>
      <name val="Tw Cen MT"/>
      <charset val="0"/>
      <scheme val="minor"/>
    </font>
    <font>
      <b/>
      <sz val="11"/>
      <color rgb="FF3F3F3F"/>
      <name val="Tw Cen MT"/>
      <charset val="0"/>
      <scheme val="minor"/>
    </font>
    <font>
      <b/>
      <sz val="11"/>
      <color rgb="FFFA7D00"/>
      <name val="Tw Cen MT"/>
      <charset val="0"/>
      <scheme val="minor"/>
    </font>
    <font>
      <b/>
      <sz val="11"/>
      <color rgb="FFFFFFFF"/>
      <name val="Tw Cen MT"/>
      <charset val="0"/>
      <scheme val="minor"/>
    </font>
    <font>
      <sz val="11"/>
      <color rgb="FFFA7D00"/>
      <name val="Tw Cen MT"/>
      <charset val="0"/>
      <scheme val="minor"/>
    </font>
    <font>
      <b/>
      <sz val="11"/>
      <color theme="1"/>
      <name val="Tw Cen MT"/>
      <charset val="0"/>
      <scheme val="minor"/>
    </font>
    <font>
      <sz val="11"/>
      <color rgb="FF006100"/>
      <name val="Tw Cen MT"/>
      <charset val="0"/>
      <scheme val="minor"/>
    </font>
    <font>
      <sz val="11"/>
      <color rgb="FF9C0006"/>
      <name val="Tw Cen MT"/>
      <charset val="0"/>
      <scheme val="minor"/>
    </font>
    <font>
      <sz val="11"/>
      <color rgb="FF9C6500"/>
      <name val="Tw Cen MT"/>
      <charset val="0"/>
      <scheme val="minor"/>
    </font>
    <font>
      <sz val="11"/>
      <color theme="0"/>
      <name val="Tw Cen MT"/>
      <charset val="0"/>
      <scheme val="minor"/>
    </font>
    <font>
      <sz val="11"/>
      <color theme="1"/>
      <name val="Tw Cen MT"/>
      <charset val="0"/>
      <scheme val="minor"/>
    </font>
    <font>
      <sz val="12"/>
      <name val="Arial"/>
      <charset val="134"/>
    </font>
    <font>
      <sz val="11"/>
      <color rgb="FF000000"/>
      <name val="Calibri"/>
      <charset val="134"/>
    </font>
    <font>
      <b/>
      <sz val="12"/>
      <color theme="1"/>
      <name val="Tw Cen MT"/>
      <charset val="134"/>
      <scheme val="minor"/>
    </font>
  </fonts>
  <fills count="48">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2"/>
        <bgColor indexed="64"/>
      </patternFill>
    </fill>
    <fill>
      <patternFill patternType="solid">
        <fgColor rgb="FF00496A"/>
        <bgColor indexed="64"/>
      </patternFill>
    </fill>
    <fill>
      <patternFill patternType="solid">
        <fgColor rgb="FF366092"/>
        <bgColor rgb="FF366092"/>
      </patternFill>
    </fill>
    <fill>
      <patternFill patternType="solid">
        <fgColor rgb="FF366092"/>
        <bgColor indexed="64"/>
      </patternFill>
    </fill>
    <fill>
      <patternFill patternType="solid">
        <fgColor rgb="FF9DC3E5"/>
        <bgColor indexed="64"/>
      </patternFill>
    </fill>
    <fill>
      <patternFill patternType="solid">
        <fgColor rgb="FFDAEEF3"/>
        <bgColor indexed="64"/>
      </patternFill>
    </fill>
    <fill>
      <patternFill patternType="solid">
        <fgColor rgb="FF9BC2E6"/>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DAEEF3"/>
        <bgColor rgb="FFDAEEF3"/>
      </patternFill>
    </fill>
    <fill>
      <patternFill patternType="solid">
        <fgColor rgb="FFB6DDE8"/>
        <bgColor rgb="FFB6DDE8"/>
      </patternFill>
    </fill>
    <fill>
      <patternFill patternType="solid">
        <fgColor rgb="FF92CDDC"/>
        <bgColor rgb="FF92CDDC"/>
      </patternFill>
    </fill>
    <fill>
      <patternFill patternType="solid">
        <fgColor theme="4"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6"/>
        <bgColor indexed="64"/>
      </patternFill>
    </fill>
  </fills>
  <borders count="54">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right style="medium">
        <color auto="1"/>
      </right>
      <top/>
      <bottom style="thin">
        <color auto="1"/>
      </bottom>
      <diagonal/>
    </border>
    <border>
      <left/>
      <right style="thin">
        <color auto="1"/>
      </right>
      <top/>
      <bottom/>
      <diagonal/>
    </border>
    <border>
      <left style="medium">
        <color auto="1"/>
      </left>
      <right style="thin">
        <color auto="1"/>
      </right>
      <top style="medium">
        <color auto="1"/>
      </top>
      <bottom style="medium">
        <color auto="1"/>
      </bottom>
      <diagonal/>
    </border>
    <border>
      <left style="medium">
        <color auto="1"/>
      </left>
      <right/>
      <top/>
      <bottom style="thin">
        <color auto="1"/>
      </bottom>
      <diagonal/>
    </border>
    <border>
      <left/>
      <right style="thin">
        <color auto="1"/>
      </right>
      <top style="thin">
        <color rgb="FFB2B2B2"/>
      </top>
      <bottom style="thin">
        <color auto="1"/>
      </bottom>
      <diagonal/>
    </border>
    <border>
      <left/>
      <right/>
      <top style="thin">
        <color auto="1"/>
      </top>
      <bottom/>
      <diagonal/>
    </border>
    <border>
      <left style="thin">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s>
  <cellStyleXfs count="5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9" borderId="45" applyNumberFormat="0" applyFont="0" applyAlignment="0" applyProtection="0"/>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6" applyNumberFormat="0" applyFill="0" applyAlignment="0" applyProtection="0">
      <alignment vertical="center"/>
    </xf>
    <xf numFmtId="0" fontId="35" fillId="0" borderId="46" applyNumberFormat="0" applyFill="0" applyAlignment="0" applyProtection="0">
      <alignment vertical="center"/>
    </xf>
    <xf numFmtId="0" fontId="36" fillId="0" borderId="47" applyNumberFormat="0" applyFill="0" applyAlignment="0" applyProtection="0">
      <alignment vertical="center"/>
    </xf>
    <xf numFmtId="0" fontId="36" fillId="0" borderId="0" applyNumberFormat="0" applyFill="0" applyBorder="0" applyAlignment="0" applyProtection="0">
      <alignment vertical="center"/>
    </xf>
    <xf numFmtId="0" fontId="37" fillId="20" borderId="48" applyNumberFormat="0" applyAlignment="0" applyProtection="0">
      <alignment vertical="center"/>
    </xf>
    <xf numFmtId="0" fontId="38" fillId="21" borderId="49" applyNumberFormat="0" applyAlignment="0" applyProtection="0">
      <alignment vertical="center"/>
    </xf>
    <xf numFmtId="0" fontId="39" fillId="21" borderId="48" applyNumberFormat="0" applyAlignment="0" applyProtection="0">
      <alignment vertical="center"/>
    </xf>
    <xf numFmtId="0" fontId="40" fillId="22" borderId="50" applyNumberFormat="0" applyAlignment="0" applyProtection="0">
      <alignment vertical="center"/>
    </xf>
    <xf numFmtId="0" fontId="41" fillId="0" borderId="51" applyNumberFormat="0" applyFill="0" applyAlignment="0" applyProtection="0">
      <alignment vertical="center"/>
    </xf>
    <xf numFmtId="0" fontId="42" fillId="0" borderId="52" applyNumberFormat="0" applyFill="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5"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4"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7" fillId="40" borderId="0" applyNumberFormat="0" applyBorder="0" applyAlignment="0" applyProtection="0">
      <alignment vertical="center"/>
    </xf>
    <xf numFmtId="0" fontId="47"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7" fillId="44" borderId="0" applyNumberFormat="0" applyBorder="0" applyAlignment="0" applyProtection="0">
      <alignment vertical="center"/>
    </xf>
    <xf numFmtId="0" fontId="47" fillId="45" borderId="0" applyNumberFormat="0" applyBorder="0" applyAlignment="0" applyProtection="0">
      <alignment vertical="center"/>
    </xf>
    <xf numFmtId="0" fontId="46" fillId="46" borderId="0" applyNumberFormat="0" applyBorder="0" applyAlignment="0" applyProtection="0">
      <alignment vertical="center"/>
    </xf>
    <xf numFmtId="44" fontId="0" fillId="0" borderId="0" applyFont="0" applyFill="0" applyBorder="0" applyAlignment="0" applyProtection="0"/>
    <xf numFmtId="44" fontId="48" fillId="0" borderId="0" applyFont="0" applyFill="0" applyBorder="0" applyAlignment="0" applyProtection="0"/>
    <xf numFmtId="44" fontId="0" fillId="0" borderId="0" applyFont="0" applyFill="0" applyBorder="0" applyAlignment="0" applyProtection="0"/>
    <xf numFmtId="0" fontId="0" fillId="0" borderId="0"/>
    <xf numFmtId="0" fontId="48" fillId="0" borderId="0"/>
    <xf numFmtId="0" fontId="49" fillId="0" borderId="0">
      <protection locked="0"/>
    </xf>
    <xf numFmtId="9" fontId="48" fillId="0" borderId="0" applyFont="0" applyFill="0" applyBorder="0" applyAlignment="0" applyProtection="0"/>
    <xf numFmtId="9" fontId="0" fillId="0" borderId="0" applyFont="0" applyFill="0" applyBorder="0" applyAlignment="0" applyProtection="0"/>
    <xf numFmtId="1" fontId="50" fillId="2" borderId="15">
      <alignment horizontal="center" vertical="center"/>
    </xf>
    <xf numFmtId="0" fontId="48" fillId="47" borderId="53" applyNumberFormat="0" applyFont="0" applyAlignment="0" applyProtection="0"/>
  </cellStyleXfs>
  <cellXfs count="271">
    <xf numFmtId="0" fontId="0" fillId="0" borderId="0" xfId="0"/>
    <xf numFmtId="0" fontId="1" fillId="2" borderId="0" xfId="52" applyFont="1" applyFill="1"/>
    <xf numFmtId="0" fontId="2" fillId="2" borderId="0" xfId="52" applyFont="1" applyFill="1"/>
    <xf numFmtId="0" fontId="3" fillId="2" borderId="0" xfId="52" applyFont="1" applyFill="1"/>
    <xf numFmtId="0" fontId="4" fillId="3" borderId="1" xfId="52" applyFont="1" applyFill="1" applyBorder="1" applyAlignment="1">
      <alignment horizontal="center"/>
    </xf>
    <xf numFmtId="0" fontId="4" fillId="3" borderId="2" xfId="52" applyFont="1" applyFill="1" applyBorder="1" applyAlignment="1">
      <alignment horizontal="center"/>
    </xf>
    <xf numFmtId="0" fontId="3" fillId="4" borderId="3" xfId="52" applyFont="1" applyFill="1" applyBorder="1" applyAlignment="1">
      <alignment horizontal="right"/>
    </xf>
    <xf numFmtId="0" fontId="4" fillId="4" borderId="4" xfId="52" applyFont="1" applyFill="1" applyBorder="1"/>
    <xf numFmtId="44" fontId="4" fillId="4" borderId="5" xfId="51" applyFont="1" applyFill="1" applyBorder="1"/>
    <xf numFmtId="0" fontId="3" fillId="4" borderId="6" xfId="52" applyFont="1" applyFill="1" applyBorder="1" applyAlignment="1">
      <alignment horizontal="right"/>
    </xf>
    <xf numFmtId="0" fontId="4" fillId="4" borderId="0" xfId="52" applyFont="1" applyFill="1"/>
    <xf numFmtId="44" fontId="4" fillId="4" borderId="7" xfId="51" applyFont="1" applyFill="1" applyBorder="1"/>
    <xf numFmtId="178" fontId="4" fillId="4" borderId="7" xfId="51" applyNumberFormat="1" applyFont="1" applyFill="1" applyBorder="1"/>
    <xf numFmtId="0" fontId="3" fillId="4" borderId="8" xfId="52" applyFont="1" applyFill="1" applyBorder="1" applyAlignment="1">
      <alignment horizontal="right"/>
    </xf>
    <xf numFmtId="0" fontId="4" fillId="4" borderId="9" xfId="52" applyFont="1" applyFill="1" applyBorder="1"/>
    <xf numFmtId="179" fontId="4" fillId="4" borderId="10" xfId="51" applyNumberFormat="1" applyFont="1" applyFill="1" applyBorder="1"/>
    <xf numFmtId="0" fontId="3" fillId="3" borderId="1" xfId="52" applyFont="1" applyFill="1" applyBorder="1" applyAlignment="1">
      <alignment horizontal="right"/>
    </xf>
    <xf numFmtId="9" fontId="3" fillId="3" borderId="2" xfId="56" applyFont="1" applyFill="1" applyBorder="1"/>
    <xf numFmtId="0" fontId="4" fillId="3" borderId="3" xfId="52" applyFont="1" applyFill="1" applyBorder="1" applyAlignment="1">
      <alignment horizontal="center"/>
    </xf>
    <xf numFmtId="0" fontId="4" fillId="3" borderId="5" xfId="52" applyFont="1" applyFill="1" applyBorder="1" applyAlignment="1">
      <alignment horizontal="center"/>
    </xf>
    <xf numFmtId="0" fontId="4" fillId="5" borderId="3" xfId="52" applyFont="1" applyFill="1" applyBorder="1" applyAlignment="1">
      <alignment horizontal="right"/>
    </xf>
    <xf numFmtId="0" fontId="4" fillId="5" borderId="4" xfId="52" applyFont="1" applyFill="1" applyBorder="1"/>
    <xf numFmtId="9" fontId="4" fillId="5" borderId="5" xfId="56" applyFont="1" applyFill="1" applyBorder="1"/>
    <xf numFmtId="0" fontId="4" fillId="5" borderId="6" xfId="52" applyFont="1" applyFill="1" applyBorder="1"/>
    <xf numFmtId="0" fontId="4" fillId="5" borderId="0" xfId="52" applyFont="1" applyFill="1"/>
    <xf numFmtId="9" fontId="4" fillId="5" borderId="7" xfId="56" applyFont="1" applyFill="1" applyBorder="1"/>
    <xf numFmtId="0" fontId="4" fillId="5" borderId="8" xfId="52" applyFont="1" applyFill="1" applyBorder="1"/>
    <xf numFmtId="0" fontId="4" fillId="5" borderId="9" xfId="52" applyFont="1" applyFill="1" applyBorder="1"/>
    <xf numFmtId="9" fontId="4" fillId="5" borderId="10" xfId="56" applyFont="1" applyFill="1" applyBorder="1"/>
    <xf numFmtId="0" fontId="5" fillId="2" borderId="0" xfId="52" applyFont="1" applyFill="1"/>
    <xf numFmtId="0" fontId="6" fillId="2" borderId="0" xfId="52" applyFont="1" applyFill="1"/>
    <xf numFmtId="0" fontId="7" fillId="0" borderId="0" xfId="0" applyFont="1" applyAlignment="1">
      <alignment vertical="center"/>
    </xf>
    <xf numFmtId="0" fontId="7" fillId="0" borderId="0" xfId="0" applyFont="1"/>
    <xf numFmtId="0" fontId="8" fillId="0" borderId="0" xfId="0" applyFont="1"/>
    <xf numFmtId="0" fontId="7" fillId="2" borderId="0" xfId="0" applyFont="1" applyFill="1" applyAlignment="1">
      <alignment vertical="center"/>
    </xf>
    <xf numFmtId="0" fontId="9" fillId="0" borderId="0" xfId="0" applyFont="1"/>
    <xf numFmtId="0" fontId="7" fillId="2" borderId="0" xfId="0" applyFont="1" applyFill="1" applyAlignment="1">
      <alignment vertical="center" wrapText="1"/>
    </xf>
    <xf numFmtId="0" fontId="7" fillId="2" borderId="0" xfId="0" applyFont="1" applyFill="1" applyAlignment="1">
      <alignment horizontal="center" vertical="center"/>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0" fillId="7" borderId="1"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1" xfId="0" applyFont="1" applyFill="1" applyBorder="1" applyAlignment="1">
      <alignment horizontal="center" vertical="center" wrapText="1"/>
    </xf>
    <xf numFmtId="0" fontId="7" fillId="2" borderId="6" xfId="0" applyFont="1" applyFill="1" applyBorder="1" applyAlignment="1">
      <alignment vertical="center"/>
    </xf>
    <xf numFmtId="0" fontId="11" fillId="0" borderId="4" xfId="0" applyFont="1" applyBorder="1" applyAlignment="1">
      <alignment horizontal="left" wrapText="1"/>
    </xf>
    <xf numFmtId="0" fontId="11" fillId="0" borderId="0" xfId="0" applyFont="1" applyAlignment="1">
      <alignment horizontal="left" wrapText="1"/>
    </xf>
    <xf numFmtId="0" fontId="12" fillId="2" borderId="0" xfId="0" applyFont="1" applyFill="1" applyAlignment="1">
      <alignment vertical="center" wrapText="1"/>
    </xf>
    <xf numFmtId="0" fontId="13" fillId="2" borderId="0" xfId="0" applyFont="1" applyFill="1" applyAlignment="1">
      <alignment horizontal="center" vertical="center"/>
    </xf>
    <xf numFmtId="0" fontId="12" fillId="0" borderId="0" xfId="0" applyFont="1" applyAlignment="1">
      <alignment vertical="center"/>
    </xf>
    <xf numFmtId="3" fontId="11" fillId="2" borderId="0" xfId="0" applyNumberFormat="1" applyFont="1" applyFill="1" applyAlignment="1">
      <alignment horizontal="left"/>
    </xf>
    <xf numFmtId="0" fontId="7" fillId="0" borderId="0" xfId="0" applyFont="1" applyAlignment="1">
      <alignment horizontal="center" vertical="center"/>
    </xf>
    <xf numFmtId="0" fontId="13" fillId="2" borderId="0" xfId="0" applyFont="1" applyFill="1" applyAlignment="1">
      <alignment horizontal="left" vertical="center" wrapText="1"/>
    </xf>
    <xf numFmtId="0" fontId="14" fillId="2" borderId="0" xfId="0" applyFont="1" applyFill="1" applyAlignment="1">
      <alignment horizontal="left" vertical="center"/>
    </xf>
    <xf numFmtId="3" fontId="15" fillId="2" borderId="0" xfId="0" applyNumberFormat="1" applyFont="1" applyFill="1" applyAlignment="1">
      <alignment horizontal="left" vertical="center" wrapText="1"/>
    </xf>
    <xf numFmtId="180" fontId="16" fillId="8" borderId="12" xfId="0" applyNumberFormat="1" applyFont="1" applyFill="1" applyBorder="1" applyAlignment="1">
      <alignment horizontal="center" vertical="center" wrapText="1"/>
    </xf>
    <xf numFmtId="180" fontId="16" fillId="8" borderId="13" xfId="0" applyNumberFormat="1" applyFont="1" applyFill="1" applyBorder="1" applyAlignment="1">
      <alignment horizontal="center" vertical="center" wrapText="1"/>
    </xf>
    <xf numFmtId="0" fontId="17" fillId="8" borderId="13" xfId="0" applyFont="1" applyFill="1" applyBorder="1" applyAlignment="1">
      <alignment horizontal="center" vertical="center" wrapText="1"/>
    </xf>
    <xf numFmtId="180" fontId="18" fillId="9" borderId="14" xfId="0" applyNumberFormat="1" applyFont="1" applyFill="1" applyBorder="1" applyAlignment="1">
      <alignment horizontal="center" vertical="center" wrapText="1"/>
    </xf>
    <xf numFmtId="180" fontId="16" fillId="8" borderId="15" xfId="0" applyNumberFormat="1" applyFont="1" applyFill="1" applyBorder="1" applyAlignment="1">
      <alignment horizontal="center" vertical="center" wrapText="1"/>
    </xf>
    <xf numFmtId="0" fontId="19" fillId="9" borderId="15" xfId="0" applyFont="1" applyFill="1" applyBorder="1" applyAlignment="1">
      <alignment horizontal="left" vertical="center" wrapText="1"/>
    </xf>
    <xf numFmtId="180" fontId="18" fillId="9" borderId="15" xfId="0" applyNumberFormat="1" applyFont="1" applyFill="1" applyBorder="1" applyAlignment="1">
      <alignment horizontal="center" vertical="center" wrapText="1"/>
    </xf>
    <xf numFmtId="1" fontId="13" fillId="2" borderId="12" xfId="8" applyNumberFormat="1" applyFont="1" applyFill="1" applyBorder="1" applyAlignment="1">
      <alignment horizontal="center" vertical="center"/>
    </xf>
    <xf numFmtId="1" fontId="13" fillId="2" borderId="16" xfId="8" applyNumberFormat="1" applyFont="1" applyFill="1" applyBorder="1" applyAlignment="1">
      <alignment horizontal="center" vertical="center"/>
    </xf>
    <xf numFmtId="0" fontId="7" fillId="0" borderId="13" xfId="0" applyFont="1" applyBorder="1" applyAlignment="1">
      <alignment horizontal="left" vertical="center" wrapText="1"/>
    </xf>
    <xf numFmtId="0" fontId="7" fillId="0" borderId="13" xfId="0" applyFont="1" applyBorder="1" applyAlignment="1">
      <alignment horizontal="center" vertical="center"/>
    </xf>
    <xf numFmtId="9" fontId="7" fillId="0" borderId="13" xfId="0" applyNumberFormat="1" applyFont="1" applyBorder="1" applyAlignment="1">
      <alignment horizontal="center" vertical="center"/>
    </xf>
    <xf numFmtId="1" fontId="7" fillId="0" borderId="13" xfId="0" applyNumberFormat="1" applyFont="1" applyBorder="1" applyAlignment="1">
      <alignment horizontal="center" vertical="center"/>
    </xf>
    <xf numFmtId="1" fontId="13" fillId="2" borderId="14" xfId="8" applyNumberFormat="1" applyFont="1" applyFill="1" applyBorder="1" applyAlignment="1">
      <alignment horizontal="center" vertical="center"/>
    </xf>
    <xf numFmtId="1" fontId="13" fillId="2" borderId="17" xfId="8" applyNumberFormat="1" applyFont="1" applyFill="1" applyBorder="1" applyAlignment="1">
      <alignment horizontal="center" vertical="center"/>
    </xf>
    <xf numFmtId="0" fontId="7" fillId="0" borderId="15" xfId="0" applyFont="1" applyBorder="1" applyAlignment="1">
      <alignment horizontal="left" vertical="center" wrapText="1"/>
    </xf>
    <xf numFmtId="0" fontId="7" fillId="0" borderId="15" xfId="0" applyFont="1" applyBorder="1" applyAlignment="1">
      <alignment horizontal="center" vertical="center"/>
    </xf>
    <xf numFmtId="9" fontId="7" fillId="0" borderId="15" xfId="0" applyNumberFormat="1" applyFont="1" applyBorder="1" applyAlignment="1">
      <alignment horizontal="center" vertical="center"/>
    </xf>
    <xf numFmtId="1" fontId="7" fillId="0" borderId="15" xfId="0" applyNumberFormat="1" applyFont="1" applyBorder="1" applyAlignment="1">
      <alignment horizontal="center" vertical="center"/>
    </xf>
    <xf numFmtId="1" fontId="13" fillId="2" borderId="18" xfId="8" applyNumberFormat="1" applyFont="1" applyFill="1" applyBorder="1" applyAlignment="1">
      <alignment horizontal="center" vertical="center"/>
    </xf>
    <xf numFmtId="1" fontId="13" fillId="2" borderId="15" xfId="8" applyNumberFormat="1" applyFont="1" applyFill="1" applyBorder="1" applyAlignment="1">
      <alignment horizontal="center" vertical="center"/>
    </xf>
    <xf numFmtId="0" fontId="7" fillId="0" borderId="19" xfId="0" applyFont="1" applyBorder="1" applyAlignment="1">
      <alignment horizontal="left" vertical="center" wrapText="1"/>
    </xf>
    <xf numFmtId="0" fontId="7" fillId="0" borderId="20" xfId="0" applyFont="1" applyBorder="1" applyAlignment="1">
      <alignment horizontal="center" vertical="center"/>
    </xf>
    <xf numFmtId="9" fontId="7" fillId="0" borderId="20" xfId="0" applyNumberFormat="1" applyFont="1" applyBorder="1" applyAlignment="1">
      <alignment horizontal="center" vertical="center"/>
    </xf>
    <xf numFmtId="1" fontId="7" fillId="0" borderId="20" xfId="0" applyNumberFormat="1" applyFont="1" applyBorder="1" applyAlignment="1">
      <alignment horizontal="center" vertical="center"/>
    </xf>
    <xf numFmtId="0" fontId="12" fillId="0" borderId="21" xfId="0" applyFont="1" applyBorder="1" applyAlignment="1">
      <alignment vertical="center"/>
    </xf>
    <xf numFmtId="0" fontId="12" fillId="0" borderId="22" xfId="0" applyFont="1" applyBorder="1" applyAlignment="1">
      <alignment vertical="center"/>
    </xf>
    <xf numFmtId="0" fontId="12" fillId="0" borderId="15" xfId="0" applyFont="1" applyBorder="1" applyAlignment="1">
      <alignment vertical="center"/>
    </xf>
    <xf numFmtId="0" fontId="20" fillId="0" borderId="23" xfId="0" applyFont="1" applyBorder="1" applyAlignment="1">
      <alignment horizontal="right" vertical="center" wrapText="1"/>
    </xf>
    <xf numFmtId="0" fontId="12" fillId="0" borderId="24" xfId="0" applyFont="1" applyBorder="1" applyAlignment="1">
      <alignment vertical="center"/>
    </xf>
    <xf numFmtId="0" fontId="12" fillId="0" borderId="18" xfId="0" applyFont="1" applyBorder="1" applyAlignment="1">
      <alignment vertical="center"/>
    </xf>
    <xf numFmtId="0" fontId="12" fillId="0" borderId="25" xfId="0" applyFont="1" applyBorder="1" applyAlignment="1">
      <alignment vertical="center" wrapText="1"/>
    </xf>
    <xf numFmtId="0" fontId="12" fillId="0" borderId="25" xfId="0" applyFont="1" applyBorder="1" applyAlignment="1">
      <alignment vertical="center"/>
    </xf>
    <xf numFmtId="0" fontId="13" fillId="0" borderId="14" xfId="0" applyFont="1" applyBorder="1" applyAlignment="1">
      <alignment horizontal="center" vertical="center"/>
    </xf>
    <xf numFmtId="0" fontId="20" fillId="10" borderId="15" xfId="0" applyFont="1" applyFill="1" applyBorder="1" applyAlignment="1">
      <alignment horizontal="center" wrapText="1"/>
    </xf>
    <xf numFmtId="1" fontId="7" fillId="0" borderId="17" xfId="0" applyNumberFormat="1" applyFont="1" applyBorder="1" applyAlignment="1">
      <alignment horizontal="center" vertical="center"/>
    </xf>
    <xf numFmtId="9" fontId="21" fillId="0" borderId="15" xfId="0" applyNumberFormat="1" applyFont="1" applyBorder="1" applyAlignment="1">
      <alignment horizontal="center" vertical="center"/>
    </xf>
    <xf numFmtId="1" fontId="21" fillId="0" borderId="15" xfId="0" applyNumberFormat="1" applyFont="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left" vertical="center"/>
    </xf>
    <xf numFmtId="0" fontId="23" fillId="2" borderId="0" xfId="0" applyFont="1" applyFill="1" applyAlignment="1">
      <alignment horizontal="right" vertical="center"/>
    </xf>
    <xf numFmtId="0" fontId="22" fillId="2" borderId="0" xfId="0" applyFont="1" applyFill="1" applyAlignment="1">
      <alignment horizontal="center" vertical="center"/>
    </xf>
    <xf numFmtId="0" fontId="22" fillId="2" borderId="0" xfId="0" applyFont="1" applyFill="1" applyAlignment="1">
      <alignment horizontal="left" vertical="center"/>
    </xf>
    <xf numFmtId="181" fontId="9" fillId="0" borderId="15" xfId="0" applyNumberFormat="1" applyFont="1" applyBorder="1" applyAlignment="1">
      <alignment horizontal="center" vertical="center"/>
    </xf>
    <xf numFmtId="182" fontId="9" fillId="0" borderId="15" xfId="0" applyNumberFormat="1" applyFont="1" applyBorder="1" applyAlignment="1">
      <alignment horizontal="center" vertical="center"/>
    </xf>
    <xf numFmtId="44" fontId="7" fillId="0" borderId="15" xfId="2" applyFont="1" applyBorder="1" applyAlignment="1" applyProtection="1">
      <alignment horizontal="center" vertical="center"/>
    </xf>
    <xf numFmtId="178" fontId="7" fillId="0" borderId="15" xfId="0" applyNumberFormat="1" applyFont="1" applyBorder="1" applyAlignment="1">
      <alignment horizontal="left" vertical="center"/>
    </xf>
    <xf numFmtId="181" fontId="9" fillId="0" borderId="20" xfId="0" applyNumberFormat="1" applyFont="1" applyBorder="1" applyAlignment="1">
      <alignment horizontal="center" vertical="center"/>
    </xf>
    <xf numFmtId="182" fontId="9" fillId="0" borderId="20" xfId="0" applyNumberFormat="1" applyFont="1" applyBorder="1" applyAlignment="1">
      <alignment horizontal="center" vertical="center"/>
    </xf>
    <xf numFmtId="44" fontId="7" fillId="0" borderId="20" xfId="2" applyFont="1" applyBorder="1" applyAlignment="1" applyProtection="1">
      <alignment horizontal="center" vertical="center"/>
    </xf>
    <xf numFmtId="178" fontId="7" fillId="0" borderId="20" xfId="0" applyNumberFormat="1" applyFont="1" applyBorder="1" applyAlignment="1">
      <alignment horizontal="left" vertical="center"/>
    </xf>
    <xf numFmtId="44" fontId="12" fillId="0" borderId="24" xfId="2" applyFont="1" applyFill="1" applyBorder="1" applyAlignment="1">
      <alignment horizontal="right" vertical="center"/>
    </xf>
    <xf numFmtId="181" fontId="8" fillId="0" borderId="15" xfId="0" applyNumberFormat="1" applyFont="1" applyBorder="1" applyAlignment="1">
      <alignment horizontal="center" vertical="center"/>
    </xf>
    <xf numFmtId="182" fontId="8" fillId="0" borderId="15" xfId="0" applyNumberFormat="1" applyFont="1" applyBorder="1" applyAlignment="1">
      <alignment horizontal="center" vertical="center"/>
    </xf>
    <xf numFmtId="44" fontId="8" fillId="0" borderId="15" xfId="0" applyNumberFormat="1" applyFont="1" applyBorder="1" applyAlignment="1">
      <alignment horizontal="center" vertical="center"/>
    </xf>
    <xf numFmtId="0" fontId="10" fillId="7" borderId="2" xfId="0" applyFont="1" applyFill="1" applyBorder="1" applyAlignment="1">
      <alignment horizontal="center" vertical="center"/>
    </xf>
    <xf numFmtId="183" fontId="14" fillId="2" borderId="7" xfId="0" applyNumberFormat="1" applyFont="1" applyFill="1" applyBorder="1" applyAlignment="1">
      <alignment horizontal="center" vertical="center" wrapText="1"/>
    </xf>
    <xf numFmtId="180" fontId="16" fillId="8" borderId="26" xfId="0" applyNumberFormat="1" applyFont="1" applyFill="1" applyBorder="1" applyAlignment="1">
      <alignment horizontal="center" vertical="center" wrapText="1"/>
    </xf>
    <xf numFmtId="180" fontId="18" fillId="9" borderId="27" xfId="0" applyNumberFormat="1" applyFont="1" applyFill="1" applyBorder="1" applyAlignment="1">
      <alignment horizontal="center" vertical="center" wrapText="1"/>
    </xf>
    <xf numFmtId="44" fontId="7" fillId="0" borderId="28" xfId="0" applyNumberFormat="1" applyFont="1" applyBorder="1" applyAlignment="1">
      <alignment horizontal="center" vertical="center" wrapText="1"/>
    </xf>
    <xf numFmtId="44" fontId="7" fillId="2" borderId="0" xfId="0" applyNumberFormat="1" applyFont="1" applyFill="1" applyAlignment="1">
      <alignment vertical="center"/>
    </xf>
    <xf numFmtId="44" fontId="7" fillId="0" borderId="29" xfId="0" applyNumberFormat="1" applyFont="1" applyBorder="1" applyAlignment="1">
      <alignment horizontal="center" vertical="center" wrapText="1"/>
    </xf>
    <xf numFmtId="44" fontId="7" fillId="0" borderId="30" xfId="0" applyNumberFormat="1" applyFont="1" applyBorder="1" applyAlignment="1">
      <alignment horizontal="center" vertical="center" wrapText="1"/>
    </xf>
    <xf numFmtId="179" fontId="20" fillId="11" borderId="31" xfId="0" applyNumberFormat="1" applyFont="1" applyFill="1" applyBorder="1" applyAlignment="1">
      <alignment horizontal="center" vertical="center"/>
    </xf>
    <xf numFmtId="44" fontId="7" fillId="0" borderId="0" xfId="0" applyNumberFormat="1" applyFont="1" applyAlignment="1">
      <alignment vertical="center"/>
    </xf>
    <xf numFmtId="0" fontId="12" fillId="0" borderId="32" xfId="0" applyFont="1" applyBorder="1" applyAlignment="1">
      <alignment vertical="center"/>
    </xf>
    <xf numFmtId="179" fontId="18" fillId="9" borderId="27" xfId="0" applyNumberFormat="1" applyFont="1" applyFill="1" applyBorder="1" applyAlignment="1">
      <alignment horizontal="center" vertical="center" wrapText="1"/>
    </xf>
    <xf numFmtId="0" fontId="8" fillId="0" borderId="0" xfId="0" applyFont="1" applyAlignment="1">
      <alignment horizontal="left"/>
    </xf>
    <xf numFmtId="179" fontId="7" fillId="0" borderId="27" xfId="0" applyNumberFormat="1" applyFont="1" applyBorder="1" applyAlignment="1">
      <alignment horizontal="center" vertical="center"/>
    </xf>
    <xf numFmtId="0" fontId="7" fillId="0" borderId="0" xfId="0" applyFont="1" applyAlignment="1">
      <alignment horizontal="left"/>
    </xf>
    <xf numFmtId="179" fontId="7" fillId="0" borderId="26" xfId="0" applyNumberFormat="1" applyFont="1" applyBorder="1" applyAlignment="1">
      <alignment horizontal="center" vertical="center" wrapText="1"/>
    </xf>
    <xf numFmtId="0" fontId="7" fillId="0" borderId="15" xfId="0" applyFont="1" applyBorder="1" applyAlignment="1">
      <alignment horizontal="left" vertical="center"/>
    </xf>
    <xf numFmtId="0" fontId="8" fillId="0" borderId="15" xfId="0" applyFont="1" applyBorder="1" applyAlignment="1">
      <alignment horizontal="center" vertical="center"/>
    </xf>
    <xf numFmtId="0" fontId="8" fillId="0" borderId="33" xfId="0" applyFont="1" applyBorder="1" applyAlignment="1">
      <alignment horizontal="center" vertical="center"/>
    </xf>
    <xf numFmtId="0" fontId="20" fillId="0" borderId="34" xfId="0" applyFont="1" applyBorder="1" applyAlignment="1">
      <alignment horizontal="right" vertical="center" wrapText="1"/>
    </xf>
    <xf numFmtId="0" fontId="8" fillId="0" borderId="24" xfId="0" applyFont="1" applyBorder="1" applyAlignment="1">
      <alignment horizontal="center" vertical="center"/>
    </xf>
    <xf numFmtId="1" fontId="8" fillId="0" borderId="24" xfId="0" applyNumberFormat="1" applyFont="1" applyBorder="1" applyAlignment="1">
      <alignment horizontal="center" vertical="center"/>
    </xf>
    <xf numFmtId="0" fontId="13" fillId="0" borderId="35" xfId="0" applyFont="1" applyBorder="1" applyAlignment="1">
      <alignment vertical="center"/>
    </xf>
    <xf numFmtId="0" fontId="13" fillId="0" borderId="25" xfId="0" applyFont="1" applyBorder="1" applyAlignment="1">
      <alignment vertical="center"/>
    </xf>
    <xf numFmtId="0" fontId="13" fillId="0" borderId="25" xfId="0" applyFont="1" applyBorder="1" applyAlignment="1">
      <alignment vertical="center" wrapText="1"/>
    </xf>
    <xf numFmtId="0" fontId="20" fillId="12" borderId="15" xfId="0" applyFont="1" applyFill="1" applyBorder="1" applyAlignment="1">
      <alignment wrapText="1"/>
    </xf>
    <xf numFmtId="1" fontId="13" fillId="2" borderId="36" xfId="8" applyNumberFormat="1" applyFont="1" applyFill="1" applyBorder="1" applyAlignment="1">
      <alignment horizontal="center" vertical="center"/>
    </xf>
    <xf numFmtId="1" fontId="13" fillId="0" borderId="12" xfId="8" applyNumberFormat="1" applyFont="1" applyFill="1" applyBorder="1" applyAlignment="1">
      <alignment horizontal="center" vertical="center"/>
    </xf>
    <xf numFmtId="1" fontId="13" fillId="2" borderId="33" xfId="8" applyNumberFormat="1" applyFont="1" applyFill="1" applyBorder="1" applyAlignment="1">
      <alignment horizontal="center" vertical="center"/>
    </xf>
    <xf numFmtId="0" fontId="7" fillId="0" borderId="20" xfId="0" applyFont="1" applyBorder="1" applyAlignment="1">
      <alignment horizontal="left" vertical="center" wrapText="1"/>
    </xf>
    <xf numFmtId="178" fontId="7" fillId="0" borderId="22" xfId="0" applyNumberFormat="1" applyFont="1" applyBorder="1" applyAlignment="1">
      <alignment horizontal="left" vertical="center"/>
    </xf>
    <xf numFmtId="0" fontId="20" fillId="0" borderId="24" xfId="0" applyFont="1" applyBorder="1" applyAlignment="1">
      <alignment vertical="center"/>
    </xf>
    <xf numFmtId="179" fontId="20" fillId="0" borderId="24" xfId="0" applyNumberFormat="1" applyFont="1" applyBorder="1" applyAlignment="1">
      <alignment horizontal="center" vertical="center"/>
    </xf>
    <xf numFmtId="178" fontId="20" fillId="0" borderId="24" xfId="0" applyNumberFormat="1" applyFont="1" applyBorder="1" applyAlignment="1">
      <alignment vertical="center"/>
    </xf>
    <xf numFmtId="178" fontId="8" fillId="0" borderId="24" xfId="0" applyNumberFormat="1" applyFont="1" applyBorder="1" applyAlignment="1">
      <alignment horizontal="center" vertical="center"/>
    </xf>
    <xf numFmtId="44" fontId="7" fillId="0" borderId="15" xfId="2" applyFont="1" applyFill="1" applyBorder="1" applyAlignment="1" applyProtection="1">
      <alignment horizontal="center" vertical="center"/>
    </xf>
    <xf numFmtId="179" fontId="13" fillId="0" borderId="32" xfId="0" applyNumberFormat="1" applyFont="1" applyBorder="1" applyAlignment="1">
      <alignment vertical="center"/>
    </xf>
    <xf numFmtId="0" fontId="24" fillId="13" borderId="15" xfId="0" applyFont="1" applyFill="1" applyBorder="1" applyAlignment="1">
      <alignment vertical="center" wrapText="1"/>
    </xf>
    <xf numFmtId="1" fontId="13" fillId="2" borderId="19" xfId="8" applyNumberFormat="1" applyFont="1" applyFill="1" applyBorder="1" applyAlignment="1">
      <alignment horizontal="center" vertical="center"/>
    </xf>
    <xf numFmtId="1" fontId="13" fillId="0" borderId="16" xfId="8" applyNumberFormat="1" applyFont="1" applyFill="1" applyBorder="1" applyAlignment="1">
      <alignment horizontal="center" vertical="center"/>
    </xf>
    <xf numFmtId="0" fontId="7" fillId="0" borderId="15" xfId="0" applyFont="1" applyBorder="1"/>
    <xf numFmtId="0" fontId="7" fillId="0" borderId="15" xfId="0" applyFont="1" applyBorder="1" applyAlignment="1">
      <alignment wrapText="1"/>
    </xf>
    <xf numFmtId="0" fontId="7" fillId="0" borderId="15" xfId="0" applyFont="1" applyBorder="1" applyAlignment="1">
      <alignment horizontal="right" wrapText="1"/>
    </xf>
    <xf numFmtId="1" fontId="13" fillId="2" borderId="21" xfId="8" applyNumberFormat="1" applyFont="1" applyFill="1" applyBorder="1" applyAlignment="1">
      <alignment horizontal="center" vertical="center"/>
    </xf>
    <xf numFmtId="0" fontId="12" fillId="0" borderId="0" xfId="0" applyFont="1" applyBorder="1" applyAlignment="1">
      <alignment vertical="center"/>
    </xf>
    <xf numFmtId="0" fontId="12" fillId="0" borderId="35" xfId="0" applyFont="1" applyBorder="1" applyAlignment="1">
      <alignment vertical="center"/>
    </xf>
    <xf numFmtId="1" fontId="13" fillId="2" borderId="37" xfId="8" applyNumberFormat="1" applyFont="1" applyFill="1" applyBorder="1" applyAlignment="1">
      <alignment horizontal="center" vertical="center"/>
    </xf>
    <xf numFmtId="1" fontId="13" fillId="0" borderId="14" xfId="8" applyNumberFormat="1" applyFont="1" applyFill="1" applyBorder="1" applyAlignment="1">
      <alignment horizontal="center" vertical="center"/>
    </xf>
    <xf numFmtId="1" fontId="13" fillId="0" borderId="22" xfId="8" applyNumberFormat="1" applyFont="1" applyFill="1" applyBorder="1" applyAlignment="1">
      <alignment horizontal="center" vertical="center"/>
    </xf>
    <xf numFmtId="0" fontId="7" fillId="0" borderId="24" xfId="0" applyFont="1" applyBorder="1" applyAlignment="1">
      <alignment vertical="center"/>
    </xf>
    <xf numFmtId="44" fontId="7" fillId="0" borderId="15" xfId="2" applyFont="1" applyFill="1" applyBorder="1" applyAlignment="1">
      <alignment horizontal="center" vertical="center"/>
    </xf>
    <xf numFmtId="179" fontId="7" fillId="0" borderId="26" xfId="0" applyNumberFormat="1" applyFont="1" applyBorder="1" applyAlignment="1">
      <alignment horizontal="center" vertical="center"/>
    </xf>
    <xf numFmtId="179" fontId="7" fillId="0" borderId="28" xfId="0" applyNumberFormat="1" applyFont="1" applyBorder="1" applyAlignment="1">
      <alignment horizontal="center" vertical="center" wrapText="1"/>
    </xf>
    <xf numFmtId="179" fontId="12" fillId="0" borderId="32" xfId="0" applyNumberFormat="1" applyFont="1" applyBorder="1" applyAlignment="1">
      <alignment vertical="center"/>
    </xf>
    <xf numFmtId="179" fontId="7" fillId="0" borderId="27" xfId="0" applyNumberFormat="1" applyFont="1" applyBorder="1" applyAlignment="1">
      <alignment horizontal="center" vertical="center" wrapText="1"/>
    </xf>
    <xf numFmtId="0" fontId="13" fillId="0" borderId="15" xfId="0" applyFont="1" applyBorder="1" applyAlignment="1">
      <alignment horizontal="center" vertical="center"/>
    </xf>
    <xf numFmtId="0" fontId="13" fillId="0" borderId="15" xfId="0" applyFont="1" applyBorder="1" applyAlignment="1">
      <alignment horizontal="center" vertical="center" wrapText="1"/>
    </xf>
    <xf numFmtId="0" fontId="23" fillId="14" borderId="38" xfId="0" applyFont="1" applyFill="1" applyBorder="1" applyAlignment="1">
      <alignment horizontal="center" vertical="center"/>
    </xf>
    <xf numFmtId="0" fontId="25" fillId="15" borderId="14" xfId="0" applyFont="1" applyFill="1" applyBorder="1" applyAlignment="1">
      <alignment horizontal="left" vertical="center"/>
    </xf>
    <xf numFmtId="0" fontId="25" fillId="15" borderId="15" xfId="0" applyFont="1" applyFill="1" applyBorder="1" applyAlignment="1">
      <alignment horizontal="center" vertical="center"/>
    </xf>
    <xf numFmtId="0" fontId="25" fillId="15" borderId="15" xfId="0" applyFont="1" applyFill="1" applyBorder="1" applyAlignment="1">
      <alignment horizontal="left" vertical="center" wrapText="1"/>
    </xf>
    <xf numFmtId="0" fontId="26" fillId="15" borderId="15" xfId="0" applyFont="1" applyFill="1" applyBorder="1" applyAlignment="1">
      <alignment horizontal="center" vertical="center"/>
    </xf>
    <xf numFmtId="1" fontId="26" fillId="15" borderId="15" xfId="0" applyNumberFormat="1" applyFont="1" applyFill="1" applyBorder="1" applyAlignment="1">
      <alignment horizontal="center" vertical="center"/>
    </xf>
    <xf numFmtId="0" fontId="25" fillId="15" borderId="15" xfId="0" applyFont="1" applyFill="1" applyBorder="1" applyAlignment="1">
      <alignment horizontal="center"/>
    </xf>
    <xf numFmtId="0" fontId="25" fillId="15" borderId="15" xfId="0" applyFont="1" applyFill="1" applyBorder="1" applyAlignment="1">
      <alignment horizontal="left" wrapText="1"/>
    </xf>
    <xf numFmtId="1" fontId="25" fillId="15" borderId="15" xfId="0" applyNumberFormat="1" applyFont="1" applyFill="1" applyBorder="1" applyAlignment="1">
      <alignment horizontal="center" vertical="center"/>
    </xf>
    <xf numFmtId="0" fontId="25" fillId="16" borderId="14" xfId="0" applyFont="1" applyFill="1" applyBorder="1" applyAlignment="1">
      <alignment horizontal="left" vertical="center"/>
    </xf>
    <xf numFmtId="0" fontId="25" fillId="16" borderId="15" xfId="0" applyFont="1" applyFill="1" applyBorder="1" applyAlignment="1">
      <alignment horizontal="center"/>
    </xf>
    <xf numFmtId="0" fontId="25" fillId="16" borderId="15" xfId="0" applyFont="1" applyFill="1" applyBorder="1" applyAlignment="1">
      <alignment horizontal="left" wrapText="1"/>
    </xf>
    <xf numFmtId="1" fontId="25" fillId="16" borderId="15" xfId="0" applyNumberFormat="1" applyFont="1" applyFill="1" applyBorder="1" applyAlignment="1">
      <alignment horizontal="center" vertical="center"/>
    </xf>
    <xf numFmtId="0" fontId="25" fillId="16" borderId="15" xfId="0" applyFont="1" applyFill="1" applyBorder="1" applyAlignment="1">
      <alignment horizontal="center" vertical="center"/>
    </xf>
    <xf numFmtId="0" fontId="25" fillId="17" borderId="14" xfId="0" applyFont="1" applyFill="1" applyBorder="1" applyAlignment="1">
      <alignment horizontal="left" vertical="center"/>
    </xf>
    <xf numFmtId="0" fontId="25" fillId="17" borderId="15" xfId="0" applyFont="1" applyFill="1" applyBorder="1" applyAlignment="1">
      <alignment horizontal="center"/>
    </xf>
    <xf numFmtId="0" fontId="25" fillId="17" borderId="15" xfId="0" applyFont="1" applyFill="1" applyBorder="1" applyAlignment="1">
      <alignment horizontal="left" wrapText="1"/>
    </xf>
    <xf numFmtId="1" fontId="25" fillId="17" borderId="15" xfId="0" applyNumberFormat="1" applyFont="1" applyFill="1" applyBorder="1" applyAlignment="1">
      <alignment horizontal="center" vertical="center"/>
    </xf>
    <xf numFmtId="0" fontId="25" fillId="17" borderId="15" xfId="0" applyFont="1" applyFill="1" applyBorder="1" applyAlignment="1">
      <alignment horizontal="center" vertical="center"/>
    </xf>
    <xf numFmtId="0" fontId="25" fillId="17" borderId="39" xfId="0" applyFont="1" applyFill="1" applyBorder="1" applyAlignment="1">
      <alignment horizontal="left" vertical="center"/>
    </xf>
    <xf numFmtId="180" fontId="25" fillId="17" borderId="40" xfId="0" applyNumberFormat="1" applyFont="1" applyFill="1" applyBorder="1" applyAlignment="1">
      <alignment horizontal="center" vertical="center"/>
    </xf>
    <xf numFmtId="0" fontId="25" fillId="17" borderId="40" xfId="0" applyFont="1" applyFill="1" applyBorder="1" applyAlignment="1">
      <alignment horizontal="left" vertical="center" wrapText="1"/>
    </xf>
    <xf numFmtId="0" fontId="26" fillId="17" borderId="40" xfId="0" applyFont="1" applyFill="1" applyBorder="1" applyAlignment="1">
      <alignment horizontal="center" vertical="center"/>
    </xf>
    <xf numFmtId="1" fontId="26" fillId="17" borderId="40" xfId="0" applyNumberFormat="1" applyFont="1" applyFill="1" applyBorder="1" applyAlignment="1">
      <alignment horizontal="center" vertical="center"/>
    </xf>
    <xf numFmtId="0" fontId="23" fillId="14" borderId="41" xfId="0" applyFont="1" applyFill="1" applyBorder="1" applyAlignment="1">
      <alignment horizontal="center" vertical="center"/>
    </xf>
    <xf numFmtId="182" fontId="23" fillId="14" borderId="22" xfId="0" applyNumberFormat="1" applyFont="1" applyFill="1" applyBorder="1" applyAlignment="1">
      <alignment horizontal="center" vertical="center" wrapText="1"/>
    </xf>
    <xf numFmtId="0" fontId="23" fillId="4" borderId="38" xfId="0" applyFont="1" applyFill="1" applyBorder="1" applyAlignment="1">
      <alignment horizontal="center" vertical="center" wrapText="1"/>
    </xf>
    <xf numFmtId="0" fontId="23" fillId="4" borderId="41" xfId="0" applyFont="1" applyFill="1" applyBorder="1" applyAlignment="1">
      <alignment horizontal="center" vertical="center" wrapText="1"/>
    </xf>
    <xf numFmtId="178" fontId="23" fillId="4" borderId="15" xfId="0" applyNumberFormat="1" applyFont="1" applyFill="1" applyBorder="1" applyAlignment="1">
      <alignment horizontal="center" vertical="center"/>
    </xf>
    <xf numFmtId="0" fontId="23" fillId="5" borderId="15" xfId="0" applyFont="1" applyFill="1" applyBorder="1" applyAlignment="1">
      <alignment horizontal="center" vertical="center" wrapText="1"/>
    </xf>
    <xf numFmtId="178" fontId="23" fillId="5" borderId="15" xfId="0" applyNumberFormat="1" applyFont="1" applyFill="1" applyBorder="1" applyAlignment="1">
      <alignment horizontal="center" vertical="center"/>
    </xf>
    <xf numFmtId="44" fontId="26" fillId="15" borderId="15" xfId="0" applyNumberFormat="1" applyFont="1" applyFill="1" applyBorder="1" applyAlignment="1">
      <alignment horizontal="left" vertical="center"/>
    </xf>
    <xf numFmtId="9" fontId="25" fillId="15" borderId="15" xfId="0" applyNumberFormat="1" applyFont="1" applyFill="1" applyBorder="1" applyAlignment="1">
      <alignment horizontal="left" vertical="center"/>
    </xf>
    <xf numFmtId="9" fontId="25" fillId="16" borderId="15" xfId="0" applyNumberFormat="1" applyFont="1" applyFill="1" applyBorder="1" applyAlignment="1">
      <alignment horizontal="left" vertical="center"/>
    </xf>
    <xf numFmtId="10" fontId="25" fillId="17" borderId="15" xfId="0" applyNumberFormat="1" applyFont="1" applyFill="1" applyBorder="1" applyAlignment="1">
      <alignment horizontal="left" vertical="center"/>
    </xf>
    <xf numFmtId="184" fontId="25" fillId="17" borderId="15" xfId="0" applyNumberFormat="1" applyFont="1" applyFill="1" applyBorder="1" applyAlignment="1">
      <alignment horizontal="left" vertical="center"/>
    </xf>
    <xf numFmtId="44" fontId="26" fillId="17" borderId="40" xfId="0" applyNumberFormat="1" applyFont="1" applyFill="1" applyBorder="1" applyAlignment="1">
      <alignment horizontal="left" vertical="center"/>
    </xf>
    <xf numFmtId="178" fontId="7" fillId="0" borderId="27" xfId="0" applyNumberFormat="1" applyFont="1" applyBorder="1" applyAlignment="1">
      <alignment horizontal="center" vertical="center"/>
    </xf>
    <xf numFmtId="0" fontId="9" fillId="0" borderId="0" xfId="0" applyFont="1" applyAlignment="1">
      <alignment horizontal="left"/>
    </xf>
    <xf numFmtId="179" fontId="27" fillId="15" borderId="27" xfId="0" applyNumberFormat="1" applyFont="1" applyFill="1" applyBorder="1" applyAlignment="1">
      <alignment horizontal="left" vertical="center"/>
    </xf>
    <xf numFmtId="0" fontId="25" fillId="0" borderId="0" xfId="0" applyFont="1"/>
    <xf numFmtId="179" fontId="27" fillId="16" borderId="27" xfId="0" applyNumberFormat="1" applyFont="1" applyFill="1" applyBorder="1" applyAlignment="1">
      <alignment horizontal="left" vertical="center"/>
    </xf>
    <xf numFmtId="179" fontId="27" fillId="17" borderId="27" xfId="0" applyNumberFormat="1" applyFont="1" applyFill="1" applyBorder="1" applyAlignment="1">
      <alignment horizontal="left" vertical="center"/>
    </xf>
    <xf numFmtId="179" fontId="27" fillId="17" borderId="42" xfId="0" applyNumberFormat="1" applyFont="1" applyFill="1" applyBorder="1" applyAlignment="1">
      <alignment horizontal="left" vertical="center"/>
    </xf>
    <xf numFmtId="0" fontId="12" fillId="0" borderId="15" xfId="0" applyFont="1" applyBorder="1" applyAlignment="1">
      <alignment horizontal="left" vertical="center" wrapText="1"/>
    </xf>
    <xf numFmtId="0" fontId="28" fillId="0" borderId="15" xfId="0" applyFont="1" applyBorder="1" applyAlignment="1">
      <alignment horizontal="left" vertical="center" wrapText="1"/>
    </xf>
    <xf numFmtId="9" fontId="7" fillId="0" borderId="43" xfId="0" applyNumberFormat="1" applyFont="1" applyBorder="1" applyAlignment="1">
      <alignment horizontal="center" vertical="center"/>
    </xf>
    <xf numFmtId="1" fontId="7" fillId="0" borderId="43" xfId="0" applyNumberFormat="1" applyFont="1" applyBorder="1" applyAlignment="1">
      <alignment horizontal="center" vertical="center"/>
    </xf>
    <xf numFmtId="1" fontId="13" fillId="2" borderId="25" xfId="8" applyNumberFormat="1" applyFont="1" applyFill="1" applyBorder="1" applyAlignment="1">
      <alignment horizontal="center" vertical="center"/>
    </xf>
    <xf numFmtId="0" fontId="0" fillId="0" borderId="0" xfId="0" applyAlignment="1">
      <alignment horizontal="center" vertical="center"/>
    </xf>
    <xf numFmtId="0" fontId="7" fillId="0" borderId="15" xfId="0" applyFont="1" applyBorder="1" applyAlignment="1">
      <alignment wrapText="1"/>
    </xf>
    <xf numFmtId="1" fontId="13" fillId="0" borderId="15" xfId="8" applyNumberFormat="1" applyFont="1" applyFill="1" applyBorder="1" applyAlignment="1">
      <alignment horizontal="center" vertical="center"/>
    </xf>
    <xf numFmtId="1" fontId="13" fillId="0" borderId="35" xfId="8" applyNumberFormat="1" applyFont="1" applyFill="1" applyBorder="1" applyAlignment="1">
      <alignment horizontal="center" vertical="center"/>
    </xf>
    <xf numFmtId="1" fontId="13" fillId="0" borderId="25" xfId="8" applyNumberFormat="1" applyFont="1" applyFill="1" applyBorder="1" applyAlignment="1">
      <alignment horizontal="center" vertical="center"/>
    </xf>
    <xf numFmtId="0" fontId="7" fillId="0" borderId="43" xfId="0" applyFont="1" applyBorder="1" applyAlignment="1">
      <alignment horizontal="center" vertical="center"/>
    </xf>
    <xf numFmtId="1" fontId="13" fillId="0" borderId="17" xfId="8" applyNumberFormat="1" applyFont="1" applyFill="1" applyBorder="1" applyAlignment="1">
      <alignment horizontal="center" vertical="center"/>
    </xf>
    <xf numFmtId="0" fontId="12" fillId="0" borderId="22" xfId="0" applyFont="1" applyBorder="1" applyAlignment="1">
      <alignment horizontal="center" vertical="center"/>
    </xf>
    <xf numFmtId="0" fontId="12" fillId="0" borderId="15" xfId="0" applyFont="1" applyBorder="1" applyAlignment="1">
      <alignment horizontal="center" vertical="center"/>
    </xf>
    <xf numFmtId="0" fontId="12" fillId="0" borderId="25" xfId="0" applyFont="1" applyBorder="1" applyAlignment="1">
      <alignment horizontal="center" vertical="center"/>
    </xf>
    <xf numFmtId="181" fontId="9" fillId="0" borderId="43" xfId="0" applyNumberFormat="1" applyFont="1" applyBorder="1" applyAlignment="1">
      <alignment horizontal="center" vertical="center"/>
    </xf>
    <xf numFmtId="182" fontId="9" fillId="0" borderId="43" xfId="0" applyNumberFormat="1" applyFont="1" applyBorder="1" applyAlignment="1">
      <alignment horizontal="center" vertical="center"/>
    </xf>
    <xf numFmtId="44" fontId="7" fillId="0" borderId="43" xfId="2" applyFont="1" applyFill="1" applyBorder="1" applyAlignment="1" applyProtection="1">
      <alignment horizontal="center" vertical="center"/>
    </xf>
    <xf numFmtId="178" fontId="7" fillId="0" borderId="43" xfId="0" applyNumberFormat="1" applyFont="1" applyBorder="1" applyAlignment="1">
      <alignment horizontal="left" vertical="center"/>
    </xf>
    <xf numFmtId="179" fontId="7" fillId="0" borderId="15" xfId="0" applyNumberFormat="1" applyFont="1" applyBorder="1" applyAlignment="1">
      <alignment horizontal="center" vertical="center" wrapText="1"/>
    </xf>
    <xf numFmtId="0" fontId="7" fillId="2" borderId="0" xfId="0" applyFont="1" applyFill="1" applyBorder="1" applyAlignment="1">
      <alignment horizontal="center" vertical="center"/>
    </xf>
    <xf numFmtId="0" fontId="7" fillId="2" borderId="0" xfId="0" applyFont="1" applyFill="1" applyBorder="1" applyAlignment="1">
      <alignment vertical="center"/>
    </xf>
    <xf numFmtId="0" fontId="7" fillId="6" borderId="0" xfId="0" applyFont="1" applyFill="1" applyBorder="1" applyAlignment="1">
      <alignment horizontal="center" vertical="center" wrapText="1"/>
    </xf>
    <xf numFmtId="0" fontId="10" fillId="7" borderId="0" xfId="0" applyFont="1" applyFill="1" applyBorder="1" applyAlignment="1">
      <alignment horizontal="center" vertical="center"/>
    </xf>
    <xf numFmtId="180" fontId="16" fillId="8" borderId="22" xfId="0" applyNumberFormat="1" applyFont="1" applyFill="1" applyBorder="1" applyAlignment="1">
      <alignment horizontal="center" vertical="center" wrapText="1"/>
    </xf>
    <xf numFmtId="0" fontId="17" fillId="8" borderId="16" xfId="0" applyFont="1" applyFill="1" applyBorder="1" applyAlignment="1">
      <alignment horizontal="center" vertical="center" wrapText="1"/>
    </xf>
    <xf numFmtId="0" fontId="19" fillId="9" borderId="17" xfId="0" applyFont="1" applyFill="1" applyBorder="1" applyAlignment="1">
      <alignment horizontal="left" vertical="center" wrapText="1"/>
    </xf>
    <xf numFmtId="1" fontId="13" fillId="2" borderId="22" xfId="8" applyNumberFormat="1" applyFont="1" applyFill="1" applyBorder="1" applyAlignment="1">
      <alignment horizontal="center" vertical="center"/>
    </xf>
    <xf numFmtId="0" fontId="7" fillId="0" borderId="16" xfId="0" applyFont="1" applyBorder="1" applyAlignment="1">
      <alignment horizontal="left" vertical="center"/>
    </xf>
    <xf numFmtId="0" fontId="7" fillId="0" borderId="17" xfId="0" applyFont="1" applyBorder="1" applyAlignment="1">
      <alignment horizontal="left" vertical="center"/>
    </xf>
    <xf numFmtId="0" fontId="7" fillId="0" borderId="19" xfId="0" applyFont="1" applyBorder="1" applyAlignment="1">
      <alignment horizontal="left" vertical="center"/>
    </xf>
    <xf numFmtId="180" fontId="18" fillId="9" borderId="22" xfId="0" applyNumberFormat="1" applyFont="1" applyFill="1" applyBorder="1" applyAlignment="1">
      <alignment horizontal="center" vertical="center" wrapText="1"/>
    </xf>
    <xf numFmtId="0" fontId="20" fillId="12" borderId="17" xfId="0" applyFont="1" applyFill="1" applyBorder="1"/>
    <xf numFmtId="185" fontId="7" fillId="0" borderId="20" xfId="0" applyNumberFormat="1" applyFont="1" applyBorder="1" applyAlignment="1">
      <alignment horizontal="center" vertical="center"/>
    </xf>
    <xf numFmtId="0" fontId="7" fillId="0" borderId="0" xfId="0" applyFont="1" applyBorder="1" applyAlignment="1">
      <alignment vertical="center"/>
    </xf>
    <xf numFmtId="0" fontId="7" fillId="0" borderId="0" xfId="0" applyFont="1" applyBorder="1"/>
    <xf numFmtId="44" fontId="7" fillId="0" borderId="26" xfId="0" applyNumberFormat="1" applyFont="1" applyBorder="1" applyAlignment="1">
      <alignment horizontal="center" vertical="center" wrapText="1"/>
    </xf>
    <xf numFmtId="44" fontId="7" fillId="0" borderId="27" xfId="0" applyNumberFormat="1" applyFont="1" applyBorder="1" applyAlignment="1">
      <alignment horizontal="center" vertical="center" wrapText="1"/>
    </xf>
    <xf numFmtId="0" fontId="8" fillId="0" borderId="0" xfId="0" applyFont="1" applyBorder="1" applyAlignment="1">
      <alignment horizontal="left"/>
    </xf>
    <xf numFmtId="0" fontId="8" fillId="0" borderId="0" xfId="0" applyFont="1" applyBorder="1"/>
    <xf numFmtId="0" fontId="0" fillId="0" borderId="0" xfId="0" applyBorder="1"/>
    <xf numFmtId="1" fontId="7" fillId="0" borderId="22" xfId="0" applyNumberFormat="1" applyFont="1" applyBorder="1" applyAlignment="1">
      <alignment horizontal="center" vertical="center"/>
    </xf>
    <xf numFmtId="0" fontId="8" fillId="0" borderId="22" xfId="0" applyFont="1" applyBorder="1" applyAlignment="1">
      <alignment horizontal="center" vertical="center"/>
    </xf>
    <xf numFmtId="0" fontId="13" fillId="0" borderId="22" xfId="0" applyFont="1" applyBorder="1" applyAlignment="1">
      <alignment horizontal="center" vertical="center"/>
    </xf>
    <xf numFmtId="0" fontId="13" fillId="0" borderId="17" xfId="0" applyFont="1" applyBorder="1" applyAlignment="1">
      <alignment horizontal="center" vertical="center"/>
    </xf>
    <xf numFmtId="0" fontId="25" fillId="15" borderId="22" xfId="0" applyFont="1" applyFill="1" applyBorder="1" applyAlignment="1">
      <alignment horizontal="center" vertical="center"/>
    </xf>
    <xf numFmtId="0" fontId="25" fillId="15" borderId="17" xfId="0" applyFont="1" applyFill="1" applyBorder="1" applyAlignment="1">
      <alignment horizontal="left" vertical="center" wrapText="1"/>
    </xf>
    <xf numFmtId="0" fontId="25" fillId="15" borderId="17" xfId="0" applyFont="1" applyFill="1" applyBorder="1" applyAlignment="1">
      <alignment horizontal="left"/>
    </xf>
    <xf numFmtId="0" fontId="25" fillId="16" borderId="22" xfId="0" applyFont="1" applyFill="1" applyBorder="1" applyAlignment="1">
      <alignment horizontal="center" vertical="center"/>
    </xf>
    <xf numFmtId="0" fontId="25" fillId="16" borderId="17" xfId="0" applyFont="1" applyFill="1" applyBorder="1" applyAlignment="1">
      <alignment horizontal="left"/>
    </xf>
    <xf numFmtId="0" fontId="25" fillId="17" borderId="22" xfId="0" applyFont="1" applyFill="1" applyBorder="1" applyAlignment="1">
      <alignment horizontal="center" vertical="center"/>
    </xf>
    <xf numFmtId="0" fontId="25" fillId="17" borderId="17" xfId="0" applyFont="1" applyFill="1" applyBorder="1" applyAlignment="1">
      <alignment horizontal="left"/>
    </xf>
    <xf numFmtId="180" fontId="25" fillId="17" borderId="22" xfId="0" applyNumberFormat="1" applyFont="1" applyFill="1" applyBorder="1" applyAlignment="1">
      <alignment horizontal="center" vertical="center"/>
    </xf>
    <xf numFmtId="180" fontId="25" fillId="17" borderId="15" xfId="0" applyNumberFormat="1" applyFont="1" applyFill="1" applyBorder="1" applyAlignment="1">
      <alignment horizontal="center" vertical="center"/>
    </xf>
    <xf numFmtId="0" fontId="25" fillId="17" borderId="44" xfId="0" applyFont="1" applyFill="1" applyBorder="1" applyAlignment="1">
      <alignment horizontal="left" vertical="center" wrapText="1"/>
    </xf>
    <xf numFmtId="0" fontId="23" fillId="18" borderId="15" xfId="0" applyFont="1" applyFill="1" applyBorder="1" applyAlignment="1">
      <alignment horizontal="center" vertical="center" wrapText="1"/>
    </xf>
    <xf numFmtId="178" fontId="23" fillId="18" borderId="15" xfId="0" applyNumberFormat="1" applyFont="1" applyFill="1" applyBorder="1" applyAlignment="1">
      <alignment horizontal="center" vertical="center"/>
    </xf>
    <xf numFmtId="0" fontId="7" fillId="0" borderId="0" xfId="0" applyFont="1" applyBorder="1" applyAlignment="1">
      <alignment horizontal="left"/>
    </xf>
    <xf numFmtId="0" fontId="9" fillId="0" borderId="0" xfId="0" applyFont="1" applyBorder="1" applyAlignment="1">
      <alignment horizontal="left"/>
    </xf>
    <xf numFmtId="0" fontId="9" fillId="0" borderId="0" xfId="0" applyFont="1" applyBorder="1"/>
    <xf numFmtId="0" fontId="25" fillId="0" borderId="0" xfId="0" applyFont="1" applyBorder="1"/>
  </cellXfs>
  <cellStyles count="5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urrency 2" xfId="49"/>
    <cellStyle name="Currency 3" xfId="50"/>
    <cellStyle name="Currency 4" xfId="51"/>
    <cellStyle name="Normal 2" xfId="52"/>
    <cellStyle name="Normal 2 3" xfId="53"/>
    <cellStyle name="Normal 4" xfId="54"/>
    <cellStyle name="Percent 2" xfId="55"/>
    <cellStyle name="Percent 3" xfId="56"/>
    <cellStyle name="Style 1" xfId="57"/>
    <cellStyle name="Note 2" xfId="58"/>
  </cellStyles>
  <dxfs count="1">
    <dxf>
      <font>
        <color rgb="FF9C0006"/>
      </font>
      <fill>
        <patternFill patternType="solid">
          <bgColor rgb="FFFFC7CE"/>
        </patternFill>
      </fill>
    </dxf>
  </dxfs>
  <tableStyles count="0" defaultTableStyle="TableStyleMedium9" defaultPivotStyle="PivotStyleLight16"/>
  <colors>
    <mruColors>
      <color rgb="0000496A"/>
      <color rgb="004A4C4C"/>
      <color rgb="00013554"/>
      <color rgb="00001521"/>
      <color rgb="0000A6A5"/>
      <color rgb="0000C8C3"/>
      <color rgb="0000A8A4"/>
      <color rgb="0000DED9"/>
      <color rgb="0000BCB8"/>
      <color rgb="0000DA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457200</xdr:colOff>
      <xdr:row>1</xdr:row>
      <xdr:rowOff>0</xdr:rowOff>
    </xdr:from>
    <xdr:ext cx="184731" cy="285515"/>
    <xdr:sp>
      <xdr:nvSpPr>
        <xdr:cNvPr id="3" name="TextBox 2"/>
        <xdr:cNvSpPr txBox="1"/>
      </xdr:nvSpPr>
      <xdr:spPr>
        <a:xfrm>
          <a:off x="3246120" y="0"/>
          <a:ext cx="184150" cy="2851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3</xdr:col>
      <xdr:colOff>0</xdr:colOff>
      <xdr:row>1</xdr:row>
      <xdr:rowOff>0</xdr:rowOff>
    </xdr:from>
    <xdr:ext cx="184731" cy="285515"/>
    <xdr:sp>
      <xdr:nvSpPr>
        <xdr:cNvPr id="5" name="TextBox 4"/>
        <xdr:cNvSpPr txBox="1"/>
      </xdr:nvSpPr>
      <xdr:spPr>
        <a:xfrm>
          <a:off x="2788920" y="0"/>
          <a:ext cx="184150" cy="2851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Integral">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tile tx="0" ty="0" sx="40000" sy="40000" flip="none" algn="tl"/>
        </a:blip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77"/>
  <sheetViews>
    <sheetView zoomScale="55" zoomScaleNormal="55" topLeftCell="A2" workbookViewId="0">
      <selection activeCell="A3" sqref="$A3:$XFD5"/>
    </sheetView>
  </sheetViews>
  <sheetFormatPr defaultColWidth="9" defaultRowHeight="15.6"/>
  <cols>
    <col min="1" max="1" width="4.08333333333333" style="34" customWidth="1"/>
    <col min="2" max="2" width="8.5" style="230" customWidth="1"/>
    <col min="3" max="3" width="12.9" style="230" customWidth="1"/>
    <col min="4" max="4" width="68.8333333333333" style="34" customWidth="1"/>
    <col min="5" max="6" width="11.5833333333333" style="37" customWidth="1"/>
    <col min="7" max="7" width="14" style="37" customWidth="1"/>
    <col min="8" max="8" width="10.5833333333333" style="34" customWidth="1"/>
    <col min="9" max="10" width="14" style="37" customWidth="1"/>
    <col min="11" max="12" width="12.5833333333333" style="34" customWidth="1"/>
    <col min="13" max="13" width="14.4166666666667" style="34" customWidth="1"/>
    <col min="14" max="14" width="19.0833333333333" style="34" customWidth="1"/>
    <col min="15" max="15" width="14.6666666666667" style="34" customWidth="1"/>
    <col min="16" max="16" width="12.5833333333333" style="34" customWidth="1"/>
    <col min="17" max="17" width="15.25" style="36" customWidth="1"/>
    <col min="18" max="18" width="9" style="34"/>
    <col min="19" max="40" width="9" style="231"/>
    <col min="41" max="16384" width="9" style="34"/>
  </cols>
  <sheetData>
    <row r="1" s="31" customFormat="1" ht="15" hidden="1" customHeight="1" spans="1:40">
      <c r="A1" s="38"/>
      <c r="B1" s="232"/>
      <c r="C1" s="232"/>
      <c r="D1" s="39"/>
      <c r="E1" s="39"/>
      <c r="F1" s="39"/>
      <c r="G1" s="39"/>
      <c r="H1" s="39"/>
      <c r="I1" s="39"/>
      <c r="J1" s="39"/>
      <c r="K1" s="39"/>
      <c r="L1" s="39"/>
      <c r="M1" s="39"/>
      <c r="N1" s="39"/>
      <c r="O1" s="39"/>
      <c r="P1" s="39"/>
      <c r="Q1" s="39"/>
      <c r="S1" s="244"/>
      <c r="T1" s="244"/>
      <c r="U1" s="244"/>
      <c r="V1" s="244"/>
      <c r="W1" s="244"/>
      <c r="X1" s="244"/>
      <c r="Y1" s="244"/>
      <c r="Z1" s="244"/>
      <c r="AA1" s="244"/>
      <c r="AB1" s="244"/>
      <c r="AC1" s="244"/>
      <c r="AD1" s="244"/>
      <c r="AE1" s="244"/>
      <c r="AF1" s="244"/>
      <c r="AG1" s="244"/>
      <c r="AH1" s="244"/>
      <c r="AI1" s="244"/>
      <c r="AJ1" s="244"/>
      <c r="AK1" s="244"/>
      <c r="AL1" s="244"/>
      <c r="AM1" s="244"/>
      <c r="AN1" s="244"/>
    </row>
    <row r="2" s="34" customFormat="1" ht="18.75" spans="1:40">
      <c r="A2" s="40" t="s">
        <v>0</v>
      </c>
      <c r="B2" s="233"/>
      <c r="C2" s="233"/>
      <c r="D2" s="41"/>
      <c r="E2" s="41"/>
      <c r="F2" s="41"/>
      <c r="G2" s="41"/>
      <c r="H2" s="41"/>
      <c r="I2" s="41"/>
      <c r="J2" s="41"/>
      <c r="K2" s="41"/>
      <c r="L2" s="41"/>
      <c r="M2" s="41"/>
      <c r="N2" s="41"/>
      <c r="O2" s="41"/>
      <c r="P2" s="41"/>
      <c r="Q2" s="109"/>
      <c r="S2" s="231"/>
      <c r="T2" s="231"/>
      <c r="U2" s="231"/>
      <c r="V2" s="231"/>
      <c r="W2" s="231"/>
      <c r="X2" s="231"/>
      <c r="Y2" s="231"/>
      <c r="Z2" s="231"/>
      <c r="AA2" s="231"/>
      <c r="AB2" s="231"/>
      <c r="AC2" s="231"/>
      <c r="AD2" s="231"/>
      <c r="AE2" s="231"/>
      <c r="AF2" s="231"/>
      <c r="AG2" s="231"/>
      <c r="AH2" s="231"/>
      <c r="AI2" s="231"/>
      <c r="AJ2" s="231"/>
      <c r="AK2" s="231"/>
      <c r="AL2" s="231"/>
      <c r="AM2" s="231"/>
      <c r="AN2" s="231"/>
    </row>
    <row r="3" s="34" customFormat="1" ht="17.4" customHeight="1" spans="1:17">
      <c r="A3" s="43"/>
      <c r="B3" s="44"/>
      <c r="C3" s="45" t="s">
        <v>1</v>
      </c>
      <c r="D3" s="46" t="s">
        <v>2</v>
      </c>
      <c r="E3" s="47"/>
      <c r="F3" s="47"/>
      <c r="G3" s="48"/>
      <c r="H3" s="48"/>
      <c r="I3" s="48"/>
      <c r="J3" s="48"/>
      <c r="K3" s="48"/>
      <c r="L3" s="48"/>
      <c r="M3" s="48"/>
      <c r="N3" s="48"/>
      <c r="O3" s="92"/>
      <c r="P3" s="93"/>
      <c r="Q3" s="110"/>
    </row>
    <row r="4" s="34" customFormat="1" ht="18" customHeight="1" spans="1:17">
      <c r="A4" s="43"/>
      <c r="B4" s="49"/>
      <c r="C4" s="49" t="s">
        <v>3</v>
      </c>
      <c r="D4" s="46" t="s">
        <v>4</v>
      </c>
      <c r="E4" s="50"/>
      <c r="F4" s="50"/>
      <c r="G4" s="50"/>
      <c r="H4" s="51"/>
      <c r="I4" s="50"/>
      <c r="J4" s="50"/>
      <c r="K4" s="48"/>
      <c r="L4" s="48"/>
      <c r="M4" s="48"/>
      <c r="N4" s="48"/>
      <c r="O4" s="92"/>
      <c r="P4" s="93"/>
      <c r="Q4" s="110"/>
    </row>
    <row r="5" s="34" customFormat="1" ht="24" customHeight="1" spans="1:17">
      <c r="A5" s="43"/>
      <c r="B5" s="52"/>
      <c r="C5" s="52"/>
      <c r="D5" s="36"/>
      <c r="E5" s="53"/>
      <c r="F5" s="50"/>
      <c r="G5" s="50"/>
      <c r="H5" s="53"/>
      <c r="I5" s="50"/>
      <c r="J5" s="50"/>
      <c r="K5" s="94"/>
      <c r="L5" s="94"/>
      <c r="M5" s="94"/>
      <c r="N5" s="94"/>
      <c r="O5" s="95"/>
      <c r="P5" s="96"/>
      <c r="Q5" s="110"/>
    </row>
    <row r="6" s="31" customFormat="1" ht="59.4" customHeight="1" spans="1:40">
      <c r="A6" s="54" t="s">
        <v>5</v>
      </c>
      <c r="B6" s="234" t="s">
        <v>6</v>
      </c>
      <c r="C6" s="58" t="s">
        <v>7</v>
      </c>
      <c r="D6" s="235" t="s">
        <v>8</v>
      </c>
      <c r="E6" s="55" t="s">
        <v>9</v>
      </c>
      <c r="F6" s="55" t="s">
        <v>10</v>
      </c>
      <c r="G6" s="55" t="s">
        <v>11</v>
      </c>
      <c r="H6" s="55" t="s">
        <v>12</v>
      </c>
      <c r="I6" s="55" t="s">
        <v>13</v>
      </c>
      <c r="J6" s="55" t="s">
        <v>14</v>
      </c>
      <c r="K6" s="55" t="s">
        <v>15</v>
      </c>
      <c r="L6" s="55" t="s">
        <v>16</v>
      </c>
      <c r="M6" s="55" t="s">
        <v>17</v>
      </c>
      <c r="N6" s="55" t="s">
        <v>18</v>
      </c>
      <c r="O6" s="55" t="s">
        <v>19</v>
      </c>
      <c r="P6" s="55" t="s">
        <v>20</v>
      </c>
      <c r="Q6" s="111" t="s">
        <v>21</v>
      </c>
      <c r="S6" s="244"/>
      <c r="T6" s="244"/>
      <c r="U6" s="244"/>
      <c r="V6" s="244"/>
      <c r="W6" s="244"/>
      <c r="X6" s="244"/>
      <c r="Y6" s="244"/>
      <c r="Z6" s="244"/>
      <c r="AA6" s="244"/>
      <c r="AB6" s="244"/>
      <c r="AC6" s="244"/>
      <c r="AD6" s="244"/>
      <c r="AE6" s="244"/>
      <c r="AF6" s="244"/>
      <c r="AG6" s="244"/>
      <c r="AH6" s="244"/>
      <c r="AI6" s="244"/>
      <c r="AJ6" s="244"/>
      <c r="AK6" s="244"/>
      <c r="AL6" s="244"/>
      <c r="AM6" s="244"/>
      <c r="AN6" s="244"/>
    </row>
    <row r="7" s="32" customFormat="1" ht="18" customHeight="1" spans="1:40">
      <c r="A7" s="57"/>
      <c r="B7" s="234">
        <v>1</v>
      </c>
      <c r="C7" s="58"/>
      <c r="D7" s="236" t="s">
        <v>22</v>
      </c>
      <c r="E7" s="60"/>
      <c r="F7" s="60"/>
      <c r="G7" s="60"/>
      <c r="H7" s="60"/>
      <c r="I7" s="60"/>
      <c r="J7" s="60"/>
      <c r="K7" s="60"/>
      <c r="L7" s="60"/>
      <c r="M7" s="60"/>
      <c r="N7" s="60"/>
      <c r="O7" s="60"/>
      <c r="P7" s="60"/>
      <c r="Q7" s="112"/>
      <c r="S7" s="245"/>
      <c r="T7" s="245"/>
      <c r="U7" s="245"/>
      <c r="V7" s="245"/>
      <c r="W7" s="245"/>
      <c r="X7" s="245"/>
      <c r="Y7" s="245"/>
      <c r="Z7" s="245"/>
      <c r="AA7" s="245"/>
      <c r="AB7" s="245"/>
      <c r="AC7" s="245"/>
      <c r="AD7" s="245"/>
      <c r="AE7" s="245"/>
      <c r="AF7" s="245"/>
      <c r="AG7" s="245"/>
      <c r="AH7" s="245"/>
      <c r="AI7" s="245"/>
      <c r="AJ7" s="245"/>
      <c r="AK7" s="245"/>
      <c r="AL7" s="245"/>
      <c r="AM7" s="245"/>
      <c r="AN7" s="245"/>
    </row>
    <row r="8" s="34" customFormat="1" ht="18" customHeight="1" spans="1:40">
      <c r="A8" s="61">
        <f>IF(F8&lt;&gt;"",1+MAX($A$2:A7),"")</f>
        <v>1</v>
      </c>
      <c r="B8" s="237"/>
      <c r="C8" s="74"/>
      <c r="D8" s="238" t="s">
        <v>23</v>
      </c>
      <c r="E8" s="64">
        <v>1</v>
      </c>
      <c r="F8" s="65">
        <v>0</v>
      </c>
      <c r="G8" s="66">
        <f t="shared" ref="G8:G14" si="0">(F8*E8)+E8</f>
        <v>1</v>
      </c>
      <c r="H8" s="64" t="s">
        <v>24</v>
      </c>
      <c r="I8" s="97">
        <v>0</v>
      </c>
      <c r="J8" s="98">
        <f t="shared" ref="J8:J14" si="1">+I8*G8</f>
        <v>0</v>
      </c>
      <c r="K8" s="99">
        <v>0</v>
      </c>
      <c r="L8" s="100">
        <f t="shared" ref="L8:L14" si="2">I8*K8</f>
        <v>0</v>
      </c>
      <c r="M8" s="100">
        <f t="shared" ref="M8:M14" si="3">K8*J8</f>
        <v>0</v>
      </c>
      <c r="N8" s="100">
        <v>0</v>
      </c>
      <c r="O8" s="100">
        <f t="shared" ref="O8:O14" si="4">N8*G8</f>
        <v>0</v>
      </c>
      <c r="P8" s="100">
        <f t="shared" ref="P8:P14" si="5">(I8*K8)+N8</f>
        <v>0</v>
      </c>
      <c r="Q8" s="246">
        <f t="shared" ref="Q8:Q14" si="6">P8*G8</f>
        <v>0</v>
      </c>
      <c r="R8" s="114"/>
      <c r="S8" s="231"/>
      <c r="T8" s="231"/>
      <c r="U8" s="231"/>
      <c r="V8" s="231"/>
      <c r="W8" s="231"/>
      <c r="X8" s="231"/>
      <c r="Y8" s="231"/>
      <c r="Z8" s="231"/>
      <c r="AA8" s="231"/>
      <c r="AB8" s="231"/>
      <c r="AC8" s="231"/>
      <c r="AD8" s="231"/>
      <c r="AE8" s="231"/>
      <c r="AF8" s="231"/>
      <c r="AG8" s="231"/>
      <c r="AH8" s="231"/>
      <c r="AI8" s="231"/>
      <c r="AJ8" s="231"/>
      <c r="AK8" s="231"/>
      <c r="AL8" s="231"/>
      <c r="AM8" s="231"/>
      <c r="AN8" s="231"/>
    </row>
    <row r="9" s="34" customFormat="1" ht="18" customHeight="1" spans="1:40">
      <c r="A9" s="67">
        <f>IF(F9&lt;&gt;"",1+MAX($A$2:A8),"")</f>
        <v>2</v>
      </c>
      <c r="B9" s="237"/>
      <c r="C9" s="74"/>
      <c r="D9" s="239" t="s">
        <v>25</v>
      </c>
      <c r="E9" s="70">
        <v>1</v>
      </c>
      <c r="F9" s="71">
        <v>0</v>
      </c>
      <c r="G9" s="72">
        <f t="shared" si="0"/>
        <v>1</v>
      </c>
      <c r="H9" s="70" t="s">
        <v>24</v>
      </c>
      <c r="I9" s="97">
        <v>0</v>
      </c>
      <c r="J9" s="98">
        <f t="shared" si="1"/>
        <v>0</v>
      </c>
      <c r="K9" s="99">
        <v>0</v>
      </c>
      <c r="L9" s="100">
        <f t="shared" si="2"/>
        <v>0</v>
      </c>
      <c r="M9" s="100">
        <f t="shared" si="3"/>
        <v>0</v>
      </c>
      <c r="N9" s="100">
        <v>0</v>
      </c>
      <c r="O9" s="100">
        <f t="shared" si="4"/>
        <v>0</v>
      </c>
      <c r="P9" s="100">
        <f t="shared" si="5"/>
        <v>0</v>
      </c>
      <c r="Q9" s="247">
        <f t="shared" si="6"/>
        <v>0</v>
      </c>
      <c r="R9" s="114"/>
      <c r="S9" s="231"/>
      <c r="T9" s="231"/>
      <c r="U9" s="231"/>
      <c r="V9" s="231"/>
      <c r="W9" s="231"/>
      <c r="X9" s="231"/>
      <c r="Y9" s="231"/>
      <c r="Z9" s="231"/>
      <c r="AA9" s="231"/>
      <c r="AB9" s="231"/>
      <c r="AC9" s="231"/>
      <c r="AD9" s="231"/>
      <c r="AE9" s="231"/>
      <c r="AF9" s="231"/>
      <c r="AG9" s="231"/>
      <c r="AH9" s="231"/>
      <c r="AI9" s="231"/>
      <c r="AJ9" s="231"/>
      <c r="AK9" s="231"/>
      <c r="AL9" s="231"/>
      <c r="AM9" s="231"/>
      <c r="AN9" s="231"/>
    </row>
    <row r="10" s="34" customFormat="1" ht="18" customHeight="1" spans="1:40">
      <c r="A10" s="67">
        <f>IF(F10&lt;&gt;"",1+MAX($A$2:A9),"")</f>
        <v>3</v>
      </c>
      <c r="B10" s="237"/>
      <c r="C10" s="74"/>
      <c r="D10" s="239" t="s">
        <v>26</v>
      </c>
      <c r="E10" s="70">
        <v>1</v>
      </c>
      <c r="F10" s="71">
        <v>0</v>
      </c>
      <c r="G10" s="72">
        <f t="shared" si="0"/>
        <v>1</v>
      </c>
      <c r="H10" s="70" t="s">
        <v>24</v>
      </c>
      <c r="I10" s="97">
        <v>0</v>
      </c>
      <c r="J10" s="98">
        <f t="shared" si="1"/>
        <v>0</v>
      </c>
      <c r="K10" s="99">
        <v>0</v>
      </c>
      <c r="L10" s="100">
        <f t="shared" si="2"/>
        <v>0</v>
      </c>
      <c r="M10" s="100">
        <f t="shared" si="3"/>
        <v>0</v>
      </c>
      <c r="N10" s="100">
        <v>0</v>
      </c>
      <c r="O10" s="100">
        <f t="shared" si="4"/>
        <v>0</v>
      </c>
      <c r="P10" s="100">
        <f t="shared" si="5"/>
        <v>0</v>
      </c>
      <c r="Q10" s="247">
        <f t="shared" si="6"/>
        <v>0</v>
      </c>
      <c r="R10" s="114"/>
      <c r="S10" s="231"/>
      <c r="T10" s="231"/>
      <c r="U10" s="231"/>
      <c r="V10" s="231"/>
      <c r="W10" s="231"/>
      <c r="X10" s="231"/>
      <c r="Y10" s="231"/>
      <c r="Z10" s="231"/>
      <c r="AA10" s="231"/>
      <c r="AB10" s="231"/>
      <c r="AC10" s="231"/>
      <c r="AD10" s="231"/>
      <c r="AE10" s="231"/>
      <c r="AF10" s="231"/>
      <c r="AG10" s="231"/>
      <c r="AH10" s="231"/>
      <c r="AI10" s="231"/>
      <c r="AJ10" s="231"/>
      <c r="AK10" s="231"/>
      <c r="AL10" s="231"/>
      <c r="AM10" s="231"/>
      <c r="AN10" s="231"/>
    </row>
    <row r="11" s="34" customFormat="1" ht="18" customHeight="1" spans="1:40">
      <c r="A11" s="67">
        <f>IF(F11&lt;&gt;"",1+MAX($A$2:A10),"")</f>
        <v>4</v>
      </c>
      <c r="B11" s="237"/>
      <c r="C11" s="74"/>
      <c r="D11" s="239" t="s">
        <v>27</v>
      </c>
      <c r="E11" s="70">
        <v>1</v>
      </c>
      <c r="F11" s="71">
        <v>0</v>
      </c>
      <c r="G11" s="72">
        <f t="shared" si="0"/>
        <v>1</v>
      </c>
      <c r="H11" s="70" t="s">
        <v>24</v>
      </c>
      <c r="I11" s="97">
        <v>0</v>
      </c>
      <c r="J11" s="98">
        <f t="shared" si="1"/>
        <v>0</v>
      </c>
      <c r="K11" s="99">
        <v>0</v>
      </c>
      <c r="L11" s="100">
        <f t="shared" si="2"/>
        <v>0</v>
      </c>
      <c r="M11" s="100">
        <f t="shared" si="3"/>
        <v>0</v>
      </c>
      <c r="N11" s="100">
        <v>0</v>
      </c>
      <c r="O11" s="100">
        <f t="shared" si="4"/>
        <v>0</v>
      </c>
      <c r="P11" s="100">
        <f t="shared" si="5"/>
        <v>0</v>
      </c>
      <c r="Q11" s="247">
        <f t="shared" si="6"/>
        <v>0</v>
      </c>
      <c r="R11" s="114"/>
      <c r="S11" s="231"/>
      <c r="T11" s="231"/>
      <c r="U11" s="231"/>
      <c r="V11" s="231"/>
      <c r="W11" s="231"/>
      <c r="X11" s="231"/>
      <c r="Y11" s="231"/>
      <c r="Z11" s="231"/>
      <c r="AA11" s="231"/>
      <c r="AB11" s="231"/>
      <c r="AC11" s="231"/>
      <c r="AD11" s="231"/>
      <c r="AE11" s="231"/>
      <c r="AF11" s="231"/>
      <c r="AG11" s="231"/>
      <c r="AH11" s="231"/>
      <c r="AI11" s="231"/>
      <c r="AJ11" s="231"/>
      <c r="AK11" s="231"/>
      <c r="AL11" s="231"/>
      <c r="AM11" s="231"/>
      <c r="AN11" s="231"/>
    </row>
    <row r="12" s="34" customFormat="1" ht="18" customHeight="1" spans="1:40">
      <c r="A12" s="67">
        <f>IF(F12&lt;&gt;"",1+MAX($A$2:A11),"")</f>
        <v>5</v>
      </c>
      <c r="B12" s="237"/>
      <c r="C12" s="74"/>
      <c r="D12" s="239" t="s">
        <v>28</v>
      </c>
      <c r="E12" s="70">
        <v>1</v>
      </c>
      <c r="F12" s="71">
        <v>0</v>
      </c>
      <c r="G12" s="72">
        <f t="shared" si="0"/>
        <v>1</v>
      </c>
      <c r="H12" s="70" t="s">
        <v>24</v>
      </c>
      <c r="I12" s="97">
        <v>0</v>
      </c>
      <c r="J12" s="98">
        <f t="shared" si="1"/>
        <v>0</v>
      </c>
      <c r="K12" s="99">
        <v>0</v>
      </c>
      <c r="L12" s="100">
        <f t="shared" si="2"/>
        <v>0</v>
      </c>
      <c r="M12" s="100">
        <f t="shared" si="3"/>
        <v>0</v>
      </c>
      <c r="N12" s="100">
        <v>0</v>
      </c>
      <c r="O12" s="100">
        <f t="shared" si="4"/>
        <v>0</v>
      </c>
      <c r="P12" s="100">
        <f t="shared" si="5"/>
        <v>0</v>
      </c>
      <c r="Q12" s="247">
        <f t="shared" si="6"/>
        <v>0</v>
      </c>
      <c r="R12" s="114"/>
      <c r="S12" s="231"/>
      <c r="T12" s="231"/>
      <c r="U12" s="231"/>
      <c r="V12" s="231"/>
      <c r="W12" s="231"/>
      <c r="X12" s="231"/>
      <c r="Y12" s="231"/>
      <c r="Z12" s="231"/>
      <c r="AA12" s="231"/>
      <c r="AB12" s="231"/>
      <c r="AC12" s="231"/>
      <c r="AD12" s="231"/>
      <c r="AE12" s="231"/>
      <c r="AF12" s="231"/>
      <c r="AG12" s="231"/>
      <c r="AH12" s="231"/>
      <c r="AI12" s="231"/>
      <c r="AJ12" s="231"/>
      <c r="AK12" s="231"/>
      <c r="AL12" s="231"/>
      <c r="AM12" s="231"/>
      <c r="AN12" s="231"/>
    </row>
    <row r="13" s="34" customFormat="1" ht="18" customHeight="1" spans="1:40">
      <c r="A13" s="67">
        <f>IF(F13&lt;&gt;"",1+MAX($A$2:A12),"")</f>
        <v>6</v>
      </c>
      <c r="B13" s="237"/>
      <c r="C13" s="74"/>
      <c r="D13" s="239" t="s">
        <v>29</v>
      </c>
      <c r="E13" s="70">
        <v>1</v>
      </c>
      <c r="F13" s="71">
        <v>0</v>
      </c>
      <c r="G13" s="72">
        <f t="shared" si="0"/>
        <v>1</v>
      </c>
      <c r="H13" s="70" t="s">
        <v>24</v>
      </c>
      <c r="I13" s="97">
        <v>0</v>
      </c>
      <c r="J13" s="98">
        <f t="shared" si="1"/>
        <v>0</v>
      </c>
      <c r="K13" s="99">
        <v>0</v>
      </c>
      <c r="L13" s="100">
        <f t="shared" si="2"/>
        <v>0</v>
      </c>
      <c r="M13" s="100">
        <f t="shared" si="3"/>
        <v>0</v>
      </c>
      <c r="N13" s="100">
        <v>0</v>
      </c>
      <c r="O13" s="100">
        <f t="shared" si="4"/>
        <v>0</v>
      </c>
      <c r="P13" s="100">
        <f t="shared" si="5"/>
        <v>0</v>
      </c>
      <c r="Q13" s="247">
        <f t="shared" si="6"/>
        <v>0</v>
      </c>
      <c r="R13" s="114"/>
      <c r="S13" s="231"/>
      <c r="T13" s="231"/>
      <c r="U13" s="231"/>
      <c r="V13" s="231"/>
      <c r="W13" s="231"/>
      <c r="X13" s="231"/>
      <c r="Y13" s="231"/>
      <c r="Z13" s="231"/>
      <c r="AA13" s="231"/>
      <c r="AB13" s="231"/>
      <c r="AC13" s="231"/>
      <c r="AD13" s="231"/>
      <c r="AE13" s="231"/>
      <c r="AF13" s="231"/>
      <c r="AG13" s="231"/>
      <c r="AH13" s="231"/>
      <c r="AI13" s="231"/>
      <c r="AJ13" s="231"/>
      <c r="AK13" s="231"/>
      <c r="AL13" s="231"/>
      <c r="AM13" s="231"/>
      <c r="AN13" s="231"/>
    </row>
    <row r="14" s="34" customFormat="1" ht="18" customHeight="1" spans="1:40">
      <c r="A14" s="67">
        <f>IF(F14&lt;&gt;"",1+MAX($A$2:A13),"")</f>
        <v>7</v>
      </c>
      <c r="B14" s="237"/>
      <c r="C14" s="74"/>
      <c r="D14" s="240" t="s">
        <v>30</v>
      </c>
      <c r="E14" s="76">
        <v>1</v>
      </c>
      <c r="F14" s="77">
        <v>0</v>
      </c>
      <c r="G14" s="78">
        <f t="shared" si="0"/>
        <v>1</v>
      </c>
      <c r="H14" s="76" t="s">
        <v>24</v>
      </c>
      <c r="I14" s="101">
        <v>0</v>
      </c>
      <c r="J14" s="102">
        <f t="shared" si="1"/>
        <v>0</v>
      </c>
      <c r="K14" s="103">
        <v>0</v>
      </c>
      <c r="L14" s="104">
        <f t="shared" si="2"/>
        <v>0</v>
      </c>
      <c r="M14" s="104">
        <f t="shared" si="3"/>
        <v>0</v>
      </c>
      <c r="N14" s="104">
        <v>0</v>
      </c>
      <c r="O14" s="104">
        <f t="shared" si="4"/>
        <v>0</v>
      </c>
      <c r="P14" s="100">
        <f t="shared" si="5"/>
        <v>0</v>
      </c>
      <c r="Q14" s="113">
        <f t="shared" si="6"/>
        <v>0</v>
      </c>
      <c r="R14" s="114"/>
      <c r="S14" s="231"/>
      <c r="T14" s="231"/>
      <c r="U14" s="231"/>
      <c r="V14" s="231"/>
      <c r="W14" s="231"/>
      <c r="X14" s="231"/>
      <c r="Y14" s="231"/>
      <c r="Z14" s="231"/>
      <c r="AA14" s="231"/>
      <c r="AB14" s="231"/>
      <c r="AC14" s="231"/>
      <c r="AD14" s="231"/>
      <c r="AE14" s="231"/>
      <c r="AF14" s="231"/>
      <c r="AG14" s="231"/>
      <c r="AH14" s="231"/>
      <c r="AI14" s="231"/>
      <c r="AJ14" s="231"/>
      <c r="AK14" s="231"/>
      <c r="AL14" s="231"/>
      <c r="AM14" s="231"/>
      <c r="AN14" s="231"/>
    </row>
    <row r="15" s="31" customFormat="1" ht="16.35" spans="1:40">
      <c r="A15" s="79" t="str">
        <f>IF(F15&lt;&gt;"",1+MAX($A$2:A14),"")</f>
        <v/>
      </c>
      <c r="B15" s="222"/>
      <c r="C15" s="223"/>
      <c r="D15" s="82" t="s">
        <v>31</v>
      </c>
      <c r="E15" s="83"/>
      <c r="F15" s="83"/>
      <c r="G15" s="83"/>
      <c r="H15" s="83"/>
      <c r="I15" s="83"/>
      <c r="J15" s="83"/>
      <c r="K15" s="105"/>
      <c r="L15" s="105"/>
      <c r="M15" s="105"/>
      <c r="N15" s="105"/>
      <c r="O15" s="105"/>
      <c r="P15" s="105"/>
      <c r="Q15" s="117">
        <f>SUM(Q8:Q14)</f>
        <v>0</v>
      </c>
      <c r="R15" s="118"/>
      <c r="S15" s="244"/>
      <c r="T15" s="244"/>
      <c r="U15" s="244"/>
      <c r="V15" s="244"/>
      <c r="W15" s="244"/>
      <c r="X15" s="244"/>
      <c r="Y15" s="244"/>
      <c r="Z15" s="244"/>
      <c r="AA15" s="244"/>
      <c r="AB15" s="244"/>
      <c r="AC15" s="244"/>
      <c r="AD15" s="244"/>
      <c r="AE15" s="244"/>
      <c r="AF15" s="244"/>
      <c r="AG15" s="244"/>
      <c r="AH15" s="244"/>
      <c r="AI15" s="244"/>
      <c r="AJ15" s="244"/>
      <c r="AK15" s="244"/>
      <c r="AL15" s="244"/>
      <c r="AM15" s="244"/>
      <c r="AN15" s="244"/>
    </row>
    <row r="16" s="31" customFormat="1" spans="1:40">
      <c r="A16" s="79" t="str">
        <f>IF(F16&lt;&gt;"",1+MAX($A$2:A15),"")</f>
        <v/>
      </c>
      <c r="B16" s="222"/>
      <c r="C16" s="223"/>
      <c r="D16" s="86"/>
      <c r="E16" s="86"/>
      <c r="F16" s="86"/>
      <c r="G16" s="86"/>
      <c r="H16" s="86"/>
      <c r="I16" s="86"/>
      <c r="J16" s="86"/>
      <c r="K16" s="86"/>
      <c r="L16" s="86"/>
      <c r="M16" s="86"/>
      <c r="N16" s="86"/>
      <c r="O16" s="86"/>
      <c r="P16" s="86"/>
      <c r="Q16" s="119"/>
      <c r="R16" s="118"/>
      <c r="S16" s="244"/>
      <c r="T16" s="244"/>
      <c r="U16" s="244"/>
      <c r="V16" s="244"/>
      <c r="W16" s="244"/>
      <c r="X16" s="244"/>
      <c r="Y16" s="244"/>
      <c r="Z16" s="244"/>
      <c r="AA16" s="244"/>
      <c r="AB16" s="244"/>
      <c r="AC16" s="244"/>
      <c r="AD16" s="244"/>
      <c r="AE16" s="244"/>
      <c r="AF16" s="244"/>
      <c r="AG16" s="244"/>
      <c r="AH16" s="244"/>
      <c r="AI16" s="244"/>
      <c r="AJ16" s="244"/>
      <c r="AK16" s="244"/>
      <c r="AL16" s="244"/>
      <c r="AM16" s="244"/>
      <c r="AN16" s="244"/>
    </row>
    <row r="17" s="33" customFormat="1" spans="1:40">
      <c r="A17" s="57" t="str">
        <f>IF(F17&lt;&gt;"",1+MAX($A$2:A16),"")</f>
        <v/>
      </c>
      <c r="B17" s="241">
        <v>2</v>
      </c>
      <c r="C17" s="60"/>
      <c r="D17" s="236" t="s">
        <v>32</v>
      </c>
      <c r="E17" s="60"/>
      <c r="F17" s="60"/>
      <c r="G17" s="60"/>
      <c r="H17" s="60"/>
      <c r="I17" s="60"/>
      <c r="J17" s="60"/>
      <c r="K17" s="60"/>
      <c r="L17" s="60"/>
      <c r="M17" s="60"/>
      <c r="N17" s="60"/>
      <c r="O17" s="60"/>
      <c r="P17" s="60"/>
      <c r="Q17" s="112"/>
      <c r="S17" s="248"/>
      <c r="T17" s="249"/>
      <c r="U17" s="249"/>
      <c r="V17" s="249"/>
      <c r="W17" s="249"/>
      <c r="X17" s="249"/>
      <c r="Y17" s="249"/>
      <c r="Z17" s="249"/>
      <c r="AA17" s="249"/>
      <c r="AB17" s="249"/>
      <c r="AC17" s="249"/>
      <c r="AD17" s="249"/>
      <c r="AE17" s="249"/>
      <c r="AF17" s="249"/>
      <c r="AG17" s="249"/>
      <c r="AH17" s="249"/>
      <c r="AI17" s="249"/>
      <c r="AJ17" s="249"/>
      <c r="AK17" s="249"/>
      <c r="AL17" s="249"/>
      <c r="AM17" s="249"/>
      <c r="AN17" s="249"/>
    </row>
    <row r="18" s="34" customFormat="1" ht="18" customHeight="1" spans="1:40">
      <c r="A18" s="61" t="str">
        <f>IF(F18&lt;&gt;"",1+MAX($A$2:A17),"")</f>
        <v/>
      </c>
      <c r="B18" s="237"/>
      <c r="C18" s="74"/>
      <c r="D18" s="242" t="s">
        <v>33</v>
      </c>
      <c r="E18"/>
      <c r="F18" s="65"/>
      <c r="G18" s="66"/>
      <c r="H18" s="64"/>
      <c r="I18" s="97"/>
      <c r="J18" s="98"/>
      <c r="K18" s="99"/>
      <c r="L18" s="100"/>
      <c r="M18" s="100"/>
      <c r="N18" s="100"/>
      <c r="O18" s="100"/>
      <c r="P18" s="100"/>
      <c r="Q18" s="124"/>
      <c r="R18" s="114"/>
      <c r="S18" s="231"/>
      <c r="T18" s="231"/>
      <c r="U18" s="231"/>
      <c r="V18" s="231"/>
      <c r="W18" s="231"/>
      <c r="X18" s="231"/>
      <c r="Y18" s="231"/>
      <c r="Z18" s="231"/>
      <c r="AA18" s="231"/>
      <c r="AB18" s="231"/>
      <c r="AC18" s="231"/>
      <c r="AD18" s="231"/>
      <c r="AE18" s="231"/>
      <c r="AF18" s="231"/>
      <c r="AG18" s="231"/>
      <c r="AH18" s="231"/>
      <c r="AI18" s="231"/>
      <c r="AJ18" s="231"/>
      <c r="AK18" s="231"/>
      <c r="AL18" s="231"/>
      <c r="AM18" s="231"/>
      <c r="AN18" s="231"/>
    </row>
    <row r="19" s="34" customFormat="1" spans="1:40">
      <c r="A19" s="61">
        <f>IF(F19&lt;&gt;"",1+MAX($A$2:A18),"")</f>
        <v>8</v>
      </c>
      <c r="B19" s="237"/>
      <c r="C19" s="74"/>
      <c r="D19" s="239" t="s">
        <v>34</v>
      </c>
      <c r="E19" s="70">
        <v>1</v>
      </c>
      <c r="F19" s="71">
        <v>0</v>
      </c>
      <c r="G19" s="72">
        <f>(F19*E19)+E19</f>
        <v>1</v>
      </c>
      <c r="H19" s="70" t="s">
        <v>35</v>
      </c>
      <c r="I19" s="97">
        <v>0</v>
      </c>
      <c r="J19" s="98">
        <f>+I19*G19</f>
        <v>0</v>
      </c>
      <c r="K19" s="99">
        <v>50</v>
      </c>
      <c r="L19" s="100">
        <f>I19*K19</f>
        <v>0</v>
      </c>
      <c r="M19" s="100">
        <f>K19*J19</f>
        <v>0</v>
      </c>
      <c r="N19" s="100">
        <v>0</v>
      </c>
      <c r="O19" s="100">
        <f>N19*G19</f>
        <v>0</v>
      </c>
      <c r="P19" s="100">
        <f>(I19*K19)+N19</f>
        <v>0</v>
      </c>
      <c r="Q19" s="124">
        <f>P19*G19</f>
        <v>0</v>
      </c>
      <c r="R19" s="114"/>
      <c r="S19" s="231"/>
      <c r="T19" s="231"/>
      <c r="U19" s="231"/>
      <c r="V19" s="231"/>
      <c r="W19" s="231"/>
      <c r="X19" s="231"/>
      <c r="Y19" s="231"/>
      <c r="Z19" s="231"/>
      <c r="AA19" s="231"/>
      <c r="AB19" s="231"/>
      <c r="AC19" s="231"/>
      <c r="AD19" s="231"/>
      <c r="AE19" s="231"/>
      <c r="AF19" s="231"/>
      <c r="AG19" s="231"/>
      <c r="AH19" s="231"/>
      <c r="AI19" s="231"/>
      <c r="AJ19" s="231"/>
      <c r="AK19" s="231"/>
      <c r="AL19" s="231"/>
      <c r="AM19" s="231"/>
      <c r="AN19" s="231"/>
    </row>
    <row r="20" s="31" customFormat="1" ht="18" customHeight="1" spans="1:40">
      <c r="A20" s="156">
        <f>IF(F20&lt;&gt;"",1+MAX($A$2:A19),"")</f>
        <v>9</v>
      </c>
      <c r="B20" s="237"/>
      <c r="C20" s="74"/>
      <c r="D20" s="240" t="s">
        <v>36</v>
      </c>
      <c r="E20" s="243">
        <v>5604.8</v>
      </c>
      <c r="F20" s="71">
        <v>0</v>
      </c>
      <c r="G20" s="66">
        <f>(F20*E20)+E20</f>
        <v>5604.8</v>
      </c>
      <c r="H20" s="70" t="s">
        <v>37</v>
      </c>
      <c r="I20" s="97">
        <v>0</v>
      </c>
      <c r="J20" s="98">
        <f>+I20*G20</f>
        <v>0</v>
      </c>
      <c r="K20" s="144">
        <v>50</v>
      </c>
      <c r="L20" s="100">
        <f>I20*K20</f>
        <v>0</v>
      </c>
      <c r="M20" s="100">
        <f>K20*J20</f>
        <v>0</v>
      </c>
      <c r="N20" s="100">
        <v>0</v>
      </c>
      <c r="O20" s="100">
        <f>N20*G20</f>
        <v>0</v>
      </c>
      <c r="P20" s="100">
        <f>(I20*K20)+N20</f>
        <v>0</v>
      </c>
      <c r="Q20" s="124">
        <f>P20*G20</f>
        <v>0</v>
      </c>
      <c r="R20" s="118"/>
      <c r="S20" s="244"/>
      <c r="T20" s="244"/>
      <c r="U20" s="244"/>
      <c r="V20" s="244"/>
      <c r="W20" s="244"/>
      <c r="X20" s="244"/>
      <c r="Y20" s="244"/>
      <c r="Z20" s="244"/>
      <c r="AA20" s="244"/>
      <c r="AB20" s="244"/>
      <c r="AC20" s="244"/>
      <c r="AD20" s="244"/>
      <c r="AE20" s="244"/>
      <c r="AF20" s="244"/>
      <c r="AG20" s="244"/>
      <c r="AH20" s="244"/>
      <c r="AI20" s="244"/>
      <c r="AJ20" s="244"/>
      <c r="AK20" s="244"/>
      <c r="AL20" s="244"/>
      <c r="AM20" s="244"/>
      <c r="AN20" s="244"/>
    </row>
    <row r="21" s="31" customFormat="1" ht="16.35" spans="1:40">
      <c r="A21" s="79" t="str">
        <f>IF(F21&lt;&gt;"",1+MAX($A$2:A20),"")</f>
        <v/>
      </c>
      <c r="B21" s="222"/>
      <c r="C21" s="223"/>
      <c r="D21" s="82" t="s">
        <v>31</v>
      </c>
      <c r="E21" s="83"/>
      <c r="F21" s="83"/>
      <c r="G21" s="83"/>
      <c r="H21" s="83"/>
      <c r="I21" s="83"/>
      <c r="J21" s="83"/>
      <c r="K21" s="105"/>
      <c r="L21" s="105"/>
      <c r="M21" s="105"/>
      <c r="N21" s="105"/>
      <c r="O21" s="105"/>
      <c r="P21" s="105"/>
      <c r="Q21" s="117">
        <f>SUM(Q19:Q20)</f>
        <v>0</v>
      </c>
      <c r="R21" s="118"/>
      <c r="S21" s="244"/>
      <c r="T21" s="244"/>
      <c r="U21" s="244"/>
      <c r="V21" s="244"/>
      <c r="W21" s="244"/>
      <c r="X21" s="244"/>
      <c r="Y21" s="244"/>
      <c r="Z21" s="244"/>
      <c r="AA21" s="244"/>
      <c r="AB21" s="244"/>
      <c r="AC21" s="244"/>
      <c r="AD21" s="244"/>
      <c r="AE21" s="244"/>
      <c r="AF21" s="244"/>
      <c r="AG21" s="244"/>
      <c r="AH21" s="244"/>
      <c r="AI21" s="244"/>
      <c r="AJ21" s="244"/>
      <c r="AK21" s="244"/>
      <c r="AL21" s="244"/>
      <c r="AM21" s="244"/>
      <c r="AN21" s="244"/>
    </row>
    <row r="22" s="31" customFormat="1" spans="1:40">
      <c r="A22" s="79" t="str">
        <f>IF(F22&lt;&gt;"",1+MAX($A$2:A21),"")</f>
        <v/>
      </c>
      <c r="B22" s="222"/>
      <c r="C22" s="223"/>
      <c r="D22" s="86"/>
      <c r="E22" s="86"/>
      <c r="F22" s="86"/>
      <c r="G22" s="86"/>
      <c r="H22" s="86"/>
      <c r="I22" s="86"/>
      <c r="J22" s="86"/>
      <c r="K22" s="86"/>
      <c r="L22" s="86"/>
      <c r="M22" s="86"/>
      <c r="N22" s="86"/>
      <c r="O22" s="86"/>
      <c r="P22" s="86"/>
      <c r="Q22" s="119"/>
      <c r="R22" s="118"/>
      <c r="S22" s="244"/>
      <c r="T22" s="244"/>
      <c r="U22" s="244"/>
      <c r="V22" s="244"/>
      <c r="W22" s="244"/>
      <c r="X22" s="244"/>
      <c r="Y22" s="244"/>
      <c r="Z22" s="244"/>
      <c r="AA22" s="244"/>
      <c r="AB22" s="244"/>
      <c r="AC22" s="244"/>
      <c r="AD22" s="244"/>
      <c r="AE22" s="244"/>
      <c r="AF22" s="244"/>
      <c r="AG22" s="244"/>
      <c r="AH22" s="244"/>
      <c r="AI22" s="244"/>
      <c r="AJ22" s="244"/>
      <c r="AK22" s="244"/>
      <c r="AL22" s="244"/>
      <c r="AM22" s="244"/>
      <c r="AN22" s="244"/>
    </row>
    <row r="23" s="33" customFormat="1" spans="1:40">
      <c r="A23" s="57" t="str">
        <f>IF(F23&lt;&gt;"",1+MAX($A$2:A22),"")</f>
        <v/>
      </c>
      <c r="B23" s="241">
        <v>26</v>
      </c>
      <c r="C23" s="60"/>
      <c r="D23" s="236" t="s">
        <v>38</v>
      </c>
      <c r="E23" s="60"/>
      <c r="F23" s="60"/>
      <c r="G23" s="60"/>
      <c r="H23" s="60"/>
      <c r="I23" s="60"/>
      <c r="J23" s="60"/>
      <c r="K23" s="60"/>
      <c r="L23" s="60"/>
      <c r="M23" s="60"/>
      <c r="N23" s="60"/>
      <c r="O23" s="60"/>
      <c r="P23" s="60"/>
      <c r="Q23" s="112"/>
      <c r="S23" s="248"/>
      <c r="T23" s="249"/>
      <c r="U23" s="249"/>
      <c r="V23" s="249"/>
      <c r="W23" s="249"/>
      <c r="X23" s="249"/>
      <c r="Y23" s="249"/>
      <c r="Z23" s="249"/>
      <c r="AA23" s="249"/>
      <c r="AB23" s="249"/>
      <c r="AC23" s="249"/>
      <c r="AD23" s="249"/>
      <c r="AE23" s="249"/>
      <c r="AF23" s="249"/>
      <c r="AG23" s="249"/>
      <c r="AH23" s="249"/>
      <c r="AI23" s="249"/>
      <c r="AJ23" s="249"/>
      <c r="AK23" s="249"/>
      <c r="AL23" s="249"/>
      <c r="AM23" s="249"/>
      <c r="AN23" s="249"/>
    </row>
    <row r="24" s="34" customFormat="1" ht="18" customHeight="1" spans="1:40">
      <c r="A24" s="61" t="str">
        <f>IF(F24&lt;&gt;"",1+MAX($A$2:A23),"")</f>
        <v/>
      </c>
      <c r="B24" s="237"/>
      <c r="C24" s="74"/>
      <c r="D24" s="242" t="s">
        <v>39</v>
      </c>
      <c r="E24"/>
      <c r="F24" s="65"/>
      <c r="G24" s="66"/>
      <c r="H24" s="64"/>
      <c r="I24" s="97"/>
      <c r="J24" s="98"/>
      <c r="K24" s="99"/>
      <c r="L24" s="100"/>
      <c r="M24" s="100"/>
      <c r="N24" s="100"/>
      <c r="O24" s="100"/>
      <c r="P24" s="100"/>
      <c r="Q24" s="124"/>
      <c r="R24" s="114"/>
      <c r="S24" s="231"/>
      <c r="T24" s="231"/>
      <c r="U24" s="231"/>
      <c r="V24" s="231"/>
      <c r="W24" s="231"/>
      <c r="X24" s="231"/>
      <c r="Y24" s="231"/>
      <c r="Z24" s="231"/>
      <c r="AA24" s="231"/>
      <c r="AB24" s="231"/>
      <c r="AC24" s="231"/>
      <c r="AD24" s="231"/>
      <c r="AE24" s="231"/>
      <c r="AF24" s="231"/>
      <c r="AG24" s="231"/>
      <c r="AH24" s="231"/>
      <c r="AI24" s="231"/>
      <c r="AJ24" s="231"/>
      <c r="AK24" s="231"/>
      <c r="AL24" s="231"/>
      <c r="AM24" s="231"/>
      <c r="AN24" s="231"/>
    </row>
    <row r="25" s="34" customFormat="1" spans="1:40">
      <c r="A25" s="61">
        <f>IF(F25&lt;&gt;"",1+MAX($A$2:A24),"")</f>
        <v>10</v>
      </c>
      <c r="B25" s="237"/>
      <c r="C25" s="74" t="s">
        <v>40</v>
      </c>
      <c r="D25" s="240" t="s">
        <v>41</v>
      </c>
      <c r="E25" s="76">
        <v>9</v>
      </c>
      <c r="F25" s="71">
        <v>0</v>
      </c>
      <c r="G25" s="66">
        <f t="shared" ref="G25:G30" si="7">(F25*E25)+E25</f>
        <v>9</v>
      </c>
      <c r="H25" s="70" t="s">
        <v>35</v>
      </c>
      <c r="I25" s="97">
        <v>0</v>
      </c>
      <c r="J25" s="98">
        <f t="shared" ref="J25:J30" si="8">+I25*G25</f>
        <v>0</v>
      </c>
      <c r="K25" s="99">
        <v>50</v>
      </c>
      <c r="L25" s="100">
        <f t="shared" ref="L25:L30" si="9">I25*K25</f>
        <v>0</v>
      </c>
      <c r="M25" s="100">
        <f t="shared" ref="M25:M30" si="10">K25*J25</f>
        <v>0</v>
      </c>
      <c r="N25" s="100">
        <v>0</v>
      </c>
      <c r="O25" s="100">
        <f t="shared" ref="O25:O30" si="11">N25*G25</f>
        <v>0</v>
      </c>
      <c r="P25" s="100">
        <f t="shared" ref="P25:P30" si="12">(I25*K25)+N25</f>
        <v>0</v>
      </c>
      <c r="Q25" s="160">
        <f t="shared" ref="Q25:Q30" si="13">P25*G25</f>
        <v>0</v>
      </c>
      <c r="R25" s="114"/>
      <c r="S25" s="231"/>
      <c r="T25" s="231"/>
      <c r="U25" s="231"/>
      <c r="V25" s="231"/>
      <c r="W25" s="231"/>
      <c r="X25" s="231"/>
      <c r="Y25" s="231"/>
      <c r="Z25" s="231"/>
      <c r="AA25" s="231"/>
      <c r="AB25" s="231"/>
      <c r="AC25" s="231"/>
      <c r="AD25" s="231"/>
      <c r="AE25" s="231"/>
      <c r="AF25" s="231"/>
      <c r="AG25" s="231"/>
      <c r="AH25" s="231"/>
      <c r="AI25" s="231"/>
      <c r="AJ25" s="231"/>
      <c r="AK25" s="231"/>
      <c r="AL25" s="231"/>
      <c r="AM25" s="231"/>
      <c r="AN25" s="231"/>
    </row>
    <row r="26" s="34" customFormat="1" spans="1:40">
      <c r="A26" s="67">
        <f>IF(F26&lt;&gt;"",1+MAX($A$2:A25),"")</f>
        <v>11</v>
      </c>
      <c r="B26" s="237"/>
      <c r="C26" s="74" t="s">
        <v>42</v>
      </c>
      <c r="D26" s="240" t="s">
        <v>43</v>
      </c>
      <c r="E26" s="76">
        <v>4</v>
      </c>
      <c r="F26" s="71">
        <v>0</v>
      </c>
      <c r="G26" s="66">
        <f t="shared" si="7"/>
        <v>4</v>
      </c>
      <c r="H26" s="70" t="s">
        <v>35</v>
      </c>
      <c r="I26" s="97">
        <v>0</v>
      </c>
      <c r="J26" s="98">
        <f t="shared" si="8"/>
        <v>0</v>
      </c>
      <c r="K26" s="99">
        <v>50</v>
      </c>
      <c r="L26" s="100">
        <f t="shared" si="9"/>
        <v>0</v>
      </c>
      <c r="M26" s="100">
        <f t="shared" si="10"/>
        <v>0</v>
      </c>
      <c r="N26" s="100">
        <v>0</v>
      </c>
      <c r="O26" s="100">
        <f t="shared" si="11"/>
        <v>0</v>
      </c>
      <c r="P26" s="100">
        <f t="shared" si="12"/>
        <v>0</v>
      </c>
      <c r="Q26" s="160">
        <f t="shared" si="13"/>
        <v>0</v>
      </c>
      <c r="R26" s="114"/>
      <c r="S26" s="231"/>
      <c r="T26" s="231"/>
      <c r="U26" s="231"/>
      <c r="V26" s="231"/>
      <c r="W26" s="231"/>
      <c r="X26" s="231"/>
      <c r="Y26" s="231"/>
      <c r="Z26" s="231"/>
      <c r="AA26" s="231"/>
      <c r="AB26" s="231"/>
      <c r="AC26" s="231"/>
      <c r="AD26" s="231"/>
      <c r="AE26" s="231"/>
      <c r="AF26" s="231"/>
      <c r="AG26" s="231"/>
      <c r="AH26" s="231"/>
      <c r="AI26" s="231"/>
      <c r="AJ26" s="231"/>
      <c r="AK26" s="231"/>
      <c r="AL26" s="231"/>
      <c r="AM26" s="231"/>
      <c r="AN26" s="231"/>
    </row>
    <row r="27" s="34" customFormat="1" spans="1:40">
      <c r="A27" s="67">
        <f>IF(F27&lt;&gt;"",1+MAX($A$2:A26),"")</f>
        <v>12</v>
      </c>
      <c r="B27" s="237"/>
      <c r="C27" s="74" t="s">
        <v>44</v>
      </c>
      <c r="D27" s="240" t="s">
        <v>45</v>
      </c>
      <c r="E27" s="76">
        <v>3</v>
      </c>
      <c r="F27" s="71">
        <v>0</v>
      </c>
      <c r="G27" s="66">
        <f t="shared" si="7"/>
        <v>3</v>
      </c>
      <c r="H27" s="70" t="s">
        <v>35</v>
      </c>
      <c r="I27" s="97">
        <v>0</v>
      </c>
      <c r="J27" s="98">
        <f t="shared" si="8"/>
        <v>0</v>
      </c>
      <c r="K27" s="99">
        <v>50</v>
      </c>
      <c r="L27" s="100">
        <f t="shared" si="9"/>
        <v>0</v>
      </c>
      <c r="M27" s="100">
        <f t="shared" si="10"/>
        <v>0</v>
      </c>
      <c r="N27" s="100">
        <v>0</v>
      </c>
      <c r="O27" s="100">
        <f t="shared" si="11"/>
        <v>0</v>
      </c>
      <c r="P27" s="100">
        <f t="shared" si="12"/>
        <v>0</v>
      </c>
      <c r="Q27" s="160">
        <f t="shared" si="13"/>
        <v>0</v>
      </c>
      <c r="R27" s="114"/>
      <c r="S27" s="231"/>
      <c r="T27" s="231"/>
      <c r="U27" s="231"/>
      <c r="V27" s="231"/>
      <c r="W27" s="231"/>
      <c r="X27" s="231"/>
      <c r="Y27" s="231"/>
      <c r="Z27" s="231"/>
      <c r="AA27" s="231"/>
      <c r="AB27" s="231"/>
      <c r="AC27" s="231"/>
      <c r="AD27" s="231"/>
      <c r="AE27" s="231"/>
      <c r="AF27" s="231"/>
      <c r="AG27" s="231"/>
      <c r="AH27" s="231"/>
      <c r="AI27" s="231"/>
      <c r="AJ27" s="231"/>
      <c r="AK27" s="231"/>
      <c r="AL27" s="231"/>
      <c r="AM27" s="231"/>
      <c r="AN27" s="231"/>
    </row>
    <row r="28" s="31" customFormat="1" spans="1:40">
      <c r="A28" s="156">
        <f>IF(F28&lt;&gt;"",1+MAX($A$2:A27),"")</f>
        <v>13</v>
      </c>
      <c r="B28" s="237"/>
      <c r="C28" s="74" t="s">
        <v>46</v>
      </c>
      <c r="D28" s="240" t="s">
        <v>47</v>
      </c>
      <c r="E28" s="76">
        <v>23</v>
      </c>
      <c r="F28" s="71">
        <v>0</v>
      </c>
      <c r="G28" s="66">
        <f t="shared" si="7"/>
        <v>23</v>
      </c>
      <c r="H28" s="70" t="s">
        <v>35</v>
      </c>
      <c r="I28" s="97">
        <v>0</v>
      </c>
      <c r="J28" s="98">
        <f t="shared" si="8"/>
        <v>0</v>
      </c>
      <c r="K28" s="144">
        <v>50</v>
      </c>
      <c r="L28" s="100">
        <f t="shared" si="9"/>
        <v>0</v>
      </c>
      <c r="M28" s="100">
        <f t="shared" si="10"/>
        <v>0</v>
      </c>
      <c r="N28" s="100">
        <v>0</v>
      </c>
      <c r="O28" s="100">
        <f t="shared" si="11"/>
        <v>0</v>
      </c>
      <c r="P28" s="100">
        <f t="shared" si="12"/>
        <v>0</v>
      </c>
      <c r="Q28" s="160">
        <f t="shared" si="13"/>
        <v>0</v>
      </c>
      <c r="R28" s="118"/>
      <c r="S28" s="244"/>
      <c r="T28" s="244"/>
      <c r="U28" s="244"/>
      <c r="V28" s="244"/>
      <c r="W28" s="244"/>
      <c r="X28" s="244"/>
      <c r="Y28" s="244"/>
      <c r="Z28" s="244"/>
      <c r="AA28" s="244"/>
      <c r="AB28" s="244"/>
      <c r="AC28" s="244"/>
      <c r="AD28" s="244"/>
      <c r="AE28" s="244"/>
      <c r="AF28" s="244"/>
      <c r="AG28" s="244"/>
      <c r="AH28" s="244"/>
      <c r="AI28" s="244"/>
      <c r="AJ28" s="244"/>
      <c r="AK28" s="244"/>
      <c r="AL28" s="244"/>
      <c r="AM28" s="244"/>
      <c r="AN28" s="244"/>
    </row>
    <row r="29" s="31" customFormat="1" spans="1:40">
      <c r="A29" s="156">
        <f>IF(F29&lt;&gt;"",1+MAX($A$2:A28),"")</f>
        <v>14</v>
      </c>
      <c r="B29" s="237"/>
      <c r="C29" s="74" t="s">
        <v>48</v>
      </c>
      <c r="D29" s="240" t="s">
        <v>49</v>
      </c>
      <c r="E29" s="76">
        <v>27</v>
      </c>
      <c r="F29" s="71">
        <v>0</v>
      </c>
      <c r="G29" s="66">
        <f t="shared" si="7"/>
        <v>27</v>
      </c>
      <c r="H29" s="70" t="s">
        <v>35</v>
      </c>
      <c r="I29" s="97">
        <v>0</v>
      </c>
      <c r="J29" s="98">
        <f t="shared" si="8"/>
        <v>0</v>
      </c>
      <c r="K29" s="144">
        <v>50</v>
      </c>
      <c r="L29" s="100">
        <f t="shared" si="9"/>
        <v>0</v>
      </c>
      <c r="M29" s="100">
        <f t="shared" si="10"/>
        <v>0</v>
      </c>
      <c r="N29" s="100">
        <v>0</v>
      </c>
      <c r="O29" s="100">
        <f t="shared" si="11"/>
        <v>0</v>
      </c>
      <c r="P29" s="100">
        <f t="shared" si="12"/>
        <v>0</v>
      </c>
      <c r="Q29" s="160">
        <f t="shared" si="13"/>
        <v>0</v>
      </c>
      <c r="R29" s="118"/>
      <c r="S29" s="244"/>
      <c r="T29" s="244"/>
      <c r="U29" s="244"/>
      <c r="V29" s="244"/>
      <c r="W29" s="244"/>
      <c r="X29" s="244"/>
      <c r="Y29" s="244"/>
      <c r="Z29" s="244"/>
      <c r="AA29" s="244"/>
      <c r="AB29" s="244"/>
      <c r="AC29" s="244"/>
      <c r="AD29" s="244"/>
      <c r="AE29" s="244"/>
      <c r="AF29" s="244"/>
      <c r="AG29" s="244"/>
      <c r="AH29" s="244"/>
      <c r="AI29" s="244"/>
      <c r="AJ29" s="244"/>
      <c r="AK29" s="244"/>
      <c r="AL29" s="244"/>
      <c r="AM29" s="244"/>
      <c r="AN29" s="244"/>
    </row>
    <row r="30" s="31" customFormat="1" spans="1:40">
      <c r="A30" s="156">
        <f>IF(F30&lt;&gt;"",1+MAX($A$2:A29),"")</f>
        <v>15</v>
      </c>
      <c r="B30" s="237"/>
      <c r="C30" s="74" t="s">
        <v>50</v>
      </c>
      <c r="D30" s="239" t="s">
        <v>51</v>
      </c>
      <c r="E30" s="76">
        <v>68</v>
      </c>
      <c r="F30" s="71">
        <v>0</v>
      </c>
      <c r="G30" s="66">
        <f t="shared" si="7"/>
        <v>68</v>
      </c>
      <c r="H30" s="70" t="s">
        <v>35</v>
      </c>
      <c r="I30" s="97">
        <v>0</v>
      </c>
      <c r="J30" s="98">
        <f t="shared" si="8"/>
        <v>0</v>
      </c>
      <c r="K30" s="144">
        <v>50</v>
      </c>
      <c r="L30" s="100">
        <f t="shared" si="9"/>
        <v>0</v>
      </c>
      <c r="M30" s="100">
        <f t="shared" si="10"/>
        <v>0</v>
      </c>
      <c r="N30" s="100">
        <v>0</v>
      </c>
      <c r="O30" s="100">
        <f t="shared" si="11"/>
        <v>0</v>
      </c>
      <c r="P30" s="100">
        <f t="shared" si="12"/>
        <v>0</v>
      </c>
      <c r="Q30" s="160">
        <f t="shared" si="13"/>
        <v>0</v>
      </c>
      <c r="R30" s="118"/>
      <c r="S30" s="244"/>
      <c r="T30" s="244"/>
      <c r="U30" s="244"/>
      <c r="V30" s="244"/>
      <c r="W30" s="244"/>
      <c r="X30" s="244"/>
      <c r="Y30" s="244"/>
      <c r="Z30" s="244"/>
      <c r="AA30" s="244"/>
      <c r="AB30" s="244"/>
      <c r="AC30" s="244"/>
      <c r="AD30" s="244"/>
      <c r="AE30" s="244"/>
      <c r="AF30" s="244"/>
      <c r="AG30" s="244"/>
      <c r="AH30" s="244"/>
      <c r="AI30" s="244"/>
      <c r="AJ30" s="244"/>
      <c r="AK30" s="244"/>
      <c r="AL30" s="244"/>
      <c r="AM30" s="244"/>
      <c r="AN30" s="244"/>
    </row>
    <row r="31" s="34" customFormat="1" ht="18" customHeight="1" spans="1:40">
      <c r="A31" s="61" t="str">
        <f>IF(F31&lt;&gt;"",1+MAX($A$2:A30),"")</f>
        <v/>
      </c>
      <c r="B31" s="237"/>
      <c r="C31" s="74"/>
      <c r="D31" s="240"/>
      <c r="E31" s="76"/>
      <c r="F31" s="65"/>
      <c r="G31" s="66"/>
      <c r="H31" s="70"/>
      <c r="I31" s="97"/>
      <c r="J31" s="98"/>
      <c r="K31" s="99"/>
      <c r="L31" s="100"/>
      <c r="M31" s="100"/>
      <c r="N31" s="100"/>
      <c r="O31" s="100"/>
      <c r="P31" s="100"/>
      <c r="Q31" s="124"/>
      <c r="R31" s="114"/>
      <c r="S31" s="231"/>
      <c r="T31" s="231"/>
      <c r="U31" s="231"/>
      <c r="V31" s="231"/>
      <c r="W31" s="231"/>
      <c r="X31" s="231"/>
      <c r="Y31" s="231"/>
      <c r="Z31" s="231"/>
      <c r="AA31" s="231"/>
      <c r="AB31" s="231"/>
      <c r="AC31" s="231"/>
      <c r="AD31" s="231"/>
      <c r="AE31" s="231"/>
      <c r="AF31" s="231"/>
      <c r="AG31" s="231"/>
      <c r="AH31" s="231"/>
      <c r="AI31" s="231"/>
      <c r="AJ31" s="231"/>
      <c r="AK31" s="231"/>
      <c r="AL31" s="231"/>
      <c r="AM31" s="231"/>
      <c r="AN31" s="231"/>
    </row>
    <row r="32" s="34" customFormat="1" ht="18" customHeight="1" spans="1:40">
      <c r="A32" s="61" t="str">
        <f>IF(F32&lt;&gt;"",1+MAX($A$2:A31),"")</f>
        <v/>
      </c>
      <c r="B32" s="237"/>
      <c r="C32" s="74"/>
      <c r="D32" s="242" t="s">
        <v>52</v>
      </c>
      <c r="E32" s="76"/>
      <c r="F32" s="65"/>
      <c r="G32" s="66"/>
      <c r="H32" s="70"/>
      <c r="I32" s="97"/>
      <c r="J32" s="98"/>
      <c r="K32" s="99"/>
      <c r="L32" s="100"/>
      <c r="M32" s="100"/>
      <c r="N32" s="100"/>
      <c r="O32" s="100"/>
      <c r="P32" s="100"/>
      <c r="Q32" s="124"/>
      <c r="R32" s="114"/>
      <c r="S32" s="231"/>
      <c r="T32" s="231"/>
      <c r="U32" s="231"/>
      <c r="V32" s="231"/>
      <c r="W32" s="231"/>
      <c r="X32" s="231"/>
      <c r="Y32" s="231"/>
      <c r="Z32" s="231"/>
      <c r="AA32" s="231"/>
      <c r="AB32" s="231"/>
      <c r="AC32" s="231"/>
      <c r="AD32" s="231"/>
      <c r="AE32" s="231"/>
      <c r="AF32" s="231"/>
      <c r="AG32" s="231"/>
      <c r="AH32" s="231"/>
      <c r="AI32" s="231"/>
      <c r="AJ32" s="231"/>
      <c r="AK32" s="231"/>
      <c r="AL32" s="231"/>
      <c r="AM32" s="231"/>
      <c r="AN32" s="231"/>
    </row>
    <row r="33" s="34" customFormat="1" spans="1:40">
      <c r="A33" s="61">
        <f>IF(F33&lt;&gt;"",1+MAX($A$2:A32),"")</f>
        <v>16</v>
      </c>
      <c r="B33" s="237"/>
      <c r="C33" s="74"/>
      <c r="D33" s="240" t="s">
        <v>53</v>
      </c>
      <c r="E33" s="76">
        <v>1</v>
      </c>
      <c r="F33" s="71">
        <v>0</v>
      </c>
      <c r="G33" s="66">
        <f t="shared" ref="G33:G37" si="14">(F33*E33)+E33</f>
        <v>1</v>
      </c>
      <c r="H33" s="70" t="s">
        <v>35</v>
      </c>
      <c r="I33" s="97">
        <v>0</v>
      </c>
      <c r="J33" s="98">
        <f t="shared" ref="J33:J37" si="15">+I33*G33</f>
        <v>0</v>
      </c>
      <c r="K33" s="99">
        <v>50</v>
      </c>
      <c r="L33" s="100">
        <f t="shared" ref="L33:L37" si="16">I33*K33</f>
        <v>0</v>
      </c>
      <c r="M33" s="100">
        <f t="shared" ref="M33:M37" si="17">K33*J33</f>
        <v>0</v>
      </c>
      <c r="N33" s="100">
        <v>0</v>
      </c>
      <c r="O33" s="100">
        <f t="shared" ref="O33:O37" si="18">N33*G33</f>
        <v>0</v>
      </c>
      <c r="P33" s="100">
        <f t="shared" ref="P33:P37" si="19">(I33*K33)+N33</f>
        <v>0</v>
      </c>
      <c r="Q33" s="124">
        <f t="shared" ref="Q33:Q37" si="20">P33*G33</f>
        <v>0</v>
      </c>
      <c r="R33" s="114"/>
      <c r="S33" s="231"/>
      <c r="T33" s="231"/>
      <c r="U33" s="231"/>
      <c r="V33" s="231"/>
      <c r="W33" s="231"/>
      <c r="X33" s="231"/>
      <c r="Y33" s="231"/>
      <c r="Z33" s="231"/>
      <c r="AA33" s="231"/>
      <c r="AB33" s="231"/>
      <c r="AC33" s="231"/>
      <c r="AD33" s="231"/>
      <c r="AE33" s="231"/>
      <c r="AF33" s="231"/>
      <c r="AG33" s="231"/>
      <c r="AH33" s="231"/>
      <c r="AI33" s="231"/>
      <c r="AJ33" s="231"/>
      <c r="AK33" s="231"/>
      <c r="AL33" s="231"/>
      <c r="AM33" s="231"/>
      <c r="AN33" s="231"/>
    </row>
    <row r="34" s="34" customFormat="1" spans="1:40">
      <c r="A34" s="61">
        <f>IF(F34&lt;&gt;"",1+MAX($A$2:A33),"")</f>
        <v>17</v>
      </c>
      <c r="B34" s="237"/>
      <c r="C34" s="74"/>
      <c r="D34" s="240" t="s">
        <v>54</v>
      </c>
      <c r="E34" s="76">
        <v>8</v>
      </c>
      <c r="F34" s="71">
        <v>0</v>
      </c>
      <c r="G34" s="66">
        <f t="shared" si="14"/>
        <v>8</v>
      </c>
      <c r="H34" s="70" t="s">
        <v>35</v>
      </c>
      <c r="I34" s="97">
        <v>0</v>
      </c>
      <c r="J34" s="98">
        <f t="shared" si="15"/>
        <v>0</v>
      </c>
      <c r="K34" s="99">
        <v>50</v>
      </c>
      <c r="L34" s="100">
        <f t="shared" si="16"/>
        <v>0</v>
      </c>
      <c r="M34" s="100">
        <f t="shared" si="17"/>
        <v>0</v>
      </c>
      <c r="N34" s="100">
        <v>0</v>
      </c>
      <c r="O34" s="100">
        <f t="shared" si="18"/>
        <v>0</v>
      </c>
      <c r="P34" s="100">
        <f t="shared" si="19"/>
        <v>0</v>
      </c>
      <c r="Q34" s="124">
        <f t="shared" si="20"/>
        <v>0</v>
      </c>
      <c r="R34" s="114"/>
      <c r="S34" s="231"/>
      <c r="T34" s="231"/>
      <c r="U34" s="231"/>
      <c r="V34" s="231"/>
      <c r="W34" s="231"/>
      <c r="X34" s="231"/>
      <c r="Y34" s="231"/>
      <c r="Z34" s="231"/>
      <c r="AA34" s="231"/>
      <c r="AB34" s="231"/>
      <c r="AC34" s="231"/>
      <c r="AD34" s="231"/>
      <c r="AE34" s="231"/>
      <c r="AF34" s="231"/>
      <c r="AG34" s="231"/>
      <c r="AH34" s="231"/>
      <c r="AI34" s="231"/>
      <c r="AJ34" s="231"/>
      <c r="AK34" s="231"/>
      <c r="AL34" s="231"/>
      <c r="AM34" s="231"/>
      <c r="AN34" s="231"/>
    </row>
    <row r="35" s="34" customFormat="1" spans="1:40">
      <c r="A35" s="61">
        <f>IF(F35&lt;&gt;"",1+MAX($A$2:A34),"")</f>
        <v>18</v>
      </c>
      <c r="B35" s="237"/>
      <c r="C35" s="74"/>
      <c r="D35" s="240" t="s">
        <v>55</v>
      </c>
      <c r="E35" s="76">
        <v>3</v>
      </c>
      <c r="F35" s="71">
        <v>0</v>
      </c>
      <c r="G35" s="66">
        <f t="shared" si="14"/>
        <v>3</v>
      </c>
      <c r="H35" s="70" t="s">
        <v>35</v>
      </c>
      <c r="I35" s="97">
        <v>0</v>
      </c>
      <c r="J35" s="98">
        <f t="shared" si="15"/>
        <v>0</v>
      </c>
      <c r="K35" s="99">
        <v>50</v>
      </c>
      <c r="L35" s="100">
        <f t="shared" si="16"/>
        <v>0</v>
      </c>
      <c r="M35" s="100">
        <f t="shared" si="17"/>
        <v>0</v>
      </c>
      <c r="N35" s="100">
        <v>0</v>
      </c>
      <c r="O35" s="100">
        <f t="shared" si="18"/>
        <v>0</v>
      </c>
      <c r="P35" s="100">
        <f t="shared" si="19"/>
        <v>0</v>
      </c>
      <c r="Q35" s="124">
        <f t="shared" si="20"/>
        <v>0</v>
      </c>
      <c r="R35" s="114"/>
      <c r="S35" s="231"/>
      <c r="T35" s="231"/>
      <c r="U35" s="231"/>
      <c r="V35" s="231"/>
      <c r="W35" s="231"/>
      <c r="X35" s="231"/>
      <c r="Y35" s="231"/>
      <c r="Z35" s="231"/>
      <c r="AA35" s="231"/>
      <c r="AB35" s="231"/>
      <c r="AC35" s="231"/>
      <c r="AD35" s="231"/>
      <c r="AE35" s="231"/>
      <c r="AF35" s="231"/>
      <c r="AG35" s="231"/>
      <c r="AH35" s="231"/>
      <c r="AI35" s="231"/>
      <c r="AJ35" s="231"/>
      <c r="AK35" s="231"/>
      <c r="AL35" s="231"/>
      <c r="AM35" s="231"/>
      <c r="AN35" s="231"/>
    </row>
    <row r="36" s="34" customFormat="1" spans="1:40">
      <c r="A36" s="61">
        <f>IF(F36&lt;&gt;"",1+MAX($A$2:A35),"")</f>
        <v>19</v>
      </c>
      <c r="B36" s="237"/>
      <c r="C36" s="74"/>
      <c r="D36" s="240" t="s">
        <v>56</v>
      </c>
      <c r="E36" s="76">
        <v>4</v>
      </c>
      <c r="F36" s="71">
        <v>0</v>
      </c>
      <c r="G36" s="66">
        <f t="shared" si="14"/>
        <v>4</v>
      </c>
      <c r="H36" s="70" t="s">
        <v>35</v>
      </c>
      <c r="I36" s="97">
        <v>0</v>
      </c>
      <c r="J36" s="98">
        <f t="shared" si="15"/>
        <v>0</v>
      </c>
      <c r="K36" s="99">
        <v>50</v>
      </c>
      <c r="L36" s="100">
        <f t="shared" si="16"/>
        <v>0</v>
      </c>
      <c r="M36" s="100">
        <f t="shared" si="17"/>
        <v>0</v>
      </c>
      <c r="N36" s="100">
        <v>0</v>
      </c>
      <c r="O36" s="100">
        <f t="shared" si="18"/>
        <v>0</v>
      </c>
      <c r="P36" s="100">
        <f t="shared" si="19"/>
        <v>0</v>
      </c>
      <c r="Q36" s="124">
        <f t="shared" si="20"/>
        <v>0</v>
      </c>
      <c r="R36" s="114"/>
      <c r="S36" s="231"/>
      <c r="T36" s="231"/>
      <c r="U36" s="231"/>
      <c r="V36" s="231"/>
      <c r="W36" s="231"/>
      <c r="X36" s="231"/>
      <c r="Y36" s="231"/>
      <c r="Z36" s="231"/>
      <c r="AA36" s="231"/>
      <c r="AB36" s="231"/>
      <c r="AC36" s="231"/>
      <c r="AD36" s="231"/>
      <c r="AE36" s="231"/>
      <c r="AF36" s="231"/>
      <c r="AG36" s="231"/>
      <c r="AH36" s="231"/>
      <c r="AI36" s="231"/>
      <c r="AJ36" s="231"/>
      <c r="AK36" s="231"/>
      <c r="AL36" s="231"/>
      <c r="AM36" s="231"/>
      <c r="AN36" s="231"/>
    </row>
    <row r="37" s="34" customFormat="1" spans="1:40">
      <c r="A37" s="61">
        <f>IF(F37&lt;&gt;"",1+MAX($A$2:A36),"")</f>
        <v>20</v>
      </c>
      <c r="B37" s="237"/>
      <c r="C37" s="74"/>
      <c r="D37" s="240" t="s">
        <v>57</v>
      </c>
      <c r="E37" s="76">
        <v>2</v>
      </c>
      <c r="F37" s="71">
        <v>0</v>
      </c>
      <c r="G37" s="66">
        <f t="shared" si="14"/>
        <v>2</v>
      </c>
      <c r="H37" s="70" t="s">
        <v>35</v>
      </c>
      <c r="I37" s="97">
        <v>0</v>
      </c>
      <c r="J37" s="98">
        <f t="shared" si="15"/>
        <v>0</v>
      </c>
      <c r="K37" s="99">
        <v>50</v>
      </c>
      <c r="L37" s="100">
        <f t="shared" si="16"/>
        <v>0</v>
      </c>
      <c r="M37" s="100">
        <f t="shared" si="17"/>
        <v>0</v>
      </c>
      <c r="N37" s="100">
        <v>0</v>
      </c>
      <c r="O37" s="100">
        <f t="shared" si="18"/>
        <v>0</v>
      </c>
      <c r="P37" s="100">
        <f t="shared" si="19"/>
        <v>0</v>
      </c>
      <c r="Q37" s="124">
        <f t="shared" si="20"/>
        <v>0</v>
      </c>
      <c r="R37" s="114"/>
      <c r="S37" s="231"/>
      <c r="T37" s="231"/>
      <c r="U37" s="231"/>
      <c r="V37" s="231"/>
      <c r="W37" s="231"/>
      <c r="X37" s="231"/>
      <c r="Y37" s="231"/>
      <c r="Z37" s="231"/>
      <c r="AA37" s="231"/>
      <c r="AB37" s="231"/>
      <c r="AC37" s="231"/>
      <c r="AD37" s="231"/>
      <c r="AE37" s="231"/>
      <c r="AF37" s="231"/>
      <c r="AG37" s="231"/>
      <c r="AH37" s="231"/>
      <c r="AI37" s="231"/>
      <c r="AJ37" s="231"/>
      <c r="AK37" s="231"/>
      <c r="AL37" s="231"/>
      <c r="AM37" s="231"/>
      <c r="AN37" s="231"/>
    </row>
    <row r="38" s="34" customFormat="1" spans="1:40">
      <c r="A38" s="61" t="str">
        <f>IF(F38&lt;&gt;"",1+MAX($A$2:A37),"")</f>
        <v/>
      </c>
      <c r="B38" s="237"/>
      <c r="C38" s="74"/>
      <c r="D38" s="240"/>
      <c r="E38" s="76"/>
      <c r="F38" s="71"/>
      <c r="G38" s="66"/>
      <c r="H38" s="70"/>
      <c r="I38" s="97"/>
      <c r="J38" s="98"/>
      <c r="K38" s="99"/>
      <c r="L38" s="100"/>
      <c r="M38" s="100"/>
      <c r="N38" s="100"/>
      <c r="O38" s="100"/>
      <c r="P38" s="100"/>
      <c r="Q38" s="124"/>
      <c r="R38" s="114"/>
      <c r="S38" s="231"/>
      <c r="T38" s="231"/>
      <c r="U38" s="231"/>
      <c r="V38" s="231"/>
      <c r="W38" s="231"/>
      <c r="X38" s="231"/>
      <c r="Y38" s="231"/>
      <c r="Z38" s="231"/>
      <c r="AA38" s="231"/>
      <c r="AB38" s="231"/>
      <c r="AC38" s="231"/>
      <c r="AD38" s="231"/>
      <c r="AE38" s="231"/>
      <c r="AF38" s="231"/>
      <c r="AG38" s="231"/>
      <c r="AH38" s="231"/>
      <c r="AI38" s="231"/>
      <c r="AJ38" s="231"/>
      <c r="AK38" s="231"/>
      <c r="AL38" s="231"/>
      <c r="AM38" s="231"/>
      <c r="AN38" s="231"/>
    </row>
    <row r="39" s="34" customFormat="1" ht="18" customHeight="1" spans="1:40">
      <c r="A39" s="156" t="str">
        <f>IF(F39&lt;&gt;"",1+MAX($A$2:A38),"")</f>
        <v/>
      </c>
      <c r="B39" s="157"/>
      <c r="C39" s="217"/>
      <c r="D39" s="242" t="s">
        <v>58</v>
      </c>
      <c r="E39" s="76"/>
      <c r="F39" s="71"/>
      <c r="G39" s="66"/>
      <c r="H39" s="72"/>
      <c r="I39" s="72"/>
      <c r="J39" s="72"/>
      <c r="K39" s="159"/>
      <c r="L39" s="159"/>
      <c r="M39" s="159"/>
      <c r="N39" s="159"/>
      <c r="O39" s="159"/>
      <c r="P39" s="159"/>
      <c r="Q39" s="163"/>
      <c r="R39" s="114"/>
      <c r="S39" s="231"/>
      <c r="T39" s="231"/>
      <c r="U39" s="231"/>
      <c r="V39" s="231"/>
      <c r="W39" s="231"/>
      <c r="X39" s="231"/>
      <c r="Y39" s="231"/>
      <c r="Z39" s="231"/>
      <c r="AA39" s="231"/>
      <c r="AB39" s="231"/>
      <c r="AC39" s="231"/>
      <c r="AD39" s="231"/>
      <c r="AE39" s="231"/>
      <c r="AF39" s="231"/>
      <c r="AG39" s="231"/>
      <c r="AH39" s="231"/>
      <c r="AI39" s="231"/>
      <c r="AJ39" s="231"/>
      <c r="AK39" s="231"/>
      <c r="AL39" s="231"/>
      <c r="AM39" s="231"/>
      <c r="AN39" s="231"/>
    </row>
    <row r="40" s="34" customFormat="1" ht="18" customHeight="1" spans="1:40">
      <c r="A40" s="61">
        <f>IF(F40&lt;&gt;"",1+MAX($A$2:A39),"")</f>
        <v>21</v>
      </c>
      <c r="B40" s="237"/>
      <c r="C40" s="74" t="s">
        <v>59</v>
      </c>
      <c r="D40" s="240" t="s">
        <v>60</v>
      </c>
      <c r="E40" s="76">
        <v>5</v>
      </c>
      <c r="F40" s="65">
        <v>0</v>
      </c>
      <c r="G40" s="66">
        <f t="shared" ref="G40:G62" si="21">(F40*E40)+E40</f>
        <v>5</v>
      </c>
      <c r="H40" s="70" t="s">
        <v>35</v>
      </c>
      <c r="I40" s="97">
        <v>0</v>
      </c>
      <c r="J40" s="98">
        <f t="shared" ref="J40:J62" si="22">+I40*G40</f>
        <v>0</v>
      </c>
      <c r="K40" s="99">
        <v>50</v>
      </c>
      <c r="L40" s="100">
        <f t="shared" ref="L40:L62" si="23">I40*K40</f>
        <v>0</v>
      </c>
      <c r="M40" s="100">
        <f t="shared" ref="M40:M62" si="24">K40*J40</f>
        <v>0</v>
      </c>
      <c r="N40" s="100">
        <v>0</v>
      </c>
      <c r="O40" s="100">
        <f t="shared" ref="O40:O62" si="25">N40*G40</f>
        <v>0</v>
      </c>
      <c r="P40" s="100">
        <f t="shared" ref="P40:P62" si="26">(I40*K40)+N40</f>
        <v>0</v>
      </c>
      <c r="Q40" s="124">
        <f t="shared" ref="Q40:Q62" si="27">P40*G40</f>
        <v>0</v>
      </c>
      <c r="R40" s="114"/>
      <c r="S40" s="231"/>
      <c r="T40" s="231"/>
      <c r="U40" s="231"/>
      <c r="V40" s="231"/>
      <c r="W40" s="231"/>
      <c r="X40" s="231"/>
      <c r="Y40" s="231"/>
      <c r="Z40" s="231"/>
      <c r="AA40" s="231"/>
      <c r="AB40" s="231"/>
      <c r="AC40" s="231"/>
      <c r="AD40" s="231"/>
      <c r="AE40" s="231"/>
      <c r="AF40" s="231"/>
      <c r="AG40" s="231"/>
      <c r="AH40" s="231"/>
      <c r="AI40" s="231"/>
      <c r="AJ40" s="231"/>
      <c r="AK40" s="231"/>
      <c r="AL40" s="231"/>
      <c r="AM40" s="231"/>
      <c r="AN40" s="231"/>
    </row>
    <row r="41" customFormat="1" ht="18" customHeight="1" spans="1:40">
      <c r="A41" s="61" t="str">
        <f>IF(F41&lt;&gt;"",1+MAX($A$2:A40),"")</f>
        <v/>
      </c>
      <c r="B41" s="237"/>
      <c r="C41" s="74"/>
      <c r="D41" s="240"/>
      <c r="E41" s="76"/>
      <c r="F41" s="65"/>
      <c r="G41" s="66"/>
      <c r="H41" s="64"/>
      <c r="I41" s="97"/>
      <c r="J41" s="98"/>
      <c r="K41" s="99"/>
      <c r="L41" s="100"/>
      <c r="M41" s="100"/>
      <c r="N41" s="100"/>
      <c r="O41" s="100"/>
      <c r="P41" s="100"/>
      <c r="Q41" s="124"/>
      <c r="R41" s="114"/>
      <c r="S41" s="250"/>
      <c r="T41" s="250"/>
      <c r="U41" s="250"/>
      <c r="V41" s="250"/>
      <c r="W41" s="250"/>
      <c r="X41" s="250"/>
      <c r="Y41" s="250"/>
      <c r="Z41" s="250"/>
      <c r="AA41" s="250"/>
      <c r="AB41" s="250"/>
      <c r="AC41" s="250"/>
      <c r="AD41" s="250"/>
      <c r="AE41" s="250"/>
      <c r="AF41" s="250"/>
      <c r="AG41" s="250"/>
      <c r="AH41" s="250"/>
      <c r="AI41" s="250"/>
      <c r="AJ41" s="250"/>
      <c r="AK41" s="250"/>
      <c r="AL41" s="250"/>
      <c r="AM41" s="250"/>
      <c r="AN41" s="250"/>
    </row>
    <row r="42" s="34" customFormat="1" ht="18" customHeight="1" spans="1:40">
      <c r="A42" s="156" t="str">
        <f>IF(F42&lt;&gt;"",1+MAX($A$2:A41),"")</f>
        <v/>
      </c>
      <c r="B42" s="157"/>
      <c r="C42" s="217"/>
      <c r="D42" s="242" t="s">
        <v>61</v>
      </c>
      <c r="E42" s="76"/>
      <c r="F42" s="71"/>
      <c r="G42" s="66"/>
      <c r="H42" s="72"/>
      <c r="I42" s="72"/>
      <c r="J42" s="72"/>
      <c r="K42" s="159"/>
      <c r="L42" s="159"/>
      <c r="M42" s="159"/>
      <c r="N42" s="159"/>
      <c r="O42" s="159"/>
      <c r="P42" s="159"/>
      <c r="Q42" s="163"/>
      <c r="R42" s="114"/>
      <c r="S42" s="231"/>
      <c r="T42" s="231"/>
      <c r="U42" s="231"/>
      <c r="V42" s="231"/>
      <c r="W42" s="231"/>
      <c r="X42" s="231"/>
      <c r="Y42" s="231"/>
      <c r="Z42" s="231"/>
      <c r="AA42" s="231"/>
      <c r="AB42" s="231"/>
      <c r="AC42" s="231"/>
      <c r="AD42" s="231"/>
      <c r="AE42" s="231"/>
      <c r="AF42" s="231"/>
      <c r="AG42" s="231"/>
      <c r="AH42" s="231"/>
      <c r="AI42" s="231"/>
      <c r="AJ42" s="231"/>
      <c r="AK42" s="231"/>
      <c r="AL42" s="231"/>
      <c r="AM42" s="231"/>
      <c r="AN42" s="231"/>
    </row>
    <row r="43" s="34" customFormat="1" ht="18" customHeight="1" spans="1:40">
      <c r="A43" s="61">
        <f>IF(F43&lt;&gt;"",1+MAX($A$2:A42),"")</f>
        <v>22</v>
      </c>
      <c r="B43" s="237"/>
      <c r="C43" s="74"/>
      <c r="D43" s="240" t="s">
        <v>62</v>
      </c>
      <c r="E43" s="76">
        <v>2</v>
      </c>
      <c r="F43" s="65">
        <v>0</v>
      </c>
      <c r="G43" s="66">
        <f t="shared" si="21"/>
        <v>2</v>
      </c>
      <c r="H43" s="70" t="s">
        <v>35</v>
      </c>
      <c r="I43" s="97">
        <v>0</v>
      </c>
      <c r="J43" s="98">
        <f t="shared" si="22"/>
        <v>0</v>
      </c>
      <c r="K43" s="99">
        <v>50</v>
      </c>
      <c r="L43" s="100">
        <f t="shared" si="23"/>
        <v>0</v>
      </c>
      <c r="M43" s="100">
        <f t="shared" si="24"/>
        <v>0</v>
      </c>
      <c r="N43" s="100">
        <v>0</v>
      </c>
      <c r="O43" s="100">
        <f t="shared" si="25"/>
        <v>0</v>
      </c>
      <c r="P43" s="100">
        <f t="shared" si="26"/>
        <v>0</v>
      </c>
      <c r="Q43" s="124">
        <f t="shared" si="27"/>
        <v>0</v>
      </c>
      <c r="R43" s="114"/>
      <c r="S43" s="231"/>
      <c r="T43" s="231"/>
      <c r="U43" s="231"/>
      <c r="V43" s="231"/>
      <c r="W43" s="231"/>
      <c r="X43" s="231"/>
      <c r="Y43" s="231"/>
      <c r="Z43" s="231"/>
      <c r="AA43" s="231"/>
      <c r="AB43" s="231"/>
      <c r="AC43" s="231"/>
      <c r="AD43" s="231"/>
      <c r="AE43" s="231"/>
      <c r="AF43" s="231"/>
      <c r="AG43" s="231"/>
      <c r="AH43" s="231"/>
      <c r="AI43" s="231"/>
      <c r="AJ43" s="231"/>
      <c r="AK43" s="231"/>
      <c r="AL43" s="231"/>
      <c r="AM43" s="231"/>
      <c r="AN43" s="231"/>
    </row>
    <row r="44" s="34" customFormat="1" ht="18" customHeight="1" spans="1:40">
      <c r="A44" s="67">
        <f>IF(F44&lt;&gt;"",1+MAX($A$2:A43),"")</f>
        <v>23</v>
      </c>
      <c r="B44" s="237"/>
      <c r="C44" s="74"/>
      <c r="D44" s="240" t="s">
        <v>63</v>
      </c>
      <c r="E44" s="76">
        <v>1</v>
      </c>
      <c r="F44" s="71">
        <v>0</v>
      </c>
      <c r="G44" s="66">
        <f t="shared" si="21"/>
        <v>1</v>
      </c>
      <c r="H44" s="70" t="s">
        <v>35</v>
      </c>
      <c r="I44" s="97">
        <v>0</v>
      </c>
      <c r="J44" s="98">
        <f t="shared" si="22"/>
        <v>0</v>
      </c>
      <c r="K44" s="99">
        <v>50</v>
      </c>
      <c r="L44" s="100">
        <f t="shared" si="23"/>
        <v>0</v>
      </c>
      <c r="M44" s="100">
        <f t="shared" si="24"/>
        <v>0</v>
      </c>
      <c r="N44" s="100">
        <v>0</v>
      </c>
      <c r="O44" s="100">
        <f t="shared" si="25"/>
        <v>0</v>
      </c>
      <c r="P44" s="100">
        <f t="shared" si="26"/>
        <v>0</v>
      </c>
      <c r="Q44" s="124">
        <f t="shared" si="27"/>
        <v>0</v>
      </c>
      <c r="R44" s="114"/>
      <c r="S44" s="231"/>
      <c r="T44" s="231"/>
      <c r="U44" s="231"/>
      <c r="V44" s="231"/>
      <c r="W44" s="231"/>
      <c r="X44" s="231"/>
      <c r="Y44" s="231"/>
      <c r="Z44" s="231"/>
      <c r="AA44" s="231"/>
      <c r="AB44" s="231"/>
      <c r="AC44" s="231"/>
      <c r="AD44" s="231"/>
      <c r="AE44" s="231"/>
      <c r="AF44" s="231"/>
      <c r="AG44" s="231"/>
      <c r="AH44" s="231"/>
      <c r="AI44" s="231"/>
      <c r="AJ44" s="231"/>
      <c r="AK44" s="231"/>
      <c r="AL44" s="231"/>
      <c r="AM44" s="231"/>
      <c r="AN44" s="231"/>
    </row>
    <row r="45" s="34" customFormat="1" ht="18" customHeight="1" spans="1:40">
      <c r="A45" s="67">
        <f>IF(F45&lt;&gt;"",1+MAX($A$2:A44),"")</f>
        <v>24</v>
      </c>
      <c r="B45" s="237"/>
      <c r="C45" s="74" t="s">
        <v>64</v>
      </c>
      <c r="D45" s="240" t="s">
        <v>65</v>
      </c>
      <c r="E45" s="76">
        <v>3</v>
      </c>
      <c r="F45" s="71">
        <v>0</v>
      </c>
      <c r="G45" s="66">
        <f t="shared" si="21"/>
        <v>3</v>
      </c>
      <c r="H45" s="70" t="s">
        <v>35</v>
      </c>
      <c r="I45" s="97">
        <v>0</v>
      </c>
      <c r="J45" s="98">
        <f t="shared" si="22"/>
        <v>0</v>
      </c>
      <c r="K45" s="99">
        <v>50</v>
      </c>
      <c r="L45" s="100">
        <f t="shared" si="23"/>
        <v>0</v>
      </c>
      <c r="M45" s="100">
        <f t="shared" si="24"/>
        <v>0</v>
      </c>
      <c r="N45" s="100">
        <v>0</v>
      </c>
      <c r="O45" s="100">
        <f t="shared" si="25"/>
        <v>0</v>
      </c>
      <c r="P45" s="100">
        <f t="shared" si="26"/>
        <v>0</v>
      </c>
      <c r="Q45" s="124">
        <f t="shared" si="27"/>
        <v>0</v>
      </c>
      <c r="R45" s="114"/>
      <c r="S45" s="231"/>
      <c r="T45" s="231"/>
      <c r="U45" s="231"/>
      <c r="V45" s="231"/>
      <c r="W45" s="231"/>
      <c r="X45" s="231"/>
      <c r="Y45" s="231"/>
      <c r="Z45" s="231"/>
      <c r="AA45" s="231"/>
      <c r="AB45" s="231"/>
      <c r="AC45" s="231"/>
      <c r="AD45" s="231"/>
      <c r="AE45" s="231"/>
      <c r="AF45" s="231"/>
      <c r="AG45" s="231"/>
      <c r="AH45" s="231"/>
      <c r="AI45" s="231"/>
      <c r="AJ45" s="231"/>
      <c r="AK45" s="231"/>
      <c r="AL45" s="231"/>
      <c r="AM45" s="231"/>
      <c r="AN45" s="231"/>
    </row>
    <row r="46" s="34" customFormat="1" ht="18" customHeight="1" spans="1:40">
      <c r="A46" s="67">
        <f>IF(F46&lt;&gt;"",1+MAX($A$2:A45),"")</f>
        <v>25</v>
      </c>
      <c r="B46" s="237"/>
      <c r="C46" s="74" t="s">
        <v>66</v>
      </c>
      <c r="D46" s="240" t="s">
        <v>67</v>
      </c>
      <c r="E46" s="76">
        <v>1</v>
      </c>
      <c r="F46" s="71">
        <v>0</v>
      </c>
      <c r="G46" s="66">
        <f t="shared" si="21"/>
        <v>1</v>
      </c>
      <c r="H46" s="70" t="s">
        <v>35</v>
      </c>
      <c r="I46" s="97">
        <v>0</v>
      </c>
      <c r="J46" s="98">
        <f t="shared" si="22"/>
        <v>0</v>
      </c>
      <c r="K46" s="99">
        <v>50</v>
      </c>
      <c r="L46" s="100">
        <f t="shared" si="23"/>
        <v>0</v>
      </c>
      <c r="M46" s="100">
        <f t="shared" si="24"/>
        <v>0</v>
      </c>
      <c r="N46" s="100">
        <v>0</v>
      </c>
      <c r="O46" s="100">
        <f t="shared" si="25"/>
        <v>0</v>
      </c>
      <c r="P46" s="100">
        <f t="shared" si="26"/>
        <v>0</v>
      </c>
      <c r="Q46" s="124">
        <f t="shared" si="27"/>
        <v>0</v>
      </c>
      <c r="R46" s="114"/>
      <c r="S46" s="231"/>
      <c r="T46" s="231"/>
      <c r="U46" s="231"/>
      <c r="V46" s="231"/>
      <c r="W46" s="231"/>
      <c r="X46" s="231"/>
      <c r="Y46" s="231"/>
      <c r="Z46" s="231"/>
      <c r="AA46" s="231"/>
      <c r="AB46" s="231"/>
      <c r="AC46" s="231"/>
      <c r="AD46" s="231"/>
      <c r="AE46" s="231"/>
      <c r="AF46" s="231"/>
      <c r="AG46" s="231"/>
      <c r="AH46" s="231"/>
      <c r="AI46" s="231"/>
      <c r="AJ46" s="231"/>
      <c r="AK46" s="231"/>
      <c r="AL46" s="231"/>
      <c r="AM46" s="231"/>
      <c r="AN46" s="231"/>
    </row>
    <row r="47" s="34" customFormat="1" ht="18" customHeight="1" spans="1:40">
      <c r="A47" s="61">
        <f>IF(F47&lt;&gt;"",1+MAX($A$2:A46),"")</f>
        <v>26</v>
      </c>
      <c r="B47" s="237"/>
      <c r="C47" s="74"/>
      <c r="D47" s="240" t="s">
        <v>68</v>
      </c>
      <c r="E47" s="76">
        <v>1</v>
      </c>
      <c r="F47" s="65">
        <v>0</v>
      </c>
      <c r="G47" s="66">
        <f t="shared" si="21"/>
        <v>1</v>
      </c>
      <c r="H47" s="70" t="s">
        <v>35</v>
      </c>
      <c r="I47" s="97">
        <v>0</v>
      </c>
      <c r="J47" s="98">
        <f t="shared" si="22"/>
        <v>0</v>
      </c>
      <c r="K47" s="99">
        <v>50</v>
      </c>
      <c r="L47" s="100">
        <f t="shared" si="23"/>
        <v>0</v>
      </c>
      <c r="M47" s="100">
        <f t="shared" si="24"/>
        <v>0</v>
      </c>
      <c r="N47" s="100">
        <v>0</v>
      </c>
      <c r="O47" s="100">
        <f t="shared" si="25"/>
        <v>0</v>
      </c>
      <c r="P47" s="100">
        <f t="shared" si="26"/>
        <v>0</v>
      </c>
      <c r="Q47" s="124">
        <f t="shared" si="27"/>
        <v>0</v>
      </c>
      <c r="R47" s="114"/>
      <c r="S47" s="231"/>
      <c r="T47" s="231"/>
      <c r="U47" s="231"/>
      <c r="V47" s="231"/>
      <c r="W47" s="231"/>
      <c r="X47" s="231"/>
      <c r="Y47" s="231"/>
      <c r="Z47" s="231"/>
      <c r="AA47" s="231"/>
      <c r="AB47" s="231"/>
      <c r="AC47" s="231"/>
      <c r="AD47" s="231"/>
      <c r="AE47" s="231"/>
      <c r="AF47" s="231"/>
      <c r="AG47" s="231"/>
      <c r="AH47" s="231"/>
      <c r="AI47" s="231"/>
      <c r="AJ47" s="231"/>
      <c r="AK47" s="231"/>
      <c r="AL47" s="231"/>
      <c r="AM47" s="231"/>
      <c r="AN47" s="231"/>
    </row>
    <row r="48" s="34" customFormat="1" ht="18" customHeight="1" spans="1:40">
      <c r="A48" s="67">
        <f>IF(F48&lt;&gt;"",1+MAX($A$2:A47),"")</f>
        <v>27</v>
      </c>
      <c r="B48" s="237"/>
      <c r="C48" s="74"/>
      <c r="D48" s="240" t="s">
        <v>69</v>
      </c>
      <c r="E48" s="76">
        <v>1</v>
      </c>
      <c r="F48" s="71">
        <v>0</v>
      </c>
      <c r="G48" s="66">
        <f t="shared" si="21"/>
        <v>1</v>
      </c>
      <c r="H48" s="70" t="s">
        <v>35</v>
      </c>
      <c r="I48" s="97">
        <v>0</v>
      </c>
      <c r="J48" s="98">
        <f t="shared" si="22"/>
        <v>0</v>
      </c>
      <c r="K48" s="99">
        <v>50</v>
      </c>
      <c r="L48" s="100">
        <f t="shared" si="23"/>
        <v>0</v>
      </c>
      <c r="M48" s="100">
        <f t="shared" si="24"/>
        <v>0</v>
      </c>
      <c r="N48" s="100">
        <v>0</v>
      </c>
      <c r="O48" s="100">
        <f t="shared" si="25"/>
        <v>0</v>
      </c>
      <c r="P48" s="100">
        <f t="shared" si="26"/>
        <v>0</v>
      </c>
      <c r="Q48" s="124">
        <f t="shared" si="27"/>
        <v>0</v>
      </c>
      <c r="R48" s="114"/>
      <c r="S48" s="231"/>
      <c r="T48" s="231"/>
      <c r="U48" s="231"/>
      <c r="V48" s="231"/>
      <c r="W48" s="231"/>
      <c r="X48" s="231"/>
      <c r="Y48" s="231"/>
      <c r="Z48" s="231"/>
      <c r="AA48" s="231"/>
      <c r="AB48" s="231"/>
      <c r="AC48" s="231"/>
      <c r="AD48" s="231"/>
      <c r="AE48" s="231"/>
      <c r="AF48" s="231"/>
      <c r="AG48" s="231"/>
      <c r="AH48" s="231"/>
      <c r="AI48" s="231"/>
      <c r="AJ48" s="231"/>
      <c r="AK48" s="231"/>
      <c r="AL48" s="231"/>
      <c r="AM48" s="231"/>
      <c r="AN48" s="231"/>
    </row>
    <row r="49" s="34" customFormat="1" ht="18" customHeight="1" spans="1:40">
      <c r="A49" s="67">
        <f>IF(F49&lt;&gt;"",1+MAX($A$2:A48),"")</f>
        <v>28</v>
      </c>
      <c r="B49" s="237"/>
      <c r="C49" s="74"/>
      <c r="D49" s="240" t="s">
        <v>70</v>
      </c>
      <c r="E49" s="76">
        <v>1</v>
      </c>
      <c r="F49" s="71">
        <v>0</v>
      </c>
      <c r="G49" s="66">
        <f t="shared" si="21"/>
        <v>1</v>
      </c>
      <c r="H49" s="70" t="s">
        <v>35</v>
      </c>
      <c r="I49" s="97">
        <v>0</v>
      </c>
      <c r="J49" s="98">
        <f t="shared" si="22"/>
        <v>0</v>
      </c>
      <c r="K49" s="99">
        <v>50</v>
      </c>
      <c r="L49" s="100">
        <f t="shared" si="23"/>
        <v>0</v>
      </c>
      <c r="M49" s="100">
        <f t="shared" si="24"/>
        <v>0</v>
      </c>
      <c r="N49" s="100">
        <v>0</v>
      </c>
      <c r="O49" s="100">
        <f t="shared" si="25"/>
        <v>0</v>
      </c>
      <c r="P49" s="100">
        <f t="shared" si="26"/>
        <v>0</v>
      </c>
      <c r="Q49" s="124">
        <f t="shared" si="27"/>
        <v>0</v>
      </c>
      <c r="R49" s="114"/>
      <c r="S49" s="231"/>
      <c r="T49" s="231"/>
      <c r="U49" s="231"/>
      <c r="V49" s="231"/>
      <c r="W49" s="231"/>
      <c r="X49" s="231"/>
      <c r="Y49" s="231"/>
      <c r="Z49" s="231"/>
      <c r="AA49" s="231"/>
      <c r="AB49" s="231"/>
      <c r="AC49" s="231"/>
      <c r="AD49" s="231"/>
      <c r="AE49" s="231"/>
      <c r="AF49" s="231"/>
      <c r="AG49" s="231"/>
      <c r="AH49" s="231"/>
      <c r="AI49" s="231"/>
      <c r="AJ49" s="231"/>
      <c r="AK49" s="231"/>
      <c r="AL49" s="231"/>
      <c r="AM49" s="231"/>
      <c r="AN49" s="231"/>
    </row>
    <row r="50" s="34" customFormat="1" ht="18" customHeight="1" spans="1:40">
      <c r="A50" s="67">
        <f>IF(F50&lt;&gt;"",1+MAX($A$2:A49),"")</f>
        <v>29</v>
      </c>
      <c r="B50" s="237"/>
      <c r="C50" s="74"/>
      <c r="D50" s="240" t="s">
        <v>71</v>
      </c>
      <c r="E50" s="76">
        <v>11</v>
      </c>
      <c r="F50" s="71">
        <v>0</v>
      </c>
      <c r="G50" s="66">
        <f t="shared" si="21"/>
        <v>11</v>
      </c>
      <c r="H50" s="70" t="s">
        <v>35</v>
      </c>
      <c r="I50" s="97">
        <v>0</v>
      </c>
      <c r="J50" s="98">
        <f t="shared" si="22"/>
        <v>0</v>
      </c>
      <c r="K50" s="99">
        <v>50</v>
      </c>
      <c r="L50" s="100">
        <f t="shared" si="23"/>
        <v>0</v>
      </c>
      <c r="M50" s="100">
        <f t="shared" si="24"/>
        <v>0</v>
      </c>
      <c r="N50" s="100">
        <v>0</v>
      </c>
      <c r="O50" s="100">
        <f t="shared" si="25"/>
        <v>0</v>
      </c>
      <c r="P50" s="100">
        <f t="shared" si="26"/>
        <v>0</v>
      </c>
      <c r="Q50" s="124">
        <f t="shared" si="27"/>
        <v>0</v>
      </c>
      <c r="R50" s="114"/>
      <c r="S50" s="231"/>
      <c r="T50" s="231"/>
      <c r="U50" s="231"/>
      <c r="V50" s="231"/>
      <c r="W50" s="231"/>
      <c r="X50" s="231"/>
      <c r="Y50" s="231"/>
      <c r="Z50" s="231"/>
      <c r="AA50" s="231"/>
      <c r="AB50" s="231"/>
      <c r="AC50" s="231"/>
      <c r="AD50" s="231"/>
      <c r="AE50" s="231"/>
      <c r="AF50" s="231"/>
      <c r="AG50" s="231"/>
      <c r="AH50" s="231"/>
      <c r="AI50" s="231"/>
      <c r="AJ50" s="231"/>
      <c r="AK50" s="231"/>
      <c r="AL50" s="231"/>
      <c r="AM50" s="231"/>
      <c r="AN50" s="231"/>
    </row>
    <row r="51" s="34" customFormat="1" ht="18" customHeight="1" spans="1:40">
      <c r="A51" s="61">
        <f>IF(F51&lt;&gt;"",1+MAX($A$2:A50),"")</f>
        <v>30</v>
      </c>
      <c r="B51" s="237"/>
      <c r="C51" s="74"/>
      <c r="D51" s="240" t="s">
        <v>72</v>
      </c>
      <c r="E51" s="76">
        <v>9</v>
      </c>
      <c r="F51" s="65">
        <v>0</v>
      </c>
      <c r="G51" s="66">
        <f t="shared" si="21"/>
        <v>9</v>
      </c>
      <c r="H51" s="70" t="s">
        <v>35</v>
      </c>
      <c r="I51" s="97">
        <v>0</v>
      </c>
      <c r="J51" s="98">
        <f t="shared" si="22"/>
        <v>0</v>
      </c>
      <c r="K51" s="99">
        <v>50</v>
      </c>
      <c r="L51" s="100">
        <f t="shared" si="23"/>
        <v>0</v>
      </c>
      <c r="M51" s="100">
        <f t="shared" si="24"/>
        <v>0</v>
      </c>
      <c r="N51" s="100">
        <v>0</v>
      </c>
      <c r="O51" s="100">
        <f t="shared" si="25"/>
        <v>0</v>
      </c>
      <c r="P51" s="100">
        <f t="shared" si="26"/>
        <v>0</v>
      </c>
      <c r="Q51" s="124">
        <f t="shared" si="27"/>
        <v>0</v>
      </c>
      <c r="R51" s="114"/>
      <c r="S51" s="231"/>
      <c r="T51" s="231"/>
      <c r="U51" s="231"/>
      <c r="V51" s="231"/>
      <c r="W51" s="231"/>
      <c r="X51" s="231"/>
      <c r="Y51" s="231"/>
      <c r="Z51" s="231"/>
      <c r="AA51" s="231"/>
      <c r="AB51" s="231"/>
      <c r="AC51" s="231"/>
      <c r="AD51" s="231"/>
      <c r="AE51" s="231"/>
      <c r="AF51" s="231"/>
      <c r="AG51" s="231"/>
      <c r="AH51" s="231"/>
      <c r="AI51" s="231"/>
      <c r="AJ51" s="231"/>
      <c r="AK51" s="231"/>
      <c r="AL51" s="231"/>
      <c r="AM51" s="231"/>
      <c r="AN51" s="231"/>
    </row>
    <row r="52" s="34" customFormat="1" ht="18" customHeight="1" spans="1:40">
      <c r="A52" s="67">
        <f>IF(F52&lt;&gt;"",1+MAX($A$2:A51),"")</f>
        <v>31</v>
      </c>
      <c r="B52" s="237"/>
      <c r="C52" s="74"/>
      <c r="D52" s="240" t="s">
        <v>73</v>
      </c>
      <c r="E52" s="76">
        <v>2</v>
      </c>
      <c r="F52" s="71">
        <v>0</v>
      </c>
      <c r="G52" s="66">
        <f t="shared" si="21"/>
        <v>2</v>
      </c>
      <c r="H52" s="70" t="s">
        <v>35</v>
      </c>
      <c r="I52" s="97">
        <v>0</v>
      </c>
      <c r="J52" s="98">
        <f t="shared" si="22"/>
        <v>0</v>
      </c>
      <c r="K52" s="99">
        <v>50</v>
      </c>
      <c r="L52" s="100">
        <f t="shared" si="23"/>
        <v>0</v>
      </c>
      <c r="M52" s="100">
        <f t="shared" si="24"/>
        <v>0</v>
      </c>
      <c r="N52" s="100">
        <v>0</v>
      </c>
      <c r="O52" s="100">
        <f t="shared" si="25"/>
        <v>0</v>
      </c>
      <c r="P52" s="100">
        <f t="shared" si="26"/>
        <v>0</v>
      </c>
      <c r="Q52" s="124">
        <f t="shared" si="27"/>
        <v>0</v>
      </c>
      <c r="R52" s="114"/>
      <c r="S52" s="231"/>
      <c r="T52" s="231"/>
      <c r="U52" s="231"/>
      <c r="V52" s="231"/>
      <c r="W52" s="231"/>
      <c r="X52" s="231"/>
      <c r="Y52" s="231"/>
      <c r="Z52" s="231"/>
      <c r="AA52" s="231"/>
      <c r="AB52" s="231"/>
      <c r="AC52" s="231"/>
      <c r="AD52" s="231"/>
      <c r="AE52" s="231"/>
      <c r="AF52" s="231"/>
      <c r="AG52" s="231"/>
      <c r="AH52" s="231"/>
      <c r="AI52" s="231"/>
      <c r="AJ52" s="231"/>
      <c r="AK52" s="231"/>
      <c r="AL52" s="231"/>
      <c r="AM52" s="231"/>
      <c r="AN52" s="231"/>
    </row>
    <row r="53" s="34" customFormat="1" ht="18" customHeight="1" spans="1:40">
      <c r="A53" s="67">
        <f>IF(F53&lt;&gt;"",1+MAX($A$2:A52),"")</f>
        <v>32</v>
      </c>
      <c r="B53" s="237"/>
      <c r="C53" s="74"/>
      <c r="D53" s="240" t="s">
        <v>74</v>
      </c>
      <c r="E53" s="76">
        <v>1</v>
      </c>
      <c r="F53" s="71">
        <v>0</v>
      </c>
      <c r="G53" s="66">
        <f t="shared" si="21"/>
        <v>1</v>
      </c>
      <c r="H53" s="70" t="s">
        <v>35</v>
      </c>
      <c r="I53" s="97">
        <v>0</v>
      </c>
      <c r="J53" s="98">
        <f t="shared" si="22"/>
        <v>0</v>
      </c>
      <c r="K53" s="99">
        <v>50</v>
      </c>
      <c r="L53" s="100">
        <f t="shared" si="23"/>
        <v>0</v>
      </c>
      <c r="M53" s="100">
        <f t="shared" si="24"/>
        <v>0</v>
      </c>
      <c r="N53" s="100">
        <v>0</v>
      </c>
      <c r="O53" s="100">
        <f t="shared" si="25"/>
        <v>0</v>
      </c>
      <c r="P53" s="100">
        <f t="shared" si="26"/>
        <v>0</v>
      </c>
      <c r="Q53" s="124">
        <f t="shared" si="27"/>
        <v>0</v>
      </c>
      <c r="R53" s="114"/>
      <c r="S53" s="231"/>
      <c r="T53" s="231"/>
      <c r="U53" s="231"/>
      <c r="V53" s="231"/>
      <c r="W53" s="231"/>
      <c r="X53" s="231"/>
      <c r="Y53" s="231"/>
      <c r="Z53" s="231"/>
      <c r="AA53" s="231"/>
      <c r="AB53" s="231"/>
      <c r="AC53" s="231"/>
      <c r="AD53" s="231"/>
      <c r="AE53" s="231"/>
      <c r="AF53" s="231"/>
      <c r="AG53" s="231"/>
      <c r="AH53" s="231"/>
      <c r="AI53" s="231"/>
      <c r="AJ53" s="231"/>
      <c r="AK53" s="231"/>
      <c r="AL53" s="231"/>
      <c r="AM53" s="231"/>
      <c r="AN53" s="231"/>
    </row>
    <row r="54" s="34" customFormat="1" ht="18" customHeight="1" spans="1:40">
      <c r="A54" s="67">
        <f>IF(F54&lt;&gt;"",1+MAX($A$2:A53),"")</f>
        <v>33</v>
      </c>
      <c r="B54" s="237"/>
      <c r="C54" s="74" t="s">
        <v>75</v>
      </c>
      <c r="D54" s="240" t="s">
        <v>76</v>
      </c>
      <c r="E54" s="76">
        <v>1</v>
      </c>
      <c r="F54" s="71">
        <v>0</v>
      </c>
      <c r="G54" s="66">
        <f t="shared" si="21"/>
        <v>1</v>
      </c>
      <c r="H54" s="70" t="s">
        <v>35</v>
      </c>
      <c r="I54" s="97">
        <v>0</v>
      </c>
      <c r="J54" s="98">
        <f t="shared" si="22"/>
        <v>0</v>
      </c>
      <c r="K54" s="99">
        <v>50</v>
      </c>
      <c r="L54" s="100">
        <f t="shared" si="23"/>
        <v>0</v>
      </c>
      <c r="M54" s="100">
        <f t="shared" si="24"/>
        <v>0</v>
      </c>
      <c r="N54" s="100">
        <v>0</v>
      </c>
      <c r="O54" s="100">
        <f t="shared" si="25"/>
        <v>0</v>
      </c>
      <c r="P54" s="100">
        <f t="shared" si="26"/>
        <v>0</v>
      </c>
      <c r="Q54" s="124">
        <f t="shared" si="27"/>
        <v>0</v>
      </c>
      <c r="R54" s="114"/>
      <c r="S54" s="231"/>
      <c r="T54" s="231"/>
      <c r="U54" s="231"/>
      <c r="V54" s="231"/>
      <c r="W54" s="231"/>
      <c r="X54" s="231"/>
      <c r="Y54" s="231"/>
      <c r="Z54" s="231"/>
      <c r="AA54" s="231"/>
      <c r="AB54" s="231"/>
      <c r="AC54" s="231"/>
      <c r="AD54" s="231"/>
      <c r="AE54" s="231"/>
      <c r="AF54" s="231"/>
      <c r="AG54" s="231"/>
      <c r="AH54" s="231"/>
      <c r="AI54" s="231"/>
      <c r="AJ54" s="231"/>
      <c r="AK54" s="231"/>
      <c r="AL54" s="231"/>
      <c r="AM54" s="231"/>
      <c r="AN54" s="231"/>
    </row>
    <row r="55" s="34" customFormat="1" ht="18" customHeight="1" spans="1:40">
      <c r="A55" s="61">
        <f>IF(F55&lt;&gt;"",1+MAX($A$2:A54),"")</f>
        <v>34</v>
      </c>
      <c r="B55" s="237"/>
      <c r="C55" s="74" t="s">
        <v>77</v>
      </c>
      <c r="D55" s="240" t="s">
        <v>78</v>
      </c>
      <c r="E55" s="76">
        <v>1</v>
      </c>
      <c r="F55" s="65">
        <v>0</v>
      </c>
      <c r="G55" s="66">
        <f t="shared" si="21"/>
        <v>1</v>
      </c>
      <c r="H55" s="70" t="s">
        <v>35</v>
      </c>
      <c r="I55" s="97">
        <v>0</v>
      </c>
      <c r="J55" s="98">
        <f t="shared" si="22"/>
        <v>0</v>
      </c>
      <c r="K55" s="99">
        <v>50</v>
      </c>
      <c r="L55" s="100">
        <f t="shared" si="23"/>
        <v>0</v>
      </c>
      <c r="M55" s="100">
        <f t="shared" si="24"/>
        <v>0</v>
      </c>
      <c r="N55" s="100">
        <v>0</v>
      </c>
      <c r="O55" s="100">
        <f t="shared" si="25"/>
        <v>0</v>
      </c>
      <c r="P55" s="100">
        <f t="shared" si="26"/>
        <v>0</v>
      </c>
      <c r="Q55" s="124">
        <f t="shared" si="27"/>
        <v>0</v>
      </c>
      <c r="R55" s="114"/>
      <c r="S55" s="231"/>
      <c r="T55" s="231"/>
      <c r="U55" s="231"/>
      <c r="V55" s="231"/>
      <c r="W55" s="231"/>
      <c r="X55" s="231"/>
      <c r="Y55" s="231"/>
      <c r="Z55" s="231"/>
      <c r="AA55" s="231"/>
      <c r="AB55" s="231"/>
      <c r="AC55" s="231"/>
      <c r="AD55" s="231"/>
      <c r="AE55" s="231"/>
      <c r="AF55" s="231"/>
      <c r="AG55" s="231"/>
      <c r="AH55" s="231"/>
      <c r="AI55" s="231"/>
      <c r="AJ55" s="231"/>
      <c r="AK55" s="231"/>
      <c r="AL55" s="231"/>
      <c r="AM55" s="231"/>
      <c r="AN55" s="231"/>
    </row>
    <row r="56" s="34" customFormat="1" ht="18" customHeight="1" spans="1:40">
      <c r="A56" s="67">
        <f>IF(F56&lt;&gt;"",1+MAX($A$2:A55),"")</f>
        <v>35</v>
      </c>
      <c r="B56" s="237"/>
      <c r="C56" s="74" t="s">
        <v>79</v>
      </c>
      <c r="D56" s="240" t="s">
        <v>80</v>
      </c>
      <c r="E56" s="76">
        <v>3</v>
      </c>
      <c r="F56" s="71">
        <v>0</v>
      </c>
      <c r="G56" s="66">
        <f t="shared" si="21"/>
        <v>3</v>
      </c>
      <c r="H56" s="70" t="s">
        <v>35</v>
      </c>
      <c r="I56" s="97">
        <v>0</v>
      </c>
      <c r="J56" s="98">
        <f t="shared" si="22"/>
        <v>0</v>
      </c>
      <c r="K56" s="99">
        <v>50</v>
      </c>
      <c r="L56" s="100">
        <f t="shared" si="23"/>
        <v>0</v>
      </c>
      <c r="M56" s="100">
        <f t="shared" si="24"/>
        <v>0</v>
      </c>
      <c r="N56" s="100">
        <v>0</v>
      </c>
      <c r="O56" s="100">
        <f t="shared" si="25"/>
        <v>0</v>
      </c>
      <c r="P56" s="100">
        <f t="shared" si="26"/>
        <v>0</v>
      </c>
      <c r="Q56" s="124">
        <f t="shared" si="27"/>
        <v>0</v>
      </c>
      <c r="R56" s="114"/>
      <c r="S56" s="231"/>
      <c r="T56" s="231"/>
      <c r="U56" s="231"/>
      <c r="V56" s="231"/>
      <c r="W56" s="231"/>
      <c r="X56" s="231"/>
      <c r="Y56" s="231"/>
      <c r="Z56" s="231"/>
      <c r="AA56" s="231"/>
      <c r="AB56" s="231"/>
      <c r="AC56" s="231"/>
      <c r="AD56" s="231"/>
      <c r="AE56" s="231"/>
      <c r="AF56" s="231"/>
      <c r="AG56" s="231"/>
      <c r="AH56" s="231"/>
      <c r="AI56" s="231"/>
      <c r="AJ56" s="231"/>
      <c r="AK56" s="231"/>
      <c r="AL56" s="231"/>
      <c r="AM56" s="231"/>
      <c r="AN56" s="231"/>
    </row>
    <row r="57" s="34" customFormat="1" ht="18" customHeight="1" spans="1:40">
      <c r="A57" s="67">
        <f>IF(F57&lt;&gt;"",1+MAX($A$2:A56),"")</f>
        <v>36</v>
      </c>
      <c r="B57" s="237"/>
      <c r="C57" s="74"/>
      <c r="D57" s="240" t="s">
        <v>81</v>
      </c>
      <c r="E57" s="76">
        <v>2</v>
      </c>
      <c r="F57" s="71">
        <v>0</v>
      </c>
      <c r="G57" s="66">
        <f t="shared" si="21"/>
        <v>2</v>
      </c>
      <c r="H57" s="70" t="s">
        <v>35</v>
      </c>
      <c r="I57" s="97">
        <v>0</v>
      </c>
      <c r="J57" s="98">
        <f t="shared" si="22"/>
        <v>0</v>
      </c>
      <c r="K57" s="99">
        <v>50</v>
      </c>
      <c r="L57" s="100">
        <f t="shared" si="23"/>
        <v>0</v>
      </c>
      <c r="M57" s="100">
        <f t="shared" si="24"/>
        <v>0</v>
      </c>
      <c r="N57" s="100">
        <v>0</v>
      </c>
      <c r="O57" s="100">
        <f t="shared" si="25"/>
        <v>0</v>
      </c>
      <c r="P57" s="100">
        <f t="shared" si="26"/>
        <v>0</v>
      </c>
      <c r="Q57" s="124">
        <f t="shared" si="27"/>
        <v>0</v>
      </c>
      <c r="R57" s="114"/>
      <c r="S57" s="231"/>
      <c r="T57" s="231"/>
      <c r="U57" s="231"/>
      <c r="V57" s="231"/>
      <c r="W57" s="231"/>
      <c r="X57" s="231"/>
      <c r="Y57" s="231"/>
      <c r="Z57" s="231"/>
      <c r="AA57" s="231"/>
      <c r="AB57" s="231"/>
      <c r="AC57" s="231"/>
      <c r="AD57" s="231"/>
      <c r="AE57" s="231"/>
      <c r="AF57" s="231"/>
      <c r="AG57" s="231"/>
      <c r="AH57" s="231"/>
      <c r="AI57" s="231"/>
      <c r="AJ57" s="231"/>
      <c r="AK57" s="231"/>
      <c r="AL57" s="231"/>
      <c r="AM57" s="231"/>
      <c r="AN57" s="231"/>
    </row>
    <row r="58" s="34" customFormat="1" ht="18" customHeight="1" spans="1:40">
      <c r="A58" s="67">
        <f>IF(F58&lt;&gt;"",1+MAX($A$2:A57),"")</f>
        <v>37</v>
      </c>
      <c r="B58" s="237"/>
      <c r="C58" s="74" t="s">
        <v>82</v>
      </c>
      <c r="D58" s="240" t="s">
        <v>83</v>
      </c>
      <c r="E58" s="76">
        <v>1</v>
      </c>
      <c r="F58" s="71">
        <v>0</v>
      </c>
      <c r="G58" s="66">
        <f t="shared" si="21"/>
        <v>1</v>
      </c>
      <c r="H58" s="70" t="s">
        <v>35</v>
      </c>
      <c r="I58" s="97">
        <v>0</v>
      </c>
      <c r="J58" s="98">
        <f t="shared" si="22"/>
        <v>0</v>
      </c>
      <c r="K58" s="99">
        <v>50</v>
      </c>
      <c r="L58" s="100">
        <f t="shared" si="23"/>
        <v>0</v>
      </c>
      <c r="M58" s="100">
        <f t="shared" si="24"/>
        <v>0</v>
      </c>
      <c r="N58" s="100">
        <v>0</v>
      </c>
      <c r="O58" s="100">
        <f t="shared" si="25"/>
        <v>0</v>
      </c>
      <c r="P58" s="100">
        <f t="shared" si="26"/>
        <v>0</v>
      </c>
      <c r="Q58" s="124">
        <f t="shared" si="27"/>
        <v>0</v>
      </c>
      <c r="R58" s="114"/>
      <c r="S58" s="231"/>
      <c r="T58" s="231"/>
      <c r="U58" s="231"/>
      <c r="V58" s="231"/>
      <c r="W58" s="231"/>
      <c r="X58" s="231"/>
      <c r="Y58" s="231"/>
      <c r="Z58" s="231"/>
      <c r="AA58" s="231"/>
      <c r="AB58" s="231"/>
      <c r="AC58" s="231"/>
      <c r="AD58" s="231"/>
      <c r="AE58" s="231"/>
      <c r="AF58" s="231"/>
      <c r="AG58" s="231"/>
      <c r="AH58" s="231"/>
      <c r="AI58" s="231"/>
      <c r="AJ58" s="231"/>
      <c r="AK58" s="231"/>
      <c r="AL58" s="231"/>
      <c r="AM58" s="231"/>
      <c r="AN58" s="231"/>
    </row>
    <row r="59" s="34" customFormat="1" ht="18" customHeight="1" spans="1:40">
      <c r="A59" s="61">
        <f>IF(F59&lt;&gt;"",1+MAX($A$2:A58),"")</f>
        <v>38</v>
      </c>
      <c r="B59" s="237"/>
      <c r="C59" s="74" t="s">
        <v>84</v>
      </c>
      <c r="D59" s="240" t="s">
        <v>85</v>
      </c>
      <c r="E59" s="76">
        <v>1</v>
      </c>
      <c r="F59" s="65">
        <v>0</v>
      </c>
      <c r="G59" s="66">
        <f t="shared" si="21"/>
        <v>1</v>
      </c>
      <c r="H59" s="70" t="s">
        <v>35</v>
      </c>
      <c r="I59" s="97">
        <v>0</v>
      </c>
      <c r="J59" s="98">
        <f t="shared" si="22"/>
        <v>0</v>
      </c>
      <c r="K59" s="99">
        <v>50</v>
      </c>
      <c r="L59" s="100">
        <f t="shared" si="23"/>
        <v>0</v>
      </c>
      <c r="M59" s="100">
        <f t="shared" si="24"/>
        <v>0</v>
      </c>
      <c r="N59" s="100">
        <v>0</v>
      </c>
      <c r="O59" s="100">
        <f t="shared" si="25"/>
        <v>0</v>
      </c>
      <c r="P59" s="100">
        <f t="shared" si="26"/>
        <v>0</v>
      </c>
      <c r="Q59" s="124">
        <f t="shared" si="27"/>
        <v>0</v>
      </c>
      <c r="R59" s="114"/>
      <c r="S59" s="231"/>
      <c r="T59" s="231"/>
      <c r="U59" s="231"/>
      <c r="V59" s="231"/>
      <c r="W59" s="231"/>
      <c r="X59" s="231"/>
      <c r="Y59" s="231"/>
      <c r="Z59" s="231"/>
      <c r="AA59" s="231"/>
      <c r="AB59" s="231"/>
      <c r="AC59" s="231"/>
      <c r="AD59" s="231"/>
      <c r="AE59" s="231"/>
      <c r="AF59" s="231"/>
      <c r="AG59" s="231"/>
      <c r="AH59" s="231"/>
      <c r="AI59" s="231"/>
      <c r="AJ59" s="231"/>
      <c r="AK59" s="231"/>
      <c r="AL59" s="231"/>
      <c r="AM59" s="231"/>
      <c r="AN59" s="231"/>
    </row>
    <row r="60" s="34" customFormat="1" ht="18" customHeight="1" spans="1:40">
      <c r="A60" s="67">
        <f>IF(F60&lt;&gt;"",1+MAX($A$2:A59),"")</f>
        <v>39</v>
      </c>
      <c r="B60" s="237"/>
      <c r="C60" s="74" t="s">
        <v>86</v>
      </c>
      <c r="D60" s="240" t="s">
        <v>87</v>
      </c>
      <c r="E60" s="76">
        <v>13</v>
      </c>
      <c r="F60" s="71">
        <v>0</v>
      </c>
      <c r="G60" s="66">
        <f t="shared" si="21"/>
        <v>13</v>
      </c>
      <c r="H60" s="70" t="s">
        <v>35</v>
      </c>
      <c r="I60" s="97">
        <v>0</v>
      </c>
      <c r="J60" s="98">
        <f t="shared" si="22"/>
        <v>0</v>
      </c>
      <c r="K60" s="99">
        <v>50</v>
      </c>
      <c r="L60" s="100">
        <f t="shared" si="23"/>
        <v>0</v>
      </c>
      <c r="M60" s="100">
        <f t="shared" si="24"/>
        <v>0</v>
      </c>
      <c r="N60" s="100">
        <v>0</v>
      </c>
      <c r="O60" s="100">
        <f t="shared" si="25"/>
        <v>0</v>
      </c>
      <c r="P60" s="100">
        <f t="shared" si="26"/>
        <v>0</v>
      </c>
      <c r="Q60" s="124">
        <f t="shared" si="27"/>
        <v>0</v>
      </c>
      <c r="R60" s="114"/>
      <c r="S60" s="231"/>
      <c r="T60" s="231"/>
      <c r="U60" s="231"/>
      <c r="V60" s="231"/>
      <c r="W60" s="231"/>
      <c r="X60" s="231"/>
      <c r="Y60" s="231"/>
      <c r="Z60" s="231"/>
      <c r="AA60" s="231"/>
      <c r="AB60" s="231"/>
      <c r="AC60" s="231"/>
      <c r="AD60" s="231"/>
      <c r="AE60" s="231"/>
      <c r="AF60" s="231"/>
      <c r="AG60" s="231"/>
      <c r="AH60" s="231"/>
      <c r="AI60" s="231"/>
      <c r="AJ60" s="231"/>
      <c r="AK60" s="231"/>
      <c r="AL60" s="231"/>
      <c r="AM60" s="231"/>
      <c r="AN60" s="231"/>
    </row>
    <row r="61" s="34" customFormat="1" ht="18" customHeight="1" spans="1:40">
      <c r="A61" s="67">
        <f>IF(F61&lt;&gt;"",1+MAX($A$2:A60),"")</f>
        <v>40</v>
      </c>
      <c r="B61" s="237"/>
      <c r="C61" s="74"/>
      <c r="D61" s="240" t="s">
        <v>88</v>
      </c>
      <c r="E61" s="76">
        <v>5</v>
      </c>
      <c r="F61" s="71">
        <v>0</v>
      </c>
      <c r="G61" s="66">
        <f t="shared" si="21"/>
        <v>5</v>
      </c>
      <c r="H61" s="70" t="s">
        <v>35</v>
      </c>
      <c r="I61" s="97">
        <v>0</v>
      </c>
      <c r="J61" s="98">
        <f t="shared" si="22"/>
        <v>0</v>
      </c>
      <c r="K61" s="99">
        <v>50</v>
      </c>
      <c r="L61" s="100">
        <f t="shared" si="23"/>
        <v>0</v>
      </c>
      <c r="M61" s="100">
        <f t="shared" si="24"/>
        <v>0</v>
      </c>
      <c r="N61" s="100">
        <v>0</v>
      </c>
      <c r="O61" s="100">
        <f t="shared" si="25"/>
        <v>0</v>
      </c>
      <c r="P61" s="100">
        <f t="shared" si="26"/>
        <v>0</v>
      </c>
      <c r="Q61" s="124">
        <f t="shared" si="27"/>
        <v>0</v>
      </c>
      <c r="R61" s="114"/>
      <c r="S61" s="231"/>
      <c r="T61" s="231"/>
      <c r="U61" s="231"/>
      <c r="V61" s="231"/>
      <c r="W61" s="231"/>
      <c r="X61" s="231"/>
      <c r="Y61" s="231"/>
      <c r="Z61" s="231"/>
      <c r="AA61" s="231"/>
      <c r="AB61" s="231"/>
      <c r="AC61" s="231"/>
      <c r="AD61" s="231"/>
      <c r="AE61" s="231"/>
      <c r="AF61" s="231"/>
      <c r="AG61" s="231"/>
      <c r="AH61" s="231"/>
      <c r="AI61" s="231"/>
      <c r="AJ61" s="231"/>
      <c r="AK61" s="231"/>
      <c r="AL61" s="231"/>
      <c r="AM61" s="231"/>
      <c r="AN61" s="231"/>
    </row>
    <row r="62" s="34" customFormat="1" ht="18" customHeight="1" spans="1:40">
      <c r="A62" s="67">
        <f>IF(F62&lt;&gt;"",1+MAX($A$2:A61),"")</f>
        <v>41</v>
      </c>
      <c r="B62" s="237"/>
      <c r="C62" s="74"/>
      <c r="D62" s="240" t="s">
        <v>89</v>
      </c>
      <c r="E62" s="76">
        <v>3</v>
      </c>
      <c r="F62" s="71">
        <v>0</v>
      </c>
      <c r="G62" s="66">
        <f t="shared" si="21"/>
        <v>3</v>
      </c>
      <c r="H62" s="70" t="s">
        <v>35</v>
      </c>
      <c r="I62" s="97">
        <v>0</v>
      </c>
      <c r="J62" s="98">
        <f t="shared" si="22"/>
        <v>0</v>
      </c>
      <c r="K62" s="99">
        <v>50</v>
      </c>
      <c r="L62" s="100">
        <f t="shared" si="23"/>
        <v>0</v>
      </c>
      <c r="M62" s="100">
        <f t="shared" si="24"/>
        <v>0</v>
      </c>
      <c r="N62" s="100">
        <v>0</v>
      </c>
      <c r="O62" s="100">
        <f t="shared" si="25"/>
        <v>0</v>
      </c>
      <c r="P62" s="100">
        <f t="shared" si="26"/>
        <v>0</v>
      </c>
      <c r="Q62" s="124">
        <f t="shared" si="27"/>
        <v>0</v>
      </c>
      <c r="R62" s="114"/>
      <c r="S62" s="231"/>
      <c r="T62" s="231"/>
      <c r="U62" s="231"/>
      <c r="V62" s="231"/>
      <c r="W62" s="231"/>
      <c r="X62" s="231"/>
      <c r="Y62" s="231"/>
      <c r="Z62" s="231"/>
      <c r="AA62" s="231"/>
      <c r="AB62" s="231"/>
      <c r="AC62" s="231"/>
      <c r="AD62" s="231"/>
      <c r="AE62" s="231"/>
      <c r="AF62" s="231"/>
      <c r="AG62" s="231"/>
      <c r="AH62" s="231"/>
      <c r="AI62" s="231"/>
      <c r="AJ62" s="231"/>
      <c r="AK62" s="231"/>
      <c r="AL62" s="231"/>
      <c r="AM62" s="231"/>
      <c r="AN62" s="231"/>
    </row>
    <row r="63" s="34" customFormat="1" ht="18" customHeight="1" spans="1:40">
      <c r="A63" s="61" t="str">
        <f>IF(F63&lt;&gt;"",1+MAX($A$2:A62),"")</f>
        <v/>
      </c>
      <c r="B63" s="237"/>
      <c r="C63" s="74"/>
      <c r="D63" s="240"/>
      <c r="E63" s="76"/>
      <c r="F63" s="65"/>
      <c r="G63" s="66"/>
      <c r="H63" s="64"/>
      <c r="I63" s="97"/>
      <c r="J63" s="98"/>
      <c r="K63" s="99"/>
      <c r="L63" s="100"/>
      <c r="M63" s="100"/>
      <c r="N63" s="100"/>
      <c r="O63" s="100"/>
      <c r="P63" s="100"/>
      <c r="Q63" s="124"/>
      <c r="R63" s="114"/>
      <c r="S63" s="231"/>
      <c r="T63" s="231"/>
      <c r="U63" s="231"/>
      <c r="V63" s="231"/>
      <c r="W63" s="231"/>
      <c r="X63" s="231"/>
      <c r="Y63" s="231"/>
      <c r="Z63" s="231"/>
      <c r="AA63" s="231"/>
      <c r="AB63" s="231"/>
      <c r="AC63" s="231"/>
      <c r="AD63" s="231"/>
      <c r="AE63" s="231"/>
      <c r="AF63" s="231"/>
      <c r="AG63" s="231"/>
      <c r="AH63" s="231"/>
      <c r="AI63" s="231"/>
      <c r="AJ63" s="231"/>
      <c r="AK63" s="231"/>
      <c r="AL63" s="231"/>
      <c r="AM63" s="231"/>
      <c r="AN63" s="231"/>
    </row>
    <row r="64" s="34" customFormat="1" ht="18" customHeight="1" spans="1:40">
      <c r="A64" s="61" t="str">
        <f>IF(F64&lt;&gt;"",1+MAX($A$2:A63),"")</f>
        <v/>
      </c>
      <c r="B64" s="237"/>
      <c r="C64" s="74"/>
      <c r="D64" s="242" t="s">
        <v>90</v>
      </c>
      <c r="E64" s="76"/>
      <c r="F64" s="65"/>
      <c r="G64" s="66"/>
      <c r="H64" s="64"/>
      <c r="I64" s="97"/>
      <c r="J64" s="98"/>
      <c r="K64" s="99"/>
      <c r="L64" s="100"/>
      <c r="M64" s="100"/>
      <c r="N64" s="100"/>
      <c r="O64" s="100"/>
      <c r="P64" s="100"/>
      <c r="Q64" s="124"/>
      <c r="R64" s="114"/>
      <c r="S64" s="231"/>
      <c r="T64" s="231"/>
      <c r="U64" s="231"/>
      <c r="V64" s="231"/>
      <c r="W64" s="231"/>
      <c r="X64" s="231"/>
      <c r="Y64" s="231"/>
      <c r="Z64" s="231"/>
      <c r="AA64" s="231"/>
      <c r="AB64" s="231"/>
      <c r="AC64" s="231"/>
      <c r="AD64" s="231"/>
      <c r="AE64" s="231"/>
      <c r="AF64" s="231"/>
      <c r="AG64" s="231"/>
      <c r="AH64" s="231"/>
      <c r="AI64" s="231"/>
      <c r="AJ64" s="231"/>
      <c r="AK64" s="231"/>
      <c r="AL64" s="231"/>
      <c r="AM64" s="231"/>
      <c r="AN64" s="231"/>
    </row>
    <row r="65" s="34" customFormat="1" ht="18" customHeight="1" spans="1:40">
      <c r="A65" s="61">
        <f>IF(F65&lt;&gt;"",1+MAX($A$2:A64),"")</f>
        <v>42</v>
      </c>
      <c r="B65" s="237"/>
      <c r="C65" s="74"/>
      <c r="D65" s="240" t="s">
        <v>91</v>
      </c>
      <c r="E65" s="76">
        <v>11</v>
      </c>
      <c r="F65" s="65">
        <v>0</v>
      </c>
      <c r="G65" s="66">
        <f t="shared" ref="G65:G100" si="28">(F65*E65)+E65</f>
        <v>11</v>
      </c>
      <c r="H65" s="70" t="s">
        <v>35</v>
      </c>
      <c r="I65" s="97">
        <v>0</v>
      </c>
      <c r="J65" s="98">
        <f t="shared" ref="J65:J100" si="29">+I65*G65</f>
        <v>0</v>
      </c>
      <c r="K65" s="99">
        <v>50</v>
      </c>
      <c r="L65" s="100">
        <f t="shared" ref="L65:L100" si="30">I65*K65</f>
        <v>0</v>
      </c>
      <c r="M65" s="100">
        <f t="shared" ref="M65:M100" si="31">K65*J65</f>
        <v>0</v>
      </c>
      <c r="N65" s="100">
        <v>0</v>
      </c>
      <c r="O65" s="100">
        <f t="shared" ref="O65:O100" si="32">N65*G65</f>
        <v>0</v>
      </c>
      <c r="P65" s="100">
        <f t="shared" ref="P65:P100" si="33">(I65*K65)+N65</f>
        <v>0</v>
      </c>
      <c r="Q65" s="124">
        <f t="shared" ref="Q65:Q100" si="34">P65*G65</f>
        <v>0</v>
      </c>
      <c r="R65" s="114"/>
      <c r="S65" s="231"/>
      <c r="T65" s="231"/>
      <c r="U65" s="231"/>
      <c r="V65" s="231"/>
      <c r="W65" s="231"/>
      <c r="X65" s="231"/>
      <c r="Y65" s="231"/>
      <c r="Z65" s="231"/>
      <c r="AA65" s="231"/>
      <c r="AB65" s="231"/>
      <c r="AC65" s="231"/>
      <c r="AD65" s="231"/>
      <c r="AE65" s="231"/>
      <c r="AF65" s="231"/>
      <c r="AG65" s="231"/>
      <c r="AH65" s="231"/>
      <c r="AI65" s="231"/>
      <c r="AJ65" s="231"/>
      <c r="AK65" s="231"/>
      <c r="AL65" s="231"/>
      <c r="AM65" s="231"/>
      <c r="AN65" s="231"/>
    </row>
    <row r="66" s="34" customFormat="1" ht="18" customHeight="1" spans="1:40">
      <c r="A66" s="67">
        <f>IF(F66&lt;&gt;"",1+MAX($A$2:A65),"")</f>
        <v>43</v>
      </c>
      <c r="B66" s="237"/>
      <c r="C66" s="74"/>
      <c r="D66" s="240" t="s">
        <v>92</v>
      </c>
      <c r="E66" s="76">
        <v>9</v>
      </c>
      <c r="F66" s="71">
        <v>0</v>
      </c>
      <c r="G66" s="66">
        <f t="shared" si="28"/>
        <v>9</v>
      </c>
      <c r="H66" s="70" t="s">
        <v>35</v>
      </c>
      <c r="I66" s="97">
        <v>0</v>
      </c>
      <c r="J66" s="98">
        <f t="shared" si="29"/>
        <v>0</v>
      </c>
      <c r="K66" s="99">
        <v>50</v>
      </c>
      <c r="L66" s="100">
        <f t="shared" si="30"/>
        <v>0</v>
      </c>
      <c r="M66" s="100">
        <f t="shared" si="31"/>
        <v>0</v>
      </c>
      <c r="N66" s="100">
        <v>0</v>
      </c>
      <c r="O66" s="100">
        <f t="shared" si="32"/>
        <v>0</v>
      </c>
      <c r="P66" s="100">
        <f t="shared" si="33"/>
        <v>0</v>
      </c>
      <c r="Q66" s="124">
        <f t="shared" si="34"/>
        <v>0</v>
      </c>
      <c r="R66" s="114"/>
      <c r="S66" s="231"/>
      <c r="T66" s="231"/>
      <c r="U66" s="231"/>
      <c r="V66" s="231"/>
      <c r="W66" s="231"/>
      <c r="X66" s="231"/>
      <c r="Y66" s="231"/>
      <c r="Z66" s="231"/>
      <c r="AA66" s="231"/>
      <c r="AB66" s="231"/>
      <c r="AC66" s="231"/>
      <c r="AD66" s="231"/>
      <c r="AE66" s="231"/>
      <c r="AF66" s="231"/>
      <c r="AG66" s="231"/>
      <c r="AH66" s="231"/>
      <c r="AI66" s="231"/>
      <c r="AJ66" s="231"/>
      <c r="AK66" s="231"/>
      <c r="AL66" s="231"/>
      <c r="AM66" s="231"/>
      <c r="AN66" s="231"/>
    </row>
    <row r="67" s="34" customFormat="1" ht="18" customHeight="1" spans="1:40">
      <c r="A67" s="67">
        <f>IF(F67&lt;&gt;"",1+MAX($A$2:A66),"")</f>
        <v>44</v>
      </c>
      <c r="B67" s="237"/>
      <c r="C67" s="74"/>
      <c r="D67" s="240" t="s">
        <v>93</v>
      </c>
      <c r="E67" s="76">
        <v>1</v>
      </c>
      <c r="F67" s="71">
        <v>0</v>
      </c>
      <c r="G67" s="66">
        <f t="shared" si="28"/>
        <v>1</v>
      </c>
      <c r="H67" s="70" t="s">
        <v>35</v>
      </c>
      <c r="I67" s="97">
        <v>0</v>
      </c>
      <c r="J67" s="98">
        <f t="shared" si="29"/>
        <v>0</v>
      </c>
      <c r="K67" s="99">
        <v>50</v>
      </c>
      <c r="L67" s="100">
        <f t="shared" si="30"/>
        <v>0</v>
      </c>
      <c r="M67" s="100">
        <f t="shared" si="31"/>
        <v>0</v>
      </c>
      <c r="N67" s="100">
        <v>0</v>
      </c>
      <c r="O67" s="100">
        <f t="shared" si="32"/>
        <v>0</v>
      </c>
      <c r="P67" s="100">
        <f t="shared" si="33"/>
        <v>0</v>
      </c>
      <c r="Q67" s="124">
        <f t="shared" si="34"/>
        <v>0</v>
      </c>
      <c r="R67" s="114"/>
      <c r="S67" s="231"/>
      <c r="T67" s="231"/>
      <c r="U67" s="231"/>
      <c r="V67" s="231"/>
      <c r="W67" s="231"/>
      <c r="X67" s="231"/>
      <c r="Y67" s="231"/>
      <c r="Z67" s="231"/>
      <c r="AA67" s="231"/>
      <c r="AB67" s="231"/>
      <c r="AC67" s="231"/>
      <c r="AD67" s="231"/>
      <c r="AE67" s="231"/>
      <c r="AF67" s="231"/>
      <c r="AG67" s="231"/>
      <c r="AH67" s="231"/>
      <c r="AI67" s="231"/>
      <c r="AJ67" s="231"/>
      <c r="AK67" s="231"/>
      <c r="AL67" s="231"/>
      <c r="AM67" s="231"/>
      <c r="AN67" s="231"/>
    </row>
    <row r="68" s="34" customFormat="1" ht="18" customHeight="1" spans="1:40">
      <c r="A68" s="67">
        <f>IF(F68&lt;&gt;"",1+MAX($A$2:A67),"")</f>
        <v>45</v>
      </c>
      <c r="B68" s="237"/>
      <c r="C68" s="74"/>
      <c r="D68" s="240" t="s">
        <v>94</v>
      </c>
      <c r="E68" s="76">
        <v>6</v>
      </c>
      <c r="F68" s="71">
        <v>0</v>
      </c>
      <c r="G68" s="66">
        <f t="shared" si="28"/>
        <v>6</v>
      </c>
      <c r="H68" s="70" t="s">
        <v>35</v>
      </c>
      <c r="I68" s="97">
        <v>0</v>
      </c>
      <c r="J68" s="98">
        <f t="shared" si="29"/>
        <v>0</v>
      </c>
      <c r="K68" s="99">
        <v>50</v>
      </c>
      <c r="L68" s="100">
        <f t="shared" si="30"/>
        <v>0</v>
      </c>
      <c r="M68" s="100">
        <f t="shared" si="31"/>
        <v>0</v>
      </c>
      <c r="N68" s="100">
        <v>0</v>
      </c>
      <c r="O68" s="100">
        <f t="shared" si="32"/>
        <v>0</v>
      </c>
      <c r="P68" s="100">
        <f t="shared" si="33"/>
        <v>0</v>
      </c>
      <c r="Q68" s="124">
        <f t="shared" si="34"/>
        <v>0</v>
      </c>
      <c r="R68" s="114"/>
      <c r="S68" s="231"/>
      <c r="T68" s="231"/>
      <c r="U68" s="231"/>
      <c r="V68" s="231"/>
      <c r="W68" s="231"/>
      <c r="X68" s="231"/>
      <c r="Y68" s="231"/>
      <c r="Z68" s="231"/>
      <c r="AA68" s="231"/>
      <c r="AB68" s="231"/>
      <c r="AC68" s="231"/>
      <c r="AD68" s="231"/>
      <c r="AE68" s="231"/>
      <c r="AF68" s="231"/>
      <c r="AG68" s="231"/>
      <c r="AH68" s="231"/>
      <c r="AI68" s="231"/>
      <c r="AJ68" s="231"/>
      <c r="AK68" s="231"/>
      <c r="AL68" s="231"/>
      <c r="AM68" s="231"/>
      <c r="AN68" s="231"/>
    </row>
    <row r="69" s="34" customFormat="1" ht="18" customHeight="1" spans="1:40">
      <c r="A69" s="61">
        <f>IF(F69&lt;&gt;"",1+MAX($A$2:A68),"")</f>
        <v>46</v>
      </c>
      <c r="B69" s="237"/>
      <c r="C69" s="74"/>
      <c r="D69" s="240" t="s">
        <v>95</v>
      </c>
      <c r="E69" s="76">
        <v>1</v>
      </c>
      <c r="F69" s="65">
        <v>0</v>
      </c>
      <c r="G69" s="66">
        <f t="shared" si="28"/>
        <v>1</v>
      </c>
      <c r="H69" s="70" t="s">
        <v>35</v>
      </c>
      <c r="I69" s="97">
        <v>0</v>
      </c>
      <c r="J69" s="98">
        <f t="shared" si="29"/>
        <v>0</v>
      </c>
      <c r="K69" s="99">
        <v>50</v>
      </c>
      <c r="L69" s="100">
        <f t="shared" si="30"/>
        <v>0</v>
      </c>
      <c r="M69" s="100">
        <f t="shared" si="31"/>
        <v>0</v>
      </c>
      <c r="N69" s="100">
        <v>0</v>
      </c>
      <c r="O69" s="100">
        <f t="shared" si="32"/>
        <v>0</v>
      </c>
      <c r="P69" s="100">
        <f t="shared" si="33"/>
        <v>0</v>
      </c>
      <c r="Q69" s="124">
        <f t="shared" si="34"/>
        <v>0</v>
      </c>
      <c r="R69" s="114"/>
      <c r="S69" s="231"/>
      <c r="T69" s="231"/>
      <c r="U69" s="231"/>
      <c r="V69" s="231"/>
      <c r="W69" s="231"/>
      <c r="X69" s="231"/>
      <c r="Y69" s="231"/>
      <c r="Z69" s="231"/>
      <c r="AA69" s="231"/>
      <c r="AB69" s="231"/>
      <c r="AC69" s="231"/>
      <c r="AD69" s="231"/>
      <c r="AE69" s="231"/>
      <c r="AF69" s="231"/>
      <c r="AG69" s="231"/>
      <c r="AH69" s="231"/>
      <c r="AI69" s="231"/>
      <c r="AJ69" s="231"/>
      <c r="AK69" s="231"/>
      <c r="AL69" s="231"/>
      <c r="AM69" s="231"/>
      <c r="AN69" s="231"/>
    </row>
    <row r="70" s="34" customFormat="1" ht="18" customHeight="1" spans="1:40">
      <c r="A70" s="67">
        <f>IF(F70&lt;&gt;"",1+MAX($A$2:A69),"")</f>
        <v>47</v>
      </c>
      <c r="B70" s="237"/>
      <c r="C70" s="74"/>
      <c r="D70" s="240" t="s">
        <v>96</v>
      </c>
      <c r="E70" s="76">
        <v>1</v>
      </c>
      <c r="F70" s="71">
        <v>0</v>
      </c>
      <c r="G70" s="66">
        <f t="shared" si="28"/>
        <v>1</v>
      </c>
      <c r="H70" s="70" t="s">
        <v>35</v>
      </c>
      <c r="I70" s="97">
        <v>0</v>
      </c>
      <c r="J70" s="98">
        <f t="shared" si="29"/>
        <v>0</v>
      </c>
      <c r="K70" s="99">
        <v>50</v>
      </c>
      <c r="L70" s="100">
        <f t="shared" si="30"/>
        <v>0</v>
      </c>
      <c r="M70" s="100">
        <f t="shared" si="31"/>
        <v>0</v>
      </c>
      <c r="N70" s="100">
        <v>0</v>
      </c>
      <c r="O70" s="100">
        <f t="shared" si="32"/>
        <v>0</v>
      </c>
      <c r="P70" s="100">
        <f t="shared" si="33"/>
        <v>0</v>
      </c>
      <c r="Q70" s="124">
        <f t="shared" si="34"/>
        <v>0</v>
      </c>
      <c r="R70" s="114"/>
      <c r="S70" s="231"/>
      <c r="T70" s="231"/>
      <c r="U70" s="231"/>
      <c r="V70" s="231"/>
      <c r="W70" s="231"/>
      <c r="X70" s="231"/>
      <c r="Y70" s="231"/>
      <c r="Z70" s="231"/>
      <c r="AA70" s="231"/>
      <c r="AB70" s="231"/>
      <c r="AC70" s="231"/>
      <c r="AD70" s="231"/>
      <c r="AE70" s="231"/>
      <c r="AF70" s="231"/>
      <c r="AG70" s="231"/>
      <c r="AH70" s="231"/>
      <c r="AI70" s="231"/>
      <c r="AJ70" s="231"/>
      <c r="AK70" s="231"/>
      <c r="AL70" s="231"/>
      <c r="AM70" s="231"/>
      <c r="AN70" s="231"/>
    </row>
    <row r="71" s="34" customFormat="1" ht="18" customHeight="1" spans="1:40">
      <c r="A71" s="67">
        <f>IF(F71&lt;&gt;"",1+MAX($A$2:A70),"")</f>
        <v>48</v>
      </c>
      <c r="B71" s="237"/>
      <c r="C71" s="74"/>
      <c r="D71" s="240" t="s">
        <v>97</v>
      </c>
      <c r="E71" s="76">
        <v>16</v>
      </c>
      <c r="F71" s="71">
        <v>0</v>
      </c>
      <c r="G71" s="66">
        <f t="shared" si="28"/>
        <v>16</v>
      </c>
      <c r="H71" s="70" t="s">
        <v>35</v>
      </c>
      <c r="I71" s="97">
        <v>0</v>
      </c>
      <c r="J71" s="98">
        <f t="shared" si="29"/>
        <v>0</v>
      </c>
      <c r="K71" s="99">
        <v>50</v>
      </c>
      <c r="L71" s="100">
        <f t="shared" si="30"/>
        <v>0</v>
      </c>
      <c r="M71" s="100">
        <f t="shared" si="31"/>
        <v>0</v>
      </c>
      <c r="N71" s="100">
        <v>0</v>
      </c>
      <c r="O71" s="100">
        <f t="shared" si="32"/>
        <v>0</v>
      </c>
      <c r="P71" s="100">
        <f t="shared" si="33"/>
        <v>0</v>
      </c>
      <c r="Q71" s="124">
        <f t="shared" si="34"/>
        <v>0</v>
      </c>
      <c r="R71" s="114"/>
      <c r="S71" s="231"/>
      <c r="T71" s="231"/>
      <c r="U71" s="231"/>
      <c r="V71" s="231"/>
      <c r="W71" s="231"/>
      <c r="X71" s="231"/>
      <c r="Y71" s="231"/>
      <c r="Z71" s="231"/>
      <c r="AA71" s="231"/>
      <c r="AB71" s="231"/>
      <c r="AC71" s="231"/>
      <c r="AD71" s="231"/>
      <c r="AE71" s="231"/>
      <c r="AF71" s="231"/>
      <c r="AG71" s="231"/>
      <c r="AH71" s="231"/>
      <c r="AI71" s="231"/>
      <c r="AJ71" s="231"/>
      <c r="AK71" s="231"/>
      <c r="AL71" s="231"/>
      <c r="AM71" s="231"/>
      <c r="AN71" s="231"/>
    </row>
    <row r="72" s="34" customFormat="1" ht="18" customHeight="1" spans="1:40">
      <c r="A72" s="67">
        <f>IF(F72&lt;&gt;"",1+MAX($A$2:A71),"")</f>
        <v>49</v>
      </c>
      <c r="B72" s="237"/>
      <c r="C72" s="74"/>
      <c r="D72" s="240" t="s">
        <v>98</v>
      </c>
      <c r="E72" s="76">
        <v>47</v>
      </c>
      <c r="F72" s="71">
        <v>0</v>
      </c>
      <c r="G72" s="66">
        <f t="shared" si="28"/>
        <v>47</v>
      </c>
      <c r="H72" s="70" t="s">
        <v>35</v>
      </c>
      <c r="I72" s="97">
        <v>0</v>
      </c>
      <c r="J72" s="98">
        <f t="shared" si="29"/>
        <v>0</v>
      </c>
      <c r="K72" s="99">
        <v>50</v>
      </c>
      <c r="L72" s="100">
        <f t="shared" si="30"/>
        <v>0</v>
      </c>
      <c r="M72" s="100">
        <f t="shared" si="31"/>
        <v>0</v>
      </c>
      <c r="N72" s="100">
        <v>0</v>
      </c>
      <c r="O72" s="100">
        <f t="shared" si="32"/>
        <v>0</v>
      </c>
      <c r="P72" s="100">
        <f t="shared" si="33"/>
        <v>0</v>
      </c>
      <c r="Q72" s="124">
        <f t="shared" si="34"/>
        <v>0</v>
      </c>
      <c r="R72" s="114"/>
      <c r="S72" s="231"/>
      <c r="T72" s="231"/>
      <c r="U72" s="231"/>
      <c r="V72" s="231"/>
      <c r="W72" s="231"/>
      <c r="X72" s="231"/>
      <c r="Y72" s="231"/>
      <c r="Z72" s="231"/>
      <c r="AA72" s="231"/>
      <c r="AB72" s="231"/>
      <c r="AC72" s="231"/>
      <c r="AD72" s="231"/>
      <c r="AE72" s="231"/>
      <c r="AF72" s="231"/>
      <c r="AG72" s="231"/>
      <c r="AH72" s="231"/>
      <c r="AI72" s="231"/>
      <c r="AJ72" s="231"/>
      <c r="AK72" s="231"/>
      <c r="AL72" s="231"/>
      <c r="AM72" s="231"/>
      <c r="AN72" s="231"/>
    </row>
    <row r="73" s="34" customFormat="1" ht="18" customHeight="1" spans="1:40">
      <c r="A73" s="61">
        <f>IF(F73&lt;&gt;"",1+MAX($A$2:A72),"")</f>
        <v>50</v>
      </c>
      <c r="B73" s="237"/>
      <c r="C73" s="74"/>
      <c r="D73" s="240" t="s">
        <v>99</v>
      </c>
      <c r="E73" s="76">
        <v>4</v>
      </c>
      <c r="F73" s="65">
        <v>0</v>
      </c>
      <c r="G73" s="66">
        <f t="shared" si="28"/>
        <v>4</v>
      </c>
      <c r="H73" s="70" t="s">
        <v>35</v>
      </c>
      <c r="I73" s="97">
        <v>0</v>
      </c>
      <c r="J73" s="98">
        <f t="shared" si="29"/>
        <v>0</v>
      </c>
      <c r="K73" s="99">
        <v>50</v>
      </c>
      <c r="L73" s="100">
        <f t="shared" si="30"/>
        <v>0</v>
      </c>
      <c r="M73" s="100">
        <f t="shared" si="31"/>
        <v>0</v>
      </c>
      <c r="N73" s="100">
        <v>0</v>
      </c>
      <c r="O73" s="100">
        <f t="shared" si="32"/>
        <v>0</v>
      </c>
      <c r="P73" s="100">
        <f t="shared" si="33"/>
        <v>0</v>
      </c>
      <c r="Q73" s="124">
        <f t="shared" si="34"/>
        <v>0</v>
      </c>
      <c r="R73" s="114"/>
      <c r="S73" s="231"/>
      <c r="T73" s="231"/>
      <c r="U73" s="231"/>
      <c r="V73" s="231"/>
      <c r="W73" s="231"/>
      <c r="X73" s="231"/>
      <c r="Y73" s="231"/>
      <c r="Z73" s="231"/>
      <c r="AA73" s="231"/>
      <c r="AB73" s="231"/>
      <c r="AC73" s="231"/>
      <c r="AD73" s="231"/>
      <c r="AE73" s="231"/>
      <c r="AF73" s="231"/>
      <c r="AG73" s="231"/>
      <c r="AH73" s="231"/>
      <c r="AI73" s="231"/>
      <c r="AJ73" s="231"/>
      <c r="AK73" s="231"/>
      <c r="AL73" s="231"/>
      <c r="AM73" s="231"/>
      <c r="AN73" s="231"/>
    </row>
    <row r="74" s="34" customFormat="1" ht="18" customHeight="1" spans="1:40">
      <c r="A74" s="67">
        <f>IF(F74&lt;&gt;"",1+MAX($A$2:A73),"")</f>
        <v>51</v>
      </c>
      <c r="B74" s="237"/>
      <c r="C74" s="74"/>
      <c r="D74" s="240" t="s">
        <v>100</v>
      </c>
      <c r="E74" s="76">
        <v>4</v>
      </c>
      <c r="F74" s="71">
        <v>0</v>
      </c>
      <c r="G74" s="66">
        <f t="shared" si="28"/>
        <v>4</v>
      </c>
      <c r="H74" s="70" t="s">
        <v>35</v>
      </c>
      <c r="I74" s="97">
        <v>0</v>
      </c>
      <c r="J74" s="98">
        <f t="shared" si="29"/>
        <v>0</v>
      </c>
      <c r="K74" s="99">
        <v>50</v>
      </c>
      <c r="L74" s="100">
        <f t="shared" si="30"/>
        <v>0</v>
      </c>
      <c r="M74" s="100">
        <f t="shared" si="31"/>
        <v>0</v>
      </c>
      <c r="N74" s="100">
        <v>0</v>
      </c>
      <c r="O74" s="100">
        <f t="shared" si="32"/>
        <v>0</v>
      </c>
      <c r="P74" s="100">
        <f t="shared" si="33"/>
        <v>0</v>
      </c>
      <c r="Q74" s="124">
        <f t="shared" si="34"/>
        <v>0</v>
      </c>
      <c r="R74" s="114"/>
      <c r="S74" s="231"/>
      <c r="T74" s="231"/>
      <c r="U74" s="231"/>
      <c r="V74" s="231"/>
      <c r="W74" s="231"/>
      <c r="X74" s="231"/>
      <c r="Y74" s="231"/>
      <c r="Z74" s="231"/>
      <c r="AA74" s="231"/>
      <c r="AB74" s="231"/>
      <c r="AC74" s="231"/>
      <c r="AD74" s="231"/>
      <c r="AE74" s="231"/>
      <c r="AF74" s="231"/>
      <c r="AG74" s="231"/>
      <c r="AH74" s="231"/>
      <c r="AI74" s="231"/>
      <c r="AJ74" s="231"/>
      <c r="AK74" s="231"/>
      <c r="AL74" s="231"/>
      <c r="AM74" s="231"/>
      <c r="AN74" s="231"/>
    </row>
    <row r="75" s="34" customFormat="1" ht="18" customHeight="1" spans="1:40">
      <c r="A75" s="67">
        <f>IF(F75&lt;&gt;"",1+MAX($A$2:A74),"")</f>
        <v>52</v>
      </c>
      <c r="B75" s="237"/>
      <c r="C75" s="74"/>
      <c r="D75" s="240" t="s">
        <v>94</v>
      </c>
      <c r="E75" s="76">
        <v>35</v>
      </c>
      <c r="F75" s="71">
        <v>0</v>
      </c>
      <c r="G75" s="66">
        <f t="shared" si="28"/>
        <v>35</v>
      </c>
      <c r="H75" s="70" t="s">
        <v>35</v>
      </c>
      <c r="I75" s="97">
        <v>0</v>
      </c>
      <c r="J75" s="98">
        <f t="shared" si="29"/>
        <v>0</v>
      </c>
      <c r="K75" s="99">
        <v>50</v>
      </c>
      <c r="L75" s="100">
        <f t="shared" si="30"/>
        <v>0</v>
      </c>
      <c r="M75" s="100">
        <f t="shared" si="31"/>
        <v>0</v>
      </c>
      <c r="N75" s="100">
        <v>0</v>
      </c>
      <c r="O75" s="100">
        <f t="shared" si="32"/>
        <v>0</v>
      </c>
      <c r="P75" s="100">
        <f t="shared" si="33"/>
        <v>0</v>
      </c>
      <c r="Q75" s="124">
        <f t="shared" si="34"/>
        <v>0</v>
      </c>
      <c r="R75" s="114"/>
      <c r="S75" s="231"/>
      <c r="T75" s="231"/>
      <c r="U75" s="231"/>
      <c r="V75" s="231"/>
      <c r="W75" s="231"/>
      <c r="X75" s="231"/>
      <c r="Y75" s="231"/>
      <c r="Z75" s="231"/>
      <c r="AA75" s="231"/>
      <c r="AB75" s="231"/>
      <c r="AC75" s="231"/>
      <c r="AD75" s="231"/>
      <c r="AE75" s="231"/>
      <c r="AF75" s="231"/>
      <c r="AG75" s="231"/>
      <c r="AH75" s="231"/>
      <c r="AI75" s="231"/>
      <c r="AJ75" s="231"/>
      <c r="AK75" s="231"/>
      <c r="AL75" s="231"/>
      <c r="AM75" s="231"/>
      <c r="AN75" s="231"/>
    </row>
    <row r="76" s="34" customFormat="1" ht="18" customHeight="1" spans="1:40">
      <c r="A76" s="67">
        <f>IF(F76&lt;&gt;"",1+MAX($A$2:A75),"")</f>
        <v>53</v>
      </c>
      <c r="B76" s="237"/>
      <c r="C76" s="74"/>
      <c r="D76" s="240" t="s">
        <v>101</v>
      </c>
      <c r="E76" s="76">
        <v>12</v>
      </c>
      <c r="F76" s="71">
        <v>0</v>
      </c>
      <c r="G76" s="66">
        <f t="shared" si="28"/>
        <v>12</v>
      </c>
      <c r="H76" s="70" t="s">
        <v>35</v>
      </c>
      <c r="I76" s="97">
        <v>0</v>
      </c>
      <c r="J76" s="98">
        <f t="shared" si="29"/>
        <v>0</v>
      </c>
      <c r="K76" s="99">
        <v>50</v>
      </c>
      <c r="L76" s="100">
        <f t="shared" si="30"/>
        <v>0</v>
      </c>
      <c r="M76" s="100">
        <f t="shared" si="31"/>
        <v>0</v>
      </c>
      <c r="N76" s="100">
        <v>0</v>
      </c>
      <c r="O76" s="100">
        <f t="shared" si="32"/>
        <v>0</v>
      </c>
      <c r="P76" s="100">
        <f t="shared" si="33"/>
        <v>0</v>
      </c>
      <c r="Q76" s="124">
        <f t="shared" si="34"/>
        <v>0</v>
      </c>
      <c r="R76" s="114"/>
      <c r="S76" s="231"/>
      <c r="T76" s="231"/>
      <c r="U76" s="231"/>
      <c r="V76" s="231"/>
      <c r="W76" s="231"/>
      <c r="X76" s="231"/>
      <c r="Y76" s="231"/>
      <c r="Z76" s="231"/>
      <c r="AA76" s="231"/>
      <c r="AB76" s="231"/>
      <c r="AC76" s="231"/>
      <c r="AD76" s="231"/>
      <c r="AE76" s="231"/>
      <c r="AF76" s="231"/>
      <c r="AG76" s="231"/>
      <c r="AH76" s="231"/>
      <c r="AI76" s="231"/>
      <c r="AJ76" s="231"/>
      <c r="AK76" s="231"/>
      <c r="AL76" s="231"/>
      <c r="AM76" s="231"/>
      <c r="AN76" s="231"/>
    </row>
    <row r="77" s="34" customFormat="1" ht="18" customHeight="1" spans="1:40">
      <c r="A77" s="61">
        <f>IF(F77&lt;&gt;"",1+MAX($A$2:A76),"")</f>
        <v>54</v>
      </c>
      <c r="B77" s="237"/>
      <c r="C77" s="74"/>
      <c r="D77" s="240" t="s">
        <v>102</v>
      </c>
      <c r="E77" s="76">
        <v>2</v>
      </c>
      <c r="F77" s="65">
        <v>0</v>
      </c>
      <c r="G77" s="66">
        <f t="shared" si="28"/>
        <v>2</v>
      </c>
      <c r="H77" s="70" t="s">
        <v>35</v>
      </c>
      <c r="I77" s="97">
        <v>0</v>
      </c>
      <c r="J77" s="98">
        <f t="shared" si="29"/>
        <v>0</v>
      </c>
      <c r="K77" s="99">
        <v>50</v>
      </c>
      <c r="L77" s="100">
        <f t="shared" si="30"/>
        <v>0</v>
      </c>
      <c r="M77" s="100">
        <f t="shared" si="31"/>
        <v>0</v>
      </c>
      <c r="N77" s="100">
        <v>0</v>
      </c>
      <c r="O77" s="100">
        <f t="shared" si="32"/>
        <v>0</v>
      </c>
      <c r="P77" s="100">
        <f t="shared" si="33"/>
        <v>0</v>
      </c>
      <c r="Q77" s="124">
        <f t="shared" si="34"/>
        <v>0</v>
      </c>
      <c r="R77" s="114"/>
      <c r="S77" s="231"/>
      <c r="T77" s="231"/>
      <c r="U77" s="231"/>
      <c r="V77" s="231"/>
      <c r="W77" s="231"/>
      <c r="X77" s="231"/>
      <c r="Y77" s="231"/>
      <c r="Z77" s="231"/>
      <c r="AA77" s="231"/>
      <c r="AB77" s="231"/>
      <c r="AC77" s="231"/>
      <c r="AD77" s="231"/>
      <c r="AE77" s="231"/>
      <c r="AF77" s="231"/>
      <c r="AG77" s="231"/>
      <c r="AH77" s="231"/>
      <c r="AI77" s="231"/>
      <c r="AJ77" s="231"/>
      <c r="AK77" s="231"/>
      <c r="AL77" s="231"/>
      <c r="AM77" s="231"/>
      <c r="AN77" s="231"/>
    </row>
    <row r="78" s="34" customFormat="1" ht="18" customHeight="1" spans="1:40">
      <c r="A78" s="67">
        <f>IF(F78&lt;&gt;"",1+MAX($A$2:A77),"")</f>
        <v>55</v>
      </c>
      <c r="B78" s="237"/>
      <c r="C78" s="74"/>
      <c r="D78" s="240" t="s">
        <v>103</v>
      </c>
      <c r="E78" s="76">
        <v>26</v>
      </c>
      <c r="F78" s="71">
        <v>0</v>
      </c>
      <c r="G78" s="66">
        <f t="shared" si="28"/>
        <v>26</v>
      </c>
      <c r="H78" s="70" t="s">
        <v>35</v>
      </c>
      <c r="I78" s="97">
        <v>0</v>
      </c>
      <c r="J78" s="98">
        <f t="shared" si="29"/>
        <v>0</v>
      </c>
      <c r="K78" s="99">
        <v>50</v>
      </c>
      <c r="L78" s="100">
        <f t="shared" si="30"/>
        <v>0</v>
      </c>
      <c r="M78" s="100">
        <f t="shared" si="31"/>
        <v>0</v>
      </c>
      <c r="N78" s="100">
        <v>0</v>
      </c>
      <c r="O78" s="100">
        <f t="shared" si="32"/>
        <v>0</v>
      </c>
      <c r="P78" s="100">
        <f t="shared" si="33"/>
        <v>0</v>
      </c>
      <c r="Q78" s="124">
        <f t="shared" si="34"/>
        <v>0</v>
      </c>
      <c r="R78" s="114"/>
      <c r="S78" s="231"/>
      <c r="T78" s="231"/>
      <c r="U78" s="231"/>
      <c r="V78" s="231"/>
      <c r="W78" s="231"/>
      <c r="X78" s="231"/>
      <c r="Y78" s="231"/>
      <c r="Z78" s="231"/>
      <c r="AA78" s="231"/>
      <c r="AB78" s="231"/>
      <c r="AC78" s="231"/>
      <c r="AD78" s="231"/>
      <c r="AE78" s="231"/>
      <c r="AF78" s="231"/>
      <c r="AG78" s="231"/>
      <c r="AH78" s="231"/>
      <c r="AI78" s="231"/>
      <c r="AJ78" s="231"/>
      <c r="AK78" s="231"/>
      <c r="AL78" s="231"/>
      <c r="AM78" s="231"/>
      <c r="AN78" s="231"/>
    </row>
    <row r="79" s="34" customFormat="1" ht="18" customHeight="1" spans="1:40">
      <c r="A79" s="67">
        <f>IF(F79&lt;&gt;"",1+MAX($A$2:A78),"")</f>
        <v>56</v>
      </c>
      <c r="B79" s="237"/>
      <c r="C79" s="74"/>
      <c r="D79" s="240" t="s">
        <v>104</v>
      </c>
      <c r="E79" s="76">
        <v>33</v>
      </c>
      <c r="F79" s="71">
        <v>0</v>
      </c>
      <c r="G79" s="66">
        <f t="shared" si="28"/>
        <v>33</v>
      </c>
      <c r="H79" s="70" t="s">
        <v>35</v>
      </c>
      <c r="I79" s="97">
        <v>0</v>
      </c>
      <c r="J79" s="98">
        <f t="shared" si="29"/>
        <v>0</v>
      </c>
      <c r="K79" s="99">
        <v>50</v>
      </c>
      <c r="L79" s="100">
        <f t="shared" si="30"/>
        <v>0</v>
      </c>
      <c r="M79" s="100">
        <f t="shared" si="31"/>
        <v>0</v>
      </c>
      <c r="N79" s="100">
        <v>0</v>
      </c>
      <c r="O79" s="100">
        <f t="shared" si="32"/>
        <v>0</v>
      </c>
      <c r="P79" s="100">
        <f t="shared" si="33"/>
        <v>0</v>
      </c>
      <c r="Q79" s="124">
        <f t="shared" si="34"/>
        <v>0</v>
      </c>
      <c r="R79" s="114"/>
      <c r="S79" s="231"/>
      <c r="T79" s="231"/>
      <c r="U79" s="231"/>
      <c r="V79" s="231"/>
      <c r="W79" s="231"/>
      <c r="X79" s="231"/>
      <c r="Y79" s="231"/>
      <c r="Z79" s="231"/>
      <c r="AA79" s="231"/>
      <c r="AB79" s="231"/>
      <c r="AC79" s="231"/>
      <c r="AD79" s="231"/>
      <c r="AE79" s="231"/>
      <c r="AF79" s="231"/>
      <c r="AG79" s="231"/>
      <c r="AH79" s="231"/>
      <c r="AI79" s="231"/>
      <c r="AJ79" s="231"/>
      <c r="AK79" s="231"/>
      <c r="AL79" s="231"/>
      <c r="AM79" s="231"/>
      <c r="AN79" s="231"/>
    </row>
    <row r="80" s="34" customFormat="1" ht="18" customHeight="1" spans="1:40">
      <c r="A80" s="67">
        <f>IF(F80&lt;&gt;"",1+MAX($A$2:A79),"")</f>
        <v>57</v>
      </c>
      <c r="B80" s="237"/>
      <c r="C80" s="74"/>
      <c r="D80" s="240" t="s">
        <v>105</v>
      </c>
      <c r="E80" s="76">
        <v>1</v>
      </c>
      <c r="F80" s="71">
        <v>0</v>
      </c>
      <c r="G80" s="66">
        <f t="shared" si="28"/>
        <v>1</v>
      </c>
      <c r="H80" s="70" t="s">
        <v>35</v>
      </c>
      <c r="I80" s="97">
        <v>0</v>
      </c>
      <c r="J80" s="98">
        <f t="shared" si="29"/>
        <v>0</v>
      </c>
      <c r="K80" s="99">
        <v>50</v>
      </c>
      <c r="L80" s="100">
        <f t="shared" si="30"/>
        <v>0</v>
      </c>
      <c r="M80" s="100">
        <f t="shared" si="31"/>
        <v>0</v>
      </c>
      <c r="N80" s="100">
        <v>0</v>
      </c>
      <c r="O80" s="100">
        <f t="shared" si="32"/>
        <v>0</v>
      </c>
      <c r="P80" s="100">
        <f t="shared" si="33"/>
        <v>0</v>
      </c>
      <c r="Q80" s="124">
        <f t="shared" si="34"/>
        <v>0</v>
      </c>
      <c r="R80" s="114"/>
      <c r="S80" s="231"/>
      <c r="T80" s="231"/>
      <c r="U80" s="231"/>
      <c r="V80" s="231"/>
      <c r="W80" s="231"/>
      <c r="X80" s="231"/>
      <c r="Y80" s="231"/>
      <c r="Z80" s="231"/>
      <c r="AA80" s="231"/>
      <c r="AB80" s="231"/>
      <c r="AC80" s="231"/>
      <c r="AD80" s="231"/>
      <c r="AE80" s="231"/>
      <c r="AF80" s="231"/>
      <c r="AG80" s="231"/>
      <c r="AH80" s="231"/>
      <c r="AI80" s="231"/>
      <c r="AJ80" s="231"/>
      <c r="AK80" s="231"/>
      <c r="AL80" s="231"/>
      <c r="AM80" s="231"/>
      <c r="AN80" s="231"/>
    </row>
    <row r="81" s="34" customFormat="1" ht="18" customHeight="1" spans="1:40">
      <c r="A81" s="61">
        <f>IF(F81&lt;&gt;"",1+MAX($A$2:A80),"")</f>
        <v>58</v>
      </c>
      <c r="B81" s="237"/>
      <c r="C81" s="74"/>
      <c r="D81" s="240" t="s">
        <v>106</v>
      </c>
      <c r="E81" s="76">
        <v>2</v>
      </c>
      <c r="F81" s="65">
        <v>0</v>
      </c>
      <c r="G81" s="66">
        <f t="shared" si="28"/>
        <v>2</v>
      </c>
      <c r="H81" s="70" t="s">
        <v>35</v>
      </c>
      <c r="I81" s="97">
        <v>0</v>
      </c>
      <c r="J81" s="98">
        <f t="shared" si="29"/>
        <v>0</v>
      </c>
      <c r="K81" s="99">
        <v>50</v>
      </c>
      <c r="L81" s="100">
        <f t="shared" si="30"/>
        <v>0</v>
      </c>
      <c r="M81" s="100">
        <f t="shared" si="31"/>
        <v>0</v>
      </c>
      <c r="N81" s="100">
        <v>0</v>
      </c>
      <c r="O81" s="100">
        <f t="shared" si="32"/>
        <v>0</v>
      </c>
      <c r="P81" s="100">
        <f t="shared" si="33"/>
        <v>0</v>
      </c>
      <c r="Q81" s="124">
        <f t="shared" si="34"/>
        <v>0</v>
      </c>
      <c r="R81" s="114"/>
      <c r="S81" s="231"/>
      <c r="T81" s="231"/>
      <c r="U81" s="231"/>
      <c r="V81" s="231"/>
      <c r="W81" s="231"/>
      <c r="X81" s="231"/>
      <c r="Y81" s="231"/>
      <c r="Z81" s="231"/>
      <c r="AA81" s="231"/>
      <c r="AB81" s="231"/>
      <c r="AC81" s="231"/>
      <c r="AD81" s="231"/>
      <c r="AE81" s="231"/>
      <c r="AF81" s="231"/>
      <c r="AG81" s="231"/>
      <c r="AH81" s="231"/>
      <c r="AI81" s="231"/>
      <c r="AJ81" s="231"/>
      <c r="AK81" s="231"/>
      <c r="AL81" s="231"/>
      <c r="AM81" s="231"/>
      <c r="AN81" s="231"/>
    </row>
    <row r="82" s="34" customFormat="1" ht="18" customHeight="1" spans="1:40">
      <c r="A82" s="67">
        <f>IF(F82&lt;&gt;"",1+MAX($A$2:A81),"")</f>
        <v>59</v>
      </c>
      <c r="B82" s="237"/>
      <c r="C82" s="74"/>
      <c r="D82" s="240" t="s">
        <v>107</v>
      </c>
      <c r="E82" s="76">
        <v>5</v>
      </c>
      <c r="F82" s="71">
        <v>0</v>
      </c>
      <c r="G82" s="66">
        <f t="shared" si="28"/>
        <v>5</v>
      </c>
      <c r="H82" s="70" t="s">
        <v>35</v>
      </c>
      <c r="I82" s="97">
        <v>0</v>
      </c>
      <c r="J82" s="98">
        <f t="shared" si="29"/>
        <v>0</v>
      </c>
      <c r="K82" s="99">
        <v>50</v>
      </c>
      <c r="L82" s="100">
        <f t="shared" si="30"/>
        <v>0</v>
      </c>
      <c r="M82" s="100">
        <f t="shared" si="31"/>
        <v>0</v>
      </c>
      <c r="N82" s="100">
        <v>0</v>
      </c>
      <c r="O82" s="100">
        <f t="shared" si="32"/>
        <v>0</v>
      </c>
      <c r="P82" s="100">
        <f t="shared" si="33"/>
        <v>0</v>
      </c>
      <c r="Q82" s="124">
        <f t="shared" si="34"/>
        <v>0</v>
      </c>
      <c r="R82" s="114"/>
      <c r="S82" s="231"/>
      <c r="T82" s="231"/>
      <c r="U82" s="231"/>
      <c r="V82" s="231"/>
      <c r="W82" s="231"/>
      <c r="X82" s="231"/>
      <c r="Y82" s="231"/>
      <c r="Z82" s="231"/>
      <c r="AA82" s="231"/>
      <c r="AB82" s="231"/>
      <c r="AC82" s="231"/>
      <c r="AD82" s="231"/>
      <c r="AE82" s="231"/>
      <c r="AF82" s="231"/>
      <c r="AG82" s="231"/>
      <c r="AH82" s="231"/>
      <c r="AI82" s="231"/>
      <c r="AJ82" s="231"/>
      <c r="AK82" s="231"/>
      <c r="AL82" s="231"/>
      <c r="AM82" s="231"/>
      <c r="AN82" s="231"/>
    </row>
    <row r="83" s="34" customFormat="1" ht="18" customHeight="1" spans="1:40">
      <c r="A83" s="67">
        <f>IF(F83&lt;&gt;"",1+MAX($A$2:A82),"")</f>
        <v>60</v>
      </c>
      <c r="B83" s="237"/>
      <c r="C83" s="74"/>
      <c r="D83" s="240" t="s">
        <v>108</v>
      </c>
      <c r="E83" s="76">
        <v>6</v>
      </c>
      <c r="F83" s="71">
        <v>0</v>
      </c>
      <c r="G83" s="66">
        <f t="shared" si="28"/>
        <v>6</v>
      </c>
      <c r="H83" s="70" t="s">
        <v>35</v>
      </c>
      <c r="I83" s="97">
        <v>0</v>
      </c>
      <c r="J83" s="98">
        <f t="shared" si="29"/>
        <v>0</v>
      </c>
      <c r="K83" s="99">
        <v>50</v>
      </c>
      <c r="L83" s="100">
        <f t="shared" si="30"/>
        <v>0</v>
      </c>
      <c r="M83" s="100">
        <f t="shared" si="31"/>
        <v>0</v>
      </c>
      <c r="N83" s="100">
        <v>0</v>
      </c>
      <c r="O83" s="100">
        <f t="shared" si="32"/>
        <v>0</v>
      </c>
      <c r="P83" s="100">
        <f t="shared" si="33"/>
        <v>0</v>
      </c>
      <c r="Q83" s="124">
        <f t="shared" si="34"/>
        <v>0</v>
      </c>
      <c r="R83" s="114"/>
      <c r="S83" s="231"/>
      <c r="T83" s="231"/>
      <c r="U83" s="231"/>
      <c r="V83" s="231"/>
      <c r="W83" s="231"/>
      <c r="X83" s="231"/>
      <c r="Y83" s="231"/>
      <c r="Z83" s="231"/>
      <c r="AA83" s="231"/>
      <c r="AB83" s="231"/>
      <c r="AC83" s="231"/>
      <c r="AD83" s="231"/>
      <c r="AE83" s="231"/>
      <c r="AF83" s="231"/>
      <c r="AG83" s="231"/>
      <c r="AH83" s="231"/>
      <c r="AI83" s="231"/>
      <c r="AJ83" s="231"/>
      <c r="AK83" s="231"/>
      <c r="AL83" s="231"/>
      <c r="AM83" s="231"/>
      <c r="AN83" s="231"/>
    </row>
    <row r="84" s="34" customFormat="1" ht="18" customHeight="1" spans="1:40">
      <c r="A84" s="67">
        <f>IF(F84&lt;&gt;"",1+MAX($A$2:A83),"")</f>
        <v>61</v>
      </c>
      <c r="B84" s="237"/>
      <c r="C84" s="74"/>
      <c r="D84" s="240" t="s">
        <v>98</v>
      </c>
      <c r="E84" s="76">
        <v>9</v>
      </c>
      <c r="F84" s="71">
        <v>0</v>
      </c>
      <c r="G84" s="66">
        <f t="shared" si="28"/>
        <v>9</v>
      </c>
      <c r="H84" s="70" t="s">
        <v>35</v>
      </c>
      <c r="I84" s="97">
        <v>0</v>
      </c>
      <c r="J84" s="98">
        <f t="shared" si="29"/>
        <v>0</v>
      </c>
      <c r="K84" s="99">
        <v>50</v>
      </c>
      <c r="L84" s="100">
        <f t="shared" si="30"/>
        <v>0</v>
      </c>
      <c r="M84" s="100">
        <f t="shared" si="31"/>
        <v>0</v>
      </c>
      <c r="N84" s="100">
        <v>0</v>
      </c>
      <c r="O84" s="100">
        <f t="shared" si="32"/>
        <v>0</v>
      </c>
      <c r="P84" s="100">
        <f t="shared" si="33"/>
        <v>0</v>
      </c>
      <c r="Q84" s="124">
        <f t="shared" si="34"/>
        <v>0</v>
      </c>
      <c r="R84" s="114"/>
      <c r="S84" s="231"/>
      <c r="T84" s="231"/>
      <c r="U84" s="231"/>
      <c r="V84" s="231"/>
      <c r="W84" s="231"/>
      <c r="X84" s="231"/>
      <c r="Y84" s="231"/>
      <c r="Z84" s="231"/>
      <c r="AA84" s="231"/>
      <c r="AB84" s="231"/>
      <c r="AC84" s="231"/>
      <c r="AD84" s="231"/>
      <c r="AE84" s="231"/>
      <c r="AF84" s="231"/>
      <c r="AG84" s="231"/>
      <c r="AH84" s="231"/>
      <c r="AI84" s="231"/>
      <c r="AJ84" s="231"/>
      <c r="AK84" s="231"/>
      <c r="AL84" s="231"/>
      <c r="AM84" s="231"/>
      <c r="AN84" s="231"/>
    </row>
    <row r="85" s="34" customFormat="1" ht="18" customHeight="1" spans="1:40">
      <c r="A85" s="61">
        <f>IF(F85&lt;&gt;"",1+MAX($A$2:A84),"")</f>
        <v>62</v>
      </c>
      <c r="B85" s="237"/>
      <c r="C85" s="74"/>
      <c r="D85" s="240" t="s">
        <v>109</v>
      </c>
      <c r="E85" s="76">
        <v>8</v>
      </c>
      <c r="F85" s="65">
        <v>0</v>
      </c>
      <c r="G85" s="66">
        <f t="shared" si="28"/>
        <v>8</v>
      </c>
      <c r="H85" s="70" t="s">
        <v>35</v>
      </c>
      <c r="I85" s="97">
        <v>0</v>
      </c>
      <c r="J85" s="98">
        <f t="shared" si="29"/>
        <v>0</v>
      </c>
      <c r="K85" s="99">
        <v>50</v>
      </c>
      <c r="L85" s="100">
        <f t="shared" si="30"/>
        <v>0</v>
      </c>
      <c r="M85" s="100">
        <f t="shared" si="31"/>
        <v>0</v>
      </c>
      <c r="N85" s="100">
        <v>0</v>
      </c>
      <c r="O85" s="100">
        <f t="shared" si="32"/>
        <v>0</v>
      </c>
      <c r="P85" s="100">
        <f t="shared" si="33"/>
        <v>0</v>
      </c>
      <c r="Q85" s="124">
        <f t="shared" si="34"/>
        <v>0</v>
      </c>
      <c r="R85" s="114"/>
      <c r="S85" s="231"/>
      <c r="T85" s="231"/>
      <c r="U85" s="231"/>
      <c r="V85" s="231"/>
      <c r="W85" s="231"/>
      <c r="X85" s="231"/>
      <c r="Y85" s="231"/>
      <c r="Z85" s="231"/>
      <c r="AA85" s="231"/>
      <c r="AB85" s="231"/>
      <c r="AC85" s="231"/>
      <c r="AD85" s="231"/>
      <c r="AE85" s="231"/>
      <c r="AF85" s="231"/>
      <c r="AG85" s="231"/>
      <c r="AH85" s="231"/>
      <c r="AI85" s="231"/>
      <c r="AJ85" s="231"/>
      <c r="AK85" s="231"/>
      <c r="AL85" s="231"/>
      <c r="AM85" s="231"/>
      <c r="AN85" s="231"/>
    </row>
    <row r="86" s="34" customFormat="1" ht="18" customHeight="1" spans="1:40">
      <c r="A86" s="67">
        <f>IF(F86&lt;&gt;"",1+MAX($A$2:A85),"")</f>
        <v>63</v>
      </c>
      <c r="B86" s="237"/>
      <c r="C86" s="74"/>
      <c r="D86" s="240" t="s">
        <v>110</v>
      </c>
      <c r="E86" s="76">
        <v>2</v>
      </c>
      <c r="F86" s="71">
        <v>0</v>
      </c>
      <c r="G86" s="66">
        <f t="shared" si="28"/>
        <v>2</v>
      </c>
      <c r="H86" s="70" t="s">
        <v>35</v>
      </c>
      <c r="I86" s="97">
        <v>0</v>
      </c>
      <c r="J86" s="98">
        <f t="shared" si="29"/>
        <v>0</v>
      </c>
      <c r="K86" s="99">
        <v>50</v>
      </c>
      <c r="L86" s="100">
        <f t="shared" si="30"/>
        <v>0</v>
      </c>
      <c r="M86" s="100">
        <f t="shared" si="31"/>
        <v>0</v>
      </c>
      <c r="N86" s="100">
        <v>0</v>
      </c>
      <c r="O86" s="100">
        <f t="shared" si="32"/>
        <v>0</v>
      </c>
      <c r="P86" s="100">
        <f t="shared" si="33"/>
        <v>0</v>
      </c>
      <c r="Q86" s="124">
        <f t="shared" si="34"/>
        <v>0</v>
      </c>
      <c r="R86" s="114"/>
      <c r="S86" s="231"/>
      <c r="T86" s="231"/>
      <c r="U86" s="231"/>
      <c r="V86" s="231"/>
      <c r="W86" s="231"/>
      <c r="X86" s="231"/>
      <c r="Y86" s="231"/>
      <c r="Z86" s="231"/>
      <c r="AA86" s="231"/>
      <c r="AB86" s="231"/>
      <c r="AC86" s="231"/>
      <c r="AD86" s="231"/>
      <c r="AE86" s="231"/>
      <c r="AF86" s="231"/>
      <c r="AG86" s="231"/>
      <c r="AH86" s="231"/>
      <c r="AI86" s="231"/>
      <c r="AJ86" s="231"/>
      <c r="AK86" s="231"/>
      <c r="AL86" s="231"/>
      <c r="AM86" s="231"/>
      <c r="AN86" s="231"/>
    </row>
    <row r="87" s="34" customFormat="1" ht="18" customHeight="1" spans="1:40">
      <c r="A87" s="67">
        <f>IF(F87&lt;&gt;"",1+MAX($A$2:A86),"")</f>
        <v>64</v>
      </c>
      <c r="B87" s="237"/>
      <c r="C87" s="74"/>
      <c r="D87" s="240" t="s">
        <v>111</v>
      </c>
      <c r="E87" s="76">
        <v>2</v>
      </c>
      <c r="F87" s="71">
        <v>0</v>
      </c>
      <c r="G87" s="66">
        <f t="shared" si="28"/>
        <v>2</v>
      </c>
      <c r="H87" s="70" t="s">
        <v>35</v>
      </c>
      <c r="I87" s="97">
        <v>0</v>
      </c>
      <c r="J87" s="98">
        <f t="shared" si="29"/>
        <v>0</v>
      </c>
      <c r="K87" s="99">
        <v>50</v>
      </c>
      <c r="L87" s="100">
        <f t="shared" si="30"/>
        <v>0</v>
      </c>
      <c r="M87" s="100">
        <f t="shared" si="31"/>
        <v>0</v>
      </c>
      <c r="N87" s="100">
        <v>0</v>
      </c>
      <c r="O87" s="100">
        <f t="shared" si="32"/>
        <v>0</v>
      </c>
      <c r="P87" s="100">
        <f t="shared" si="33"/>
        <v>0</v>
      </c>
      <c r="Q87" s="124">
        <f t="shared" si="34"/>
        <v>0</v>
      </c>
      <c r="R87" s="114"/>
      <c r="S87" s="231"/>
      <c r="T87" s="231"/>
      <c r="U87" s="231"/>
      <c r="V87" s="231"/>
      <c r="W87" s="231"/>
      <c r="X87" s="231"/>
      <c r="Y87" s="231"/>
      <c r="Z87" s="231"/>
      <c r="AA87" s="231"/>
      <c r="AB87" s="231"/>
      <c r="AC87" s="231"/>
      <c r="AD87" s="231"/>
      <c r="AE87" s="231"/>
      <c r="AF87" s="231"/>
      <c r="AG87" s="231"/>
      <c r="AH87" s="231"/>
      <c r="AI87" s="231"/>
      <c r="AJ87" s="231"/>
      <c r="AK87" s="231"/>
      <c r="AL87" s="231"/>
      <c r="AM87" s="231"/>
      <c r="AN87" s="231"/>
    </row>
    <row r="88" s="34" customFormat="1" ht="18" customHeight="1" spans="1:40">
      <c r="A88" s="67">
        <f>IF(F88&lt;&gt;"",1+MAX($A$2:A87),"")</f>
        <v>65</v>
      </c>
      <c r="B88" s="237"/>
      <c r="C88" s="74"/>
      <c r="D88" s="240" t="s">
        <v>112</v>
      </c>
      <c r="E88" s="76">
        <v>3</v>
      </c>
      <c r="F88" s="71">
        <v>0</v>
      </c>
      <c r="G88" s="66">
        <f t="shared" si="28"/>
        <v>3</v>
      </c>
      <c r="H88" s="70" t="s">
        <v>35</v>
      </c>
      <c r="I88" s="97">
        <v>0</v>
      </c>
      <c r="J88" s="98">
        <f t="shared" si="29"/>
        <v>0</v>
      </c>
      <c r="K88" s="99">
        <v>50</v>
      </c>
      <c r="L88" s="100">
        <f t="shared" si="30"/>
        <v>0</v>
      </c>
      <c r="M88" s="100">
        <f t="shared" si="31"/>
        <v>0</v>
      </c>
      <c r="N88" s="100">
        <v>0</v>
      </c>
      <c r="O88" s="100">
        <f t="shared" si="32"/>
        <v>0</v>
      </c>
      <c r="P88" s="100">
        <f t="shared" si="33"/>
        <v>0</v>
      </c>
      <c r="Q88" s="124">
        <f t="shared" si="34"/>
        <v>0</v>
      </c>
      <c r="R88" s="114"/>
      <c r="S88" s="231"/>
      <c r="T88" s="231"/>
      <c r="U88" s="231"/>
      <c r="V88" s="231"/>
      <c r="W88" s="231"/>
      <c r="X88" s="231"/>
      <c r="Y88" s="231"/>
      <c r="Z88" s="231"/>
      <c r="AA88" s="231"/>
      <c r="AB88" s="231"/>
      <c r="AC88" s="231"/>
      <c r="AD88" s="231"/>
      <c r="AE88" s="231"/>
      <c r="AF88" s="231"/>
      <c r="AG88" s="231"/>
      <c r="AH88" s="231"/>
      <c r="AI88" s="231"/>
      <c r="AJ88" s="231"/>
      <c r="AK88" s="231"/>
      <c r="AL88" s="231"/>
      <c r="AM88" s="231"/>
      <c r="AN88" s="231"/>
    </row>
    <row r="89" s="34" customFormat="1" ht="18" customHeight="1" spans="1:40">
      <c r="A89" s="61">
        <f>IF(F89&lt;&gt;"",1+MAX($A$2:A88),"")</f>
        <v>66</v>
      </c>
      <c r="B89" s="237"/>
      <c r="C89" s="74"/>
      <c r="D89" s="240" t="s">
        <v>113</v>
      </c>
      <c r="E89" s="76">
        <v>4</v>
      </c>
      <c r="F89" s="65">
        <v>0</v>
      </c>
      <c r="G89" s="66">
        <f t="shared" si="28"/>
        <v>4</v>
      </c>
      <c r="H89" s="70" t="s">
        <v>35</v>
      </c>
      <c r="I89" s="97">
        <v>0</v>
      </c>
      <c r="J89" s="98">
        <f t="shared" si="29"/>
        <v>0</v>
      </c>
      <c r="K89" s="99">
        <v>50</v>
      </c>
      <c r="L89" s="100">
        <f t="shared" si="30"/>
        <v>0</v>
      </c>
      <c r="M89" s="100">
        <f t="shared" si="31"/>
        <v>0</v>
      </c>
      <c r="N89" s="100">
        <v>0</v>
      </c>
      <c r="O89" s="100">
        <f t="shared" si="32"/>
        <v>0</v>
      </c>
      <c r="P89" s="100">
        <f t="shared" si="33"/>
        <v>0</v>
      </c>
      <c r="Q89" s="124">
        <f t="shared" si="34"/>
        <v>0</v>
      </c>
      <c r="R89" s="114"/>
      <c r="S89" s="231"/>
      <c r="T89" s="231"/>
      <c r="U89" s="231"/>
      <c r="V89" s="231"/>
      <c r="W89" s="231"/>
      <c r="X89" s="231"/>
      <c r="Y89" s="231"/>
      <c r="Z89" s="231"/>
      <c r="AA89" s="231"/>
      <c r="AB89" s="231"/>
      <c r="AC89" s="231"/>
      <c r="AD89" s="231"/>
      <c r="AE89" s="231"/>
      <c r="AF89" s="231"/>
      <c r="AG89" s="231"/>
      <c r="AH89" s="231"/>
      <c r="AI89" s="231"/>
      <c r="AJ89" s="231"/>
      <c r="AK89" s="231"/>
      <c r="AL89" s="231"/>
      <c r="AM89" s="231"/>
      <c r="AN89" s="231"/>
    </row>
    <row r="90" s="34" customFormat="1" ht="18" customHeight="1" spans="1:40">
      <c r="A90" s="67">
        <f>IF(F90&lt;&gt;"",1+MAX($A$2:A89),"")</f>
        <v>67</v>
      </c>
      <c r="B90" s="237"/>
      <c r="C90" s="74"/>
      <c r="D90" s="240" t="s">
        <v>114</v>
      </c>
      <c r="E90" s="76">
        <v>4</v>
      </c>
      <c r="F90" s="71">
        <v>0</v>
      </c>
      <c r="G90" s="66">
        <f t="shared" si="28"/>
        <v>4</v>
      </c>
      <c r="H90" s="70" t="s">
        <v>35</v>
      </c>
      <c r="I90" s="97">
        <v>0</v>
      </c>
      <c r="J90" s="98">
        <f t="shared" si="29"/>
        <v>0</v>
      </c>
      <c r="K90" s="99">
        <v>50</v>
      </c>
      <c r="L90" s="100">
        <f t="shared" si="30"/>
        <v>0</v>
      </c>
      <c r="M90" s="100">
        <f t="shared" si="31"/>
        <v>0</v>
      </c>
      <c r="N90" s="100">
        <v>0</v>
      </c>
      <c r="O90" s="100">
        <f t="shared" si="32"/>
        <v>0</v>
      </c>
      <c r="P90" s="100">
        <f t="shared" si="33"/>
        <v>0</v>
      </c>
      <c r="Q90" s="124">
        <f t="shared" si="34"/>
        <v>0</v>
      </c>
      <c r="R90" s="114"/>
      <c r="S90" s="231"/>
      <c r="T90" s="231"/>
      <c r="U90" s="231"/>
      <c r="V90" s="231"/>
      <c r="W90" s="231"/>
      <c r="X90" s="231"/>
      <c r="Y90" s="231"/>
      <c r="Z90" s="231"/>
      <c r="AA90" s="231"/>
      <c r="AB90" s="231"/>
      <c r="AC90" s="231"/>
      <c r="AD90" s="231"/>
      <c r="AE90" s="231"/>
      <c r="AF90" s="231"/>
      <c r="AG90" s="231"/>
      <c r="AH90" s="231"/>
      <c r="AI90" s="231"/>
      <c r="AJ90" s="231"/>
      <c r="AK90" s="231"/>
      <c r="AL90" s="231"/>
      <c r="AM90" s="231"/>
      <c r="AN90" s="231"/>
    </row>
    <row r="91" s="34" customFormat="1" ht="18" customHeight="1" spans="1:40">
      <c r="A91" s="67">
        <f>IF(F91&lt;&gt;"",1+MAX($A$2:A90),"")</f>
        <v>68</v>
      </c>
      <c r="B91" s="237"/>
      <c r="C91" s="74"/>
      <c r="D91" s="240" t="s">
        <v>115</v>
      </c>
      <c r="E91" s="76">
        <v>6</v>
      </c>
      <c r="F91" s="71">
        <v>0</v>
      </c>
      <c r="G91" s="66">
        <f t="shared" si="28"/>
        <v>6</v>
      </c>
      <c r="H91" s="70" t="s">
        <v>35</v>
      </c>
      <c r="I91" s="97">
        <v>0</v>
      </c>
      <c r="J91" s="98">
        <f t="shared" si="29"/>
        <v>0</v>
      </c>
      <c r="K91" s="99">
        <v>50</v>
      </c>
      <c r="L91" s="100">
        <f t="shared" si="30"/>
        <v>0</v>
      </c>
      <c r="M91" s="100">
        <f t="shared" si="31"/>
        <v>0</v>
      </c>
      <c r="N91" s="100">
        <v>0</v>
      </c>
      <c r="O91" s="100">
        <f t="shared" si="32"/>
        <v>0</v>
      </c>
      <c r="P91" s="100">
        <f t="shared" si="33"/>
        <v>0</v>
      </c>
      <c r="Q91" s="124">
        <f t="shared" si="34"/>
        <v>0</v>
      </c>
      <c r="R91" s="114"/>
      <c r="S91" s="231"/>
      <c r="T91" s="231"/>
      <c r="U91" s="231"/>
      <c r="V91" s="231"/>
      <c r="W91" s="231"/>
      <c r="X91" s="231"/>
      <c r="Y91" s="231"/>
      <c r="Z91" s="231"/>
      <c r="AA91" s="231"/>
      <c r="AB91" s="231"/>
      <c r="AC91" s="231"/>
      <c r="AD91" s="231"/>
      <c r="AE91" s="231"/>
      <c r="AF91" s="231"/>
      <c r="AG91" s="231"/>
      <c r="AH91" s="231"/>
      <c r="AI91" s="231"/>
      <c r="AJ91" s="231"/>
      <c r="AK91" s="231"/>
      <c r="AL91" s="231"/>
      <c r="AM91" s="231"/>
      <c r="AN91" s="231"/>
    </row>
    <row r="92" s="34" customFormat="1" ht="18" customHeight="1" spans="1:40">
      <c r="A92" s="67">
        <f>IF(F92&lt;&gt;"",1+MAX($A$2:A91),"")</f>
        <v>69</v>
      </c>
      <c r="B92" s="237"/>
      <c r="C92" s="74"/>
      <c r="D92" s="240" t="s">
        <v>116</v>
      </c>
      <c r="E92" s="76">
        <v>4</v>
      </c>
      <c r="F92" s="71">
        <v>0</v>
      </c>
      <c r="G92" s="66">
        <f t="shared" si="28"/>
        <v>4</v>
      </c>
      <c r="H92" s="70" t="s">
        <v>35</v>
      </c>
      <c r="I92" s="97">
        <v>0</v>
      </c>
      <c r="J92" s="98">
        <f t="shared" si="29"/>
        <v>0</v>
      </c>
      <c r="K92" s="99">
        <v>50</v>
      </c>
      <c r="L92" s="100">
        <f t="shared" si="30"/>
        <v>0</v>
      </c>
      <c r="M92" s="100">
        <f t="shared" si="31"/>
        <v>0</v>
      </c>
      <c r="N92" s="100">
        <v>0</v>
      </c>
      <c r="O92" s="100">
        <f t="shared" si="32"/>
        <v>0</v>
      </c>
      <c r="P92" s="100">
        <f t="shared" si="33"/>
        <v>0</v>
      </c>
      <c r="Q92" s="124">
        <f t="shared" si="34"/>
        <v>0</v>
      </c>
      <c r="R92" s="114"/>
      <c r="S92" s="231"/>
      <c r="T92" s="231"/>
      <c r="U92" s="231"/>
      <c r="V92" s="231"/>
      <c r="W92" s="231"/>
      <c r="X92" s="231"/>
      <c r="Y92" s="231"/>
      <c r="Z92" s="231"/>
      <c r="AA92" s="231"/>
      <c r="AB92" s="231"/>
      <c r="AC92" s="231"/>
      <c r="AD92" s="231"/>
      <c r="AE92" s="231"/>
      <c r="AF92" s="231"/>
      <c r="AG92" s="231"/>
      <c r="AH92" s="231"/>
      <c r="AI92" s="231"/>
      <c r="AJ92" s="231"/>
      <c r="AK92" s="231"/>
      <c r="AL92" s="231"/>
      <c r="AM92" s="231"/>
      <c r="AN92" s="231"/>
    </row>
    <row r="93" s="34" customFormat="1" ht="18" customHeight="1" spans="1:40">
      <c r="A93" s="61">
        <f>IF(F93&lt;&gt;"",1+MAX($A$2:A92),"")</f>
        <v>70</v>
      </c>
      <c r="B93" s="237"/>
      <c r="C93" s="74"/>
      <c r="D93" s="240" t="s">
        <v>117</v>
      </c>
      <c r="E93" s="76">
        <v>4</v>
      </c>
      <c r="F93" s="65">
        <v>0</v>
      </c>
      <c r="G93" s="66">
        <f t="shared" si="28"/>
        <v>4</v>
      </c>
      <c r="H93" s="70" t="s">
        <v>35</v>
      </c>
      <c r="I93" s="97">
        <v>0</v>
      </c>
      <c r="J93" s="98">
        <f t="shared" si="29"/>
        <v>0</v>
      </c>
      <c r="K93" s="99">
        <v>50</v>
      </c>
      <c r="L93" s="100">
        <f t="shared" si="30"/>
        <v>0</v>
      </c>
      <c r="M93" s="100">
        <f t="shared" si="31"/>
        <v>0</v>
      </c>
      <c r="N93" s="100">
        <v>0</v>
      </c>
      <c r="O93" s="100">
        <f t="shared" si="32"/>
        <v>0</v>
      </c>
      <c r="P93" s="100">
        <f t="shared" si="33"/>
        <v>0</v>
      </c>
      <c r="Q93" s="124">
        <f t="shared" si="34"/>
        <v>0</v>
      </c>
      <c r="R93" s="114"/>
      <c r="S93" s="231"/>
      <c r="T93" s="231"/>
      <c r="U93" s="231"/>
      <c r="V93" s="231"/>
      <c r="W93" s="231"/>
      <c r="X93" s="231"/>
      <c r="Y93" s="231"/>
      <c r="Z93" s="231"/>
      <c r="AA93" s="231"/>
      <c r="AB93" s="231"/>
      <c r="AC93" s="231"/>
      <c r="AD93" s="231"/>
      <c r="AE93" s="231"/>
      <c r="AF93" s="231"/>
      <c r="AG93" s="231"/>
      <c r="AH93" s="231"/>
      <c r="AI93" s="231"/>
      <c r="AJ93" s="231"/>
      <c r="AK93" s="231"/>
      <c r="AL93" s="231"/>
      <c r="AM93" s="231"/>
      <c r="AN93" s="231"/>
    </row>
    <row r="94" s="34" customFormat="1" ht="18" customHeight="1" spans="1:40">
      <c r="A94" s="67">
        <f>IF(F94&lt;&gt;"",1+MAX($A$2:A93),"")</f>
        <v>71</v>
      </c>
      <c r="B94" s="237"/>
      <c r="C94" s="74"/>
      <c r="D94" s="240" t="s">
        <v>118</v>
      </c>
      <c r="E94" s="76">
        <v>4</v>
      </c>
      <c r="F94" s="71">
        <v>0</v>
      </c>
      <c r="G94" s="66">
        <f t="shared" si="28"/>
        <v>4</v>
      </c>
      <c r="H94" s="70" t="s">
        <v>35</v>
      </c>
      <c r="I94" s="97">
        <v>0</v>
      </c>
      <c r="J94" s="98">
        <f t="shared" si="29"/>
        <v>0</v>
      </c>
      <c r="K94" s="99">
        <v>50</v>
      </c>
      <c r="L94" s="100">
        <f t="shared" si="30"/>
        <v>0</v>
      </c>
      <c r="M94" s="100">
        <f t="shared" si="31"/>
        <v>0</v>
      </c>
      <c r="N94" s="100">
        <v>0</v>
      </c>
      <c r="O94" s="100">
        <f t="shared" si="32"/>
        <v>0</v>
      </c>
      <c r="P94" s="100">
        <f t="shared" si="33"/>
        <v>0</v>
      </c>
      <c r="Q94" s="124">
        <f t="shared" si="34"/>
        <v>0</v>
      </c>
      <c r="R94" s="114"/>
      <c r="S94" s="231"/>
      <c r="T94" s="231"/>
      <c r="U94" s="231"/>
      <c r="V94" s="231"/>
      <c r="W94" s="231"/>
      <c r="X94" s="231"/>
      <c r="Y94" s="231"/>
      <c r="Z94" s="231"/>
      <c r="AA94" s="231"/>
      <c r="AB94" s="231"/>
      <c r="AC94" s="231"/>
      <c r="AD94" s="231"/>
      <c r="AE94" s="231"/>
      <c r="AF94" s="231"/>
      <c r="AG94" s="231"/>
      <c r="AH94" s="231"/>
      <c r="AI94" s="231"/>
      <c r="AJ94" s="231"/>
      <c r="AK94" s="231"/>
      <c r="AL94" s="231"/>
      <c r="AM94" s="231"/>
      <c r="AN94" s="231"/>
    </row>
    <row r="95" s="34" customFormat="1" ht="18" customHeight="1" spans="1:40">
      <c r="A95" s="67">
        <f>IF(F95&lt;&gt;"",1+MAX($A$2:A94),"")</f>
        <v>72</v>
      </c>
      <c r="B95" s="237"/>
      <c r="C95" s="74"/>
      <c r="D95" s="240" t="s">
        <v>118</v>
      </c>
      <c r="E95" s="76">
        <v>3</v>
      </c>
      <c r="F95" s="71">
        <v>0</v>
      </c>
      <c r="G95" s="66">
        <f t="shared" si="28"/>
        <v>3</v>
      </c>
      <c r="H95" s="70" t="s">
        <v>35</v>
      </c>
      <c r="I95" s="97">
        <v>0</v>
      </c>
      <c r="J95" s="98">
        <f t="shared" si="29"/>
        <v>0</v>
      </c>
      <c r="K95" s="99">
        <v>50</v>
      </c>
      <c r="L95" s="100">
        <f t="shared" si="30"/>
        <v>0</v>
      </c>
      <c r="M95" s="100">
        <f t="shared" si="31"/>
        <v>0</v>
      </c>
      <c r="N95" s="100">
        <v>0</v>
      </c>
      <c r="O95" s="100">
        <f t="shared" si="32"/>
        <v>0</v>
      </c>
      <c r="P95" s="100">
        <f t="shared" si="33"/>
        <v>0</v>
      </c>
      <c r="Q95" s="124">
        <f t="shared" si="34"/>
        <v>0</v>
      </c>
      <c r="R95" s="114"/>
      <c r="S95" s="231"/>
      <c r="T95" s="231"/>
      <c r="U95" s="231"/>
      <c r="V95" s="231"/>
      <c r="W95" s="231"/>
      <c r="X95" s="231"/>
      <c r="Y95" s="231"/>
      <c r="Z95" s="231"/>
      <c r="AA95" s="231"/>
      <c r="AB95" s="231"/>
      <c r="AC95" s="231"/>
      <c r="AD95" s="231"/>
      <c r="AE95" s="231"/>
      <c r="AF95" s="231"/>
      <c r="AG95" s="231"/>
      <c r="AH95" s="231"/>
      <c r="AI95" s="231"/>
      <c r="AJ95" s="231"/>
      <c r="AK95" s="231"/>
      <c r="AL95" s="231"/>
      <c r="AM95" s="231"/>
      <c r="AN95" s="231"/>
    </row>
    <row r="96" s="34" customFormat="1" ht="18" customHeight="1" spans="1:40">
      <c r="A96" s="67">
        <f>IF(F96&lt;&gt;"",1+MAX($A$2:A95),"")</f>
        <v>73</v>
      </c>
      <c r="B96" s="237"/>
      <c r="C96" s="74"/>
      <c r="D96" s="240" t="s">
        <v>119</v>
      </c>
      <c r="E96" s="76">
        <v>4</v>
      </c>
      <c r="F96" s="71">
        <v>0</v>
      </c>
      <c r="G96" s="66">
        <f t="shared" si="28"/>
        <v>4</v>
      </c>
      <c r="H96" s="70" t="s">
        <v>35</v>
      </c>
      <c r="I96" s="97">
        <v>0</v>
      </c>
      <c r="J96" s="98">
        <f t="shared" si="29"/>
        <v>0</v>
      </c>
      <c r="K96" s="99">
        <v>50</v>
      </c>
      <c r="L96" s="100">
        <f t="shared" si="30"/>
        <v>0</v>
      </c>
      <c r="M96" s="100">
        <f t="shared" si="31"/>
        <v>0</v>
      </c>
      <c r="N96" s="100">
        <v>0</v>
      </c>
      <c r="O96" s="100">
        <f t="shared" si="32"/>
        <v>0</v>
      </c>
      <c r="P96" s="100">
        <f t="shared" si="33"/>
        <v>0</v>
      </c>
      <c r="Q96" s="124">
        <f t="shared" si="34"/>
        <v>0</v>
      </c>
      <c r="R96" s="114"/>
      <c r="S96" s="231"/>
      <c r="T96" s="231"/>
      <c r="U96" s="231"/>
      <c r="V96" s="231"/>
      <c r="W96" s="231"/>
      <c r="X96" s="231"/>
      <c r="Y96" s="231"/>
      <c r="Z96" s="231"/>
      <c r="AA96" s="231"/>
      <c r="AB96" s="231"/>
      <c r="AC96" s="231"/>
      <c r="AD96" s="231"/>
      <c r="AE96" s="231"/>
      <c r="AF96" s="231"/>
      <c r="AG96" s="231"/>
      <c r="AH96" s="231"/>
      <c r="AI96" s="231"/>
      <c r="AJ96" s="231"/>
      <c r="AK96" s="231"/>
      <c r="AL96" s="231"/>
      <c r="AM96" s="231"/>
      <c r="AN96" s="231"/>
    </row>
    <row r="97" s="34" customFormat="1" ht="18" customHeight="1" spans="1:40">
      <c r="A97" s="61">
        <f>IF(F97&lt;&gt;"",1+MAX($A$2:A96),"")</f>
        <v>74</v>
      </c>
      <c r="B97" s="237"/>
      <c r="C97" s="74"/>
      <c r="D97" s="240" t="s">
        <v>109</v>
      </c>
      <c r="E97" s="76">
        <v>46</v>
      </c>
      <c r="F97" s="65">
        <v>0</v>
      </c>
      <c r="G97" s="66">
        <f t="shared" si="28"/>
        <v>46</v>
      </c>
      <c r="H97" s="70" t="s">
        <v>35</v>
      </c>
      <c r="I97" s="97">
        <v>0</v>
      </c>
      <c r="J97" s="98">
        <f t="shared" si="29"/>
        <v>0</v>
      </c>
      <c r="K97" s="99">
        <v>50</v>
      </c>
      <c r="L97" s="100">
        <f t="shared" si="30"/>
        <v>0</v>
      </c>
      <c r="M97" s="100">
        <f t="shared" si="31"/>
        <v>0</v>
      </c>
      <c r="N97" s="100">
        <v>0</v>
      </c>
      <c r="O97" s="100">
        <f t="shared" si="32"/>
        <v>0</v>
      </c>
      <c r="P97" s="100">
        <f t="shared" si="33"/>
        <v>0</v>
      </c>
      <c r="Q97" s="124">
        <f t="shared" si="34"/>
        <v>0</v>
      </c>
      <c r="R97" s="114"/>
      <c r="S97" s="231"/>
      <c r="T97" s="231"/>
      <c r="U97" s="231"/>
      <c r="V97" s="231"/>
      <c r="W97" s="231"/>
      <c r="X97" s="231"/>
      <c r="Y97" s="231"/>
      <c r="Z97" s="231"/>
      <c r="AA97" s="231"/>
      <c r="AB97" s="231"/>
      <c r="AC97" s="231"/>
      <c r="AD97" s="231"/>
      <c r="AE97" s="231"/>
      <c r="AF97" s="231"/>
      <c r="AG97" s="231"/>
      <c r="AH97" s="231"/>
      <c r="AI97" s="231"/>
      <c r="AJ97" s="231"/>
      <c r="AK97" s="231"/>
      <c r="AL97" s="231"/>
      <c r="AM97" s="231"/>
      <c r="AN97" s="231"/>
    </row>
    <row r="98" s="34" customFormat="1" ht="18" customHeight="1" spans="1:40">
      <c r="A98" s="67">
        <f>IF(F98&lt;&gt;"",1+MAX($A$2:A97),"")</f>
        <v>75</v>
      </c>
      <c r="B98" s="237"/>
      <c r="C98" s="74"/>
      <c r="D98" s="240" t="s">
        <v>120</v>
      </c>
      <c r="E98" s="76">
        <v>10</v>
      </c>
      <c r="F98" s="71">
        <v>0</v>
      </c>
      <c r="G98" s="66">
        <f t="shared" si="28"/>
        <v>10</v>
      </c>
      <c r="H98" s="70" t="s">
        <v>35</v>
      </c>
      <c r="I98" s="97">
        <v>0</v>
      </c>
      <c r="J98" s="98">
        <f t="shared" si="29"/>
        <v>0</v>
      </c>
      <c r="K98" s="99">
        <v>50</v>
      </c>
      <c r="L98" s="100">
        <f t="shared" si="30"/>
        <v>0</v>
      </c>
      <c r="M98" s="100">
        <f t="shared" si="31"/>
        <v>0</v>
      </c>
      <c r="N98" s="100">
        <v>0</v>
      </c>
      <c r="O98" s="100">
        <f t="shared" si="32"/>
        <v>0</v>
      </c>
      <c r="P98" s="100">
        <f t="shared" si="33"/>
        <v>0</v>
      </c>
      <c r="Q98" s="124">
        <f t="shared" si="34"/>
        <v>0</v>
      </c>
      <c r="R98" s="114"/>
      <c r="S98" s="231"/>
      <c r="T98" s="231"/>
      <c r="U98" s="231"/>
      <c r="V98" s="231"/>
      <c r="W98" s="231"/>
      <c r="X98" s="231"/>
      <c r="Y98" s="231"/>
      <c r="Z98" s="231"/>
      <c r="AA98" s="231"/>
      <c r="AB98" s="231"/>
      <c r="AC98" s="231"/>
      <c r="AD98" s="231"/>
      <c r="AE98" s="231"/>
      <c r="AF98" s="231"/>
      <c r="AG98" s="231"/>
      <c r="AH98" s="231"/>
      <c r="AI98" s="231"/>
      <c r="AJ98" s="231"/>
      <c r="AK98" s="231"/>
      <c r="AL98" s="231"/>
      <c r="AM98" s="231"/>
      <c r="AN98" s="231"/>
    </row>
    <row r="99" s="34" customFormat="1" ht="18" customHeight="1" spans="1:40">
      <c r="A99" s="61">
        <f>IF(F99&lt;&gt;"",1+MAX($A$2:A98),"")</f>
        <v>76</v>
      </c>
      <c r="B99" s="237"/>
      <c r="C99" s="74"/>
      <c r="D99" s="240" t="s">
        <v>101</v>
      </c>
      <c r="E99" s="76">
        <v>6</v>
      </c>
      <c r="F99" s="65">
        <v>0</v>
      </c>
      <c r="G99" s="66">
        <f t="shared" si="28"/>
        <v>6</v>
      </c>
      <c r="H99" s="70" t="s">
        <v>35</v>
      </c>
      <c r="I99" s="97">
        <v>0</v>
      </c>
      <c r="J99" s="98">
        <f t="shared" si="29"/>
        <v>0</v>
      </c>
      <c r="K99" s="99">
        <v>50</v>
      </c>
      <c r="L99" s="100">
        <f t="shared" si="30"/>
        <v>0</v>
      </c>
      <c r="M99" s="100">
        <f t="shared" si="31"/>
        <v>0</v>
      </c>
      <c r="N99" s="100">
        <v>0</v>
      </c>
      <c r="O99" s="100">
        <f t="shared" si="32"/>
        <v>0</v>
      </c>
      <c r="P99" s="100">
        <f t="shared" si="33"/>
        <v>0</v>
      </c>
      <c r="Q99" s="124">
        <f t="shared" si="34"/>
        <v>0</v>
      </c>
      <c r="R99" s="114"/>
      <c r="S99" s="231"/>
      <c r="T99" s="231"/>
      <c r="U99" s="231"/>
      <c r="V99" s="231"/>
      <c r="W99" s="231"/>
      <c r="X99" s="231"/>
      <c r="Y99" s="231"/>
      <c r="Z99" s="231"/>
      <c r="AA99" s="231"/>
      <c r="AB99" s="231"/>
      <c r="AC99" s="231"/>
      <c r="AD99" s="231"/>
      <c r="AE99" s="231"/>
      <c r="AF99" s="231"/>
      <c r="AG99" s="231"/>
      <c r="AH99" s="231"/>
      <c r="AI99" s="231"/>
      <c r="AJ99" s="231"/>
      <c r="AK99" s="231"/>
      <c r="AL99" s="231"/>
      <c r="AM99" s="231"/>
      <c r="AN99" s="231"/>
    </row>
    <row r="100" s="34" customFormat="1" ht="18" customHeight="1" spans="1:40">
      <c r="A100" s="67">
        <f>IF(F100&lt;&gt;"",1+MAX($A$2:A99),"")</f>
        <v>77</v>
      </c>
      <c r="B100" s="237"/>
      <c r="C100" s="74"/>
      <c r="D100" s="240" t="s">
        <v>95</v>
      </c>
      <c r="E100" s="76">
        <v>6</v>
      </c>
      <c r="F100" s="71">
        <v>0</v>
      </c>
      <c r="G100" s="66">
        <f t="shared" si="28"/>
        <v>6</v>
      </c>
      <c r="H100" s="70" t="s">
        <v>35</v>
      </c>
      <c r="I100" s="97">
        <v>0</v>
      </c>
      <c r="J100" s="98">
        <f t="shared" si="29"/>
        <v>0</v>
      </c>
      <c r="K100" s="99">
        <v>50</v>
      </c>
      <c r="L100" s="100">
        <f t="shared" si="30"/>
        <v>0</v>
      </c>
      <c r="M100" s="100">
        <f t="shared" si="31"/>
        <v>0</v>
      </c>
      <c r="N100" s="100">
        <v>0</v>
      </c>
      <c r="O100" s="100">
        <f t="shared" si="32"/>
        <v>0</v>
      </c>
      <c r="P100" s="100">
        <f t="shared" si="33"/>
        <v>0</v>
      </c>
      <c r="Q100" s="124">
        <f t="shared" si="34"/>
        <v>0</v>
      </c>
      <c r="R100" s="114"/>
      <c r="S100" s="231"/>
      <c r="T100" s="231"/>
      <c r="U100" s="231"/>
      <c r="V100" s="231"/>
      <c r="W100" s="231"/>
      <c r="X100" s="231"/>
      <c r="Y100" s="231"/>
      <c r="Z100" s="231"/>
      <c r="AA100" s="231"/>
      <c r="AB100" s="231"/>
      <c r="AC100" s="231"/>
      <c r="AD100" s="231"/>
      <c r="AE100" s="231"/>
      <c r="AF100" s="231"/>
      <c r="AG100" s="231"/>
      <c r="AH100" s="231"/>
      <c r="AI100" s="231"/>
      <c r="AJ100" s="231"/>
      <c r="AK100" s="231"/>
      <c r="AL100" s="231"/>
      <c r="AM100" s="231"/>
      <c r="AN100" s="231"/>
    </row>
    <row r="101" s="34" customFormat="1" ht="18" customHeight="1" spans="1:40">
      <c r="A101" s="67" t="str">
        <f>IF(F101&lt;&gt;"",1+MAX($A$2:A100),"")</f>
        <v/>
      </c>
      <c r="B101" s="237"/>
      <c r="C101" s="74"/>
      <c r="D101" s="240"/>
      <c r="E101" s="76"/>
      <c r="F101" s="71"/>
      <c r="G101" s="66"/>
      <c r="H101" s="70"/>
      <c r="I101" s="97"/>
      <c r="J101" s="98"/>
      <c r="K101" s="99"/>
      <c r="L101" s="100"/>
      <c r="M101" s="100"/>
      <c r="N101" s="100"/>
      <c r="O101" s="100"/>
      <c r="P101" s="100"/>
      <c r="Q101" s="124"/>
      <c r="R101" s="114"/>
      <c r="S101" s="231"/>
      <c r="T101" s="231"/>
      <c r="U101" s="231"/>
      <c r="V101" s="231"/>
      <c r="W101" s="231"/>
      <c r="X101" s="231"/>
      <c r="Y101" s="231"/>
      <c r="Z101" s="231"/>
      <c r="AA101" s="231"/>
      <c r="AB101" s="231"/>
      <c r="AC101" s="231"/>
      <c r="AD101" s="231"/>
      <c r="AE101" s="231"/>
      <c r="AF101" s="231"/>
      <c r="AG101" s="231"/>
      <c r="AH101" s="231"/>
      <c r="AI101" s="231"/>
      <c r="AJ101" s="231"/>
      <c r="AK101" s="231"/>
      <c r="AL101" s="231"/>
      <c r="AM101" s="231"/>
      <c r="AN101" s="231"/>
    </row>
    <row r="102" s="34" customFormat="1" ht="18" customHeight="1" spans="1:40">
      <c r="A102" s="67" t="str">
        <f>IF(F102&lt;&gt;"",1+MAX($A$2:A101),"")</f>
        <v/>
      </c>
      <c r="B102" s="237"/>
      <c r="C102" s="74"/>
      <c r="D102" s="242" t="s">
        <v>121</v>
      </c>
      <c r="E102" s="76"/>
      <c r="F102" s="71"/>
      <c r="G102" s="66"/>
      <c r="H102" s="70"/>
      <c r="I102" s="97"/>
      <c r="J102" s="98"/>
      <c r="K102" s="99"/>
      <c r="L102" s="100"/>
      <c r="M102" s="100"/>
      <c r="N102" s="100"/>
      <c r="O102" s="100"/>
      <c r="P102" s="100"/>
      <c r="Q102" s="124"/>
      <c r="R102" s="114"/>
      <c r="S102" s="231"/>
      <c r="T102" s="231"/>
      <c r="U102" s="231"/>
      <c r="V102" s="231"/>
      <c r="W102" s="231"/>
      <c r="X102" s="231"/>
      <c r="Y102" s="231"/>
      <c r="Z102" s="231"/>
      <c r="AA102" s="231"/>
      <c r="AB102" s="231"/>
      <c r="AC102" s="231"/>
      <c r="AD102" s="231"/>
      <c r="AE102" s="231"/>
      <c r="AF102" s="231"/>
      <c r="AG102" s="231"/>
      <c r="AH102" s="231"/>
      <c r="AI102" s="231"/>
      <c r="AJ102" s="231"/>
      <c r="AK102" s="231"/>
      <c r="AL102" s="231"/>
      <c r="AM102" s="231"/>
      <c r="AN102" s="231"/>
    </row>
    <row r="103" s="34" customFormat="1" ht="18" customHeight="1" spans="1:40">
      <c r="A103" s="67">
        <f>IF(F103&lt;&gt;"",1+MAX($A$2:A102),"")</f>
        <v>78</v>
      </c>
      <c r="B103" s="237"/>
      <c r="C103" s="74"/>
      <c r="D103" s="240" t="s">
        <v>122</v>
      </c>
      <c r="E103" s="76">
        <v>18</v>
      </c>
      <c r="F103" s="71">
        <v>0</v>
      </c>
      <c r="G103" s="66">
        <f t="shared" ref="G103:G143" si="35">(F103*E103)+E103</f>
        <v>18</v>
      </c>
      <c r="H103" s="70" t="s">
        <v>35</v>
      </c>
      <c r="I103" s="97">
        <v>0</v>
      </c>
      <c r="J103" s="98">
        <f t="shared" ref="J103:J143" si="36">+I103*G103</f>
        <v>0</v>
      </c>
      <c r="K103" s="99">
        <v>50</v>
      </c>
      <c r="L103" s="100">
        <f t="shared" ref="L103:L143" si="37">I103*K103</f>
        <v>0</v>
      </c>
      <c r="M103" s="100">
        <f t="shared" ref="M103:M143" si="38">K103*J103</f>
        <v>0</v>
      </c>
      <c r="N103" s="100">
        <v>0</v>
      </c>
      <c r="O103" s="100">
        <f t="shared" ref="O103:O143" si="39">N103*G103</f>
        <v>0</v>
      </c>
      <c r="P103" s="100">
        <f t="shared" ref="P103:P143" si="40">(I103*K103)+N103</f>
        <v>0</v>
      </c>
      <c r="Q103" s="124">
        <f t="shared" ref="Q103:Q143" si="41">P103*G103</f>
        <v>0</v>
      </c>
      <c r="R103" s="114"/>
      <c r="S103" s="231"/>
      <c r="T103" s="231"/>
      <c r="U103" s="231"/>
      <c r="V103" s="231"/>
      <c r="W103" s="231"/>
      <c r="X103" s="231"/>
      <c r="Y103" s="231"/>
      <c r="Z103" s="231"/>
      <c r="AA103" s="231"/>
      <c r="AB103" s="231"/>
      <c r="AC103" s="231"/>
      <c r="AD103" s="231"/>
      <c r="AE103" s="231"/>
      <c r="AF103" s="231"/>
      <c r="AG103" s="231"/>
      <c r="AH103" s="231"/>
      <c r="AI103" s="231"/>
      <c r="AJ103" s="231"/>
      <c r="AK103" s="231"/>
      <c r="AL103" s="231"/>
      <c r="AM103" s="231"/>
      <c r="AN103" s="231"/>
    </row>
    <row r="104" s="34" customFormat="1" ht="18" customHeight="1" spans="1:40">
      <c r="A104" s="61">
        <f>IF(F104&lt;&gt;"",1+MAX($A$2:A103),"")</f>
        <v>79</v>
      </c>
      <c r="B104" s="237"/>
      <c r="C104" s="74" t="s">
        <v>123</v>
      </c>
      <c r="D104" s="240" t="s">
        <v>124</v>
      </c>
      <c r="E104" s="76">
        <v>1</v>
      </c>
      <c r="F104" s="65">
        <v>0</v>
      </c>
      <c r="G104" s="66">
        <f t="shared" si="35"/>
        <v>1</v>
      </c>
      <c r="H104" s="70" t="s">
        <v>35</v>
      </c>
      <c r="I104" s="97">
        <v>0</v>
      </c>
      <c r="J104" s="98">
        <f t="shared" si="36"/>
        <v>0</v>
      </c>
      <c r="K104" s="99">
        <v>50</v>
      </c>
      <c r="L104" s="100">
        <f t="shared" si="37"/>
        <v>0</v>
      </c>
      <c r="M104" s="100">
        <f t="shared" si="38"/>
        <v>0</v>
      </c>
      <c r="N104" s="100">
        <v>0</v>
      </c>
      <c r="O104" s="100">
        <f t="shared" si="39"/>
        <v>0</v>
      </c>
      <c r="P104" s="100">
        <f t="shared" si="40"/>
        <v>0</v>
      </c>
      <c r="Q104" s="124">
        <f t="shared" si="41"/>
        <v>0</v>
      </c>
      <c r="R104" s="114"/>
      <c r="S104" s="231"/>
      <c r="T104" s="231"/>
      <c r="U104" s="231"/>
      <c r="V104" s="231"/>
      <c r="W104" s="231"/>
      <c r="X104" s="231"/>
      <c r="Y104" s="231"/>
      <c r="Z104" s="231"/>
      <c r="AA104" s="231"/>
      <c r="AB104" s="231"/>
      <c r="AC104" s="231"/>
      <c r="AD104" s="231"/>
      <c r="AE104" s="231"/>
      <c r="AF104" s="231"/>
      <c r="AG104" s="231"/>
      <c r="AH104" s="231"/>
      <c r="AI104" s="231"/>
      <c r="AJ104" s="231"/>
      <c r="AK104" s="231"/>
      <c r="AL104" s="231"/>
      <c r="AM104" s="231"/>
      <c r="AN104" s="231"/>
    </row>
    <row r="105" s="34" customFormat="1" ht="18" customHeight="1" spans="1:40">
      <c r="A105" s="67">
        <f>IF(F105&lt;&gt;"",1+MAX($A$2:A104),"")</f>
        <v>80</v>
      </c>
      <c r="B105" s="237"/>
      <c r="C105" s="74" t="s">
        <v>125</v>
      </c>
      <c r="D105" s="240" t="s">
        <v>126</v>
      </c>
      <c r="E105" s="76">
        <v>1</v>
      </c>
      <c r="F105" s="71">
        <v>0</v>
      </c>
      <c r="G105" s="66">
        <f t="shared" si="35"/>
        <v>1</v>
      </c>
      <c r="H105" s="70" t="s">
        <v>35</v>
      </c>
      <c r="I105" s="97">
        <v>0</v>
      </c>
      <c r="J105" s="98">
        <f t="shared" si="36"/>
        <v>0</v>
      </c>
      <c r="K105" s="99">
        <v>50</v>
      </c>
      <c r="L105" s="100">
        <f t="shared" si="37"/>
        <v>0</v>
      </c>
      <c r="M105" s="100">
        <f t="shared" si="38"/>
        <v>0</v>
      </c>
      <c r="N105" s="100">
        <v>0</v>
      </c>
      <c r="O105" s="100">
        <f t="shared" si="39"/>
        <v>0</v>
      </c>
      <c r="P105" s="100">
        <f t="shared" si="40"/>
        <v>0</v>
      </c>
      <c r="Q105" s="124">
        <f t="shared" si="41"/>
        <v>0</v>
      </c>
      <c r="R105" s="114"/>
      <c r="S105" s="231"/>
      <c r="T105" s="231"/>
      <c r="U105" s="231"/>
      <c r="V105" s="231"/>
      <c r="W105" s="231"/>
      <c r="X105" s="231"/>
      <c r="Y105" s="231"/>
      <c r="Z105" s="231"/>
      <c r="AA105" s="231"/>
      <c r="AB105" s="231"/>
      <c r="AC105" s="231"/>
      <c r="AD105" s="231"/>
      <c r="AE105" s="231"/>
      <c r="AF105" s="231"/>
      <c r="AG105" s="231"/>
      <c r="AH105" s="231"/>
      <c r="AI105" s="231"/>
      <c r="AJ105" s="231"/>
      <c r="AK105" s="231"/>
      <c r="AL105" s="231"/>
      <c r="AM105" s="231"/>
      <c r="AN105" s="231"/>
    </row>
    <row r="106" s="34" customFormat="1" ht="18" customHeight="1" spans="1:40">
      <c r="A106" s="67">
        <f>IF(F106&lt;&gt;"",1+MAX($A$2:A105),"")</f>
        <v>81</v>
      </c>
      <c r="B106" s="237"/>
      <c r="C106" s="74"/>
      <c r="D106" s="240" t="s">
        <v>127</v>
      </c>
      <c r="E106" s="76">
        <v>13</v>
      </c>
      <c r="F106" s="71">
        <v>0</v>
      </c>
      <c r="G106" s="66">
        <f t="shared" si="35"/>
        <v>13</v>
      </c>
      <c r="H106" s="70" t="s">
        <v>35</v>
      </c>
      <c r="I106" s="97">
        <v>0</v>
      </c>
      <c r="J106" s="98">
        <f t="shared" si="36"/>
        <v>0</v>
      </c>
      <c r="K106" s="99">
        <v>50</v>
      </c>
      <c r="L106" s="100">
        <f t="shared" si="37"/>
        <v>0</v>
      </c>
      <c r="M106" s="100">
        <f t="shared" si="38"/>
        <v>0</v>
      </c>
      <c r="N106" s="100">
        <v>0</v>
      </c>
      <c r="O106" s="100">
        <f t="shared" si="39"/>
        <v>0</v>
      </c>
      <c r="P106" s="100">
        <f t="shared" si="40"/>
        <v>0</v>
      </c>
      <c r="Q106" s="124">
        <f t="shared" si="41"/>
        <v>0</v>
      </c>
      <c r="R106" s="114"/>
      <c r="S106" s="231"/>
      <c r="T106" s="231"/>
      <c r="U106" s="231"/>
      <c r="V106" s="231"/>
      <c r="W106" s="231"/>
      <c r="X106" s="231"/>
      <c r="Y106" s="231"/>
      <c r="Z106" s="231"/>
      <c r="AA106" s="231"/>
      <c r="AB106" s="231"/>
      <c r="AC106" s="231"/>
      <c r="AD106" s="231"/>
      <c r="AE106" s="231"/>
      <c r="AF106" s="231"/>
      <c r="AG106" s="231"/>
      <c r="AH106" s="231"/>
      <c r="AI106" s="231"/>
      <c r="AJ106" s="231"/>
      <c r="AK106" s="231"/>
      <c r="AL106" s="231"/>
      <c r="AM106" s="231"/>
      <c r="AN106" s="231"/>
    </row>
    <row r="107" s="34" customFormat="1" ht="18" customHeight="1" spans="1:40">
      <c r="A107" s="67">
        <f>IF(F107&lt;&gt;"",1+MAX($A$2:A106),"")</f>
        <v>82</v>
      </c>
      <c r="B107" s="237"/>
      <c r="C107" s="74"/>
      <c r="D107" s="240" t="s">
        <v>128</v>
      </c>
      <c r="E107" s="76">
        <v>10</v>
      </c>
      <c r="F107" s="71">
        <v>0</v>
      </c>
      <c r="G107" s="66">
        <f t="shared" si="35"/>
        <v>10</v>
      </c>
      <c r="H107" s="70" t="s">
        <v>35</v>
      </c>
      <c r="I107" s="97">
        <v>0</v>
      </c>
      <c r="J107" s="98">
        <f t="shared" si="36"/>
        <v>0</v>
      </c>
      <c r="K107" s="99">
        <v>50</v>
      </c>
      <c r="L107" s="100">
        <f t="shared" si="37"/>
        <v>0</v>
      </c>
      <c r="M107" s="100">
        <f t="shared" si="38"/>
        <v>0</v>
      </c>
      <c r="N107" s="100">
        <v>0</v>
      </c>
      <c r="O107" s="100">
        <f t="shared" si="39"/>
        <v>0</v>
      </c>
      <c r="P107" s="100">
        <f t="shared" si="40"/>
        <v>0</v>
      </c>
      <c r="Q107" s="124">
        <f t="shared" si="41"/>
        <v>0</v>
      </c>
      <c r="R107" s="114"/>
      <c r="S107" s="231"/>
      <c r="T107" s="231"/>
      <c r="U107" s="231"/>
      <c r="V107" s="231"/>
      <c r="W107" s="231"/>
      <c r="X107" s="231"/>
      <c r="Y107" s="231"/>
      <c r="Z107" s="231"/>
      <c r="AA107" s="231"/>
      <c r="AB107" s="231"/>
      <c r="AC107" s="231"/>
      <c r="AD107" s="231"/>
      <c r="AE107" s="231"/>
      <c r="AF107" s="231"/>
      <c r="AG107" s="231"/>
      <c r="AH107" s="231"/>
      <c r="AI107" s="231"/>
      <c r="AJ107" s="231"/>
      <c r="AK107" s="231"/>
      <c r="AL107" s="231"/>
      <c r="AM107" s="231"/>
      <c r="AN107" s="231"/>
    </row>
    <row r="108" s="34" customFormat="1" ht="18" customHeight="1" spans="1:40">
      <c r="A108" s="61">
        <f>IF(F108&lt;&gt;"",1+MAX($A$2:A107),"")</f>
        <v>83</v>
      </c>
      <c r="B108" s="237"/>
      <c r="C108" s="74"/>
      <c r="D108" s="240" t="s">
        <v>129</v>
      </c>
      <c r="E108" s="76">
        <v>6</v>
      </c>
      <c r="F108" s="65">
        <v>0</v>
      </c>
      <c r="G108" s="66">
        <f t="shared" si="35"/>
        <v>6</v>
      </c>
      <c r="H108" s="70" t="s">
        <v>35</v>
      </c>
      <c r="I108" s="97">
        <v>0</v>
      </c>
      <c r="J108" s="98">
        <f t="shared" si="36"/>
        <v>0</v>
      </c>
      <c r="K108" s="99">
        <v>50</v>
      </c>
      <c r="L108" s="100">
        <f t="shared" si="37"/>
        <v>0</v>
      </c>
      <c r="M108" s="100">
        <f t="shared" si="38"/>
        <v>0</v>
      </c>
      <c r="N108" s="100">
        <v>0</v>
      </c>
      <c r="O108" s="100">
        <f t="shared" si="39"/>
        <v>0</v>
      </c>
      <c r="P108" s="100">
        <f t="shared" si="40"/>
        <v>0</v>
      </c>
      <c r="Q108" s="124">
        <f t="shared" si="41"/>
        <v>0</v>
      </c>
      <c r="R108" s="114"/>
      <c r="S108" s="231"/>
      <c r="T108" s="231"/>
      <c r="U108" s="231"/>
      <c r="V108" s="231"/>
      <c r="W108" s="231"/>
      <c r="X108" s="231"/>
      <c r="Y108" s="231"/>
      <c r="Z108" s="231"/>
      <c r="AA108" s="231"/>
      <c r="AB108" s="231"/>
      <c r="AC108" s="231"/>
      <c r="AD108" s="231"/>
      <c r="AE108" s="231"/>
      <c r="AF108" s="231"/>
      <c r="AG108" s="231"/>
      <c r="AH108" s="231"/>
      <c r="AI108" s="231"/>
      <c r="AJ108" s="231"/>
      <c r="AK108" s="231"/>
      <c r="AL108" s="231"/>
      <c r="AM108" s="231"/>
      <c r="AN108" s="231"/>
    </row>
    <row r="109" s="34" customFormat="1" ht="18" customHeight="1" spans="1:40">
      <c r="A109" s="67">
        <f>IF(F109&lt;&gt;"",1+MAX($A$2:A108),"")</f>
        <v>84</v>
      </c>
      <c r="B109" s="237"/>
      <c r="C109" s="74" t="s">
        <v>130</v>
      </c>
      <c r="D109" s="240" t="s">
        <v>131</v>
      </c>
      <c r="E109" s="76">
        <v>1</v>
      </c>
      <c r="F109" s="71">
        <v>0</v>
      </c>
      <c r="G109" s="66">
        <f t="shared" si="35"/>
        <v>1</v>
      </c>
      <c r="H109" s="70" t="s">
        <v>35</v>
      </c>
      <c r="I109" s="97">
        <v>0</v>
      </c>
      <c r="J109" s="98">
        <f t="shared" si="36"/>
        <v>0</v>
      </c>
      <c r="K109" s="99">
        <v>50</v>
      </c>
      <c r="L109" s="100">
        <f t="shared" si="37"/>
        <v>0</v>
      </c>
      <c r="M109" s="100">
        <f t="shared" si="38"/>
        <v>0</v>
      </c>
      <c r="N109" s="100">
        <v>0</v>
      </c>
      <c r="O109" s="100">
        <f t="shared" si="39"/>
        <v>0</v>
      </c>
      <c r="P109" s="100">
        <f t="shared" si="40"/>
        <v>0</v>
      </c>
      <c r="Q109" s="124">
        <f t="shared" si="41"/>
        <v>0</v>
      </c>
      <c r="R109" s="114"/>
      <c r="S109" s="231"/>
      <c r="T109" s="231"/>
      <c r="U109" s="231"/>
      <c r="V109" s="231"/>
      <c r="W109" s="231"/>
      <c r="X109" s="231"/>
      <c r="Y109" s="231"/>
      <c r="Z109" s="231"/>
      <c r="AA109" s="231"/>
      <c r="AB109" s="231"/>
      <c r="AC109" s="231"/>
      <c r="AD109" s="231"/>
      <c r="AE109" s="231"/>
      <c r="AF109" s="231"/>
      <c r="AG109" s="231"/>
      <c r="AH109" s="231"/>
      <c r="AI109" s="231"/>
      <c r="AJ109" s="231"/>
      <c r="AK109" s="231"/>
      <c r="AL109" s="231"/>
      <c r="AM109" s="231"/>
      <c r="AN109" s="231"/>
    </row>
    <row r="110" s="34" customFormat="1" ht="18" customHeight="1" spans="1:40">
      <c r="A110" s="67">
        <f>IF(F110&lt;&gt;"",1+MAX($A$2:A109),"")</f>
        <v>85</v>
      </c>
      <c r="B110" s="237"/>
      <c r="C110" s="74"/>
      <c r="D110" s="240" t="s">
        <v>132</v>
      </c>
      <c r="E110" s="76">
        <v>1</v>
      </c>
      <c r="F110" s="71">
        <v>0</v>
      </c>
      <c r="G110" s="66">
        <f t="shared" si="35"/>
        <v>1</v>
      </c>
      <c r="H110" s="70" t="s">
        <v>35</v>
      </c>
      <c r="I110" s="97">
        <v>0</v>
      </c>
      <c r="J110" s="98">
        <f t="shared" si="36"/>
        <v>0</v>
      </c>
      <c r="K110" s="99">
        <v>50</v>
      </c>
      <c r="L110" s="100">
        <f t="shared" si="37"/>
        <v>0</v>
      </c>
      <c r="M110" s="100">
        <f t="shared" si="38"/>
        <v>0</v>
      </c>
      <c r="N110" s="100">
        <v>0</v>
      </c>
      <c r="O110" s="100">
        <f t="shared" si="39"/>
        <v>0</v>
      </c>
      <c r="P110" s="100">
        <f t="shared" si="40"/>
        <v>0</v>
      </c>
      <c r="Q110" s="124">
        <f t="shared" si="41"/>
        <v>0</v>
      </c>
      <c r="R110" s="114"/>
      <c r="S110" s="231"/>
      <c r="T110" s="231"/>
      <c r="U110" s="231"/>
      <c r="V110" s="231"/>
      <c r="W110" s="231"/>
      <c r="X110" s="231"/>
      <c r="Y110" s="231"/>
      <c r="Z110" s="231"/>
      <c r="AA110" s="231"/>
      <c r="AB110" s="231"/>
      <c r="AC110" s="231"/>
      <c r="AD110" s="231"/>
      <c r="AE110" s="231"/>
      <c r="AF110" s="231"/>
      <c r="AG110" s="231"/>
      <c r="AH110" s="231"/>
      <c r="AI110" s="231"/>
      <c r="AJ110" s="231"/>
      <c r="AK110" s="231"/>
      <c r="AL110" s="231"/>
      <c r="AM110" s="231"/>
      <c r="AN110" s="231"/>
    </row>
    <row r="111" s="34" customFormat="1" ht="18" customHeight="1" spans="1:40">
      <c r="A111" s="67">
        <f>IF(F111&lt;&gt;"",1+MAX($A$2:A110),"")</f>
        <v>86</v>
      </c>
      <c r="B111" s="237"/>
      <c r="C111" s="74" t="s">
        <v>133</v>
      </c>
      <c r="D111" s="240" t="s">
        <v>134</v>
      </c>
      <c r="E111" s="76">
        <v>1</v>
      </c>
      <c r="F111" s="71">
        <v>0</v>
      </c>
      <c r="G111" s="66">
        <f t="shared" si="35"/>
        <v>1</v>
      </c>
      <c r="H111" s="70" t="s">
        <v>35</v>
      </c>
      <c r="I111" s="97">
        <v>0</v>
      </c>
      <c r="J111" s="98">
        <f t="shared" si="36"/>
        <v>0</v>
      </c>
      <c r="K111" s="99">
        <v>50</v>
      </c>
      <c r="L111" s="100">
        <f t="shared" si="37"/>
        <v>0</v>
      </c>
      <c r="M111" s="100">
        <f t="shared" si="38"/>
        <v>0</v>
      </c>
      <c r="N111" s="100">
        <v>0</v>
      </c>
      <c r="O111" s="100">
        <f t="shared" si="39"/>
        <v>0</v>
      </c>
      <c r="P111" s="100">
        <f t="shared" si="40"/>
        <v>0</v>
      </c>
      <c r="Q111" s="124">
        <f t="shared" si="41"/>
        <v>0</v>
      </c>
      <c r="R111" s="114"/>
      <c r="S111" s="231"/>
      <c r="T111" s="231"/>
      <c r="U111" s="231"/>
      <c r="V111" s="231"/>
      <c r="W111" s="231"/>
      <c r="X111" s="231"/>
      <c r="Y111" s="231"/>
      <c r="Z111" s="231"/>
      <c r="AA111" s="231"/>
      <c r="AB111" s="231"/>
      <c r="AC111" s="231"/>
      <c r="AD111" s="231"/>
      <c r="AE111" s="231"/>
      <c r="AF111" s="231"/>
      <c r="AG111" s="231"/>
      <c r="AH111" s="231"/>
      <c r="AI111" s="231"/>
      <c r="AJ111" s="231"/>
      <c r="AK111" s="231"/>
      <c r="AL111" s="231"/>
      <c r="AM111" s="231"/>
      <c r="AN111" s="231"/>
    </row>
    <row r="112" s="34" customFormat="1" ht="18" customHeight="1" spans="1:40">
      <c r="A112" s="61">
        <f>IF(F112&lt;&gt;"",1+MAX($A$2:A111),"")</f>
        <v>87</v>
      </c>
      <c r="B112" s="237"/>
      <c r="C112" s="74" t="s">
        <v>135</v>
      </c>
      <c r="D112" s="240" t="s">
        <v>136</v>
      </c>
      <c r="E112" s="76">
        <v>1</v>
      </c>
      <c r="F112" s="65">
        <v>0</v>
      </c>
      <c r="G112" s="66">
        <f t="shared" si="35"/>
        <v>1</v>
      </c>
      <c r="H112" s="70" t="s">
        <v>35</v>
      </c>
      <c r="I112" s="97">
        <v>0</v>
      </c>
      <c r="J112" s="98">
        <f t="shared" si="36"/>
        <v>0</v>
      </c>
      <c r="K112" s="99">
        <v>50</v>
      </c>
      <c r="L112" s="100">
        <f t="shared" si="37"/>
        <v>0</v>
      </c>
      <c r="M112" s="100">
        <f t="shared" si="38"/>
        <v>0</v>
      </c>
      <c r="N112" s="100">
        <v>0</v>
      </c>
      <c r="O112" s="100">
        <f t="shared" si="39"/>
        <v>0</v>
      </c>
      <c r="P112" s="100">
        <f t="shared" si="40"/>
        <v>0</v>
      </c>
      <c r="Q112" s="124">
        <f t="shared" si="41"/>
        <v>0</v>
      </c>
      <c r="R112" s="114"/>
      <c r="S112" s="231"/>
      <c r="T112" s="231"/>
      <c r="U112" s="231"/>
      <c r="V112" s="231"/>
      <c r="W112" s="231"/>
      <c r="X112" s="231"/>
      <c r="Y112" s="231"/>
      <c r="Z112" s="231"/>
      <c r="AA112" s="231"/>
      <c r="AB112" s="231"/>
      <c r="AC112" s="231"/>
      <c r="AD112" s="231"/>
      <c r="AE112" s="231"/>
      <c r="AF112" s="231"/>
      <c r="AG112" s="231"/>
      <c r="AH112" s="231"/>
      <c r="AI112" s="231"/>
      <c r="AJ112" s="231"/>
      <c r="AK112" s="231"/>
      <c r="AL112" s="231"/>
      <c r="AM112" s="231"/>
      <c r="AN112" s="231"/>
    </row>
    <row r="113" s="34" customFormat="1" ht="18" customHeight="1" spans="1:40">
      <c r="A113" s="67">
        <f>IF(F113&lt;&gt;"",1+MAX($A$2:A112),"")</f>
        <v>88</v>
      </c>
      <c r="B113" s="237"/>
      <c r="C113" s="74" t="s">
        <v>137</v>
      </c>
      <c r="D113" s="240" t="s">
        <v>138</v>
      </c>
      <c r="E113" s="76">
        <v>1</v>
      </c>
      <c r="F113" s="71">
        <v>0</v>
      </c>
      <c r="G113" s="66">
        <f t="shared" si="35"/>
        <v>1</v>
      </c>
      <c r="H113" s="70" t="s">
        <v>35</v>
      </c>
      <c r="I113" s="97">
        <v>0</v>
      </c>
      <c r="J113" s="98">
        <f t="shared" si="36"/>
        <v>0</v>
      </c>
      <c r="K113" s="99">
        <v>50</v>
      </c>
      <c r="L113" s="100">
        <f t="shared" si="37"/>
        <v>0</v>
      </c>
      <c r="M113" s="100">
        <f t="shared" si="38"/>
        <v>0</v>
      </c>
      <c r="N113" s="100">
        <v>0</v>
      </c>
      <c r="O113" s="100">
        <f t="shared" si="39"/>
        <v>0</v>
      </c>
      <c r="P113" s="100">
        <f t="shared" si="40"/>
        <v>0</v>
      </c>
      <c r="Q113" s="124">
        <f t="shared" si="41"/>
        <v>0</v>
      </c>
      <c r="R113" s="114"/>
      <c r="S113" s="231"/>
      <c r="T113" s="231"/>
      <c r="U113" s="231"/>
      <c r="V113" s="231"/>
      <c r="W113" s="231"/>
      <c r="X113" s="231"/>
      <c r="Y113" s="231"/>
      <c r="Z113" s="231"/>
      <c r="AA113" s="231"/>
      <c r="AB113" s="231"/>
      <c r="AC113" s="231"/>
      <c r="AD113" s="231"/>
      <c r="AE113" s="231"/>
      <c r="AF113" s="231"/>
      <c r="AG113" s="231"/>
      <c r="AH113" s="231"/>
      <c r="AI113" s="231"/>
      <c r="AJ113" s="231"/>
      <c r="AK113" s="231"/>
      <c r="AL113" s="231"/>
      <c r="AM113" s="231"/>
      <c r="AN113" s="231"/>
    </row>
    <row r="114" s="34" customFormat="1" ht="18" customHeight="1" spans="1:40">
      <c r="A114" s="67">
        <f>IF(F114&lt;&gt;"",1+MAX($A$2:A113),"")</f>
        <v>89</v>
      </c>
      <c r="B114" s="237"/>
      <c r="C114" s="74"/>
      <c r="D114" s="240" t="s">
        <v>139</v>
      </c>
      <c r="E114" s="76">
        <v>1</v>
      </c>
      <c r="F114" s="71">
        <v>0</v>
      </c>
      <c r="G114" s="66">
        <f t="shared" si="35"/>
        <v>1</v>
      </c>
      <c r="H114" s="70" t="s">
        <v>35</v>
      </c>
      <c r="I114" s="97">
        <v>0</v>
      </c>
      <c r="J114" s="98">
        <f t="shared" si="36"/>
        <v>0</v>
      </c>
      <c r="K114" s="99">
        <v>50</v>
      </c>
      <c r="L114" s="100">
        <f t="shared" si="37"/>
        <v>0</v>
      </c>
      <c r="M114" s="100">
        <f t="shared" si="38"/>
        <v>0</v>
      </c>
      <c r="N114" s="100">
        <v>0</v>
      </c>
      <c r="O114" s="100">
        <f t="shared" si="39"/>
        <v>0</v>
      </c>
      <c r="P114" s="100">
        <f t="shared" si="40"/>
        <v>0</v>
      </c>
      <c r="Q114" s="124">
        <f t="shared" si="41"/>
        <v>0</v>
      </c>
      <c r="R114" s="114"/>
      <c r="S114" s="231"/>
      <c r="T114" s="231"/>
      <c r="U114" s="231"/>
      <c r="V114" s="231"/>
      <c r="W114" s="231"/>
      <c r="X114" s="231"/>
      <c r="Y114" s="231"/>
      <c r="Z114" s="231"/>
      <c r="AA114" s="231"/>
      <c r="AB114" s="231"/>
      <c r="AC114" s="231"/>
      <c r="AD114" s="231"/>
      <c r="AE114" s="231"/>
      <c r="AF114" s="231"/>
      <c r="AG114" s="231"/>
      <c r="AH114" s="231"/>
      <c r="AI114" s="231"/>
      <c r="AJ114" s="231"/>
      <c r="AK114" s="231"/>
      <c r="AL114" s="231"/>
      <c r="AM114" s="231"/>
      <c r="AN114" s="231"/>
    </row>
    <row r="115" s="34" customFormat="1" ht="18" customHeight="1" spans="1:40">
      <c r="A115" s="67">
        <f>IF(F115&lt;&gt;"",1+MAX($A$2:A114),"")</f>
        <v>90</v>
      </c>
      <c r="B115" s="237"/>
      <c r="C115" s="74" t="s">
        <v>140</v>
      </c>
      <c r="D115" s="240" t="s">
        <v>141</v>
      </c>
      <c r="E115" s="76">
        <v>1</v>
      </c>
      <c r="F115" s="71">
        <v>0</v>
      </c>
      <c r="G115" s="66">
        <f t="shared" si="35"/>
        <v>1</v>
      </c>
      <c r="H115" s="70" t="s">
        <v>35</v>
      </c>
      <c r="I115" s="97">
        <v>0</v>
      </c>
      <c r="J115" s="98">
        <f t="shared" si="36"/>
        <v>0</v>
      </c>
      <c r="K115" s="99">
        <v>50</v>
      </c>
      <c r="L115" s="100">
        <f t="shared" si="37"/>
        <v>0</v>
      </c>
      <c r="M115" s="100">
        <f t="shared" si="38"/>
        <v>0</v>
      </c>
      <c r="N115" s="100">
        <v>0</v>
      </c>
      <c r="O115" s="100">
        <f t="shared" si="39"/>
        <v>0</v>
      </c>
      <c r="P115" s="100">
        <f t="shared" si="40"/>
        <v>0</v>
      </c>
      <c r="Q115" s="124">
        <f t="shared" si="41"/>
        <v>0</v>
      </c>
      <c r="R115" s="114"/>
      <c r="S115" s="231"/>
      <c r="T115" s="231"/>
      <c r="U115" s="231"/>
      <c r="V115" s="231"/>
      <c r="W115" s="231"/>
      <c r="X115" s="231"/>
      <c r="Y115" s="231"/>
      <c r="Z115" s="231"/>
      <c r="AA115" s="231"/>
      <c r="AB115" s="231"/>
      <c r="AC115" s="231"/>
      <c r="AD115" s="231"/>
      <c r="AE115" s="231"/>
      <c r="AF115" s="231"/>
      <c r="AG115" s="231"/>
      <c r="AH115" s="231"/>
      <c r="AI115" s="231"/>
      <c r="AJ115" s="231"/>
      <c r="AK115" s="231"/>
      <c r="AL115" s="231"/>
      <c r="AM115" s="231"/>
      <c r="AN115" s="231"/>
    </row>
    <row r="116" s="34" customFormat="1" ht="18" customHeight="1" spans="1:40">
      <c r="A116" s="61">
        <f>IF(F116&lt;&gt;"",1+MAX($A$2:A115),"")</f>
        <v>91</v>
      </c>
      <c r="B116" s="237"/>
      <c r="C116" s="74"/>
      <c r="D116" s="240" t="s">
        <v>142</v>
      </c>
      <c r="E116" s="76">
        <v>1</v>
      </c>
      <c r="F116" s="65">
        <v>0</v>
      </c>
      <c r="G116" s="66">
        <f t="shared" si="35"/>
        <v>1</v>
      </c>
      <c r="H116" s="70" t="s">
        <v>35</v>
      </c>
      <c r="I116" s="97">
        <v>0</v>
      </c>
      <c r="J116" s="98">
        <f t="shared" si="36"/>
        <v>0</v>
      </c>
      <c r="K116" s="99">
        <v>50</v>
      </c>
      <c r="L116" s="100">
        <f t="shared" si="37"/>
        <v>0</v>
      </c>
      <c r="M116" s="100">
        <f t="shared" si="38"/>
        <v>0</v>
      </c>
      <c r="N116" s="100">
        <v>0</v>
      </c>
      <c r="O116" s="100">
        <f t="shared" si="39"/>
        <v>0</v>
      </c>
      <c r="P116" s="100">
        <f t="shared" si="40"/>
        <v>0</v>
      </c>
      <c r="Q116" s="124">
        <f t="shared" si="41"/>
        <v>0</v>
      </c>
      <c r="R116" s="114"/>
      <c r="S116" s="231"/>
      <c r="T116" s="231"/>
      <c r="U116" s="231"/>
      <c r="V116" s="231"/>
      <c r="W116" s="231"/>
      <c r="X116" s="231"/>
      <c r="Y116" s="231"/>
      <c r="Z116" s="231"/>
      <c r="AA116" s="231"/>
      <c r="AB116" s="231"/>
      <c r="AC116" s="231"/>
      <c r="AD116" s="231"/>
      <c r="AE116" s="231"/>
      <c r="AF116" s="231"/>
      <c r="AG116" s="231"/>
      <c r="AH116" s="231"/>
      <c r="AI116" s="231"/>
      <c r="AJ116" s="231"/>
      <c r="AK116" s="231"/>
      <c r="AL116" s="231"/>
      <c r="AM116" s="231"/>
      <c r="AN116" s="231"/>
    </row>
    <row r="117" s="34" customFormat="1" ht="18" customHeight="1" spans="1:40">
      <c r="A117" s="67">
        <f>IF(F117&lt;&gt;"",1+MAX($A$2:A116),"")</f>
        <v>92</v>
      </c>
      <c r="B117" s="237"/>
      <c r="C117" s="74"/>
      <c r="D117" s="240" t="s">
        <v>143</v>
      </c>
      <c r="E117" s="76">
        <v>2</v>
      </c>
      <c r="F117" s="71">
        <v>0</v>
      </c>
      <c r="G117" s="66">
        <f t="shared" si="35"/>
        <v>2</v>
      </c>
      <c r="H117" s="70" t="s">
        <v>35</v>
      </c>
      <c r="I117" s="97">
        <v>0</v>
      </c>
      <c r="J117" s="98">
        <f t="shared" si="36"/>
        <v>0</v>
      </c>
      <c r="K117" s="99">
        <v>50</v>
      </c>
      <c r="L117" s="100">
        <f t="shared" si="37"/>
        <v>0</v>
      </c>
      <c r="M117" s="100">
        <f t="shared" si="38"/>
        <v>0</v>
      </c>
      <c r="N117" s="100">
        <v>0</v>
      </c>
      <c r="O117" s="100">
        <f t="shared" si="39"/>
        <v>0</v>
      </c>
      <c r="P117" s="100">
        <f t="shared" si="40"/>
        <v>0</v>
      </c>
      <c r="Q117" s="124">
        <f t="shared" si="41"/>
        <v>0</v>
      </c>
      <c r="R117" s="114"/>
      <c r="S117" s="231"/>
      <c r="T117" s="231"/>
      <c r="U117" s="231"/>
      <c r="V117" s="231"/>
      <c r="W117" s="231"/>
      <c r="X117" s="231"/>
      <c r="Y117" s="231"/>
      <c r="Z117" s="231"/>
      <c r="AA117" s="231"/>
      <c r="AB117" s="231"/>
      <c r="AC117" s="231"/>
      <c r="AD117" s="231"/>
      <c r="AE117" s="231"/>
      <c r="AF117" s="231"/>
      <c r="AG117" s="231"/>
      <c r="AH117" s="231"/>
      <c r="AI117" s="231"/>
      <c r="AJ117" s="231"/>
      <c r="AK117" s="231"/>
      <c r="AL117" s="231"/>
      <c r="AM117" s="231"/>
      <c r="AN117" s="231"/>
    </row>
    <row r="118" s="34" customFormat="1" ht="18" customHeight="1" spans="1:40">
      <c r="A118" s="67">
        <f>IF(F118&lt;&gt;"",1+MAX($A$2:A117),"")</f>
        <v>93</v>
      </c>
      <c r="B118" s="237"/>
      <c r="C118" s="74"/>
      <c r="D118" s="240" t="s">
        <v>144</v>
      </c>
      <c r="E118" s="76">
        <v>9</v>
      </c>
      <c r="F118" s="71">
        <v>0</v>
      </c>
      <c r="G118" s="66">
        <f t="shared" si="35"/>
        <v>9</v>
      </c>
      <c r="H118" s="70" t="s">
        <v>35</v>
      </c>
      <c r="I118" s="97">
        <v>0</v>
      </c>
      <c r="J118" s="98">
        <f t="shared" si="36"/>
        <v>0</v>
      </c>
      <c r="K118" s="99">
        <v>50</v>
      </c>
      <c r="L118" s="100">
        <f t="shared" si="37"/>
        <v>0</v>
      </c>
      <c r="M118" s="100">
        <f t="shared" si="38"/>
        <v>0</v>
      </c>
      <c r="N118" s="100">
        <v>0</v>
      </c>
      <c r="O118" s="100">
        <f t="shared" si="39"/>
        <v>0</v>
      </c>
      <c r="P118" s="100">
        <f t="shared" si="40"/>
        <v>0</v>
      </c>
      <c r="Q118" s="124">
        <f t="shared" si="41"/>
        <v>0</v>
      </c>
      <c r="R118" s="114"/>
      <c r="S118" s="231"/>
      <c r="T118" s="231"/>
      <c r="U118" s="231"/>
      <c r="V118" s="231"/>
      <c r="W118" s="231"/>
      <c r="X118" s="231"/>
      <c r="Y118" s="231"/>
      <c r="Z118" s="231"/>
      <c r="AA118" s="231"/>
      <c r="AB118" s="231"/>
      <c r="AC118" s="231"/>
      <c r="AD118" s="231"/>
      <c r="AE118" s="231"/>
      <c r="AF118" s="231"/>
      <c r="AG118" s="231"/>
      <c r="AH118" s="231"/>
      <c r="AI118" s="231"/>
      <c r="AJ118" s="231"/>
      <c r="AK118" s="231"/>
      <c r="AL118" s="231"/>
      <c r="AM118" s="231"/>
      <c r="AN118" s="231"/>
    </row>
    <row r="119" s="34" customFormat="1" ht="18" customHeight="1" spans="1:40">
      <c r="A119" s="67">
        <f>IF(F119&lt;&gt;"",1+MAX($A$2:A118),"")</f>
        <v>94</v>
      </c>
      <c r="B119" s="237"/>
      <c r="C119" s="74"/>
      <c r="D119" s="240" t="s">
        <v>145</v>
      </c>
      <c r="E119" s="76">
        <v>33</v>
      </c>
      <c r="F119" s="71">
        <v>0</v>
      </c>
      <c r="G119" s="66">
        <f t="shared" si="35"/>
        <v>33</v>
      </c>
      <c r="H119" s="70" t="s">
        <v>35</v>
      </c>
      <c r="I119" s="97">
        <v>0</v>
      </c>
      <c r="J119" s="98">
        <f t="shared" si="36"/>
        <v>0</v>
      </c>
      <c r="K119" s="99">
        <v>50</v>
      </c>
      <c r="L119" s="100">
        <f t="shared" si="37"/>
        <v>0</v>
      </c>
      <c r="M119" s="100">
        <f t="shared" si="38"/>
        <v>0</v>
      </c>
      <c r="N119" s="100">
        <v>0</v>
      </c>
      <c r="O119" s="100">
        <f t="shared" si="39"/>
        <v>0</v>
      </c>
      <c r="P119" s="100">
        <f t="shared" si="40"/>
        <v>0</v>
      </c>
      <c r="Q119" s="124">
        <f t="shared" si="41"/>
        <v>0</v>
      </c>
      <c r="R119" s="114"/>
      <c r="S119" s="231"/>
      <c r="T119" s="231"/>
      <c r="U119" s="231"/>
      <c r="V119" s="231"/>
      <c r="W119" s="231"/>
      <c r="X119" s="231"/>
      <c r="Y119" s="231"/>
      <c r="Z119" s="231"/>
      <c r="AA119" s="231"/>
      <c r="AB119" s="231"/>
      <c r="AC119" s="231"/>
      <c r="AD119" s="231"/>
      <c r="AE119" s="231"/>
      <c r="AF119" s="231"/>
      <c r="AG119" s="231"/>
      <c r="AH119" s="231"/>
      <c r="AI119" s="231"/>
      <c r="AJ119" s="231"/>
      <c r="AK119" s="231"/>
      <c r="AL119" s="231"/>
      <c r="AM119" s="231"/>
      <c r="AN119" s="231"/>
    </row>
    <row r="120" s="34" customFormat="1" ht="18" customHeight="1" spans="1:40">
      <c r="A120" s="61">
        <f>IF(F120&lt;&gt;"",1+MAX($A$2:A119),"")</f>
        <v>95</v>
      </c>
      <c r="B120" s="237"/>
      <c r="C120" s="74"/>
      <c r="D120" s="240" t="s">
        <v>146</v>
      </c>
      <c r="E120" s="76">
        <v>6</v>
      </c>
      <c r="F120" s="65">
        <v>0</v>
      </c>
      <c r="G120" s="66">
        <f t="shared" si="35"/>
        <v>6</v>
      </c>
      <c r="H120" s="70" t="s">
        <v>35</v>
      </c>
      <c r="I120" s="97">
        <v>0</v>
      </c>
      <c r="J120" s="98">
        <f t="shared" si="36"/>
        <v>0</v>
      </c>
      <c r="K120" s="99">
        <v>50</v>
      </c>
      <c r="L120" s="100">
        <f t="shared" si="37"/>
        <v>0</v>
      </c>
      <c r="M120" s="100">
        <f t="shared" si="38"/>
        <v>0</v>
      </c>
      <c r="N120" s="100">
        <v>0</v>
      </c>
      <c r="O120" s="100">
        <f t="shared" si="39"/>
        <v>0</v>
      </c>
      <c r="P120" s="100">
        <f t="shared" si="40"/>
        <v>0</v>
      </c>
      <c r="Q120" s="124">
        <f t="shared" si="41"/>
        <v>0</v>
      </c>
      <c r="R120" s="114"/>
      <c r="S120" s="231"/>
      <c r="T120" s="231"/>
      <c r="U120" s="231"/>
      <c r="V120" s="231"/>
      <c r="W120" s="231"/>
      <c r="X120" s="231"/>
      <c r="Y120" s="231"/>
      <c r="Z120" s="231"/>
      <c r="AA120" s="231"/>
      <c r="AB120" s="231"/>
      <c r="AC120" s="231"/>
      <c r="AD120" s="231"/>
      <c r="AE120" s="231"/>
      <c r="AF120" s="231"/>
      <c r="AG120" s="231"/>
      <c r="AH120" s="231"/>
      <c r="AI120" s="231"/>
      <c r="AJ120" s="231"/>
      <c r="AK120" s="231"/>
      <c r="AL120" s="231"/>
      <c r="AM120" s="231"/>
      <c r="AN120" s="231"/>
    </row>
    <row r="121" s="34" customFormat="1" ht="18" customHeight="1" spans="1:40">
      <c r="A121" s="67">
        <f>IF(F121&lt;&gt;"",1+MAX($A$2:A120),"")</f>
        <v>96</v>
      </c>
      <c r="B121" s="237"/>
      <c r="C121" s="74"/>
      <c r="D121" s="240" t="s">
        <v>147</v>
      </c>
      <c r="E121" s="76">
        <v>8</v>
      </c>
      <c r="F121" s="71">
        <v>0</v>
      </c>
      <c r="G121" s="66">
        <f t="shared" si="35"/>
        <v>8</v>
      </c>
      <c r="H121" s="70" t="s">
        <v>35</v>
      </c>
      <c r="I121" s="97">
        <v>0</v>
      </c>
      <c r="J121" s="98">
        <f t="shared" si="36"/>
        <v>0</v>
      </c>
      <c r="K121" s="99">
        <v>50</v>
      </c>
      <c r="L121" s="100">
        <f t="shared" si="37"/>
        <v>0</v>
      </c>
      <c r="M121" s="100">
        <f t="shared" si="38"/>
        <v>0</v>
      </c>
      <c r="N121" s="100">
        <v>0</v>
      </c>
      <c r="O121" s="100">
        <f t="shared" si="39"/>
        <v>0</v>
      </c>
      <c r="P121" s="100">
        <f t="shared" si="40"/>
        <v>0</v>
      </c>
      <c r="Q121" s="124">
        <f t="shared" si="41"/>
        <v>0</v>
      </c>
      <c r="R121" s="114"/>
      <c r="S121" s="231"/>
      <c r="T121" s="231"/>
      <c r="U121" s="231"/>
      <c r="V121" s="231"/>
      <c r="W121" s="231"/>
      <c r="X121" s="231"/>
      <c r="Y121" s="231"/>
      <c r="Z121" s="231"/>
      <c r="AA121" s="231"/>
      <c r="AB121" s="231"/>
      <c r="AC121" s="231"/>
      <c r="AD121" s="231"/>
      <c r="AE121" s="231"/>
      <c r="AF121" s="231"/>
      <c r="AG121" s="231"/>
      <c r="AH121" s="231"/>
      <c r="AI121" s="231"/>
      <c r="AJ121" s="231"/>
      <c r="AK121" s="231"/>
      <c r="AL121" s="231"/>
      <c r="AM121" s="231"/>
      <c r="AN121" s="231"/>
    </row>
    <row r="122" s="34" customFormat="1" ht="18" customHeight="1" spans="1:40">
      <c r="A122" s="67">
        <f>IF(F122&lt;&gt;"",1+MAX($A$2:A121),"")</f>
        <v>97</v>
      </c>
      <c r="B122" s="237"/>
      <c r="C122" s="74"/>
      <c r="D122" s="240" t="s">
        <v>148</v>
      </c>
      <c r="E122" s="76">
        <v>18</v>
      </c>
      <c r="F122" s="71">
        <v>0</v>
      </c>
      <c r="G122" s="66">
        <f t="shared" si="35"/>
        <v>18</v>
      </c>
      <c r="H122" s="70" t="s">
        <v>35</v>
      </c>
      <c r="I122" s="97">
        <v>0</v>
      </c>
      <c r="J122" s="98">
        <f t="shared" si="36"/>
        <v>0</v>
      </c>
      <c r="K122" s="99">
        <v>50</v>
      </c>
      <c r="L122" s="100">
        <f t="shared" si="37"/>
        <v>0</v>
      </c>
      <c r="M122" s="100">
        <f t="shared" si="38"/>
        <v>0</v>
      </c>
      <c r="N122" s="100">
        <v>0</v>
      </c>
      <c r="O122" s="100">
        <f t="shared" si="39"/>
        <v>0</v>
      </c>
      <c r="P122" s="100">
        <f t="shared" si="40"/>
        <v>0</v>
      </c>
      <c r="Q122" s="124">
        <f t="shared" si="41"/>
        <v>0</v>
      </c>
      <c r="R122" s="114"/>
      <c r="S122" s="231"/>
      <c r="T122" s="231"/>
      <c r="U122" s="231"/>
      <c r="V122" s="231"/>
      <c r="W122" s="231"/>
      <c r="X122" s="231"/>
      <c r="Y122" s="231"/>
      <c r="Z122" s="231"/>
      <c r="AA122" s="231"/>
      <c r="AB122" s="231"/>
      <c r="AC122" s="231"/>
      <c r="AD122" s="231"/>
      <c r="AE122" s="231"/>
      <c r="AF122" s="231"/>
      <c r="AG122" s="231"/>
      <c r="AH122" s="231"/>
      <c r="AI122" s="231"/>
      <c r="AJ122" s="231"/>
      <c r="AK122" s="231"/>
      <c r="AL122" s="231"/>
      <c r="AM122" s="231"/>
      <c r="AN122" s="231"/>
    </row>
    <row r="123" s="34" customFormat="1" ht="18" customHeight="1" spans="1:40">
      <c r="A123" s="67">
        <f>IF(F123&lt;&gt;"",1+MAX($A$2:A122),"")</f>
        <v>98</v>
      </c>
      <c r="B123" s="237"/>
      <c r="C123" s="74"/>
      <c r="D123" s="240" t="s">
        <v>149</v>
      </c>
      <c r="E123" s="76">
        <v>12</v>
      </c>
      <c r="F123" s="71">
        <v>0</v>
      </c>
      <c r="G123" s="66">
        <f t="shared" si="35"/>
        <v>12</v>
      </c>
      <c r="H123" s="70" t="s">
        <v>35</v>
      </c>
      <c r="I123" s="97">
        <v>0</v>
      </c>
      <c r="J123" s="98">
        <f t="shared" si="36"/>
        <v>0</v>
      </c>
      <c r="K123" s="99">
        <v>50</v>
      </c>
      <c r="L123" s="100">
        <f t="shared" si="37"/>
        <v>0</v>
      </c>
      <c r="M123" s="100">
        <f t="shared" si="38"/>
        <v>0</v>
      </c>
      <c r="N123" s="100">
        <v>0</v>
      </c>
      <c r="O123" s="100">
        <f t="shared" si="39"/>
        <v>0</v>
      </c>
      <c r="P123" s="100">
        <f t="shared" si="40"/>
        <v>0</v>
      </c>
      <c r="Q123" s="124">
        <f t="shared" si="41"/>
        <v>0</v>
      </c>
      <c r="R123" s="114"/>
      <c r="S123" s="231"/>
      <c r="T123" s="231"/>
      <c r="U123" s="231"/>
      <c r="V123" s="231"/>
      <c r="W123" s="231"/>
      <c r="X123" s="231"/>
      <c r="Y123" s="231"/>
      <c r="Z123" s="231"/>
      <c r="AA123" s="231"/>
      <c r="AB123" s="231"/>
      <c r="AC123" s="231"/>
      <c r="AD123" s="231"/>
      <c r="AE123" s="231"/>
      <c r="AF123" s="231"/>
      <c r="AG123" s="231"/>
      <c r="AH123" s="231"/>
      <c r="AI123" s="231"/>
      <c r="AJ123" s="231"/>
      <c r="AK123" s="231"/>
      <c r="AL123" s="231"/>
      <c r="AM123" s="231"/>
      <c r="AN123" s="231"/>
    </row>
    <row r="124" s="34" customFormat="1" ht="18" customHeight="1" spans="1:40">
      <c r="A124" s="61">
        <f>IF(F124&lt;&gt;"",1+MAX($A$2:A123),"")</f>
        <v>99</v>
      </c>
      <c r="B124" s="237"/>
      <c r="C124" s="74"/>
      <c r="D124" s="240" t="s">
        <v>150</v>
      </c>
      <c r="E124" s="76">
        <v>2</v>
      </c>
      <c r="F124" s="65">
        <v>0</v>
      </c>
      <c r="G124" s="66">
        <f t="shared" si="35"/>
        <v>2</v>
      </c>
      <c r="H124" s="70" t="s">
        <v>35</v>
      </c>
      <c r="I124" s="97">
        <v>0</v>
      </c>
      <c r="J124" s="98">
        <f t="shared" si="36"/>
        <v>0</v>
      </c>
      <c r="K124" s="99">
        <v>50</v>
      </c>
      <c r="L124" s="100">
        <f t="shared" si="37"/>
        <v>0</v>
      </c>
      <c r="M124" s="100">
        <f t="shared" si="38"/>
        <v>0</v>
      </c>
      <c r="N124" s="100">
        <v>0</v>
      </c>
      <c r="O124" s="100">
        <f t="shared" si="39"/>
        <v>0</v>
      </c>
      <c r="P124" s="100">
        <f t="shared" si="40"/>
        <v>0</v>
      </c>
      <c r="Q124" s="124">
        <f t="shared" si="41"/>
        <v>0</v>
      </c>
      <c r="R124" s="114"/>
      <c r="S124" s="231"/>
      <c r="T124" s="231"/>
      <c r="U124" s="231"/>
      <c r="V124" s="231"/>
      <c r="W124" s="231"/>
      <c r="X124" s="231"/>
      <c r="Y124" s="231"/>
      <c r="Z124" s="231"/>
      <c r="AA124" s="231"/>
      <c r="AB124" s="231"/>
      <c r="AC124" s="231"/>
      <c r="AD124" s="231"/>
      <c r="AE124" s="231"/>
      <c r="AF124" s="231"/>
      <c r="AG124" s="231"/>
      <c r="AH124" s="231"/>
      <c r="AI124" s="231"/>
      <c r="AJ124" s="231"/>
      <c r="AK124" s="231"/>
      <c r="AL124" s="231"/>
      <c r="AM124" s="231"/>
      <c r="AN124" s="231"/>
    </row>
    <row r="125" s="34" customFormat="1" ht="18" customHeight="1" spans="1:40">
      <c r="A125" s="67">
        <f>IF(F125&lt;&gt;"",1+MAX($A$2:A124),"")</f>
        <v>100</v>
      </c>
      <c r="B125" s="237"/>
      <c r="C125" s="74"/>
      <c r="D125" s="240" t="s">
        <v>151</v>
      </c>
      <c r="E125" s="76">
        <v>3</v>
      </c>
      <c r="F125" s="71">
        <v>0</v>
      </c>
      <c r="G125" s="66">
        <f t="shared" si="35"/>
        <v>3</v>
      </c>
      <c r="H125" s="70" t="s">
        <v>35</v>
      </c>
      <c r="I125" s="97">
        <v>0</v>
      </c>
      <c r="J125" s="98">
        <f t="shared" si="36"/>
        <v>0</v>
      </c>
      <c r="K125" s="99">
        <v>50</v>
      </c>
      <c r="L125" s="100">
        <f t="shared" si="37"/>
        <v>0</v>
      </c>
      <c r="M125" s="100">
        <f t="shared" si="38"/>
        <v>0</v>
      </c>
      <c r="N125" s="100">
        <v>0</v>
      </c>
      <c r="O125" s="100">
        <f t="shared" si="39"/>
        <v>0</v>
      </c>
      <c r="P125" s="100">
        <f t="shared" si="40"/>
        <v>0</v>
      </c>
      <c r="Q125" s="124">
        <f t="shared" si="41"/>
        <v>0</v>
      </c>
      <c r="R125" s="114"/>
      <c r="S125" s="231"/>
      <c r="T125" s="231"/>
      <c r="U125" s="231"/>
      <c r="V125" s="231"/>
      <c r="W125" s="231"/>
      <c r="X125" s="231"/>
      <c r="Y125" s="231"/>
      <c r="Z125" s="231"/>
      <c r="AA125" s="231"/>
      <c r="AB125" s="231"/>
      <c r="AC125" s="231"/>
      <c r="AD125" s="231"/>
      <c r="AE125" s="231"/>
      <c r="AF125" s="231"/>
      <c r="AG125" s="231"/>
      <c r="AH125" s="231"/>
      <c r="AI125" s="231"/>
      <c r="AJ125" s="231"/>
      <c r="AK125" s="231"/>
      <c r="AL125" s="231"/>
      <c r="AM125" s="231"/>
      <c r="AN125" s="231"/>
    </row>
    <row r="126" s="34" customFormat="1" ht="18" customHeight="1" spans="1:40">
      <c r="A126" s="67">
        <f>IF(F126&lt;&gt;"",1+MAX($A$2:A125),"")</f>
        <v>101</v>
      </c>
      <c r="B126" s="237"/>
      <c r="C126" s="74"/>
      <c r="D126" s="240" t="s">
        <v>152</v>
      </c>
      <c r="E126" s="76">
        <v>2</v>
      </c>
      <c r="F126" s="71">
        <v>0</v>
      </c>
      <c r="G126" s="66">
        <f t="shared" si="35"/>
        <v>2</v>
      </c>
      <c r="H126" s="70" t="s">
        <v>35</v>
      </c>
      <c r="I126" s="97">
        <v>0</v>
      </c>
      <c r="J126" s="98">
        <f t="shared" si="36"/>
        <v>0</v>
      </c>
      <c r="K126" s="99">
        <v>50</v>
      </c>
      <c r="L126" s="100">
        <f t="shared" si="37"/>
        <v>0</v>
      </c>
      <c r="M126" s="100">
        <f t="shared" si="38"/>
        <v>0</v>
      </c>
      <c r="N126" s="100">
        <v>0</v>
      </c>
      <c r="O126" s="100">
        <f t="shared" si="39"/>
        <v>0</v>
      </c>
      <c r="P126" s="100">
        <f t="shared" si="40"/>
        <v>0</v>
      </c>
      <c r="Q126" s="124">
        <f t="shared" si="41"/>
        <v>0</v>
      </c>
      <c r="R126" s="114"/>
      <c r="S126" s="231"/>
      <c r="T126" s="231"/>
      <c r="U126" s="231"/>
      <c r="V126" s="231"/>
      <c r="W126" s="231"/>
      <c r="X126" s="231"/>
      <c r="Y126" s="231"/>
      <c r="Z126" s="231"/>
      <c r="AA126" s="231"/>
      <c r="AB126" s="231"/>
      <c r="AC126" s="231"/>
      <c r="AD126" s="231"/>
      <c r="AE126" s="231"/>
      <c r="AF126" s="231"/>
      <c r="AG126" s="231"/>
      <c r="AH126" s="231"/>
      <c r="AI126" s="231"/>
      <c r="AJ126" s="231"/>
      <c r="AK126" s="231"/>
      <c r="AL126" s="231"/>
      <c r="AM126" s="231"/>
      <c r="AN126" s="231"/>
    </row>
    <row r="127" s="34" customFormat="1" ht="18" customHeight="1" spans="1:40">
      <c r="A127" s="67">
        <f>IF(F127&lt;&gt;"",1+MAX($A$2:A126),"")</f>
        <v>102</v>
      </c>
      <c r="B127" s="237"/>
      <c r="C127" s="74"/>
      <c r="D127" s="240" t="s">
        <v>153</v>
      </c>
      <c r="E127" s="76">
        <v>1</v>
      </c>
      <c r="F127" s="71">
        <v>0</v>
      </c>
      <c r="G127" s="66">
        <f t="shared" si="35"/>
        <v>1</v>
      </c>
      <c r="H127" s="70" t="s">
        <v>35</v>
      </c>
      <c r="I127" s="97">
        <v>0</v>
      </c>
      <c r="J127" s="98">
        <f t="shared" si="36"/>
        <v>0</v>
      </c>
      <c r="K127" s="99">
        <v>50</v>
      </c>
      <c r="L127" s="100">
        <f t="shared" si="37"/>
        <v>0</v>
      </c>
      <c r="M127" s="100">
        <f t="shared" si="38"/>
        <v>0</v>
      </c>
      <c r="N127" s="100">
        <v>0</v>
      </c>
      <c r="O127" s="100">
        <f t="shared" si="39"/>
        <v>0</v>
      </c>
      <c r="P127" s="100">
        <f t="shared" si="40"/>
        <v>0</v>
      </c>
      <c r="Q127" s="124">
        <f t="shared" si="41"/>
        <v>0</v>
      </c>
      <c r="R127" s="114"/>
      <c r="S127" s="231"/>
      <c r="T127" s="231"/>
      <c r="U127" s="231"/>
      <c r="V127" s="231"/>
      <c r="W127" s="231"/>
      <c r="X127" s="231"/>
      <c r="Y127" s="231"/>
      <c r="Z127" s="231"/>
      <c r="AA127" s="231"/>
      <c r="AB127" s="231"/>
      <c r="AC127" s="231"/>
      <c r="AD127" s="231"/>
      <c r="AE127" s="231"/>
      <c r="AF127" s="231"/>
      <c r="AG127" s="231"/>
      <c r="AH127" s="231"/>
      <c r="AI127" s="231"/>
      <c r="AJ127" s="231"/>
      <c r="AK127" s="231"/>
      <c r="AL127" s="231"/>
      <c r="AM127" s="231"/>
      <c r="AN127" s="231"/>
    </row>
    <row r="128" s="34" customFormat="1" ht="18" customHeight="1" spans="1:40">
      <c r="A128" s="61">
        <f>IF(F128&lt;&gt;"",1+MAX($A$2:A127),"")</f>
        <v>103</v>
      </c>
      <c r="B128" s="237"/>
      <c r="C128" s="74"/>
      <c r="D128" s="240" t="s">
        <v>154</v>
      </c>
      <c r="E128" s="76">
        <v>1</v>
      </c>
      <c r="F128" s="65">
        <v>0</v>
      </c>
      <c r="G128" s="66">
        <f t="shared" si="35"/>
        <v>1</v>
      </c>
      <c r="H128" s="70" t="s">
        <v>35</v>
      </c>
      <c r="I128" s="97">
        <v>0</v>
      </c>
      <c r="J128" s="98">
        <f t="shared" si="36"/>
        <v>0</v>
      </c>
      <c r="K128" s="99">
        <v>50</v>
      </c>
      <c r="L128" s="100">
        <f t="shared" si="37"/>
        <v>0</v>
      </c>
      <c r="M128" s="100">
        <f t="shared" si="38"/>
        <v>0</v>
      </c>
      <c r="N128" s="100">
        <v>0</v>
      </c>
      <c r="O128" s="100">
        <f t="shared" si="39"/>
        <v>0</v>
      </c>
      <c r="P128" s="100">
        <f t="shared" si="40"/>
        <v>0</v>
      </c>
      <c r="Q128" s="124">
        <f t="shared" si="41"/>
        <v>0</v>
      </c>
      <c r="R128" s="114"/>
      <c r="S128" s="231"/>
      <c r="T128" s="231"/>
      <c r="U128" s="231"/>
      <c r="V128" s="231"/>
      <c r="W128" s="231"/>
      <c r="X128" s="231"/>
      <c r="Y128" s="231"/>
      <c r="Z128" s="231"/>
      <c r="AA128" s="231"/>
      <c r="AB128" s="231"/>
      <c r="AC128" s="231"/>
      <c r="AD128" s="231"/>
      <c r="AE128" s="231"/>
      <c r="AF128" s="231"/>
      <c r="AG128" s="231"/>
      <c r="AH128" s="231"/>
      <c r="AI128" s="231"/>
      <c r="AJ128" s="231"/>
      <c r="AK128" s="231"/>
      <c r="AL128" s="231"/>
      <c r="AM128" s="231"/>
      <c r="AN128" s="231"/>
    </row>
    <row r="129" s="34" customFormat="1" ht="18" customHeight="1" spans="1:40">
      <c r="A129" s="67">
        <f>IF(F129&lt;&gt;"",1+MAX($A$2:A128),"")</f>
        <v>104</v>
      </c>
      <c r="B129" s="237"/>
      <c r="C129" s="74" t="s">
        <v>133</v>
      </c>
      <c r="D129" s="240" t="s">
        <v>134</v>
      </c>
      <c r="E129" s="76">
        <v>1</v>
      </c>
      <c r="F129" s="71">
        <v>0</v>
      </c>
      <c r="G129" s="66">
        <f t="shared" si="35"/>
        <v>1</v>
      </c>
      <c r="H129" s="70" t="s">
        <v>35</v>
      </c>
      <c r="I129" s="97">
        <v>0</v>
      </c>
      <c r="J129" s="98">
        <f t="shared" si="36"/>
        <v>0</v>
      </c>
      <c r="K129" s="99">
        <v>50</v>
      </c>
      <c r="L129" s="100">
        <f t="shared" si="37"/>
        <v>0</v>
      </c>
      <c r="M129" s="100">
        <f t="shared" si="38"/>
        <v>0</v>
      </c>
      <c r="N129" s="100">
        <v>0</v>
      </c>
      <c r="O129" s="100">
        <f t="shared" si="39"/>
        <v>0</v>
      </c>
      <c r="P129" s="100">
        <f t="shared" si="40"/>
        <v>0</v>
      </c>
      <c r="Q129" s="124">
        <f t="shared" si="41"/>
        <v>0</v>
      </c>
      <c r="R129" s="114"/>
      <c r="S129" s="231"/>
      <c r="T129" s="231"/>
      <c r="U129" s="231"/>
      <c r="V129" s="231"/>
      <c r="W129" s="231"/>
      <c r="X129" s="231"/>
      <c r="Y129" s="231"/>
      <c r="Z129" s="231"/>
      <c r="AA129" s="231"/>
      <c r="AB129" s="231"/>
      <c r="AC129" s="231"/>
      <c r="AD129" s="231"/>
      <c r="AE129" s="231"/>
      <c r="AF129" s="231"/>
      <c r="AG129" s="231"/>
      <c r="AH129" s="231"/>
      <c r="AI129" s="231"/>
      <c r="AJ129" s="231"/>
      <c r="AK129" s="231"/>
      <c r="AL129" s="231"/>
      <c r="AM129" s="231"/>
      <c r="AN129" s="231"/>
    </row>
    <row r="130" s="34" customFormat="1" ht="18" customHeight="1" spans="1:40">
      <c r="A130" s="67">
        <f>IF(F130&lt;&gt;"",1+MAX($A$2:A129),"")</f>
        <v>105</v>
      </c>
      <c r="B130" s="237"/>
      <c r="C130" s="74" t="s">
        <v>155</v>
      </c>
      <c r="D130" s="240" t="s">
        <v>156</v>
      </c>
      <c r="E130" s="76">
        <v>5</v>
      </c>
      <c r="F130" s="71">
        <v>0</v>
      </c>
      <c r="G130" s="66">
        <f t="shared" si="35"/>
        <v>5</v>
      </c>
      <c r="H130" s="70" t="s">
        <v>35</v>
      </c>
      <c r="I130" s="97">
        <v>0</v>
      </c>
      <c r="J130" s="98">
        <f t="shared" si="36"/>
        <v>0</v>
      </c>
      <c r="K130" s="99">
        <v>50</v>
      </c>
      <c r="L130" s="100">
        <f t="shared" si="37"/>
        <v>0</v>
      </c>
      <c r="M130" s="100">
        <f t="shared" si="38"/>
        <v>0</v>
      </c>
      <c r="N130" s="100">
        <v>0</v>
      </c>
      <c r="O130" s="100">
        <f t="shared" si="39"/>
        <v>0</v>
      </c>
      <c r="P130" s="100">
        <f t="shared" si="40"/>
        <v>0</v>
      </c>
      <c r="Q130" s="124">
        <f t="shared" si="41"/>
        <v>0</v>
      </c>
      <c r="R130" s="114"/>
      <c r="S130" s="231"/>
      <c r="T130" s="231"/>
      <c r="U130" s="231"/>
      <c r="V130" s="231"/>
      <c r="W130" s="231"/>
      <c r="X130" s="231"/>
      <c r="Y130" s="231"/>
      <c r="Z130" s="231"/>
      <c r="AA130" s="231"/>
      <c r="AB130" s="231"/>
      <c r="AC130" s="231"/>
      <c r="AD130" s="231"/>
      <c r="AE130" s="231"/>
      <c r="AF130" s="231"/>
      <c r="AG130" s="231"/>
      <c r="AH130" s="231"/>
      <c r="AI130" s="231"/>
      <c r="AJ130" s="231"/>
      <c r="AK130" s="231"/>
      <c r="AL130" s="231"/>
      <c r="AM130" s="231"/>
      <c r="AN130" s="231"/>
    </row>
    <row r="131" s="34" customFormat="1" ht="18" customHeight="1" spans="1:40">
      <c r="A131" s="61">
        <f>IF(F131&lt;&gt;"",1+MAX($A$2:A130),"")</f>
        <v>106</v>
      </c>
      <c r="B131" s="237"/>
      <c r="C131" s="74" t="s">
        <v>135</v>
      </c>
      <c r="D131" s="240" t="s">
        <v>136</v>
      </c>
      <c r="E131" s="76">
        <v>1</v>
      </c>
      <c r="F131" s="65">
        <v>0</v>
      </c>
      <c r="G131" s="66">
        <f t="shared" si="35"/>
        <v>1</v>
      </c>
      <c r="H131" s="70" t="s">
        <v>35</v>
      </c>
      <c r="I131" s="97">
        <v>0</v>
      </c>
      <c r="J131" s="98">
        <f t="shared" si="36"/>
        <v>0</v>
      </c>
      <c r="K131" s="99">
        <v>50</v>
      </c>
      <c r="L131" s="100">
        <f t="shared" si="37"/>
        <v>0</v>
      </c>
      <c r="M131" s="100">
        <f t="shared" si="38"/>
        <v>0</v>
      </c>
      <c r="N131" s="100">
        <v>0</v>
      </c>
      <c r="O131" s="100">
        <f t="shared" si="39"/>
        <v>0</v>
      </c>
      <c r="P131" s="100">
        <f t="shared" si="40"/>
        <v>0</v>
      </c>
      <c r="Q131" s="124">
        <f t="shared" si="41"/>
        <v>0</v>
      </c>
      <c r="R131" s="114"/>
      <c r="S131" s="231"/>
      <c r="T131" s="231"/>
      <c r="U131" s="231"/>
      <c r="V131" s="231"/>
      <c r="W131" s="231"/>
      <c r="X131" s="231"/>
      <c r="Y131" s="231"/>
      <c r="Z131" s="231"/>
      <c r="AA131" s="231"/>
      <c r="AB131" s="231"/>
      <c r="AC131" s="231"/>
      <c r="AD131" s="231"/>
      <c r="AE131" s="231"/>
      <c r="AF131" s="231"/>
      <c r="AG131" s="231"/>
      <c r="AH131" s="231"/>
      <c r="AI131" s="231"/>
      <c r="AJ131" s="231"/>
      <c r="AK131" s="231"/>
      <c r="AL131" s="231"/>
      <c r="AM131" s="231"/>
      <c r="AN131" s="231"/>
    </row>
    <row r="132" s="34" customFormat="1" ht="18" customHeight="1" spans="1:40">
      <c r="A132" s="67">
        <f>IF(F132&lt;&gt;"",1+MAX($A$2:A131),"")</f>
        <v>107</v>
      </c>
      <c r="B132" s="237"/>
      <c r="C132" s="74"/>
      <c r="D132" s="240" t="s">
        <v>157</v>
      </c>
      <c r="E132" s="76">
        <v>2</v>
      </c>
      <c r="F132" s="71">
        <v>0</v>
      </c>
      <c r="G132" s="66">
        <f t="shared" si="35"/>
        <v>2</v>
      </c>
      <c r="H132" s="70" t="s">
        <v>35</v>
      </c>
      <c r="I132" s="97">
        <v>0</v>
      </c>
      <c r="J132" s="98">
        <f t="shared" si="36"/>
        <v>0</v>
      </c>
      <c r="K132" s="99">
        <v>50</v>
      </c>
      <c r="L132" s="100">
        <f t="shared" si="37"/>
        <v>0</v>
      </c>
      <c r="M132" s="100">
        <f t="shared" si="38"/>
        <v>0</v>
      </c>
      <c r="N132" s="100">
        <v>0</v>
      </c>
      <c r="O132" s="100">
        <f t="shared" si="39"/>
        <v>0</v>
      </c>
      <c r="P132" s="100">
        <f t="shared" si="40"/>
        <v>0</v>
      </c>
      <c r="Q132" s="124">
        <f t="shared" si="41"/>
        <v>0</v>
      </c>
      <c r="R132" s="114"/>
      <c r="S132" s="231"/>
      <c r="T132" s="231"/>
      <c r="U132" s="231"/>
      <c r="V132" s="231"/>
      <c r="W132" s="231"/>
      <c r="X132" s="231"/>
      <c r="Y132" s="231"/>
      <c r="Z132" s="231"/>
      <c r="AA132" s="231"/>
      <c r="AB132" s="231"/>
      <c r="AC132" s="231"/>
      <c r="AD132" s="231"/>
      <c r="AE132" s="231"/>
      <c r="AF132" s="231"/>
      <c r="AG132" s="231"/>
      <c r="AH132" s="231"/>
      <c r="AI132" s="231"/>
      <c r="AJ132" s="231"/>
      <c r="AK132" s="231"/>
      <c r="AL132" s="231"/>
      <c r="AM132" s="231"/>
      <c r="AN132" s="231"/>
    </row>
    <row r="133" s="34" customFormat="1" ht="18" customHeight="1" spans="1:40">
      <c r="A133" s="67">
        <f>IF(F133&lt;&gt;"",1+MAX($A$2:A132),"")</f>
        <v>108</v>
      </c>
      <c r="B133" s="237"/>
      <c r="C133" s="74"/>
      <c r="D133" s="240" t="s">
        <v>158</v>
      </c>
      <c r="E133" s="76">
        <v>2</v>
      </c>
      <c r="F133" s="71">
        <v>0</v>
      </c>
      <c r="G133" s="66">
        <f t="shared" si="35"/>
        <v>2</v>
      </c>
      <c r="H133" s="70" t="s">
        <v>35</v>
      </c>
      <c r="I133" s="97">
        <v>0</v>
      </c>
      <c r="J133" s="98">
        <f t="shared" si="36"/>
        <v>0</v>
      </c>
      <c r="K133" s="99">
        <v>50</v>
      </c>
      <c r="L133" s="100">
        <f t="shared" si="37"/>
        <v>0</v>
      </c>
      <c r="M133" s="100">
        <f t="shared" si="38"/>
        <v>0</v>
      </c>
      <c r="N133" s="100">
        <v>0</v>
      </c>
      <c r="O133" s="100">
        <f t="shared" si="39"/>
        <v>0</v>
      </c>
      <c r="P133" s="100">
        <f t="shared" si="40"/>
        <v>0</v>
      </c>
      <c r="Q133" s="124">
        <f t="shared" si="41"/>
        <v>0</v>
      </c>
      <c r="R133" s="114"/>
      <c r="S133" s="231"/>
      <c r="T133" s="231"/>
      <c r="U133" s="231"/>
      <c r="V133" s="231"/>
      <c r="W133" s="231"/>
      <c r="X133" s="231"/>
      <c r="Y133" s="231"/>
      <c r="Z133" s="231"/>
      <c r="AA133" s="231"/>
      <c r="AB133" s="231"/>
      <c r="AC133" s="231"/>
      <c r="AD133" s="231"/>
      <c r="AE133" s="231"/>
      <c r="AF133" s="231"/>
      <c r="AG133" s="231"/>
      <c r="AH133" s="231"/>
      <c r="AI133" s="231"/>
      <c r="AJ133" s="231"/>
      <c r="AK133" s="231"/>
      <c r="AL133" s="231"/>
      <c r="AM133" s="231"/>
      <c r="AN133" s="231"/>
    </row>
    <row r="134" s="34" customFormat="1" ht="18" customHeight="1" spans="1:40">
      <c r="A134" s="67">
        <f>IF(F134&lt;&gt;"",1+MAX($A$2:A133),"")</f>
        <v>109</v>
      </c>
      <c r="B134" s="237"/>
      <c r="C134" s="74"/>
      <c r="D134" s="240" t="s">
        <v>159</v>
      </c>
      <c r="E134" s="76">
        <v>1</v>
      </c>
      <c r="F134" s="71">
        <v>0</v>
      </c>
      <c r="G134" s="66">
        <f t="shared" si="35"/>
        <v>1</v>
      </c>
      <c r="H134" s="70" t="s">
        <v>35</v>
      </c>
      <c r="I134" s="97">
        <v>0</v>
      </c>
      <c r="J134" s="98">
        <f t="shared" si="36"/>
        <v>0</v>
      </c>
      <c r="K134" s="99">
        <v>50</v>
      </c>
      <c r="L134" s="100">
        <f t="shared" si="37"/>
        <v>0</v>
      </c>
      <c r="M134" s="100">
        <f t="shared" si="38"/>
        <v>0</v>
      </c>
      <c r="N134" s="100">
        <v>0</v>
      </c>
      <c r="O134" s="100">
        <f t="shared" si="39"/>
        <v>0</v>
      </c>
      <c r="P134" s="100">
        <f t="shared" si="40"/>
        <v>0</v>
      </c>
      <c r="Q134" s="124">
        <f t="shared" si="41"/>
        <v>0</v>
      </c>
      <c r="R134" s="114"/>
      <c r="S134" s="231"/>
      <c r="T134" s="231"/>
      <c r="U134" s="231"/>
      <c r="V134" s="231"/>
      <c r="W134" s="231"/>
      <c r="X134" s="231"/>
      <c r="Y134" s="231"/>
      <c r="Z134" s="231"/>
      <c r="AA134" s="231"/>
      <c r="AB134" s="231"/>
      <c r="AC134" s="231"/>
      <c r="AD134" s="231"/>
      <c r="AE134" s="231"/>
      <c r="AF134" s="231"/>
      <c r="AG134" s="231"/>
      <c r="AH134" s="231"/>
      <c r="AI134" s="231"/>
      <c r="AJ134" s="231"/>
      <c r="AK134" s="231"/>
      <c r="AL134" s="231"/>
      <c r="AM134" s="231"/>
      <c r="AN134" s="231"/>
    </row>
    <row r="135" s="34" customFormat="1" ht="18" customHeight="1" spans="1:40">
      <c r="A135" s="61">
        <f>IF(F135&lt;&gt;"",1+MAX($A$2:A134),"")</f>
        <v>110</v>
      </c>
      <c r="B135" s="237"/>
      <c r="C135" s="74"/>
      <c r="D135" s="240" t="s">
        <v>160</v>
      </c>
      <c r="E135" s="76">
        <v>2</v>
      </c>
      <c r="F135" s="65">
        <v>0</v>
      </c>
      <c r="G135" s="66">
        <f t="shared" si="35"/>
        <v>2</v>
      </c>
      <c r="H135" s="70" t="s">
        <v>35</v>
      </c>
      <c r="I135" s="97">
        <v>0</v>
      </c>
      <c r="J135" s="98">
        <f t="shared" si="36"/>
        <v>0</v>
      </c>
      <c r="K135" s="99">
        <v>50</v>
      </c>
      <c r="L135" s="100">
        <f t="shared" si="37"/>
        <v>0</v>
      </c>
      <c r="M135" s="100">
        <f t="shared" si="38"/>
        <v>0</v>
      </c>
      <c r="N135" s="100">
        <v>0</v>
      </c>
      <c r="O135" s="100">
        <f t="shared" si="39"/>
        <v>0</v>
      </c>
      <c r="P135" s="100">
        <f t="shared" si="40"/>
        <v>0</v>
      </c>
      <c r="Q135" s="124">
        <f t="shared" si="41"/>
        <v>0</v>
      </c>
      <c r="R135" s="114"/>
      <c r="S135" s="231"/>
      <c r="T135" s="231"/>
      <c r="U135" s="231"/>
      <c r="V135" s="231"/>
      <c r="W135" s="231"/>
      <c r="X135" s="231"/>
      <c r="Y135" s="231"/>
      <c r="Z135" s="231"/>
      <c r="AA135" s="231"/>
      <c r="AB135" s="231"/>
      <c r="AC135" s="231"/>
      <c r="AD135" s="231"/>
      <c r="AE135" s="231"/>
      <c r="AF135" s="231"/>
      <c r="AG135" s="231"/>
      <c r="AH135" s="231"/>
      <c r="AI135" s="231"/>
      <c r="AJ135" s="231"/>
      <c r="AK135" s="231"/>
      <c r="AL135" s="231"/>
      <c r="AM135" s="231"/>
      <c r="AN135" s="231"/>
    </row>
    <row r="136" s="34" customFormat="1" ht="18" customHeight="1" spans="1:40">
      <c r="A136" s="67">
        <f>IF(F136&lt;&gt;"",1+MAX($A$2:A135),"")</f>
        <v>111</v>
      </c>
      <c r="B136" s="237"/>
      <c r="C136" s="74"/>
      <c r="D136" s="240" t="s">
        <v>161</v>
      </c>
      <c r="E136" s="76">
        <v>2</v>
      </c>
      <c r="F136" s="71">
        <v>0</v>
      </c>
      <c r="G136" s="66">
        <f t="shared" si="35"/>
        <v>2</v>
      </c>
      <c r="H136" s="70" t="s">
        <v>35</v>
      </c>
      <c r="I136" s="97">
        <v>0</v>
      </c>
      <c r="J136" s="98">
        <f t="shared" si="36"/>
        <v>0</v>
      </c>
      <c r="K136" s="99">
        <v>50</v>
      </c>
      <c r="L136" s="100">
        <f t="shared" si="37"/>
        <v>0</v>
      </c>
      <c r="M136" s="100">
        <f t="shared" si="38"/>
        <v>0</v>
      </c>
      <c r="N136" s="100">
        <v>0</v>
      </c>
      <c r="O136" s="100">
        <f t="shared" si="39"/>
        <v>0</v>
      </c>
      <c r="P136" s="100">
        <f t="shared" si="40"/>
        <v>0</v>
      </c>
      <c r="Q136" s="124">
        <f t="shared" si="41"/>
        <v>0</v>
      </c>
      <c r="R136" s="114"/>
      <c r="S136" s="231"/>
      <c r="T136" s="231"/>
      <c r="U136" s="231"/>
      <c r="V136" s="231"/>
      <c r="W136" s="231"/>
      <c r="X136" s="231"/>
      <c r="Y136" s="231"/>
      <c r="Z136" s="231"/>
      <c r="AA136" s="231"/>
      <c r="AB136" s="231"/>
      <c r="AC136" s="231"/>
      <c r="AD136" s="231"/>
      <c r="AE136" s="231"/>
      <c r="AF136" s="231"/>
      <c r="AG136" s="231"/>
      <c r="AH136" s="231"/>
      <c r="AI136" s="231"/>
      <c r="AJ136" s="231"/>
      <c r="AK136" s="231"/>
      <c r="AL136" s="231"/>
      <c r="AM136" s="231"/>
      <c r="AN136" s="231"/>
    </row>
    <row r="137" s="34" customFormat="1" ht="18" customHeight="1" spans="1:40">
      <c r="A137" s="67">
        <f>IF(F137&lt;&gt;"",1+MAX($A$2:A136),"")</f>
        <v>112</v>
      </c>
      <c r="B137" s="237"/>
      <c r="C137" s="74"/>
      <c r="D137" s="240" t="s">
        <v>162</v>
      </c>
      <c r="E137" s="76">
        <v>2</v>
      </c>
      <c r="F137" s="71">
        <v>0</v>
      </c>
      <c r="G137" s="66">
        <f t="shared" si="35"/>
        <v>2</v>
      </c>
      <c r="H137" s="70" t="s">
        <v>35</v>
      </c>
      <c r="I137" s="97">
        <v>0</v>
      </c>
      <c r="J137" s="98">
        <f t="shared" si="36"/>
        <v>0</v>
      </c>
      <c r="K137" s="99">
        <v>50</v>
      </c>
      <c r="L137" s="100">
        <f t="shared" si="37"/>
        <v>0</v>
      </c>
      <c r="M137" s="100">
        <f t="shared" si="38"/>
        <v>0</v>
      </c>
      <c r="N137" s="100">
        <v>0</v>
      </c>
      <c r="O137" s="100">
        <f t="shared" si="39"/>
        <v>0</v>
      </c>
      <c r="P137" s="100">
        <f t="shared" si="40"/>
        <v>0</v>
      </c>
      <c r="Q137" s="124">
        <f t="shared" si="41"/>
        <v>0</v>
      </c>
      <c r="R137" s="114"/>
      <c r="S137" s="231"/>
      <c r="T137" s="231"/>
      <c r="U137" s="231"/>
      <c r="V137" s="231"/>
      <c r="W137" s="231"/>
      <c r="X137" s="231"/>
      <c r="Y137" s="231"/>
      <c r="Z137" s="231"/>
      <c r="AA137" s="231"/>
      <c r="AB137" s="231"/>
      <c r="AC137" s="231"/>
      <c r="AD137" s="231"/>
      <c r="AE137" s="231"/>
      <c r="AF137" s="231"/>
      <c r="AG137" s="231"/>
      <c r="AH137" s="231"/>
      <c r="AI137" s="231"/>
      <c r="AJ137" s="231"/>
      <c r="AK137" s="231"/>
      <c r="AL137" s="231"/>
      <c r="AM137" s="231"/>
      <c r="AN137" s="231"/>
    </row>
    <row r="138" s="34" customFormat="1" ht="18" customHeight="1" spans="1:40">
      <c r="A138" s="67">
        <f>IF(F138&lt;&gt;"",1+MAX($A$2:A137),"")</f>
        <v>113</v>
      </c>
      <c r="B138" s="237"/>
      <c r="C138" s="74"/>
      <c r="D138" s="240" t="s">
        <v>163</v>
      </c>
      <c r="E138" s="76">
        <v>3</v>
      </c>
      <c r="F138" s="71">
        <v>0</v>
      </c>
      <c r="G138" s="66">
        <f t="shared" si="35"/>
        <v>3</v>
      </c>
      <c r="H138" s="70" t="s">
        <v>35</v>
      </c>
      <c r="I138" s="97">
        <v>0</v>
      </c>
      <c r="J138" s="98">
        <f t="shared" si="36"/>
        <v>0</v>
      </c>
      <c r="K138" s="99">
        <v>50</v>
      </c>
      <c r="L138" s="100">
        <f t="shared" si="37"/>
        <v>0</v>
      </c>
      <c r="M138" s="100">
        <f t="shared" si="38"/>
        <v>0</v>
      </c>
      <c r="N138" s="100">
        <v>0</v>
      </c>
      <c r="O138" s="100">
        <f t="shared" si="39"/>
        <v>0</v>
      </c>
      <c r="P138" s="100">
        <f t="shared" si="40"/>
        <v>0</v>
      </c>
      <c r="Q138" s="124">
        <f t="shared" si="41"/>
        <v>0</v>
      </c>
      <c r="R138" s="114"/>
      <c r="S138" s="231"/>
      <c r="T138" s="231"/>
      <c r="U138" s="231"/>
      <c r="V138" s="231"/>
      <c r="W138" s="231"/>
      <c r="X138" s="231"/>
      <c r="Y138" s="231"/>
      <c r="Z138" s="231"/>
      <c r="AA138" s="231"/>
      <c r="AB138" s="231"/>
      <c r="AC138" s="231"/>
      <c r="AD138" s="231"/>
      <c r="AE138" s="231"/>
      <c r="AF138" s="231"/>
      <c r="AG138" s="231"/>
      <c r="AH138" s="231"/>
      <c r="AI138" s="231"/>
      <c r="AJ138" s="231"/>
      <c r="AK138" s="231"/>
      <c r="AL138" s="231"/>
      <c r="AM138" s="231"/>
      <c r="AN138" s="231"/>
    </row>
    <row r="139" s="34" customFormat="1" ht="18" customHeight="1" spans="1:40">
      <c r="A139" s="61">
        <f>IF(F139&lt;&gt;"",1+MAX($A$2:A138),"")</f>
        <v>114</v>
      </c>
      <c r="B139" s="237"/>
      <c r="C139" s="74"/>
      <c r="D139" s="240" t="s">
        <v>164</v>
      </c>
      <c r="E139" s="76">
        <v>3</v>
      </c>
      <c r="F139" s="65">
        <v>0</v>
      </c>
      <c r="G139" s="66">
        <f t="shared" si="35"/>
        <v>3</v>
      </c>
      <c r="H139" s="70" t="s">
        <v>35</v>
      </c>
      <c r="I139" s="97">
        <v>0</v>
      </c>
      <c r="J139" s="98">
        <f t="shared" si="36"/>
        <v>0</v>
      </c>
      <c r="K139" s="99">
        <v>50</v>
      </c>
      <c r="L139" s="100">
        <f t="shared" si="37"/>
        <v>0</v>
      </c>
      <c r="M139" s="100">
        <f t="shared" si="38"/>
        <v>0</v>
      </c>
      <c r="N139" s="100">
        <v>0</v>
      </c>
      <c r="O139" s="100">
        <f t="shared" si="39"/>
        <v>0</v>
      </c>
      <c r="P139" s="100">
        <f t="shared" si="40"/>
        <v>0</v>
      </c>
      <c r="Q139" s="124">
        <f t="shared" si="41"/>
        <v>0</v>
      </c>
      <c r="R139" s="114"/>
      <c r="S139" s="231"/>
      <c r="T139" s="231"/>
      <c r="U139" s="231"/>
      <c r="V139" s="231"/>
      <c r="W139" s="231"/>
      <c r="X139" s="231"/>
      <c r="Y139" s="231"/>
      <c r="Z139" s="231"/>
      <c r="AA139" s="231"/>
      <c r="AB139" s="231"/>
      <c r="AC139" s="231"/>
      <c r="AD139" s="231"/>
      <c r="AE139" s="231"/>
      <c r="AF139" s="231"/>
      <c r="AG139" s="231"/>
      <c r="AH139" s="231"/>
      <c r="AI139" s="231"/>
      <c r="AJ139" s="231"/>
      <c r="AK139" s="231"/>
      <c r="AL139" s="231"/>
      <c r="AM139" s="231"/>
      <c r="AN139" s="231"/>
    </row>
    <row r="140" s="34" customFormat="1" ht="18" customHeight="1" spans="1:40">
      <c r="A140" s="67">
        <f>IF(F140&lt;&gt;"",1+MAX($A$2:A139),"")</f>
        <v>115</v>
      </c>
      <c r="B140" s="237"/>
      <c r="C140" s="74"/>
      <c r="D140" s="240" t="s">
        <v>165</v>
      </c>
      <c r="E140" s="76">
        <v>8</v>
      </c>
      <c r="F140" s="71">
        <v>0</v>
      </c>
      <c r="G140" s="66">
        <f t="shared" si="35"/>
        <v>8</v>
      </c>
      <c r="H140" s="70" t="s">
        <v>35</v>
      </c>
      <c r="I140" s="97">
        <v>0</v>
      </c>
      <c r="J140" s="98">
        <f t="shared" si="36"/>
        <v>0</v>
      </c>
      <c r="K140" s="99">
        <v>50</v>
      </c>
      <c r="L140" s="100">
        <f t="shared" si="37"/>
        <v>0</v>
      </c>
      <c r="M140" s="100">
        <f t="shared" si="38"/>
        <v>0</v>
      </c>
      <c r="N140" s="100">
        <v>0</v>
      </c>
      <c r="O140" s="100">
        <f t="shared" si="39"/>
        <v>0</v>
      </c>
      <c r="P140" s="100">
        <f t="shared" si="40"/>
        <v>0</v>
      </c>
      <c r="Q140" s="124">
        <f t="shared" si="41"/>
        <v>0</v>
      </c>
      <c r="R140" s="114"/>
      <c r="S140" s="231"/>
      <c r="T140" s="231"/>
      <c r="U140" s="231"/>
      <c r="V140" s="231"/>
      <c r="W140" s="231"/>
      <c r="X140" s="231"/>
      <c r="Y140" s="231"/>
      <c r="Z140" s="231"/>
      <c r="AA140" s="231"/>
      <c r="AB140" s="231"/>
      <c r="AC140" s="231"/>
      <c r="AD140" s="231"/>
      <c r="AE140" s="231"/>
      <c r="AF140" s="231"/>
      <c r="AG140" s="231"/>
      <c r="AH140" s="231"/>
      <c r="AI140" s="231"/>
      <c r="AJ140" s="231"/>
      <c r="AK140" s="231"/>
      <c r="AL140" s="231"/>
      <c r="AM140" s="231"/>
      <c r="AN140" s="231"/>
    </row>
    <row r="141" s="34" customFormat="1" ht="18" customHeight="1" spans="1:40">
      <c r="A141" s="67">
        <f>IF(F141&lt;&gt;"",1+MAX($A$2:A140),"")</f>
        <v>116</v>
      </c>
      <c r="B141" s="237"/>
      <c r="C141" s="74" t="s">
        <v>137</v>
      </c>
      <c r="D141" s="240" t="s">
        <v>138</v>
      </c>
      <c r="E141" s="76">
        <v>3</v>
      </c>
      <c r="F141" s="71">
        <v>0</v>
      </c>
      <c r="G141" s="66">
        <f t="shared" si="35"/>
        <v>3</v>
      </c>
      <c r="H141" s="70" t="s">
        <v>35</v>
      </c>
      <c r="I141" s="97">
        <v>0</v>
      </c>
      <c r="J141" s="98">
        <f t="shared" si="36"/>
        <v>0</v>
      </c>
      <c r="K141" s="99">
        <v>50</v>
      </c>
      <c r="L141" s="100">
        <f t="shared" si="37"/>
        <v>0</v>
      </c>
      <c r="M141" s="100">
        <f t="shared" si="38"/>
        <v>0</v>
      </c>
      <c r="N141" s="100">
        <v>0</v>
      </c>
      <c r="O141" s="100">
        <f t="shared" si="39"/>
        <v>0</v>
      </c>
      <c r="P141" s="100">
        <f t="shared" si="40"/>
        <v>0</v>
      </c>
      <c r="Q141" s="124">
        <f t="shared" si="41"/>
        <v>0</v>
      </c>
      <c r="R141" s="114"/>
      <c r="S141" s="231"/>
      <c r="T141" s="231"/>
      <c r="U141" s="231"/>
      <c r="V141" s="231"/>
      <c r="W141" s="231"/>
      <c r="X141" s="231"/>
      <c r="Y141" s="231"/>
      <c r="Z141" s="231"/>
      <c r="AA141" s="231"/>
      <c r="AB141" s="231"/>
      <c r="AC141" s="231"/>
      <c r="AD141" s="231"/>
      <c r="AE141" s="231"/>
      <c r="AF141" s="231"/>
      <c r="AG141" s="231"/>
      <c r="AH141" s="231"/>
      <c r="AI141" s="231"/>
      <c r="AJ141" s="231"/>
      <c r="AK141" s="231"/>
      <c r="AL141" s="231"/>
      <c r="AM141" s="231"/>
      <c r="AN141" s="231"/>
    </row>
    <row r="142" s="34" customFormat="1" ht="18" customHeight="1" spans="1:40">
      <c r="A142" s="67">
        <f>IF(F142&lt;&gt;"",1+MAX($A$2:A141),"")</f>
        <v>117</v>
      </c>
      <c r="B142" s="237"/>
      <c r="C142" s="74"/>
      <c r="D142" s="240" t="s">
        <v>166</v>
      </c>
      <c r="E142" s="76">
        <v>3</v>
      </c>
      <c r="F142" s="71">
        <v>0</v>
      </c>
      <c r="G142" s="66">
        <f t="shared" si="35"/>
        <v>3</v>
      </c>
      <c r="H142" s="70" t="s">
        <v>35</v>
      </c>
      <c r="I142" s="97">
        <v>0</v>
      </c>
      <c r="J142" s="98">
        <f t="shared" si="36"/>
        <v>0</v>
      </c>
      <c r="K142" s="99">
        <v>50</v>
      </c>
      <c r="L142" s="100">
        <f t="shared" si="37"/>
        <v>0</v>
      </c>
      <c r="M142" s="100">
        <f t="shared" si="38"/>
        <v>0</v>
      </c>
      <c r="N142" s="100">
        <v>0</v>
      </c>
      <c r="O142" s="100">
        <f t="shared" si="39"/>
        <v>0</v>
      </c>
      <c r="P142" s="100">
        <f t="shared" si="40"/>
        <v>0</v>
      </c>
      <c r="Q142" s="124">
        <f t="shared" si="41"/>
        <v>0</v>
      </c>
      <c r="R142" s="114"/>
      <c r="S142" s="231"/>
      <c r="T142" s="231"/>
      <c r="U142" s="231"/>
      <c r="V142" s="231"/>
      <c r="W142" s="231"/>
      <c r="X142" s="231"/>
      <c r="Y142" s="231"/>
      <c r="Z142" s="231"/>
      <c r="AA142" s="231"/>
      <c r="AB142" s="231"/>
      <c r="AC142" s="231"/>
      <c r="AD142" s="231"/>
      <c r="AE142" s="231"/>
      <c r="AF142" s="231"/>
      <c r="AG142" s="231"/>
      <c r="AH142" s="231"/>
      <c r="AI142" s="231"/>
      <c r="AJ142" s="231"/>
      <c r="AK142" s="231"/>
      <c r="AL142" s="231"/>
      <c r="AM142" s="231"/>
      <c r="AN142" s="231"/>
    </row>
    <row r="143" s="34" customFormat="1" ht="18" customHeight="1" spans="1:40">
      <c r="A143" s="61">
        <f>IF(F143&lt;&gt;"",1+MAX($A$2:A142),"")</f>
        <v>118</v>
      </c>
      <c r="B143" s="237"/>
      <c r="C143" s="74"/>
      <c r="D143" s="240" t="s">
        <v>167</v>
      </c>
      <c r="E143" s="76">
        <v>3</v>
      </c>
      <c r="F143" s="65">
        <v>0</v>
      </c>
      <c r="G143" s="66">
        <f t="shared" si="35"/>
        <v>3</v>
      </c>
      <c r="H143" s="70" t="s">
        <v>35</v>
      </c>
      <c r="I143" s="97">
        <v>0</v>
      </c>
      <c r="J143" s="98">
        <f t="shared" si="36"/>
        <v>0</v>
      </c>
      <c r="K143" s="99">
        <v>50</v>
      </c>
      <c r="L143" s="100">
        <f t="shared" si="37"/>
        <v>0</v>
      </c>
      <c r="M143" s="100">
        <f t="shared" si="38"/>
        <v>0</v>
      </c>
      <c r="N143" s="100">
        <v>0</v>
      </c>
      <c r="O143" s="100">
        <f t="shared" si="39"/>
        <v>0</v>
      </c>
      <c r="P143" s="100">
        <f t="shared" si="40"/>
        <v>0</v>
      </c>
      <c r="Q143" s="124">
        <f t="shared" si="41"/>
        <v>0</v>
      </c>
      <c r="R143" s="114"/>
      <c r="S143" s="231"/>
      <c r="T143" s="231"/>
      <c r="U143" s="231"/>
      <c r="V143" s="231"/>
      <c r="W143" s="231"/>
      <c r="X143" s="231"/>
      <c r="Y143" s="231"/>
      <c r="Z143" s="231"/>
      <c r="AA143" s="231"/>
      <c r="AB143" s="231"/>
      <c r="AC143" s="231"/>
      <c r="AD143" s="231"/>
      <c r="AE143" s="231"/>
      <c r="AF143" s="231"/>
      <c r="AG143" s="231"/>
      <c r="AH143" s="231"/>
      <c r="AI143" s="231"/>
      <c r="AJ143" s="231"/>
      <c r="AK143" s="231"/>
      <c r="AL143" s="231"/>
      <c r="AM143" s="231"/>
      <c r="AN143" s="231"/>
    </row>
    <row r="144" s="34" customFormat="1" ht="18" customHeight="1" spans="1:40">
      <c r="A144" s="61" t="str">
        <f>IF(F144&lt;&gt;"",1+MAX($A$2:A143),"")</f>
        <v/>
      </c>
      <c r="B144" s="237"/>
      <c r="C144" s="74"/>
      <c r="D144" s="240"/>
      <c r="E144" s="76"/>
      <c r="F144" s="65"/>
      <c r="G144" s="66"/>
      <c r="H144" s="64"/>
      <c r="I144" s="97"/>
      <c r="J144" s="98"/>
      <c r="K144" s="99"/>
      <c r="L144" s="100"/>
      <c r="M144" s="100"/>
      <c r="N144" s="100"/>
      <c r="O144" s="100"/>
      <c r="P144" s="100"/>
      <c r="Q144" s="124"/>
      <c r="R144" s="114"/>
      <c r="S144" s="231"/>
      <c r="T144" s="231"/>
      <c r="U144" s="231"/>
      <c r="V144" s="231"/>
      <c r="W144" s="231"/>
      <c r="X144" s="231"/>
      <c r="Y144" s="231"/>
      <c r="Z144" s="231"/>
      <c r="AA144" s="231"/>
      <c r="AB144" s="231"/>
      <c r="AC144" s="231"/>
      <c r="AD144" s="231"/>
      <c r="AE144" s="231"/>
      <c r="AF144" s="231"/>
      <c r="AG144" s="231"/>
      <c r="AH144" s="231"/>
      <c r="AI144" s="231"/>
      <c r="AJ144" s="231"/>
      <c r="AK144" s="231"/>
      <c r="AL144" s="231"/>
      <c r="AM144" s="231"/>
      <c r="AN144" s="231"/>
    </row>
    <row r="145" s="34" customFormat="1" ht="18" customHeight="1" spans="1:40">
      <c r="A145" s="61" t="str">
        <f>IF(F145&lt;&gt;"",1+MAX($A$2:A144),"")</f>
        <v/>
      </c>
      <c r="B145" s="237"/>
      <c r="C145" s="74"/>
      <c r="D145" s="242" t="s">
        <v>168</v>
      </c>
      <c r="E145" s="76"/>
      <c r="F145" s="65"/>
      <c r="G145" s="66"/>
      <c r="H145" s="64"/>
      <c r="I145" s="97"/>
      <c r="J145" s="98"/>
      <c r="K145" s="99"/>
      <c r="L145" s="100"/>
      <c r="M145" s="100"/>
      <c r="N145" s="100"/>
      <c r="O145" s="100"/>
      <c r="P145" s="100"/>
      <c r="Q145" s="124"/>
      <c r="R145" s="114"/>
      <c r="S145" s="231"/>
      <c r="T145" s="231"/>
      <c r="U145" s="231"/>
      <c r="V145" s="231"/>
      <c r="W145" s="231"/>
      <c r="X145" s="231"/>
      <c r="Y145" s="231"/>
      <c r="Z145" s="231"/>
      <c r="AA145" s="231"/>
      <c r="AB145" s="231"/>
      <c r="AC145" s="231"/>
      <c r="AD145" s="231"/>
      <c r="AE145" s="231"/>
      <c r="AF145" s="231"/>
      <c r="AG145" s="231"/>
      <c r="AH145" s="231"/>
      <c r="AI145" s="231"/>
      <c r="AJ145" s="231"/>
      <c r="AK145" s="231"/>
      <c r="AL145" s="231"/>
      <c r="AM145" s="231"/>
      <c r="AN145" s="231"/>
    </row>
    <row r="146" s="31" customFormat="1" ht="62.4" spans="1:40">
      <c r="A146" s="136">
        <f>IF(F146&lt;&gt;"",1+MAX($A$2:A145),"")</f>
        <v>119</v>
      </c>
      <c r="B146" s="157"/>
      <c r="C146" s="217"/>
      <c r="D146" s="75" t="s">
        <v>169</v>
      </c>
      <c r="E146" s="76">
        <v>23</v>
      </c>
      <c r="F146" s="65">
        <v>0</v>
      </c>
      <c r="G146" s="66">
        <f t="shared" ref="G146:G156" si="42">(F146*E146)+E146</f>
        <v>23</v>
      </c>
      <c r="H146" s="70" t="s">
        <v>35</v>
      </c>
      <c r="I146" s="97">
        <v>0</v>
      </c>
      <c r="J146" s="98">
        <f t="shared" ref="J146:J156" si="43">+I146*G146</f>
        <v>0</v>
      </c>
      <c r="K146" s="144">
        <v>50</v>
      </c>
      <c r="L146" s="100">
        <f t="shared" ref="L146:L156" si="44">I146*K146</f>
        <v>0</v>
      </c>
      <c r="M146" s="100">
        <f t="shared" ref="M146:M156" si="45">K146*J146</f>
        <v>0</v>
      </c>
      <c r="N146" s="100">
        <v>0</v>
      </c>
      <c r="O146" s="100">
        <f t="shared" ref="O146:O156" si="46">N146*G146</f>
        <v>0</v>
      </c>
      <c r="P146" s="100">
        <f t="shared" ref="P146:P156" si="47">(I146*K146)+N146</f>
        <v>0</v>
      </c>
      <c r="Q146" s="124">
        <f t="shared" ref="Q146:Q156" si="48">P146*G146</f>
        <v>0</v>
      </c>
      <c r="R146" s="118"/>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row>
    <row r="147" s="31" customFormat="1" ht="18" customHeight="1" spans="1:40">
      <c r="A147" s="156">
        <f>IF(F147&lt;&gt;"",1+MAX($A$2:A146),"")</f>
        <v>120</v>
      </c>
      <c r="B147" s="157"/>
      <c r="C147" s="217"/>
      <c r="D147" s="240" t="s">
        <v>170</v>
      </c>
      <c r="E147" s="76">
        <v>5450.53</v>
      </c>
      <c r="F147" s="71">
        <v>0</v>
      </c>
      <c r="G147" s="66">
        <f t="shared" si="42"/>
        <v>5450.53</v>
      </c>
      <c r="H147" s="70" t="s">
        <v>37</v>
      </c>
      <c r="I147" s="97">
        <v>0</v>
      </c>
      <c r="J147" s="98">
        <f t="shared" si="43"/>
        <v>0</v>
      </c>
      <c r="K147" s="144">
        <v>50</v>
      </c>
      <c r="L147" s="100">
        <f t="shared" si="44"/>
        <v>0</v>
      </c>
      <c r="M147" s="100">
        <f t="shared" si="45"/>
        <v>0</v>
      </c>
      <c r="N147" s="100">
        <v>0</v>
      </c>
      <c r="O147" s="100">
        <f t="shared" si="46"/>
        <v>0</v>
      </c>
      <c r="P147" s="100">
        <f t="shared" si="47"/>
        <v>0</v>
      </c>
      <c r="Q147" s="124">
        <f t="shared" si="48"/>
        <v>0</v>
      </c>
      <c r="R147" s="118"/>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row>
    <row r="148" s="34" customFormat="1" ht="18" customHeight="1" spans="1:40">
      <c r="A148" s="67" t="str">
        <f>IF(F148&lt;&gt;"",1+MAX($A$2:A147),"")</f>
        <v/>
      </c>
      <c r="B148" s="237"/>
      <c r="C148" s="74"/>
      <c r="D148" s="240"/>
      <c r="E148" s="76"/>
      <c r="F148" s="71"/>
      <c r="G148" s="66"/>
      <c r="H148" s="70"/>
      <c r="I148" s="97"/>
      <c r="J148" s="98"/>
      <c r="K148" s="99"/>
      <c r="L148" s="100"/>
      <c r="M148" s="100"/>
      <c r="N148" s="100"/>
      <c r="O148" s="100"/>
      <c r="P148" s="100"/>
      <c r="Q148" s="124"/>
      <c r="R148" s="114"/>
      <c r="S148" s="231"/>
      <c r="T148" s="231"/>
      <c r="U148" s="231"/>
      <c r="V148" s="231"/>
      <c r="W148" s="231"/>
      <c r="X148" s="231"/>
      <c r="Y148" s="231"/>
      <c r="Z148" s="231"/>
      <c r="AA148" s="231"/>
      <c r="AB148" s="231"/>
      <c r="AC148" s="231"/>
      <c r="AD148" s="231"/>
      <c r="AE148" s="231"/>
      <c r="AF148" s="231"/>
      <c r="AG148" s="231"/>
      <c r="AH148" s="231"/>
      <c r="AI148" s="231"/>
      <c r="AJ148" s="231"/>
      <c r="AK148" s="231"/>
      <c r="AL148" s="231"/>
      <c r="AM148" s="231"/>
      <c r="AN148" s="231"/>
    </row>
    <row r="149" s="34" customFormat="1" ht="18" customHeight="1" spans="1:40">
      <c r="A149" s="67" t="str">
        <f>IF(F149&lt;&gt;"",1+MAX($A$2:A148),"")</f>
        <v/>
      </c>
      <c r="B149" s="237"/>
      <c r="C149" s="74"/>
      <c r="D149" s="242" t="s">
        <v>171</v>
      </c>
      <c r="E149" s="76"/>
      <c r="F149" s="71"/>
      <c r="G149" s="66"/>
      <c r="H149" s="70"/>
      <c r="I149" s="97"/>
      <c r="J149" s="98"/>
      <c r="K149" s="99"/>
      <c r="L149" s="100"/>
      <c r="M149" s="100"/>
      <c r="N149" s="100"/>
      <c r="O149" s="100"/>
      <c r="P149" s="100"/>
      <c r="Q149" s="124"/>
      <c r="R149" s="114"/>
      <c r="S149" s="231"/>
      <c r="T149" s="231"/>
      <c r="U149" s="231"/>
      <c r="V149" s="231"/>
      <c r="W149" s="231"/>
      <c r="X149" s="231"/>
      <c r="Y149" s="231"/>
      <c r="Z149" s="231"/>
      <c r="AA149" s="231"/>
      <c r="AB149" s="231"/>
      <c r="AC149" s="231"/>
      <c r="AD149" s="231"/>
      <c r="AE149" s="231"/>
      <c r="AF149" s="231"/>
      <c r="AG149" s="231"/>
      <c r="AH149" s="231"/>
      <c r="AI149" s="231"/>
      <c r="AJ149" s="231"/>
      <c r="AK149" s="231"/>
      <c r="AL149" s="231"/>
      <c r="AM149" s="231"/>
      <c r="AN149" s="231"/>
    </row>
    <row r="150" s="31" customFormat="1" ht="18" customHeight="1" spans="1:40">
      <c r="A150" s="156">
        <f>IF(F150&lt;&gt;"",1+MAX($A$2:A149),"")</f>
        <v>121</v>
      </c>
      <c r="B150" s="237"/>
      <c r="C150" s="74"/>
      <c r="D150" s="240" t="s">
        <v>172</v>
      </c>
      <c r="E150" s="76">
        <v>83</v>
      </c>
      <c r="F150" s="71">
        <v>0.1</v>
      </c>
      <c r="G150" s="66">
        <f t="shared" si="42"/>
        <v>91.3</v>
      </c>
      <c r="H150" s="70" t="s">
        <v>37</v>
      </c>
      <c r="I150" s="97">
        <v>0</v>
      </c>
      <c r="J150" s="98">
        <f t="shared" si="43"/>
        <v>0</v>
      </c>
      <c r="K150" s="144">
        <v>50</v>
      </c>
      <c r="L150" s="100">
        <f t="shared" si="44"/>
        <v>0</v>
      </c>
      <c r="M150" s="100">
        <f t="shared" si="45"/>
        <v>0</v>
      </c>
      <c r="N150" s="100">
        <v>0</v>
      </c>
      <c r="O150" s="100">
        <f t="shared" si="46"/>
        <v>0</v>
      </c>
      <c r="P150" s="100">
        <f t="shared" si="47"/>
        <v>0</v>
      </c>
      <c r="Q150" s="124">
        <f t="shared" si="48"/>
        <v>0</v>
      </c>
      <c r="R150" s="118"/>
      <c r="S150" s="244"/>
      <c r="T150" s="244"/>
      <c r="U150" s="244"/>
      <c r="V150" s="244"/>
      <c r="W150" s="244"/>
      <c r="X150" s="244"/>
      <c r="Y150" s="244"/>
      <c r="Z150" s="244"/>
      <c r="AA150" s="244"/>
      <c r="AB150" s="244"/>
      <c r="AC150" s="244"/>
      <c r="AD150" s="244"/>
      <c r="AE150" s="244"/>
      <c r="AF150" s="244"/>
      <c r="AG150" s="244"/>
      <c r="AH150" s="244"/>
      <c r="AI150" s="244"/>
      <c r="AJ150" s="244"/>
      <c r="AK150" s="244"/>
      <c r="AL150" s="244"/>
      <c r="AM150" s="244"/>
      <c r="AN150" s="244"/>
    </row>
    <row r="151" s="34" customFormat="1" ht="18" customHeight="1" spans="1:40">
      <c r="A151" s="67">
        <f>IF(F151&lt;&gt;"",1+MAX($A$2:A150),"")</f>
        <v>122</v>
      </c>
      <c r="B151" s="237"/>
      <c r="C151" s="74"/>
      <c r="D151" s="240" t="s">
        <v>173</v>
      </c>
      <c r="E151" s="76">
        <v>1</v>
      </c>
      <c r="F151" s="71">
        <v>0</v>
      </c>
      <c r="G151" s="66">
        <f t="shared" si="42"/>
        <v>1</v>
      </c>
      <c r="H151" s="70" t="s">
        <v>35</v>
      </c>
      <c r="I151" s="97">
        <v>0</v>
      </c>
      <c r="J151" s="98">
        <f t="shared" si="43"/>
        <v>0</v>
      </c>
      <c r="K151" s="99">
        <v>50</v>
      </c>
      <c r="L151" s="100">
        <f t="shared" si="44"/>
        <v>0</v>
      </c>
      <c r="M151" s="100">
        <f t="shared" si="45"/>
        <v>0</v>
      </c>
      <c r="N151" s="100">
        <v>0</v>
      </c>
      <c r="O151" s="100">
        <f t="shared" si="46"/>
        <v>0</v>
      </c>
      <c r="P151" s="100">
        <f t="shared" si="47"/>
        <v>0</v>
      </c>
      <c r="Q151" s="124">
        <f t="shared" si="48"/>
        <v>0</v>
      </c>
      <c r="R151" s="114"/>
      <c r="S151" s="231"/>
      <c r="T151" s="231"/>
      <c r="U151" s="231"/>
      <c r="V151" s="231"/>
      <c r="W151" s="231"/>
      <c r="X151" s="231"/>
      <c r="Y151" s="231"/>
      <c r="Z151" s="231"/>
      <c r="AA151" s="231"/>
      <c r="AB151" s="231"/>
      <c r="AC151" s="231"/>
      <c r="AD151" s="231"/>
      <c r="AE151" s="231"/>
      <c r="AF151" s="231"/>
      <c r="AG151" s="231"/>
      <c r="AH151" s="231"/>
      <c r="AI151" s="231"/>
      <c r="AJ151" s="231"/>
      <c r="AK151" s="231"/>
      <c r="AL151" s="231"/>
      <c r="AM151" s="231"/>
      <c r="AN151" s="231"/>
    </row>
    <row r="152" s="34" customFormat="1" ht="18" customHeight="1" spans="1:40">
      <c r="A152" s="67">
        <f>IF(F152&lt;&gt;"",1+MAX($A$2:A151),"")</f>
        <v>123</v>
      </c>
      <c r="B152" s="237"/>
      <c r="C152" s="74"/>
      <c r="D152" s="240" t="s">
        <v>174</v>
      </c>
      <c r="E152" s="76">
        <v>5</v>
      </c>
      <c r="F152" s="71">
        <v>0</v>
      </c>
      <c r="G152" s="66">
        <f t="shared" si="42"/>
        <v>5</v>
      </c>
      <c r="H152" s="70" t="s">
        <v>35</v>
      </c>
      <c r="I152" s="97">
        <v>0</v>
      </c>
      <c r="J152" s="98">
        <f t="shared" si="43"/>
        <v>0</v>
      </c>
      <c r="K152" s="99">
        <v>50</v>
      </c>
      <c r="L152" s="100">
        <f t="shared" si="44"/>
        <v>0</v>
      </c>
      <c r="M152" s="100">
        <f t="shared" si="45"/>
        <v>0</v>
      </c>
      <c r="N152" s="100">
        <v>0</v>
      </c>
      <c r="O152" s="100">
        <f t="shared" si="46"/>
        <v>0</v>
      </c>
      <c r="P152" s="100">
        <f t="shared" si="47"/>
        <v>0</v>
      </c>
      <c r="Q152" s="124">
        <f t="shared" si="48"/>
        <v>0</v>
      </c>
      <c r="R152" s="114"/>
      <c r="S152" s="231"/>
      <c r="T152" s="231"/>
      <c r="U152" s="231"/>
      <c r="V152" s="231"/>
      <c r="W152" s="231"/>
      <c r="X152" s="231"/>
      <c r="Y152" s="231"/>
      <c r="Z152" s="231"/>
      <c r="AA152" s="231"/>
      <c r="AB152" s="231"/>
      <c r="AC152" s="231"/>
      <c r="AD152" s="231"/>
      <c r="AE152" s="231"/>
      <c r="AF152" s="231"/>
      <c r="AG152" s="231"/>
      <c r="AH152" s="231"/>
      <c r="AI152" s="231"/>
      <c r="AJ152" s="231"/>
      <c r="AK152" s="231"/>
      <c r="AL152" s="231"/>
      <c r="AM152" s="231"/>
      <c r="AN152" s="231"/>
    </row>
    <row r="153" s="34" customFormat="1" ht="18" customHeight="1" spans="1:40">
      <c r="A153" s="61">
        <f>IF(F153&lt;&gt;"",1+MAX($A$2:A152),"")</f>
        <v>124</v>
      </c>
      <c r="B153" s="237"/>
      <c r="C153" s="74"/>
      <c r="D153" s="240" t="s">
        <v>175</v>
      </c>
      <c r="E153" s="76">
        <v>5</v>
      </c>
      <c r="F153" s="65">
        <v>0</v>
      </c>
      <c r="G153" s="66">
        <f t="shared" si="42"/>
        <v>5</v>
      </c>
      <c r="H153" s="70" t="s">
        <v>35</v>
      </c>
      <c r="I153" s="97">
        <v>0</v>
      </c>
      <c r="J153" s="98">
        <f t="shared" si="43"/>
        <v>0</v>
      </c>
      <c r="K153" s="99">
        <v>50</v>
      </c>
      <c r="L153" s="100">
        <f t="shared" si="44"/>
        <v>0</v>
      </c>
      <c r="M153" s="100">
        <f t="shared" si="45"/>
        <v>0</v>
      </c>
      <c r="N153" s="100">
        <v>0</v>
      </c>
      <c r="O153" s="100">
        <f t="shared" si="46"/>
        <v>0</v>
      </c>
      <c r="P153" s="100">
        <f t="shared" si="47"/>
        <v>0</v>
      </c>
      <c r="Q153" s="124">
        <f t="shared" si="48"/>
        <v>0</v>
      </c>
      <c r="R153" s="114"/>
      <c r="S153" s="231"/>
      <c r="T153" s="231"/>
      <c r="U153" s="231"/>
      <c r="V153" s="231"/>
      <c r="W153" s="231"/>
      <c r="X153" s="231"/>
      <c r="Y153" s="231"/>
      <c r="Z153" s="231"/>
      <c r="AA153" s="231"/>
      <c r="AB153" s="231"/>
      <c r="AC153" s="231"/>
      <c r="AD153" s="231"/>
      <c r="AE153" s="231"/>
      <c r="AF153" s="231"/>
      <c r="AG153" s="231"/>
      <c r="AH153" s="231"/>
      <c r="AI153" s="231"/>
      <c r="AJ153" s="231"/>
      <c r="AK153" s="231"/>
      <c r="AL153" s="231"/>
      <c r="AM153" s="231"/>
      <c r="AN153" s="231"/>
    </row>
    <row r="154" s="34" customFormat="1" ht="18" customHeight="1" spans="1:40">
      <c r="A154" s="67">
        <f>IF(F154&lt;&gt;"",1+MAX($A$2:A153),"")</f>
        <v>125</v>
      </c>
      <c r="B154" s="237"/>
      <c r="C154" s="74"/>
      <c r="D154" s="240" t="s">
        <v>176</v>
      </c>
      <c r="E154" s="76">
        <v>3</v>
      </c>
      <c r="F154" s="71">
        <v>0</v>
      </c>
      <c r="G154" s="66">
        <f t="shared" si="42"/>
        <v>3</v>
      </c>
      <c r="H154" s="70" t="s">
        <v>35</v>
      </c>
      <c r="I154" s="97">
        <v>0</v>
      </c>
      <c r="J154" s="98">
        <f t="shared" si="43"/>
        <v>0</v>
      </c>
      <c r="K154" s="99">
        <v>50</v>
      </c>
      <c r="L154" s="100">
        <f t="shared" si="44"/>
        <v>0</v>
      </c>
      <c r="M154" s="100">
        <f t="shared" si="45"/>
        <v>0</v>
      </c>
      <c r="N154" s="100">
        <v>0</v>
      </c>
      <c r="O154" s="100">
        <f t="shared" si="46"/>
        <v>0</v>
      </c>
      <c r="P154" s="100">
        <f t="shared" si="47"/>
        <v>0</v>
      </c>
      <c r="Q154" s="124">
        <f t="shared" si="48"/>
        <v>0</v>
      </c>
      <c r="R154" s="114"/>
      <c r="S154" s="231"/>
      <c r="T154" s="231"/>
      <c r="U154" s="231"/>
      <c r="V154" s="231"/>
      <c r="W154" s="231"/>
      <c r="X154" s="231"/>
      <c r="Y154" s="231"/>
      <c r="Z154" s="231"/>
      <c r="AA154" s="231"/>
      <c r="AB154" s="231"/>
      <c r="AC154" s="231"/>
      <c r="AD154" s="231"/>
      <c r="AE154" s="231"/>
      <c r="AF154" s="231"/>
      <c r="AG154" s="231"/>
      <c r="AH154" s="231"/>
      <c r="AI154" s="231"/>
      <c r="AJ154" s="231"/>
      <c r="AK154" s="231"/>
      <c r="AL154" s="231"/>
      <c r="AM154" s="231"/>
      <c r="AN154" s="231"/>
    </row>
    <row r="155" s="34" customFormat="1" ht="18" customHeight="1" spans="1:40">
      <c r="A155" s="67">
        <f>IF(F155&lt;&gt;"",1+MAX($A$2:A154),"")</f>
        <v>126</v>
      </c>
      <c r="B155" s="237"/>
      <c r="C155" s="74"/>
      <c r="D155" s="240" t="s">
        <v>177</v>
      </c>
      <c r="E155" s="76">
        <v>3</v>
      </c>
      <c r="F155" s="71">
        <v>0</v>
      </c>
      <c r="G155" s="66">
        <f t="shared" si="42"/>
        <v>3</v>
      </c>
      <c r="H155" s="70" t="s">
        <v>35</v>
      </c>
      <c r="I155" s="97">
        <v>0</v>
      </c>
      <c r="J155" s="98">
        <f t="shared" si="43"/>
        <v>0</v>
      </c>
      <c r="K155" s="99">
        <v>50</v>
      </c>
      <c r="L155" s="100">
        <f t="shared" si="44"/>
        <v>0</v>
      </c>
      <c r="M155" s="100">
        <f t="shared" si="45"/>
        <v>0</v>
      </c>
      <c r="N155" s="100">
        <v>0</v>
      </c>
      <c r="O155" s="100">
        <f t="shared" si="46"/>
        <v>0</v>
      </c>
      <c r="P155" s="100">
        <f t="shared" si="47"/>
        <v>0</v>
      </c>
      <c r="Q155" s="124">
        <f t="shared" si="48"/>
        <v>0</v>
      </c>
      <c r="R155" s="114"/>
      <c r="S155" s="231"/>
      <c r="T155" s="231"/>
      <c r="U155" s="231"/>
      <c r="V155" s="231"/>
      <c r="W155" s="231"/>
      <c r="X155" s="231"/>
      <c r="Y155" s="231"/>
      <c r="Z155" s="231"/>
      <c r="AA155" s="231"/>
      <c r="AB155" s="231"/>
      <c r="AC155" s="231"/>
      <c r="AD155" s="231"/>
      <c r="AE155" s="231"/>
      <c r="AF155" s="231"/>
      <c r="AG155" s="231"/>
      <c r="AH155" s="231"/>
      <c r="AI155" s="231"/>
      <c r="AJ155" s="231"/>
      <c r="AK155" s="231"/>
      <c r="AL155" s="231"/>
      <c r="AM155" s="231"/>
      <c r="AN155" s="231"/>
    </row>
    <row r="156" s="31" customFormat="1" ht="18" customHeight="1" spans="1:40">
      <c r="A156" s="156">
        <f>IF(F156&lt;&gt;"",1+MAX($A$2:A155),"")</f>
        <v>127</v>
      </c>
      <c r="B156" s="237"/>
      <c r="C156" s="74"/>
      <c r="D156" s="240" t="s">
        <v>178</v>
      </c>
      <c r="E156" s="76">
        <v>1</v>
      </c>
      <c r="F156" s="71">
        <v>0</v>
      </c>
      <c r="G156" s="66">
        <f t="shared" si="42"/>
        <v>1</v>
      </c>
      <c r="H156" s="70" t="s">
        <v>35</v>
      </c>
      <c r="I156" s="97">
        <v>0</v>
      </c>
      <c r="J156" s="98">
        <f t="shared" si="43"/>
        <v>0</v>
      </c>
      <c r="K156" s="144">
        <v>50</v>
      </c>
      <c r="L156" s="100">
        <f t="shared" si="44"/>
        <v>0</v>
      </c>
      <c r="M156" s="100">
        <f t="shared" si="45"/>
        <v>0</v>
      </c>
      <c r="N156" s="100">
        <v>0</v>
      </c>
      <c r="O156" s="100">
        <f t="shared" si="46"/>
        <v>0</v>
      </c>
      <c r="P156" s="100">
        <f t="shared" si="47"/>
        <v>0</v>
      </c>
      <c r="Q156" s="124">
        <f t="shared" si="48"/>
        <v>0</v>
      </c>
      <c r="R156" s="118"/>
      <c r="S156" s="244"/>
      <c r="T156" s="244"/>
      <c r="U156" s="244"/>
      <c r="V156" s="244"/>
      <c r="W156" s="244"/>
      <c r="X156" s="244"/>
      <c r="Y156" s="244"/>
      <c r="Z156" s="244"/>
      <c r="AA156" s="244"/>
      <c r="AB156" s="244"/>
      <c r="AC156" s="244"/>
      <c r="AD156" s="244"/>
      <c r="AE156" s="244"/>
      <c r="AF156" s="244"/>
      <c r="AG156" s="244"/>
      <c r="AH156" s="244"/>
      <c r="AI156" s="244"/>
      <c r="AJ156" s="244"/>
      <c r="AK156" s="244"/>
      <c r="AL156" s="244"/>
      <c r="AM156" s="244"/>
      <c r="AN156" s="244"/>
    </row>
    <row r="157" s="34" customFormat="1" ht="18" customHeight="1" spans="1:40">
      <c r="A157" s="152" t="str">
        <f>IF(F157&lt;&gt;"",1+MAX($A$2:A156),"")</f>
        <v/>
      </c>
      <c r="B157" s="237"/>
      <c r="C157" s="74"/>
      <c r="D157" s="239"/>
      <c r="E157" s="70"/>
      <c r="F157" s="71"/>
      <c r="G157" s="72"/>
      <c r="H157" s="76"/>
      <c r="I157" s="101"/>
      <c r="J157" s="98"/>
      <c r="K157" s="99"/>
      <c r="L157" s="100"/>
      <c r="M157" s="100"/>
      <c r="N157" s="100"/>
      <c r="O157" s="100"/>
      <c r="P157" s="104"/>
      <c r="Q157" s="161"/>
      <c r="R157" s="114"/>
      <c r="S157" s="231"/>
      <c r="T157" s="231"/>
      <c r="U157" s="231"/>
      <c r="V157" s="231"/>
      <c r="W157" s="231"/>
      <c r="X157" s="231"/>
      <c r="Y157" s="231"/>
      <c r="Z157" s="231"/>
      <c r="AA157" s="231"/>
      <c r="AB157" s="231"/>
      <c r="AC157" s="231"/>
      <c r="AD157" s="231"/>
      <c r="AE157" s="231"/>
      <c r="AF157" s="231"/>
      <c r="AG157" s="231"/>
      <c r="AH157" s="231"/>
      <c r="AI157" s="231"/>
      <c r="AJ157" s="231"/>
      <c r="AK157" s="231"/>
      <c r="AL157" s="231"/>
      <c r="AM157" s="231"/>
      <c r="AN157" s="231"/>
    </row>
    <row r="158" s="31" customFormat="1" ht="16.35" spans="1:40">
      <c r="A158" s="79" t="str">
        <f>IF(F158&lt;&gt;"",1+MAX($A$2:A157),"")</f>
        <v/>
      </c>
      <c r="B158" s="222"/>
      <c r="C158" s="223"/>
      <c r="D158" s="82" t="s">
        <v>31</v>
      </c>
      <c r="E158" s="83"/>
      <c r="F158" s="83"/>
      <c r="G158" s="83"/>
      <c r="H158" s="83"/>
      <c r="I158" s="83"/>
      <c r="J158" s="158"/>
      <c r="K158" s="158"/>
      <c r="L158" s="158"/>
      <c r="M158" s="158"/>
      <c r="N158" s="158"/>
      <c r="O158" s="105"/>
      <c r="P158" s="105"/>
      <c r="Q158" s="117">
        <f>SUM(Q25:Q157)</f>
        <v>0</v>
      </c>
      <c r="R158" s="118"/>
      <c r="S158" s="244"/>
      <c r="T158" s="244"/>
      <c r="U158" s="244"/>
      <c r="V158" s="244"/>
      <c r="W158" s="244"/>
      <c r="X158" s="244"/>
      <c r="Y158" s="244"/>
      <c r="Z158" s="244"/>
      <c r="AA158" s="244"/>
      <c r="AB158" s="244"/>
      <c r="AC158" s="244"/>
      <c r="AD158" s="244"/>
      <c r="AE158" s="244"/>
      <c r="AF158" s="244"/>
      <c r="AG158" s="244"/>
      <c r="AH158" s="244"/>
      <c r="AI158" s="244"/>
      <c r="AJ158" s="244"/>
      <c r="AK158" s="244"/>
      <c r="AL158" s="244"/>
      <c r="AM158" s="244"/>
      <c r="AN158" s="244"/>
    </row>
    <row r="159" s="31" customFormat="1" spans="1:40">
      <c r="A159" s="154" t="str">
        <f>IF(F159&lt;&gt;"",1+MAX($A$2:A158),"")</f>
        <v/>
      </c>
      <c r="B159" s="222"/>
      <c r="C159" s="223"/>
      <c r="D159" s="86"/>
      <c r="E159" s="86"/>
      <c r="F159" s="86"/>
      <c r="G159" s="86"/>
      <c r="H159" s="86"/>
      <c r="I159" s="86"/>
      <c r="J159" s="86"/>
      <c r="K159" s="86"/>
      <c r="L159" s="86"/>
      <c r="M159" s="86"/>
      <c r="N159" s="86"/>
      <c r="O159" s="86"/>
      <c r="P159" s="86"/>
      <c r="Q159" s="162"/>
      <c r="R159" s="118"/>
      <c r="S159" s="244"/>
      <c r="T159" s="244"/>
      <c r="U159" s="244"/>
      <c r="V159" s="244"/>
      <c r="W159" s="244"/>
      <c r="X159" s="244"/>
      <c r="Y159" s="244"/>
      <c r="Z159" s="244"/>
      <c r="AA159" s="244"/>
      <c r="AB159" s="244"/>
      <c r="AC159" s="244"/>
      <c r="AD159" s="244"/>
      <c r="AE159" s="244"/>
      <c r="AF159" s="244"/>
      <c r="AG159" s="244"/>
      <c r="AH159" s="244"/>
      <c r="AI159" s="244"/>
      <c r="AJ159" s="244"/>
      <c r="AK159" s="244"/>
      <c r="AL159" s="244"/>
      <c r="AM159" s="244"/>
      <c r="AN159" s="244"/>
    </row>
    <row r="160" s="33" customFormat="1" ht="17" customHeight="1" spans="1:40">
      <c r="A160" s="57" t="str">
        <f>IF(F160&lt;&gt;"",1+MAX($A$2:A159),"")</f>
        <v/>
      </c>
      <c r="B160" s="241">
        <v>28</v>
      </c>
      <c r="C160" s="60"/>
      <c r="D160" s="236" t="s">
        <v>179</v>
      </c>
      <c r="E160" s="60"/>
      <c r="F160" s="60"/>
      <c r="G160" s="60"/>
      <c r="H160" s="60"/>
      <c r="I160" s="60"/>
      <c r="J160" s="60"/>
      <c r="K160" s="60"/>
      <c r="L160" s="60"/>
      <c r="M160" s="60"/>
      <c r="N160" s="60"/>
      <c r="O160" s="60"/>
      <c r="P160" s="60"/>
      <c r="Q160" s="120"/>
      <c r="S160" s="248"/>
      <c r="T160" s="249"/>
      <c r="U160" s="249"/>
      <c r="V160" s="249"/>
      <c r="W160" s="249"/>
      <c r="X160" s="249"/>
      <c r="Y160" s="249"/>
      <c r="Z160" s="249"/>
      <c r="AA160" s="249"/>
      <c r="AB160" s="249"/>
      <c r="AC160" s="249"/>
      <c r="AD160" s="249"/>
      <c r="AE160" s="249"/>
      <c r="AF160" s="249"/>
      <c r="AG160" s="249"/>
      <c r="AH160" s="249"/>
      <c r="AI160" s="249"/>
      <c r="AJ160" s="249"/>
      <c r="AK160" s="249"/>
      <c r="AL160" s="249"/>
      <c r="AM160" s="249"/>
      <c r="AN160" s="249"/>
    </row>
    <row r="161" s="34" customFormat="1" ht="18" customHeight="1" spans="1:40">
      <c r="A161" s="67" t="str">
        <f>IF(F161&lt;&gt;"",1+MAX($A$2:A160),"")</f>
        <v/>
      </c>
      <c r="B161" s="237"/>
      <c r="C161" s="74"/>
      <c r="D161" s="240"/>
      <c r="E161" s="76"/>
      <c r="F161" s="71"/>
      <c r="G161" s="66"/>
      <c r="H161" s="76"/>
      <c r="I161" s="97"/>
      <c r="J161" s="98"/>
      <c r="K161" s="99"/>
      <c r="L161" s="100"/>
      <c r="M161" s="100"/>
      <c r="N161" s="100"/>
      <c r="O161" s="100"/>
      <c r="P161" s="100"/>
      <c r="Q161" s="124"/>
      <c r="R161" s="114"/>
      <c r="S161" s="231"/>
      <c r="T161" s="231"/>
      <c r="U161" s="231"/>
      <c r="V161" s="231"/>
      <c r="W161" s="231"/>
      <c r="X161" s="231"/>
      <c r="Y161" s="231"/>
      <c r="Z161" s="231"/>
      <c r="AA161" s="231"/>
      <c r="AB161" s="231"/>
      <c r="AC161" s="231"/>
      <c r="AD161" s="231"/>
      <c r="AE161" s="231"/>
      <c r="AF161" s="231"/>
      <c r="AG161" s="231"/>
      <c r="AH161" s="231"/>
      <c r="AI161" s="231"/>
      <c r="AJ161" s="231"/>
      <c r="AK161" s="231"/>
      <c r="AL161" s="231"/>
      <c r="AM161" s="231"/>
      <c r="AN161" s="231"/>
    </row>
    <row r="162" s="34" customFormat="1" ht="18" customHeight="1" spans="1:40">
      <c r="A162" s="156" t="str">
        <f>IF(F162&lt;&gt;"",1+MAX($A$2:A161),"")</f>
        <v/>
      </c>
      <c r="B162" s="157"/>
      <c r="C162" s="217"/>
      <c r="D162" s="242" t="s">
        <v>180</v>
      </c>
      <c r="E162" s="76"/>
      <c r="F162" s="71"/>
      <c r="G162" s="66"/>
      <c r="H162" s="72"/>
      <c r="I162" s="72"/>
      <c r="J162" s="72"/>
      <c r="K162" s="159"/>
      <c r="L162" s="159"/>
      <c r="M162" s="159"/>
      <c r="N162" s="159"/>
      <c r="O162" s="159"/>
      <c r="P162" s="159"/>
      <c r="Q162" s="163"/>
      <c r="R162" s="114"/>
      <c r="S162" s="231"/>
      <c r="T162" s="231"/>
      <c r="U162" s="231"/>
      <c r="V162" s="231"/>
      <c r="W162" s="231"/>
      <c r="X162" s="231"/>
      <c r="Y162" s="231"/>
      <c r="Z162" s="231"/>
      <c r="AA162" s="231"/>
      <c r="AB162" s="231"/>
      <c r="AC162" s="231"/>
      <c r="AD162" s="231"/>
      <c r="AE162" s="231"/>
      <c r="AF162" s="231"/>
      <c r="AG162" s="231"/>
      <c r="AH162" s="231"/>
      <c r="AI162" s="231"/>
      <c r="AJ162" s="231"/>
      <c r="AK162" s="231"/>
      <c r="AL162" s="231"/>
      <c r="AM162" s="231"/>
      <c r="AN162" s="231"/>
    </row>
    <row r="163" s="34" customFormat="1" ht="18" customHeight="1" spans="1:40">
      <c r="A163" s="61">
        <f>IF(F163&lt;&gt;"",1+MAX($A$2:A162),"")</f>
        <v>128</v>
      </c>
      <c r="B163" s="237"/>
      <c r="C163" s="74"/>
      <c r="D163" s="240" t="s">
        <v>181</v>
      </c>
      <c r="E163" s="76">
        <v>3</v>
      </c>
      <c r="F163" s="65">
        <v>0</v>
      </c>
      <c r="G163" s="66">
        <f t="shared" ref="G163:G166" si="49">(F163*E163)+E163</f>
        <v>3</v>
      </c>
      <c r="H163" s="70" t="s">
        <v>35</v>
      </c>
      <c r="I163" s="97">
        <v>0</v>
      </c>
      <c r="J163" s="98">
        <f t="shared" ref="J163:J166" si="50">+I163*G163</f>
        <v>0</v>
      </c>
      <c r="K163" s="99">
        <v>50</v>
      </c>
      <c r="L163" s="100">
        <f t="shared" ref="L163:L166" si="51">I163*K163</f>
        <v>0</v>
      </c>
      <c r="M163" s="100">
        <f t="shared" ref="M163:M166" si="52">K163*J163</f>
        <v>0</v>
      </c>
      <c r="N163" s="100">
        <v>0</v>
      </c>
      <c r="O163" s="100">
        <f t="shared" ref="O163:O166" si="53">N163*G163</f>
        <v>0</v>
      </c>
      <c r="P163" s="100">
        <f t="shared" ref="P163:P166" si="54">(I163*K163)+N163</f>
        <v>0</v>
      </c>
      <c r="Q163" s="124">
        <f t="shared" ref="Q163:Q166" si="55">P163*G163</f>
        <v>0</v>
      </c>
      <c r="R163" s="114"/>
      <c r="S163" s="231"/>
      <c r="T163" s="231"/>
      <c r="U163" s="231"/>
      <c r="V163" s="231"/>
      <c r="W163" s="231"/>
      <c r="X163" s="231"/>
      <c r="Y163" s="231"/>
      <c r="Z163" s="231"/>
      <c r="AA163" s="231"/>
      <c r="AB163" s="231"/>
      <c r="AC163" s="231"/>
      <c r="AD163" s="231"/>
      <c r="AE163" s="231"/>
      <c r="AF163" s="231"/>
      <c r="AG163" s="231"/>
      <c r="AH163" s="231"/>
      <c r="AI163" s="231"/>
      <c r="AJ163" s="231"/>
      <c r="AK163" s="231"/>
      <c r="AL163" s="231"/>
      <c r="AM163" s="231"/>
      <c r="AN163" s="231"/>
    </row>
    <row r="164" s="34" customFormat="1" ht="18" customHeight="1" spans="1:40">
      <c r="A164" s="67">
        <f>IF(F164&lt;&gt;"",1+MAX($A$2:A163),"")</f>
        <v>129</v>
      </c>
      <c r="B164" s="237"/>
      <c r="C164" s="74"/>
      <c r="D164" s="240" t="s">
        <v>182</v>
      </c>
      <c r="E164" s="76">
        <v>5</v>
      </c>
      <c r="F164" s="71">
        <v>0</v>
      </c>
      <c r="G164" s="66">
        <f t="shared" si="49"/>
        <v>5</v>
      </c>
      <c r="H164" s="70" t="s">
        <v>35</v>
      </c>
      <c r="I164" s="97">
        <v>0</v>
      </c>
      <c r="J164" s="98">
        <f t="shared" si="50"/>
        <v>0</v>
      </c>
      <c r="K164" s="99">
        <v>50</v>
      </c>
      <c r="L164" s="100">
        <f t="shared" si="51"/>
        <v>0</v>
      </c>
      <c r="M164" s="100">
        <f t="shared" si="52"/>
        <v>0</v>
      </c>
      <c r="N164" s="100">
        <v>0</v>
      </c>
      <c r="O164" s="100">
        <f t="shared" si="53"/>
        <v>0</v>
      </c>
      <c r="P164" s="100">
        <f t="shared" si="54"/>
        <v>0</v>
      </c>
      <c r="Q164" s="124">
        <f t="shared" si="55"/>
        <v>0</v>
      </c>
      <c r="R164" s="114"/>
      <c r="S164" s="231"/>
      <c r="T164" s="231"/>
      <c r="U164" s="231"/>
      <c r="V164" s="231"/>
      <c r="W164" s="231"/>
      <c r="X164" s="231"/>
      <c r="Y164" s="231"/>
      <c r="Z164" s="231"/>
      <c r="AA164" s="231"/>
      <c r="AB164" s="231"/>
      <c r="AC164" s="231"/>
      <c r="AD164" s="231"/>
      <c r="AE164" s="231"/>
      <c r="AF164" s="231"/>
      <c r="AG164" s="231"/>
      <c r="AH164" s="231"/>
      <c r="AI164" s="231"/>
      <c r="AJ164" s="231"/>
      <c r="AK164" s="231"/>
      <c r="AL164" s="231"/>
      <c r="AM164" s="231"/>
      <c r="AN164" s="231"/>
    </row>
    <row r="165" s="34" customFormat="1" ht="18" customHeight="1" spans="1:40">
      <c r="A165" s="67">
        <f>IF(F165&lt;&gt;"",1+MAX($A$2:A164),"")</f>
        <v>130</v>
      </c>
      <c r="B165" s="237"/>
      <c r="C165" s="74"/>
      <c r="D165" s="240" t="s">
        <v>183</v>
      </c>
      <c r="E165" s="76">
        <v>4</v>
      </c>
      <c r="F165" s="71">
        <v>0</v>
      </c>
      <c r="G165" s="66">
        <f t="shared" si="49"/>
        <v>4</v>
      </c>
      <c r="H165" s="70" t="s">
        <v>35</v>
      </c>
      <c r="I165" s="97">
        <v>0</v>
      </c>
      <c r="J165" s="98">
        <f t="shared" si="50"/>
        <v>0</v>
      </c>
      <c r="K165" s="99">
        <v>50</v>
      </c>
      <c r="L165" s="100">
        <f t="shared" si="51"/>
        <v>0</v>
      </c>
      <c r="M165" s="100">
        <f t="shared" si="52"/>
        <v>0</v>
      </c>
      <c r="N165" s="100">
        <v>0</v>
      </c>
      <c r="O165" s="100">
        <f t="shared" si="53"/>
        <v>0</v>
      </c>
      <c r="P165" s="100">
        <f t="shared" si="54"/>
        <v>0</v>
      </c>
      <c r="Q165" s="124">
        <f t="shared" si="55"/>
        <v>0</v>
      </c>
      <c r="R165" s="114"/>
      <c r="S165" s="231"/>
      <c r="T165" s="231"/>
      <c r="U165" s="231"/>
      <c r="V165" s="231"/>
      <c r="W165" s="231"/>
      <c r="X165" s="231"/>
      <c r="Y165" s="231"/>
      <c r="Z165" s="231"/>
      <c r="AA165" s="231"/>
      <c r="AB165" s="231"/>
      <c r="AC165" s="231"/>
      <c r="AD165" s="231"/>
      <c r="AE165" s="231"/>
      <c r="AF165" s="231"/>
      <c r="AG165" s="231"/>
      <c r="AH165" s="231"/>
      <c r="AI165" s="231"/>
      <c r="AJ165" s="231"/>
      <c r="AK165" s="231"/>
      <c r="AL165" s="231"/>
      <c r="AM165" s="231"/>
      <c r="AN165" s="231"/>
    </row>
    <row r="166" s="34" customFormat="1" ht="18" customHeight="1" spans="1:40">
      <c r="A166" s="67">
        <f>IF(F166&lt;&gt;"",1+MAX($A$2:A165),"")</f>
        <v>131</v>
      </c>
      <c r="B166" s="237"/>
      <c r="C166" s="74"/>
      <c r="D166" s="240" t="s">
        <v>184</v>
      </c>
      <c r="E166" s="76">
        <v>4</v>
      </c>
      <c r="F166" s="71">
        <v>0</v>
      </c>
      <c r="G166" s="66">
        <f t="shared" si="49"/>
        <v>4</v>
      </c>
      <c r="H166" s="70" t="s">
        <v>35</v>
      </c>
      <c r="I166" s="97">
        <v>0</v>
      </c>
      <c r="J166" s="98">
        <f t="shared" si="50"/>
        <v>0</v>
      </c>
      <c r="K166" s="99">
        <v>50</v>
      </c>
      <c r="L166" s="100">
        <f t="shared" si="51"/>
        <v>0</v>
      </c>
      <c r="M166" s="100">
        <f t="shared" si="52"/>
        <v>0</v>
      </c>
      <c r="N166" s="100">
        <v>0</v>
      </c>
      <c r="O166" s="100">
        <f t="shared" si="53"/>
        <v>0</v>
      </c>
      <c r="P166" s="100">
        <f t="shared" si="54"/>
        <v>0</v>
      </c>
      <c r="Q166" s="124">
        <f t="shared" si="55"/>
        <v>0</v>
      </c>
      <c r="R166" s="114"/>
      <c r="S166" s="231"/>
      <c r="T166" s="231"/>
      <c r="U166" s="231"/>
      <c r="V166" s="231"/>
      <c r="W166" s="231"/>
      <c r="X166" s="231"/>
      <c r="Y166" s="231"/>
      <c r="Z166" s="231"/>
      <c r="AA166" s="231"/>
      <c r="AB166" s="231"/>
      <c r="AC166" s="231"/>
      <c r="AD166" s="231"/>
      <c r="AE166" s="231"/>
      <c r="AF166" s="231"/>
      <c r="AG166" s="231"/>
      <c r="AH166" s="231"/>
      <c r="AI166" s="231"/>
      <c r="AJ166" s="231"/>
      <c r="AK166" s="231"/>
      <c r="AL166" s="231"/>
      <c r="AM166" s="231"/>
      <c r="AN166" s="231"/>
    </row>
    <row r="167" s="33" customFormat="1" ht="17" customHeight="1" spans="1:40">
      <c r="A167" s="87" t="str">
        <f>IF(F167&lt;&gt;"",1+MAX($A$2:A166),"")</f>
        <v/>
      </c>
      <c r="B167" s="251"/>
      <c r="C167" s="72"/>
      <c r="D167" s="239"/>
      <c r="E167" s="72"/>
      <c r="F167" s="90"/>
      <c r="G167" s="91"/>
      <c r="H167" s="70"/>
      <c r="I167" s="97"/>
      <c r="J167" s="98"/>
      <c r="K167" s="99"/>
      <c r="L167" s="100"/>
      <c r="M167" s="139"/>
      <c r="N167" s="100"/>
      <c r="O167" s="100"/>
      <c r="P167" s="100"/>
      <c r="Q167" s="122"/>
      <c r="R167" s="123"/>
      <c r="S167" s="267"/>
      <c r="T167" s="267"/>
      <c r="U167" s="267"/>
      <c r="V167" s="267"/>
      <c r="W167" s="267"/>
      <c r="X167" s="267"/>
      <c r="Y167" s="267"/>
      <c r="Z167" s="267"/>
      <c r="AA167" s="267"/>
      <c r="AB167" s="267"/>
      <c r="AC167" s="267"/>
      <c r="AD167" s="267"/>
      <c r="AE167" s="267"/>
      <c r="AF167" s="267"/>
      <c r="AG167" s="267"/>
      <c r="AH167" s="267"/>
      <c r="AI167" s="267"/>
      <c r="AJ167" s="267"/>
      <c r="AK167" s="249"/>
      <c r="AL167" s="249"/>
      <c r="AM167" s="249"/>
      <c r="AN167" s="249"/>
    </row>
    <row r="168" s="33" customFormat="1" ht="15.75" customHeight="1" spans="1:40">
      <c r="A168" s="87" t="str">
        <f>IF(F168&lt;&gt;"",1+MAX($A$2:A167),"")</f>
        <v/>
      </c>
      <c r="B168" s="252"/>
      <c r="C168" s="126"/>
      <c r="D168" s="82" t="s">
        <v>31</v>
      </c>
      <c r="E168" s="129"/>
      <c r="F168" s="129"/>
      <c r="G168" s="130"/>
      <c r="H168" s="129"/>
      <c r="I168" s="129"/>
      <c r="J168" s="140"/>
      <c r="K168" s="140"/>
      <c r="L168" s="141"/>
      <c r="M168" s="142"/>
      <c r="N168" s="141"/>
      <c r="O168" s="141"/>
      <c r="P168" s="143"/>
      <c r="Q168" s="117">
        <f>SUM(Q163:Q166)</f>
        <v>0</v>
      </c>
      <c r="S168" s="248"/>
      <c r="T168" s="249"/>
      <c r="U168" s="249"/>
      <c r="V168" s="249"/>
      <c r="W168" s="249"/>
      <c r="X168" s="249"/>
      <c r="Y168" s="249"/>
      <c r="Z168" s="249"/>
      <c r="AA168" s="249"/>
      <c r="AB168" s="249"/>
      <c r="AC168" s="249"/>
      <c r="AD168" s="249"/>
      <c r="AE168" s="249"/>
      <c r="AF168" s="249"/>
      <c r="AG168" s="249"/>
      <c r="AH168" s="249"/>
      <c r="AI168" s="249"/>
      <c r="AJ168" s="249"/>
      <c r="AK168" s="249"/>
      <c r="AL168" s="249"/>
      <c r="AM168" s="249"/>
      <c r="AN168" s="249"/>
    </row>
    <row r="169" s="33" customFormat="1" ht="15.75" customHeight="1" spans="1:40">
      <c r="A169" s="131" t="str">
        <f>IF(F169&lt;&gt;"",1+MAX($A$2:A168),"")</f>
        <v/>
      </c>
      <c r="B169" s="253"/>
      <c r="C169" s="164"/>
      <c r="D169" s="132"/>
      <c r="E169" s="132"/>
      <c r="F169" s="132"/>
      <c r="G169" s="132"/>
      <c r="H169" s="132"/>
      <c r="I169" s="132"/>
      <c r="J169" s="132"/>
      <c r="K169" s="132"/>
      <c r="L169" s="132"/>
      <c r="M169" s="132"/>
      <c r="N169" s="132"/>
      <c r="O169" s="132"/>
      <c r="P169" s="132"/>
      <c r="Q169" s="145"/>
      <c r="S169" s="248"/>
      <c r="T169" s="249"/>
      <c r="U169" s="249"/>
      <c r="V169" s="249"/>
      <c r="W169" s="249"/>
      <c r="X169" s="249"/>
      <c r="Y169" s="249"/>
      <c r="Z169" s="249"/>
      <c r="AA169" s="249"/>
      <c r="AB169" s="249"/>
      <c r="AC169" s="249"/>
      <c r="AD169" s="249"/>
      <c r="AE169" s="249"/>
      <c r="AF169" s="249"/>
      <c r="AG169" s="249"/>
      <c r="AH169" s="249"/>
      <c r="AI169" s="249"/>
      <c r="AJ169" s="249"/>
      <c r="AK169" s="249"/>
      <c r="AL169" s="249"/>
      <c r="AM169" s="249"/>
      <c r="AN169" s="249"/>
    </row>
    <row r="170" s="35" customFormat="1" ht="31.2" spans="1:40">
      <c r="A170" s="164"/>
      <c r="B170" s="253"/>
      <c r="C170" s="164"/>
      <c r="D170" s="254"/>
      <c r="E170" s="164"/>
      <c r="F170" s="164"/>
      <c r="G170" s="164"/>
      <c r="H170" s="166" t="s">
        <v>185</v>
      </c>
      <c r="I170" s="190"/>
      <c r="J170" s="191">
        <f t="shared" ref="J170:O170" si="56">SUM(J32:J169)</f>
        <v>0</v>
      </c>
      <c r="K170" s="192" t="s">
        <v>17</v>
      </c>
      <c r="L170" s="193"/>
      <c r="M170" s="194">
        <f t="shared" si="56"/>
        <v>0</v>
      </c>
      <c r="N170" s="265" t="s">
        <v>19</v>
      </c>
      <c r="O170" s="266">
        <f t="shared" si="56"/>
        <v>0</v>
      </c>
      <c r="P170" s="164"/>
      <c r="Q170" s="203"/>
      <c r="S170" s="268"/>
      <c r="T170" s="269"/>
      <c r="U170" s="269"/>
      <c r="V170" s="269"/>
      <c r="W170" s="269"/>
      <c r="X170" s="269"/>
      <c r="Y170" s="269"/>
      <c r="Z170" s="269"/>
      <c r="AA170" s="269"/>
      <c r="AB170" s="269"/>
      <c r="AC170" s="269"/>
      <c r="AD170" s="269"/>
      <c r="AE170" s="269"/>
      <c r="AF170" s="269"/>
      <c r="AG170" s="269"/>
      <c r="AH170" s="269"/>
      <c r="AI170" s="269"/>
      <c r="AJ170" s="269"/>
      <c r="AK170" s="269"/>
      <c r="AL170" s="269"/>
      <c r="AM170" s="269"/>
      <c r="AN170" s="269"/>
    </row>
    <row r="171" s="35" customFormat="1" spans="1:40">
      <c r="A171" s="167"/>
      <c r="B171" s="255"/>
      <c r="C171" s="168"/>
      <c r="D171" s="256" t="s">
        <v>186</v>
      </c>
      <c r="E171" s="170"/>
      <c r="F171" s="170"/>
      <c r="G171" s="171"/>
      <c r="H171" s="170"/>
      <c r="I171" s="170"/>
      <c r="J171" s="170"/>
      <c r="K171" s="170"/>
      <c r="L171" s="197"/>
      <c r="M171" s="197"/>
      <c r="N171" s="197"/>
      <c r="O171" s="197"/>
      <c r="P171" s="197"/>
      <c r="Q171" s="205">
        <f>SUM(Q8:Q169)/2</f>
        <v>0</v>
      </c>
      <c r="S171" s="269"/>
      <c r="T171" s="269"/>
      <c r="U171" s="269"/>
      <c r="V171" s="269"/>
      <c r="W171" s="269"/>
      <c r="X171" s="269"/>
      <c r="Y171" s="269"/>
      <c r="Z171" s="269"/>
      <c r="AA171" s="269"/>
      <c r="AB171" s="269"/>
      <c r="AC171" s="269"/>
      <c r="AD171" s="269"/>
      <c r="AE171" s="269"/>
      <c r="AF171" s="269"/>
      <c r="AG171" s="269"/>
      <c r="AH171" s="269"/>
      <c r="AI171" s="269"/>
      <c r="AJ171" s="269"/>
      <c r="AK171" s="269"/>
      <c r="AL171" s="269"/>
      <c r="AM171" s="269"/>
      <c r="AN171" s="269"/>
    </row>
    <row r="172" s="35" customFormat="1" spans="1:40">
      <c r="A172" s="167"/>
      <c r="B172" s="255"/>
      <c r="C172" s="168"/>
      <c r="D172" s="257" t="s">
        <v>187</v>
      </c>
      <c r="E172" s="174"/>
      <c r="F172" s="168"/>
      <c r="G172" s="174"/>
      <c r="H172" s="168"/>
      <c r="I172" s="168"/>
      <c r="J172" s="168"/>
      <c r="K172" s="168"/>
      <c r="L172" s="198">
        <v>0.05</v>
      </c>
      <c r="M172" s="198"/>
      <c r="N172" s="198"/>
      <c r="O172" s="198"/>
      <c r="P172" s="198"/>
      <c r="Q172" s="205">
        <f>Q171*L172</f>
        <v>0</v>
      </c>
      <c r="R172" s="206"/>
      <c r="S172" s="270"/>
      <c r="T172" s="270"/>
      <c r="U172" s="270"/>
      <c r="V172" s="270"/>
      <c r="W172" s="270"/>
      <c r="X172" s="270"/>
      <c r="Y172" s="270"/>
      <c r="Z172" s="270"/>
      <c r="AA172" s="270"/>
      <c r="AB172" s="270"/>
      <c r="AC172" s="270"/>
      <c r="AD172" s="270"/>
      <c r="AE172" s="270"/>
      <c r="AF172" s="270"/>
      <c r="AG172" s="270"/>
      <c r="AH172" s="270"/>
      <c r="AI172" s="270"/>
      <c r="AJ172" s="270"/>
      <c r="AK172" s="269"/>
      <c r="AL172" s="269"/>
      <c r="AM172" s="269"/>
      <c r="AN172" s="269"/>
    </row>
    <row r="173" s="35" customFormat="1" spans="1:40">
      <c r="A173" s="175"/>
      <c r="B173" s="258"/>
      <c r="C173" s="179"/>
      <c r="D173" s="259" t="s">
        <v>188</v>
      </c>
      <c r="E173" s="178"/>
      <c r="F173" s="179"/>
      <c r="G173" s="178"/>
      <c r="H173" s="179"/>
      <c r="I173" s="179"/>
      <c r="J173" s="179"/>
      <c r="K173" s="179"/>
      <c r="L173" s="199">
        <v>0.1</v>
      </c>
      <c r="M173" s="199"/>
      <c r="N173" s="199"/>
      <c r="O173" s="199"/>
      <c r="P173" s="199"/>
      <c r="Q173" s="207">
        <f>Q171*L173</f>
        <v>0</v>
      </c>
      <c r="R173" s="206"/>
      <c r="S173" s="270"/>
      <c r="T173" s="270"/>
      <c r="U173" s="270"/>
      <c r="V173" s="270"/>
      <c r="W173" s="270"/>
      <c r="X173" s="270"/>
      <c r="Y173" s="270"/>
      <c r="Z173" s="270"/>
      <c r="AA173" s="270"/>
      <c r="AB173" s="270"/>
      <c r="AC173" s="270"/>
      <c r="AD173" s="270"/>
      <c r="AE173" s="270"/>
      <c r="AF173" s="270"/>
      <c r="AG173" s="270"/>
      <c r="AH173" s="270"/>
      <c r="AI173" s="270"/>
      <c r="AJ173" s="270"/>
      <c r="AK173" s="269"/>
      <c r="AL173" s="269"/>
      <c r="AM173" s="269"/>
      <c r="AN173" s="269"/>
    </row>
    <row r="174" s="35" customFormat="1" spans="1:40">
      <c r="A174" s="175"/>
      <c r="B174" s="258"/>
      <c r="C174" s="179"/>
      <c r="D174" s="259" t="s">
        <v>189</v>
      </c>
      <c r="E174" s="178"/>
      <c r="F174" s="179"/>
      <c r="G174" s="178"/>
      <c r="H174" s="179"/>
      <c r="I174" s="179"/>
      <c r="J174" s="179"/>
      <c r="K174" s="179"/>
      <c r="L174" s="199">
        <v>0.1</v>
      </c>
      <c r="M174" s="199"/>
      <c r="N174" s="199"/>
      <c r="O174" s="199"/>
      <c r="P174" s="199"/>
      <c r="Q174" s="207">
        <f>Q171*L174</f>
        <v>0</v>
      </c>
      <c r="R174" s="206"/>
      <c r="S174" s="270"/>
      <c r="T174" s="270"/>
      <c r="U174" s="270"/>
      <c r="V174" s="270"/>
      <c r="W174" s="270"/>
      <c r="X174" s="270"/>
      <c r="Y174" s="270"/>
      <c r="Z174" s="270"/>
      <c r="AA174" s="270"/>
      <c r="AB174" s="270"/>
      <c r="AC174" s="270"/>
      <c r="AD174" s="270"/>
      <c r="AE174" s="270"/>
      <c r="AF174" s="270"/>
      <c r="AG174" s="270"/>
      <c r="AH174" s="270"/>
      <c r="AI174" s="270"/>
      <c r="AJ174" s="270"/>
      <c r="AK174" s="269"/>
      <c r="AL174" s="269"/>
      <c r="AM174" s="269"/>
      <c r="AN174" s="269"/>
    </row>
    <row r="175" s="35" customFormat="1" spans="1:40">
      <c r="A175" s="180"/>
      <c r="B175" s="260"/>
      <c r="C175" s="184"/>
      <c r="D175" s="261" t="s">
        <v>190</v>
      </c>
      <c r="E175" s="183"/>
      <c r="F175" s="184"/>
      <c r="G175" s="183"/>
      <c r="H175" s="184"/>
      <c r="I175" s="184"/>
      <c r="J175" s="184"/>
      <c r="K175" s="184"/>
      <c r="L175" s="200">
        <v>0.085</v>
      </c>
      <c r="M175" s="200"/>
      <c r="N175" s="200"/>
      <c r="O175" s="200"/>
      <c r="P175" s="200"/>
      <c r="Q175" s="208">
        <f>Q171*L175</f>
        <v>0</v>
      </c>
      <c r="R175" s="206"/>
      <c r="S175" s="270"/>
      <c r="T175" s="270"/>
      <c r="U175" s="270"/>
      <c r="V175" s="270"/>
      <c r="W175" s="270"/>
      <c r="X175" s="270"/>
      <c r="Y175" s="270"/>
      <c r="Z175" s="270"/>
      <c r="AA175" s="270"/>
      <c r="AB175" s="270"/>
      <c r="AC175" s="270"/>
      <c r="AD175" s="270"/>
      <c r="AE175" s="270"/>
      <c r="AF175" s="270"/>
      <c r="AG175" s="270"/>
      <c r="AH175" s="270"/>
      <c r="AI175" s="270"/>
      <c r="AJ175" s="270"/>
      <c r="AK175" s="269"/>
      <c r="AL175" s="269"/>
      <c r="AM175" s="269"/>
      <c r="AN175" s="269"/>
    </row>
    <row r="176" s="35" customFormat="1" spans="1:40">
      <c r="A176" s="180"/>
      <c r="B176" s="260"/>
      <c r="C176" s="184"/>
      <c r="D176" s="261" t="s">
        <v>191</v>
      </c>
      <c r="E176" s="183"/>
      <c r="F176" s="184"/>
      <c r="G176" s="183"/>
      <c r="H176" s="184"/>
      <c r="I176" s="184"/>
      <c r="J176" s="184"/>
      <c r="K176" s="184"/>
      <c r="L176" s="201">
        <v>0.015</v>
      </c>
      <c r="M176" s="201"/>
      <c r="N176" s="201"/>
      <c r="O176" s="201"/>
      <c r="P176" s="201"/>
      <c r="Q176" s="208">
        <f>Q171*L176</f>
        <v>0</v>
      </c>
      <c r="R176" s="206"/>
      <c r="S176" s="270"/>
      <c r="T176" s="270"/>
      <c r="U176" s="270"/>
      <c r="V176" s="270"/>
      <c r="W176" s="270"/>
      <c r="X176" s="270"/>
      <c r="Y176" s="270"/>
      <c r="Z176" s="270"/>
      <c r="AA176" s="270"/>
      <c r="AB176" s="270"/>
      <c r="AC176" s="270"/>
      <c r="AD176" s="270"/>
      <c r="AE176" s="270"/>
      <c r="AF176" s="270"/>
      <c r="AG176" s="270"/>
      <c r="AH176" s="270"/>
      <c r="AI176" s="270"/>
      <c r="AJ176" s="270"/>
      <c r="AK176" s="269"/>
      <c r="AL176" s="269"/>
      <c r="AM176" s="269"/>
      <c r="AN176" s="269"/>
    </row>
    <row r="177" s="35" customFormat="1" ht="16.35" spans="1:40">
      <c r="A177" s="185"/>
      <c r="B177" s="262"/>
      <c r="C177" s="263"/>
      <c r="D177" s="264" t="s">
        <v>192</v>
      </c>
      <c r="E177" s="188"/>
      <c r="F177" s="188"/>
      <c r="G177" s="189"/>
      <c r="H177" s="188"/>
      <c r="I177" s="188"/>
      <c r="J177" s="188"/>
      <c r="K177" s="188"/>
      <c r="L177" s="202"/>
      <c r="M177" s="202"/>
      <c r="N177" s="202"/>
      <c r="O177" s="202"/>
      <c r="P177" s="202"/>
      <c r="Q177" s="209">
        <f>SUM(Q171:Q176)</f>
        <v>0</v>
      </c>
      <c r="S177" s="269"/>
      <c r="T177" s="269"/>
      <c r="U177" s="269"/>
      <c r="V177" s="269"/>
      <c r="W177" s="269"/>
      <c r="X177" s="269"/>
      <c r="Y177" s="269"/>
      <c r="Z177" s="269"/>
      <c r="AA177" s="269"/>
      <c r="AB177" s="269"/>
      <c r="AC177" s="269"/>
      <c r="AD177" s="269"/>
      <c r="AE177" s="269"/>
      <c r="AF177" s="269"/>
      <c r="AG177" s="269"/>
      <c r="AH177" s="269"/>
      <c r="AI177" s="269"/>
      <c r="AJ177" s="269"/>
      <c r="AK177" s="269"/>
      <c r="AL177" s="269"/>
      <c r="AM177" s="269"/>
      <c r="AN177" s="269"/>
    </row>
  </sheetData>
  <mergeCells count="3">
    <mergeCell ref="A2:Q2"/>
    <mergeCell ref="H170:I170"/>
    <mergeCell ref="K170:L17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AJ797"/>
  <sheetViews>
    <sheetView showGridLines="0" tabSelected="1" zoomScale="55" zoomScaleNormal="55" zoomScaleSheetLayoutView="85" topLeftCell="A2" workbookViewId="0">
      <pane ySplit="5" topLeftCell="A7" activePane="bottomLeft" state="frozen"/>
      <selection/>
      <selection pane="bottomLeft" activeCell="D6" sqref="D6"/>
    </sheetView>
  </sheetViews>
  <sheetFormatPr defaultColWidth="9" defaultRowHeight="15.6"/>
  <cols>
    <col min="1" max="1" width="6.175" style="34" customWidth="1"/>
    <col min="2" max="2" width="8.5" style="34" customWidth="1"/>
    <col min="3" max="3" width="25.3" style="34" customWidth="1"/>
    <col min="4" max="4" width="68.8833333333333" style="36" customWidth="1"/>
    <col min="5" max="6" width="11.5583333333333" style="37" customWidth="1"/>
    <col min="7" max="7" width="14" style="37" customWidth="1"/>
    <col min="8" max="8" width="10.5583333333333" style="34" customWidth="1"/>
    <col min="9" max="10" width="14" style="37" customWidth="1"/>
    <col min="11" max="12" width="12.5583333333333" style="34" customWidth="1"/>
    <col min="13" max="13" width="14.4416666666667" style="34" customWidth="1"/>
    <col min="14" max="14" width="19.1083333333333" style="34" customWidth="1"/>
    <col min="15" max="15" width="14.6666666666667" style="34" customWidth="1"/>
    <col min="16" max="16" width="12.5583333333333" style="34" customWidth="1"/>
    <col min="17" max="17" width="15.2166666666667" style="36" customWidth="1"/>
    <col min="18" max="16384" width="9" style="34"/>
  </cols>
  <sheetData>
    <row r="1" s="31" customFormat="1" ht="15" hidden="1" customHeight="1" spans="1:17">
      <c r="A1" s="38"/>
      <c r="B1" s="39"/>
      <c r="C1" s="39"/>
      <c r="D1" s="39"/>
      <c r="E1" s="39"/>
      <c r="F1" s="39"/>
      <c r="G1" s="39"/>
      <c r="H1" s="39"/>
      <c r="I1" s="39"/>
      <c r="J1" s="39"/>
      <c r="K1" s="39"/>
      <c r="L1" s="39"/>
      <c r="M1" s="39"/>
      <c r="N1" s="39"/>
      <c r="O1" s="39"/>
      <c r="P1" s="39"/>
      <c r="Q1" s="39"/>
    </row>
    <row r="2" ht="18.75" spans="1:17">
      <c r="A2" s="40" t="s">
        <v>0</v>
      </c>
      <c r="B2" s="41"/>
      <c r="C2" s="41"/>
      <c r="D2" s="42"/>
      <c r="E2" s="41"/>
      <c r="F2" s="41"/>
      <c r="G2" s="41"/>
      <c r="H2" s="41"/>
      <c r="I2" s="41"/>
      <c r="J2" s="41"/>
      <c r="K2" s="41"/>
      <c r="L2" s="41"/>
      <c r="M2" s="41"/>
      <c r="N2" s="41"/>
      <c r="O2" s="41"/>
      <c r="P2" s="41"/>
      <c r="Q2" s="109"/>
    </row>
    <row r="3" s="34" customFormat="1" ht="17.4" customHeight="1" spans="1:17">
      <c r="A3" s="43"/>
      <c r="B3" s="44"/>
      <c r="C3" s="45" t="s">
        <v>1</v>
      </c>
      <c r="D3" s="46" t="s">
        <v>2</v>
      </c>
      <c r="E3" s="47"/>
      <c r="F3" s="47"/>
      <c r="G3" s="48"/>
      <c r="H3" s="48"/>
      <c r="I3" s="48"/>
      <c r="J3" s="48"/>
      <c r="K3" s="48"/>
      <c r="L3" s="48"/>
      <c r="M3" s="48"/>
      <c r="N3" s="48"/>
      <c r="O3" s="92"/>
      <c r="P3" s="93"/>
      <c r="Q3" s="110"/>
    </row>
    <row r="4" s="34" customFormat="1" ht="18" customHeight="1" spans="1:17">
      <c r="A4" s="43"/>
      <c r="B4" s="49"/>
      <c r="C4" s="49" t="s">
        <v>3</v>
      </c>
      <c r="D4" s="46" t="s">
        <v>4</v>
      </c>
      <c r="E4" s="50"/>
      <c r="F4" s="50"/>
      <c r="G4" s="50"/>
      <c r="H4" s="51"/>
      <c r="I4" s="50"/>
      <c r="J4" s="50"/>
      <c r="K4" s="48"/>
      <c r="L4" s="48"/>
      <c r="M4" s="48"/>
      <c r="N4" s="48"/>
      <c r="O4" s="92"/>
      <c r="P4" s="93"/>
      <c r="Q4" s="110"/>
    </row>
    <row r="5" s="34" customFormat="1" ht="24" customHeight="1" spans="1:17">
      <c r="A5" s="43"/>
      <c r="B5" s="52"/>
      <c r="C5" s="52"/>
      <c r="D5" s="36"/>
      <c r="E5" s="53"/>
      <c r="F5" s="50"/>
      <c r="G5" s="50"/>
      <c r="H5" s="53"/>
      <c r="I5" s="50"/>
      <c r="J5" s="50"/>
      <c r="K5" s="94"/>
      <c r="L5" s="94"/>
      <c r="M5" s="94"/>
      <c r="N5" s="94"/>
      <c r="O5" s="95"/>
      <c r="P5" s="96"/>
      <c r="Q5" s="110"/>
    </row>
    <row r="6" s="31" customFormat="1" ht="59.4" customHeight="1" spans="1:17">
      <c r="A6" s="54" t="s">
        <v>5</v>
      </c>
      <c r="B6" s="55" t="s">
        <v>6</v>
      </c>
      <c r="C6" s="55" t="s">
        <v>7</v>
      </c>
      <c r="D6" s="56" t="s">
        <v>8</v>
      </c>
      <c r="E6" s="55" t="s">
        <v>9</v>
      </c>
      <c r="F6" s="55" t="s">
        <v>10</v>
      </c>
      <c r="G6" s="55" t="s">
        <v>11</v>
      </c>
      <c r="H6" s="55" t="s">
        <v>12</v>
      </c>
      <c r="I6" s="55" t="s">
        <v>13</v>
      </c>
      <c r="J6" s="55" t="s">
        <v>14</v>
      </c>
      <c r="K6" s="55" t="s">
        <v>15</v>
      </c>
      <c r="L6" s="55" t="s">
        <v>16</v>
      </c>
      <c r="M6" s="55" t="s">
        <v>17</v>
      </c>
      <c r="N6" s="55" t="s">
        <v>18</v>
      </c>
      <c r="O6" s="55" t="s">
        <v>19</v>
      </c>
      <c r="P6" s="55" t="s">
        <v>20</v>
      </c>
      <c r="Q6" s="111" t="s">
        <v>21</v>
      </c>
    </row>
    <row r="7" s="32" customFormat="1" ht="18" customHeight="1" spans="1:17">
      <c r="A7" s="57"/>
      <c r="B7" s="58">
        <v>1</v>
      </c>
      <c r="C7" s="58"/>
      <c r="D7" s="59" t="s">
        <v>22</v>
      </c>
      <c r="E7" s="60"/>
      <c r="F7" s="60"/>
      <c r="G7" s="60"/>
      <c r="H7" s="60"/>
      <c r="I7" s="60"/>
      <c r="J7" s="60"/>
      <c r="K7" s="60"/>
      <c r="L7" s="60"/>
      <c r="M7" s="60"/>
      <c r="N7" s="60"/>
      <c r="O7" s="60"/>
      <c r="P7" s="60"/>
      <c r="Q7" s="112"/>
    </row>
    <row r="8" ht="18" customHeight="1" spans="1:18">
      <c r="A8" s="61">
        <f>IF(F8&lt;&gt;"",1+MAX($A$2:A7),"")</f>
        <v>1</v>
      </c>
      <c r="B8" s="62"/>
      <c r="C8" s="62"/>
      <c r="D8" s="63" t="s">
        <v>23</v>
      </c>
      <c r="E8" s="64">
        <v>1</v>
      </c>
      <c r="F8" s="65">
        <v>0</v>
      </c>
      <c r="G8" s="66">
        <f t="shared" ref="G8:G14" si="0">(F8*E8)+E8</f>
        <v>1</v>
      </c>
      <c r="H8" s="64" t="s">
        <v>24</v>
      </c>
      <c r="I8" s="97">
        <v>0</v>
      </c>
      <c r="J8" s="98">
        <f t="shared" ref="J8:J14" si="1">+I8*G8</f>
        <v>0</v>
      </c>
      <c r="K8" s="99">
        <v>0</v>
      </c>
      <c r="L8" s="100">
        <f t="shared" ref="L8:L14" si="2">I8*K8</f>
        <v>0</v>
      </c>
      <c r="M8" s="100">
        <f t="shared" ref="M8:M14" si="3">K8*J8</f>
        <v>0</v>
      </c>
      <c r="N8" s="100">
        <v>0</v>
      </c>
      <c r="O8" s="100">
        <f t="shared" ref="O8:O14" si="4">N8*G8</f>
        <v>0</v>
      </c>
      <c r="P8" s="100">
        <f t="shared" ref="P8:P14" si="5">(I8*K8)+N8</f>
        <v>0</v>
      </c>
      <c r="Q8" s="113">
        <f>P8*G8</f>
        <v>0</v>
      </c>
      <c r="R8" s="114"/>
    </row>
    <row r="9" ht="18" customHeight="1" spans="1:18">
      <c r="A9" s="67">
        <f>IF(F9&lt;&gt;"",1+MAX($A$2:A8),"")</f>
        <v>2</v>
      </c>
      <c r="B9" s="68"/>
      <c r="C9" s="68"/>
      <c r="D9" s="69" t="s">
        <v>25</v>
      </c>
      <c r="E9" s="70">
        <v>1</v>
      </c>
      <c r="F9" s="71">
        <v>0</v>
      </c>
      <c r="G9" s="72">
        <f t="shared" si="0"/>
        <v>1</v>
      </c>
      <c r="H9" s="70" t="s">
        <v>24</v>
      </c>
      <c r="I9" s="97">
        <v>0</v>
      </c>
      <c r="J9" s="98">
        <f t="shared" si="1"/>
        <v>0</v>
      </c>
      <c r="K9" s="99">
        <v>0</v>
      </c>
      <c r="L9" s="100">
        <f t="shared" si="2"/>
        <v>0</v>
      </c>
      <c r="M9" s="100">
        <f t="shared" si="3"/>
        <v>0</v>
      </c>
      <c r="N9" s="100">
        <v>0</v>
      </c>
      <c r="O9" s="100">
        <f t="shared" si="4"/>
        <v>0</v>
      </c>
      <c r="P9" s="100">
        <f t="shared" si="5"/>
        <v>0</v>
      </c>
      <c r="Q9" s="115"/>
      <c r="R9" s="114"/>
    </row>
    <row r="10" ht="18" customHeight="1" spans="1:18">
      <c r="A10" s="67">
        <f>IF(F10&lt;&gt;"",1+MAX($A$2:A9),"")</f>
        <v>3</v>
      </c>
      <c r="B10" s="68"/>
      <c r="C10" s="68"/>
      <c r="D10" s="69" t="s">
        <v>26</v>
      </c>
      <c r="E10" s="70">
        <v>1</v>
      </c>
      <c r="F10" s="71">
        <v>0</v>
      </c>
      <c r="G10" s="72">
        <f t="shared" si="0"/>
        <v>1</v>
      </c>
      <c r="H10" s="70" t="s">
        <v>24</v>
      </c>
      <c r="I10" s="97">
        <v>0</v>
      </c>
      <c r="J10" s="98">
        <f t="shared" si="1"/>
        <v>0</v>
      </c>
      <c r="K10" s="99">
        <v>0</v>
      </c>
      <c r="L10" s="100">
        <f t="shared" si="2"/>
        <v>0</v>
      </c>
      <c r="M10" s="100">
        <f t="shared" si="3"/>
        <v>0</v>
      </c>
      <c r="N10" s="100">
        <v>0</v>
      </c>
      <c r="O10" s="100">
        <f t="shared" si="4"/>
        <v>0</v>
      </c>
      <c r="P10" s="100">
        <f t="shared" si="5"/>
        <v>0</v>
      </c>
      <c r="Q10" s="115"/>
      <c r="R10" s="114"/>
    </row>
    <row r="11" ht="18" customHeight="1" spans="1:18">
      <c r="A11" s="67">
        <f>IF(F11&lt;&gt;"",1+MAX($A$2:A10),"")</f>
        <v>4</v>
      </c>
      <c r="B11" s="68"/>
      <c r="C11" s="68"/>
      <c r="D11" s="69" t="s">
        <v>27</v>
      </c>
      <c r="E11" s="70">
        <v>1</v>
      </c>
      <c r="F11" s="71">
        <v>0</v>
      </c>
      <c r="G11" s="72">
        <f t="shared" si="0"/>
        <v>1</v>
      </c>
      <c r="H11" s="70" t="s">
        <v>24</v>
      </c>
      <c r="I11" s="97">
        <v>0</v>
      </c>
      <c r="J11" s="98">
        <f t="shared" si="1"/>
        <v>0</v>
      </c>
      <c r="K11" s="99">
        <v>0</v>
      </c>
      <c r="L11" s="100">
        <f t="shared" si="2"/>
        <v>0</v>
      </c>
      <c r="M11" s="100">
        <f t="shared" si="3"/>
        <v>0</v>
      </c>
      <c r="N11" s="100">
        <v>0</v>
      </c>
      <c r="O11" s="100">
        <f t="shared" si="4"/>
        <v>0</v>
      </c>
      <c r="P11" s="100">
        <f t="shared" si="5"/>
        <v>0</v>
      </c>
      <c r="Q11" s="115"/>
      <c r="R11" s="114"/>
    </row>
    <row r="12" ht="18" customHeight="1" spans="1:18">
      <c r="A12" s="67">
        <f>IF(F12&lt;&gt;"",1+MAX($A$2:A11),"")</f>
        <v>5</v>
      </c>
      <c r="B12" s="68"/>
      <c r="C12" s="68"/>
      <c r="D12" s="69" t="s">
        <v>28</v>
      </c>
      <c r="E12" s="70">
        <v>1</v>
      </c>
      <c r="F12" s="71">
        <v>0</v>
      </c>
      <c r="G12" s="72">
        <f t="shared" si="0"/>
        <v>1</v>
      </c>
      <c r="H12" s="70" t="s">
        <v>24</v>
      </c>
      <c r="I12" s="97">
        <v>0</v>
      </c>
      <c r="J12" s="98">
        <f t="shared" si="1"/>
        <v>0</v>
      </c>
      <c r="K12" s="99">
        <v>0</v>
      </c>
      <c r="L12" s="100">
        <f t="shared" si="2"/>
        <v>0</v>
      </c>
      <c r="M12" s="100">
        <f t="shared" si="3"/>
        <v>0</v>
      </c>
      <c r="N12" s="100">
        <v>0</v>
      </c>
      <c r="O12" s="100">
        <f t="shared" si="4"/>
        <v>0</v>
      </c>
      <c r="P12" s="100">
        <f t="shared" si="5"/>
        <v>0</v>
      </c>
      <c r="Q12" s="115"/>
      <c r="R12" s="114"/>
    </row>
    <row r="13" ht="18" customHeight="1" spans="1:18">
      <c r="A13" s="67">
        <f>IF(F13&lt;&gt;"",1+MAX($A$2:A12),"")</f>
        <v>6</v>
      </c>
      <c r="B13" s="68"/>
      <c r="C13" s="68"/>
      <c r="D13" s="69" t="s">
        <v>29</v>
      </c>
      <c r="E13" s="70">
        <v>1</v>
      </c>
      <c r="F13" s="71">
        <v>0</v>
      </c>
      <c r="G13" s="72">
        <f t="shared" si="0"/>
        <v>1</v>
      </c>
      <c r="H13" s="70" t="s">
        <v>24</v>
      </c>
      <c r="I13" s="97">
        <v>0</v>
      </c>
      <c r="J13" s="98">
        <f t="shared" si="1"/>
        <v>0</v>
      </c>
      <c r="K13" s="99">
        <v>0</v>
      </c>
      <c r="L13" s="100">
        <f t="shared" si="2"/>
        <v>0</v>
      </c>
      <c r="M13" s="100">
        <f t="shared" si="3"/>
        <v>0</v>
      </c>
      <c r="N13" s="100">
        <v>0</v>
      </c>
      <c r="O13" s="100">
        <f t="shared" si="4"/>
        <v>0</v>
      </c>
      <c r="P13" s="100">
        <f t="shared" si="5"/>
        <v>0</v>
      </c>
      <c r="Q13" s="115"/>
      <c r="R13" s="114"/>
    </row>
    <row r="14" ht="18" customHeight="1" spans="1:18">
      <c r="A14" s="67">
        <f>IF(F14&lt;&gt;"",1+MAX($A$2:A13),"")</f>
        <v>7</v>
      </c>
      <c r="B14" s="73"/>
      <c r="C14" s="74"/>
      <c r="D14" s="75" t="s">
        <v>30</v>
      </c>
      <c r="E14" s="76">
        <v>1</v>
      </c>
      <c r="F14" s="77">
        <v>0</v>
      </c>
      <c r="G14" s="78">
        <f t="shared" si="0"/>
        <v>1</v>
      </c>
      <c r="H14" s="76" t="s">
        <v>24</v>
      </c>
      <c r="I14" s="101">
        <v>0</v>
      </c>
      <c r="J14" s="102">
        <f t="shared" si="1"/>
        <v>0</v>
      </c>
      <c r="K14" s="103">
        <v>0</v>
      </c>
      <c r="L14" s="104">
        <f t="shared" si="2"/>
        <v>0</v>
      </c>
      <c r="M14" s="104">
        <f t="shared" si="3"/>
        <v>0</v>
      </c>
      <c r="N14" s="104">
        <v>0</v>
      </c>
      <c r="O14" s="104">
        <f t="shared" si="4"/>
        <v>0</v>
      </c>
      <c r="P14" s="100">
        <f t="shared" si="5"/>
        <v>0</v>
      </c>
      <c r="Q14" s="116"/>
      <c r="R14" s="114"/>
    </row>
    <row r="15" s="31" customFormat="1" ht="16.35" spans="1:18">
      <c r="A15" s="79" t="str">
        <f>IF(F15&lt;&gt;"",1+MAX($A$2:A14),"")</f>
        <v/>
      </c>
      <c r="B15" s="80"/>
      <c r="C15" s="81"/>
      <c r="D15" s="82" t="s">
        <v>31</v>
      </c>
      <c r="E15" s="83"/>
      <c r="F15" s="83"/>
      <c r="G15" s="83"/>
      <c r="H15" s="83"/>
      <c r="I15" s="83"/>
      <c r="J15" s="83"/>
      <c r="K15" s="105"/>
      <c r="L15" s="105"/>
      <c r="M15" s="105"/>
      <c r="N15" s="105"/>
      <c r="O15" s="105"/>
      <c r="P15" s="105"/>
      <c r="Q15" s="117">
        <f>SUM(Q8:Q14)</f>
        <v>0</v>
      </c>
      <c r="R15" s="118"/>
    </row>
    <row r="16" s="31" customFormat="1" spans="1:18">
      <c r="A16" s="79" t="str">
        <f>IF(F16&lt;&gt;"",1+MAX($A$2:A15),"")</f>
        <v/>
      </c>
      <c r="B16" s="84"/>
      <c r="C16" s="81"/>
      <c r="D16" s="85"/>
      <c r="E16" s="86"/>
      <c r="F16" s="86"/>
      <c r="G16" s="86"/>
      <c r="H16" s="86"/>
      <c r="I16" s="86"/>
      <c r="J16" s="86"/>
      <c r="K16" s="86"/>
      <c r="L16" s="86"/>
      <c r="M16" s="86"/>
      <c r="N16" s="86"/>
      <c r="O16" s="86"/>
      <c r="P16" s="86"/>
      <c r="Q16" s="119"/>
      <c r="R16" s="118"/>
    </row>
    <row r="17" s="33" customFormat="1" ht="16.95" customHeight="1" spans="1:19">
      <c r="A17" s="57" t="str">
        <f>IF(F17&lt;&gt;"",1+MAX($A$2:A16),"")</f>
        <v/>
      </c>
      <c r="B17" s="60">
        <v>23</v>
      </c>
      <c r="C17" s="60"/>
      <c r="D17" s="59" t="s">
        <v>193</v>
      </c>
      <c r="E17" s="60"/>
      <c r="F17" s="60"/>
      <c r="G17" s="60"/>
      <c r="H17" s="60"/>
      <c r="I17" s="60"/>
      <c r="J17" s="60"/>
      <c r="K17" s="60"/>
      <c r="L17" s="60"/>
      <c r="M17" s="60"/>
      <c r="N17" s="60"/>
      <c r="O17" s="60"/>
      <c r="P17" s="60"/>
      <c r="Q17" s="120"/>
      <c r="S17" s="121"/>
    </row>
    <row r="18" s="33" customFormat="1" ht="16.95" customHeight="1" spans="1:36">
      <c r="A18" s="87" t="str">
        <f>IF(F18&lt;&gt;"",1+MAX($A$2:A17),"")</f>
        <v/>
      </c>
      <c r="B18" s="72"/>
      <c r="C18" s="72"/>
      <c r="D18" s="88" t="s">
        <v>194</v>
      </c>
      <c r="E18" s="70"/>
      <c r="F18" s="70"/>
      <c r="G18" s="70"/>
      <c r="H18" s="70"/>
      <c r="I18" s="106"/>
      <c r="J18" s="107"/>
      <c r="K18" s="108"/>
      <c r="L18" s="100"/>
      <c r="M18" s="100"/>
      <c r="N18" s="100"/>
      <c r="O18" s="100"/>
      <c r="P18" s="100"/>
      <c r="Q18" s="122"/>
      <c r="R18" s="123"/>
      <c r="S18" s="123"/>
      <c r="T18" s="123"/>
      <c r="U18" s="123"/>
      <c r="V18" s="123"/>
      <c r="W18" s="123"/>
      <c r="X18" s="123"/>
      <c r="Y18" s="123"/>
      <c r="Z18" s="123"/>
      <c r="AA18" s="123"/>
      <c r="AB18" s="123"/>
      <c r="AC18" s="123"/>
      <c r="AD18" s="123"/>
      <c r="AE18" s="123"/>
      <c r="AF18" s="123"/>
      <c r="AG18" s="123"/>
      <c r="AH18" s="123"/>
      <c r="AI18" s="123"/>
      <c r="AJ18" s="123"/>
    </row>
    <row r="19" s="33" customFormat="1" ht="16.95" customHeight="1" spans="1:36">
      <c r="A19" s="87">
        <f>IF(F19&lt;&gt;"",1+MAX($A$2:A18),"")</f>
        <v>8</v>
      </c>
      <c r="B19" s="89"/>
      <c r="C19" s="89"/>
      <c r="D19" s="69" t="s">
        <v>195</v>
      </c>
      <c r="E19" s="72">
        <v>45.83</v>
      </c>
      <c r="F19" s="90">
        <v>0</v>
      </c>
      <c r="G19" s="91">
        <v>45.83</v>
      </c>
      <c r="H19" s="70" t="s">
        <v>37</v>
      </c>
      <c r="I19" s="97">
        <v>0</v>
      </c>
      <c r="J19" s="98">
        <f t="shared" ref="J19:J36" si="6">+I19*G19</f>
        <v>0</v>
      </c>
      <c r="K19" s="99">
        <v>50</v>
      </c>
      <c r="L19" s="100">
        <f t="shared" ref="L19:L36" si="7">I19*K19</f>
        <v>0</v>
      </c>
      <c r="M19" s="100">
        <f t="shared" ref="M19:M36" si="8">K19*J19</f>
        <v>0</v>
      </c>
      <c r="N19" s="100">
        <v>0</v>
      </c>
      <c r="O19" s="100">
        <f t="shared" ref="O19:O36" si="9">N19*G19</f>
        <v>0</v>
      </c>
      <c r="P19" s="100">
        <f t="shared" ref="P19:P36" si="10">(I19*K19)+N19</f>
        <v>0</v>
      </c>
      <c r="Q19" s="124">
        <f t="shared" ref="Q19:Q36" si="11">P19*G19</f>
        <v>0</v>
      </c>
      <c r="R19" s="123"/>
      <c r="S19" s="123"/>
      <c r="T19" s="123"/>
      <c r="U19" s="123"/>
      <c r="V19" s="123"/>
      <c r="W19" s="123"/>
      <c r="X19" s="123"/>
      <c r="Y19" s="123"/>
      <c r="Z19" s="123"/>
      <c r="AA19" s="123"/>
      <c r="AB19" s="123"/>
      <c r="AC19" s="123"/>
      <c r="AD19" s="123"/>
      <c r="AE19" s="123"/>
      <c r="AF19" s="123"/>
      <c r="AG19" s="123"/>
      <c r="AH19" s="123"/>
      <c r="AI19" s="123"/>
      <c r="AJ19" s="123"/>
    </row>
    <row r="20" s="33" customFormat="1" ht="16.95" customHeight="1" spans="1:36">
      <c r="A20" s="87">
        <f>IF(F20&lt;&gt;"",1+MAX($A$2:A19),"")</f>
        <v>9</v>
      </c>
      <c r="B20" s="89"/>
      <c r="C20" s="89"/>
      <c r="D20" s="69" t="s">
        <v>196</v>
      </c>
      <c r="E20" s="72">
        <v>5</v>
      </c>
      <c r="F20" s="90">
        <v>0</v>
      </c>
      <c r="G20" s="91">
        <v>5</v>
      </c>
      <c r="H20" s="70" t="s">
        <v>35</v>
      </c>
      <c r="I20" s="97">
        <v>0</v>
      </c>
      <c r="J20" s="98">
        <f t="shared" si="6"/>
        <v>0</v>
      </c>
      <c r="K20" s="99">
        <v>50</v>
      </c>
      <c r="L20" s="100">
        <f t="shared" si="7"/>
        <v>0</v>
      </c>
      <c r="M20" s="100">
        <f t="shared" si="8"/>
        <v>0</v>
      </c>
      <c r="N20" s="100">
        <v>0</v>
      </c>
      <c r="O20" s="100">
        <f t="shared" si="9"/>
        <v>0</v>
      </c>
      <c r="P20" s="100">
        <f t="shared" si="10"/>
        <v>0</v>
      </c>
      <c r="Q20" s="124">
        <f t="shared" si="11"/>
        <v>0</v>
      </c>
      <c r="R20" s="123"/>
      <c r="S20" s="123"/>
      <c r="T20" s="123"/>
      <c r="U20" s="123"/>
      <c r="V20" s="123"/>
      <c r="W20" s="123"/>
      <c r="X20" s="123"/>
      <c r="Y20" s="123"/>
      <c r="Z20" s="123"/>
      <c r="AA20" s="123"/>
      <c r="AB20" s="123"/>
      <c r="AC20" s="123"/>
      <c r="AD20" s="123"/>
      <c r="AE20" s="123"/>
      <c r="AF20" s="123"/>
      <c r="AG20" s="123"/>
      <c r="AH20" s="123"/>
      <c r="AI20" s="123"/>
      <c r="AJ20" s="123"/>
    </row>
    <row r="21" s="33" customFormat="1" ht="16.95" customHeight="1" spans="1:36">
      <c r="A21" s="87">
        <f>IF(F21&lt;&gt;"",1+MAX($A$2:A20),"")</f>
        <v>10</v>
      </c>
      <c r="B21" s="89"/>
      <c r="C21" s="89"/>
      <c r="D21" s="69" t="s">
        <v>197</v>
      </c>
      <c r="E21" s="72">
        <v>1</v>
      </c>
      <c r="F21" s="90">
        <v>0</v>
      </c>
      <c r="G21" s="91">
        <v>1</v>
      </c>
      <c r="H21" s="70" t="s">
        <v>35</v>
      </c>
      <c r="I21" s="97">
        <v>0</v>
      </c>
      <c r="J21" s="98">
        <f t="shared" si="6"/>
        <v>0</v>
      </c>
      <c r="K21" s="99">
        <v>50</v>
      </c>
      <c r="L21" s="100">
        <f t="shared" si="7"/>
        <v>0</v>
      </c>
      <c r="M21" s="100">
        <f t="shared" si="8"/>
        <v>0</v>
      </c>
      <c r="N21" s="100">
        <v>0</v>
      </c>
      <c r="O21" s="100">
        <f t="shared" si="9"/>
        <v>0</v>
      </c>
      <c r="P21" s="100">
        <f t="shared" si="10"/>
        <v>0</v>
      </c>
      <c r="Q21" s="124">
        <f t="shared" si="11"/>
        <v>0</v>
      </c>
      <c r="R21" s="123"/>
      <c r="S21" s="123"/>
      <c r="T21" s="123"/>
      <c r="U21" s="123"/>
      <c r="V21" s="123"/>
      <c r="W21" s="123"/>
      <c r="X21" s="123"/>
      <c r="Y21" s="123"/>
      <c r="Z21" s="123"/>
      <c r="AA21" s="123"/>
      <c r="AB21" s="123"/>
      <c r="AC21" s="123"/>
      <c r="AD21" s="123"/>
      <c r="AE21" s="123"/>
      <c r="AF21" s="123"/>
      <c r="AG21" s="123"/>
      <c r="AH21" s="123"/>
      <c r="AI21" s="123"/>
      <c r="AJ21" s="123"/>
    </row>
    <row r="22" s="33" customFormat="1" ht="16.95" customHeight="1" spans="1:36">
      <c r="A22" s="87">
        <f>IF(F22&lt;&gt;"",1+MAX($A$2:A21),"")</f>
        <v>11</v>
      </c>
      <c r="B22" s="89"/>
      <c r="C22" s="89"/>
      <c r="D22" s="69" t="s">
        <v>198</v>
      </c>
      <c r="E22" s="72">
        <v>2</v>
      </c>
      <c r="F22" s="90">
        <v>0</v>
      </c>
      <c r="G22" s="91">
        <v>2</v>
      </c>
      <c r="H22" s="70" t="s">
        <v>35</v>
      </c>
      <c r="I22" s="97">
        <v>0</v>
      </c>
      <c r="J22" s="98">
        <f t="shared" si="6"/>
        <v>0</v>
      </c>
      <c r="K22" s="99">
        <v>50</v>
      </c>
      <c r="L22" s="100">
        <f t="shared" si="7"/>
        <v>0</v>
      </c>
      <c r="M22" s="100">
        <f t="shared" si="8"/>
        <v>0</v>
      </c>
      <c r="N22" s="100">
        <v>0</v>
      </c>
      <c r="O22" s="100">
        <f t="shared" si="9"/>
        <v>0</v>
      </c>
      <c r="P22" s="100">
        <f t="shared" si="10"/>
        <v>0</v>
      </c>
      <c r="Q22" s="124">
        <f t="shared" si="11"/>
        <v>0</v>
      </c>
      <c r="R22" s="123"/>
      <c r="S22" s="123"/>
      <c r="T22" s="123"/>
      <c r="U22" s="123"/>
      <c r="V22" s="123"/>
      <c r="W22" s="123"/>
      <c r="X22" s="123"/>
      <c r="Y22" s="123"/>
      <c r="Z22" s="123"/>
      <c r="AA22" s="123"/>
      <c r="AB22" s="123"/>
      <c r="AC22" s="123"/>
      <c r="AD22" s="123"/>
      <c r="AE22" s="123"/>
      <c r="AF22" s="123"/>
      <c r="AG22" s="123"/>
      <c r="AH22" s="123"/>
      <c r="AI22" s="123"/>
      <c r="AJ22" s="123"/>
    </row>
    <row r="23" s="33" customFormat="1" ht="16.95" customHeight="1" spans="1:36">
      <c r="A23" s="87">
        <f>IF(F23&lt;&gt;"",1+MAX($A$2:A22),"")</f>
        <v>12</v>
      </c>
      <c r="B23" s="89"/>
      <c r="C23" s="89"/>
      <c r="D23" s="69" t="s">
        <v>199</v>
      </c>
      <c r="E23" s="72">
        <v>1</v>
      </c>
      <c r="F23" s="90">
        <v>0</v>
      </c>
      <c r="G23" s="91">
        <v>1</v>
      </c>
      <c r="H23" s="70" t="s">
        <v>35</v>
      </c>
      <c r="I23" s="97">
        <v>0</v>
      </c>
      <c r="J23" s="98">
        <f t="shared" si="6"/>
        <v>0</v>
      </c>
      <c r="K23" s="99">
        <v>50</v>
      </c>
      <c r="L23" s="100">
        <f t="shared" si="7"/>
        <v>0</v>
      </c>
      <c r="M23" s="100">
        <f t="shared" si="8"/>
        <v>0</v>
      </c>
      <c r="N23" s="100">
        <v>0</v>
      </c>
      <c r="O23" s="100">
        <f t="shared" si="9"/>
        <v>0</v>
      </c>
      <c r="P23" s="100">
        <f t="shared" si="10"/>
        <v>0</v>
      </c>
      <c r="Q23" s="124">
        <f t="shared" si="11"/>
        <v>0</v>
      </c>
      <c r="R23" s="123"/>
      <c r="S23" s="123"/>
      <c r="T23" s="123"/>
      <c r="U23" s="123"/>
      <c r="V23" s="123"/>
      <c r="W23" s="123"/>
      <c r="X23" s="123"/>
      <c r="Y23" s="123"/>
      <c r="Z23" s="123"/>
      <c r="AA23" s="123"/>
      <c r="AB23" s="123"/>
      <c r="AC23" s="123"/>
      <c r="AD23" s="123"/>
      <c r="AE23" s="123"/>
      <c r="AF23" s="123"/>
      <c r="AG23" s="123"/>
      <c r="AH23" s="123"/>
      <c r="AI23" s="123"/>
      <c r="AJ23" s="123"/>
    </row>
    <row r="24" s="33" customFormat="1" ht="16.95" customHeight="1" spans="1:36">
      <c r="A24" s="87">
        <f>IF(F24&lt;&gt;"",1+MAX($A$2:A23),"")</f>
        <v>13</v>
      </c>
      <c r="B24" s="89"/>
      <c r="C24" s="89"/>
      <c r="D24" s="69" t="s">
        <v>200</v>
      </c>
      <c r="E24" s="72">
        <v>1</v>
      </c>
      <c r="F24" s="90">
        <v>0</v>
      </c>
      <c r="G24" s="91">
        <v>1</v>
      </c>
      <c r="H24" s="70" t="s">
        <v>35</v>
      </c>
      <c r="I24" s="97">
        <v>0</v>
      </c>
      <c r="J24" s="98">
        <f t="shared" si="6"/>
        <v>0</v>
      </c>
      <c r="K24" s="99">
        <v>50</v>
      </c>
      <c r="L24" s="100">
        <f t="shared" si="7"/>
        <v>0</v>
      </c>
      <c r="M24" s="100">
        <f t="shared" si="8"/>
        <v>0</v>
      </c>
      <c r="N24" s="100">
        <v>0</v>
      </c>
      <c r="O24" s="100">
        <f t="shared" si="9"/>
        <v>0</v>
      </c>
      <c r="P24" s="100">
        <f t="shared" si="10"/>
        <v>0</v>
      </c>
      <c r="Q24" s="124">
        <f t="shared" si="11"/>
        <v>0</v>
      </c>
      <c r="R24" s="123"/>
      <c r="S24" s="123"/>
      <c r="T24" s="123"/>
      <c r="U24" s="123"/>
      <c r="V24" s="123"/>
      <c r="W24" s="123"/>
      <c r="X24" s="123"/>
      <c r="Y24" s="123"/>
      <c r="Z24" s="123"/>
      <c r="AA24" s="123"/>
      <c r="AB24" s="123"/>
      <c r="AC24" s="123"/>
      <c r="AD24" s="123"/>
      <c r="AE24" s="123"/>
      <c r="AF24" s="123"/>
      <c r="AG24" s="123"/>
      <c r="AH24" s="123"/>
      <c r="AI24" s="123"/>
      <c r="AJ24" s="123"/>
    </row>
    <row r="25" s="33" customFormat="1" ht="16.95" customHeight="1" spans="1:36">
      <c r="A25" s="87">
        <f>IF(F25&lt;&gt;"",1+MAX($A$2:A24),"")</f>
        <v>14</v>
      </c>
      <c r="B25" s="89"/>
      <c r="C25" s="89"/>
      <c r="D25" s="69" t="s">
        <v>201</v>
      </c>
      <c r="E25" s="72">
        <v>1</v>
      </c>
      <c r="F25" s="90">
        <v>0</v>
      </c>
      <c r="G25" s="91">
        <v>1</v>
      </c>
      <c r="H25" s="70" t="s">
        <v>35</v>
      </c>
      <c r="I25" s="97">
        <v>0</v>
      </c>
      <c r="J25" s="98">
        <f t="shared" si="6"/>
        <v>0</v>
      </c>
      <c r="K25" s="99">
        <v>50</v>
      </c>
      <c r="L25" s="100">
        <f t="shared" si="7"/>
        <v>0</v>
      </c>
      <c r="M25" s="100">
        <f t="shared" si="8"/>
        <v>0</v>
      </c>
      <c r="N25" s="100">
        <v>0</v>
      </c>
      <c r="O25" s="100">
        <f t="shared" si="9"/>
        <v>0</v>
      </c>
      <c r="P25" s="100">
        <f t="shared" si="10"/>
        <v>0</v>
      </c>
      <c r="Q25" s="124">
        <f t="shared" si="11"/>
        <v>0</v>
      </c>
      <c r="R25" s="123"/>
      <c r="S25" s="123"/>
      <c r="T25" s="123"/>
      <c r="U25" s="123"/>
      <c r="V25" s="123"/>
      <c r="W25" s="123"/>
      <c r="X25" s="123"/>
      <c r="Y25" s="123"/>
      <c r="Z25" s="123"/>
      <c r="AA25" s="123"/>
      <c r="AB25" s="123"/>
      <c r="AC25" s="123"/>
      <c r="AD25" s="123"/>
      <c r="AE25" s="123"/>
      <c r="AF25" s="123"/>
      <c r="AG25" s="123"/>
      <c r="AH25" s="123"/>
      <c r="AI25" s="123"/>
      <c r="AJ25" s="123"/>
    </row>
    <row r="26" s="33" customFormat="1" ht="16.95" customHeight="1" spans="1:36">
      <c r="A26" s="87">
        <f>IF(F26&lt;&gt;"",1+MAX($A$2:A25),"")</f>
        <v>15</v>
      </c>
      <c r="B26" s="89"/>
      <c r="C26" s="89"/>
      <c r="D26" s="69" t="s">
        <v>202</v>
      </c>
      <c r="E26" s="72">
        <v>2</v>
      </c>
      <c r="F26" s="90">
        <v>0</v>
      </c>
      <c r="G26" s="91">
        <v>2</v>
      </c>
      <c r="H26" s="70" t="s">
        <v>35</v>
      </c>
      <c r="I26" s="97">
        <v>0</v>
      </c>
      <c r="J26" s="98">
        <f t="shared" si="6"/>
        <v>0</v>
      </c>
      <c r="K26" s="99">
        <v>50</v>
      </c>
      <c r="L26" s="100">
        <f t="shared" si="7"/>
        <v>0</v>
      </c>
      <c r="M26" s="100">
        <f t="shared" si="8"/>
        <v>0</v>
      </c>
      <c r="N26" s="100">
        <v>0</v>
      </c>
      <c r="O26" s="100">
        <f t="shared" si="9"/>
        <v>0</v>
      </c>
      <c r="P26" s="100">
        <f t="shared" si="10"/>
        <v>0</v>
      </c>
      <c r="Q26" s="124">
        <f t="shared" si="11"/>
        <v>0</v>
      </c>
      <c r="R26" s="123"/>
      <c r="S26" s="123"/>
      <c r="T26" s="123"/>
      <c r="U26" s="123"/>
      <c r="V26" s="123"/>
      <c r="W26" s="123"/>
      <c r="X26" s="123"/>
      <c r="Y26" s="123"/>
      <c r="Z26" s="123"/>
      <c r="AA26" s="123"/>
      <c r="AB26" s="123"/>
      <c r="AC26" s="123"/>
      <c r="AD26" s="123"/>
      <c r="AE26" s="123"/>
      <c r="AF26" s="123"/>
      <c r="AG26" s="123"/>
      <c r="AH26" s="123"/>
      <c r="AI26" s="123"/>
      <c r="AJ26" s="123"/>
    </row>
    <row r="27" s="33" customFormat="1" ht="16.95" customHeight="1" spans="1:36">
      <c r="A27" s="87">
        <f>IF(F27&lt;&gt;"",1+MAX($A$2:A26),"")</f>
        <v>16</v>
      </c>
      <c r="B27" s="89"/>
      <c r="C27" s="89"/>
      <c r="D27" s="69" t="s">
        <v>203</v>
      </c>
      <c r="E27" s="72">
        <v>1</v>
      </c>
      <c r="F27" s="90">
        <v>0</v>
      </c>
      <c r="G27" s="91">
        <v>1</v>
      </c>
      <c r="H27" s="70" t="s">
        <v>35</v>
      </c>
      <c r="I27" s="97">
        <v>0</v>
      </c>
      <c r="J27" s="98">
        <f t="shared" si="6"/>
        <v>0</v>
      </c>
      <c r="K27" s="99">
        <v>50</v>
      </c>
      <c r="L27" s="100">
        <f t="shared" si="7"/>
        <v>0</v>
      </c>
      <c r="M27" s="100">
        <f t="shared" si="8"/>
        <v>0</v>
      </c>
      <c r="N27" s="100">
        <v>0</v>
      </c>
      <c r="O27" s="100">
        <f t="shared" si="9"/>
        <v>0</v>
      </c>
      <c r="P27" s="100">
        <f t="shared" si="10"/>
        <v>0</v>
      </c>
      <c r="Q27" s="124">
        <f t="shared" si="11"/>
        <v>0</v>
      </c>
      <c r="R27" s="123"/>
      <c r="S27" s="123"/>
      <c r="T27" s="123"/>
      <c r="U27" s="123"/>
      <c r="V27" s="123"/>
      <c r="W27" s="123"/>
      <c r="X27" s="123"/>
      <c r="Y27" s="123"/>
      <c r="Z27" s="123"/>
      <c r="AA27" s="123"/>
      <c r="AB27" s="123"/>
      <c r="AC27" s="123"/>
      <c r="AD27" s="123"/>
      <c r="AE27" s="123"/>
      <c r="AF27" s="123"/>
      <c r="AG27" s="123"/>
      <c r="AH27" s="123"/>
      <c r="AI27" s="123"/>
      <c r="AJ27" s="123"/>
    </row>
    <row r="28" s="33" customFormat="1" ht="16.95" customHeight="1" spans="1:36">
      <c r="A28" s="87">
        <f>IF(F28&lt;&gt;"",1+MAX($A$2:A27),"")</f>
        <v>17</v>
      </c>
      <c r="B28" s="89"/>
      <c r="C28" s="89"/>
      <c r="D28" s="69" t="s">
        <v>204</v>
      </c>
      <c r="E28" s="72">
        <v>1</v>
      </c>
      <c r="F28" s="90">
        <v>0</v>
      </c>
      <c r="G28" s="91">
        <v>1</v>
      </c>
      <c r="H28" s="70" t="s">
        <v>35</v>
      </c>
      <c r="I28" s="97">
        <v>0</v>
      </c>
      <c r="J28" s="98">
        <f t="shared" si="6"/>
        <v>0</v>
      </c>
      <c r="K28" s="99">
        <v>50</v>
      </c>
      <c r="L28" s="100">
        <f t="shared" si="7"/>
        <v>0</v>
      </c>
      <c r="M28" s="100">
        <f t="shared" si="8"/>
        <v>0</v>
      </c>
      <c r="N28" s="100">
        <v>0</v>
      </c>
      <c r="O28" s="100">
        <f t="shared" si="9"/>
        <v>0</v>
      </c>
      <c r="P28" s="100">
        <f t="shared" si="10"/>
        <v>0</v>
      </c>
      <c r="Q28" s="124">
        <f t="shared" si="11"/>
        <v>0</v>
      </c>
      <c r="R28" s="123"/>
      <c r="S28" s="123"/>
      <c r="T28" s="123"/>
      <c r="U28" s="123"/>
      <c r="V28" s="123"/>
      <c r="W28" s="123"/>
      <c r="X28" s="123"/>
      <c r="Y28" s="123"/>
      <c r="Z28" s="123"/>
      <c r="AA28" s="123"/>
      <c r="AB28" s="123"/>
      <c r="AC28" s="123"/>
      <c r="AD28" s="123"/>
      <c r="AE28" s="123"/>
      <c r="AF28" s="123"/>
      <c r="AG28" s="123"/>
      <c r="AH28" s="123"/>
      <c r="AI28" s="123"/>
      <c r="AJ28" s="123"/>
    </row>
    <row r="29" s="33" customFormat="1" ht="16.95" customHeight="1" spans="1:36">
      <c r="A29" s="87">
        <f>IF(F29&lt;&gt;"",1+MAX($A$2:A28),"")</f>
        <v>18</v>
      </c>
      <c r="B29" s="89"/>
      <c r="C29" s="89"/>
      <c r="D29" s="69" t="s">
        <v>205</v>
      </c>
      <c r="E29" s="72">
        <v>1</v>
      </c>
      <c r="F29" s="90">
        <v>0</v>
      </c>
      <c r="G29" s="91">
        <v>1</v>
      </c>
      <c r="H29" s="70" t="s">
        <v>35</v>
      </c>
      <c r="I29" s="97">
        <v>0</v>
      </c>
      <c r="J29" s="98">
        <f t="shared" si="6"/>
        <v>0</v>
      </c>
      <c r="K29" s="99">
        <v>50</v>
      </c>
      <c r="L29" s="100">
        <f t="shared" si="7"/>
        <v>0</v>
      </c>
      <c r="M29" s="100">
        <f t="shared" si="8"/>
        <v>0</v>
      </c>
      <c r="N29" s="100">
        <v>0</v>
      </c>
      <c r="O29" s="100">
        <f t="shared" si="9"/>
        <v>0</v>
      </c>
      <c r="P29" s="100">
        <f t="shared" si="10"/>
        <v>0</v>
      </c>
      <c r="Q29" s="124">
        <f t="shared" si="11"/>
        <v>0</v>
      </c>
      <c r="R29" s="123"/>
      <c r="S29" s="123"/>
      <c r="T29" s="123"/>
      <c r="U29" s="123"/>
      <c r="V29" s="123"/>
      <c r="W29" s="123"/>
      <c r="X29" s="123"/>
      <c r="Y29" s="123"/>
      <c r="Z29" s="123"/>
      <c r="AA29" s="123"/>
      <c r="AB29" s="123"/>
      <c r="AC29" s="123"/>
      <c r="AD29" s="123"/>
      <c r="AE29" s="123"/>
      <c r="AF29" s="123"/>
      <c r="AG29" s="123"/>
      <c r="AH29" s="123"/>
      <c r="AI29" s="123"/>
      <c r="AJ29" s="123"/>
    </row>
    <row r="30" s="33" customFormat="1" ht="16.95" customHeight="1" spans="1:36">
      <c r="A30" s="87">
        <f>IF(F30&lt;&gt;"",1+MAX($A$2:A29),"")</f>
        <v>19</v>
      </c>
      <c r="B30" s="89"/>
      <c r="C30" s="89"/>
      <c r="D30" s="69" t="s">
        <v>206</v>
      </c>
      <c r="E30" s="72">
        <v>1</v>
      </c>
      <c r="F30" s="90">
        <v>0</v>
      </c>
      <c r="G30" s="91">
        <v>1</v>
      </c>
      <c r="H30" s="70" t="s">
        <v>35</v>
      </c>
      <c r="I30" s="97">
        <v>0</v>
      </c>
      <c r="J30" s="98">
        <f t="shared" si="6"/>
        <v>0</v>
      </c>
      <c r="K30" s="99">
        <v>50</v>
      </c>
      <c r="L30" s="100">
        <f t="shared" si="7"/>
        <v>0</v>
      </c>
      <c r="M30" s="100">
        <f t="shared" si="8"/>
        <v>0</v>
      </c>
      <c r="N30" s="100">
        <v>0</v>
      </c>
      <c r="O30" s="100">
        <f t="shared" si="9"/>
        <v>0</v>
      </c>
      <c r="P30" s="100">
        <f t="shared" si="10"/>
        <v>0</v>
      </c>
      <c r="Q30" s="124">
        <f t="shared" si="11"/>
        <v>0</v>
      </c>
      <c r="R30" s="123"/>
      <c r="S30" s="123"/>
      <c r="T30" s="123"/>
      <c r="U30" s="123"/>
      <c r="V30" s="123"/>
      <c r="W30" s="123"/>
      <c r="X30" s="123"/>
      <c r="Y30" s="123"/>
      <c r="Z30" s="123"/>
      <c r="AA30" s="123"/>
      <c r="AB30" s="123"/>
      <c r="AC30" s="123"/>
      <c r="AD30" s="123"/>
      <c r="AE30" s="123"/>
      <c r="AF30" s="123"/>
      <c r="AG30" s="123"/>
      <c r="AH30" s="123"/>
      <c r="AI30" s="123"/>
      <c r="AJ30" s="123"/>
    </row>
    <row r="31" s="33" customFormat="1" ht="16.95" customHeight="1" spans="1:36">
      <c r="A31" s="87">
        <f>IF(F31&lt;&gt;"",1+MAX($A$2:A30),"")</f>
        <v>20</v>
      </c>
      <c r="B31" s="89"/>
      <c r="C31" s="89"/>
      <c r="D31" s="69" t="s">
        <v>207</v>
      </c>
      <c r="E31" s="72">
        <v>3</v>
      </c>
      <c r="F31" s="90">
        <v>0</v>
      </c>
      <c r="G31" s="91">
        <v>3</v>
      </c>
      <c r="H31" s="70" t="s">
        <v>35</v>
      </c>
      <c r="I31" s="97">
        <v>0</v>
      </c>
      <c r="J31" s="98">
        <f t="shared" si="6"/>
        <v>0</v>
      </c>
      <c r="K31" s="99">
        <v>50</v>
      </c>
      <c r="L31" s="100">
        <f t="shared" si="7"/>
        <v>0</v>
      </c>
      <c r="M31" s="100">
        <f t="shared" si="8"/>
        <v>0</v>
      </c>
      <c r="N31" s="100">
        <v>0</v>
      </c>
      <c r="O31" s="100">
        <f t="shared" si="9"/>
        <v>0</v>
      </c>
      <c r="P31" s="100">
        <f t="shared" si="10"/>
        <v>0</v>
      </c>
      <c r="Q31" s="124">
        <f t="shared" si="11"/>
        <v>0</v>
      </c>
      <c r="R31" s="123"/>
      <c r="S31" s="123"/>
      <c r="T31" s="123"/>
      <c r="U31" s="123"/>
      <c r="V31" s="123"/>
      <c r="W31" s="123"/>
      <c r="X31" s="123"/>
      <c r="Y31" s="123"/>
      <c r="Z31" s="123"/>
      <c r="AA31" s="123"/>
      <c r="AB31" s="123"/>
      <c r="AC31" s="123"/>
      <c r="AD31" s="123"/>
      <c r="AE31" s="123"/>
      <c r="AF31" s="123"/>
      <c r="AG31" s="123"/>
      <c r="AH31" s="123"/>
      <c r="AI31" s="123"/>
      <c r="AJ31" s="123"/>
    </row>
    <row r="32" s="33" customFormat="1" ht="16.95" customHeight="1" spans="1:36">
      <c r="A32" s="87">
        <f>IF(F32&lt;&gt;"",1+MAX($A$2:A31),"")</f>
        <v>21</v>
      </c>
      <c r="B32" s="89"/>
      <c r="C32" s="89"/>
      <c r="D32" s="69" t="s">
        <v>208</v>
      </c>
      <c r="E32" s="72">
        <v>1</v>
      </c>
      <c r="F32" s="90">
        <v>0</v>
      </c>
      <c r="G32" s="91">
        <v>1</v>
      </c>
      <c r="H32" s="70" t="s">
        <v>35</v>
      </c>
      <c r="I32" s="97">
        <v>0</v>
      </c>
      <c r="J32" s="98">
        <f t="shared" si="6"/>
        <v>0</v>
      </c>
      <c r="K32" s="99">
        <v>50</v>
      </c>
      <c r="L32" s="100">
        <f t="shared" si="7"/>
        <v>0</v>
      </c>
      <c r="M32" s="100">
        <f t="shared" si="8"/>
        <v>0</v>
      </c>
      <c r="N32" s="100">
        <v>0</v>
      </c>
      <c r="O32" s="100">
        <f t="shared" si="9"/>
        <v>0</v>
      </c>
      <c r="P32" s="100">
        <f t="shared" si="10"/>
        <v>0</v>
      </c>
      <c r="Q32" s="124">
        <f t="shared" si="11"/>
        <v>0</v>
      </c>
      <c r="R32" s="123"/>
      <c r="S32" s="123"/>
      <c r="T32" s="123"/>
      <c r="U32" s="123"/>
      <c r="V32" s="123"/>
      <c r="W32" s="123"/>
      <c r="X32" s="123"/>
      <c r="Y32" s="123"/>
      <c r="Z32" s="123"/>
      <c r="AA32" s="123"/>
      <c r="AB32" s="123"/>
      <c r="AC32" s="123"/>
      <c r="AD32" s="123"/>
      <c r="AE32" s="123"/>
      <c r="AF32" s="123"/>
      <c r="AG32" s="123"/>
      <c r="AH32" s="123"/>
      <c r="AI32" s="123"/>
      <c r="AJ32" s="123"/>
    </row>
    <row r="33" s="33" customFormat="1" ht="16.95" customHeight="1" spans="1:36">
      <c r="A33" s="87">
        <f>IF(F33&lt;&gt;"",1+MAX($A$2:A32),"")</f>
        <v>22</v>
      </c>
      <c r="B33" s="89"/>
      <c r="C33" s="89"/>
      <c r="D33" s="69" t="s">
        <v>200</v>
      </c>
      <c r="E33" s="72">
        <v>3</v>
      </c>
      <c r="F33" s="90">
        <v>0</v>
      </c>
      <c r="G33" s="91">
        <v>3</v>
      </c>
      <c r="H33" s="70" t="s">
        <v>35</v>
      </c>
      <c r="I33" s="97">
        <v>0</v>
      </c>
      <c r="J33" s="98">
        <f t="shared" si="6"/>
        <v>0</v>
      </c>
      <c r="K33" s="99">
        <v>50</v>
      </c>
      <c r="L33" s="100">
        <f t="shared" si="7"/>
        <v>0</v>
      </c>
      <c r="M33" s="100">
        <f t="shared" si="8"/>
        <v>0</v>
      </c>
      <c r="N33" s="100">
        <v>0</v>
      </c>
      <c r="O33" s="100">
        <f t="shared" si="9"/>
        <v>0</v>
      </c>
      <c r="P33" s="100">
        <f t="shared" si="10"/>
        <v>0</v>
      </c>
      <c r="Q33" s="124">
        <f t="shared" si="11"/>
        <v>0</v>
      </c>
      <c r="R33" s="123"/>
      <c r="S33" s="123"/>
      <c r="T33" s="123"/>
      <c r="U33" s="123"/>
      <c r="V33" s="123"/>
      <c r="W33" s="123"/>
      <c r="X33" s="123"/>
      <c r="Y33" s="123"/>
      <c r="Z33" s="123"/>
      <c r="AA33" s="123"/>
      <c r="AB33" s="123"/>
      <c r="AC33" s="123"/>
      <c r="AD33" s="123"/>
      <c r="AE33" s="123"/>
      <c r="AF33" s="123"/>
      <c r="AG33" s="123"/>
      <c r="AH33" s="123"/>
      <c r="AI33" s="123"/>
      <c r="AJ33" s="123"/>
    </row>
    <row r="34" s="33" customFormat="1" ht="16.95" customHeight="1" spans="1:36">
      <c r="A34" s="87">
        <f>IF(F34&lt;&gt;"",1+MAX($A$2:A33),"")</f>
        <v>23</v>
      </c>
      <c r="B34" s="89"/>
      <c r="C34" s="89"/>
      <c r="D34" s="69" t="s">
        <v>209</v>
      </c>
      <c r="E34" s="72">
        <v>2</v>
      </c>
      <c r="F34" s="90">
        <v>0</v>
      </c>
      <c r="G34" s="91">
        <v>2</v>
      </c>
      <c r="H34" s="70" t="s">
        <v>35</v>
      </c>
      <c r="I34" s="97">
        <v>0</v>
      </c>
      <c r="J34" s="98">
        <f t="shared" si="6"/>
        <v>0</v>
      </c>
      <c r="K34" s="99">
        <v>50</v>
      </c>
      <c r="L34" s="100">
        <f t="shared" si="7"/>
        <v>0</v>
      </c>
      <c r="M34" s="100">
        <f t="shared" si="8"/>
        <v>0</v>
      </c>
      <c r="N34" s="100">
        <v>0</v>
      </c>
      <c r="O34" s="100">
        <f t="shared" si="9"/>
        <v>0</v>
      </c>
      <c r="P34" s="100">
        <f t="shared" si="10"/>
        <v>0</v>
      </c>
      <c r="Q34" s="124">
        <f t="shared" si="11"/>
        <v>0</v>
      </c>
      <c r="R34" s="123"/>
      <c r="S34" s="123"/>
      <c r="T34" s="123"/>
      <c r="U34" s="123"/>
      <c r="V34" s="123"/>
      <c r="W34" s="123"/>
      <c r="X34" s="123"/>
      <c r="Y34" s="123"/>
      <c r="Z34" s="123"/>
      <c r="AA34" s="123"/>
      <c r="AB34" s="123"/>
      <c r="AC34" s="123"/>
      <c r="AD34" s="123"/>
      <c r="AE34" s="123"/>
      <c r="AF34" s="123"/>
      <c r="AG34" s="123"/>
      <c r="AH34" s="123"/>
      <c r="AI34" s="123"/>
      <c r="AJ34" s="123"/>
    </row>
    <row r="35" s="33" customFormat="1" ht="16.95" customHeight="1" spans="1:36">
      <c r="A35" s="87">
        <f>IF(F35&lt;&gt;"",1+MAX($A$2:A34),"")</f>
        <v>24</v>
      </c>
      <c r="B35" s="89"/>
      <c r="C35" s="89"/>
      <c r="D35" s="69" t="s">
        <v>210</v>
      </c>
      <c r="E35" s="72">
        <v>1</v>
      </c>
      <c r="F35" s="90">
        <v>0</v>
      </c>
      <c r="G35" s="91">
        <v>1</v>
      </c>
      <c r="H35" s="70" t="s">
        <v>35</v>
      </c>
      <c r="I35" s="97">
        <v>0</v>
      </c>
      <c r="J35" s="98">
        <f t="shared" si="6"/>
        <v>0</v>
      </c>
      <c r="K35" s="99">
        <v>50</v>
      </c>
      <c r="L35" s="100">
        <f t="shared" si="7"/>
        <v>0</v>
      </c>
      <c r="M35" s="100">
        <f t="shared" si="8"/>
        <v>0</v>
      </c>
      <c r="N35" s="100">
        <v>0</v>
      </c>
      <c r="O35" s="100">
        <f t="shared" si="9"/>
        <v>0</v>
      </c>
      <c r="P35" s="100">
        <f t="shared" si="10"/>
        <v>0</v>
      </c>
      <c r="Q35" s="124">
        <f t="shared" si="11"/>
        <v>0</v>
      </c>
      <c r="R35" s="123"/>
      <c r="S35" s="123"/>
      <c r="T35" s="123"/>
      <c r="U35" s="123"/>
      <c r="V35" s="123"/>
      <c r="W35" s="123"/>
      <c r="X35" s="123"/>
      <c r="Y35" s="123"/>
      <c r="Z35" s="123"/>
      <c r="AA35" s="123"/>
      <c r="AB35" s="123"/>
      <c r="AC35" s="123"/>
      <c r="AD35" s="123"/>
      <c r="AE35" s="123"/>
      <c r="AF35" s="123"/>
      <c r="AG35" s="123"/>
      <c r="AH35" s="123"/>
      <c r="AI35" s="123"/>
      <c r="AJ35" s="123"/>
    </row>
    <row r="36" s="33" customFormat="1" ht="16.95" customHeight="1" spans="1:36">
      <c r="A36" s="87">
        <f>IF(F36&lt;&gt;"",1+MAX($A$2:A35),"")</f>
        <v>25</v>
      </c>
      <c r="B36" s="89"/>
      <c r="C36" s="89"/>
      <c r="D36" s="69" t="s">
        <v>211</v>
      </c>
      <c r="E36" s="72">
        <v>1</v>
      </c>
      <c r="F36" s="90">
        <v>0</v>
      </c>
      <c r="G36" s="91">
        <v>1</v>
      </c>
      <c r="H36" s="70" t="s">
        <v>35</v>
      </c>
      <c r="I36" s="97">
        <v>0</v>
      </c>
      <c r="J36" s="98">
        <f t="shared" si="6"/>
        <v>0</v>
      </c>
      <c r="K36" s="99">
        <v>50</v>
      </c>
      <c r="L36" s="100">
        <f t="shared" si="7"/>
        <v>0</v>
      </c>
      <c r="M36" s="100">
        <f t="shared" si="8"/>
        <v>0</v>
      </c>
      <c r="N36" s="100">
        <v>0</v>
      </c>
      <c r="O36" s="100">
        <f t="shared" si="9"/>
        <v>0</v>
      </c>
      <c r="P36" s="100">
        <f t="shared" si="10"/>
        <v>0</v>
      </c>
      <c r="Q36" s="124">
        <f t="shared" si="11"/>
        <v>0</v>
      </c>
      <c r="R36" s="123"/>
      <c r="S36" s="123"/>
      <c r="T36" s="123"/>
      <c r="U36" s="123"/>
      <c r="V36" s="123"/>
      <c r="W36" s="123"/>
      <c r="X36" s="123"/>
      <c r="Y36" s="123"/>
      <c r="Z36" s="123"/>
      <c r="AA36" s="123"/>
      <c r="AB36" s="123"/>
      <c r="AC36" s="123"/>
      <c r="AD36" s="123"/>
      <c r="AE36" s="123"/>
      <c r="AF36" s="123"/>
      <c r="AG36" s="123"/>
      <c r="AH36" s="123"/>
      <c r="AI36" s="123"/>
      <c r="AJ36" s="123"/>
    </row>
    <row r="37" s="33" customFormat="1" ht="16.95" customHeight="1" spans="1:36">
      <c r="A37" s="87" t="str">
        <f>IF(F37&lt;&gt;"",1+MAX($A$2:A36),"")</f>
        <v/>
      </c>
      <c r="B37" s="89"/>
      <c r="C37" s="89"/>
      <c r="D37" s="69"/>
      <c r="E37" s="72"/>
      <c r="F37" s="90"/>
      <c r="G37" s="91"/>
      <c r="H37" s="70"/>
      <c r="I37" s="97"/>
      <c r="J37" s="98"/>
      <c r="K37" s="99"/>
      <c r="L37" s="100"/>
      <c r="M37" s="100"/>
      <c r="N37" s="100"/>
      <c r="O37" s="100"/>
      <c r="P37" s="100"/>
      <c r="Q37" s="124"/>
      <c r="R37" s="123"/>
      <c r="S37" s="123"/>
      <c r="T37" s="123"/>
      <c r="U37" s="123"/>
      <c r="V37" s="123"/>
      <c r="W37" s="123"/>
      <c r="X37" s="123"/>
      <c r="Y37" s="123"/>
      <c r="Z37" s="123"/>
      <c r="AA37" s="123"/>
      <c r="AB37" s="123"/>
      <c r="AC37" s="123"/>
      <c r="AD37" s="123"/>
      <c r="AE37" s="123"/>
      <c r="AF37" s="123"/>
      <c r="AG37" s="123"/>
      <c r="AH37" s="123"/>
      <c r="AI37" s="123"/>
      <c r="AJ37" s="123"/>
    </row>
    <row r="38" s="33" customFormat="1" ht="16.95" customHeight="1" spans="1:36">
      <c r="A38" s="87" t="str">
        <f>IF(F38&lt;&gt;"",1+MAX($A$2:A37),"")</f>
        <v/>
      </c>
      <c r="B38" s="89"/>
      <c r="C38" s="89"/>
      <c r="D38" s="88" t="s">
        <v>212</v>
      </c>
      <c r="E38" s="72"/>
      <c r="F38" s="90"/>
      <c r="G38" s="91"/>
      <c r="H38" s="70"/>
      <c r="I38" s="97"/>
      <c r="J38" s="98"/>
      <c r="K38" s="99"/>
      <c r="L38" s="100"/>
      <c r="M38" s="100"/>
      <c r="N38" s="100"/>
      <c r="O38" s="100"/>
      <c r="P38" s="100"/>
      <c r="Q38" s="124"/>
      <c r="R38" s="123"/>
      <c r="S38" s="123"/>
      <c r="T38" s="123"/>
      <c r="U38" s="123"/>
      <c r="V38" s="123"/>
      <c r="W38" s="123"/>
      <c r="X38" s="123"/>
      <c r="Y38" s="123"/>
      <c r="Z38" s="123"/>
      <c r="AA38" s="123"/>
      <c r="AB38" s="123"/>
      <c r="AC38" s="123"/>
      <c r="AD38" s="123"/>
      <c r="AE38" s="123"/>
      <c r="AF38" s="123"/>
      <c r="AG38" s="123"/>
      <c r="AH38" s="123"/>
      <c r="AI38" s="123"/>
      <c r="AJ38" s="123"/>
    </row>
    <row r="39" s="33" customFormat="1" ht="16.95" customHeight="1" spans="1:36">
      <c r="A39" s="87" t="str">
        <f>IF(F39&lt;&gt;"",1+MAX($A$2:A38),"")</f>
        <v/>
      </c>
      <c r="B39" s="89"/>
      <c r="C39" s="89"/>
      <c r="D39" s="210" t="s">
        <v>213</v>
      </c>
      <c r="E39" s="72"/>
      <c r="F39" s="90"/>
      <c r="G39" s="91"/>
      <c r="H39" s="70"/>
      <c r="I39" s="97"/>
      <c r="J39" s="98"/>
      <c r="K39" s="99"/>
      <c r="L39" s="100"/>
      <c r="M39" s="100"/>
      <c r="N39" s="100"/>
      <c r="O39" s="100"/>
      <c r="P39" s="100"/>
      <c r="Q39" s="124"/>
      <c r="R39" s="123"/>
      <c r="S39" s="123"/>
      <c r="T39" s="123"/>
      <c r="U39" s="123"/>
      <c r="V39" s="123"/>
      <c r="W39" s="123"/>
      <c r="X39" s="123"/>
      <c r="Y39" s="123"/>
      <c r="Z39" s="123"/>
      <c r="AA39" s="123"/>
      <c r="AB39" s="123"/>
      <c r="AC39" s="123"/>
      <c r="AD39" s="123"/>
      <c r="AE39" s="123"/>
      <c r="AF39" s="123"/>
      <c r="AG39" s="123"/>
      <c r="AH39" s="123"/>
      <c r="AI39" s="123"/>
      <c r="AJ39" s="123"/>
    </row>
    <row r="40" s="33" customFormat="1" ht="16.95" customHeight="1" spans="1:36">
      <c r="A40" s="87">
        <f>IF(F40&lt;&gt;"",1+MAX($A$2:A39),"")</f>
        <v>26</v>
      </c>
      <c r="B40" s="89"/>
      <c r="C40" s="89"/>
      <c r="D40" s="69" t="s">
        <v>214</v>
      </c>
      <c r="E40" s="72">
        <v>71.26</v>
      </c>
      <c r="F40" s="90">
        <v>0.05</v>
      </c>
      <c r="G40" s="91">
        <v>74.823</v>
      </c>
      <c r="H40" s="70" t="s">
        <v>37</v>
      </c>
      <c r="I40" s="97">
        <v>0</v>
      </c>
      <c r="J40" s="98">
        <f t="shared" ref="J40:J103" si="12">+I40*G40</f>
        <v>0</v>
      </c>
      <c r="K40" s="99">
        <v>50</v>
      </c>
      <c r="L40" s="100">
        <f t="shared" ref="L40:L103" si="13">I40*K40</f>
        <v>0</v>
      </c>
      <c r="M40" s="100">
        <f t="shared" ref="M40:M103" si="14">K40*J40</f>
        <v>0</v>
      </c>
      <c r="N40" s="100">
        <v>0</v>
      </c>
      <c r="O40" s="100">
        <f t="shared" ref="O40:O103" si="15">N40*G40</f>
        <v>0</v>
      </c>
      <c r="P40" s="100">
        <f t="shared" ref="P40:P103" si="16">(I40*K40)+N40</f>
        <v>0</v>
      </c>
      <c r="Q40" s="124">
        <f t="shared" ref="Q40:Q103" si="17">P40*G40</f>
        <v>0</v>
      </c>
      <c r="R40" s="123"/>
      <c r="S40" s="123"/>
      <c r="T40" s="123"/>
      <c r="U40" s="123"/>
      <c r="V40" s="123"/>
      <c r="W40" s="123"/>
      <c r="X40" s="123"/>
      <c r="Y40" s="123"/>
      <c r="Z40" s="123"/>
      <c r="AA40" s="123"/>
      <c r="AB40" s="123"/>
      <c r="AC40" s="123"/>
      <c r="AD40" s="123"/>
      <c r="AE40" s="123"/>
      <c r="AF40" s="123"/>
      <c r="AG40" s="123"/>
      <c r="AH40" s="123"/>
      <c r="AI40" s="123"/>
      <c r="AJ40" s="123"/>
    </row>
    <row r="41" s="33" customFormat="1" ht="16.95" customHeight="1" spans="1:36">
      <c r="A41" s="87">
        <f>IF(F41&lt;&gt;"",1+MAX($A$2:A40),"")</f>
        <v>27</v>
      </c>
      <c r="B41" s="89"/>
      <c r="C41" s="89"/>
      <c r="D41" s="69" t="s">
        <v>215</v>
      </c>
      <c r="E41" s="72">
        <v>9.85</v>
      </c>
      <c r="F41" s="90">
        <v>0.05</v>
      </c>
      <c r="G41" s="91">
        <v>10.3425</v>
      </c>
      <c r="H41" s="70" t="s">
        <v>37</v>
      </c>
      <c r="I41" s="97">
        <v>0</v>
      </c>
      <c r="J41" s="98">
        <f t="shared" si="12"/>
        <v>0</v>
      </c>
      <c r="K41" s="99">
        <v>50</v>
      </c>
      <c r="L41" s="100">
        <f t="shared" si="13"/>
        <v>0</v>
      </c>
      <c r="M41" s="100">
        <f t="shared" si="14"/>
        <v>0</v>
      </c>
      <c r="N41" s="100">
        <v>0</v>
      </c>
      <c r="O41" s="100">
        <f t="shared" si="15"/>
        <v>0</v>
      </c>
      <c r="P41" s="100">
        <f t="shared" si="16"/>
        <v>0</v>
      </c>
      <c r="Q41" s="124">
        <f t="shared" si="17"/>
        <v>0</v>
      </c>
      <c r="R41" s="123"/>
      <c r="S41" s="123"/>
      <c r="T41" s="123"/>
      <c r="U41" s="123"/>
      <c r="V41" s="123"/>
      <c r="W41" s="123"/>
      <c r="X41" s="123"/>
      <c r="Y41" s="123"/>
      <c r="Z41" s="123"/>
      <c r="AA41" s="123"/>
      <c r="AB41" s="123"/>
      <c r="AC41" s="123"/>
      <c r="AD41" s="123"/>
      <c r="AE41" s="123"/>
      <c r="AF41" s="123"/>
      <c r="AG41" s="123"/>
      <c r="AH41" s="123"/>
      <c r="AI41" s="123"/>
      <c r="AJ41" s="123"/>
    </row>
    <row r="42" s="33" customFormat="1" ht="16.95" customHeight="1" spans="1:36">
      <c r="A42" s="87">
        <f>IF(F42&lt;&gt;"",1+MAX($A$2:A41),"")</f>
        <v>28</v>
      </c>
      <c r="B42" s="89"/>
      <c r="C42" s="89"/>
      <c r="D42" s="69" t="s">
        <v>216</v>
      </c>
      <c r="E42" s="72">
        <v>173.34</v>
      </c>
      <c r="F42" s="90">
        <v>0.05</v>
      </c>
      <c r="G42" s="91">
        <v>182.007</v>
      </c>
      <c r="H42" s="70" t="s">
        <v>37</v>
      </c>
      <c r="I42" s="97">
        <v>0</v>
      </c>
      <c r="J42" s="98">
        <f t="shared" si="12"/>
        <v>0</v>
      </c>
      <c r="K42" s="99">
        <v>50</v>
      </c>
      <c r="L42" s="100">
        <f t="shared" si="13"/>
        <v>0</v>
      </c>
      <c r="M42" s="100">
        <f t="shared" si="14"/>
        <v>0</v>
      </c>
      <c r="N42" s="100">
        <v>0</v>
      </c>
      <c r="O42" s="100">
        <f t="shared" si="15"/>
        <v>0</v>
      </c>
      <c r="P42" s="100">
        <f t="shared" si="16"/>
        <v>0</v>
      </c>
      <c r="Q42" s="124">
        <f t="shared" si="17"/>
        <v>0</v>
      </c>
      <c r="R42" s="123"/>
      <c r="S42" s="123"/>
      <c r="T42" s="123"/>
      <c r="U42" s="123"/>
      <c r="V42" s="123"/>
      <c r="W42" s="123"/>
      <c r="X42" s="123"/>
      <c r="Y42" s="123"/>
      <c r="Z42" s="123"/>
      <c r="AA42" s="123"/>
      <c r="AB42" s="123"/>
      <c r="AC42" s="123"/>
      <c r="AD42" s="123"/>
      <c r="AE42" s="123"/>
      <c r="AF42" s="123"/>
      <c r="AG42" s="123"/>
      <c r="AH42" s="123"/>
      <c r="AI42" s="123"/>
      <c r="AJ42" s="123"/>
    </row>
    <row r="43" s="33" customFormat="1" ht="16.95" customHeight="1" spans="1:36">
      <c r="A43" s="87">
        <f>IF(F43&lt;&gt;"",1+MAX($A$2:A42),"")</f>
        <v>29</v>
      </c>
      <c r="B43" s="89"/>
      <c r="C43" s="89"/>
      <c r="D43" s="69" t="s">
        <v>217</v>
      </c>
      <c r="E43" s="72">
        <v>6.1</v>
      </c>
      <c r="F43" s="90">
        <v>0.05</v>
      </c>
      <c r="G43" s="91">
        <v>6.405</v>
      </c>
      <c r="H43" s="70" t="s">
        <v>37</v>
      </c>
      <c r="I43" s="97">
        <v>0</v>
      </c>
      <c r="J43" s="98">
        <f t="shared" si="12"/>
        <v>0</v>
      </c>
      <c r="K43" s="99">
        <v>50</v>
      </c>
      <c r="L43" s="100">
        <f t="shared" si="13"/>
        <v>0</v>
      </c>
      <c r="M43" s="100">
        <f t="shared" si="14"/>
        <v>0</v>
      </c>
      <c r="N43" s="100">
        <v>0</v>
      </c>
      <c r="O43" s="100">
        <f t="shared" si="15"/>
        <v>0</v>
      </c>
      <c r="P43" s="100">
        <f t="shared" si="16"/>
        <v>0</v>
      </c>
      <c r="Q43" s="124">
        <f t="shared" si="17"/>
        <v>0</v>
      </c>
      <c r="R43" s="123"/>
      <c r="S43" s="123"/>
      <c r="T43" s="123"/>
      <c r="U43" s="123"/>
      <c r="V43" s="123"/>
      <c r="W43" s="123"/>
      <c r="X43" s="123"/>
      <c r="Y43" s="123"/>
      <c r="Z43" s="123"/>
      <c r="AA43" s="123"/>
      <c r="AB43" s="123"/>
      <c r="AC43" s="123"/>
      <c r="AD43" s="123"/>
      <c r="AE43" s="123"/>
      <c r="AF43" s="123"/>
      <c r="AG43" s="123"/>
      <c r="AH43" s="123"/>
      <c r="AI43" s="123"/>
      <c r="AJ43" s="123"/>
    </row>
    <row r="44" s="33" customFormat="1" ht="16.95" customHeight="1" spans="1:36">
      <c r="A44" s="87">
        <f>IF(F44&lt;&gt;"",1+MAX($A$2:A43),"")</f>
        <v>30</v>
      </c>
      <c r="B44" s="89"/>
      <c r="C44" s="89"/>
      <c r="D44" s="69" t="s">
        <v>218</v>
      </c>
      <c r="E44" s="72">
        <v>8.63</v>
      </c>
      <c r="F44" s="90">
        <v>0.05</v>
      </c>
      <c r="G44" s="91">
        <v>9.0615</v>
      </c>
      <c r="H44" s="70" t="s">
        <v>37</v>
      </c>
      <c r="I44" s="97">
        <v>0</v>
      </c>
      <c r="J44" s="98">
        <f t="shared" si="12"/>
        <v>0</v>
      </c>
      <c r="K44" s="99">
        <v>50</v>
      </c>
      <c r="L44" s="100">
        <f t="shared" si="13"/>
        <v>0</v>
      </c>
      <c r="M44" s="100">
        <f t="shared" si="14"/>
        <v>0</v>
      </c>
      <c r="N44" s="100">
        <v>0</v>
      </c>
      <c r="O44" s="100">
        <f t="shared" si="15"/>
        <v>0</v>
      </c>
      <c r="P44" s="100">
        <f t="shared" si="16"/>
        <v>0</v>
      </c>
      <c r="Q44" s="124">
        <f t="shared" si="17"/>
        <v>0</v>
      </c>
      <c r="R44" s="123"/>
      <c r="S44" s="123"/>
      <c r="T44" s="123"/>
      <c r="U44" s="123"/>
      <c r="V44" s="123"/>
      <c r="W44" s="123"/>
      <c r="X44" s="123"/>
      <c r="Y44" s="123"/>
      <c r="Z44" s="123"/>
      <c r="AA44" s="123"/>
      <c r="AB44" s="123"/>
      <c r="AC44" s="123"/>
      <c r="AD44" s="123"/>
      <c r="AE44" s="123"/>
      <c r="AF44" s="123"/>
      <c r="AG44" s="123"/>
      <c r="AH44" s="123"/>
      <c r="AI44" s="123"/>
      <c r="AJ44" s="123"/>
    </row>
    <row r="45" s="33" customFormat="1" ht="16.95" customHeight="1" spans="1:36">
      <c r="A45" s="87">
        <f>IF(F45&lt;&gt;"",1+MAX($A$2:A44),"")</f>
        <v>31</v>
      </c>
      <c r="B45" s="89"/>
      <c r="C45" s="89"/>
      <c r="D45" s="69" t="s">
        <v>219</v>
      </c>
      <c r="E45" s="72">
        <v>5.97</v>
      </c>
      <c r="F45" s="90">
        <v>0.05</v>
      </c>
      <c r="G45" s="91">
        <v>6.2685</v>
      </c>
      <c r="H45" s="70" t="s">
        <v>37</v>
      </c>
      <c r="I45" s="97">
        <v>0</v>
      </c>
      <c r="J45" s="98">
        <f t="shared" si="12"/>
        <v>0</v>
      </c>
      <c r="K45" s="99">
        <v>50</v>
      </c>
      <c r="L45" s="100">
        <f t="shared" si="13"/>
        <v>0</v>
      </c>
      <c r="M45" s="100">
        <f t="shared" si="14"/>
        <v>0</v>
      </c>
      <c r="N45" s="100">
        <v>0</v>
      </c>
      <c r="O45" s="100">
        <f t="shared" si="15"/>
        <v>0</v>
      </c>
      <c r="P45" s="100">
        <f t="shared" si="16"/>
        <v>0</v>
      </c>
      <c r="Q45" s="124">
        <f t="shared" si="17"/>
        <v>0</v>
      </c>
      <c r="R45" s="123"/>
      <c r="S45" s="123"/>
      <c r="T45" s="123"/>
      <c r="U45" s="123"/>
      <c r="V45" s="123"/>
      <c r="W45" s="123"/>
      <c r="X45" s="123"/>
      <c r="Y45" s="123"/>
      <c r="Z45" s="123"/>
      <c r="AA45" s="123"/>
      <c r="AB45" s="123"/>
      <c r="AC45" s="123"/>
      <c r="AD45" s="123"/>
      <c r="AE45" s="123"/>
      <c r="AF45" s="123"/>
      <c r="AG45" s="123"/>
      <c r="AH45" s="123"/>
      <c r="AI45" s="123"/>
      <c r="AJ45" s="123"/>
    </row>
    <row r="46" s="33" customFormat="1" ht="16.95" customHeight="1" spans="1:36">
      <c r="A46" s="87">
        <f>IF(F46&lt;&gt;"",1+MAX($A$2:A45),"")</f>
        <v>32</v>
      </c>
      <c r="B46" s="89"/>
      <c r="C46" s="89"/>
      <c r="D46" s="69" t="s">
        <v>220</v>
      </c>
      <c r="E46" s="72">
        <v>78.3</v>
      </c>
      <c r="F46" s="90">
        <v>0.05</v>
      </c>
      <c r="G46" s="91">
        <v>82.215</v>
      </c>
      <c r="H46" s="70" t="s">
        <v>37</v>
      </c>
      <c r="I46" s="97">
        <v>0</v>
      </c>
      <c r="J46" s="98">
        <f t="shared" si="12"/>
        <v>0</v>
      </c>
      <c r="K46" s="99">
        <v>50</v>
      </c>
      <c r="L46" s="100">
        <f t="shared" si="13"/>
        <v>0</v>
      </c>
      <c r="M46" s="100">
        <f t="shared" si="14"/>
        <v>0</v>
      </c>
      <c r="N46" s="100">
        <v>0</v>
      </c>
      <c r="O46" s="100">
        <f t="shared" si="15"/>
        <v>0</v>
      </c>
      <c r="P46" s="100">
        <f t="shared" si="16"/>
        <v>0</v>
      </c>
      <c r="Q46" s="124">
        <f t="shared" si="17"/>
        <v>0</v>
      </c>
      <c r="R46" s="123"/>
      <c r="S46" s="123"/>
      <c r="T46" s="123"/>
      <c r="U46" s="123"/>
      <c r="V46" s="123"/>
      <c r="W46" s="123"/>
      <c r="X46" s="123"/>
      <c r="Y46" s="123"/>
      <c r="Z46" s="123"/>
      <c r="AA46" s="123"/>
      <c r="AB46" s="123"/>
      <c r="AC46" s="123"/>
      <c r="AD46" s="123"/>
      <c r="AE46" s="123"/>
      <c r="AF46" s="123"/>
      <c r="AG46" s="123"/>
      <c r="AH46" s="123"/>
      <c r="AI46" s="123"/>
      <c r="AJ46" s="123"/>
    </row>
    <row r="47" s="33" customFormat="1" ht="16.95" customHeight="1" spans="1:36">
      <c r="A47" s="87">
        <f>IF(F47&lt;&gt;"",1+MAX($A$2:A46),"")</f>
        <v>33</v>
      </c>
      <c r="B47" s="89"/>
      <c r="C47" s="89"/>
      <c r="D47" s="69" t="s">
        <v>221</v>
      </c>
      <c r="E47" s="72">
        <v>36.42</v>
      </c>
      <c r="F47" s="90">
        <v>0.05</v>
      </c>
      <c r="G47" s="91">
        <v>38.241</v>
      </c>
      <c r="H47" s="70" t="s">
        <v>37</v>
      </c>
      <c r="I47" s="97">
        <v>0</v>
      </c>
      <c r="J47" s="98">
        <f t="shared" si="12"/>
        <v>0</v>
      </c>
      <c r="K47" s="99">
        <v>50</v>
      </c>
      <c r="L47" s="100">
        <f t="shared" si="13"/>
        <v>0</v>
      </c>
      <c r="M47" s="100">
        <f t="shared" si="14"/>
        <v>0</v>
      </c>
      <c r="N47" s="100">
        <v>0</v>
      </c>
      <c r="O47" s="100">
        <f t="shared" si="15"/>
        <v>0</v>
      </c>
      <c r="P47" s="100">
        <f t="shared" si="16"/>
        <v>0</v>
      </c>
      <c r="Q47" s="124">
        <f t="shared" si="17"/>
        <v>0</v>
      </c>
      <c r="R47" s="123"/>
      <c r="S47" s="123"/>
      <c r="T47" s="123"/>
      <c r="U47" s="123"/>
      <c r="V47" s="123"/>
      <c r="W47" s="123"/>
      <c r="X47" s="123"/>
      <c r="Y47" s="123"/>
      <c r="Z47" s="123"/>
      <c r="AA47" s="123"/>
      <c r="AB47" s="123"/>
      <c r="AC47" s="123"/>
      <c r="AD47" s="123"/>
      <c r="AE47" s="123"/>
      <c r="AF47" s="123"/>
      <c r="AG47" s="123"/>
      <c r="AH47" s="123"/>
      <c r="AI47" s="123"/>
      <c r="AJ47" s="123"/>
    </row>
    <row r="48" s="33" customFormat="1" ht="16.95" customHeight="1" spans="1:36">
      <c r="A48" s="87">
        <f>IF(F48&lt;&gt;"",1+MAX($A$2:A47),"")</f>
        <v>34</v>
      </c>
      <c r="B48" s="89"/>
      <c r="C48" s="89"/>
      <c r="D48" s="69" t="s">
        <v>222</v>
      </c>
      <c r="E48" s="72">
        <v>20.76</v>
      </c>
      <c r="F48" s="90">
        <v>0.05</v>
      </c>
      <c r="G48" s="91">
        <v>21.798</v>
      </c>
      <c r="H48" s="70" t="s">
        <v>37</v>
      </c>
      <c r="I48" s="97">
        <v>0</v>
      </c>
      <c r="J48" s="98">
        <f t="shared" si="12"/>
        <v>0</v>
      </c>
      <c r="K48" s="99">
        <v>50</v>
      </c>
      <c r="L48" s="100">
        <f t="shared" si="13"/>
        <v>0</v>
      </c>
      <c r="M48" s="100">
        <f t="shared" si="14"/>
        <v>0</v>
      </c>
      <c r="N48" s="100">
        <v>0</v>
      </c>
      <c r="O48" s="100">
        <f t="shared" si="15"/>
        <v>0</v>
      </c>
      <c r="P48" s="100">
        <f t="shared" si="16"/>
        <v>0</v>
      </c>
      <c r="Q48" s="124">
        <f t="shared" si="17"/>
        <v>0</v>
      </c>
      <c r="R48" s="123"/>
      <c r="S48" s="123"/>
      <c r="T48" s="123"/>
      <c r="U48" s="123"/>
      <c r="V48" s="123"/>
      <c r="W48" s="123"/>
      <c r="X48" s="123"/>
      <c r="Y48" s="123"/>
      <c r="Z48" s="123"/>
      <c r="AA48" s="123"/>
      <c r="AB48" s="123"/>
      <c r="AC48" s="123"/>
      <c r="AD48" s="123"/>
      <c r="AE48" s="123"/>
      <c r="AF48" s="123"/>
      <c r="AG48" s="123"/>
      <c r="AH48" s="123"/>
      <c r="AI48" s="123"/>
      <c r="AJ48" s="123"/>
    </row>
    <row r="49" s="33" customFormat="1" ht="16.95" customHeight="1" spans="1:36">
      <c r="A49" s="87">
        <f>IF(F49&lt;&gt;"",1+MAX($A$2:A48),"")</f>
        <v>35</v>
      </c>
      <c r="B49" s="89"/>
      <c r="C49" s="89"/>
      <c r="D49" s="69" t="s">
        <v>223</v>
      </c>
      <c r="E49" s="72">
        <v>228.14</v>
      </c>
      <c r="F49" s="90">
        <v>0.05</v>
      </c>
      <c r="G49" s="91">
        <v>239.547</v>
      </c>
      <c r="H49" s="70" t="s">
        <v>37</v>
      </c>
      <c r="I49" s="97">
        <v>0</v>
      </c>
      <c r="J49" s="98">
        <f t="shared" si="12"/>
        <v>0</v>
      </c>
      <c r="K49" s="99">
        <v>50</v>
      </c>
      <c r="L49" s="100">
        <f t="shared" si="13"/>
        <v>0</v>
      </c>
      <c r="M49" s="100">
        <f t="shared" si="14"/>
        <v>0</v>
      </c>
      <c r="N49" s="100">
        <v>0</v>
      </c>
      <c r="O49" s="100">
        <f t="shared" si="15"/>
        <v>0</v>
      </c>
      <c r="P49" s="100">
        <f t="shared" si="16"/>
        <v>0</v>
      </c>
      <c r="Q49" s="124">
        <f t="shared" si="17"/>
        <v>0</v>
      </c>
      <c r="R49" s="123"/>
      <c r="S49" s="123"/>
      <c r="T49" s="123"/>
      <c r="U49" s="123"/>
      <c r="V49" s="123"/>
      <c r="W49" s="123"/>
      <c r="X49" s="123"/>
      <c r="Y49" s="123"/>
      <c r="Z49" s="123"/>
      <c r="AA49" s="123"/>
      <c r="AB49" s="123"/>
      <c r="AC49" s="123"/>
      <c r="AD49" s="123"/>
      <c r="AE49" s="123"/>
      <c r="AF49" s="123"/>
      <c r="AG49" s="123"/>
      <c r="AH49" s="123"/>
      <c r="AI49" s="123"/>
      <c r="AJ49" s="123"/>
    </row>
    <row r="50" s="33" customFormat="1" ht="16.95" customHeight="1" spans="1:36">
      <c r="A50" s="87">
        <f>IF(F50&lt;&gt;"",1+MAX($A$2:A49),"")</f>
        <v>36</v>
      </c>
      <c r="B50" s="89"/>
      <c r="C50" s="89"/>
      <c r="D50" s="69" t="s">
        <v>224</v>
      </c>
      <c r="E50" s="72">
        <v>9.25</v>
      </c>
      <c r="F50" s="90">
        <v>0.05</v>
      </c>
      <c r="G50" s="91">
        <v>9.7125</v>
      </c>
      <c r="H50" s="70" t="s">
        <v>37</v>
      </c>
      <c r="I50" s="97">
        <v>0</v>
      </c>
      <c r="J50" s="98">
        <f t="shared" si="12"/>
        <v>0</v>
      </c>
      <c r="K50" s="99">
        <v>50</v>
      </c>
      <c r="L50" s="100">
        <f t="shared" si="13"/>
        <v>0</v>
      </c>
      <c r="M50" s="100">
        <f t="shared" si="14"/>
        <v>0</v>
      </c>
      <c r="N50" s="100">
        <v>0</v>
      </c>
      <c r="O50" s="100">
        <f t="shared" si="15"/>
        <v>0</v>
      </c>
      <c r="P50" s="100">
        <f t="shared" si="16"/>
        <v>0</v>
      </c>
      <c r="Q50" s="124">
        <f t="shared" si="17"/>
        <v>0</v>
      </c>
      <c r="R50" s="123"/>
      <c r="S50" s="123"/>
      <c r="T50" s="123"/>
      <c r="U50" s="123"/>
      <c r="V50" s="123"/>
      <c r="W50" s="123"/>
      <c r="X50" s="123"/>
      <c r="Y50" s="123"/>
      <c r="Z50" s="123"/>
      <c r="AA50" s="123"/>
      <c r="AB50" s="123"/>
      <c r="AC50" s="123"/>
      <c r="AD50" s="123"/>
      <c r="AE50" s="123"/>
      <c r="AF50" s="123"/>
      <c r="AG50" s="123"/>
      <c r="AH50" s="123"/>
      <c r="AI50" s="123"/>
      <c r="AJ50" s="123"/>
    </row>
    <row r="51" s="33" customFormat="1" ht="16.95" customHeight="1" spans="1:36">
      <c r="A51" s="87">
        <f>IF(F51&lt;&gt;"",1+MAX($A$2:A50),"")</f>
        <v>37</v>
      </c>
      <c r="B51" s="89"/>
      <c r="C51" s="89"/>
      <c r="D51" s="69" t="s">
        <v>225</v>
      </c>
      <c r="E51" s="72">
        <v>66.52</v>
      </c>
      <c r="F51" s="90">
        <v>0.05</v>
      </c>
      <c r="G51" s="91">
        <v>69.846</v>
      </c>
      <c r="H51" s="70" t="s">
        <v>37</v>
      </c>
      <c r="I51" s="97">
        <v>0</v>
      </c>
      <c r="J51" s="98">
        <f t="shared" si="12"/>
        <v>0</v>
      </c>
      <c r="K51" s="99">
        <v>50</v>
      </c>
      <c r="L51" s="100">
        <f t="shared" si="13"/>
        <v>0</v>
      </c>
      <c r="M51" s="100">
        <f t="shared" si="14"/>
        <v>0</v>
      </c>
      <c r="N51" s="100">
        <v>0</v>
      </c>
      <c r="O51" s="100">
        <f t="shared" si="15"/>
        <v>0</v>
      </c>
      <c r="P51" s="100">
        <f t="shared" si="16"/>
        <v>0</v>
      </c>
      <c r="Q51" s="124">
        <f t="shared" si="17"/>
        <v>0</v>
      </c>
      <c r="R51" s="123"/>
      <c r="S51" s="123"/>
      <c r="T51" s="123"/>
      <c r="U51" s="123"/>
      <c r="V51" s="123"/>
      <c r="W51" s="123"/>
      <c r="X51" s="123"/>
      <c r="Y51" s="123"/>
      <c r="Z51" s="123"/>
      <c r="AA51" s="123"/>
      <c r="AB51" s="123"/>
      <c r="AC51" s="123"/>
      <c r="AD51" s="123"/>
      <c r="AE51" s="123"/>
      <c r="AF51" s="123"/>
      <c r="AG51" s="123"/>
      <c r="AH51" s="123"/>
      <c r="AI51" s="123"/>
      <c r="AJ51" s="123"/>
    </row>
    <row r="52" s="33" customFormat="1" ht="16.95" customHeight="1" spans="1:36">
      <c r="A52" s="87">
        <f>IF(F52&lt;&gt;"",1+MAX($A$2:A51),"")</f>
        <v>38</v>
      </c>
      <c r="B52" s="89"/>
      <c r="C52" s="89"/>
      <c r="D52" s="69" t="s">
        <v>226</v>
      </c>
      <c r="E52" s="72">
        <v>8.43</v>
      </c>
      <c r="F52" s="90">
        <v>0.05</v>
      </c>
      <c r="G52" s="91">
        <v>8.8515</v>
      </c>
      <c r="H52" s="70" t="s">
        <v>37</v>
      </c>
      <c r="I52" s="97">
        <v>0</v>
      </c>
      <c r="J52" s="98">
        <f t="shared" si="12"/>
        <v>0</v>
      </c>
      <c r="K52" s="99">
        <v>50</v>
      </c>
      <c r="L52" s="100">
        <f t="shared" si="13"/>
        <v>0</v>
      </c>
      <c r="M52" s="100">
        <f t="shared" si="14"/>
        <v>0</v>
      </c>
      <c r="N52" s="100">
        <v>0</v>
      </c>
      <c r="O52" s="100">
        <f t="shared" si="15"/>
        <v>0</v>
      </c>
      <c r="P52" s="100">
        <f t="shared" si="16"/>
        <v>0</v>
      </c>
      <c r="Q52" s="124">
        <f t="shared" si="17"/>
        <v>0</v>
      </c>
      <c r="R52" s="123"/>
      <c r="S52" s="123"/>
      <c r="T52" s="123"/>
      <c r="U52" s="123"/>
      <c r="V52" s="123"/>
      <c r="W52" s="123"/>
      <c r="X52" s="123"/>
      <c r="Y52" s="123"/>
      <c r="Z52" s="123"/>
      <c r="AA52" s="123"/>
      <c r="AB52" s="123"/>
      <c r="AC52" s="123"/>
      <c r="AD52" s="123"/>
      <c r="AE52" s="123"/>
      <c r="AF52" s="123"/>
      <c r="AG52" s="123"/>
      <c r="AH52" s="123"/>
      <c r="AI52" s="123"/>
      <c r="AJ52" s="123"/>
    </row>
    <row r="53" s="33" customFormat="1" ht="16.95" customHeight="1" spans="1:36">
      <c r="A53" s="87">
        <f>IF(F53&lt;&gt;"",1+MAX($A$2:A52),"")</f>
        <v>39</v>
      </c>
      <c r="B53" s="89"/>
      <c r="C53" s="89"/>
      <c r="D53" s="69" t="s">
        <v>227</v>
      </c>
      <c r="E53" s="72">
        <v>14.56</v>
      </c>
      <c r="F53" s="90">
        <v>0.05</v>
      </c>
      <c r="G53" s="91">
        <v>15.288</v>
      </c>
      <c r="H53" s="70" t="s">
        <v>37</v>
      </c>
      <c r="I53" s="97">
        <v>0</v>
      </c>
      <c r="J53" s="98">
        <f t="shared" si="12"/>
        <v>0</v>
      </c>
      <c r="K53" s="99">
        <v>50</v>
      </c>
      <c r="L53" s="100">
        <f t="shared" si="13"/>
        <v>0</v>
      </c>
      <c r="M53" s="100">
        <f t="shared" si="14"/>
        <v>0</v>
      </c>
      <c r="N53" s="100">
        <v>0</v>
      </c>
      <c r="O53" s="100">
        <f t="shared" si="15"/>
        <v>0</v>
      </c>
      <c r="P53" s="100">
        <f t="shared" si="16"/>
        <v>0</v>
      </c>
      <c r="Q53" s="124">
        <f t="shared" si="17"/>
        <v>0</v>
      </c>
      <c r="R53" s="123"/>
      <c r="S53" s="123"/>
      <c r="T53" s="123"/>
      <c r="U53" s="123"/>
      <c r="V53" s="123"/>
      <c r="W53" s="123"/>
      <c r="X53" s="123"/>
      <c r="Y53" s="123"/>
      <c r="Z53" s="123"/>
      <c r="AA53" s="123"/>
      <c r="AB53" s="123"/>
      <c r="AC53" s="123"/>
      <c r="AD53" s="123"/>
      <c r="AE53" s="123"/>
      <c r="AF53" s="123"/>
      <c r="AG53" s="123"/>
      <c r="AH53" s="123"/>
      <c r="AI53" s="123"/>
      <c r="AJ53" s="123"/>
    </row>
    <row r="54" s="33" customFormat="1" ht="16.95" customHeight="1" spans="1:36">
      <c r="A54" s="87">
        <f>IF(F54&lt;&gt;"",1+MAX($A$2:A53),"")</f>
        <v>40</v>
      </c>
      <c r="B54" s="89"/>
      <c r="C54" s="89"/>
      <c r="D54" s="69" t="s">
        <v>228</v>
      </c>
      <c r="E54" s="72">
        <v>196.23</v>
      </c>
      <c r="F54" s="90">
        <v>0.05</v>
      </c>
      <c r="G54" s="91">
        <v>206.0415</v>
      </c>
      <c r="H54" s="70" t="s">
        <v>37</v>
      </c>
      <c r="I54" s="97">
        <v>0</v>
      </c>
      <c r="J54" s="98">
        <f t="shared" si="12"/>
        <v>0</v>
      </c>
      <c r="K54" s="99">
        <v>50</v>
      </c>
      <c r="L54" s="100">
        <f t="shared" si="13"/>
        <v>0</v>
      </c>
      <c r="M54" s="100">
        <f t="shared" si="14"/>
        <v>0</v>
      </c>
      <c r="N54" s="100">
        <v>0</v>
      </c>
      <c r="O54" s="100">
        <f t="shared" si="15"/>
        <v>0</v>
      </c>
      <c r="P54" s="100">
        <f t="shared" si="16"/>
        <v>0</v>
      </c>
      <c r="Q54" s="124">
        <f t="shared" si="17"/>
        <v>0</v>
      </c>
      <c r="R54" s="123"/>
      <c r="S54" s="123"/>
      <c r="T54" s="123"/>
      <c r="U54" s="123"/>
      <c r="V54" s="123"/>
      <c r="W54" s="123"/>
      <c r="X54" s="123"/>
      <c r="Y54" s="123"/>
      <c r="Z54" s="123"/>
      <c r="AA54" s="123"/>
      <c r="AB54" s="123"/>
      <c r="AC54" s="123"/>
      <c r="AD54" s="123"/>
      <c r="AE54" s="123"/>
      <c r="AF54" s="123"/>
      <c r="AG54" s="123"/>
      <c r="AH54" s="123"/>
      <c r="AI54" s="123"/>
      <c r="AJ54" s="123"/>
    </row>
    <row r="55" s="33" customFormat="1" ht="16.95" customHeight="1" spans="1:36">
      <c r="A55" s="87">
        <f>IF(F55&lt;&gt;"",1+MAX($A$2:A54),"")</f>
        <v>41</v>
      </c>
      <c r="B55" s="89"/>
      <c r="C55" s="89"/>
      <c r="D55" s="69" t="s">
        <v>229</v>
      </c>
      <c r="E55" s="72">
        <v>36.9</v>
      </c>
      <c r="F55" s="90">
        <v>0.05</v>
      </c>
      <c r="G55" s="91">
        <v>38.745</v>
      </c>
      <c r="H55" s="70" t="s">
        <v>37</v>
      </c>
      <c r="I55" s="97">
        <v>0</v>
      </c>
      <c r="J55" s="98">
        <f t="shared" si="12"/>
        <v>0</v>
      </c>
      <c r="K55" s="99">
        <v>50</v>
      </c>
      <c r="L55" s="100">
        <f t="shared" si="13"/>
        <v>0</v>
      </c>
      <c r="M55" s="100">
        <f t="shared" si="14"/>
        <v>0</v>
      </c>
      <c r="N55" s="100">
        <v>0</v>
      </c>
      <c r="O55" s="100">
        <f t="shared" si="15"/>
        <v>0</v>
      </c>
      <c r="P55" s="100">
        <f t="shared" si="16"/>
        <v>0</v>
      </c>
      <c r="Q55" s="124">
        <f t="shared" si="17"/>
        <v>0</v>
      </c>
      <c r="R55" s="123"/>
      <c r="S55" s="123"/>
      <c r="T55" s="123"/>
      <c r="U55" s="123"/>
      <c r="V55" s="123"/>
      <c r="W55" s="123"/>
      <c r="X55" s="123"/>
      <c r="Y55" s="123"/>
      <c r="Z55" s="123"/>
      <c r="AA55" s="123"/>
      <c r="AB55" s="123"/>
      <c r="AC55" s="123"/>
      <c r="AD55" s="123"/>
      <c r="AE55" s="123"/>
      <c r="AF55" s="123"/>
      <c r="AG55" s="123"/>
      <c r="AH55" s="123"/>
      <c r="AI55" s="123"/>
      <c r="AJ55" s="123"/>
    </row>
    <row r="56" s="33" customFormat="1" ht="16.95" customHeight="1" spans="1:36">
      <c r="A56" s="87">
        <f>IF(F56&lt;&gt;"",1+MAX($A$2:A55),"")</f>
        <v>42</v>
      </c>
      <c r="B56" s="89"/>
      <c r="C56" s="89"/>
      <c r="D56" s="69" t="s">
        <v>230</v>
      </c>
      <c r="E56" s="72">
        <v>7.76</v>
      </c>
      <c r="F56" s="90">
        <v>0.05</v>
      </c>
      <c r="G56" s="91">
        <v>8.148</v>
      </c>
      <c r="H56" s="70" t="s">
        <v>37</v>
      </c>
      <c r="I56" s="97">
        <v>0</v>
      </c>
      <c r="J56" s="98">
        <f t="shared" si="12"/>
        <v>0</v>
      </c>
      <c r="K56" s="99">
        <v>50</v>
      </c>
      <c r="L56" s="100">
        <f t="shared" si="13"/>
        <v>0</v>
      </c>
      <c r="M56" s="100">
        <f t="shared" si="14"/>
        <v>0</v>
      </c>
      <c r="N56" s="100">
        <v>0</v>
      </c>
      <c r="O56" s="100">
        <f t="shared" si="15"/>
        <v>0</v>
      </c>
      <c r="P56" s="100">
        <f t="shared" si="16"/>
        <v>0</v>
      </c>
      <c r="Q56" s="124">
        <f t="shared" si="17"/>
        <v>0</v>
      </c>
      <c r="R56" s="123"/>
      <c r="S56" s="123"/>
      <c r="T56" s="123"/>
      <c r="U56" s="123"/>
      <c r="V56" s="123"/>
      <c r="W56" s="123"/>
      <c r="X56" s="123"/>
      <c r="Y56" s="123"/>
      <c r="Z56" s="123"/>
      <c r="AA56" s="123"/>
      <c r="AB56" s="123"/>
      <c r="AC56" s="123"/>
      <c r="AD56" s="123"/>
      <c r="AE56" s="123"/>
      <c r="AF56" s="123"/>
      <c r="AG56" s="123"/>
      <c r="AH56" s="123"/>
      <c r="AI56" s="123"/>
      <c r="AJ56" s="123"/>
    </row>
    <row r="57" s="33" customFormat="1" ht="16.95" customHeight="1" spans="1:36">
      <c r="A57" s="87">
        <f>IF(F57&lt;&gt;"",1+MAX($A$2:A56),"")</f>
        <v>43</v>
      </c>
      <c r="B57" s="89"/>
      <c r="C57" s="89"/>
      <c r="D57" s="69" t="s">
        <v>231</v>
      </c>
      <c r="E57" s="72">
        <v>69.33</v>
      </c>
      <c r="F57" s="90">
        <v>0.05</v>
      </c>
      <c r="G57" s="91">
        <v>72.7965</v>
      </c>
      <c r="H57" s="70" t="s">
        <v>37</v>
      </c>
      <c r="I57" s="97">
        <v>0</v>
      </c>
      <c r="J57" s="98">
        <f t="shared" si="12"/>
        <v>0</v>
      </c>
      <c r="K57" s="99">
        <v>50</v>
      </c>
      <c r="L57" s="100">
        <f t="shared" si="13"/>
        <v>0</v>
      </c>
      <c r="M57" s="100">
        <f t="shared" si="14"/>
        <v>0</v>
      </c>
      <c r="N57" s="100">
        <v>0</v>
      </c>
      <c r="O57" s="100">
        <f t="shared" si="15"/>
        <v>0</v>
      </c>
      <c r="P57" s="100">
        <f t="shared" si="16"/>
        <v>0</v>
      </c>
      <c r="Q57" s="124">
        <f t="shared" si="17"/>
        <v>0</v>
      </c>
      <c r="R57" s="123"/>
      <c r="S57" s="123"/>
      <c r="T57" s="123"/>
      <c r="U57" s="123"/>
      <c r="V57" s="123"/>
      <c r="W57" s="123"/>
      <c r="X57" s="123"/>
      <c r="Y57" s="123"/>
      <c r="Z57" s="123"/>
      <c r="AA57" s="123"/>
      <c r="AB57" s="123"/>
      <c r="AC57" s="123"/>
      <c r="AD57" s="123"/>
      <c r="AE57" s="123"/>
      <c r="AF57" s="123"/>
      <c r="AG57" s="123"/>
      <c r="AH57" s="123"/>
      <c r="AI57" s="123"/>
      <c r="AJ57" s="123"/>
    </row>
    <row r="58" s="33" customFormat="1" ht="16.95" customHeight="1" spans="1:36">
      <c r="A58" s="87">
        <f>IF(F58&lt;&gt;"",1+MAX($A$2:A57),"")</f>
        <v>44</v>
      </c>
      <c r="B58" s="89"/>
      <c r="C58" s="89"/>
      <c r="D58" s="69" t="s">
        <v>232</v>
      </c>
      <c r="E58" s="72">
        <v>10.01</v>
      </c>
      <c r="F58" s="90">
        <v>0.05</v>
      </c>
      <c r="G58" s="91">
        <v>10.5105</v>
      </c>
      <c r="H58" s="70" t="s">
        <v>37</v>
      </c>
      <c r="I58" s="97">
        <v>0</v>
      </c>
      <c r="J58" s="98">
        <f t="shared" si="12"/>
        <v>0</v>
      </c>
      <c r="K58" s="99">
        <v>50</v>
      </c>
      <c r="L58" s="100">
        <f t="shared" si="13"/>
        <v>0</v>
      </c>
      <c r="M58" s="100">
        <f t="shared" si="14"/>
        <v>0</v>
      </c>
      <c r="N58" s="100">
        <v>0</v>
      </c>
      <c r="O58" s="100">
        <f t="shared" si="15"/>
        <v>0</v>
      </c>
      <c r="P58" s="100">
        <f t="shared" si="16"/>
        <v>0</v>
      </c>
      <c r="Q58" s="124">
        <f t="shared" si="17"/>
        <v>0</v>
      </c>
      <c r="R58" s="123"/>
      <c r="S58" s="123"/>
      <c r="T58" s="123"/>
      <c r="U58" s="123"/>
      <c r="V58" s="123"/>
      <c r="W58" s="123"/>
      <c r="X58" s="123"/>
      <c r="Y58" s="123"/>
      <c r="Z58" s="123"/>
      <c r="AA58" s="123"/>
      <c r="AB58" s="123"/>
      <c r="AC58" s="123"/>
      <c r="AD58" s="123"/>
      <c r="AE58" s="123"/>
      <c r="AF58" s="123"/>
      <c r="AG58" s="123"/>
      <c r="AH58" s="123"/>
      <c r="AI58" s="123"/>
      <c r="AJ58" s="123"/>
    </row>
    <row r="59" s="33" customFormat="1" ht="16.95" customHeight="1" spans="1:36">
      <c r="A59" s="87">
        <f>IF(F59&lt;&gt;"",1+MAX($A$2:A58),"")</f>
        <v>45</v>
      </c>
      <c r="B59" s="89"/>
      <c r="C59" s="89"/>
      <c r="D59" s="69" t="s">
        <v>233</v>
      </c>
      <c r="E59" s="72">
        <v>233.45</v>
      </c>
      <c r="F59" s="90">
        <v>0.05</v>
      </c>
      <c r="G59" s="91">
        <v>245.1225</v>
      </c>
      <c r="H59" s="70" t="s">
        <v>37</v>
      </c>
      <c r="I59" s="97">
        <v>0</v>
      </c>
      <c r="J59" s="98">
        <f t="shared" si="12"/>
        <v>0</v>
      </c>
      <c r="K59" s="99">
        <v>50</v>
      </c>
      <c r="L59" s="100">
        <f t="shared" si="13"/>
        <v>0</v>
      </c>
      <c r="M59" s="100">
        <f t="shared" si="14"/>
        <v>0</v>
      </c>
      <c r="N59" s="100">
        <v>0</v>
      </c>
      <c r="O59" s="100">
        <f t="shared" si="15"/>
        <v>0</v>
      </c>
      <c r="P59" s="100">
        <f t="shared" si="16"/>
        <v>0</v>
      </c>
      <c r="Q59" s="124">
        <f t="shared" si="17"/>
        <v>0</v>
      </c>
      <c r="R59" s="123"/>
      <c r="S59" s="123"/>
      <c r="T59" s="123"/>
      <c r="U59" s="123"/>
      <c r="V59" s="123"/>
      <c r="W59" s="123"/>
      <c r="X59" s="123"/>
      <c r="Y59" s="123"/>
      <c r="Z59" s="123"/>
      <c r="AA59" s="123"/>
      <c r="AB59" s="123"/>
      <c r="AC59" s="123"/>
      <c r="AD59" s="123"/>
      <c r="AE59" s="123"/>
      <c r="AF59" s="123"/>
      <c r="AG59" s="123"/>
      <c r="AH59" s="123"/>
      <c r="AI59" s="123"/>
      <c r="AJ59" s="123"/>
    </row>
    <row r="60" s="33" customFormat="1" ht="16.95" customHeight="1" spans="1:36">
      <c r="A60" s="87">
        <f>IF(F60&lt;&gt;"",1+MAX($A$2:A59),"")</f>
        <v>46</v>
      </c>
      <c r="B60" s="89"/>
      <c r="C60" s="89"/>
      <c r="D60" s="69" t="s">
        <v>234</v>
      </c>
      <c r="E60" s="72">
        <v>36.93</v>
      </c>
      <c r="F60" s="90">
        <v>0.05</v>
      </c>
      <c r="G60" s="91">
        <v>38.7765</v>
      </c>
      <c r="H60" s="70" t="s">
        <v>37</v>
      </c>
      <c r="I60" s="97">
        <v>0</v>
      </c>
      <c r="J60" s="98">
        <f t="shared" si="12"/>
        <v>0</v>
      </c>
      <c r="K60" s="99">
        <v>50</v>
      </c>
      <c r="L60" s="100">
        <f t="shared" si="13"/>
        <v>0</v>
      </c>
      <c r="M60" s="100">
        <f t="shared" si="14"/>
        <v>0</v>
      </c>
      <c r="N60" s="100">
        <v>0</v>
      </c>
      <c r="O60" s="100">
        <f t="shared" si="15"/>
        <v>0</v>
      </c>
      <c r="P60" s="100">
        <f t="shared" si="16"/>
        <v>0</v>
      </c>
      <c r="Q60" s="124">
        <f t="shared" si="17"/>
        <v>0</v>
      </c>
      <c r="R60" s="123"/>
      <c r="S60" s="123"/>
      <c r="T60" s="123"/>
      <c r="U60" s="123"/>
      <c r="V60" s="123"/>
      <c r="W60" s="123"/>
      <c r="X60" s="123"/>
      <c r="Y60" s="123"/>
      <c r="Z60" s="123"/>
      <c r="AA60" s="123"/>
      <c r="AB60" s="123"/>
      <c r="AC60" s="123"/>
      <c r="AD60" s="123"/>
      <c r="AE60" s="123"/>
      <c r="AF60" s="123"/>
      <c r="AG60" s="123"/>
      <c r="AH60" s="123"/>
      <c r="AI60" s="123"/>
      <c r="AJ60" s="123"/>
    </row>
    <row r="61" s="33" customFormat="1" ht="16.95" customHeight="1" spans="1:36">
      <c r="A61" s="87">
        <f>IF(F61&lt;&gt;"",1+MAX($A$2:A60),"")</f>
        <v>47</v>
      </c>
      <c r="B61" s="89"/>
      <c r="C61" s="89"/>
      <c r="D61" s="69" t="s">
        <v>235</v>
      </c>
      <c r="E61" s="72">
        <v>17.55</v>
      </c>
      <c r="F61" s="90">
        <v>0.05</v>
      </c>
      <c r="G61" s="91">
        <v>18.4275</v>
      </c>
      <c r="H61" s="70" t="s">
        <v>37</v>
      </c>
      <c r="I61" s="97">
        <v>0</v>
      </c>
      <c r="J61" s="98">
        <f t="shared" si="12"/>
        <v>0</v>
      </c>
      <c r="K61" s="99">
        <v>50</v>
      </c>
      <c r="L61" s="100">
        <f t="shared" si="13"/>
        <v>0</v>
      </c>
      <c r="M61" s="100">
        <f t="shared" si="14"/>
        <v>0</v>
      </c>
      <c r="N61" s="100">
        <v>0</v>
      </c>
      <c r="O61" s="100">
        <f t="shared" si="15"/>
        <v>0</v>
      </c>
      <c r="P61" s="100">
        <f t="shared" si="16"/>
        <v>0</v>
      </c>
      <c r="Q61" s="124">
        <f t="shared" si="17"/>
        <v>0</v>
      </c>
      <c r="R61" s="123"/>
      <c r="S61" s="123"/>
      <c r="T61" s="123"/>
      <c r="U61" s="123"/>
      <c r="V61" s="123"/>
      <c r="W61" s="123"/>
      <c r="X61" s="123"/>
      <c r="Y61" s="123"/>
      <c r="Z61" s="123"/>
      <c r="AA61" s="123"/>
      <c r="AB61" s="123"/>
      <c r="AC61" s="123"/>
      <c r="AD61" s="123"/>
      <c r="AE61" s="123"/>
      <c r="AF61" s="123"/>
      <c r="AG61" s="123"/>
      <c r="AH61" s="123"/>
      <c r="AI61" s="123"/>
      <c r="AJ61" s="123"/>
    </row>
    <row r="62" s="33" customFormat="1" ht="16.95" customHeight="1" spans="1:36">
      <c r="A62" s="87">
        <f>IF(F62&lt;&gt;"",1+MAX($A$2:A61),"")</f>
        <v>48</v>
      </c>
      <c r="B62" s="89"/>
      <c r="C62" s="89"/>
      <c r="D62" s="69" t="s">
        <v>236</v>
      </c>
      <c r="E62" s="72">
        <v>8.2</v>
      </c>
      <c r="F62" s="90">
        <v>0.05</v>
      </c>
      <c r="G62" s="91">
        <v>8.61</v>
      </c>
      <c r="H62" s="70" t="s">
        <v>37</v>
      </c>
      <c r="I62" s="97">
        <v>0</v>
      </c>
      <c r="J62" s="98">
        <f t="shared" si="12"/>
        <v>0</v>
      </c>
      <c r="K62" s="99">
        <v>50</v>
      </c>
      <c r="L62" s="100">
        <f t="shared" si="13"/>
        <v>0</v>
      </c>
      <c r="M62" s="100">
        <f t="shared" si="14"/>
        <v>0</v>
      </c>
      <c r="N62" s="100">
        <v>0</v>
      </c>
      <c r="O62" s="100">
        <f t="shared" si="15"/>
        <v>0</v>
      </c>
      <c r="P62" s="100">
        <f t="shared" si="16"/>
        <v>0</v>
      </c>
      <c r="Q62" s="124">
        <f t="shared" si="17"/>
        <v>0</v>
      </c>
      <c r="R62" s="123"/>
      <c r="S62" s="123"/>
      <c r="T62" s="123"/>
      <c r="U62" s="123"/>
      <c r="V62" s="123"/>
      <c r="W62" s="123"/>
      <c r="X62" s="123"/>
      <c r="Y62" s="123"/>
      <c r="Z62" s="123"/>
      <c r="AA62" s="123"/>
      <c r="AB62" s="123"/>
      <c r="AC62" s="123"/>
      <c r="AD62" s="123"/>
      <c r="AE62" s="123"/>
      <c r="AF62" s="123"/>
      <c r="AG62" s="123"/>
      <c r="AH62" s="123"/>
      <c r="AI62" s="123"/>
      <c r="AJ62" s="123"/>
    </row>
    <row r="63" s="33" customFormat="1" ht="16.95" customHeight="1" spans="1:36">
      <c r="A63" s="87">
        <f>IF(F63&lt;&gt;"",1+MAX($A$2:A62),"")</f>
        <v>49</v>
      </c>
      <c r="B63" s="89"/>
      <c r="C63" s="89"/>
      <c r="D63" s="69" t="s">
        <v>237</v>
      </c>
      <c r="E63" s="72">
        <v>33.51</v>
      </c>
      <c r="F63" s="90">
        <v>0.05</v>
      </c>
      <c r="G63" s="91">
        <v>35.1855</v>
      </c>
      <c r="H63" s="70" t="s">
        <v>37</v>
      </c>
      <c r="I63" s="97">
        <v>0</v>
      </c>
      <c r="J63" s="98">
        <f t="shared" si="12"/>
        <v>0</v>
      </c>
      <c r="K63" s="99">
        <v>50</v>
      </c>
      <c r="L63" s="100">
        <f t="shared" si="13"/>
        <v>0</v>
      </c>
      <c r="M63" s="100">
        <f t="shared" si="14"/>
        <v>0</v>
      </c>
      <c r="N63" s="100">
        <v>0</v>
      </c>
      <c r="O63" s="100">
        <f t="shared" si="15"/>
        <v>0</v>
      </c>
      <c r="P63" s="100">
        <f t="shared" si="16"/>
        <v>0</v>
      </c>
      <c r="Q63" s="124">
        <f t="shared" si="17"/>
        <v>0</v>
      </c>
      <c r="R63" s="123"/>
      <c r="S63" s="123"/>
      <c r="T63" s="123"/>
      <c r="U63" s="123"/>
      <c r="V63" s="123"/>
      <c r="W63" s="123"/>
      <c r="X63" s="123"/>
      <c r="Y63" s="123"/>
      <c r="Z63" s="123"/>
      <c r="AA63" s="123"/>
      <c r="AB63" s="123"/>
      <c r="AC63" s="123"/>
      <c r="AD63" s="123"/>
      <c r="AE63" s="123"/>
      <c r="AF63" s="123"/>
      <c r="AG63" s="123"/>
      <c r="AH63" s="123"/>
      <c r="AI63" s="123"/>
      <c r="AJ63" s="123"/>
    </row>
    <row r="64" s="33" customFormat="1" ht="16.95" customHeight="1" spans="1:36">
      <c r="A64" s="87">
        <f>IF(F64&lt;&gt;"",1+MAX($A$2:A63),"")</f>
        <v>50</v>
      </c>
      <c r="B64" s="89"/>
      <c r="C64" s="89"/>
      <c r="D64" s="69" t="s">
        <v>238</v>
      </c>
      <c r="E64" s="72">
        <v>18.24</v>
      </c>
      <c r="F64" s="90">
        <v>0.05</v>
      </c>
      <c r="G64" s="91">
        <v>19.152</v>
      </c>
      <c r="H64" s="70" t="s">
        <v>37</v>
      </c>
      <c r="I64" s="97">
        <v>0</v>
      </c>
      <c r="J64" s="98">
        <f t="shared" si="12"/>
        <v>0</v>
      </c>
      <c r="K64" s="99">
        <v>50</v>
      </c>
      <c r="L64" s="100">
        <f t="shared" si="13"/>
        <v>0</v>
      </c>
      <c r="M64" s="100">
        <f t="shared" si="14"/>
        <v>0</v>
      </c>
      <c r="N64" s="100">
        <v>0</v>
      </c>
      <c r="O64" s="100">
        <f t="shared" si="15"/>
        <v>0</v>
      </c>
      <c r="P64" s="100">
        <f t="shared" si="16"/>
        <v>0</v>
      </c>
      <c r="Q64" s="124">
        <f t="shared" si="17"/>
        <v>0</v>
      </c>
      <c r="R64" s="123"/>
      <c r="S64" s="123"/>
      <c r="T64" s="123"/>
      <c r="U64" s="123"/>
      <c r="V64" s="123"/>
      <c r="W64" s="123"/>
      <c r="X64" s="123"/>
      <c r="Y64" s="123"/>
      <c r="Z64" s="123"/>
      <c r="AA64" s="123"/>
      <c r="AB64" s="123"/>
      <c r="AC64" s="123"/>
      <c r="AD64" s="123"/>
      <c r="AE64" s="123"/>
      <c r="AF64" s="123"/>
      <c r="AG64" s="123"/>
      <c r="AH64" s="123"/>
      <c r="AI64" s="123"/>
      <c r="AJ64" s="123"/>
    </row>
    <row r="65" s="33" customFormat="1" ht="16.95" customHeight="1" spans="1:36">
      <c r="A65" s="87">
        <f>IF(F65&lt;&gt;"",1+MAX($A$2:A64),"")</f>
        <v>51</v>
      </c>
      <c r="B65" s="89"/>
      <c r="C65" s="89"/>
      <c r="D65" s="69" t="s">
        <v>239</v>
      </c>
      <c r="E65" s="72">
        <v>60.32</v>
      </c>
      <c r="F65" s="90">
        <v>0.05</v>
      </c>
      <c r="G65" s="91">
        <v>63.336</v>
      </c>
      <c r="H65" s="70" t="s">
        <v>37</v>
      </c>
      <c r="I65" s="97">
        <v>0</v>
      </c>
      <c r="J65" s="98">
        <f t="shared" si="12"/>
        <v>0</v>
      </c>
      <c r="K65" s="99">
        <v>50</v>
      </c>
      <c r="L65" s="100">
        <f t="shared" si="13"/>
        <v>0</v>
      </c>
      <c r="M65" s="100">
        <f t="shared" si="14"/>
        <v>0</v>
      </c>
      <c r="N65" s="100">
        <v>0</v>
      </c>
      <c r="O65" s="100">
        <f t="shared" si="15"/>
        <v>0</v>
      </c>
      <c r="P65" s="100">
        <f t="shared" si="16"/>
        <v>0</v>
      </c>
      <c r="Q65" s="124">
        <f t="shared" si="17"/>
        <v>0</v>
      </c>
      <c r="R65" s="123"/>
      <c r="S65" s="123"/>
      <c r="T65" s="123"/>
      <c r="U65" s="123"/>
      <c r="V65" s="123"/>
      <c r="W65" s="123"/>
      <c r="X65" s="123"/>
      <c r="Y65" s="123"/>
      <c r="Z65" s="123"/>
      <c r="AA65" s="123"/>
      <c r="AB65" s="123"/>
      <c r="AC65" s="123"/>
      <c r="AD65" s="123"/>
      <c r="AE65" s="123"/>
      <c r="AF65" s="123"/>
      <c r="AG65" s="123"/>
      <c r="AH65" s="123"/>
      <c r="AI65" s="123"/>
      <c r="AJ65" s="123"/>
    </row>
    <row r="66" s="33" customFormat="1" ht="16.95" customHeight="1" spans="1:36">
      <c r="A66" s="87">
        <f>IF(F66&lt;&gt;"",1+MAX($A$2:A65),"")</f>
        <v>52</v>
      </c>
      <c r="B66" s="89"/>
      <c r="C66" s="89"/>
      <c r="D66" s="69" t="s">
        <v>240</v>
      </c>
      <c r="E66" s="72">
        <v>6.24</v>
      </c>
      <c r="F66" s="90">
        <v>0.05</v>
      </c>
      <c r="G66" s="91">
        <v>6.552</v>
      </c>
      <c r="H66" s="70" t="s">
        <v>37</v>
      </c>
      <c r="I66" s="97">
        <v>0</v>
      </c>
      <c r="J66" s="98">
        <f t="shared" si="12"/>
        <v>0</v>
      </c>
      <c r="K66" s="99">
        <v>50</v>
      </c>
      <c r="L66" s="100">
        <f t="shared" si="13"/>
        <v>0</v>
      </c>
      <c r="M66" s="100">
        <f t="shared" si="14"/>
        <v>0</v>
      </c>
      <c r="N66" s="100">
        <v>0</v>
      </c>
      <c r="O66" s="100">
        <f t="shared" si="15"/>
        <v>0</v>
      </c>
      <c r="P66" s="100">
        <f t="shared" si="16"/>
        <v>0</v>
      </c>
      <c r="Q66" s="124">
        <f t="shared" si="17"/>
        <v>0</v>
      </c>
      <c r="R66" s="123"/>
      <c r="S66" s="123"/>
      <c r="T66" s="123"/>
      <c r="U66" s="123"/>
      <c r="V66" s="123"/>
      <c r="W66" s="123"/>
      <c r="X66" s="123"/>
      <c r="Y66" s="123"/>
      <c r="Z66" s="123"/>
      <c r="AA66" s="123"/>
      <c r="AB66" s="123"/>
      <c r="AC66" s="123"/>
      <c r="AD66" s="123"/>
      <c r="AE66" s="123"/>
      <c r="AF66" s="123"/>
      <c r="AG66" s="123"/>
      <c r="AH66" s="123"/>
      <c r="AI66" s="123"/>
      <c r="AJ66" s="123"/>
    </row>
    <row r="67" s="33" customFormat="1" ht="16.95" customHeight="1" spans="1:36">
      <c r="A67" s="87">
        <f>IF(F67&lt;&gt;"",1+MAX($A$2:A66),"")</f>
        <v>53</v>
      </c>
      <c r="B67" s="89"/>
      <c r="C67" s="89"/>
      <c r="D67" s="69" t="s">
        <v>241</v>
      </c>
      <c r="E67" s="72">
        <v>10.96</v>
      </c>
      <c r="F67" s="90">
        <v>0.05</v>
      </c>
      <c r="G67" s="91">
        <v>11.508</v>
      </c>
      <c r="H67" s="70" t="s">
        <v>37</v>
      </c>
      <c r="I67" s="97">
        <v>0</v>
      </c>
      <c r="J67" s="98">
        <f t="shared" si="12"/>
        <v>0</v>
      </c>
      <c r="K67" s="99">
        <v>50</v>
      </c>
      <c r="L67" s="100">
        <f t="shared" si="13"/>
        <v>0</v>
      </c>
      <c r="M67" s="100">
        <f t="shared" si="14"/>
        <v>0</v>
      </c>
      <c r="N67" s="100">
        <v>0</v>
      </c>
      <c r="O67" s="100">
        <f t="shared" si="15"/>
        <v>0</v>
      </c>
      <c r="P67" s="100">
        <f t="shared" si="16"/>
        <v>0</v>
      </c>
      <c r="Q67" s="124">
        <f t="shared" si="17"/>
        <v>0</v>
      </c>
      <c r="R67" s="123"/>
      <c r="S67" s="123"/>
      <c r="T67" s="123"/>
      <c r="U67" s="123"/>
      <c r="V67" s="123"/>
      <c r="W67" s="123"/>
      <c r="X67" s="123"/>
      <c r="Y67" s="123"/>
      <c r="Z67" s="123"/>
      <c r="AA67" s="123"/>
      <c r="AB67" s="123"/>
      <c r="AC67" s="123"/>
      <c r="AD67" s="123"/>
      <c r="AE67" s="123"/>
      <c r="AF67" s="123"/>
      <c r="AG67" s="123"/>
      <c r="AH67" s="123"/>
      <c r="AI67" s="123"/>
      <c r="AJ67" s="123"/>
    </row>
    <row r="68" s="33" customFormat="1" ht="16.95" customHeight="1" spans="1:36">
      <c r="A68" s="87">
        <f>IF(F68&lt;&gt;"",1+MAX($A$2:A67),"")</f>
        <v>54</v>
      </c>
      <c r="B68" s="89"/>
      <c r="C68" s="89"/>
      <c r="D68" s="69" t="s">
        <v>242</v>
      </c>
      <c r="E68" s="72">
        <v>31.98</v>
      </c>
      <c r="F68" s="90">
        <v>0.05</v>
      </c>
      <c r="G68" s="91">
        <v>33.579</v>
      </c>
      <c r="H68" s="70" t="s">
        <v>37</v>
      </c>
      <c r="I68" s="97">
        <v>0</v>
      </c>
      <c r="J68" s="98">
        <f t="shared" si="12"/>
        <v>0</v>
      </c>
      <c r="K68" s="99">
        <v>50</v>
      </c>
      <c r="L68" s="100">
        <f t="shared" si="13"/>
        <v>0</v>
      </c>
      <c r="M68" s="100">
        <f t="shared" si="14"/>
        <v>0</v>
      </c>
      <c r="N68" s="100">
        <v>0</v>
      </c>
      <c r="O68" s="100">
        <f t="shared" si="15"/>
        <v>0</v>
      </c>
      <c r="P68" s="100">
        <f t="shared" si="16"/>
        <v>0</v>
      </c>
      <c r="Q68" s="124">
        <f t="shared" si="17"/>
        <v>0</v>
      </c>
      <c r="R68" s="123"/>
      <c r="S68" s="123"/>
      <c r="T68" s="123"/>
      <c r="U68" s="123"/>
      <c r="V68" s="123"/>
      <c r="W68" s="123"/>
      <c r="X68" s="123"/>
      <c r="Y68" s="123"/>
      <c r="Z68" s="123"/>
      <c r="AA68" s="123"/>
      <c r="AB68" s="123"/>
      <c r="AC68" s="123"/>
      <c r="AD68" s="123"/>
      <c r="AE68" s="123"/>
      <c r="AF68" s="123"/>
      <c r="AG68" s="123"/>
      <c r="AH68" s="123"/>
      <c r="AI68" s="123"/>
      <c r="AJ68" s="123"/>
    </row>
    <row r="69" s="33" customFormat="1" ht="16.95" customHeight="1" spans="1:36">
      <c r="A69" s="87">
        <f>IF(F69&lt;&gt;"",1+MAX($A$2:A68),"")</f>
        <v>55</v>
      </c>
      <c r="B69" s="89"/>
      <c r="C69" s="89"/>
      <c r="D69" s="69" t="s">
        <v>243</v>
      </c>
      <c r="E69" s="72">
        <v>16.33</v>
      </c>
      <c r="F69" s="90">
        <v>0.05</v>
      </c>
      <c r="G69" s="91">
        <v>17.1465</v>
      </c>
      <c r="H69" s="70" t="s">
        <v>37</v>
      </c>
      <c r="I69" s="97">
        <v>0</v>
      </c>
      <c r="J69" s="98">
        <f t="shared" si="12"/>
        <v>0</v>
      </c>
      <c r="K69" s="99">
        <v>50</v>
      </c>
      <c r="L69" s="100">
        <f t="shared" si="13"/>
        <v>0</v>
      </c>
      <c r="M69" s="100">
        <f t="shared" si="14"/>
        <v>0</v>
      </c>
      <c r="N69" s="100">
        <v>0</v>
      </c>
      <c r="O69" s="100">
        <f t="shared" si="15"/>
        <v>0</v>
      </c>
      <c r="P69" s="100">
        <f t="shared" si="16"/>
        <v>0</v>
      </c>
      <c r="Q69" s="124">
        <f t="shared" si="17"/>
        <v>0</v>
      </c>
      <c r="R69" s="123"/>
      <c r="S69" s="123"/>
      <c r="T69" s="123"/>
      <c r="U69" s="123"/>
      <c r="V69" s="123"/>
      <c r="W69" s="123"/>
      <c r="X69" s="123"/>
      <c r="Y69" s="123"/>
      <c r="Z69" s="123"/>
      <c r="AA69" s="123"/>
      <c r="AB69" s="123"/>
      <c r="AC69" s="123"/>
      <c r="AD69" s="123"/>
      <c r="AE69" s="123"/>
      <c r="AF69" s="123"/>
      <c r="AG69" s="123"/>
      <c r="AH69" s="123"/>
      <c r="AI69" s="123"/>
      <c r="AJ69" s="123"/>
    </row>
    <row r="70" s="33" customFormat="1" ht="16.95" customHeight="1" spans="1:36">
      <c r="A70" s="87">
        <f>IF(F70&lt;&gt;"",1+MAX($A$2:A69),"")</f>
        <v>56</v>
      </c>
      <c r="B70" s="89"/>
      <c r="C70" s="89"/>
      <c r="D70" s="69" t="s">
        <v>244</v>
      </c>
      <c r="E70" s="72">
        <v>19.69</v>
      </c>
      <c r="F70" s="90">
        <v>0.05</v>
      </c>
      <c r="G70" s="91">
        <v>20.6745</v>
      </c>
      <c r="H70" s="70" t="s">
        <v>37</v>
      </c>
      <c r="I70" s="97">
        <v>0</v>
      </c>
      <c r="J70" s="98">
        <f t="shared" si="12"/>
        <v>0</v>
      </c>
      <c r="K70" s="99">
        <v>50</v>
      </c>
      <c r="L70" s="100">
        <f t="shared" si="13"/>
        <v>0</v>
      </c>
      <c r="M70" s="100">
        <f t="shared" si="14"/>
        <v>0</v>
      </c>
      <c r="N70" s="100">
        <v>0</v>
      </c>
      <c r="O70" s="100">
        <f t="shared" si="15"/>
        <v>0</v>
      </c>
      <c r="P70" s="100">
        <f t="shared" si="16"/>
        <v>0</v>
      </c>
      <c r="Q70" s="124">
        <f t="shared" si="17"/>
        <v>0</v>
      </c>
      <c r="R70" s="123"/>
      <c r="S70" s="123"/>
      <c r="T70" s="123"/>
      <c r="U70" s="123"/>
      <c r="V70" s="123"/>
      <c r="W70" s="123"/>
      <c r="X70" s="123"/>
      <c r="Y70" s="123"/>
      <c r="Z70" s="123"/>
      <c r="AA70" s="123"/>
      <c r="AB70" s="123"/>
      <c r="AC70" s="123"/>
      <c r="AD70" s="123"/>
      <c r="AE70" s="123"/>
      <c r="AF70" s="123"/>
      <c r="AG70" s="123"/>
      <c r="AH70" s="123"/>
      <c r="AI70" s="123"/>
      <c r="AJ70" s="123"/>
    </row>
    <row r="71" s="33" customFormat="1" ht="16.95" customHeight="1" spans="1:36">
      <c r="A71" s="87">
        <f>IF(F71&lt;&gt;"",1+MAX($A$2:A70),"")</f>
        <v>57</v>
      </c>
      <c r="B71" s="89"/>
      <c r="C71" s="89"/>
      <c r="D71" s="69" t="s">
        <v>245</v>
      </c>
      <c r="E71" s="72">
        <v>8.09</v>
      </c>
      <c r="F71" s="90">
        <v>0.05</v>
      </c>
      <c r="G71" s="91">
        <v>8.4945</v>
      </c>
      <c r="H71" s="70" t="s">
        <v>37</v>
      </c>
      <c r="I71" s="97">
        <v>0</v>
      </c>
      <c r="J71" s="98">
        <f t="shared" si="12"/>
        <v>0</v>
      </c>
      <c r="K71" s="99">
        <v>50</v>
      </c>
      <c r="L71" s="100">
        <f t="shared" si="13"/>
        <v>0</v>
      </c>
      <c r="M71" s="100">
        <f t="shared" si="14"/>
        <v>0</v>
      </c>
      <c r="N71" s="100">
        <v>0</v>
      </c>
      <c r="O71" s="100">
        <f t="shared" si="15"/>
        <v>0</v>
      </c>
      <c r="P71" s="100">
        <f t="shared" si="16"/>
        <v>0</v>
      </c>
      <c r="Q71" s="124">
        <f t="shared" si="17"/>
        <v>0</v>
      </c>
      <c r="R71" s="123"/>
      <c r="S71" s="123"/>
      <c r="T71" s="123"/>
      <c r="U71" s="123"/>
      <c r="V71" s="123"/>
      <c r="W71" s="123"/>
      <c r="X71" s="123"/>
      <c r="Y71" s="123"/>
      <c r="Z71" s="123"/>
      <c r="AA71" s="123"/>
      <c r="AB71" s="123"/>
      <c r="AC71" s="123"/>
      <c r="AD71" s="123"/>
      <c r="AE71" s="123"/>
      <c r="AF71" s="123"/>
      <c r="AG71" s="123"/>
      <c r="AH71" s="123"/>
      <c r="AI71" s="123"/>
      <c r="AJ71" s="123"/>
    </row>
    <row r="72" s="33" customFormat="1" ht="16.95" customHeight="1" spans="1:36">
      <c r="A72" s="87">
        <f>IF(F72&lt;&gt;"",1+MAX($A$2:A71),"")</f>
        <v>58</v>
      </c>
      <c r="B72" s="89"/>
      <c r="C72" s="89"/>
      <c r="D72" s="69" t="s">
        <v>246</v>
      </c>
      <c r="E72" s="72">
        <v>24.07</v>
      </c>
      <c r="F72" s="90">
        <v>0.05</v>
      </c>
      <c r="G72" s="91">
        <v>25.2735</v>
      </c>
      <c r="H72" s="70" t="s">
        <v>37</v>
      </c>
      <c r="I72" s="97">
        <v>0</v>
      </c>
      <c r="J72" s="98">
        <f t="shared" si="12"/>
        <v>0</v>
      </c>
      <c r="K72" s="99">
        <v>50</v>
      </c>
      <c r="L72" s="100">
        <f t="shared" si="13"/>
        <v>0</v>
      </c>
      <c r="M72" s="100">
        <f t="shared" si="14"/>
        <v>0</v>
      </c>
      <c r="N72" s="100">
        <v>0</v>
      </c>
      <c r="O72" s="100">
        <f t="shared" si="15"/>
        <v>0</v>
      </c>
      <c r="P72" s="100">
        <f t="shared" si="16"/>
        <v>0</v>
      </c>
      <c r="Q72" s="124">
        <f t="shared" si="17"/>
        <v>0</v>
      </c>
      <c r="R72" s="123"/>
      <c r="S72" s="123"/>
      <c r="T72" s="123"/>
      <c r="U72" s="123"/>
      <c r="V72" s="123"/>
      <c r="W72" s="123"/>
      <c r="X72" s="123"/>
      <c r="Y72" s="123"/>
      <c r="Z72" s="123"/>
      <c r="AA72" s="123"/>
      <c r="AB72" s="123"/>
      <c r="AC72" s="123"/>
      <c r="AD72" s="123"/>
      <c r="AE72" s="123"/>
      <c r="AF72" s="123"/>
      <c r="AG72" s="123"/>
      <c r="AH72" s="123"/>
      <c r="AI72" s="123"/>
      <c r="AJ72" s="123"/>
    </row>
    <row r="73" s="33" customFormat="1" ht="16.95" customHeight="1" spans="1:36">
      <c r="A73" s="87">
        <f>IF(F73&lt;&gt;"",1+MAX($A$2:A72),"")</f>
        <v>59</v>
      </c>
      <c r="B73" s="89"/>
      <c r="C73" s="89"/>
      <c r="D73" s="69" t="s">
        <v>247</v>
      </c>
      <c r="E73" s="72">
        <v>50.3</v>
      </c>
      <c r="F73" s="90">
        <v>0.05</v>
      </c>
      <c r="G73" s="91">
        <v>52.815</v>
      </c>
      <c r="H73" s="70" t="s">
        <v>37</v>
      </c>
      <c r="I73" s="97">
        <v>0</v>
      </c>
      <c r="J73" s="98">
        <f t="shared" si="12"/>
        <v>0</v>
      </c>
      <c r="K73" s="99">
        <v>50</v>
      </c>
      <c r="L73" s="100">
        <f t="shared" si="13"/>
        <v>0</v>
      </c>
      <c r="M73" s="100">
        <f t="shared" si="14"/>
        <v>0</v>
      </c>
      <c r="N73" s="100">
        <v>0</v>
      </c>
      <c r="O73" s="100">
        <f t="shared" si="15"/>
        <v>0</v>
      </c>
      <c r="P73" s="100">
        <f t="shared" si="16"/>
        <v>0</v>
      </c>
      <c r="Q73" s="124">
        <f t="shared" si="17"/>
        <v>0</v>
      </c>
      <c r="R73" s="123"/>
      <c r="S73" s="123"/>
      <c r="T73" s="123"/>
      <c r="U73" s="123"/>
      <c r="V73" s="123"/>
      <c r="W73" s="123"/>
      <c r="X73" s="123"/>
      <c r="Y73" s="123"/>
      <c r="Z73" s="123"/>
      <c r="AA73" s="123"/>
      <c r="AB73" s="123"/>
      <c r="AC73" s="123"/>
      <c r="AD73" s="123"/>
      <c r="AE73" s="123"/>
      <c r="AF73" s="123"/>
      <c r="AG73" s="123"/>
      <c r="AH73" s="123"/>
      <c r="AI73" s="123"/>
      <c r="AJ73" s="123"/>
    </row>
    <row r="74" s="33" customFormat="1" ht="16.95" customHeight="1" spans="1:36">
      <c r="A74" s="87">
        <f>IF(F74&lt;&gt;"",1+MAX($A$2:A73),"")</f>
        <v>60</v>
      </c>
      <c r="B74" s="89"/>
      <c r="C74" s="89"/>
      <c r="D74" s="69" t="s">
        <v>248</v>
      </c>
      <c r="E74" s="72">
        <v>7.07</v>
      </c>
      <c r="F74" s="90">
        <v>0.05</v>
      </c>
      <c r="G74" s="91">
        <v>7.4235</v>
      </c>
      <c r="H74" s="70" t="s">
        <v>37</v>
      </c>
      <c r="I74" s="97">
        <v>0</v>
      </c>
      <c r="J74" s="98">
        <f t="shared" si="12"/>
        <v>0</v>
      </c>
      <c r="K74" s="99">
        <v>50</v>
      </c>
      <c r="L74" s="100">
        <f t="shared" si="13"/>
        <v>0</v>
      </c>
      <c r="M74" s="100">
        <f t="shared" si="14"/>
        <v>0</v>
      </c>
      <c r="N74" s="100">
        <v>0</v>
      </c>
      <c r="O74" s="100">
        <f t="shared" si="15"/>
        <v>0</v>
      </c>
      <c r="P74" s="100">
        <f t="shared" si="16"/>
        <v>0</v>
      </c>
      <c r="Q74" s="124">
        <f t="shared" si="17"/>
        <v>0</v>
      </c>
      <c r="R74" s="123"/>
      <c r="S74" s="123"/>
      <c r="T74" s="123"/>
      <c r="U74" s="123"/>
      <c r="V74" s="123"/>
      <c r="W74" s="123"/>
      <c r="X74" s="123"/>
      <c r="Y74" s="123"/>
      <c r="Z74" s="123"/>
      <c r="AA74" s="123"/>
      <c r="AB74" s="123"/>
      <c r="AC74" s="123"/>
      <c r="AD74" s="123"/>
      <c r="AE74" s="123"/>
      <c r="AF74" s="123"/>
      <c r="AG74" s="123"/>
      <c r="AH74" s="123"/>
      <c r="AI74" s="123"/>
      <c r="AJ74" s="123"/>
    </row>
    <row r="75" s="33" customFormat="1" ht="16.95" customHeight="1" spans="1:36">
      <c r="A75" s="87">
        <f>IF(F75&lt;&gt;"",1+MAX($A$2:A74),"")</f>
        <v>61</v>
      </c>
      <c r="B75" s="89"/>
      <c r="C75" s="89"/>
      <c r="D75" s="69" t="s">
        <v>249</v>
      </c>
      <c r="E75" s="72">
        <v>21.79</v>
      </c>
      <c r="F75" s="90">
        <v>0.05</v>
      </c>
      <c r="G75" s="91">
        <v>22.8795</v>
      </c>
      <c r="H75" s="70" t="s">
        <v>37</v>
      </c>
      <c r="I75" s="97">
        <v>0</v>
      </c>
      <c r="J75" s="98">
        <f t="shared" si="12"/>
        <v>0</v>
      </c>
      <c r="K75" s="99">
        <v>50</v>
      </c>
      <c r="L75" s="100">
        <f t="shared" si="13"/>
        <v>0</v>
      </c>
      <c r="M75" s="100">
        <f t="shared" si="14"/>
        <v>0</v>
      </c>
      <c r="N75" s="100">
        <v>0</v>
      </c>
      <c r="O75" s="100">
        <f t="shared" si="15"/>
        <v>0</v>
      </c>
      <c r="P75" s="100">
        <f t="shared" si="16"/>
        <v>0</v>
      </c>
      <c r="Q75" s="124">
        <f t="shared" si="17"/>
        <v>0</v>
      </c>
      <c r="R75" s="123"/>
      <c r="S75" s="123"/>
      <c r="T75" s="123"/>
      <c r="U75" s="123"/>
      <c r="V75" s="123"/>
      <c r="W75" s="123"/>
      <c r="X75" s="123"/>
      <c r="Y75" s="123"/>
      <c r="Z75" s="123"/>
      <c r="AA75" s="123"/>
      <c r="AB75" s="123"/>
      <c r="AC75" s="123"/>
      <c r="AD75" s="123"/>
      <c r="AE75" s="123"/>
      <c r="AF75" s="123"/>
      <c r="AG75" s="123"/>
      <c r="AH75" s="123"/>
      <c r="AI75" s="123"/>
      <c r="AJ75" s="123"/>
    </row>
    <row r="76" s="33" customFormat="1" ht="16.95" customHeight="1" spans="1:36">
      <c r="A76" s="87">
        <f>IF(F76&lt;&gt;"",1+MAX($A$2:A75),"")</f>
        <v>62</v>
      </c>
      <c r="B76" s="89"/>
      <c r="C76" s="89"/>
      <c r="D76" s="69" t="s">
        <v>250</v>
      </c>
      <c r="E76" s="72">
        <v>22.46</v>
      </c>
      <c r="F76" s="90">
        <v>0.05</v>
      </c>
      <c r="G76" s="91">
        <v>23.583</v>
      </c>
      <c r="H76" s="70" t="s">
        <v>37</v>
      </c>
      <c r="I76" s="97">
        <v>0</v>
      </c>
      <c r="J76" s="98">
        <f t="shared" si="12"/>
        <v>0</v>
      </c>
      <c r="K76" s="99">
        <v>50</v>
      </c>
      <c r="L76" s="100">
        <f t="shared" si="13"/>
        <v>0</v>
      </c>
      <c r="M76" s="100">
        <f t="shared" si="14"/>
        <v>0</v>
      </c>
      <c r="N76" s="100">
        <v>0</v>
      </c>
      <c r="O76" s="100">
        <f t="shared" si="15"/>
        <v>0</v>
      </c>
      <c r="P76" s="100">
        <f t="shared" si="16"/>
        <v>0</v>
      </c>
      <c r="Q76" s="124">
        <f t="shared" si="17"/>
        <v>0</v>
      </c>
      <c r="R76" s="123"/>
      <c r="S76" s="123"/>
      <c r="T76" s="123"/>
      <c r="U76" s="123"/>
      <c r="V76" s="123"/>
      <c r="W76" s="123"/>
      <c r="X76" s="123"/>
      <c r="Y76" s="123"/>
      <c r="Z76" s="123"/>
      <c r="AA76" s="123"/>
      <c r="AB76" s="123"/>
      <c r="AC76" s="123"/>
      <c r="AD76" s="123"/>
      <c r="AE76" s="123"/>
      <c r="AF76" s="123"/>
      <c r="AG76" s="123"/>
      <c r="AH76" s="123"/>
      <c r="AI76" s="123"/>
      <c r="AJ76" s="123"/>
    </row>
    <row r="77" s="33" customFormat="1" ht="16.95" customHeight="1" spans="1:36">
      <c r="A77" s="87">
        <f>IF(F77&lt;&gt;"",1+MAX($A$2:A76),"")</f>
        <v>63</v>
      </c>
      <c r="B77" s="89"/>
      <c r="C77" s="89"/>
      <c r="D77" s="69" t="s">
        <v>251</v>
      </c>
      <c r="E77" s="72">
        <v>59.72</v>
      </c>
      <c r="F77" s="90">
        <v>0.05</v>
      </c>
      <c r="G77" s="91">
        <v>62.706</v>
      </c>
      <c r="H77" s="70" t="s">
        <v>37</v>
      </c>
      <c r="I77" s="97">
        <v>0</v>
      </c>
      <c r="J77" s="98">
        <f t="shared" si="12"/>
        <v>0</v>
      </c>
      <c r="K77" s="99">
        <v>50</v>
      </c>
      <c r="L77" s="100">
        <f t="shared" si="13"/>
        <v>0</v>
      </c>
      <c r="M77" s="100">
        <f t="shared" si="14"/>
        <v>0</v>
      </c>
      <c r="N77" s="100">
        <v>0</v>
      </c>
      <c r="O77" s="100">
        <f t="shared" si="15"/>
        <v>0</v>
      </c>
      <c r="P77" s="100">
        <f t="shared" si="16"/>
        <v>0</v>
      </c>
      <c r="Q77" s="124">
        <f t="shared" si="17"/>
        <v>0</v>
      </c>
      <c r="R77" s="123"/>
      <c r="S77" s="123"/>
      <c r="T77" s="123"/>
      <c r="U77" s="123"/>
      <c r="V77" s="123"/>
      <c r="W77" s="123"/>
      <c r="X77" s="123"/>
      <c r="Y77" s="123"/>
      <c r="Z77" s="123"/>
      <c r="AA77" s="123"/>
      <c r="AB77" s="123"/>
      <c r="AC77" s="123"/>
      <c r="AD77" s="123"/>
      <c r="AE77" s="123"/>
      <c r="AF77" s="123"/>
      <c r="AG77" s="123"/>
      <c r="AH77" s="123"/>
      <c r="AI77" s="123"/>
      <c r="AJ77" s="123"/>
    </row>
    <row r="78" s="33" customFormat="1" ht="16.95" customHeight="1" spans="1:36">
      <c r="A78" s="87">
        <f>IF(F78&lt;&gt;"",1+MAX($A$2:A77),"")</f>
        <v>64</v>
      </c>
      <c r="B78" s="89"/>
      <c r="C78" s="89"/>
      <c r="D78" s="69" t="s">
        <v>252</v>
      </c>
      <c r="E78" s="72">
        <v>11.43</v>
      </c>
      <c r="F78" s="90">
        <v>0.05</v>
      </c>
      <c r="G78" s="91">
        <v>12.0015</v>
      </c>
      <c r="H78" s="70" t="s">
        <v>37</v>
      </c>
      <c r="I78" s="97">
        <v>0</v>
      </c>
      <c r="J78" s="98">
        <f t="shared" si="12"/>
        <v>0</v>
      </c>
      <c r="K78" s="99">
        <v>50</v>
      </c>
      <c r="L78" s="100">
        <f t="shared" si="13"/>
        <v>0</v>
      </c>
      <c r="M78" s="100">
        <f t="shared" si="14"/>
        <v>0</v>
      </c>
      <c r="N78" s="100">
        <v>0</v>
      </c>
      <c r="O78" s="100">
        <f t="shared" si="15"/>
        <v>0</v>
      </c>
      <c r="P78" s="100">
        <f t="shared" si="16"/>
        <v>0</v>
      </c>
      <c r="Q78" s="124">
        <f t="shared" si="17"/>
        <v>0</v>
      </c>
      <c r="R78" s="123"/>
      <c r="S78" s="123"/>
      <c r="T78" s="123"/>
      <c r="U78" s="123"/>
      <c r="V78" s="123"/>
      <c r="W78" s="123"/>
      <c r="X78" s="123"/>
      <c r="Y78" s="123"/>
      <c r="Z78" s="123"/>
      <c r="AA78" s="123"/>
      <c r="AB78" s="123"/>
      <c r="AC78" s="123"/>
      <c r="AD78" s="123"/>
      <c r="AE78" s="123"/>
      <c r="AF78" s="123"/>
      <c r="AG78" s="123"/>
      <c r="AH78" s="123"/>
      <c r="AI78" s="123"/>
      <c r="AJ78" s="123"/>
    </row>
    <row r="79" s="33" customFormat="1" ht="16.95" customHeight="1" spans="1:36">
      <c r="A79" s="87">
        <f>IF(F79&lt;&gt;"",1+MAX($A$2:A78),"")</f>
        <v>65</v>
      </c>
      <c r="B79" s="89"/>
      <c r="C79" s="89"/>
      <c r="D79" s="69" t="s">
        <v>253</v>
      </c>
      <c r="E79" s="72">
        <v>6.13</v>
      </c>
      <c r="F79" s="90">
        <v>0.05</v>
      </c>
      <c r="G79" s="91">
        <v>6.4365</v>
      </c>
      <c r="H79" s="70" t="s">
        <v>37</v>
      </c>
      <c r="I79" s="97">
        <v>0</v>
      </c>
      <c r="J79" s="98">
        <f t="shared" si="12"/>
        <v>0</v>
      </c>
      <c r="K79" s="99">
        <v>50</v>
      </c>
      <c r="L79" s="100">
        <f t="shared" si="13"/>
        <v>0</v>
      </c>
      <c r="M79" s="100">
        <f t="shared" si="14"/>
        <v>0</v>
      </c>
      <c r="N79" s="100">
        <v>0</v>
      </c>
      <c r="O79" s="100">
        <f t="shared" si="15"/>
        <v>0</v>
      </c>
      <c r="P79" s="100">
        <f t="shared" si="16"/>
        <v>0</v>
      </c>
      <c r="Q79" s="124">
        <f t="shared" si="17"/>
        <v>0</v>
      </c>
      <c r="R79" s="123"/>
      <c r="S79" s="123"/>
      <c r="T79" s="123"/>
      <c r="U79" s="123"/>
      <c r="V79" s="123"/>
      <c r="W79" s="123"/>
      <c r="X79" s="123"/>
      <c r="Y79" s="123"/>
      <c r="Z79" s="123"/>
      <c r="AA79" s="123"/>
      <c r="AB79" s="123"/>
      <c r="AC79" s="123"/>
      <c r="AD79" s="123"/>
      <c r="AE79" s="123"/>
      <c r="AF79" s="123"/>
      <c r="AG79" s="123"/>
      <c r="AH79" s="123"/>
      <c r="AI79" s="123"/>
      <c r="AJ79" s="123"/>
    </row>
    <row r="80" s="33" customFormat="1" ht="16.95" customHeight="1" spans="1:36">
      <c r="A80" s="87">
        <f>IF(F80&lt;&gt;"",1+MAX($A$2:A79),"")</f>
        <v>66</v>
      </c>
      <c r="B80" s="89"/>
      <c r="C80" s="89"/>
      <c r="D80" s="69" t="s">
        <v>254</v>
      </c>
      <c r="E80" s="72">
        <v>12.36</v>
      </c>
      <c r="F80" s="90">
        <v>0.05</v>
      </c>
      <c r="G80" s="91">
        <v>12.978</v>
      </c>
      <c r="H80" s="70" t="s">
        <v>37</v>
      </c>
      <c r="I80" s="97">
        <v>0</v>
      </c>
      <c r="J80" s="98">
        <f t="shared" si="12"/>
        <v>0</v>
      </c>
      <c r="K80" s="99">
        <v>50</v>
      </c>
      <c r="L80" s="100">
        <f t="shared" si="13"/>
        <v>0</v>
      </c>
      <c r="M80" s="100">
        <f t="shared" si="14"/>
        <v>0</v>
      </c>
      <c r="N80" s="100">
        <v>0</v>
      </c>
      <c r="O80" s="100">
        <f t="shared" si="15"/>
        <v>0</v>
      </c>
      <c r="P80" s="100">
        <f t="shared" si="16"/>
        <v>0</v>
      </c>
      <c r="Q80" s="124">
        <f t="shared" si="17"/>
        <v>0</v>
      </c>
      <c r="R80" s="123"/>
      <c r="S80" s="123"/>
      <c r="T80" s="123"/>
      <c r="U80" s="123"/>
      <c r="V80" s="123"/>
      <c r="W80" s="123"/>
      <c r="X80" s="123"/>
      <c r="Y80" s="123"/>
      <c r="Z80" s="123"/>
      <c r="AA80" s="123"/>
      <c r="AB80" s="123"/>
      <c r="AC80" s="123"/>
      <c r="AD80" s="123"/>
      <c r="AE80" s="123"/>
      <c r="AF80" s="123"/>
      <c r="AG80" s="123"/>
      <c r="AH80" s="123"/>
      <c r="AI80" s="123"/>
      <c r="AJ80" s="123"/>
    </row>
    <row r="81" s="33" customFormat="1" ht="16.95" customHeight="1" spans="1:36">
      <c r="A81" s="87">
        <f>IF(F81&lt;&gt;"",1+MAX($A$2:A80),"")</f>
        <v>67</v>
      </c>
      <c r="B81" s="89"/>
      <c r="C81" s="89"/>
      <c r="D81" s="69" t="s">
        <v>255</v>
      </c>
      <c r="E81" s="72">
        <v>15.52</v>
      </c>
      <c r="F81" s="90">
        <v>0.05</v>
      </c>
      <c r="G81" s="91">
        <v>16.296</v>
      </c>
      <c r="H81" s="70" t="s">
        <v>37</v>
      </c>
      <c r="I81" s="97">
        <v>0</v>
      </c>
      <c r="J81" s="98">
        <f t="shared" si="12"/>
        <v>0</v>
      </c>
      <c r="K81" s="99">
        <v>50</v>
      </c>
      <c r="L81" s="100">
        <f t="shared" si="13"/>
        <v>0</v>
      </c>
      <c r="M81" s="100">
        <f t="shared" si="14"/>
        <v>0</v>
      </c>
      <c r="N81" s="100">
        <v>0</v>
      </c>
      <c r="O81" s="100">
        <f t="shared" si="15"/>
        <v>0</v>
      </c>
      <c r="P81" s="100">
        <f t="shared" si="16"/>
        <v>0</v>
      </c>
      <c r="Q81" s="124">
        <f t="shared" si="17"/>
        <v>0</v>
      </c>
      <c r="R81" s="123"/>
      <c r="S81" s="123"/>
      <c r="T81" s="123"/>
      <c r="U81" s="123"/>
      <c r="V81" s="123"/>
      <c r="W81" s="123"/>
      <c r="X81" s="123"/>
      <c r="Y81" s="123"/>
      <c r="Z81" s="123"/>
      <c r="AA81" s="123"/>
      <c r="AB81" s="123"/>
      <c r="AC81" s="123"/>
      <c r="AD81" s="123"/>
      <c r="AE81" s="123"/>
      <c r="AF81" s="123"/>
      <c r="AG81" s="123"/>
      <c r="AH81" s="123"/>
      <c r="AI81" s="123"/>
      <c r="AJ81" s="123"/>
    </row>
    <row r="82" s="33" customFormat="1" ht="16.95" customHeight="1" spans="1:36">
      <c r="A82" s="87">
        <f>IF(F82&lt;&gt;"",1+MAX($A$2:A81),"")</f>
        <v>68</v>
      </c>
      <c r="B82" s="89"/>
      <c r="C82" s="89"/>
      <c r="D82" s="69" t="s">
        <v>256</v>
      </c>
      <c r="E82" s="72">
        <v>6.97</v>
      </c>
      <c r="F82" s="90">
        <v>0.05</v>
      </c>
      <c r="G82" s="91">
        <v>7.3185</v>
      </c>
      <c r="H82" s="70" t="s">
        <v>37</v>
      </c>
      <c r="I82" s="97">
        <v>0</v>
      </c>
      <c r="J82" s="98">
        <f t="shared" si="12"/>
        <v>0</v>
      </c>
      <c r="K82" s="99">
        <v>50</v>
      </c>
      <c r="L82" s="100">
        <f t="shared" si="13"/>
        <v>0</v>
      </c>
      <c r="M82" s="100">
        <f t="shared" si="14"/>
        <v>0</v>
      </c>
      <c r="N82" s="100">
        <v>0</v>
      </c>
      <c r="O82" s="100">
        <f t="shared" si="15"/>
        <v>0</v>
      </c>
      <c r="P82" s="100">
        <f t="shared" si="16"/>
        <v>0</v>
      </c>
      <c r="Q82" s="124">
        <f t="shared" si="17"/>
        <v>0</v>
      </c>
      <c r="R82" s="123"/>
      <c r="S82" s="123"/>
      <c r="T82" s="123"/>
      <c r="U82" s="123"/>
      <c r="V82" s="123"/>
      <c r="W82" s="123"/>
      <c r="X82" s="123"/>
      <c r="Y82" s="123"/>
      <c r="Z82" s="123"/>
      <c r="AA82" s="123"/>
      <c r="AB82" s="123"/>
      <c r="AC82" s="123"/>
      <c r="AD82" s="123"/>
      <c r="AE82" s="123"/>
      <c r="AF82" s="123"/>
      <c r="AG82" s="123"/>
      <c r="AH82" s="123"/>
      <c r="AI82" s="123"/>
      <c r="AJ82" s="123"/>
    </row>
    <row r="83" s="33" customFormat="1" ht="16.95" customHeight="1" spans="1:36">
      <c r="A83" s="87">
        <f>IF(F83&lt;&gt;"",1+MAX($A$2:A82),"")</f>
        <v>69</v>
      </c>
      <c r="B83" s="89"/>
      <c r="C83" s="89"/>
      <c r="D83" s="69" t="s">
        <v>257</v>
      </c>
      <c r="E83" s="72">
        <v>21.96</v>
      </c>
      <c r="F83" s="90">
        <v>0.05</v>
      </c>
      <c r="G83" s="91">
        <v>23.058</v>
      </c>
      <c r="H83" s="70" t="s">
        <v>37</v>
      </c>
      <c r="I83" s="97">
        <v>0</v>
      </c>
      <c r="J83" s="98">
        <f t="shared" si="12"/>
        <v>0</v>
      </c>
      <c r="K83" s="99">
        <v>50</v>
      </c>
      <c r="L83" s="100">
        <f t="shared" si="13"/>
        <v>0</v>
      </c>
      <c r="M83" s="100">
        <f t="shared" si="14"/>
        <v>0</v>
      </c>
      <c r="N83" s="100">
        <v>0</v>
      </c>
      <c r="O83" s="100">
        <f t="shared" si="15"/>
        <v>0</v>
      </c>
      <c r="P83" s="100">
        <f t="shared" si="16"/>
        <v>0</v>
      </c>
      <c r="Q83" s="124">
        <f t="shared" si="17"/>
        <v>0</v>
      </c>
      <c r="R83" s="123"/>
      <c r="S83" s="123"/>
      <c r="T83" s="123"/>
      <c r="U83" s="123"/>
      <c r="V83" s="123"/>
      <c r="W83" s="123"/>
      <c r="X83" s="123"/>
      <c r="Y83" s="123"/>
      <c r="Z83" s="123"/>
      <c r="AA83" s="123"/>
      <c r="AB83" s="123"/>
      <c r="AC83" s="123"/>
      <c r="AD83" s="123"/>
      <c r="AE83" s="123"/>
      <c r="AF83" s="123"/>
      <c r="AG83" s="123"/>
      <c r="AH83" s="123"/>
      <c r="AI83" s="123"/>
      <c r="AJ83" s="123"/>
    </row>
    <row r="84" s="33" customFormat="1" ht="16.95" customHeight="1" spans="1:36">
      <c r="A84" s="87">
        <f>IF(F84&lt;&gt;"",1+MAX($A$2:A83),"")</f>
        <v>70</v>
      </c>
      <c r="B84" s="89"/>
      <c r="C84" s="89"/>
      <c r="D84" s="69" t="s">
        <v>258</v>
      </c>
      <c r="E84" s="72">
        <v>81.17</v>
      </c>
      <c r="F84" s="90">
        <v>0.05</v>
      </c>
      <c r="G84" s="91">
        <v>85.2285</v>
      </c>
      <c r="H84" s="70" t="s">
        <v>37</v>
      </c>
      <c r="I84" s="97">
        <v>0</v>
      </c>
      <c r="J84" s="98">
        <f t="shared" si="12"/>
        <v>0</v>
      </c>
      <c r="K84" s="99">
        <v>50</v>
      </c>
      <c r="L84" s="100">
        <f t="shared" si="13"/>
        <v>0</v>
      </c>
      <c r="M84" s="100">
        <f t="shared" si="14"/>
        <v>0</v>
      </c>
      <c r="N84" s="100">
        <v>0</v>
      </c>
      <c r="O84" s="100">
        <f t="shared" si="15"/>
        <v>0</v>
      </c>
      <c r="P84" s="100">
        <f t="shared" si="16"/>
        <v>0</v>
      </c>
      <c r="Q84" s="124">
        <f t="shared" si="17"/>
        <v>0</v>
      </c>
      <c r="R84" s="123"/>
      <c r="S84" s="123"/>
      <c r="T84" s="123"/>
      <c r="U84" s="123"/>
      <c r="V84" s="123"/>
      <c r="W84" s="123"/>
      <c r="X84" s="123"/>
      <c r="Y84" s="123"/>
      <c r="Z84" s="123"/>
      <c r="AA84" s="123"/>
      <c r="AB84" s="123"/>
      <c r="AC84" s="123"/>
      <c r="AD84" s="123"/>
      <c r="AE84" s="123"/>
      <c r="AF84" s="123"/>
      <c r="AG84" s="123"/>
      <c r="AH84" s="123"/>
      <c r="AI84" s="123"/>
      <c r="AJ84" s="123"/>
    </row>
    <row r="85" s="33" customFormat="1" ht="16.95" customHeight="1" spans="1:36">
      <c r="A85" s="87">
        <f>IF(F85&lt;&gt;"",1+MAX($A$2:A84),"")</f>
        <v>71</v>
      </c>
      <c r="B85" s="89"/>
      <c r="C85" s="89"/>
      <c r="D85" s="69" t="s">
        <v>259</v>
      </c>
      <c r="E85" s="72">
        <v>14.56</v>
      </c>
      <c r="F85" s="90">
        <v>0.05</v>
      </c>
      <c r="G85" s="91">
        <v>15.288</v>
      </c>
      <c r="H85" s="70" t="s">
        <v>37</v>
      </c>
      <c r="I85" s="97">
        <v>0</v>
      </c>
      <c r="J85" s="98">
        <f t="shared" si="12"/>
        <v>0</v>
      </c>
      <c r="K85" s="99">
        <v>50</v>
      </c>
      <c r="L85" s="100">
        <f t="shared" si="13"/>
        <v>0</v>
      </c>
      <c r="M85" s="100">
        <f t="shared" si="14"/>
        <v>0</v>
      </c>
      <c r="N85" s="100">
        <v>0</v>
      </c>
      <c r="O85" s="100">
        <f t="shared" si="15"/>
        <v>0</v>
      </c>
      <c r="P85" s="100">
        <f t="shared" si="16"/>
        <v>0</v>
      </c>
      <c r="Q85" s="124">
        <f t="shared" si="17"/>
        <v>0</v>
      </c>
      <c r="R85" s="123"/>
      <c r="S85" s="123"/>
      <c r="T85" s="123"/>
      <c r="U85" s="123"/>
      <c r="V85" s="123"/>
      <c r="W85" s="123"/>
      <c r="X85" s="123"/>
      <c r="Y85" s="123"/>
      <c r="Z85" s="123"/>
      <c r="AA85" s="123"/>
      <c r="AB85" s="123"/>
      <c r="AC85" s="123"/>
      <c r="AD85" s="123"/>
      <c r="AE85" s="123"/>
      <c r="AF85" s="123"/>
      <c r="AG85" s="123"/>
      <c r="AH85" s="123"/>
      <c r="AI85" s="123"/>
      <c r="AJ85" s="123"/>
    </row>
    <row r="86" s="33" customFormat="1" ht="16.95" customHeight="1" spans="1:36">
      <c r="A86" s="87">
        <f>IF(F86&lt;&gt;"",1+MAX($A$2:A85),"")</f>
        <v>72</v>
      </c>
      <c r="B86" s="89"/>
      <c r="C86" s="89"/>
      <c r="D86" s="69" t="s">
        <v>260</v>
      </c>
      <c r="E86" s="72">
        <v>100.49</v>
      </c>
      <c r="F86" s="90">
        <v>0.05</v>
      </c>
      <c r="G86" s="91">
        <v>105.5145</v>
      </c>
      <c r="H86" s="70" t="s">
        <v>37</v>
      </c>
      <c r="I86" s="97">
        <v>0</v>
      </c>
      <c r="J86" s="98">
        <f t="shared" si="12"/>
        <v>0</v>
      </c>
      <c r="K86" s="99">
        <v>50</v>
      </c>
      <c r="L86" s="100">
        <f t="shared" si="13"/>
        <v>0</v>
      </c>
      <c r="M86" s="100">
        <f t="shared" si="14"/>
        <v>0</v>
      </c>
      <c r="N86" s="100">
        <v>0</v>
      </c>
      <c r="O86" s="100">
        <f t="shared" si="15"/>
        <v>0</v>
      </c>
      <c r="P86" s="100">
        <f t="shared" si="16"/>
        <v>0</v>
      </c>
      <c r="Q86" s="124">
        <f t="shared" si="17"/>
        <v>0</v>
      </c>
      <c r="R86" s="123"/>
      <c r="S86" s="123"/>
      <c r="T86" s="123"/>
      <c r="U86" s="123"/>
      <c r="V86" s="123"/>
      <c r="W86" s="123"/>
      <c r="X86" s="123"/>
      <c r="Y86" s="123"/>
      <c r="Z86" s="123"/>
      <c r="AA86" s="123"/>
      <c r="AB86" s="123"/>
      <c r="AC86" s="123"/>
      <c r="AD86" s="123"/>
      <c r="AE86" s="123"/>
      <c r="AF86" s="123"/>
      <c r="AG86" s="123"/>
      <c r="AH86" s="123"/>
      <c r="AI86" s="123"/>
      <c r="AJ86" s="123"/>
    </row>
    <row r="87" s="33" customFormat="1" ht="16.95" customHeight="1" spans="1:36">
      <c r="A87" s="87">
        <f>IF(F87&lt;&gt;"",1+MAX($A$2:A86),"")</f>
        <v>73</v>
      </c>
      <c r="B87" s="89"/>
      <c r="C87" s="89"/>
      <c r="D87" s="69" t="s">
        <v>261</v>
      </c>
      <c r="E87" s="72">
        <v>16.12</v>
      </c>
      <c r="F87" s="90">
        <v>0.05</v>
      </c>
      <c r="G87" s="91">
        <v>16.926</v>
      </c>
      <c r="H87" s="70" t="s">
        <v>37</v>
      </c>
      <c r="I87" s="97">
        <v>0</v>
      </c>
      <c r="J87" s="98">
        <f t="shared" si="12"/>
        <v>0</v>
      </c>
      <c r="K87" s="99">
        <v>50</v>
      </c>
      <c r="L87" s="100">
        <f t="shared" si="13"/>
        <v>0</v>
      </c>
      <c r="M87" s="100">
        <f t="shared" si="14"/>
        <v>0</v>
      </c>
      <c r="N87" s="100">
        <v>0</v>
      </c>
      <c r="O87" s="100">
        <f t="shared" si="15"/>
        <v>0</v>
      </c>
      <c r="P87" s="100">
        <f t="shared" si="16"/>
        <v>0</v>
      </c>
      <c r="Q87" s="124">
        <f t="shared" si="17"/>
        <v>0</v>
      </c>
      <c r="R87" s="123"/>
      <c r="S87" s="123"/>
      <c r="T87" s="123"/>
      <c r="U87" s="123"/>
      <c r="V87" s="123"/>
      <c r="W87" s="123"/>
      <c r="X87" s="123"/>
      <c r="Y87" s="123"/>
      <c r="Z87" s="123"/>
      <c r="AA87" s="123"/>
      <c r="AB87" s="123"/>
      <c r="AC87" s="123"/>
      <c r="AD87" s="123"/>
      <c r="AE87" s="123"/>
      <c r="AF87" s="123"/>
      <c r="AG87" s="123"/>
      <c r="AH87" s="123"/>
      <c r="AI87" s="123"/>
      <c r="AJ87" s="123"/>
    </row>
    <row r="88" s="33" customFormat="1" ht="16.95" customHeight="1" spans="1:36">
      <c r="A88" s="87">
        <f>IF(F88&lt;&gt;"",1+MAX($A$2:A87),"")</f>
        <v>74</v>
      </c>
      <c r="B88" s="89"/>
      <c r="C88" s="89"/>
      <c r="D88" s="69" t="s">
        <v>262</v>
      </c>
      <c r="E88" s="72">
        <v>43.07</v>
      </c>
      <c r="F88" s="90">
        <v>0.05</v>
      </c>
      <c r="G88" s="91">
        <v>45.2235</v>
      </c>
      <c r="H88" s="70" t="s">
        <v>37</v>
      </c>
      <c r="I88" s="97">
        <v>0</v>
      </c>
      <c r="J88" s="98">
        <f t="shared" si="12"/>
        <v>0</v>
      </c>
      <c r="K88" s="99">
        <v>50</v>
      </c>
      <c r="L88" s="100">
        <f t="shared" si="13"/>
        <v>0</v>
      </c>
      <c r="M88" s="100">
        <f t="shared" si="14"/>
        <v>0</v>
      </c>
      <c r="N88" s="100">
        <v>0</v>
      </c>
      <c r="O88" s="100">
        <f t="shared" si="15"/>
        <v>0</v>
      </c>
      <c r="P88" s="100">
        <f t="shared" si="16"/>
        <v>0</v>
      </c>
      <c r="Q88" s="124">
        <f t="shared" si="17"/>
        <v>0</v>
      </c>
      <c r="R88" s="123"/>
      <c r="S88" s="123"/>
      <c r="T88" s="123"/>
      <c r="U88" s="123"/>
      <c r="V88" s="123"/>
      <c r="W88" s="123"/>
      <c r="X88" s="123"/>
      <c r="Y88" s="123"/>
      <c r="Z88" s="123"/>
      <c r="AA88" s="123"/>
      <c r="AB88" s="123"/>
      <c r="AC88" s="123"/>
      <c r="AD88" s="123"/>
      <c r="AE88" s="123"/>
      <c r="AF88" s="123"/>
      <c r="AG88" s="123"/>
      <c r="AH88" s="123"/>
      <c r="AI88" s="123"/>
      <c r="AJ88" s="123"/>
    </row>
    <row r="89" s="33" customFormat="1" ht="16.95" customHeight="1" spans="1:36">
      <c r="A89" s="87">
        <f>IF(F89&lt;&gt;"",1+MAX($A$2:A88),"")</f>
        <v>75</v>
      </c>
      <c r="B89" s="89"/>
      <c r="C89" s="89"/>
      <c r="D89" s="69" t="s">
        <v>263</v>
      </c>
      <c r="E89" s="72">
        <v>30.27</v>
      </c>
      <c r="F89" s="90">
        <v>0.05</v>
      </c>
      <c r="G89" s="91">
        <v>31.7835</v>
      </c>
      <c r="H89" s="70" t="s">
        <v>37</v>
      </c>
      <c r="I89" s="97">
        <v>0</v>
      </c>
      <c r="J89" s="98">
        <f t="shared" si="12"/>
        <v>0</v>
      </c>
      <c r="K89" s="99">
        <v>50</v>
      </c>
      <c r="L89" s="100">
        <f t="shared" si="13"/>
        <v>0</v>
      </c>
      <c r="M89" s="100">
        <f t="shared" si="14"/>
        <v>0</v>
      </c>
      <c r="N89" s="100">
        <v>0</v>
      </c>
      <c r="O89" s="100">
        <f t="shared" si="15"/>
        <v>0</v>
      </c>
      <c r="P89" s="100">
        <f t="shared" si="16"/>
        <v>0</v>
      </c>
      <c r="Q89" s="124">
        <f t="shared" si="17"/>
        <v>0</v>
      </c>
      <c r="R89" s="123"/>
      <c r="S89" s="123"/>
      <c r="T89" s="123"/>
      <c r="U89" s="123"/>
      <c r="V89" s="123"/>
      <c r="W89" s="123"/>
      <c r="X89" s="123"/>
      <c r="Y89" s="123"/>
      <c r="Z89" s="123"/>
      <c r="AA89" s="123"/>
      <c r="AB89" s="123"/>
      <c r="AC89" s="123"/>
      <c r="AD89" s="123"/>
      <c r="AE89" s="123"/>
      <c r="AF89" s="123"/>
      <c r="AG89" s="123"/>
      <c r="AH89" s="123"/>
      <c r="AI89" s="123"/>
      <c r="AJ89" s="123"/>
    </row>
    <row r="90" s="33" customFormat="1" ht="16.95" customHeight="1" spans="1:36">
      <c r="A90" s="87">
        <f>IF(F90&lt;&gt;"",1+MAX($A$2:A89),"")</f>
        <v>76</v>
      </c>
      <c r="B90" s="89"/>
      <c r="C90" s="89"/>
      <c r="D90" s="69" t="s">
        <v>264</v>
      </c>
      <c r="E90" s="72">
        <v>44.86</v>
      </c>
      <c r="F90" s="90">
        <v>0.05</v>
      </c>
      <c r="G90" s="91">
        <v>47.103</v>
      </c>
      <c r="H90" s="70" t="s">
        <v>37</v>
      </c>
      <c r="I90" s="97">
        <v>0</v>
      </c>
      <c r="J90" s="98">
        <f t="shared" si="12"/>
        <v>0</v>
      </c>
      <c r="K90" s="99">
        <v>50</v>
      </c>
      <c r="L90" s="100">
        <f t="shared" si="13"/>
        <v>0</v>
      </c>
      <c r="M90" s="100">
        <f t="shared" si="14"/>
        <v>0</v>
      </c>
      <c r="N90" s="100">
        <v>0</v>
      </c>
      <c r="O90" s="100">
        <f t="shared" si="15"/>
        <v>0</v>
      </c>
      <c r="P90" s="100">
        <f t="shared" si="16"/>
        <v>0</v>
      </c>
      <c r="Q90" s="124">
        <f t="shared" si="17"/>
        <v>0</v>
      </c>
      <c r="R90" s="123"/>
      <c r="S90" s="123"/>
      <c r="T90" s="123"/>
      <c r="U90" s="123"/>
      <c r="V90" s="123"/>
      <c r="W90" s="123"/>
      <c r="X90" s="123"/>
      <c r="Y90" s="123"/>
      <c r="Z90" s="123"/>
      <c r="AA90" s="123"/>
      <c r="AB90" s="123"/>
      <c r="AC90" s="123"/>
      <c r="AD90" s="123"/>
      <c r="AE90" s="123"/>
      <c r="AF90" s="123"/>
      <c r="AG90" s="123"/>
      <c r="AH90" s="123"/>
      <c r="AI90" s="123"/>
      <c r="AJ90" s="123"/>
    </row>
    <row r="91" s="33" customFormat="1" ht="16.95" customHeight="1" spans="1:36">
      <c r="A91" s="87">
        <f>IF(F91&lt;&gt;"",1+MAX($A$2:A90),"")</f>
        <v>77</v>
      </c>
      <c r="B91" s="89"/>
      <c r="C91" s="89"/>
      <c r="D91" s="69" t="s">
        <v>265</v>
      </c>
      <c r="E91" s="72">
        <v>10.23</v>
      </c>
      <c r="F91" s="90">
        <v>0.05</v>
      </c>
      <c r="G91" s="91">
        <v>10.7415</v>
      </c>
      <c r="H91" s="70" t="s">
        <v>37</v>
      </c>
      <c r="I91" s="97">
        <v>0</v>
      </c>
      <c r="J91" s="98">
        <f t="shared" si="12"/>
        <v>0</v>
      </c>
      <c r="K91" s="99">
        <v>50</v>
      </c>
      <c r="L91" s="100">
        <f t="shared" si="13"/>
        <v>0</v>
      </c>
      <c r="M91" s="100">
        <f t="shared" si="14"/>
        <v>0</v>
      </c>
      <c r="N91" s="100">
        <v>0</v>
      </c>
      <c r="O91" s="100">
        <f t="shared" si="15"/>
        <v>0</v>
      </c>
      <c r="P91" s="100">
        <f t="shared" si="16"/>
        <v>0</v>
      </c>
      <c r="Q91" s="124">
        <f t="shared" si="17"/>
        <v>0</v>
      </c>
      <c r="R91" s="123"/>
      <c r="S91" s="123"/>
      <c r="T91" s="123"/>
      <c r="U91" s="123"/>
      <c r="V91" s="123"/>
      <c r="W91" s="123"/>
      <c r="X91" s="123"/>
      <c r="Y91" s="123"/>
      <c r="Z91" s="123"/>
      <c r="AA91" s="123"/>
      <c r="AB91" s="123"/>
      <c r="AC91" s="123"/>
      <c r="AD91" s="123"/>
      <c r="AE91" s="123"/>
      <c r="AF91" s="123"/>
      <c r="AG91" s="123"/>
      <c r="AH91" s="123"/>
      <c r="AI91" s="123"/>
      <c r="AJ91" s="123"/>
    </row>
    <row r="92" s="33" customFormat="1" ht="16.95" customHeight="1" spans="1:36">
      <c r="A92" s="87">
        <f>IF(F92&lt;&gt;"",1+MAX($A$2:A91),"")</f>
        <v>78</v>
      </c>
      <c r="B92" s="89"/>
      <c r="C92" s="89"/>
      <c r="D92" s="69" t="s">
        <v>266</v>
      </c>
      <c r="E92" s="72">
        <v>1384.02</v>
      </c>
      <c r="F92" s="90">
        <v>0.05</v>
      </c>
      <c r="G92" s="91">
        <v>1453.221</v>
      </c>
      <c r="H92" s="70" t="s">
        <v>37</v>
      </c>
      <c r="I92" s="97">
        <v>0</v>
      </c>
      <c r="J92" s="98">
        <f t="shared" si="12"/>
        <v>0</v>
      </c>
      <c r="K92" s="99">
        <v>50</v>
      </c>
      <c r="L92" s="100">
        <f t="shared" si="13"/>
        <v>0</v>
      </c>
      <c r="M92" s="100">
        <f t="shared" si="14"/>
        <v>0</v>
      </c>
      <c r="N92" s="100">
        <v>0</v>
      </c>
      <c r="O92" s="100">
        <f t="shared" si="15"/>
        <v>0</v>
      </c>
      <c r="P92" s="100">
        <f t="shared" si="16"/>
        <v>0</v>
      </c>
      <c r="Q92" s="124">
        <f t="shared" si="17"/>
        <v>0</v>
      </c>
      <c r="R92" s="123"/>
      <c r="S92" s="123"/>
      <c r="T92" s="123"/>
      <c r="U92" s="123"/>
      <c r="V92" s="123"/>
      <c r="W92" s="123"/>
      <c r="X92" s="123"/>
      <c r="Y92" s="123"/>
      <c r="Z92" s="123"/>
      <c r="AA92" s="123"/>
      <c r="AB92" s="123"/>
      <c r="AC92" s="123"/>
      <c r="AD92" s="123"/>
      <c r="AE92" s="123"/>
      <c r="AF92" s="123"/>
      <c r="AG92" s="123"/>
      <c r="AH92" s="123"/>
      <c r="AI92" s="123"/>
      <c r="AJ92" s="123"/>
    </row>
    <row r="93" s="33" customFormat="1" ht="16.95" customHeight="1" spans="1:36">
      <c r="A93" s="87">
        <f>IF(F93&lt;&gt;"",1+MAX($A$2:A92),"")</f>
        <v>79</v>
      </c>
      <c r="B93" s="89"/>
      <c r="C93" s="89"/>
      <c r="D93" s="69" t="s">
        <v>267</v>
      </c>
      <c r="E93" s="72">
        <v>51.26</v>
      </c>
      <c r="F93" s="90">
        <v>0.05</v>
      </c>
      <c r="G93" s="91">
        <v>53.823</v>
      </c>
      <c r="H93" s="70" t="s">
        <v>37</v>
      </c>
      <c r="I93" s="97">
        <v>0</v>
      </c>
      <c r="J93" s="98">
        <f t="shared" si="12"/>
        <v>0</v>
      </c>
      <c r="K93" s="99">
        <v>50</v>
      </c>
      <c r="L93" s="100">
        <f t="shared" si="13"/>
        <v>0</v>
      </c>
      <c r="M93" s="100">
        <f t="shared" si="14"/>
        <v>0</v>
      </c>
      <c r="N93" s="100">
        <v>0</v>
      </c>
      <c r="O93" s="100">
        <f t="shared" si="15"/>
        <v>0</v>
      </c>
      <c r="P93" s="100">
        <f t="shared" si="16"/>
        <v>0</v>
      </c>
      <c r="Q93" s="124">
        <f t="shared" si="17"/>
        <v>0</v>
      </c>
      <c r="R93" s="123"/>
      <c r="S93" s="123"/>
      <c r="T93" s="123"/>
      <c r="U93" s="123"/>
      <c r="V93" s="123"/>
      <c r="W93" s="123"/>
      <c r="X93" s="123"/>
      <c r="Y93" s="123"/>
      <c r="Z93" s="123"/>
      <c r="AA93" s="123"/>
      <c r="AB93" s="123"/>
      <c r="AC93" s="123"/>
      <c r="AD93" s="123"/>
      <c r="AE93" s="123"/>
      <c r="AF93" s="123"/>
      <c r="AG93" s="123"/>
      <c r="AH93" s="123"/>
      <c r="AI93" s="123"/>
      <c r="AJ93" s="123"/>
    </row>
    <row r="94" s="33" customFormat="1" ht="16.95" customHeight="1" spans="1:36">
      <c r="A94" s="87">
        <f>IF(F94&lt;&gt;"",1+MAX($A$2:A93),"")</f>
        <v>80</v>
      </c>
      <c r="B94" s="89"/>
      <c r="C94" s="89"/>
      <c r="D94" s="69" t="s">
        <v>268</v>
      </c>
      <c r="E94" s="72">
        <v>94.15</v>
      </c>
      <c r="F94" s="90">
        <v>0.05</v>
      </c>
      <c r="G94" s="91">
        <v>98.8575</v>
      </c>
      <c r="H94" s="70" t="s">
        <v>37</v>
      </c>
      <c r="I94" s="97">
        <v>0</v>
      </c>
      <c r="J94" s="98">
        <f t="shared" si="12"/>
        <v>0</v>
      </c>
      <c r="K94" s="99">
        <v>50</v>
      </c>
      <c r="L94" s="100">
        <f t="shared" si="13"/>
        <v>0</v>
      </c>
      <c r="M94" s="100">
        <f t="shared" si="14"/>
        <v>0</v>
      </c>
      <c r="N94" s="100">
        <v>0</v>
      </c>
      <c r="O94" s="100">
        <f t="shared" si="15"/>
        <v>0</v>
      </c>
      <c r="P94" s="100">
        <f t="shared" si="16"/>
        <v>0</v>
      </c>
      <c r="Q94" s="124">
        <f t="shared" si="17"/>
        <v>0</v>
      </c>
      <c r="R94" s="123"/>
      <c r="S94" s="123"/>
      <c r="T94" s="123"/>
      <c r="U94" s="123"/>
      <c r="V94" s="123"/>
      <c r="W94" s="123"/>
      <c r="X94" s="123"/>
      <c r="Y94" s="123"/>
      <c r="Z94" s="123"/>
      <c r="AA94" s="123"/>
      <c r="AB94" s="123"/>
      <c r="AC94" s="123"/>
      <c r="AD94" s="123"/>
      <c r="AE94" s="123"/>
      <c r="AF94" s="123"/>
      <c r="AG94" s="123"/>
      <c r="AH94" s="123"/>
      <c r="AI94" s="123"/>
      <c r="AJ94" s="123"/>
    </row>
    <row r="95" s="33" customFormat="1" ht="16.95" customHeight="1" spans="1:36">
      <c r="A95" s="87">
        <f>IF(F95&lt;&gt;"",1+MAX($A$2:A94),"")</f>
        <v>81</v>
      </c>
      <c r="B95" s="89"/>
      <c r="C95" s="89"/>
      <c r="D95" s="69" t="s">
        <v>269</v>
      </c>
      <c r="E95" s="72">
        <v>130.88</v>
      </c>
      <c r="F95" s="90">
        <v>0.05</v>
      </c>
      <c r="G95" s="91">
        <v>137.424</v>
      </c>
      <c r="H95" s="70" t="s">
        <v>37</v>
      </c>
      <c r="I95" s="97">
        <v>0</v>
      </c>
      <c r="J95" s="98">
        <f t="shared" si="12"/>
        <v>0</v>
      </c>
      <c r="K95" s="99">
        <v>50</v>
      </c>
      <c r="L95" s="100">
        <f t="shared" si="13"/>
        <v>0</v>
      </c>
      <c r="M95" s="100">
        <f t="shared" si="14"/>
        <v>0</v>
      </c>
      <c r="N95" s="100">
        <v>0</v>
      </c>
      <c r="O95" s="100">
        <f t="shared" si="15"/>
        <v>0</v>
      </c>
      <c r="P95" s="100">
        <f t="shared" si="16"/>
        <v>0</v>
      </c>
      <c r="Q95" s="124">
        <f t="shared" si="17"/>
        <v>0</v>
      </c>
      <c r="R95" s="123"/>
      <c r="S95" s="123"/>
      <c r="T95" s="123"/>
      <c r="U95" s="123"/>
      <c r="V95" s="123"/>
      <c r="W95" s="123"/>
      <c r="X95" s="123"/>
      <c r="Y95" s="123"/>
      <c r="Z95" s="123"/>
      <c r="AA95" s="123"/>
      <c r="AB95" s="123"/>
      <c r="AC95" s="123"/>
      <c r="AD95" s="123"/>
      <c r="AE95" s="123"/>
      <c r="AF95" s="123"/>
      <c r="AG95" s="123"/>
      <c r="AH95" s="123"/>
      <c r="AI95" s="123"/>
      <c r="AJ95" s="123"/>
    </row>
    <row r="96" s="33" customFormat="1" ht="16.95" customHeight="1" spans="1:36">
      <c r="A96" s="87">
        <f>IF(F96&lt;&gt;"",1+MAX($A$2:A95),"")</f>
        <v>82</v>
      </c>
      <c r="B96" s="89"/>
      <c r="C96" s="89"/>
      <c r="D96" s="69" t="s">
        <v>270</v>
      </c>
      <c r="E96" s="72">
        <v>35.41</v>
      </c>
      <c r="F96" s="90">
        <v>0.05</v>
      </c>
      <c r="G96" s="91">
        <v>37.1805</v>
      </c>
      <c r="H96" s="70" t="s">
        <v>37</v>
      </c>
      <c r="I96" s="97">
        <v>0</v>
      </c>
      <c r="J96" s="98">
        <f t="shared" si="12"/>
        <v>0</v>
      </c>
      <c r="K96" s="99">
        <v>50</v>
      </c>
      <c r="L96" s="100">
        <f t="shared" si="13"/>
        <v>0</v>
      </c>
      <c r="M96" s="100">
        <f t="shared" si="14"/>
        <v>0</v>
      </c>
      <c r="N96" s="100">
        <v>0</v>
      </c>
      <c r="O96" s="100">
        <f t="shared" si="15"/>
        <v>0</v>
      </c>
      <c r="P96" s="100">
        <f t="shared" si="16"/>
        <v>0</v>
      </c>
      <c r="Q96" s="124">
        <f t="shared" si="17"/>
        <v>0</v>
      </c>
      <c r="R96" s="123"/>
      <c r="S96" s="123"/>
      <c r="T96" s="123"/>
      <c r="U96" s="123"/>
      <c r="V96" s="123"/>
      <c r="W96" s="123"/>
      <c r="X96" s="123"/>
      <c r="Y96" s="123"/>
      <c r="Z96" s="123"/>
      <c r="AA96" s="123"/>
      <c r="AB96" s="123"/>
      <c r="AC96" s="123"/>
      <c r="AD96" s="123"/>
      <c r="AE96" s="123"/>
      <c r="AF96" s="123"/>
      <c r="AG96" s="123"/>
      <c r="AH96" s="123"/>
      <c r="AI96" s="123"/>
      <c r="AJ96" s="123"/>
    </row>
    <row r="97" s="33" customFormat="1" ht="16.95" customHeight="1" spans="1:36">
      <c r="A97" s="87">
        <f>IF(F97&lt;&gt;"",1+MAX($A$2:A96),"")</f>
        <v>83</v>
      </c>
      <c r="B97" s="89"/>
      <c r="C97" s="89"/>
      <c r="D97" s="69" t="s">
        <v>271</v>
      </c>
      <c r="E97" s="72">
        <v>118.01</v>
      </c>
      <c r="F97" s="90">
        <v>0.05</v>
      </c>
      <c r="G97" s="91">
        <v>123.9105</v>
      </c>
      <c r="H97" s="70" t="s">
        <v>37</v>
      </c>
      <c r="I97" s="97">
        <v>0</v>
      </c>
      <c r="J97" s="98">
        <f t="shared" si="12"/>
        <v>0</v>
      </c>
      <c r="K97" s="99">
        <v>50</v>
      </c>
      <c r="L97" s="100">
        <f t="shared" si="13"/>
        <v>0</v>
      </c>
      <c r="M97" s="100">
        <f t="shared" si="14"/>
        <v>0</v>
      </c>
      <c r="N97" s="100">
        <v>0</v>
      </c>
      <c r="O97" s="100">
        <f t="shared" si="15"/>
        <v>0</v>
      </c>
      <c r="P97" s="100">
        <f t="shared" si="16"/>
        <v>0</v>
      </c>
      <c r="Q97" s="124">
        <f t="shared" si="17"/>
        <v>0</v>
      </c>
      <c r="R97" s="123"/>
      <c r="S97" s="123"/>
      <c r="T97" s="123"/>
      <c r="U97" s="123"/>
      <c r="V97" s="123"/>
      <c r="W97" s="123"/>
      <c r="X97" s="123"/>
      <c r="Y97" s="123"/>
      <c r="Z97" s="123"/>
      <c r="AA97" s="123"/>
      <c r="AB97" s="123"/>
      <c r="AC97" s="123"/>
      <c r="AD97" s="123"/>
      <c r="AE97" s="123"/>
      <c r="AF97" s="123"/>
      <c r="AG97" s="123"/>
      <c r="AH97" s="123"/>
      <c r="AI97" s="123"/>
      <c r="AJ97" s="123"/>
    </row>
    <row r="98" s="33" customFormat="1" ht="16.95" customHeight="1" spans="1:36">
      <c r="A98" s="87">
        <f>IF(F98&lt;&gt;"",1+MAX($A$2:A97),"")</f>
        <v>84</v>
      </c>
      <c r="B98" s="89"/>
      <c r="C98" s="89"/>
      <c r="D98" s="69" t="s">
        <v>272</v>
      </c>
      <c r="E98" s="72">
        <v>6.11</v>
      </c>
      <c r="F98" s="90">
        <v>0.05</v>
      </c>
      <c r="G98" s="91">
        <v>6.4155</v>
      </c>
      <c r="H98" s="70" t="s">
        <v>37</v>
      </c>
      <c r="I98" s="97">
        <v>0</v>
      </c>
      <c r="J98" s="98">
        <f t="shared" si="12"/>
        <v>0</v>
      </c>
      <c r="K98" s="99">
        <v>50</v>
      </c>
      <c r="L98" s="100">
        <f t="shared" si="13"/>
        <v>0</v>
      </c>
      <c r="M98" s="100">
        <f t="shared" si="14"/>
        <v>0</v>
      </c>
      <c r="N98" s="100">
        <v>0</v>
      </c>
      <c r="O98" s="100">
        <f t="shared" si="15"/>
        <v>0</v>
      </c>
      <c r="P98" s="100">
        <f t="shared" si="16"/>
        <v>0</v>
      </c>
      <c r="Q98" s="124">
        <f t="shared" si="17"/>
        <v>0</v>
      </c>
      <c r="R98" s="123"/>
      <c r="S98" s="123"/>
      <c r="T98" s="123"/>
      <c r="U98" s="123"/>
      <c r="V98" s="123"/>
      <c r="W98" s="123"/>
      <c r="X98" s="123"/>
      <c r="Y98" s="123"/>
      <c r="Z98" s="123"/>
      <c r="AA98" s="123"/>
      <c r="AB98" s="123"/>
      <c r="AC98" s="123"/>
      <c r="AD98" s="123"/>
      <c r="AE98" s="123"/>
      <c r="AF98" s="123"/>
      <c r="AG98" s="123"/>
      <c r="AH98" s="123"/>
      <c r="AI98" s="123"/>
      <c r="AJ98" s="123"/>
    </row>
    <row r="99" s="33" customFormat="1" ht="16.95" customHeight="1" spans="1:36">
      <c r="A99" s="87">
        <f>IF(F99&lt;&gt;"",1+MAX($A$2:A98),"")</f>
        <v>85</v>
      </c>
      <c r="B99" s="89"/>
      <c r="C99" s="89"/>
      <c r="D99" s="69" t="s">
        <v>273</v>
      </c>
      <c r="E99" s="72">
        <v>108.04</v>
      </c>
      <c r="F99" s="90">
        <v>0.05</v>
      </c>
      <c r="G99" s="91">
        <v>113.442</v>
      </c>
      <c r="H99" s="70" t="s">
        <v>37</v>
      </c>
      <c r="I99" s="97">
        <v>0</v>
      </c>
      <c r="J99" s="98">
        <f t="shared" si="12"/>
        <v>0</v>
      </c>
      <c r="K99" s="99">
        <v>50</v>
      </c>
      <c r="L99" s="100">
        <f t="shared" si="13"/>
        <v>0</v>
      </c>
      <c r="M99" s="100">
        <f t="shared" si="14"/>
        <v>0</v>
      </c>
      <c r="N99" s="100">
        <v>0</v>
      </c>
      <c r="O99" s="100">
        <f t="shared" si="15"/>
        <v>0</v>
      </c>
      <c r="P99" s="100">
        <f t="shared" si="16"/>
        <v>0</v>
      </c>
      <c r="Q99" s="124">
        <f t="shared" si="17"/>
        <v>0</v>
      </c>
      <c r="R99" s="123"/>
      <c r="S99" s="123"/>
      <c r="T99" s="123"/>
      <c r="U99" s="123"/>
      <c r="V99" s="123"/>
      <c r="W99" s="123"/>
      <c r="X99" s="123"/>
      <c r="Y99" s="123"/>
      <c r="Z99" s="123"/>
      <c r="AA99" s="123"/>
      <c r="AB99" s="123"/>
      <c r="AC99" s="123"/>
      <c r="AD99" s="123"/>
      <c r="AE99" s="123"/>
      <c r="AF99" s="123"/>
      <c r="AG99" s="123"/>
      <c r="AH99" s="123"/>
      <c r="AI99" s="123"/>
      <c r="AJ99" s="123"/>
    </row>
    <row r="100" s="33" customFormat="1" ht="16.95" customHeight="1" spans="1:36">
      <c r="A100" s="87">
        <f>IF(F100&lt;&gt;"",1+MAX($A$2:A99),"")</f>
        <v>86</v>
      </c>
      <c r="B100" s="89"/>
      <c r="C100" s="89"/>
      <c r="D100" s="69" t="s">
        <v>274</v>
      </c>
      <c r="E100" s="72">
        <v>45.32</v>
      </c>
      <c r="F100" s="90">
        <v>0.05</v>
      </c>
      <c r="G100" s="91">
        <v>47.586</v>
      </c>
      <c r="H100" s="70" t="s">
        <v>37</v>
      </c>
      <c r="I100" s="97">
        <v>0</v>
      </c>
      <c r="J100" s="98">
        <f t="shared" si="12"/>
        <v>0</v>
      </c>
      <c r="K100" s="99">
        <v>50</v>
      </c>
      <c r="L100" s="100">
        <f t="shared" si="13"/>
        <v>0</v>
      </c>
      <c r="M100" s="100">
        <f t="shared" si="14"/>
        <v>0</v>
      </c>
      <c r="N100" s="100">
        <v>0</v>
      </c>
      <c r="O100" s="100">
        <f t="shared" si="15"/>
        <v>0</v>
      </c>
      <c r="P100" s="100">
        <f t="shared" si="16"/>
        <v>0</v>
      </c>
      <c r="Q100" s="124">
        <f t="shared" si="17"/>
        <v>0</v>
      </c>
      <c r="R100" s="123"/>
      <c r="S100" s="123"/>
      <c r="T100" s="123"/>
      <c r="U100" s="123"/>
      <c r="V100" s="123"/>
      <c r="W100" s="123"/>
      <c r="X100" s="123"/>
      <c r="Y100" s="123"/>
      <c r="Z100" s="123"/>
      <c r="AA100" s="123"/>
      <c r="AB100" s="123"/>
      <c r="AC100" s="123"/>
      <c r="AD100" s="123"/>
      <c r="AE100" s="123"/>
      <c r="AF100" s="123"/>
      <c r="AG100" s="123"/>
      <c r="AH100" s="123"/>
      <c r="AI100" s="123"/>
      <c r="AJ100" s="123"/>
    </row>
    <row r="101" s="33" customFormat="1" ht="16.95" customHeight="1" spans="1:36">
      <c r="A101" s="87">
        <f>IF(F101&lt;&gt;"",1+MAX($A$2:A100),"")</f>
        <v>87</v>
      </c>
      <c r="B101" s="89"/>
      <c r="C101" s="89"/>
      <c r="D101" s="69" t="s">
        <v>274</v>
      </c>
      <c r="E101" s="72">
        <v>30.92</v>
      </c>
      <c r="F101" s="90">
        <v>0.05</v>
      </c>
      <c r="G101" s="91">
        <v>32.466</v>
      </c>
      <c r="H101" s="70" t="s">
        <v>37</v>
      </c>
      <c r="I101" s="97">
        <v>0</v>
      </c>
      <c r="J101" s="98">
        <f t="shared" si="12"/>
        <v>0</v>
      </c>
      <c r="K101" s="99">
        <v>50</v>
      </c>
      <c r="L101" s="100">
        <f t="shared" si="13"/>
        <v>0</v>
      </c>
      <c r="M101" s="100">
        <f t="shared" si="14"/>
        <v>0</v>
      </c>
      <c r="N101" s="100">
        <v>0</v>
      </c>
      <c r="O101" s="100">
        <f t="shared" si="15"/>
        <v>0</v>
      </c>
      <c r="P101" s="100">
        <f t="shared" si="16"/>
        <v>0</v>
      </c>
      <c r="Q101" s="124">
        <f t="shared" si="17"/>
        <v>0</v>
      </c>
      <c r="R101" s="123"/>
      <c r="S101" s="123"/>
      <c r="T101" s="123"/>
      <c r="U101" s="123"/>
      <c r="V101" s="123"/>
      <c r="W101" s="123"/>
      <c r="X101" s="123"/>
      <c r="Y101" s="123"/>
      <c r="Z101" s="123"/>
      <c r="AA101" s="123"/>
      <c r="AB101" s="123"/>
      <c r="AC101" s="123"/>
      <c r="AD101" s="123"/>
      <c r="AE101" s="123"/>
      <c r="AF101" s="123"/>
      <c r="AG101" s="123"/>
      <c r="AH101" s="123"/>
      <c r="AI101" s="123"/>
      <c r="AJ101" s="123"/>
    </row>
    <row r="102" s="33" customFormat="1" ht="16.95" customHeight="1" spans="1:36">
      <c r="A102" s="87">
        <f>IF(F102&lt;&gt;"",1+MAX($A$2:A101),"")</f>
        <v>88</v>
      </c>
      <c r="B102" s="89"/>
      <c r="C102" s="89"/>
      <c r="D102" s="69" t="s">
        <v>275</v>
      </c>
      <c r="E102" s="72">
        <v>6.15</v>
      </c>
      <c r="F102" s="90">
        <v>0.05</v>
      </c>
      <c r="G102" s="91">
        <v>6.4575</v>
      </c>
      <c r="H102" s="70" t="s">
        <v>37</v>
      </c>
      <c r="I102" s="97">
        <v>0</v>
      </c>
      <c r="J102" s="98">
        <f t="shared" si="12"/>
        <v>0</v>
      </c>
      <c r="K102" s="99">
        <v>50</v>
      </c>
      <c r="L102" s="100">
        <f t="shared" si="13"/>
        <v>0</v>
      </c>
      <c r="M102" s="100">
        <f t="shared" si="14"/>
        <v>0</v>
      </c>
      <c r="N102" s="100">
        <v>0</v>
      </c>
      <c r="O102" s="100">
        <f t="shared" si="15"/>
        <v>0</v>
      </c>
      <c r="P102" s="100">
        <f t="shared" si="16"/>
        <v>0</v>
      </c>
      <c r="Q102" s="124">
        <f t="shared" si="17"/>
        <v>0</v>
      </c>
      <c r="R102" s="123"/>
      <c r="S102" s="123"/>
      <c r="T102" s="123"/>
      <c r="U102" s="123"/>
      <c r="V102" s="123"/>
      <c r="W102" s="123"/>
      <c r="X102" s="123"/>
      <c r="Y102" s="123"/>
      <c r="Z102" s="123"/>
      <c r="AA102" s="123"/>
      <c r="AB102" s="123"/>
      <c r="AC102" s="123"/>
      <c r="AD102" s="123"/>
      <c r="AE102" s="123"/>
      <c r="AF102" s="123"/>
      <c r="AG102" s="123"/>
      <c r="AH102" s="123"/>
      <c r="AI102" s="123"/>
      <c r="AJ102" s="123"/>
    </row>
    <row r="103" s="33" customFormat="1" ht="16.95" customHeight="1" spans="1:36">
      <c r="A103" s="87">
        <f>IF(F103&lt;&gt;"",1+MAX($A$2:A102),"")</f>
        <v>89</v>
      </c>
      <c r="B103" s="89"/>
      <c r="C103" s="89"/>
      <c r="D103" s="69" t="s">
        <v>276</v>
      </c>
      <c r="E103" s="72">
        <v>34.88</v>
      </c>
      <c r="F103" s="90">
        <v>0.05</v>
      </c>
      <c r="G103" s="91">
        <v>36.624</v>
      </c>
      <c r="H103" s="70" t="s">
        <v>37</v>
      </c>
      <c r="I103" s="97">
        <v>0</v>
      </c>
      <c r="J103" s="98">
        <f t="shared" si="12"/>
        <v>0</v>
      </c>
      <c r="K103" s="99">
        <v>50</v>
      </c>
      <c r="L103" s="100">
        <f t="shared" si="13"/>
        <v>0</v>
      </c>
      <c r="M103" s="100">
        <f t="shared" si="14"/>
        <v>0</v>
      </c>
      <c r="N103" s="100">
        <v>0</v>
      </c>
      <c r="O103" s="100">
        <f t="shared" si="15"/>
        <v>0</v>
      </c>
      <c r="P103" s="100">
        <f t="shared" si="16"/>
        <v>0</v>
      </c>
      <c r="Q103" s="124">
        <f t="shared" si="17"/>
        <v>0</v>
      </c>
      <c r="R103" s="123"/>
      <c r="S103" s="123"/>
      <c r="T103" s="123"/>
      <c r="U103" s="123"/>
      <c r="V103" s="123"/>
      <c r="W103" s="123"/>
      <c r="X103" s="123"/>
      <c r="Y103" s="123"/>
      <c r="Z103" s="123"/>
      <c r="AA103" s="123"/>
      <c r="AB103" s="123"/>
      <c r="AC103" s="123"/>
      <c r="AD103" s="123"/>
      <c r="AE103" s="123"/>
      <c r="AF103" s="123"/>
      <c r="AG103" s="123"/>
      <c r="AH103" s="123"/>
      <c r="AI103" s="123"/>
      <c r="AJ103" s="123"/>
    </row>
    <row r="104" s="33" customFormat="1" ht="16.95" customHeight="1" spans="1:36">
      <c r="A104" s="87">
        <f>IF(F104&lt;&gt;"",1+MAX($A$2:A103),"")</f>
        <v>90</v>
      </c>
      <c r="B104" s="89"/>
      <c r="C104" s="89"/>
      <c r="D104" s="69" t="s">
        <v>277</v>
      </c>
      <c r="E104" s="72">
        <v>218.41</v>
      </c>
      <c r="F104" s="90">
        <v>0.05</v>
      </c>
      <c r="G104" s="91">
        <v>229.3305</v>
      </c>
      <c r="H104" s="70" t="s">
        <v>37</v>
      </c>
      <c r="I104" s="97">
        <v>0</v>
      </c>
      <c r="J104" s="98">
        <f t="shared" ref="J104:J156" si="18">+I104*G104</f>
        <v>0</v>
      </c>
      <c r="K104" s="99">
        <v>50</v>
      </c>
      <c r="L104" s="100">
        <f t="shared" ref="L104:L156" si="19">I104*K104</f>
        <v>0</v>
      </c>
      <c r="M104" s="100">
        <f t="shared" ref="M104:M156" si="20">K104*J104</f>
        <v>0</v>
      </c>
      <c r="N104" s="100">
        <v>0</v>
      </c>
      <c r="O104" s="100">
        <f t="shared" ref="O104:O156" si="21">N104*G104</f>
        <v>0</v>
      </c>
      <c r="P104" s="100">
        <f t="shared" ref="P104:P156" si="22">(I104*K104)+N104</f>
        <v>0</v>
      </c>
      <c r="Q104" s="124">
        <f t="shared" ref="Q104:Q156" si="23">P104*G104</f>
        <v>0</v>
      </c>
      <c r="R104" s="123"/>
      <c r="S104" s="123"/>
      <c r="T104" s="123"/>
      <c r="U104" s="123"/>
      <c r="V104" s="123"/>
      <c r="W104" s="123"/>
      <c r="X104" s="123"/>
      <c r="Y104" s="123"/>
      <c r="Z104" s="123"/>
      <c r="AA104" s="123"/>
      <c r="AB104" s="123"/>
      <c r="AC104" s="123"/>
      <c r="AD104" s="123"/>
      <c r="AE104" s="123"/>
      <c r="AF104" s="123"/>
      <c r="AG104" s="123"/>
      <c r="AH104" s="123"/>
      <c r="AI104" s="123"/>
      <c r="AJ104" s="123"/>
    </row>
    <row r="105" s="33" customFormat="1" ht="16.95" customHeight="1" spans="1:36">
      <c r="A105" s="87" t="str">
        <f>IF(F105&lt;&gt;"",1+MAX($A$2:A104),"")</f>
        <v/>
      </c>
      <c r="B105" s="89"/>
      <c r="C105" s="89"/>
      <c r="D105" s="69"/>
      <c r="E105" s="72"/>
      <c r="F105" s="90"/>
      <c r="G105" s="91"/>
      <c r="H105" s="70"/>
      <c r="I105" s="97"/>
      <c r="J105" s="98"/>
      <c r="K105" s="99"/>
      <c r="L105" s="100"/>
      <c r="M105" s="100"/>
      <c r="N105" s="100"/>
      <c r="O105" s="100"/>
      <c r="P105" s="100"/>
      <c r="Q105" s="124"/>
      <c r="R105" s="123"/>
      <c r="S105" s="123"/>
      <c r="T105" s="123"/>
      <c r="U105" s="123"/>
      <c r="V105" s="123"/>
      <c r="W105" s="123"/>
      <c r="X105" s="123"/>
      <c r="Y105" s="123"/>
      <c r="Z105" s="123"/>
      <c r="AA105" s="123"/>
      <c r="AB105" s="123"/>
      <c r="AC105" s="123"/>
      <c r="AD105" s="123"/>
      <c r="AE105" s="123"/>
      <c r="AF105" s="123"/>
      <c r="AG105" s="123"/>
      <c r="AH105" s="123"/>
      <c r="AI105" s="123"/>
      <c r="AJ105" s="123"/>
    </row>
    <row r="106" s="33" customFormat="1" ht="16.95" customHeight="1" spans="1:36">
      <c r="A106" s="87" t="str">
        <f>IF(F106&lt;&gt;"",1+MAX($A$2:A105),"")</f>
        <v/>
      </c>
      <c r="B106" s="89"/>
      <c r="C106" s="89"/>
      <c r="D106" s="88" t="s">
        <v>278</v>
      </c>
      <c r="E106" s="72"/>
      <c r="F106" s="90"/>
      <c r="G106" s="91"/>
      <c r="H106" s="70"/>
      <c r="I106" s="97"/>
      <c r="J106" s="98"/>
      <c r="K106" s="99"/>
      <c r="L106" s="100"/>
      <c r="M106" s="100"/>
      <c r="N106" s="100"/>
      <c r="O106" s="100"/>
      <c r="P106" s="100"/>
      <c r="Q106" s="124"/>
      <c r="R106" s="123"/>
      <c r="S106" s="123"/>
      <c r="T106" s="123"/>
      <c r="U106" s="123"/>
      <c r="V106" s="123"/>
      <c r="W106" s="123"/>
      <c r="X106" s="123"/>
      <c r="Y106" s="123"/>
      <c r="Z106" s="123"/>
      <c r="AA106" s="123"/>
      <c r="AB106" s="123"/>
      <c r="AC106" s="123"/>
      <c r="AD106" s="123"/>
      <c r="AE106" s="123"/>
      <c r="AF106" s="123"/>
      <c r="AG106" s="123"/>
      <c r="AH106" s="123"/>
      <c r="AI106" s="123"/>
      <c r="AJ106" s="123"/>
    </row>
    <row r="107" s="33" customFormat="1" ht="16.95" customHeight="1" spans="1:36">
      <c r="A107" s="87">
        <f>IF(F107&lt;&gt;"",1+MAX($A$2:A106),"")</f>
        <v>91</v>
      </c>
      <c r="B107" s="89"/>
      <c r="C107" s="89"/>
      <c r="D107" s="69" t="s">
        <v>279</v>
      </c>
      <c r="E107" s="72">
        <v>4</v>
      </c>
      <c r="F107" s="90">
        <v>0</v>
      </c>
      <c r="G107" s="91">
        <v>4</v>
      </c>
      <c r="H107" s="70" t="s">
        <v>35</v>
      </c>
      <c r="I107" s="97">
        <v>0</v>
      </c>
      <c r="J107" s="98">
        <f t="shared" si="18"/>
        <v>0</v>
      </c>
      <c r="K107" s="99">
        <v>50</v>
      </c>
      <c r="L107" s="100">
        <f t="shared" si="19"/>
        <v>0</v>
      </c>
      <c r="M107" s="100">
        <f t="shared" si="20"/>
        <v>0</v>
      </c>
      <c r="N107" s="100">
        <v>0</v>
      </c>
      <c r="O107" s="100">
        <f t="shared" si="21"/>
        <v>0</v>
      </c>
      <c r="P107" s="100">
        <f t="shared" si="22"/>
        <v>0</v>
      </c>
      <c r="Q107" s="124">
        <f t="shared" si="23"/>
        <v>0</v>
      </c>
      <c r="R107" s="123"/>
      <c r="S107" s="123"/>
      <c r="T107" s="123"/>
      <c r="U107" s="123"/>
      <c r="V107" s="123"/>
      <c r="W107" s="123"/>
      <c r="X107" s="123"/>
      <c r="Y107" s="123"/>
      <c r="Z107" s="123"/>
      <c r="AA107" s="123"/>
      <c r="AB107" s="123"/>
      <c r="AC107" s="123"/>
      <c r="AD107" s="123"/>
      <c r="AE107" s="123"/>
      <c r="AF107" s="123"/>
      <c r="AG107" s="123"/>
      <c r="AH107" s="123"/>
      <c r="AI107" s="123"/>
      <c r="AJ107" s="123"/>
    </row>
    <row r="108" s="33" customFormat="1" ht="16.95" customHeight="1" spans="1:36">
      <c r="A108" s="87">
        <f>IF(F108&lt;&gt;"",1+MAX($A$2:A107),"")</f>
        <v>92</v>
      </c>
      <c r="B108" s="89"/>
      <c r="C108" s="89"/>
      <c r="D108" s="69" t="s">
        <v>280</v>
      </c>
      <c r="E108" s="72">
        <v>5</v>
      </c>
      <c r="F108" s="90">
        <v>0</v>
      </c>
      <c r="G108" s="91">
        <v>5</v>
      </c>
      <c r="H108" s="70" t="s">
        <v>35</v>
      </c>
      <c r="I108" s="97">
        <v>0</v>
      </c>
      <c r="J108" s="98">
        <f t="shared" si="18"/>
        <v>0</v>
      </c>
      <c r="K108" s="99">
        <v>50</v>
      </c>
      <c r="L108" s="100">
        <f t="shared" si="19"/>
        <v>0</v>
      </c>
      <c r="M108" s="100">
        <f t="shared" si="20"/>
        <v>0</v>
      </c>
      <c r="N108" s="100">
        <v>0</v>
      </c>
      <c r="O108" s="100">
        <f t="shared" si="21"/>
        <v>0</v>
      </c>
      <c r="P108" s="100">
        <f t="shared" si="22"/>
        <v>0</v>
      </c>
      <c r="Q108" s="124">
        <f t="shared" si="23"/>
        <v>0</v>
      </c>
      <c r="R108" s="123"/>
      <c r="S108" s="123"/>
      <c r="T108" s="123"/>
      <c r="U108" s="123"/>
      <c r="V108" s="123"/>
      <c r="W108" s="123"/>
      <c r="X108" s="123"/>
      <c r="Y108" s="123"/>
      <c r="Z108" s="123"/>
      <c r="AA108" s="123"/>
      <c r="AB108" s="123"/>
      <c r="AC108" s="123"/>
      <c r="AD108" s="123"/>
      <c r="AE108" s="123"/>
      <c r="AF108" s="123"/>
      <c r="AG108" s="123"/>
      <c r="AH108" s="123"/>
      <c r="AI108" s="123"/>
      <c r="AJ108" s="123"/>
    </row>
    <row r="109" s="33" customFormat="1" ht="16.95" customHeight="1" spans="1:36">
      <c r="A109" s="87">
        <f>IF(F109&lt;&gt;"",1+MAX($A$2:A108),"")</f>
        <v>93</v>
      </c>
      <c r="B109" s="89"/>
      <c r="C109" s="89"/>
      <c r="D109" s="69" t="s">
        <v>281</v>
      </c>
      <c r="E109" s="72">
        <v>10</v>
      </c>
      <c r="F109" s="90">
        <v>0</v>
      </c>
      <c r="G109" s="91">
        <v>10</v>
      </c>
      <c r="H109" s="70" t="s">
        <v>35</v>
      </c>
      <c r="I109" s="97">
        <v>0</v>
      </c>
      <c r="J109" s="98">
        <f t="shared" si="18"/>
        <v>0</v>
      </c>
      <c r="K109" s="99">
        <v>50</v>
      </c>
      <c r="L109" s="100">
        <f t="shared" si="19"/>
        <v>0</v>
      </c>
      <c r="M109" s="100">
        <f t="shared" si="20"/>
        <v>0</v>
      </c>
      <c r="N109" s="100">
        <v>0</v>
      </c>
      <c r="O109" s="100">
        <f t="shared" si="21"/>
        <v>0</v>
      </c>
      <c r="P109" s="100">
        <f t="shared" si="22"/>
        <v>0</v>
      </c>
      <c r="Q109" s="124">
        <f t="shared" si="23"/>
        <v>0</v>
      </c>
      <c r="R109" s="123"/>
      <c r="S109" s="123"/>
      <c r="T109" s="123"/>
      <c r="U109" s="123"/>
      <c r="V109" s="123"/>
      <c r="W109" s="123"/>
      <c r="X109" s="123"/>
      <c r="Y109" s="123"/>
      <c r="Z109" s="123"/>
      <c r="AA109" s="123"/>
      <c r="AB109" s="123"/>
      <c r="AC109" s="123"/>
      <c r="AD109" s="123"/>
      <c r="AE109" s="123"/>
      <c r="AF109" s="123"/>
      <c r="AG109" s="123"/>
      <c r="AH109" s="123"/>
      <c r="AI109" s="123"/>
      <c r="AJ109" s="123"/>
    </row>
    <row r="110" s="33" customFormat="1" ht="16.95" customHeight="1" spans="1:36">
      <c r="A110" s="87">
        <f>IF(F110&lt;&gt;"",1+MAX($A$2:A109),"")</f>
        <v>94</v>
      </c>
      <c r="B110" s="89"/>
      <c r="C110" s="89"/>
      <c r="D110" s="69" t="s">
        <v>282</v>
      </c>
      <c r="E110" s="72">
        <v>4</v>
      </c>
      <c r="F110" s="90">
        <v>0</v>
      </c>
      <c r="G110" s="91">
        <v>4</v>
      </c>
      <c r="H110" s="70" t="s">
        <v>35</v>
      </c>
      <c r="I110" s="97">
        <v>0</v>
      </c>
      <c r="J110" s="98">
        <f t="shared" si="18"/>
        <v>0</v>
      </c>
      <c r="K110" s="99">
        <v>50</v>
      </c>
      <c r="L110" s="100">
        <f t="shared" si="19"/>
        <v>0</v>
      </c>
      <c r="M110" s="100">
        <f t="shared" si="20"/>
        <v>0</v>
      </c>
      <c r="N110" s="100">
        <v>0</v>
      </c>
      <c r="O110" s="100">
        <f t="shared" si="21"/>
        <v>0</v>
      </c>
      <c r="P110" s="100">
        <f t="shared" si="22"/>
        <v>0</v>
      </c>
      <c r="Q110" s="124">
        <f t="shared" si="23"/>
        <v>0</v>
      </c>
      <c r="R110" s="123"/>
      <c r="S110" s="123"/>
      <c r="T110" s="123"/>
      <c r="U110" s="123"/>
      <c r="V110" s="123"/>
      <c r="W110" s="123"/>
      <c r="X110" s="123"/>
      <c r="Y110" s="123"/>
      <c r="Z110" s="123"/>
      <c r="AA110" s="123"/>
      <c r="AB110" s="123"/>
      <c r="AC110" s="123"/>
      <c r="AD110" s="123"/>
      <c r="AE110" s="123"/>
      <c r="AF110" s="123"/>
      <c r="AG110" s="123"/>
      <c r="AH110" s="123"/>
      <c r="AI110" s="123"/>
      <c r="AJ110" s="123"/>
    </row>
    <row r="111" s="33" customFormat="1" ht="16.95" customHeight="1" spans="1:36">
      <c r="A111" s="87">
        <f>IF(F111&lt;&gt;"",1+MAX($A$2:A110),"")</f>
        <v>95</v>
      </c>
      <c r="B111" s="89"/>
      <c r="C111" s="89"/>
      <c r="D111" s="69" t="s">
        <v>283</v>
      </c>
      <c r="E111" s="72">
        <v>3</v>
      </c>
      <c r="F111" s="90">
        <v>0</v>
      </c>
      <c r="G111" s="91">
        <v>3</v>
      </c>
      <c r="H111" s="70" t="s">
        <v>35</v>
      </c>
      <c r="I111" s="97">
        <v>0</v>
      </c>
      <c r="J111" s="98">
        <f t="shared" si="18"/>
        <v>0</v>
      </c>
      <c r="K111" s="99">
        <v>50</v>
      </c>
      <c r="L111" s="100">
        <f t="shared" si="19"/>
        <v>0</v>
      </c>
      <c r="M111" s="100">
        <f t="shared" si="20"/>
        <v>0</v>
      </c>
      <c r="N111" s="100">
        <v>0</v>
      </c>
      <c r="O111" s="100">
        <f t="shared" si="21"/>
        <v>0</v>
      </c>
      <c r="P111" s="100">
        <f t="shared" si="22"/>
        <v>0</v>
      </c>
      <c r="Q111" s="124">
        <f t="shared" si="23"/>
        <v>0</v>
      </c>
      <c r="R111" s="123"/>
      <c r="S111" s="123"/>
      <c r="T111" s="123"/>
      <c r="U111" s="123"/>
      <c r="V111" s="123"/>
      <c r="W111" s="123"/>
      <c r="X111" s="123"/>
      <c r="Y111" s="123"/>
      <c r="Z111" s="123"/>
      <c r="AA111" s="123"/>
      <c r="AB111" s="123"/>
      <c r="AC111" s="123"/>
      <c r="AD111" s="123"/>
      <c r="AE111" s="123"/>
      <c r="AF111" s="123"/>
      <c r="AG111" s="123"/>
      <c r="AH111" s="123"/>
      <c r="AI111" s="123"/>
      <c r="AJ111" s="123"/>
    </row>
    <row r="112" s="33" customFormat="1" ht="16.95" customHeight="1" spans="1:36">
      <c r="A112" s="87">
        <f>IF(F112&lt;&gt;"",1+MAX($A$2:A111),"")</f>
        <v>96</v>
      </c>
      <c r="B112" s="89"/>
      <c r="C112" s="89"/>
      <c r="D112" s="69" t="s">
        <v>284</v>
      </c>
      <c r="E112" s="72">
        <v>1</v>
      </c>
      <c r="F112" s="90">
        <v>0</v>
      </c>
      <c r="G112" s="91">
        <v>1</v>
      </c>
      <c r="H112" s="70" t="s">
        <v>35</v>
      </c>
      <c r="I112" s="97">
        <v>0</v>
      </c>
      <c r="J112" s="98">
        <f t="shared" si="18"/>
        <v>0</v>
      </c>
      <c r="K112" s="99">
        <v>50</v>
      </c>
      <c r="L112" s="100">
        <f t="shared" si="19"/>
        <v>0</v>
      </c>
      <c r="M112" s="100">
        <f t="shared" si="20"/>
        <v>0</v>
      </c>
      <c r="N112" s="100">
        <v>0</v>
      </c>
      <c r="O112" s="100">
        <f t="shared" si="21"/>
        <v>0</v>
      </c>
      <c r="P112" s="100">
        <f t="shared" si="22"/>
        <v>0</v>
      </c>
      <c r="Q112" s="124">
        <f t="shared" si="23"/>
        <v>0</v>
      </c>
      <c r="R112" s="123"/>
      <c r="S112" s="123"/>
      <c r="T112" s="123"/>
      <c r="U112" s="123"/>
      <c r="V112" s="123"/>
      <c r="W112" s="123"/>
      <c r="X112" s="123"/>
      <c r="Y112" s="123"/>
      <c r="Z112" s="123"/>
      <c r="AA112" s="123"/>
      <c r="AB112" s="123"/>
      <c r="AC112" s="123"/>
      <c r="AD112" s="123"/>
      <c r="AE112" s="123"/>
      <c r="AF112" s="123"/>
      <c r="AG112" s="123"/>
      <c r="AH112" s="123"/>
      <c r="AI112" s="123"/>
      <c r="AJ112" s="123"/>
    </row>
    <row r="113" s="33" customFormat="1" ht="16.95" customHeight="1" spans="1:36">
      <c r="A113" s="87">
        <f>IF(F113&lt;&gt;"",1+MAX($A$2:A112),"")</f>
        <v>97</v>
      </c>
      <c r="B113" s="89"/>
      <c r="C113" s="89"/>
      <c r="D113" s="69" t="s">
        <v>285</v>
      </c>
      <c r="E113" s="72">
        <v>6</v>
      </c>
      <c r="F113" s="90">
        <v>0</v>
      </c>
      <c r="G113" s="91">
        <v>6</v>
      </c>
      <c r="H113" s="70" t="s">
        <v>35</v>
      </c>
      <c r="I113" s="97">
        <v>0</v>
      </c>
      <c r="J113" s="98">
        <f t="shared" si="18"/>
        <v>0</v>
      </c>
      <c r="K113" s="99">
        <v>50</v>
      </c>
      <c r="L113" s="100">
        <f t="shared" si="19"/>
        <v>0</v>
      </c>
      <c r="M113" s="100">
        <f t="shared" si="20"/>
        <v>0</v>
      </c>
      <c r="N113" s="100">
        <v>0</v>
      </c>
      <c r="O113" s="100">
        <f t="shared" si="21"/>
        <v>0</v>
      </c>
      <c r="P113" s="100">
        <f t="shared" si="22"/>
        <v>0</v>
      </c>
      <c r="Q113" s="124">
        <f t="shared" si="23"/>
        <v>0</v>
      </c>
      <c r="R113" s="123"/>
      <c r="S113" s="123"/>
      <c r="T113" s="123"/>
      <c r="U113" s="123"/>
      <c r="V113" s="123"/>
      <c r="W113" s="123"/>
      <c r="X113" s="123"/>
      <c r="Y113" s="123"/>
      <c r="Z113" s="123"/>
      <c r="AA113" s="123"/>
      <c r="AB113" s="123"/>
      <c r="AC113" s="123"/>
      <c r="AD113" s="123"/>
      <c r="AE113" s="123"/>
      <c r="AF113" s="123"/>
      <c r="AG113" s="123"/>
      <c r="AH113" s="123"/>
      <c r="AI113" s="123"/>
      <c r="AJ113" s="123"/>
    </row>
    <row r="114" s="33" customFormat="1" ht="16.95" customHeight="1" spans="1:36">
      <c r="A114" s="87">
        <f>IF(F114&lt;&gt;"",1+MAX($A$2:A113),"")</f>
        <v>98</v>
      </c>
      <c r="B114" s="89"/>
      <c r="C114" s="89"/>
      <c r="D114" s="69" t="s">
        <v>286</v>
      </c>
      <c r="E114" s="72">
        <v>2</v>
      </c>
      <c r="F114" s="90">
        <v>0</v>
      </c>
      <c r="G114" s="91">
        <v>2</v>
      </c>
      <c r="H114" s="70" t="s">
        <v>35</v>
      </c>
      <c r="I114" s="97">
        <v>0</v>
      </c>
      <c r="J114" s="98">
        <f t="shared" si="18"/>
        <v>0</v>
      </c>
      <c r="K114" s="99">
        <v>50</v>
      </c>
      <c r="L114" s="100">
        <f t="shared" si="19"/>
        <v>0</v>
      </c>
      <c r="M114" s="100">
        <f t="shared" si="20"/>
        <v>0</v>
      </c>
      <c r="N114" s="100">
        <v>0</v>
      </c>
      <c r="O114" s="100">
        <f t="shared" si="21"/>
        <v>0</v>
      </c>
      <c r="P114" s="100">
        <f t="shared" si="22"/>
        <v>0</v>
      </c>
      <c r="Q114" s="124">
        <f t="shared" si="23"/>
        <v>0</v>
      </c>
      <c r="R114" s="123"/>
      <c r="S114" s="123"/>
      <c r="T114" s="123"/>
      <c r="U114" s="123"/>
      <c r="V114" s="123"/>
      <c r="W114" s="123"/>
      <c r="X114" s="123"/>
      <c r="Y114" s="123"/>
      <c r="Z114" s="123"/>
      <c r="AA114" s="123"/>
      <c r="AB114" s="123"/>
      <c r="AC114" s="123"/>
      <c r="AD114" s="123"/>
      <c r="AE114" s="123"/>
      <c r="AF114" s="123"/>
      <c r="AG114" s="123"/>
      <c r="AH114" s="123"/>
      <c r="AI114" s="123"/>
      <c r="AJ114" s="123"/>
    </row>
    <row r="115" s="33" customFormat="1" ht="16.95" customHeight="1" spans="1:36">
      <c r="A115" s="87">
        <f>IF(F115&lt;&gt;"",1+MAX($A$2:A114),"")</f>
        <v>99</v>
      </c>
      <c r="B115" s="89"/>
      <c r="C115" s="89"/>
      <c r="D115" s="69" t="s">
        <v>287</v>
      </c>
      <c r="E115" s="72">
        <v>5</v>
      </c>
      <c r="F115" s="90">
        <v>0</v>
      </c>
      <c r="G115" s="91">
        <v>5</v>
      </c>
      <c r="H115" s="70" t="s">
        <v>35</v>
      </c>
      <c r="I115" s="97">
        <v>0</v>
      </c>
      <c r="J115" s="98">
        <f t="shared" si="18"/>
        <v>0</v>
      </c>
      <c r="K115" s="99">
        <v>50</v>
      </c>
      <c r="L115" s="100">
        <f t="shared" si="19"/>
        <v>0</v>
      </c>
      <c r="M115" s="100">
        <f t="shared" si="20"/>
        <v>0</v>
      </c>
      <c r="N115" s="100">
        <v>0</v>
      </c>
      <c r="O115" s="100">
        <f t="shared" si="21"/>
        <v>0</v>
      </c>
      <c r="P115" s="100">
        <f t="shared" si="22"/>
        <v>0</v>
      </c>
      <c r="Q115" s="124">
        <f t="shared" si="23"/>
        <v>0</v>
      </c>
      <c r="R115" s="123"/>
      <c r="S115" s="123"/>
      <c r="T115" s="123"/>
      <c r="U115" s="123"/>
      <c r="V115" s="123"/>
      <c r="W115" s="123"/>
      <c r="X115" s="123"/>
      <c r="Y115" s="123"/>
      <c r="Z115" s="123"/>
      <c r="AA115" s="123"/>
      <c r="AB115" s="123"/>
      <c r="AC115" s="123"/>
      <c r="AD115" s="123"/>
      <c r="AE115" s="123"/>
      <c r="AF115" s="123"/>
      <c r="AG115" s="123"/>
      <c r="AH115" s="123"/>
      <c r="AI115" s="123"/>
      <c r="AJ115" s="123"/>
    </row>
    <row r="116" s="33" customFormat="1" ht="16.95" customHeight="1" spans="1:36">
      <c r="A116" s="87">
        <f>IF(F116&lt;&gt;"",1+MAX($A$2:A115),"")</f>
        <v>100</v>
      </c>
      <c r="B116" s="89"/>
      <c r="C116" s="89"/>
      <c r="D116" s="69" t="s">
        <v>288</v>
      </c>
      <c r="E116" s="72">
        <v>2</v>
      </c>
      <c r="F116" s="90">
        <v>0</v>
      </c>
      <c r="G116" s="91">
        <v>2</v>
      </c>
      <c r="H116" s="70" t="s">
        <v>35</v>
      </c>
      <c r="I116" s="97">
        <v>0</v>
      </c>
      <c r="J116" s="98">
        <f t="shared" si="18"/>
        <v>0</v>
      </c>
      <c r="K116" s="99">
        <v>50</v>
      </c>
      <c r="L116" s="100">
        <f t="shared" si="19"/>
        <v>0</v>
      </c>
      <c r="M116" s="100">
        <f t="shared" si="20"/>
        <v>0</v>
      </c>
      <c r="N116" s="100">
        <v>0</v>
      </c>
      <c r="O116" s="100">
        <f t="shared" si="21"/>
        <v>0</v>
      </c>
      <c r="P116" s="100">
        <f t="shared" si="22"/>
        <v>0</v>
      </c>
      <c r="Q116" s="124">
        <f t="shared" si="23"/>
        <v>0</v>
      </c>
      <c r="R116" s="123"/>
      <c r="S116" s="123"/>
      <c r="T116" s="123"/>
      <c r="U116" s="123"/>
      <c r="V116" s="123"/>
      <c r="W116" s="123"/>
      <c r="X116" s="123"/>
      <c r="Y116" s="123"/>
      <c r="Z116" s="123"/>
      <c r="AA116" s="123"/>
      <c r="AB116" s="123"/>
      <c r="AC116" s="123"/>
      <c r="AD116" s="123"/>
      <c r="AE116" s="123"/>
      <c r="AF116" s="123"/>
      <c r="AG116" s="123"/>
      <c r="AH116" s="123"/>
      <c r="AI116" s="123"/>
      <c r="AJ116" s="123"/>
    </row>
    <row r="117" s="33" customFormat="1" ht="16.95" customHeight="1" spans="1:36">
      <c r="A117" s="87">
        <f>IF(F117&lt;&gt;"",1+MAX($A$2:A116),"")</f>
        <v>101</v>
      </c>
      <c r="B117" s="89"/>
      <c r="C117" s="89"/>
      <c r="D117" s="69" t="s">
        <v>289</v>
      </c>
      <c r="E117" s="72">
        <v>7</v>
      </c>
      <c r="F117" s="90">
        <v>0</v>
      </c>
      <c r="G117" s="91">
        <v>7</v>
      </c>
      <c r="H117" s="70" t="s">
        <v>35</v>
      </c>
      <c r="I117" s="97">
        <v>0</v>
      </c>
      <c r="J117" s="98">
        <f t="shared" si="18"/>
        <v>0</v>
      </c>
      <c r="K117" s="99">
        <v>50</v>
      </c>
      <c r="L117" s="100">
        <f t="shared" si="19"/>
        <v>0</v>
      </c>
      <c r="M117" s="100">
        <f t="shared" si="20"/>
        <v>0</v>
      </c>
      <c r="N117" s="100">
        <v>0</v>
      </c>
      <c r="O117" s="100">
        <f t="shared" si="21"/>
        <v>0</v>
      </c>
      <c r="P117" s="100">
        <f t="shared" si="22"/>
        <v>0</v>
      </c>
      <c r="Q117" s="124">
        <f t="shared" si="23"/>
        <v>0</v>
      </c>
      <c r="R117" s="123"/>
      <c r="S117" s="123"/>
      <c r="T117" s="123"/>
      <c r="U117" s="123"/>
      <c r="V117" s="123"/>
      <c r="W117" s="123"/>
      <c r="X117" s="123"/>
      <c r="Y117" s="123"/>
      <c r="Z117" s="123"/>
      <c r="AA117" s="123"/>
      <c r="AB117" s="123"/>
      <c r="AC117" s="123"/>
      <c r="AD117" s="123"/>
      <c r="AE117" s="123"/>
      <c r="AF117" s="123"/>
      <c r="AG117" s="123"/>
      <c r="AH117" s="123"/>
      <c r="AI117" s="123"/>
      <c r="AJ117" s="123"/>
    </row>
    <row r="118" s="33" customFormat="1" ht="16.95" customHeight="1" spans="1:36">
      <c r="A118" s="87">
        <f>IF(F118&lt;&gt;"",1+MAX($A$2:A117),"")</f>
        <v>102</v>
      </c>
      <c r="B118" s="89"/>
      <c r="C118" s="89"/>
      <c r="D118" s="69" t="s">
        <v>290</v>
      </c>
      <c r="E118" s="72">
        <v>3</v>
      </c>
      <c r="F118" s="90">
        <v>0</v>
      </c>
      <c r="G118" s="91">
        <v>3</v>
      </c>
      <c r="H118" s="70" t="s">
        <v>35</v>
      </c>
      <c r="I118" s="97">
        <v>0</v>
      </c>
      <c r="J118" s="98">
        <f t="shared" si="18"/>
        <v>0</v>
      </c>
      <c r="K118" s="99">
        <v>50</v>
      </c>
      <c r="L118" s="100">
        <f t="shared" si="19"/>
        <v>0</v>
      </c>
      <c r="M118" s="100">
        <f t="shared" si="20"/>
        <v>0</v>
      </c>
      <c r="N118" s="100">
        <v>0</v>
      </c>
      <c r="O118" s="100">
        <f t="shared" si="21"/>
        <v>0</v>
      </c>
      <c r="P118" s="100">
        <f t="shared" si="22"/>
        <v>0</v>
      </c>
      <c r="Q118" s="124">
        <f t="shared" si="23"/>
        <v>0</v>
      </c>
      <c r="R118" s="123"/>
      <c r="S118" s="123"/>
      <c r="T118" s="123"/>
      <c r="U118" s="123"/>
      <c r="V118" s="123"/>
      <c r="W118" s="123"/>
      <c r="X118" s="123"/>
      <c r="Y118" s="123"/>
      <c r="Z118" s="123"/>
      <c r="AA118" s="123"/>
      <c r="AB118" s="123"/>
      <c r="AC118" s="123"/>
      <c r="AD118" s="123"/>
      <c r="AE118" s="123"/>
      <c r="AF118" s="123"/>
      <c r="AG118" s="123"/>
      <c r="AH118" s="123"/>
      <c r="AI118" s="123"/>
      <c r="AJ118" s="123"/>
    </row>
    <row r="119" s="33" customFormat="1" ht="16.95" customHeight="1" spans="1:36">
      <c r="A119" s="87">
        <f>IF(F119&lt;&gt;"",1+MAX($A$2:A118),"")</f>
        <v>103</v>
      </c>
      <c r="B119" s="89"/>
      <c r="C119" s="89"/>
      <c r="D119" s="69" t="s">
        <v>290</v>
      </c>
      <c r="E119" s="72">
        <v>6</v>
      </c>
      <c r="F119" s="90">
        <v>0</v>
      </c>
      <c r="G119" s="91">
        <v>6</v>
      </c>
      <c r="H119" s="70" t="s">
        <v>35</v>
      </c>
      <c r="I119" s="97">
        <v>0</v>
      </c>
      <c r="J119" s="98">
        <f t="shared" si="18"/>
        <v>0</v>
      </c>
      <c r="K119" s="99">
        <v>50</v>
      </c>
      <c r="L119" s="100">
        <f t="shared" si="19"/>
        <v>0</v>
      </c>
      <c r="M119" s="100">
        <f t="shared" si="20"/>
        <v>0</v>
      </c>
      <c r="N119" s="100">
        <v>0</v>
      </c>
      <c r="O119" s="100">
        <f t="shared" si="21"/>
        <v>0</v>
      </c>
      <c r="P119" s="100">
        <f t="shared" si="22"/>
        <v>0</v>
      </c>
      <c r="Q119" s="124">
        <f t="shared" si="23"/>
        <v>0</v>
      </c>
      <c r="R119" s="123"/>
      <c r="S119" s="123"/>
      <c r="T119" s="123"/>
      <c r="U119" s="123"/>
      <c r="V119" s="123"/>
      <c r="W119" s="123"/>
      <c r="X119" s="123"/>
      <c r="Y119" s="123"/>
      <c r="Z119" s="123"/>
      <c r="AA119" s="123"/>
      <c r="AB119" s="123"/>
      <c r="AC119" s="123"/>
      <c r="AD119" s="123"/>
      <c r="AE119" s="123"/>
      <c r="AF119" s="123"/>
      <c r="AG119" s="123"/>
      <c r="AH119" s="123"/>
      <c r="AI119" s="123"/>
      <c r="AJ119" s="123"/>
    </row>
    <row r="120" s="33" customFormat="1" ht="16.95" customHeight="1" spans="1:36">
      <c r="A120" s="87">
        <f>IF(F120&lt;&gt;"",1+MAX($A$2:A119),"")</f>
        <v>104</v>
      </c>
      <c r="B120" s="89"/>
      <c r="C120" s="89"/>
      <c r="D120" s="69" t="s">
        <v>291</v>
      </c>
      <c r="E120" s="72">
        <v>2</v>
      </c>
      <c r="F120" s="90">
        <v>0</v>
      </c>
      <c r="G120" s="91">
        <v>2</v>
      </c>
      <c r="H120" s="70" t="s">
        <v>35</v>
      </c>
      <c r="I120" s="97">
        <v>0</v>
      </c>
      <c r="J120" s="98">
        <f t="shared" si="18"/>
        <v>0</v>
      </c>
      <c r="K120" s="99">
        <v>50</v>
      </c>
      <c r="L120" s="100">
        <f t="shared" si="19"/>
        <v>0</v>
      </c>
      <c r="M120" s="100">
        <f t="shared" si="20"/>
        <v>0</v>
      </c>
      <c r="N120" s="100">
        <v>0</v>
      </c>
      <c r="O120" s="100">
        <f t="shared" si="21"/>
        <v>0</v>
      </c>
      <c r="P120" s="100">
        <f t="shared" si="22"/>
        <v>0</v>
      </c>
      <c r="Q120" s="124">
        <f t="shared" si="23"/>
        <v>0</v>
      </c>
      <c r="R120" s="123"/>
      <c r="S120" s="123"/>
      <c r="T120" s="123"/>
      <c r="U120" s="123"/>
      <c r="V120" s="123"/>
      <c r="W120" s="123"/>
      <c r="X120" s="123"/>
      <c r="Y120" s="123"/>
      <c r="Z120" s="123"/>
      <c r="AA120" s="123"/>
      <c r="AB120" s="123"/>
      <c r="AC120" s="123"/>
      <c r="AD120" s="123"/>
      <c r="AE120" s="123"/>
      <c r="AF120" s="123"/>
      <c r="AG120" s="123"/>
      <c r="AH120" s="123"/>
      <c r="AI120" s="123"/>
      <c r="AJ120" s="123"/>
    </row>
    <row r="121" s="33" customFormat="1" ht="16.95" customHeight="1" spans="1:36">
      <c r="A121" s="87">
        <f>IF(F121&lt;&gt;"",1+MAX($A$2:A120),"")</f>
        <v>105</v>
      </c>
      <c r="B121" s="89"/>
      <c r="C121" s="89"/>
      <c r="D121" s="69" t="s">
        <v>292</v>
      </c>
      <c r="E121" s="72">
        <v>7</v>
      </c>
      <c r="F121" s="90">
        <v>0</v>
      </c>
      <c r="G121" s="91">
        <v>7</v>
      </c>
      <c r="H121" s="70" t="s">
        <v>35</v>
      </c>
      <c r="I121" s="97">
        <v>0</v>
      </c>
      <c r="J121" s="98">
        <f t="shared" si="18"/>
        <v>0</v>
      </c>
      <c r="K121" s="99">
        <v>50</v>
      </c>
      <c r="L121" s="100">
        <f t="shared" si="19"/>
        <v>0</v>
      </c>
      <c r="M121" s="100">
        <f t="shared" si="20"/>
        <v>0</v>
      </c>
      <c r="N121" s="100">
        <v>0</v>
      </c>
      <c r="O121" s="100">
        <f t="shared" si="21"/>
        <v>0</v>
      </c>
      <c r="P121" s="100">
        <f t="shared" si="22"/>
        <v>0</v>
      </c>
      <c r="Q121" s="124">
        <f t="shared" si="23"/>
        <v>0</v>
      </c>
      <c r="R121" s="123"/>
      <c r="S121" s="123"/>
      <c r="T121" s="123"/>
      <c r="U121" s="123"/>
      <c r="V121" s="123"/>
      <c r="W121" s="123"/>
      <c r="X121" s="123"/>
      <c r="Y121" s="123"/>
      <c r="Z121" s="123"/>
      <c r="AA121" s="123"/>
      <c r="AB121" s="123"/>
      <c r="AC121" s="123"/>
      <c r="AD121" s="123"/>
      <c r="AE121" s="123"/>
      <c r="AF121" s="123"/>
      <c r="AG121" s="123"/>
      <c r="AH121" s="123"/>
      <c r="AI121" s="123"/>
      <c r="AJ121" s="123"/>
    </row>
    <row r="122" s="33" customFormat="1" ht="16.95" customHeight="1" spans="1:36">
      <c r="A122" s="87">
        <f>IF(F122&lt;&gt;"",1+MAX($A$2:A121),"")</f>
        <v>106</v>
      </c>
      <c r="B122" s="89"/>
      <c r="C122" s="89"/>
      <c r="D122" s="69" t="s">
        <v>293</v>
      </c>
      <c r="E122" s="72">
        <v>1</v>
      </c>
      <c r="F122" s="90">
        <v>0</v>
      </c>
      <c r="G122" s="91">
        <v>1</v>
      </c>
      <c r="H122" s="70" t="s">
        <v>35</v>
      </c>
      <c r="I122" s="97">
        <v>0</v>
      </c>
      <c r="J122" s="98">
        <f t="shared" si="18"/>
        <v>0</v>
      </c>
      <c r="K122" s="99">
        <v>50</v>
      </c>
      <c r="L122" s="100">
        <f t="shared" si="19"/>
        <v>0</v>
      </c>
      <c r="M122" s="100">
        <f t="shared" si="20"/>
        <v>0</v>
      </c>
      <c r="N122" s="100">
        <v>0</v>
      </c>
      <c r="O122" s="100">
        <f t="shared" si="21"/>
        <v>0</v>
      </c>
      <c r="P122" s="100">
        <f t="shared" si="22"/>
        <v>0</v>
      </c>
      <c r="Q122" s="124">
        <f t="shared" si="23"/>
        <v>0</v>
      </c>
      <c r="R122" s="123"/>
      <c r="S122" s="123"/>
      <c r="T122" s="123"/>
      <c r="U122" s="123"/>
      <c r="V122" s="123"/>
      <c r="W122" s="123"/>
      <c r="X122" s="123"/>
      <c r="Y122" s="123"/>
      <c r="Z122" s="123"/>
      <c r="AA122" s="123"/>
      <c r="AB122" s="123"/>
      <c r="AC122" s="123"/>
      <c r="AD122" s="123"/>
      <c r="AE122" s="123"/>
      <c r="AF122" s="123"/>
      <c r="AG122" s="123"/>
      <c r="AH122" s="123"/>
      <c r="AI122" s="123"/>
      <c r="AJ122" s="123"/>
    </row>
    <row r="123" s="33" customFormat="1" ht="16.95" customHeight="1" spans="1:36">
      <c r="A123" s="87">
        <f>IF(F123&lt;&gt;"",1+MAX($A$2:A122),"")</f>
        <v>107</v>
      </c>
      <c r="B123" s="89"/>
      <c r="C123" s="89"/>
      <c r="D123" s="69" t="s">
        <v>294</v>
      </c>
      <c r="E123" s="72">
        <v>4</v>
      </c>
      <c r="F123" s="90">
        <v>0</v>
      </c>
      <c r="G123" s="91">
        <v>4</v>
      </c>
      <c r="H123" s="70" t="s">
        <v>35</v>
      </c>
      <c r="I123" s="97">
        <v>0</v>
      </c>
      <c r="J123" s="98">
        <f t="shared" si="18"/>
        <v>0</v>
      </c>
      <c r="K123" s="99">
        <v>50</v>
      </c>
      <c r="L123" s="100">
        <f t="shared" si="19"/>
        <v>0</v>
      </c>
      <c r="M123" s="100">
        <f t="shared" si="20"/>
        <v>0</v>
      </c>
      <c r="N123" s="100">
        <v>0</v>
      </c>
      <c r="O123" s="100">
        <f t="shared" si="21"/>
        <v>0</v>
      </c>
      <c r="P123" s="100">
        <f t="shared" si="22"/>
        <v>0</v>
      </c>
      <c r="Q123" s="124">
        <f t="shared" si="23"/>
        <v>0</v>
      </c>
      <c r="R123" s="123"/>
      <c r="S123" s="123"/>
      <c r="T123" s="123"/>
      <c r="U123" s="123"/>
      <c r="V123" s="123"/>
      <c r="W123" s="123"/>
      <c r="X123" s="123"/>
      <c r="Y123" s="123"/>
      <c r="Z123" s="123"/>
      <c r="AA123" s="123"/>
      <c r="AB123" s="123"/>
      <c r="AC123" s="123"/>
      <c r="AD123" s="123"/>
      <c r="AE123" s="123"/>
      <c r="AF123" s="123"/>
      <c r="AG123" s="123"/>
      <c r="AH123" s="123"/>
      <c r="AI123" s="123"/>
      <c r="AJ123" s="123"/>
    </row>
    <row r="124" s="33" customFormat="1" ht="16.95" customHeight="1" spans="1:36">
      <c r="A124" s="87">
        <f>IF(F124&lt;&gt;"",1+MAX($A$2:A123),"")</f>
        <v>108</v>
      </c>
      <c r="B124" s="89"/>
      <c r="C124" s="89"/>
      <c r="D124" s="69" t="s">
        <v>295</v>
      </c>
      <c r="E124" s="72">
        <v>1</v>
      </c>
      <c r="F124" s="90">
        <v>0</v>
      </c>
      <c r="G124" s="91">
        <v>1</v>
      </c>
      <c r="H124" s="70" t="s">
        <v>35</v>
      </c>
      <c r="I124" s="97">
        <v>0</v>
      </c>
      <c r="J124" s="98">
        <f t="shared" si="18"/>
        <v>0</v>
      </c>
      <c r="K124" s="99">
        <v>50</v>
      </c>
      <c r="L124" s="100">
        <f t="shared" si="19"/>
        <v>0</v>
      </c>
      <c r="M124" s="100">
        <f t="shared" si="20"/>
        <v>0</v>
      </c>
      <c r="N124" s="100">
        <v>0</v>
      </c>
      <c r="O124" s="100">
        <f t="shared" si="21"/>
        <v>0</v>
      </c>
      <c r="P124" s="100">
        <f t="shared" si="22"/>
        <v>0</v>
      </c>
      <c r="Q124" s="124">
        <f t="shared" si="23"/>
        <v>0</v>
      </c>
      <c r="R124" s="123"/>
      <c r="S124" s="123"/>
      <c r="T124" s="123"/>
      <c r="U124" s="123"/>
      <c r="V124" s="123"/>
      <c r="W124" s="123"/>
      <c r="X124" s="123"/>
      <c r="Y124" s="123"/>
      <c r="Z124" s="123"/>
      <c r="AA124" s="123"/>
      <c r="AB124" s="123"/>
      <c r="AC124" s="123"/>
      <c r="AD124" s="123"/>
      <c r="AE124" s="123"/>
      <c r="AF124" s="123"/>
      <c r="AG124" s="123"/>
      <c r="AH124" s="123"/>
      <c r="AI124" s="123"/>
      <c r="AJ124" s="123"/>
    </row>
    <row r="125" s="33" customFormat="1" ht="16.95" customHeight="1" spans="1:36">
      <c r="A125" s="87">
        <f>IF(F125&lt;&gt;"",1+MAX($A$2:A124),"")</f>
        <v>109</v>
      </c>
      <c r="B125" s="89"/>
      <c r="C125" s="89"/>
      <c r="D125" s="69" t="s">
        <v>295</v>
      </c>
      <c r="E125" s="72">
        <v>1</v>
      </c>
      <c r="F125" s="90">
        <v>0</v>
      </c>
      <c r="G125" s="91">
        <v>1</v>
      </c>
      <c r="H125" s="70" t="s">
        <v>35</v>
      </c>
      <c r="I125" s="97">
        <v>0</v>
      </c>
      <c r="J125" s="98">
        <f t="shared" si="18"/>
        <v>0</v>
      </c>
      <c r="K125" s="99">
        <v>50</v>
      </c>
      <c r="L125" s="100">
        <f t="shared" si="19"/>
        <v>0</v>
      </c>
      <c r="M125" s="100">
        <f t="shared" si="20"/>
        <v>0</v>
      </c>
      <c r="N125" s="100">
        <v>0</v>
      </c>
      <c r="O125" s="100">
        <f t="shared" si="21"/>
        <v>0</v>
      </c>
      <c r="P125" s="100">
        <f t="shared" si="22"/>
        <v>0</v>
      </c>
      <c r="Q125" s="124">
        <f t="shared" si="23"/>
        <v>0</v>
      </c>
      <c r="R125" s="123"/>
      <c r="S125" s="123"/>
      <c r="T125" s="123"/>
      <c r="U125" s="123"/>
      <c r="V125" s="123"/>
      <c r="W125" s="123"/>
      <c r="X125" s="123"/>
      <c r="Y125" s="123"/>
      <c r="Z125" s="123"/>
      <c r="AA125" s="123"/>
      <c r="AB125" s="123"/>
      <c r="AC125" s="123"/>
      <c r="AD125" s="123"/>
      <c r="AE125" s="123"/>
      <c r="AF125" s="123"/>
      <c r="AG125" s="123"/>
      <c r="AH125" s="123"/>
      <c r="AI125" s="123"/>
      <c r="AJ125" s="123"/>
    </row>
    <row r="126" s="33" customFormat="1" ht="16.95" customHeight="1" spans="1:36">
      <c r="A126" s="87">
        <f>IF(F126&lt;&gt;"",1+MAX($A$2:A125),"")</f>
        <v>110</v>
      </c>
      <c r="B126" s="89"/>
      <c r="C126" s="89"/>
      <c r="D126" s="69" t="s">
        <v>295</v>
      </c>
      <c r="E126" s="72">
        <v>2</v>
      </c>
      <c r="F126" s="90">
        <v>0</v>
      </c>
      <c r="G126" s="91">
        <v>2</v>
      </c>
      <c r="H126" s="70" t="s">
        <v>35</v>
      </c>
      <c r="I126" s="97">
        <v>0</v>
      </c>
      <c r="J126" s="98">
        <f t="shared" si="18"/>
        <v>0</v>
      </c>
      <c r="K126" s="99">
        <v>50</v>
      </c>
      <c r="L126" s="100">
        <f t="shared" si="19"/>
        <v>0</v>
      </c>
      <c r="M126" s="100">
        <f t="shared" si="20"/>
        <v>0</v>
      </c>
      <c r="N126" s="100">
        <v>0</v>
      </c>
      <c r="O126" s="100">
        <f t="shared" si="21"/>
        <v>0</v>
      </c>
      <c r="P126" s="100">
        <f t="shared" si="22"/>
        <v>0</v>
      </c>
      <c r="Q126" s="124">
        <f t="shared" si="23"/>
        <v>0</v>
      </c>
      <c r="R126" s="123"/>
      <c r="S126" s="123"/>
      <c r="T126" s="123"/>
      <c r="U126" s="123"/>
      <c r="V126" s="123"/>
      <c r="W126" s="123"/>
      <c r="X126" s="123"/>
      <c r="Y126" s="123"/>
      <c r="Z126" s="123"/>
      <c r="AA126" s="123"/>
      <c r="AB126" s="123"/>
      <c r="AC126" s="123"/>
      <c r="AD126" s="123"/>
      <c r="AE126" s="123"/>
      <c r="AF126" s="123"/>
      <c r="AG126" s="123"/>
      <c r="AH126" s="123"/>
      <c r="AI126" s="123"/>
      <c r="AJ126" s="123"/>
    </row>
    <row r="127" s="33" customFormat="1" ht="16.95" customHeight="1" spans="1:36">
      <c r="A127" s="87">
        <f>IF(F127&lt;&gt;"",1+MAX($A$2:A126),"")</f>
        <v>111</v>
      </c>
      <c r="B127" s="89"/>
      <c r="C127" s="89"/>
      <c r="D127" s="69" t="s">
        <v>296</v>
      </c>
      <c r="E127" s="72">
        <v>1</v>
      </c>
      <c r="F127" s="90">
        <v>0</v>
      </c>
      <c r="G127" s="91">
        <v>1</v>
      </c>
      <c r="H127" s="70" t="s">
        <v>35</v>
      </c>
      <c r="I127" s="97">
        <v>0</v>
      </c>
      <c r="J127" s="98">
        <f t="shared" si="18"/>
        <v>0</v>
      </c>
      <c r="K127" s="99">
        <v>50</v>
      </c>
      <c r="L127" s="100">
        <f t="shared" si="19"/>
        <v>0</v>
      </c>
      <c r="M127" s="100">
        <f t="shared" si="20"/>
        <v>0</v>
      </c>
      <c r="N127" s="100">
        <v>0</v>
      </c>
      <c r="O127" s="100">
        <f t="shared" si="21"/>
        <v>0</v>
      </c>
      <c r="P127" s="100">
        <f t="shared" si="22"/>
        <v>0</v>
      </c>
      <c r="Q127" s="124">
        <f t="shared" si="23"/>
        <v>0</v>
      </c>
      <c r="R127" s="123"/>
      <c r="S127" s="123"/>
      <c r="T127" s="123"/>
      <c r="U127" s="123"/>
      <c r="V127" s="123"/>
      <c r="W127" s="123"/>
      <c r="X127" s="123"/>
      <c r="Y127" s="123"/>
      <c r="Z127" s="123"/>
      <c r="AA127" s="123"/>
      <c r="AB127" s="123"/>
      <c r="AC127" s="123"/>
      <c r="AD127" s="123"/>
      <c r="AE127" s="123"/>
      <c r="AF127" s="123"/>
      <c r="AG127" s="123"/>
      <c r="AH127" s="123"/>
      <c r="AI127" s="123"/>
      <c r="AJ127" s="123"/>
    </row>
    <row r="128" s="33" customFormat="1" ht="16.95" customHeight="1" spans="1:36">
      <c r="A128" s="87">
        <f>IF(F128&lt;&gt;"",1+MAX($A$2:A127),"")</f>
        <v>112</v>
      </c>
      <c r="B128" s="89"/>
      <c r="C128" s="89"/>
      <c r="D128" s="69" t="s">
        <v>297</v>
      </c>
      <c r="E128" s="72">
        <v>5</v>
      </c>
      <c r="F128" s="90">
        <v>0</v>
      </c>
      <c r="G128" s="91">
        <v>5</v>
      </c>
      <c r="H128" s="70" t="s">
        <v>35</v>
      </c>
      <c r="I128" s="97">
        <v>0</v>
      </c>
      <c r="J128" s="98">
        <f t="shared" si="18"/>
        <v>0</v>
      </c>
      <c r="K128" s="99">
        <v>50</v>
      </c>
      <c r="L128" s="100">
        <f t="shared" si="19"/>
        <v>0</v>
      </c>
      <c r="M128" s="100">
        <f t="shared" si="20"/>
        <v>0</v>
      </c>
      <c r="N128" s="100">
        <v>0</v>
      </c>
      <c r="O128" s="100">
        <f t="shared" si="21"/>
        <v>0</v>
      </c>
      <c r="P128" s="100">
        <f t="shared" si="22"/>
        <v>0</v>
      </c>
      <c r="Q128" s="124">
        <f t="shared" si="23"/>
        <v>0</v>
      </c>
      <c r="R128" s="123"/>
      <c r="S128" s="123"/>
      <c r="T128" s="123"/>
      <c r="U128" s="123"/>
      <c r="V128" s="123"/>
      <c r="W128" s="123"/>
      <c r="X128" s="123"/>
      <c r="Y128" s="123"/>
      <c r="Z128" s="123"/>
      <c r="AA128" s="123"/>
      <c r="AB128" s="123"/>
      <c r="AC128" s="123"/>
      <c r="AD128" s="123"/>
      <c r="AE128" s="123"/>
      <c r="AF128" s="123"/>
      <c r="AG128" s="123"/>
      <c r="AH128" s="123"/>
      <c r="AI128" s="123"/>
      <c r="AJ128" s="123"/>
    </row>
    <row r="129" s="33" customFormat="1" ht="16.95" customHeight="1" spans="1:36">
      <c r="A129" s="87">
        <f>IF(F129&lt;&gt;"",1+MAX($A$2:A128),"")</f>
        <v>113</v>
      </c>
      <c r="B129" s="89"/>
      <c r="C129" s="89"/>
      <c r="D129" s="69" t="s">
        <v>298</v>
      </c>
      <c r="E129" s="72">
        <v>3</v>
      </c>
      <c r="F129" s="90">
        <v>0</v>
      </c>
      <c r="G129" s="91">
        <v>3</v>
      </c>
      <c r="H129" s="70" t="s">
        <v>35</v>
      </c>
      <c r="I129" s="97">
        <v>0</v>
      </c>
      <c r="J129" s="98">
        <f t="shared" si="18"/>
        <v>0</v>
      </c>
      <c r="K129" s="99">
        <v>50</v>
      </c>
      <c r="L129" s="100">
        <f t="shared" si="19"/>
        <v>0</v>
      </c>
      <c r="M129" s="100">
        <f t="shared" si="20"/>
        <v>0</v>
      </c>
      <c r="N129" s="100">
        <v>0</v>
      </c>
      <c r="O129" s="100">
        <f t="shared" si="21"/>
        <v>0</v>
      </c>
      <c r="P129" s="100">
        <f t="shared" si="22"/>
        <v>0</v>
      </c>
      <c r="Q129" s="124">
        <f t="shared" si="23"/>
        <v>0</v>
      </c>
      <c r="R129" s="123"/>
      <c r="S129" s="123"/>
      <c r="T129" s="123"/>
      <c r="U129" s="123"/>
      <c r="V129" s="123"/>
      <c r="W129" s="123"/>
      <c r="X129" s="123"/>
      <c r="Y129" s="123"/>
      <c r="Z129" s="123"/>
      <c r="AA129" s="123"/>
      <c r="AB129" s="123"/>
      <c r="AC129" s="123"/>
      <c r="AD129" s="123"/>
      <c r="AE129" s="123"/>
      <c r="AF129" s="123"/>
      <c r="AG129" s="123"/>
      <c r="AH129" s="123"/>
      <c r="AI129" s="123"/>
      <c r="AJ129" s="123"/>
    </row>
    <row r="130" s="33" customFormat="1" ht="16.95" customHeight="1" spans="1:36">
      <c r="A130" s="87">
        <f>IF(F130&lt;&gt;"",1+MAX($A$2:A129),"")</f>
        <v>114</v>
      </c>
      <c r="B130" s="89"/>
      <c r="C130" s="89"/>
      <c r="D130" s="69" t="s">
        <v>299</v>
      </c>
      <c r="E130" s="72">
        <v>1</v>
      </c>
      <c r="F130" s="90">
        <v>0</v>
      </c>
      <c r="G130" s="91">
        <v>1</v>
      </c>
      <c r="H130" s="70" t="s">
        <v>35</v>
      </c>
      <c r="I130" s="97">
        <v>0</v>
      </c>
      <c r="J130" s="98">
        <f t="shared" si="18"/>
        <v>0</v>
      </c>
      <c r="K130" s="99">
        <v>50</v>
      </c>
      <c r="L130" s="100">
        <f t="shared" si="19"/>
        <v>0</v>
      </c>
      <c r="M130" s="100">
        <f t="shared" si="20"/>
        <v>0</v>
      </c>
      <c r="N130" s="100">
        <v>0</v>
      </c>
      <c r="O130" s="100">
        <f t="shared" si="21"/>
        <v>0</v>
      </c>
      <c r="P130" s="100">
        <f t="shared" si="22"/>
        <v>0</v>
      </c>
      <c r="Q130" s="124">
        <f t="shared" si="23"/>
        <v>0</v>
      </c>
      <c r="R130" s="123"/>
      <c r="S130" s="123"/>
      <c r="T130" s="123"/>
      <c r="U130" s="123"/>
      <c r="V130" s="123"/>
      <c r="W130" s="123"/>
      <c r="X130" s="123"/>
      <c r="Y130" s="123"/>
      <c r="Z130" s="123"/>
      <c r="AA130" s="123"/>
      <c r="AB130" s="123"/>
      <c r="AC130" s="123"/>
      <c r="AD130" s="123"/>
      <c r="AE130" s="123"/>
      <c r="AF130" s="123"/>
      <c r="AG130" s="123"/>
      <c r="AH130" s="123"/>
      <c r="AI130" s="123"/>
      <c r="AJ130" s="123"/>
    </row>
    <row r="131" s="33" customFormat="1" ht="16.95" customHeight="1" spans="1:36">
      <c r="A131" s="87">
        <f>IF(F131&lt;&gt;"",1+MAX($A$2:A130),"")</f>
        <v>115</v>
      </c>
      <c r="B131" s="89"/>
      <c r="C131" s="89"/>
      <c r="D131" s="69" t="s">
        <v>300</v>
      </c>
      <c r="E131" s="72">
        <v>1</v>
      </c>
      <c r="F131" s="90">
        <v>0</v>
      </c>
      <c r="G131" s="91">
        <v>1</v>
      </c>
      <c r="H131" s="70" t="s">
        <v>35</v>
      </c>
      <c r="I131" s="97">
        <v>0</v>
      </c>
      <c r="J131" s="98">
        <f t="shared" si="18"/>
        <v>0</v>
      </c>
      <c r="K131" s="99">
        <v>50</v>
      </c>
      <c r="L131" s="100">
        <f t="shared" si="19"/>
        <v>0</v>
      </c>
      <c r="M131" s="100">
        <f t="shared" si="20"/>
        <v>0</v>
      </c>
      <c r="N131" s="100">
        <v>0</v>
      </c>
      <c r="O131" s="100">
        <f t="shared" si="21"/>
        <v>0</v>
      </c>
      <c r="P131" s="100">
        <f t="shared" si="22"/>
        <v>0</v>
      </c>
      <c r="Q131" s="124">
        <f t="shared" si="23"/>
        <v>0</v>
      </c>
      <c r="R131" s="123"/>
      <c r="S131" s="123"/>
      <c r="T131" s="123"/>
      <c r="U131" s="123"/>
      <c r="V131" s="123"/>
      <c r="W131" s="123"/>
      <c r="X131" s="123"/>
      <c r="Y131" s="123"/>
      <c r="Z131" s="123"/>
      <c r="AA131" s="123"/>
      <c r="AB131" s="123"/>
      <c r="AC131" s="123"/>
      <c r="AD131" s="123"/>
      <c r="AE131" s="123"/>
      <c r="AF131" s="123"/>
      <c r="AG131" s="123"/>
      <c r="AH131" s="123"/>
      <c r="AI131" s="123"/>
      <c r="AJ131" s="123"/>
    </row>
    <row r="132" s="33" customFormat="1" ht="16.95" customHeight="1" spans="1:36">
      <c r="A132" s="87">
        <f>IF(F132&lt;&gt;"",1+MAX($A$2:A131),"")</f>
        <v>116</v>
      </c>
      <c r="B132" s="89"/>
      <c r="C132" s="89"/>
      <c r="D132" s="69" t="s">
        <v>301</v>
      </c>
      <c r="E132" s="72">
        <v>6</v>
      </c>
      <c r="F132" s="90">
        <v>0</v>
      </c>
      <c r="G132" s="91">
        <v>6</v>
      </c>
      <c r="H132" s="70" t="s">
        <v>35</v>
      </c>
      <c r="I132" s="97">
        <v>0</v>
      </c>
      <c r="J132" s="98">
        <f t="shared" si="18"/>
        <v>0</v>
      </c>
      <c r="K132" s="99">
        <v>50</v>
      </c>
      <c r="L132" s="100">
        <f t="shared" si="19"/>
        <v>0</v>
      </c>
      <c r="M132" s="100">
        <f t="shared" si="20"/>
        <v>0</v>
      </c>
      <c r="N132" s="100">
        <v>0</v>
      </c>
      <c r="O132" s="100">
        <f t="shared" si="21"/>
        <v>0</v>
      </c>
      <c r="P132" s="100">
        <f t="shared" si="22"/>
        <v>0</v>
      </c>
      <c r="Q132" s="124">
        <f t="shared" si="23"/>
        <v>0</v>
      </c>
      <c r="R132" s="123"/>
      <c r="S132" s="123"/>
      <c r="T132" s="123"/>
      <c r="U132" s="123"/>
      <c r="V132" s="123"/>
      <c r="W132" s="123"/>
      <c r="X132" s="123"/>
      <c r="Y132" s="123"/>
      <c r="Z132" s="123"/>
      <c r="AA132" s="123"/>
      <c r="AB132" s="123"/>
      <c r="AC132" s="123"/>
      <c r="AD132" s="123"/>
      <c r="AE132" s="123"/>
      <c r="AF132" s="123"/>
      <c r="AG132" s="123"/>
      <c r="AH132" s="123"/>
      <c r="AI132" s="123"/>
      <c r="AJ132" s="123"/>
    </row>
    <row r="133" s="33" customFormat="1" ht="16.95" customHeight="1" spans="1:36">
      <c r="A133" s="87">
        <f>IF(F133&lt;&gt;"",1+MAX($A$2:A132),"")</f>
        <v>117</v>
      </c>
      <c r="B133" s="89"/>
      <c r="C133" s="89"/>
      <c r="D133" s="69" t="s">
        <v>302</v>
      </c>
      <c r="E133" s="72">
        <v>3</v>
      </c>
      <c r="F133" s="90">
        <v>0</v>
      </c>
      <c r="G133" s="91">
        <v>3</v>
      </c>
      <c r="H133" s="70" t="s">
        <v>35</v>
      </c>
      <c r="I133" s="97">
        <v>0</v>
      </c>
      <c r="J133" s="98">
        <f t="shared" si="18"/>
        <v>0</v>
      </c>
      <c r="K133" s="99">
        <v>50</v>
      </c>
      <c r="L133" s="100">
        <f t="shared" si="19"/>
        <v>0</v>
      </c>
      <c r="M133" s="100">
        <f t="shared" si="20"/>
        <v>0</v>
      </c>
      <c r="N133" s="100">
        <v>0</v>
      </c>
      <c r="O133" s="100">
        <f t="shared" si="21"/>
        <v>0</v>
      </c>
      <c r="P133" s="100">
        <f t="shared" si="22"/>
        <v>0</v>
      </c>
      <c r="Q133" s="124">
        <f t="shared" si="23"/>
        <v>0</v>
      </c>
      <c r="R133" s="123"/>
      <c r="S133" s="123"/>
      <c r="T133" s="123"/>
      <c r="U133" s="123"/>
      <c r="V133" s="123"/>
      <c r="W133" s="123"/>
      <c r="X133" s="123"/>
      <c r="Y133" s="123"/>
      <c r="Z133" s="123"/>
      <c r="AA133" s="123"/>
      <c r="AB133" s="123"/>
      <c r="AC133" s="123"/>
      <c r="AD133" s="123"/>
      <c r="AE133" s="123"/>
      <c r="AF133" s="123"/>
      <c r="AG133" s="123"/>
      <c r="AH133" s="123"/>
      <c r="AI133" s="123"/>
      <c r="AJ133" s="123"/>
    </row>
    <row r="134" s="33" customFormat="1" ht="16.95" customHeight="1" spans="1:36">
      <c r="A134" s="87">
        <f>IF(F134&lt;&gt;"",1+MAX($A$2:A133),"")</f>
        <v>118</v>
      </c>
      <c r="B134" s="89"/>
      <c r="C134" s="89"/>
      <c r="D134" s="69" t="s">
        <v>303</v>
      </c>
      <c r="E134" s="72">
        <v>6</v>
      </c>
      <c r="F134" s="90">
        <v>0</v>
      </c>
      <c r="G134" s="91">
        <v>6</v>
      </c>
      <c r="H134" s="70" t="s">
        <v>35</v>
      </c>
      <c r="I134" s="97">
        <v>0</v>
      </c>
      <c r="J134" s="98">
        <f t="shared" si="18"/>
        <v>0</v>
      </c>
      <c r="K134" s="99">
        <v>50</v>
      </c>
      <c r="L134" s="100">
        <f t="shared" si="19"/>
        <v>0</v>
      </c>
      <c r="M134" s="100">
        <f t="shared" si="20"/>
        <v>0</v>
      </c>
      <c r="N134" s="100">
        <v>0</v>
      </c>
      <c r="O134" s="100">
        <f t="shared" si="21"/>
        <v>0</v>
      </c>
      <c r="P134" s="100">
        <f t="shared" si="22"/>
        <v>0</v>
      </c>
      <c r="Q134" s="124">
        <f t="shared" si="23"/>
        <v>0</v>
      </c>
      <c r="R134" s="123"/>
      <c r="S134" s="123"/>
      <c r="T134" s="123"/>
      <c r="U134" s="123"/>
      <c r="V134" s="123"/>
      <c r="W134" s="123"/>
      <c r="X134" s="123"/>
      <c r="Y134" s="123"/>
      <c r="Z134" s="123"/>
      <c r="AA134" s="123"/>
      <c r="AB134" s="123"/>
      <c r="AC134" s="123"/>
      <c r="AD134" s="123"/>
      <c r="AE134" s="123"/>
      <c r="AF134" s="123"/>
      <c r="AG134" s="123"/>
      <c r="AH134" s="123"/>
      <c r="AI134" s="123"/>
      <c r="AJ134" s="123"/>
    </row>
    <row r="135" s="33" customFormat="1" ht="16.95" customHeight="1" spans="1:36">
      <c r="A135" s="87">
        <f>IF(F135&lt;&gt;"",1+MAX($A$2:A134),"")</f>
        <v>119</v>
      </c>
      <c r="B135" s="89"/>
      <c r="C135" s="89"/>
      <c r="D135" s="69" t="s">
        <v>304</v>
      </c>
      <c r="E135" s="72">
        <v>2</v>
      </c>
      <c r="F135" s="90">
        <v>0</v>
      </c>
      <c r="G135" s="91">
        <v>2</v>
      </c>
      <c r="H135" s="70" t="s">
        <v>35</v>
      </c>
      <c r="I135" s="97">
        <v>0</v>
      </c>
      <c r="J135" s="98">
        <f t="shared" si="18"/>
        <v>0</v>
      </c>
      <c r="K135" s="99">
        <v>50</v>
      </c>
      <c r="L135" s="100">
        <f t="shared" si="19"/>
        <v>0</v>
      </c>
      <c r="M135" s="100">
        <f t="shared" si="20"/>
        <v>0</v>
      </c>
      <c r="N135" s="100">
        <v>0</v>
      </c>
      <c r="O135" s="100">
        <f t="shared" si="21"/>
        <v>0</v>
      </c>
      <c r="P135" s="100">
        <f t="shared" si="22"/>
        <v>0</v>
      </c>
      <c r="Q135" s="124">
        <f t="shared" si="23"/>
        <v>0</v>
      </c>
      <c r="R135" s="123"/>
      <c r="S135" s="123"/>
      <c r="T135" s="123"/>
      <c r="U135" s="123"/>
      <c r="V135" s="123"/>
      <c r="W135" s="123"/>
      <c r="X135" s="123"/>
      <c r="Y135" s="123"/>
      <c r="Z135" s="123"/>
      <c r="AA135" s="123"/>
      <c r="AB135" s="123"/>
      <c r="AC135" s="123"/>
      <c r="AD135" s="123"/>
      <c r="AE135" s="123"/>
      <c r="AF135" s="123"/>
      <c r="AG135" s="123"/>
      <c r="AH135" s="123"/>
      <c r="AI135" s="123"/>
      <c r="AJ135" s="123"/>
    </row>
    <row r="136" s="33" customFormat="1" ht="16.95" customHeight="1" spans="1:36">
      <c r="A136" s="87">
        <f>IF(F136&lt;&gt;"",1+MAX($A$2:A135),"")</f>
        <v>120</v>
      </c>
      <c r="B136" s="89"/>
      <c r="C136" s="89"/>
      <c r="D136" s="69" t="s">
        <v>305</v>
      </c>
      <c r="E136" s="72">
        <v>1</v>
      </c>
      <c r="F136" s="90">
        <v>0</v>
      </c>
      <c r="G136" s="91">
        <v>1</v>
      </c>
      <c r="H136" s="70" t="s">
        <v>35</v>
      </c>
      <c r="I136" s="97">
        <v>0</v>
      </c>
      <c r="J136" s="98">
        <f t="shared" si="18"/>
        <v>0</v>
      </c>
      <c r="K136" s="99">
        <v>50</v>
      </c>
      <c r="L136" s="100">
        <f t="shared" si="19"/>
        <v>0</v>
      </c>
      <c r="M136" s="100">
        <f t="shared" si="20"/>
        <v>0</v>
      </c>
      <c r="N136" s="100">
        <v>0</v>
      </c>
      <c r="O136" s="100">
        <f t="shared" si="21"/>
        <v>0</v>
      </c>
      <c r="P136" s="100">
        <f t="shared" si="22"/>
        <v>0</v>
      </c>
      <c r="Q136" s="124">
        <f t="shared" si="23"/>
        <v>0</v>
      </c>
      <c r="R136" s="123"/>
      <c r="S136" s="123"/>
      <c r="T136" s="123"/>
      <c r="U136" s="123"/>
      <c r="V136" s="123"/>
      <c r="W136" s="123"/>
      <c r="X136" s="123"/>
      <c r="Y136" s="123"/>
      <c r="Z136" s="123"/>
      <c r="AA136" s="123"/>
      <c r="AB136" s="123"/>
      <c r="AC136" s="123"/>
      <c r="AD136" s="123"/>
      <c r="AE136" s="123"/>
      <c r="AF136" s="123"/>
      <c r="AG136" s="123"/>
      <c r="AH136" s="123"/>
      <c r="AI136" s="123"/>
      <c r="AJ136" s="123"/>
    </row>
    <row r="137" s="33" customFormat="1" ht="16.95" customHeight="1" spans="1:36">
      <c r="A137" s="87">
        <f>IF(F137&lt;&gt;"",1+MAX($A$2:A136),"")</f>
        <v>121</v>
      </c>
      <c r="B137" s="89"/>
      <c r="C137" s="89"/>
      <c r="D137" s="69" t="s">
        <v>306</v>
      </c>
      <c r="E137" s="72">
        <v>1</v>
      </c>
      <c r="F137" s="90">
        <v>0</v>
      </c>
      <c r="G137" s="91">
        <v>1</v>
      </c>
      <c r="H137" s="70" t="s">
        <v>35</v>
      </c>
      <c r="I137" s="97">
        <v>0</v>
      </c>
      <c r="J137" s="98">
        <f t="shared" si="18"/>
        <v>0</v>
      </c>
      <c r="K137" s="99">
        <v>50</v>
      </c>
      <c r="L137" s="100">
        <f t="shared" si="19"/>
        <v>0</v>
      </c>
      <c r="M137" s="100">
        <f t="shared" si="20"/>
        <v>0</v>
      </c>
      <c r="N137" s="100">
        <v>0</v>
      </c>
      <c r="O137" s="100">
        <f t="shared" si="21"/>
        <v>0</v>
      </c>
      <c r="P137" s="100">
        <f t="shared" si="22"/>
        <v>0</v>
      </c>
      <c r="Q137" s="124">
        <f t="shared" si="23"/>
        <v>0</v>
      </c>
      <c r="R137" s="123"/>
      <c r="S137" s="123"/>
      <c r="T137" s="123"/>
      <c r="U137" s="123"/>
      <c r="V137" s="123"/>
      <c r="W137" s="123"/>
      <c r="X137" s="123"/>
      <c r="Y137" s="123"/>
      <c r="Z137" s="123"/>
      <c r="AA137" s="123"/>
      <c r="AB137" s="123"/>
      <c r="AC137" s="123"/>
      <c r="AD137" s="123"/>
      <c r="AE137" s="123"/>
      <c r="AF137" s="123"/>
      <c r="AG137" s="123"/>
      <c r="AH137" s="123"/>
      <c r="AI137" s="123"/>
      <c r="AJ137" s="123"/>
    </row>
    <row r="138" s="33" customFormat="1" ht="16.95" customHeight="1" spans="1:36">
      <c r="A138" s="87">
        <f>IF(F138&lt;&gt;"",1+MAX($A$2:A137),"")</f>
        <v>122</v>
      </c>
      <c r="B138" s="89"/>
      <c r="C138" s="89"/>
      <c r="D138" s="69" t="s">
        <v>307</v>
      </c>
      <c r="E138" s="72">
        <v>1</v>
      </c>
      <c r="F138" s="90">
        <v>0</v>
      </c>
      <c r="G138" s="91">
        <v>1</v>
      </c>
      <c r="H138" s="70" t="s">
        <v>35</v>
      </c>
      <c r="I138" s="97">
        <v>0</v>
      </c>
      <c r="J138" s="98">
        <f t="shared" si="18"/>
        <v>0</v>
      </c>
      <c r="K138" s="99">
        <v>50</v>
      </c>
      <c r="L138" s="100">
        <f t="shared" si="19"/>
        <v>0</v>
      </c>
      <c r="M138" s="100">
        <f t="shared" si="20"/>
        <v>0</v>
      </c>
      <c r="N138" s="100">
        <v>0</v>
      </c>
      <c r="O138" s="100">
        <f t="shared" si="21"/>
        <v>0</v>
      </c>
      <c r="P138" s="100">
        <f t="shared" si="22"/>
        <v>0</v>
      </c>
      <c r="Q138" s="124">
        <f t="shared" si="23"/>
        <v>0</v>
      </c>
      <c r="R138" s="123"/>
      <c r="S138" s="123"/>
      <c r="T138" s="123"/>
      <c r="U138" s="123"/>
      <c r="V138" s="123"/>
      <c r="W138" s="123"/>
      <c r="X138" s="123"/>
      <c r="Y138" s="123"/>
      <c r="Z138" s="123"/>
      <c r="AA138" s="123"/>
      <c r="AB138" s="123"/>
      <c r="AC138" s="123"/>
      <c r="AD138" s="123"/>
      <c r="AE138" s="123"/>
      <c r="AF138" s="123"/>
      <c r="AG138" s="123"/>
      <c r="AH138" s="123"/>
      <c r="AI138" s="123"/>
      <c r="AJ138" s="123"/>
    </row>
    <row r="139" s="33" customFormat="1" ht="16.95" customHeight="1" spans="1:36">
      <c r="A139" s="87">
        <f>IF(F139&lt;&gt;"",1+MAX($A$2:A138),"")</f>
        <v>123</v>
      </c>
      <c r="B139" s="89"/>
      <c r="C139" s="89"/>
      <c r="D139" s="69" t="s">
        <v>308</v>
      </c>
      <c r="E139" s="72">
        <v>1</v>
      </c>
      <c r="F139" s="90">
        <v>0</v>
      </c>
      <c r="G139" s="91">
        <v>1</v>
      </c>
      <c r="H139" s="70" t="s">
        <v>35</v>
      </c>
      <c r="I139" s="97">
        <v>0</v>
      </c>
      <c r="J139" s="98">
        <f t="shared" si="18"/>
        <v>0</v>
      </c>
      <c r="K139" s="99">
        <v>50</v>
      </c>
      <c r="L139" s="100">
        <f t="shared" si="19"/>
        <v>0</v>
      </c>
      <c r="M139" s="100">
        <f t="shared" si="20"/>
        <v>0</v>
      </c>
      <c r="N139" s="100">
        <v>0</v>
      </c>
      <c r="O139" s="100">
        <f t="shared" si="21"/>
        <v>0</v>
      </c>
      <c r="P139" s="100">
        <f t="shared" si="22"/>
        <v>0</v>
      </c>
      <c r="Q139" s="124">
        <f t="shared" si="23"/>
        <v>0</v>
      </c>
      <c r="R139" s="123"/>
      <c r="S139" s="123"/>
      <c r="T139" s="123"/>
      <c r="U139" s="123"/>
      <c r="V139" s="123"/>
      <c r="W139" s="123"/>
      <c r="X139" s="123"/>
      <c r="Y139" s="123"/>
      <c r="Z139" s="123"/>
      <c r="AA139" s="123"/>
      <c r="AB139" s="123"/>
      <c r="AC139" s="123"/>
      <c r="AD139" s="123"/>
      <c r="AE139" s="123"/>
      <c r="AF139" s="123"/>
      <c r="AG139" s="123"/>
      <c r="AH139" s="123"/>
      <c r="AI139" s="123"/>
      <c r="AJ139" s="123"/>
    </row>
    <row r="140" s="33" customFormat="1" ht="16.95" customHeight="1" spans="1:36">
      <c r="A140" s="87">
        <f>IF(F140&lt;&gt;"",1+MAX($A$2:A139),"")</f>
        <v>124</v>
      </c>
      <c r="B140" s="89"/>
      <c r="C140" s="89"/>
      <c r="D140" s="69" t="s">
        <v>309</v>
      </c>
      <c r="E140" s="72">
        <v>10</v>
      </c>
      <c r="F140" s="90">
        <v>0</v>
      </c>
      <c r="G140" s="91">
        <v>10</v>
      </c>
      <c r="H140" s="70" t="s">
        <v>35</v>
      </c>
      <c r="I140" s="97">
        <v>0</v>
      </c>
      <c r="J140" s="98">
        <f t="shared" si="18"/>
        <v>0</v>
      </c>
      <c r="K140" s="99">
        <v>50</v>
      </c>
      <c r="L140" s="100">
        <f t="shared" si="19"/>
        <v>0</v>
      </c>
      <c r="M140" s="100">
        <f t="shared" si="20"/>
        <v>0</v>
      </c>
      <c r="N140" s="100">
        <v>0</v>
      </c>
      <c r="O140" s="100">
        <f t="shared" si="21"/>
        <v>0</v>
      </c>
      <c r="P140" s="100">
        <f t="shared" si="22"/>
        <v>0</v>
      </c>
      <c r="Q140" s="124">
        <f t="shared" si="23"/>
        <v>0</v>
      </c>
      <c r="R140" s="123"/>
      <c r="S140" s="123"/>
      <c r="T140" s="123"/>
      <c r="U140" s="123"/>
      <c r="V140" s="123"/>
      <c r="W140" s="123"/>
      <c r="X140" s="123"/>
      <c r="Y140" s="123"/>
      <c r="Z140" s="123"/>
      <c r="AA140" s="123"/>
      <c r="AB140" s="123"/>
      <c r="AC140" s="123"/>
      <c r="AD140" s="123"/>
      <c r="AE140" s="123"/>
      <c r="AF140" s="123"/>
      <c r="AG140" s="123"/>
      <c r="AH140" s="123"/>
      <c r="AI140" s="123"/>
      <c r="AJ140" s="123"/>
    </row>
    <row r="141" s="33" customFormat="1" ht="16.95" customHeight="1" spans="1:36">
      <c r="A141" s="87">
        <f>IF(F141&lt;&gt;"",1+MAX($A$2:A140),"")</f>
        <v>125</v>
      </c>
      <c r="B141" s="89"/>
      <c r="C141" s="89"/>
      <c r="D141" s="69" t="s">
        <v>310</v>
      </c>
      <c r="E141" s="72">
        <v>1</v>
      </c>
      <c r="F141" s="90">
        <v>0</v>
      </c>
      <c r="G141" s="91">
        <v>1</v>
      </c>
      <c r="H141" s="70" t="s">
        <v>35</v>
      </c>
      <c r="I141" s="97">
        <v>0</v>
      </c>
      <c r="J141" s="98">
        <f t="shared" si="18"/>
        <v>0</v>
      </c>
      <c r="K141" s="99">
        <v>50</v>
      </c>
      <c r="L141" s="100">
        <f t="shared" si="19"/>
        <v>0</v>
      </c>
      <c r="M141" s="100">
        <f t="shared" si="20"/>
        <v>0</v>
      </c>
      <c r="N141" s="100">
        <v>0</v>
      </c>
      <c r="O141" s="100">
        <f t="shared" si="21"/>
        <v>0</v>
      </c>
      <c r="P141" s="100">
        <f t="shared" si="22"/>
        <v>0</v>
      </c>
      <c r="Q141" s="124">
        <f t="shared" si="23"/>
        <v>0</v>
      </c>
      <c r="R141" s="123"/>
      <c r="S141" s="123"/>
      <c r="T141" s="123"/>
      <c r="U141" s="123"/>
      <c r="V141" s="123"/>
      <c r="W141" s="123"/>
      <c r="X141" s="123"/>
      <c r="Y141" s="123"/>
      <c r="Z141" s="123"/>
      <c r="AA141" s="123"/>
      <c r="AB141" s="123"/>
      <c r="AC141" s="123"/>
      <c r="AD141" s="123"/>
      <c r="AE141" s="123"/>
      <c r="AF141" s="123"/>
      <c r="AG141" s="123"/>
      <c r="AH141" s="123"/>
      <c r="AI141" s="123"/>
      <c r="AJ141" s="123"/>
    </row>
    <row r="142" s="33" customFormat="1" ht="16.95" customHeight="1" spans="1:36">
      <c r="A142" s="87">
        <f>IF(F142&lt;&gt;"",1+MAX($A$2:A141),"")</f>
        <v>126</v>
      </c>
      <c r="B142" s="89"/>
      <c r="C142" s="89"/>
      <c r="D142" s="69" t="s">
        <v>311</v>
      </c>
      <c r="E142" s="72">
        <v>2</v>
      </c>
      <c r="F142" s="90">
        <v>0</v>
      </c>
      <c r="G142" s="91">
        <v>2</v>
      </c>
      <c r="H142" s="70" t="s">
        <v>35</v>
      </c>
      <c r="I142" s="97">
        <v>0</v>
      </c>
      <c r="J142" s="98">
        <f t="shared" si="18"/>
        <v>0</v>
      </c>
      <c r="K142" s="99">
        <v>50</v>
      </c>
      <c r="L142" s="100">
        <f t="shared" si="19"/>
        <v>0</v>
      </c>
      <c r="M142" s="100">
        <f t="shared" si="20"/>
        <v>0</v>
      </c>
      <c r="N142" s="100">
        <v>0</v>
      </c>
      <c r="O142" s="100">
        <f t="shared" si="21"/>
        <v>0</v>
      </c>
      <c r="P142" s="100">
        <f t="shared" si="22"/>
        <v>0</v>
      </c>
      <c r="Q142" s="124">
        <f t="shared" si="23"/>
        <v>0</v>
      </c>
      <c r="R142" s="123"/>
      <c r="S142" s="123"/>
      <c r="T142" s="123"/>
      <c r="U142" s="123"/>
      <c r="V142" s="123"/>
      <c r="W142" s="123"/>
      <c r="X142" s="123"/>
      <c r="Y142" s="123"/>
      <c r="Z142" s="123"/>
      <c r="AA142" s="123"/>
      <c r="AB142" s="123"/>
      <c r="AC142" s="123"/>
      <c r="AD142" s="123"/>
      <c r="AE142" s="123"/>
      <c r="AF142" s="123"/>
      <c r="AG142" s="123"/>
      <c r="AH142" s="123"/>
      <c r="AI142" s="123"/>
      <c r="AJ142" s="123"/>
    </row>
    <row r="143" s="33" customFormat="1" ht="16.95" customHeight="1" spans="1:36">
      <c r="A143" s="87">
        <f>IF(F143&lt;&gt;"",1+MAX($A$2:A142),"")</f>
        <v>127</v>
      </c>
      <c r="B143" s="89"/>
      <c r="C143" s="89"/>
      <c r="D143" s="69" t="s">
        <v>312</v>
      </c>
      <c r="E143" s="72">
        <v>2</v>
      </c>
      <c r="F143" s="90">
        <v>0</v>
      </c>
      <c r="G143" s="91">
        <v>2</v>
      </c>
      <c r="H143" s="70" t="s">
        <v>35</v>
      </c>
      <c r="I143" s="97">
        <v>0</v>
      </c>
      <c r="J143" s="98">
        <f t="shared" si="18"/>
        <v>0</v>
      </c>
      <c r="K143" s="99">
        <v>50</v>
      </c>
      <c r="L143" s="100">
        <f t="shared" si="19"/>
        <v>0</v>
      </c>
      <c r="M143" s="100">
        <f t="shared" si="20"/>
        <v>0</v>
      </c>
      <c r="N143" s="100">
        <v>0</v>
      </c>
      <c r="O143" s="100">
        <f t="shared" si="21"/>
        <v>0</v>
      </c>
      <c r="P143" s="100">
        <f t="shared" si="22"/>
        <v>0</v>
      </c>
      <c r="Q143" s="124">
        <f t="shared" si="23"/>
        <v>0</v>
      </c>
      <c r="R143" s="123"/>
      <c r="S143" s="123"/>
      <c r="T143" s="123"/>
      <c r="U143" s="123"/>
      <c r="V143" s="123"/>
      <c r="W143" s="123"/>
      <c r="X143" s="123"/>
      <c r="Y143" s="123"/>
      <c r="Z143" s="123"/>
      <c r="AA143" s="123"/>
      <c r="AB143" s="123"/>
      <c r="AC143" s="123"/>
      <c r="AD143" s="123"/>
      <c r="AE143" s="123"/>
      <c r="AF143" s="123"/>
      <c r="AG143" s="123"/>
      <c r="AH143" s="123"/>
      <c r="AI143" s="123"/>
      <c r="AJ143" s="123"/>
    </row>
    <row r="144" s="33" customFormat="1" ht="16.95" customHeight="1" spans="1:36">
      <c r="A144" s="87">
        <f>IF(F144&lt;&gt;"",1+MAX($A$2:A143),"")</f>
        <v>128</v>
      </c>
      <c r="B144" s="89"/>
      <c r="C144" s="89"/>
      <c r="D144" s="69" t="s">
        <v>313</v>
      </c>
      <c r="E144" s="72">
        <v>4</v>
      </c>
      <c r="F144" s="90">
        <v>0</v>
      </c>
      <c r="G144" s="91">
        <v>4</v>
      </c>
      <c r="H144" s="70" t="s">
        <v>35</v>
      </c>
      <c r="I144" s="97">
        <v>0</v>
      </c>
      <c r="J144" s="98">
        <f t="shared" si="18"/>
        <v>0</v>
      </c>
      <c r="K144" s="99">
        <v>50</v>
      </c>
      <c r="L144" s="100">
        <f t="shared" si="19"/>
        <v>0</v>
      </c>
      <c r="M144" s="100">
        <f t="shared" si="20"/>
        <v>0</v>
      </c>
      <c r="N144" s="100">
        <v>0</v>
      </c>
      <c r="O144" s="100">
        <f t="shared" si="21"/>
        <v>0</v>
      </c>
      <c r="P144" s="100">
        <f t="shared" si="22"/>
        <v>0</v>
      </c>
      <c r="Q144" s="124">
        <f t="shared" si="23"/>
        <v>0</v>
      </c>
      <c r="R144" s="123"/>
      <c r="S144" s="123"/>
      <c r="T144" s="123"/>
      <c r="U144" s="123"/>
      <c r="V144" s="123"/>
      <c r="W144" s="123"/>
      <c r="X144" s="123"/>
      <c r="Y144" s="123"/>
      <c r="Z144" s="123"/>
      <c r="AA144" s="123"/>
      <c r="AB144" s="123"/>
      <c r="AC144" s="123"/>
      <c r="AD144" s="123"/>
      <c r="AE144" s="123"/>
      <c r="AF144" s="123"/>
      <c r="AG144" s="123"/>
      <c r="AH144" s="123"/>
      <c r="AI144" s="123"/>
      <c r="AJ144" s="123"/>
    </row>
    <row r="145" s="33" customFormat="1" ht="16.95" customHeight="1" spans="1:36">
      <c r="A145" s="87">
        <f>IF(F145&lt;&gt;"",1+MAX($A$2:A144),"")</f>
        <v>129</v>
      </c>
      <c r="B145" s="89"/>
      <c r="C145" s="89"/>
      <c r="D145" s="69" t="s">
        <v>314</v>
      </c>
      <c r="E145" s="72">
        <v>4</v>
      </c>
      <c r="F145" s="90">
        <v>0</v>
      </c>
      <c r="G145" s="91">
        <v>4</v>
      </c>
      <c r="H145" s="70" t="s">
        <v>35</v>
      </c>
      <c r="I145" s="97">
        <v>0</v>
      </c>
      <c r="J145" s="98">
        <f t="shared" si="18"/>
        <v>0</v>
      </c>
      <c r="K145" s="99">
        <v>50</v>
      </c>
      <c r="L145" s="100">
        <f t="shared" si="19"/>
        <v>0</v>
      </c>
      <c r="M145" s="100">
        <f t="shared" si="20"/>
        <v>0</v>
      </c>
      <c r="N145" s="100">
        <v>0</v>
      </c>
      <c r="O145" s="100">
        <f t="shared" si="21"/>
        <v>0</v>
      </c>
      <c r="P145" s="100">
        <f t="shared" si="22"/>
        <v>0</v>
      </c>
      <c r="Q145" s="124">
        <f t="shared" si="23"/>
        <v>0</v>
      </c>
      <c r="R145" s="123"/>
      <c r="S145" s="123"/>
      <c r="T145" s="123"/>
      <c r="U145" s="123"/>
      <c r="V145" s="123"/>
      <c r="W145" s="123"/>
      <c r="X145" s="123"/>
      <c r="Y145" s="123"/>
      <c r="Z145" s="123"/>
      <c r="AA145" s="123"/>
      <c r="AB145" s="123"/>
      <c r="AC145" s="123"/>
      <c r="AD145" s="123"/>
      <c r="AE145" s="123"/>
      <c r="AF145" s="123"/>
      <c r="AG145" s="123"/>
      <c r="AH145" s="123"/>
      <c r="AI145" s="123"/>
      <c r="AJ145" s="123"/>
    </row>
    <row r="146" s="33" customFormat="1" ht="16.95" customHeight="1" spans="1:36">
      <c r="A146" s="87">
        <f>IF(F146&lt;&gt;"",1+MAX($A$2:A145),"")</f>
        <v>130</v>
      </c>
      <c r="B146" s="89"/>
      <c r="C146" s="89"/>
      <c r="D146" s="69" t="s">
        <v>315</v>
      </c>
      <c r="E146" s="72">
        <v>2</v>
      </c>
      <c r="F146" s="90">
        <v>0</v>
      </c>
      <c r="G146" s="91">
        <v>2</v>
      </c>
      <c r="H146" s="70" t="s">
        <v>35</v>
      </c>
      <c r="I146" s="97">
        <v>0</v>
      </c>
      <c r="J146" s="98">
        <f t="shared" si="18"/>
        <v>0</v>
      </c>
      <c r="K146" s="99">
        <v>50</v>
      </c>
      <c r="L146" s="100">
        <f t="shared" si="19"/>
        <v>0</v>
      </c>
      <c r="M146" s="100">
        <f t="shared" si="20"/>
        <v>0</v>
      </c>
      <c r="N146" s="100">
        <v>0</v>
      </c>
      <c r="O146" s="100">
        <f t="shared" si="21"/>
        <v>0</v>
      </c>
      <c r="P146" s="100">
        <f t="shared" si="22"/>
        <v>0</v>
      </c>
      <c r="Q146" s="124">
        <f t="shared" si="23"/>
        <v>0</v>
      </c>
      <c r="R146" s="123"/>
      <c r="S146" s="123"/>
      <c r="T146" s="123"/>
      <c r="U146" s="123"/>
      <c r="V146" s="123"/>
      <c r="W146" s="123"/>
      <c r="X146" s="123"/>
      <c r="Y146" s="123"/>
      <c r="Z146" s="123"/>
      <c r="AA146" s="123"/>
      <c r="AB146" s="123"/>
      <c r="AC146" s="123"/>
      <c r="AD146" s="123"/>
      <c r="AE146" s="123"/>
      <c r="AF146" s="123"/>
      <c r="AG146" s="123"/>
      <c r="AH146" s="123"/>
      <c r="AI146" s="123"/>
      <c r="AJ146" s="123"/>
    </row>
    <row r="147" s="33" customFormat="1" ht="16.95" customHeight="1" spans="1:36">
      <c r="A147" s="87">
        <f>IF(F147&lt;&gt;"",1+MAX($A$2:A146),"")</f>
        <v>131</v>
      </c>
      <c r="B147" s="89"/>
      <c r="C147" s="89"/>
      <c r="D147" s="69" t="s">
        <v>316</v>
      </c>
      <c r="E147" s="72">
        <v>1</v>
      </c>
      <c r="F147" s="90">
        <v>0</v>
      </c>
      <c r="G147" s="91">
        <v>1</v>
      </c>
      <c r="H147" s="70" t="s">
        <v>35</v>
      </c>
      <c r="I147" s="97">
        <v>0</v>
      </c>
      <c r="J147" s="98">
        <f t="shared" si="18"/>
        <v>0</v>
      </c>
      <c r="K147" s="99">
        <v>50</v>
      </c>
      <c r="L147" s="100">
        <f t="shared" si="19"/>
        <v>0</v>
      </c>
      <c r="M147" s="100">
        <f t="shared" si="20"/>
        <v>0</v>
      </c>
      <c r="N147" s="100">
        <v>0</v>
      </c>
      <c r="O147" s="100">
        <f t="shared" si="21"/>
        <v>0</v>
      </c>
      <c r="P147" s="100">
        <f t="shared" si="22"/>
        <v>0</v>
      </c>
      <c r="Q147" s="124">
        <f t="shared" si="23"/>
        <v>0</v>
      </c>
      <c r="R147" s="123"/>
      <c r="S147" s="123"/>
      <c r="T147" s="123"/>
      <c r="U147" s="123"/>
      <c r="V147" s="123"/>
      <c r="W147" s="123"/>
      <c r="X147" s="123"/>
      <c r="Y147" s="123"/>
      <c r="Z147" s="123"/>
      <c r="AA147" s="123"/>
      <c r="AB147" s="123"/>
      <c r="AC147" s="123"/>
      <c r="AD147" s="123"/>
      <c r="AE147" s="123"/>
      <c r="AF147" s="123"/>
      <c r="AG147" s="123"/>
      <c r="AH147" s="123"/>
      <c r="AI147" s="123"/>
      <c r="AJ147" s="123"/>
    </row>
    <row r="148" s="33" customFormat="1" ht="16.95" customHeight="1" spans="1:36">
      <c r="A148" s="87">
        <f>IF(F148&lt;&gt;"",1+MAX($A$2:A147),"")</f>
        <v>132</v>
      </c>
      <c r="B148" s="89"/>
      <c r="C148" s="89"/>
      <c r="D148" s="69" t="s">
        <v>317</v>
      </c>
      <c r="E148" s="72">
        <v>1</v>
      </c>
      <c r="F148" s="90">
        <v>0</v>
      </c>
      <c r="G148" s="91">
        <v>1</v>
      </c>
      <c r="H148" s="70" t="s">
        <v>35</v>
      </c>
      <c r="I148" s="97">
        <v>0</v>
      </c>
      <c r="J148" s="98">
        <f t="shared" si="18"/>
        <v>0</v>
      </c>
      <c r="K148" s="99">
        <v>50</v>
      </c>
      <c r="L148" s="100">
        <f t="shared" si="19"/>
        <v>0</v>
      </c>
      <c r="M148" s="100">
        <f t="shared" si="20"/>
        <v>0</v>
      </c>
      <c r="N148" s="100">
        <v>0</v>
      </c>
      <c r="O148" s="100">
        <f t="shared" si="21"/>
        <v>0</v>
      </c>
      <c r="P148" s="100">
        <f t="shared" si="22"/>
        <v>0</v>
      </c>
      <c r="Q148" s="124">
        <f t="shared" si="23"/>
        <v>0</v>
      </c>
      <c r="R148" s="123"/>
      <c r="S148" s="123"/>
      <c r="T148" s="123"/>
      <c r="U148" s="123"/>
      <c r="V148" s="123"/>
      <c r="W148" s="123"/>
      <c r="X148" s="123"/>
      <c r="Y148" s="123"/>
      <c r="Z148" s="123"/>
      <c r="AA148" s="123"/>
      <c r="AB148" s="123"/>
      <c r="AC148" s="123"/>
      <c r="AD148" s="123"/>
      <c r="AE148" s="123"/>
      <c r="AF148" s="123"/>
      <c r="AG148" s="123"/>
      <c r="AH148" s="123"/>
      <c r="AI148" s="123"/>
      <c r="AJ148" s="123"/>
    </row>
    <row r="149" s="33" customFormat="1" ht="16.95" customHeight="1" spans="1:36">
      <c r="A149" s="87">
        <f>IF(F149&lt;&gt;"",1+MAX($A$2:A148),"")</f>
        <v>133</v>
      </c>
      <c r="B149" s="89"/>
      <c r="C149" s="89"/>
      <c r="D149" s="69" t="s">
        <v>318</v>
      </c>
      <c r="E149" s="72">
        <v>1</v>
      </c>
      <c r="F149" s="90">
        <v>0</v>
      </c>
      <c r="G149" s="91">
        <v>1</v>
      </c>
      <c r="H149" s="70" t="s">
        <v>35</v>
      </c>
      <c r="I149" s="97">
        <v>0</v>
      </c>
      <c r="J149" s="98">
        <f t="shared" si="18"/>
        <v>0</v>
      </c>
      <c r="K149" s="99">
        <v>50</v>
      </c>
      <c r="L149" s="100">
        <f t="shared" si="19"/>
        <v>0</v>
      </c>
      <c r="M149" s="100">
        <f t="shared" si="20"/>
        <v>0</v>
      </c>
      <c r="N149" s="100">
        <v>0</v>
      </c>
      <c r="O149" s="100">
        <f t="shared" si="21"/>
        <v>0</v>
      </c>
      <c r="P149" s="100">
        <f t="shared" si="22"/>
        <v>0</v>
      </c>
      <c r="Q149" s="124">
        <f t="shared" si="23"/>
        <v>0</v>
      </c>
      <c r="R149" s="123"/>
      <c r="S149" s="123"/>
      <c r="T149" s="123"/>
      <c r="U149" s="123"/>
      <c r="V149" s="123"/>
      <c r="W149" s="123"/>
      <c r="X149" s="123"/>
      <c r="Y149" s="123"/>
      <c r="Z149" s="123"/>
      <c r="AA149" s="123"/>
      <c r="AB149" s="123"/>
      <c r="AC149" s="123"/>
      <c r="AD149" s="123"/>
      <c r="AE149" s="123"/>
      <c r="AF149" s="123"/>
      <c r="AG149" s="123"/>
      <c r="AH149" s="123"/>
      <c r="AI149" s="123"/>
      <c r="AJ149" s="123"/>
    </row>
    <row r="150" s="33" customFormat="1" ht="16.95" customHeight="1" spans="1:36">
      <c r="A150" s="87">
        <f>IF(F150&lt;&gt;"",1+MAX($A$2:A149),"")</f>
        <v>134</v>
      </c>
      <c r="B150" s="89"/>
      <c r="C150" s="89"/>
      <c r="D150" s="69" t="s">
        <v>319</v>
      </c>
      <c r="E150" s="72">
        <v>2</v>
      </c>
      <c r="F150" s="90">
        <v>0</v>
      </c>
      <c r="G150" s="91">
        <v>2</v>
      </c>
      <c r="H150" s="70" t="s">
        <v>35</v>
      </c>
      <c r="I150" s="97">
        <v>0</v>
      </c>
      <c r="J150" s="98">
        <f t="shared" si="18"/>
        <v>0</v>
      </c>
      <c r="K150" s="99">
        <v>50</v>
      </c>
      <c r="L150" s="100">
        <f t="shared" si="19"/>
        <v>0</v>
      </c>
      <c r="M150" s="100">
        <f t="shared" si="20"/>
        <v>0</v>
      </c>
      <c r="N150" s="100">
        <v>0</v>
      </c>
      <c r="O150" s="100">
        <f t="shared" si="21"/>
        <v>0</v>
      </c>
      <c r="P150" s="100">
        <f t="shared" si="22"/>
        <v>0</v>
      </c>
      <c r="Q150" s="124">
        <f t="shared" si="23"/>
        <v>0</v>
      </c>
      <c r="R150" s="123"/>
      <c r="S150" s="123"/>
      <c r="T150" s="123"/>
      <c r="U150" s="123"/>
      <c r="V150" s="123"/>
      <c r="W150" s="123"/>
      <c r="X150" s="123"/>
      <c r="Y150" s="123"/>
      <c r="Z150" s="123"/>
      <c r="AA150" s="123"/>
      <c r="AB150" s="123"/>
      <c r="AC150" s="123"/>
      <c r="AD150" s="123"/>
      <c r="AE150" s="123"/>
      <c r="AF150" s="123"/>
      <c r="AG150" s="123"/>
      <c r="AH150" s="123"/>
      <c r="AI150" s="123"/>
      <c r="AJ150" s="123"/>
    </row>
    <row r="151" s="33" customFormat="1" ht="16.95" customHeight="1" spans="1:36">
      <c r="A151" s="87">
        <f>IF(F151&lt;&gt;"",1+MAX($A$2:A150),"")</f>
        <v>135</v>
      </c>
      <c r="B151" s="89"/>
      <c r="C151" s="89"/>
      <c r="D151" s="69" t="s">
        <v>320</v>
      </c>
      <c r="E151" s="72">
        <v>1</v>
      </c>
      <c r="F151" s="90">
        <v>0</v>
      </c>
      <c r="G151" s="91">
        <v>1</v>
      </c>
      <c r="H151" s="70" t="s">
        <v>35</v>
      </c>
      <c r="I151" s="97">
        <v>0</v>
      </c>
      <c r="J151" s="98">
        <f t="shared" si="18"/>
        <v>0</v>
      </c>
      <c r="K151" s="99">
        <v>50</v>
      </c>
      <c r="L151" s="100">
        <f t="shared" si="19"/>
        <v>0</v>
      </c>
      <c r="M151" s="100">
        <f t="shared" si="20"/>
        <v>0</v>
      </c>
      <c r="N151" s="100">
        <v>0</v>
      </c>
      <c r="O151" s="100">
        <f t="shared" si="21"/>
        <v>0</v>
      </c>
      <c r="P151" s="100">
        <f t="shared" si="22"/>
        <v>0</v>
      </c>
      <c r="Q151" s="124">
        <f t="shared" si="23"/>
        <v>0</v>
      </c>
      <c r="R151" s="123"/>
      <c r="S151" s="123"/>
      <c r="T151" s="123"/>
      <c r="U151" s="123"/>
      <c r="V151" s="123"/>
      <c r="W151" s="123"/>
      <c r="X151" s="123"/>
      <c r="Y151" s="123"/>
      <c r="Z151" s="123"/>
      <c r="AA151" s="123"/>
      <c r="AB151" s="123"/>
      <c r="AC151" s="123"/>
      <c r="AD151" s="123"/>
      <c r="AE151" s="123"/>
      <c r="AF151" s="123"/>
      <c r="AG151" s="123"/>
      <c r="AH151" s="123"/>
      <c r="AI151" s="123"/>
      <c r="AJ151" s="123"/>
    </row>
    <row r="152" s="33" customFormat="1" ht="16.95" customHeight="1" spans="1:36">
      <c r="A152" s="87">
        <f>IF(F152&lt;&gt;"",1+MAX($A$2:A151),"")</f>
        <v>136</v>
      </c>
      <c r="B152" s="89"/>
      <c r="C152" s="89"/>
      <c r="D152" s="69" t="s">
        <v>321</v>
      </c>
      <c r="E152" s="72">
        <v>16</v>
      </c>
      <c r="F152" s="90">
        <v>0</v>
      </c>
      <c r="G152" s="91">
        <v>16</v>
      </c>
      <c r="H152" s="70" t="s">
        <v>35</v>
      </c>
      <c r="I152" s="97">
        <v>0</v>
      </c>
      <c r="J152" s="98">
        <f t="shared" si="18"/>
        <v>0</v>
      </c>
      <c r="K152" s="99">
        <v>50</v>
      </c>
      <c r="L152" s="100">
        <f t="shared" si="19"/>
        <v>0</v>
      </c>
      <c r="M152" s="100">
        <f t="shared" si="20"/>
        <v>0</v>
      </c>
      <c r="N152" s="100">
        <v>0</v>
      </c>
      <c r="O152" s="100">
        <f t="shared" si="21"/>
        <v>0</v>
      </c>
      <c r="P152" s="100">
        <f t="shared" si="22"/>
        <v>0</v>
      </c>
      <c r="Q152" s="124">
        <f t="shared" si="23"/>
        <v>0</v>
      </c>
      <c r="R152" s="123"/>
      <c r="S152" s="123"/>
      <c r="T152" s="123"/>
      <c r="U152" s="123"/>
      <c r="V152" s="123"/>
      <c r="W152" s="123"/>
      <c r="X152" s="123"/>
      <c r="Y152" s="123"/>
      <c r="Z152" s="123"/>
      <c r="AA152" s="123"/>
      <c r="AB152" s="123"/>
      <c r="AC152" s="123"/>
      <c r="AD152" s="123"/>
      <c r="AE152" s="123"/>
      <c r="AF152" s="123"/>
      <c r="AG152" s="123"/>
      <c r="AH152" s="123"/>
      <c r="AI152" s="123"/>
      <c r="AJ152" s="123"/>
    </row>
    <row r="153" s="33" customFormat="1" ht="16.95" customHeight="1" spans="1:36">
      <c r="A153" s="87">
        <f>IF(F153&lt;&gt;"",1+MAX($A$2:A152),"")</f>
        <v>137</v>
      </c>
      <c r="B153" s="89"/>
      <c r="C153" s="89"/>
      <c r="D153" s="69" t="s">
        <v>322</v>
      </c>
      <c r="E153" s="72">
        <v>4</v>
      </c>
      <c r="F153" s="90">
        <v>0</v>
      </c>
      <c r="G153" s="91">
        <v>4</v>
      </c>
      <c r="H153" s="70" t="s">
        <v>35</v>
      </c>
      <c r="I153" s="97">
        <v>0</v>
      </c>
      <c r="J153" s="98">
        <f t="shared" si="18"/>
        <v>0</v>
      </c>
      <c r="K153" s="99">
        <v>50</v>
      </c>
      <c r="L153" s="100">
        <f t="shared" si="19"/>
        <v>0</v>
      </c>
      <c r="M153" s="100">
        <f t="shared" si="20"/>
        <v>0</v>
      </c>
      <c r="N153" s="100">
        <v>0</v>
      </c>
      <c r="O153" s="100">
        <f t="shared" si="21"/>
        <v>0</v>
      </c>
      <c r="P153" s="100">
        <f t="shared" si="22"/>
        <v>0</v>
      </c>
      <c r="Q153" s="124">
        <f t="shared" si="23"/>
        <v>0</v>
      </c>
      <c r="R153" s="123"/>
      <c r="S153" s="123"/>
      <c r="T153" s="123"/>
      <c r="U153" s="123"/>
      <c r="V153" s="123"/>
      <c r="W153" s="123"/>
      <c r="X153" s="123"/>
      <c r="Y153" s="123"/>
      <c r="Z153" s="123"/>
      <c r="AA153" s="123"/>
      <c r="AB153" s="123"/>
      <c r="AC153" s="123"/>
      <c r="AD153" s="123"/>
      <c r="AE153" s="123"/>
      <c r="AF153" s="123"/>
      <c r="AG153" s="123"/>
      <c r="AH153" s="123"/>
      <c r="AI153" s="123"/>
      <c r="AJ153" s="123"/>
    </row>
    <row r="154" s="33" customFormat="1" ht="16.95" customHeight="1" spans="1:36">
      <c r="A154" s="87">
        <f>IF(F154&lt;&gt;"",1+MAX($A$2:A153),"")</f>
        <v>138</v>
      </c>
      <c r="B154" s="89"/>
      <c r="C154" s="89"/>
      <c r="D154" s="69" t="s">
        <v>323</v>
      </c>
      <c r="E154" s="72">
        <v>1</v>
      </c>
      <c r="F154" s="90">
        <v>0</v>
      </c>
      <c r="G154" s="91">
        <v>1</v>
      </c>
      <c r="H154" s="70" t="s">
        <v>35</v>
      </c>
      <c r="I154" s="97">
        <v>0</v>
      </c>
      <c r="J154" s="98">
        <f t="shared" si="18"/>
        <v>0</v>
      </c>
      <c r="K154" s="99">
        <v>50</v>
      </c>
      <c r="L154" s="100">
        <f t="shared" si="19"/>
        <v>0</v>
      </c>
      <c r="M154" s="100">
        <f t="shared" si="20"/>
        <v>0</v>
      </c>
      <c r="N154" s="100">
        <v>0</v>
      </c>
      <c r="O154" s="100">
        <f t="shared" si="21"/>
        <v>0</v>
      </c>
      <c r="P154" s="100">
        <f t="shared" si="22"/>
        <v>0</v>
      </c>
      <c r="Q154" s="124">
        <f t="shared" si="23"/>
        <v>0</v>
      </c>
      <c r="R154" s="123"/>
      <c r="S154" s="123"/>
      <c r="T154" s="123"/>
      <c r="U154" s="123"/>
      <c r="V154" s="123"/>
      <c r="W154" s="123"/>
      <c r="X154" s="123"/>
      <c r="Y154" s="123"/>
      <c r="Z154" s="123"/>
      <c r="AA154" s="123"/>
      <c r="AB154" s="123"/>
      <c r="AC154" s="123"/>
      <c r="AD154" s="123"/>
      <c r="AE154" s="123"/>
      <c r="AF154" s="123"/>
      <c r="AG154" s="123"/>
      <c r="AH154" s="123"/>
      <c r="AI154" s="123"/>
      <c r="AJ154" s="123"/>
    </row>
    <row r="155" s="33" customFormat="1" ht="16.95" customHeight="1" spans="1:36">
      <c r="A155" s="87">
        <f>IF(F155&lt;&gt;"",1+MAX($A$2:A154),"")</f>
        <v>139</v>
      </c>
      <c r="B155" s="89"/>
      <c r="C155" s="89"/>
      <c r="D155" s="69" t="s">
        <v>324</v>
      </c>
      <c r="E155" s="72">
        <v>1</v>
      </c>
      <c r="F155" s="90">
        <v>0</v>
      </c>
      <c r="G155" s="91">
        <v>1</v>
      </c>
      <c r="H155" s="70" t="s">
        <v>35</v>
      </c>
      <c r="I155" s="97">
        <v>0</v>
      </c>
      <c r="J155" s="98">
        <f t="shared" si="18"/>
        <v>0</v>
      </c>
      <c r="K155" s="99">
        <v>50</v>
      </c>
      <c r="L155" s="100">
        <f t="shared" si="19"/>
        <v>0</v>
      </c>
      <c r="M155" s="100">
        <f t="shared" si="20"/>
        <v>0</v>
      </c>
      <c r="N155" s="100">
        <v>0</v>
      </c>
      <c r="O155" s="100">
        <f t="shared" si="21"/>
        <v>0</v>
      </c>
      <c r="P155" s="100">
        <f t="shared" si="22"/>
        <v>0</v>
      </c>
      <c r="Q155" s="124">
        <f t="shared" si="23"/>
        <v>0</v>
      </c>
      <c r="R155" s="123"/>
      <c r="S155" s="123"/>
      <c r="T155" s="123"/>
      <c r="U155" s="123"/>
      <c r="V155" s="123"/>
      <c r="W155" s="123"/>
      <c r="X155" s="123"/>
      <c r="Y155" s="123"/>
      <c r="Z155" s="123"/>
      <c r="AA155" s="123"/>
      <c r="AB155" s="123"/>
      <c r="AC155" s="123"/>
      <c r="AD155" s="123"/>
      <c r="AE155" s="123"/>
      <c r="AF155" s="123"/>
      <c r="AG155" s="123"/>
      <c r="AH155" s="123"/>
      <c r="AI155" s="123"/>
      <c r="AJ155" s="123"/>
    </row>
    <row r="156" s="33" customFormat="1" ht="16.95" customHeight="1" spans="1:36">
      <c r="A156" s="87">
        <f>IF(F156&lt;&gt;"",1+MAX($A$2:A155),"")</f>
        <v>140</v>
      </c>
      <c r="B156" s="89"/>
      <c r="C156" s="89"/>
      <c r="D156" s="69" t="s">
        <v>325</v>
      </c>
      <c r="E156" s="72">
        <v>1</v>
      </c>
      <c r="F156" s="90">
        <v>0</v>
      </c>
      <c r="G156" s="91">
        <v>1</v>
      </c>
      <c r="H156" s="70" t="s">
        <v>35</v>
      </c>
      <c r="I156" s="97">
        <v>0</v>
      </c>
      <c r="J156" s="98">
        <f t="shared" si="18"/>
        <v>0</v>
      </c>
      <c r="K156" s="99">
        <v>50</v>
      </c>
      <c r="L156" s="100">
        <f t="shared" si="19"/>
        <v>0</v>
      </c>
      <c r="M156" s="100">
        <f t="shared" si="20"/>
        <v>0</v>
      </c>
      <c r="N156" s="100">
        <v>0</v>
      </c>
      <c r="O156" s="100">
        <f t="shared" si="21"/>
        <v>0</v>
      </c>
      <c r="P156" s="100">
        <f t="shared" si="22"/>
        <v>0</v>
      </c>
      <c r="Q156" s="124">
        <f t="shared" si="23"/>
        <v>0</v>
      </c>
      <c r="R156" s="123"/>
      <c r="S156" s="123"/>
      <c r="T156" s="123"/>
      <c r="U156" s="123"/>
      <c r="V156" s="123"/>
      <c r="W156" s="123"/>
      <c r="X156" s="123"/>
      <c r="Y156" s="123"/>
      <c r="Z156" s="123"/>
      <c r="AA156" s="123"/>
      <c r="AB156" s="123"/>
      <c r="AC156" s="123"/>
      <c r="AD156" s="123"/>
      <c r="AE156" s="123"/>
      <c r="AF156" s="123"/>
      <c r="AG156" s="123"/>
      <c r="AH156" s="123"/>
      <c r="AI156" s="123"/>
      <c r="AJ156" s="123"/>
    </row>
    <row r="157" s="33" customFormat="1" ht="16.95" customHeight="1" spans="1:36">
      <c r="A157" s="87">
        <f>IF(F157&lt;&gt;"",1+MAX($A$2:A156),"")</f>
        <v>141</v>
      </c>
      <c r="B157" s="89"/>
      <c r="C157" s="89"/>
      <c r="D157" s="69" t="s">
        <v>326</v>
      </c>
      <c r="E157" s="72">
        <v>2</v>
      </c>
      <c r="F157" s="90">
        <v>0</v>
      </c>
      <c r="G157" s="91">
        <v>2</v>
      </c>
      <c r="H157" s="70" t="s">
        <v>35</v>
      </c>
      <c r="I157" s="97"/>
      <c r="J157" s="98"/>
      <c r="K157" s="99"/>
      <c r="L157" s="100"/>
      <c r="M157" s="100"/>
      <c r="N157" s="100"/>
      <c r="O157" s="100"/>
      <c r="P157" s="100"/>
      <c r="Q157" s="124"/>
      <c r="R157" s="123"/>
      <c r="S157" s="123"/>
      <c r="T157" s="123"/>
      <c r="U157" s="123"/>
      <c r="V157" s="123"/>
      <c r="W157" s="123"/>
      <c r="X157" s="123"/>
      <c r="Y157" s="123"/>
      <c r="Z157" s="123"/>
      <c r="AA157" s="123"/>
      <c r="AB157" s="123"/>
      <c r="AC157" s="123"/>
      <c r="AD157" s="123"/>
      <c r="AE157" s="123"/>
      <c r="AF157" s="123"/>
      <c r="AG157" s="123"/>
      <c r="AH157" s="123"/>
      <c r="AI157" s="123"/>
      <c r="AJ157" s="123"/>
    </row>
    <row r="158" s="33" customFormat="1" ht="16.95" customHeight="1" spans="1:36">
      <c r="A158" s="87" t="str">
        <f>IF(F158&lt;&gt;"",1+MAX($A$2:A157),"")</f>
        <v/>
      </c>
      <c r="B158" s="89"/>
      <c r="C158" s="89"/>
      <c r="D158" s="69"/>
      <c r="E158" s="72"/>
      <c r="F158" s="90"/>
      <c r="G158" s="91"/>
      <c r="H158" s="70"/>
      <c r="I158" s="97"/>
      <c r="J158" s="98"/>
      <c r="K158" s="99"/>
      <c r="L158" s="100"/>
      <c r="M158" s="100"/>
      <c r="N158" s="100"/>
      <c r="O158" s="100"/>
      <c r="P158" s="100"/>
      <c r="Q158" s="124"/>
      <c r="R158" s="123"/>
      <c r="S158" s="123"/>
      <c r="T158" s="123"/>
      <c r="U158" s="123"/>
      <c r="V158" s="123"/>
      <c r="W158" s="123"/>
      <c r="X158" s="123"/>
      <c r="Y158" s="123"/>
      <c r="Z158" s="123"/>
      <c r="AA158" s="123"/>
      <c r="AB158" s="123"/>
      <c r="AC158" s="123"/>
      <c r="AD158" s="123"/>
      <c r="AE158" s="123"/>
      <c r="AF158" s="123"/>
      <c r="AG158" s="123"/>
      <c r="AH158" s="123"/>
      <c r="AI158" s="123"/>
      <c r="AJ158" s="123"/>
    </row>
    <row r="159" s="33" customFormat="1" ht="16.95" customHeight="1" spans="1:36">
      <c r="A159" s="87" t="str">
        <f>IF(F159&lt;&gt;"",1+MAX($A$2:A158),"")</f>
        <v/>
      </c>
      <c r="B159" s="89"/>
      <c r="C159" s="89"/>
      <c r="D159" s="88" t="s">
        <v>327</v>
      </c>
      <c r="E159" s="72"/>
      <c r="F159" s="90"/>
      <c r="G159" s="91"/>
      <c r="H159" s="70"/>
      <c r="I159" s="97"/>
      <c r="J159" s="98"/>
      <c r="K159" s="99"/>
      <c r="L159" s="100"/>
      <c r="M159" s="100"/>
      <c r="N159" s="100"/>
      <c r="O159" s="100"/>
      <c r="P159" s="100"/>
      <c r="Q159" s="124"/>
      <c r="R159" s="123"/>
      <c r="S159" s="123"/>
      <c r="T159" s="123"/>
      <c r="U159" s="123"/>
      <c r="V159" s="123"/>
      <c r="W159" s="123"/>
      <c r="X159" s="123"/>
      <c r="Y159" s="123"/>
      <c r="Z159" s="123"/>
      <c r="AA159" s="123"/>
      <c r="AB159" s="123"/>
      <c r="AC159" s="123"/>
      <c r="AD159" s="123"/>
      <c r="AE159" s="123"/>
      <c r="AF159" s="123"/>
      <c r="AG159" s="123"/>
      <c r="AH159" s="123"/>
      <c r="AI159" s="123"/>
      <c r="AJ159" s="123"/>
    </row>
    <row r="160" s="33" customFormat="1" ht="16.95" customHeight="1" spans="1:36">
      <c r="A160" s="87">
        <f>IF(F160&lt;&gt;"",1+MAX($A$2:A159),"")</f>
        <v>142</v>
      </c>
      <c r="B160" s="89"/>
      <c r="C160" s="89"/>
      <c r="D160" s="69" t="s">
        <v>328</v>
      </c>
      <c r="E160" s="72">
        <v>67459.2966666667</v>
      </c>
      <c r="F160" s="90">
        <v>0.1</v>
      </c>
      <c r="G160" s="91">
        <v>74205.2263333334</v>
      </c>
      <c r="H160" s="70" t="s">
        <v>329</v>
      </c>
      <c r="I160" s="97">
        <v>0</v>
      </c>
      <c r="J160" s="98">
        <f t="shared" ref="J160:J165" si="24">+I160*G160</f>
        <v>0</v>
      </c>
      <c r="K160" s="99">
        <v>50</v>
      </c>
      <c r="L160" s="100">
        <f t="shared" ref="L160:L165" si="25">I160*K160</f>
        <v>0</v>
      </c>
      <c r="M160" s="100">
        <f t="shared" ref="M160:M165" si="26">K160*J160</f>
        <v>0</v>
      </c>
      <c r="N160" s="100">
        <v>0</v>
      </c>
      <c r="O160" s="100">
        <f t="shared" ref="O160:O165" si="27">N160*G160</f>
        <v>0</v>
      </c>
      <c r="P160" s="100">
        <f t="shared" ref="P160:P165" si="28">(I160*K160)+N160</f>
        <v>0</v>
      </c>
      <c r="Q160" s="124">
        <f t="shared" ref="Q160:Q165" si="29">P160*G160</f>
        <v>0</v>
      </c>
      <c r="R160" s="123"/>
      <c r="S160" s="123"/>
      <c r="T160" s="123"/>
      <c r="U160" s="123"/>
      <c r="V160" s="123"/>
      <c r="W160" s="123"/>
      <c r="X160" s="123"/>
      <c r="Y160" s="123"/>
      <c r="Z160" s="123"/>
      <c r="AA160" s="123"/>
      <c r="AB160" s="123"/>
      <c r="AC160" s="123"/>
      <c r="AD160" s="123"/>
      <c r="AE160" s="123"/>
      <c r="AF160" s="123"/>
      <c r="AG160" s="123"/>
      <c r="AH160" s="123"/>
      <c r="AI160" s="123"/>
      <c r="AJ160" s="123"/>
    </row>
    <row r="161" s="33" customFormat="1" ht="16.95" customHeight="1" spans="1:36">
      <c r="A161" s="87">
        <f>IF(F161&lt;&gt;"",1+MAX($A$2:A160),"")</f>
        <v>143</v>
      </c>
      <c r="B161" s="89"/>
      <c r="C161" s="89"/>
      <c r="D161" s="69" t="s">
        <v>330</v>
      </c>
      <c r="E161" s="72">
        <v>6884</v>
      </c>
      <c r="F161" s="90">
        <v>0.1</v>
      </c>
      <c r="G161" s="91">
        <v>7572.4</v>
      </c>
      <c r="H161" s="70" t="s">
        <v>329</v>
      </c>
      <c r="I161" s="97">
        <v>0</v>
      </c>
      <c r="J161" s="98">
        <f t="shared" si="24"/>
        <v>0</v>
      </c>
      <c r="K161" s="99">
        <v>50</v>
      </c>
      <c r="L161" s="100">
        <f t="shared" si="25"/>
        <v>0</v>
      </c>
      <c r="M161" s="100">
        <f t="shared" si="26"/>
        <v>0</v>
      </c>
      <c r="N161" s="100">
        <v>0</v>
      </c>
      <c r="O161" s="100">
        <f t="shared" si="27"/>
        <v>0</v>
      </c>
      <c r="P161" s="100">
        <f t="shared" si="28"/>
        <v>0</v>
      </c>
      <c r="Q161" s="124">
        <f t="shared" si="29"/>
        <v>0</v>
      </c>
      <c r="R161" s="123"/>
      <c r="S161" s="123"/>
      <c r="T161" s="123"/>
      <c r="U161" s="123"/>
      <c r="V161" s="123"/>
      <c r="W161" s="123"/>
      <c r="X161" s="123"/>
      <c r="Y161" s="123"/>
      <c r="Z161" s="123"/>
      <c r="AA161" s="123"/>
      <c r="AB161" s="123"/>
      <c r="AC161" s="123"/>
      <c r="AD161" s="123"/>
      <c r="AE161" s="123"/>
      <c r="AF161" s="123"/>
      <c r="AG161" s="123"/>
      <c r="AH161" s="123"/>
      <c r="AI161" s="123"/>
      <c r="AJ161" s="123"/>
    </row>
    <row r="162" s="33" customFormat="1" ht="16.95" customHeight="1" spans="1:36">
      <c r="A162" s="87" t="str">
        <f>IF(F162&lt;&gt;"",1+MAX($A$2:A161),"")</f>
        <v/>
      </c>
      <c r="B162" s="89"/>
      <c r="C162" s="89"/>
      <c r="D162" s="69"/>
      <c r="E162" s="72"/>
      <c r="F162" s="90"/>
      <c r="G162" s="91"/>
      <c r="H162" s="70"/>
      <c r="I162" s="97"/>
      <c r="J162" s="98"/>
      <c r="K162" s="99"/>
      <c r="L162" s="100"/>
      <c r="M162" s="100"/>
      <c r="N162" s="100"/>
      <c r="O162" s="100"/>
      <c r="P162" s="100"/>
      <c r="Q162" s="124"/>
      <c r="R162" s="123"/>
      <c r="S162" s="123"/>
      <c r="T162" s="123"/>
      <c r="U162" s="123"/>
      <c r="V162" s="123"/>
      <c r="W162" s="123"/>
      <c r="X162" s="123"/>
      <c r="Y162" s="123"/>
      <c r="Z162" s="123"/>
      <c r="AA162" s="123"/>
      <c r="AB162" s="123"/>
      <c r="AC162" s="123"/>
      <c r="AD162" s="123"/>
      <c r="AE162" s="123"/>
      <c r="AF162" s="123"/>
      <c r="AG162" s="123"/>
      <c r="AH162" s="123"/>
      <c r="AI162" s="123"/>
      <c r="AJ162" s="123"/>
    </row>
    <row r="163" s="33" customFormat="1" ht="16.95" customHeight="1" spans="1:36">
      <c r="A163" s="87" t="str">
        <f>IF(F163&lt;&gt;"",1+MAX($A$2:A162),"")</f>
        <v/>
      </c>
      <c r="B163" s="89"/>
      <c r="C163" s="89"/>
      <c r="D163" s="88" t="s">
        <v>331</v>
      </c>
      <c r="E163" s="72"/>
      <c r="F163" s="90"/>
      <c r="G163" s="91"/>
      <c r="H163" s="70"/>
      <c r="I163" s="97"/>
      <c r="J163" s="98"/>
      <c r="K163" s="99"/>
      <c r="L163" s="100"/>
      <c r="M163" s="100"/>
      <c r="N163" s="100"/>
      <c r="O163" s="100"/>
      <c r="P163" s="100"/>
      <c r="Q163" s="124"/>
      <c r="R163" s="123"/>
      <c r="S163" s="123"/>
      <c r="T163" s="123"/>
      <c r="U163" s="123"/>
      <c r="V163" s="123"/>
      <c r="W163" s="123"/>
      <c r="X163" s="123"/>
      <c r="Y163" s="123"/>
      <c r="Z163" s="123"/>
      <c r="AA163" s="123"/>
      <c r="AB163" s="123"/>
      <c r="AC163" s="123"/>
      <c r="AD163" s="123"/>
      <c r="AE163" s="123"/>
      <c r="AF163" s="123"/>
      <c r="AG163" s="123"/>
      <c r="AH163" s="123"/>
      <c r="AI163" s="123"/>
      <c r="AJ163" s="123"/>
    </row>
    <row r="164" s="33" customFormat="1" ht="16.95" customHeight="1" spans="1:36">
      <c r="A164" s="87" t="str">
        <f>IF(F164&lt;&gt;"",1+MAX($A$2:A163),"")</f>
        <v/>
      </c>
      <c r="B164" s="89"/>
      <c r="C164" s="89"/>
      <c r="D164" s="211" t="s">
        <v>332</v>
      </c>
      <c r="E164" s="72"/>
      <c r="F164" s="90"/>
      <c r="G164" s="91"/>
      <c r="H164" s="70"/>
      <c r="I164" s="97"/>
      <c r="J164" s="98"/>
      <c r="K164" s="99"/>
      <c r="L164" s="100"/>
      <c r="M164" s="100"/>
      <c r="N164" s="100"/>
      <c r="O164" s="100"/>
      <c r="P164" s="100"/>
      <c r="Q164" s="124"/>
      <c r="R164" s="123"/>
      <c r="S164" s="123"/>
      <c r="T164" s="123"/>
      <c r="U164" s="123"/>
      <c r="V164" s="123"/>
      <c r="W164" s="123"/>
      <c r="X164" s="123"/>
      <c r="Y164" s="123"/>
      <c r="Z164" s="123"/>
      <c r="AA164" s="123"/>
      <c r="AB164" s="123"/>
      <c r="AC164" s="123"/>
      <c r="AD164" s="123"/>
      <c r="AE164" s="123"/>
      <c r="AF164" s="123"/>
      <c r="AG164" s="123"/>
      <c r="AH164" s="123"/>
      <c r="AI164" s="123"/>
      <c r="AJ164" s="123"/>
    </row>
    <row r="165" s="33" customFormat="1" ht="16.95" customHeight="1" spans="1:36">
      <c r="A165" s="87">
        <f>IF(F165&lt;&gt;"",1+MAX($A$2:A164),"")</f>
        <v>144</v>
      </c>
      <c r="B165" s="89"/>
      <c r="C165" s="89"/>
      <c r="D165" s="69" t="s">
        <v>333</v>
      </c>
      <c r="E165" s="72">
        <v>168.63</v>
      </c>
      <c r="F165" s="90">
        <v>0.05</v>
      </c>
      <c r="G165" s="91">
        <v>177.0615</v>
      </c>
      <c r="H165" s="70" t="s">
        <v>37</v>
      </c>
      <c r="I165" s="97">
        <v>0</v>
      </c>
      <c r="J165" s="98">
        <f t="shared" si="24"/>
        <v>0</v>
      </c>
      <c r="K165" s="99">
        <v>50</v>
      </c>
      <c r="L165" s="100">
        <f t="shared" si="25"/>
        <v>0</v>
      </c>
      <c r="M165" s="100">
        <f t="shared" si="26"/>
        <v>0</v>
      </c>
      <c r="N165" s="100">
        <v>0</v>
      </c>
      <c r="O165" s="100">
        <f t="shared" si="27"/>
        <v>0</v>
      </c>
      <c r="P165" s="100">
        <f t="shared" si="28"/>
        <v>0</v>
      </c>
      <c r="Q165" s="124">
        <f t="shared" si="29"/>
        <v>0</v>
      </c>
      <c r="R165" s="123"/>
      <c r="S165" s="123"/>
      <c r="T165" s="123"/>
      <c r="U165" s="123"/>
      <c r="V165" s="123"/>
      <c r="W165" s="123"/>
      <c r="X165" s="123"/>
      <c r="Y165" s="123"/>
      <c r="Z165" s="123"/>
      <c r="AA165" s="123"/>
      <c r="AB165" s="123"/>
      <c r="AC165" s="123"/>
      <c r="AD165" s="123"/>
      <c r="AE165" s="123"/>
      <c r="AF165" s="123"/>
      <c r="AG165" s="123"/>
      <c r="AH165" s="123"/>
      <c r="AI165" s="123"/>
      <c r="AJ165" s="123"/>
    </row>
    <row r="166" s="33" customFormat="1" ht="16.95" customHeight="1" spans="1:36">
      <c r="A166" s="87" t="str">
        <f>IF(F166&lt;&gt;"",1+MAX($A$2:A165),"")</f>
        <v/>
      </c>
      <c r="B166" s="89"/>
      <c r="C166" s="89"/>
      <c r="D166" s="69"/>
      <c r="E166" s="72"/>
      <c r="F166" s="90"/>
      <c r="G166" s="91"/>
      <c r="H166" s="70"/>
      <c r="I166" s="97"/>
      <c r="J166" s="98"/>
      <c r="K166" s="99"/>
      <c r="L166" s="100"/>
      <c r="M166" s="100"/>
      <c r="N166" s="100"/>
      <c r="O166" s="100"/>
      <c r="P166" s="100"/>
      <c r="Q166" s="124"/>
      <c r="R166" s="123"/>
      <c r="S166" s="123"/>
      <c r="T166" s="123"/>
      <c r="U166" s="123"/>
      <c r="V166" s="123"/>
      <c r="W166" s="123"/>
      <c r="X166" s="123"/>
      <c r="Y166" s="123"/>
      <c r="Z166" s="123"/>
      <c r="AA166" s="123"/>
      <c r="AB166" s="123"/>
      <c r="AC166" s="123"/>
      <c r="AD166" s="123"/>
      <c r="AE166" s="123"/>
      <c r="AF166" s="123"/>
      <c r="AG166" s="123"/>
      <c r="AH166" s="123"/>
      <c r="AI166" s="123"/>
      <c r="AJ166" s="123"/>
    </row>
    <row r="167" s="33" customFormat="1" ht="16.95" customHeight="1" spans="1:36">
      <c r="A167" s="87" t="str">
        <f>IF(F167&lt;&gt;"",1+MAX($A$2:A166),"")</f>
        <v/>
      </c>
      <c r="B167" s="89"/>
      <c r="C167" s="89"/>
      <c r="D167" s="210" t="s">
        <v>334</v>
      </c>
      <c r="E167" s="72"/>
      <c r="F167" s="90"/>
      <c r="G167" s="91"/>
      <c r="H167" s="70"/>
      <c r="I167" s="97"/>
      <c r="J167" s="98"/>
      <c r="K167" s="99"/>
      <c r="L167" s="100"/>
      <c r="M167" s="100"/>
      <c r="N167" s="100"/>
      <c r="O167" s="100"/>
      <c r="P167" s="100"/>
      <c r="Q167" s="124"/>
      <c r="R167" s="123"/>
      <c r="S167" s="123"/>
      <c r="T167" s="123"/>
      <c r="U167" s="123"/>
      <c r="V167" s="123"/>
      <c r="W167" s="123"/>
      <c r="X167" s="123"/>
      <c r="Y167" s="123"/>
      <c r="Z167" s="123"/>
      <c r="AA167" s="123"/>
      <c r="AB167" s="123"/>
      <c r="AC167" s="123"/>
      <c r="AD167" s="123"/>
      <c r="AE167" s="123"/>
      <c r="AF167" s="123"/>
      <c r="AG167" s="123"/>
      <c r="AH167" s="123"/>
      <c r="AI167" s="123"/>
      <c r="AJ167" s="123"/>
    </row>
    <row r="168" s="33" customFormat="1" ht="16.95" customHeight="1" spans="1:36">
      <c r="A168" s="87">
        <f>IF(F168&lt;&gt;"",1+MAX($A$2:A167),"")</f>
        <v>145</v>
      </c>
      <c r="B168" s="89"/>
      <c r="C168" s="89"/>
      <c r="D168" s="69" t="s">
        <v>335</v>
      </c>
      <c r="E168" s="72">
        <v>30</v>
      </c>
      <c r="F168" s="90">
        <v>0</v>
      </c>
      <c r="G168" s="91">
        <v>30</v>
      </c>
      <c r="H168" s="70" t="s">
        <v>35</v>
      </c>
      <c r="I168" s="97">
        <v>0</v>
      </c>
      <c r="J168" s="98">
        <f t="shared" ref="J168:J171" si="30">+I168*G168</f>
        <v>0</v>
      </c>
      <c r="K168" s="99">
        <v>50</v>
      </c>
      <c r="L168" s="100">
        <f t="shared" ref="L168:L171" si="31">I168*K168</f>
        <v>0</v>
      </c>
      <c r="M168" s="100">
        <f t="shared" ref="M168:M171" si="32">K168*J168</f>
        <v>0</v>
      </c>
      <c r="N168" s="100">
        <v>0</v>
      </c>
      <c r="O168" s="100">
        <f t="shared" ref="O168:O171" si="33">N168*G168</f>
        <v>0</v>
      </c>
      <c r="P168" s="100">
        <f t="shared" ref="P168:P171" si="34">(I168*K168)+N168</f>
        <v>0</v>
      </c>
      <c r="Q168" s="124">
        <f t="shared" ref="Q168:Q171" si="35">P168*G168</f>
        <v>0</v>
      </c>
      <c r="R168" s="123"/>
      <c r="S168" s="123"/>
      <c r="T168" s="123"/>
      <c r="U168" s="123"/>
      <c r="V168" s="123"/>
      <c r="W168" s="123"/>
      <c r="X168" s="123"/>
      <c r="Y168" s="123"/>
      <c r="Z168" s="123"/>
      <c r="AA168" s="123"/>
      <c r="AB168" s="123"/>
      <c r="AC168" s="123"/>
      <c r="AD168" s="123"/>
      <c r="AE168" s="123"/>
      <c r="AF168" s="123"/>
      <c r="AG168" s="123"/>
      <c r="AH168" s="123"/>
      <c r="AI168" s="123"/>
      <c r="AJ168" s="123"/>
    </row>
    <row r="169" s="33" customFormat="1" ht="16.95" customHeight="1" spans="1:36">
      <c r="A169" s="87">
        <f>IF(F169&lt;&gt;"",1+MAX($A$2:A168),"")</f>
        <v>146</v>
      </c>
      <c r="B169" s="89"/>
      <c r="C169" s="89"/>
      <c r="D169" s="69" t="s">
        <v>336</v>
      </c>
      <c r="E169" s="72">
        <v>30</v>
      </c>
      <c r="F169" s="90">
        <v>0</v>
      </c>
      <c r="G169" s="91">
        <v>30</v>
      </c>
      <c r="H169" s="70" t="s">
        <v>35</v>
      </c>
      <c r="I169" s="97">
        <v>0</v>
      </c>
      <c r="J169" s="98">
        <f t="shared" si="30"/>
        <v>0</v>
      </c>
      <c r="K169" s="99">
        <v>50</v>
      </c>
      <c r="L169" s="100">
        <f t="shared" si="31"/>
        <v>0</v>
      </c>
      <c r="M169" s="100">
        <f t="shared" si="32"/>
        <v>0</v>
      </c>
      <c r="N169" s="100">
        <v>0</v>
      </c>
      <c r="O169" s="100">
        <f t="shared" si="33"/>
        <v>0</v>
      </c>
      <c r="P169" s="100">
        <f t="shared" si="34"/>
        <v>0</v>
      </c>
      <c r="Q169" s="124">
        <f t="shared" si="35"/>
        <v>0</v>
      </c>
      <c r="R169" s="123"/>
      <c r="S169" s="123"/>
      <c r="T169" s="123"/>
      <c r="U169" s="123"/>
      <c r="V169" s="123"/>
      <c r="W169" s="123"/>
      <c r="X169" s="123"/>
      <c r="Y169" s="123"/>
      <c r="Z169" s="123"/>
      <c r="AA169" s="123"/>
      <c r="AB169" s="123"/>
      <c r="AC169" s="123"/>
      <c r="AD169" s="123"/>
      <c r="AE169" s="123"/>
      <c r="AF169" s="123"/>
      <c r="AG169" s="123"/>
      <c r="AH169" s="123"/>
      <c r="AI169" s="123"/>
      <c r="AJ169" s="123"/>
    </row>
    <row r="170" s="33" customFormat="1" ht="16.95" customHeight="1" spans="1:36">
      <c r="A170" s="87">
        <f>IF(F170&lt;&gt;"",1+MAX($A$2:A169),"")</f>
        <v>147</v>
      </c>
      <c r="B170" s="89"/>
      <c r="C170" s="89"/>
      <c r="D170" s="69" t="s">
        <v>337</v>
      </c>
      <c r="E170" s="72">
        <v>20</v>
      </c>
      <c r="F170" s="90">
        <v>0</v>
      </c>
      <c r="G170" s="91">
        <v>20</v>
      </c>
      <c r="H170" s="70" t="s">
        <v>35</v>
      </c>
      <c r="I170" s="97">
        <v>0</v>
      </c>
      <c r="J170" s="98">
        <f t="shared" si="30"/>
        <v>0</v>
      </c>
      <c r="K170" s="99">
        <v>50</v>
      </c>
      <c r="L170" s="100">
        <f t="shared" si="31"/>
        <v>0</v>
      </c>
      <c r="M170" s="100">
        <f t="shared" si="32"/>
        <v>0</v>
      </c>
      <c r="N170" s="100">
        <v>0</v>
      </c>
      <c r="O170" s="100">
        <f t="shared" si="33"/>
        <v>0</v>
      </c>
      <c r="P170" s="100">
        <f t="shared" si="34"/>
        <v>0</v>
      </c>
      <c r="Q170" s="124">
        <f t="shared" si="35"/>
        <v>0</v>
      </c>
      <c r="R170" s="123"/>
      <c r="S170" s="123"/>
      <c r="T170" s="123"/>
      <c r="U170" s="123"/>
      <c r="V170" s="123"/>
      <c r="W170" s="123"/>
      <c r="X170" s="123"/>
      <c r="Y170" s="123"/>
      <c r="Z170" s="123"/>
      <c r="AA170" s="123"/>
      <c r="AB170" s="123"/>
      <c r="AC170" s="123"/>
      <c r="AD170" s="123"/>
      <c r="AE170" s="123"/>
      <c r="AF170" s="123"/>
      <c r="AG170" s="123"/>
      <c r="AH170" s="123"/>
      <c r="AI170" s="123"/>
      <c r="AJ170" s="123"/>
    </row>
    <row r="171" s="33" customFormat="1" ht="16.95" customHeight="1" spans="1:36">
      <c r="A171" s="87">
        <f>IF(F171&lt;&gt;"",1+MAX($A$2:A170),"")</f>
        <v>148</v>
      </c>
      <c r="B171" s="89"/>
      <c r="C171" s="89"/>
      <c r="D171" s="69" t="s">
        <v>338</v>
      </c>
      <c r="E171" s="72">
        <v>20</v>
      </c>
      <c r="F171" s="90">
        <v>0</v>
      </c>
      <c r="G171" s="91">
        <v>20</v>
      </c>
      <c r="H171" s="70" t="s">
        <v>35</v>
      </c>
      <c r="I171" s="97">
        <v>0</v>
      </c>
      <c r="J171" s="98">
        <f t="shared" si="30"/>
        <v>0</v>
      </c>
      <c r="K171" s="99">
        <v>50</v>
      </c>
      <c r="L171" s="100">
        <f t="shared" si="31"/>
        <v>0</v>
      </c>
      <c r="M171" s="100">
        <f t="shared" si="32"/>
        <v>0</v>
      </c>
      <c r="N171" s="100">
        <v>0</v>
      </c>
      <c r="O171" s="100">
        <f t="shared" si="33"/>
        <v>0</v>
      </c>
      <c r="P171" s="100">
        <f t="shared" si="34"/>
        <v>0</v>
      </c>
      <c r="Q171" s="124">
        <f t="shared" si="35"/>
        <v>0</v>
      </c>
      <c r="R171" s="123"/>
      <c r="S171" s="123"/>
      <c r="T171" s="123"/>
      <c r="U171" s="123"/>
      <c r="V171" s="123"/>
      <c r="W171" s="123"/>
      <c r="X171" s="123"/>
      <c r="Y171" s="123"/>
      <c r="Z171" s="123"/>
      <c r="AA171" s="123"/>
      <c r="AB171" s="123"/>
      <c r="AC171" s="123"/>
      <c r="AD171" s="123"/>
      <c r="AE171" s="123"/>
      <c r="AF171" s="123"/>
      <c r="AG171" s="123"/>
      <c r="AH171" s="123"/>
      <c r="AI171" s="123"/>
      <c r="AJ171" s="123"/>
    </row>
    <row r="172" s="33" customFormat="1" ht="16.95" customHeight="1" spans="1:36">
      <c r="A172" s="87" t="str">
        <f>IF(F172&lt;&gt;"",1+MAX($A$2:A171),"")</f>
        <v/>
      </c>
      <c r="B172" s="89"/>
      <c r="C172" s="89"/>
      <c r="D172" s="69"/>
      <c r="E172" s="72"/>
      <c r="F172" s="90"/>
      <c r="G172" s="91"/>
      <c r="H172" s="70"/>
      <c r="I172" s="97"/>
      <c r="J172" s="98"/>
      <c r="K172" s="99"/>
      <c r="L172" s="100"/>
      <c r="M172" s="100"/>
      <c r="N172" s="100"/>
      <c r="O172" s="100"/>
      <c r="P172" s="100"/>
      <c r="Q172" s="124"/>
      <c r="R172" s="123"/>
      <c r="S172" s="123"/>
      <c r="T172" s="123"/>
      <c r="U172" s="123"/>
      <c r="V172" s="123"/>
      <c r="W172" s="123"/>
      <c r="X172" s="123"/>
      <c r="Y172" s="123"/>
      <c r="Z172" s="123"/>
      <c r="AA172" s="123"/>
      <c r="AB172" s="123"/>
      <c r="AC172" s="123"/>
      <c r="AD172" s="123"/>
      <c r="AE172" s="123"/>
      <c r="AF172" s="123"/>
      <c r="AG172" s="123"/>
      <c r="AH172" s="123"/>
      <c r="AI172" s="123"/>
      <c r="AJ172" s="123"/>
    </row>
    <row r="173" s="33" customFormat="1" ht="16.95" customHeight="1" spans="1:36">
      <c r="A173" s="87" t="str">
        <f>IF(F173&lt;&gt;"",1+MAX($A$2:A172),"")</f>
        <v/>
      </c>
      <c r="B173" s="89"/>
      <c r="C173" s="89"/>
      <c r="D173" s="88" t="s">
        <v>339</v>
      </c>
      <c r="E173" s="72"/>
      <c r="F173" s="90"/>
      <c r="G173" s="91"/>
      <c r="H173" s="70"/>
      <c r="I173" s="97"/>
      <c r="J173" s="98"/>
      <c r="K173" s="99"/>
      <c r="L173" s="100"/>
      <c r="M173" s="100"/>
      <c r="N173" s="100"/>
      <c r="O173" s="100"/>
      <c r="P173" s="100"/>
      <c r="Q173" s="124"/>
      <c r="R173" s="123"/>
      <c r="S173" s="123"/>
      <c r="T173" s="123"/>
      <c r="U173" s="123"/>
      <c r="V173" s="123"/>
      <c r="W173" s="123"/>
      <c r="X173" s="123"/>
      <c r="Y173" s="123"/>
      <c r="Z173" s="123"/>
      <c r="AA173" s="123"/>
      <c r="AB173" s="123"/>
      <c r="AC173" s="123"/>
      <c r="AD173" s="123"/>
      <c r="AE173" s="123"/>
      <c r="AF173" s="123"/>
      <c r="AG173" s="123"/>
      <c r="AH173" s="123"/>
      <c r="AI173" s="123"/>
      <c r="AJ173" s="123"/>
    </row>
    <row r="174" s="33" customFormat="1" ht="16.95" customHeight="1" spans="1:36">
      <c r="A174" s="87">
        <f>IF(F174&lt;&gt;"",1+MAX($A$2:A173),"")</f>
        <v>149</v>
      </c>
      <c r="B174" s="89"/>
      <c r="C174" s="89"/>
      <c r="D174" s="69" t="s">
        <v>340</v>
      </c>
      <c r="E174" s="72">
        <v>3</v>
      </c>
      <c r="F174" s="90">
        <v>0</v>
      </c>
      <c r="G174" s="91">
        <v>3</v>
      </c>
      <c r="H174" s="70" t="s">
        <v>35</v>
      </c>
      <c r="I174" s="97">
        <v>0</v>
      </c>
      <c r="J174" s="98">
        <f t="shared" ref="J174:J211" si="36">+I174*G174</f>
        <v>0</v>
      </c>
      <c r="K174" s="99">
        <v>50</v>
      </c>
      <c r="L174" s="100">
        <f t="shared" ref="L174:L211" si="37">I174*K174</f>
        <v>0</v>
      </c>
      <c r="M174" s="100">
        <f t="shared" ref="M174:M211" si="38">K174*J174</f>
        <v>0</v>
      </c>
      <c r="N174" s="100">
        <v>0</v>
      </c>
      <c r="O174" s="100">
        <f t="shared" ref="O174:O211" si="39">N174*G174</f>
        <v>0</v>
      </c>
      <c r="P174" s="100">
        <f t="shared" ref="P174:P211" si="40">(I174*K174)+N174</f>
        <v>0</v>
      </c>
      <c r="Q174" s="124">
        <f t="shared" ref="Q174:Q211" si="41">P174*G174</f>
        <v>0</v>
      </c>
      <c r="R174" s="123"/>
      <c r="S174" s="123"/>
      <c r="T174" s="123"/>
      <c r="U174" s="123"/>
      <c r="V174" s="123"/>
      <c r="W174" s="123"/>
      <c r="X174" s="123"/>
      <c r="Y174" s="123"/>
      <c r="Z174" s="123"/>
      <c r="AA174" s="123"/>
      <c r="AB174" s="123"/>
      <c r="AC174" s="123"/>
      <c r="AD174" s="123"/>
      <c r="AE174" s="123"/>
      <c r="AF174" s="123"/>
      <c r="AG174" s="123"/>
      <c r="AH174" s="123"/>
      <c r="AI174" s="123"/>
      <c r="AJ174" s="123"/>
    </row>
    <row r="175" s="33" customFormat="1" ht="16.95" customHeight="1" spans="1:36">
      <c r="A175" s="87">
        <f>IF(F175&lt;&gt;"",1+MAX($A$2:A174),"")</f>
        <v>150</v>
      </c>
      <c r="B175" s="89"/>
      <c r="C175" s="89"/>
      <c r="D175" s="69" t="s">
        <v>341</v>
      </c>
      <c r="E175" s="72">
        <v>1</v>
      </c>
      <c r="F175" s="90">
        <v>0</v>
      </c>
      <c r="G175" s="91">
        <v>1</v>
      </c>
      <c r="H175" s="70" t="s">
        <v>35</v>
      </c>
      <c r="I175" s="97">
        <v>0</v>
      </c>
      <c r="J175" s="98">
        <f t="shared" si="36"/>
        <v>0</v>
      </c>
      <c r="K175" s="99">
        <v>50</v>
      </c>
      <c r="L175" s="100">
        <f t="shared" si="37"/>
        <v>0</v>
      </c>
      <c r="M175" s="100">
        <f t="shared" si="38"/>
        <v>0</v>
      </c>
      <c r="N175" s="100">
        <v>0</v>
      </c>
      <c r="O175" s="100">
        <f t="shared" si="39"/>
        <v>0</v>
      </c>
      <c r="P175" s="100">
        <f t="shared" si="40"/>
        <v>0</v>
      </c>
      <c r="Q175" s="124">
        <f t="shared" si="41"/>
        <v>0</v>
      </c>
      <c r="R175" s="123"/>
      <c r="S175" s="123"/>
      <c r="T175" s="123"/>
      <c r="U175" s="123"/>
      <c r="V175" s="123"/>
      <c r="W175" s="123"/>
      <c r="X175" s="123"/>
      <c r="Y175" s="123"/>
      <c r="Z175" s="123"/>
      <c r="AA175" s="123"/>
      <c r="AB175" s="123"/>
      <c r="AC175" s="123"/>
      <c r="AD175" s="123"/>
      <c r="AE175" s="123"/>
      <c r="AF175" s="123"/>
      <c r="AG175" s="123"/>
      <c r="AH175" s="123"/>
      <c r="AI175" s="123"/>
      <c r="AJ175" s="123"/>
    </row>
    <row r="176" s="33" customFormat="1" ht="16.95" customHeight="1" spans="1:36">
      <c r="A176" s="87">
        <f>IF(F176&lt;&gt;"",1+MAX($A$2:A175),"")</f>
        <v>151</v>
      </c>
      <c r="B176" s="89"/>
      <c r="C176" s="89"/>
      <c r="D176" s="69" t="s">
        <v>342</v>
      </c>
      <c r="E176" s="72">
        <v>1</v>
      </c>
      <c r="F176" s="90">
        <v>0</v>
      </c>
      <c r="G176" s="91">
        <v>1</v>
      </c>
      <c r="H176" s="70" t="s">
        <v>35</v>
      </c>
      <c r="I176" s="97">
        <v>0</v>
      </c>
      <c r="J176" s="98">
        <f t="shared" si="36"/>
        <v>0</v>
      </c>
      <c r="K176" s="99">
        <v>50</v>
      </c>
      <c r="L176" s="100">
        <f t="shared" si="37"/>
        <v>0</v>
      </c>
      <c r="M176" s="100">
        <f t="shared" si="38"/>
        <v>0</v>
      </c>
      <c r="N176" s="100">
        <v>0</v>
      </c>
      <c r="O176" s="100">
        <f t="shared" si="39"/>
        <v>0</v>
      </c>
      <c r="P176" s="100">
        <f t="shared" si="40"/>
        <v>0</v>
      </c>
      <c r="Q176" s="124">
        <f t="shared" si="41"/>
        <v>0</v>
      </c>
      <c r="R176" s="123"/>
      <c r="S176" s="123"/>
      <c r="T176" s="123"/>
      <c r="U176" s="123"/>
      <c r="V176" s="123"/>
      <c r="W176" s="123"/>
      <c r="X176" s="123"/>
      <c r="Y176" s="123"/>
      <c r="Z176" s="123"/>
      <c r="AA176" s="123"/>
      <c r="AB176" s="123"/>
      <c r="AC176" s="123"/>
      <c r="AD176" s="123"/>
      <c r="AE176" s="123"/>
      <c r="AF176" s="123"/>
      <c r="AG176" s="123"/>
      <c r="AH176" s="123"/>
      <c r="AI176" s="123"/>
      <c r="AJ176" s="123"/>
    </row>
    <row r="177" s="33" customFormat="1" ht="16.95" customHeight="1" spans="1:36">
      <c r="A177" s="87">
        <f>IF(F177&lt;&gt;"",1+MAX($A$2:A176),"")</f>
        <v>152</v>
      </c>
      <c r="B177" s="89"/>
      <c r="C177" s="89"/>
      <c r="D177" s="69" t="s">
        <v>343</v>
      </c>
      <c r="E177" s="72">
        <v>1</v>
      </c>
      <c r="F177" s="90">
        <v>0</v>
      </c>
      <c r="G177" s="91">
        <v>1</v>
      </c>
      <c r="H177" s="70" t="s">
        <v>35</v>
      </c>
      <c r="I177" s="97">
        <v>0</v>
      </c>
      <c r="J177" s="98">
        <f t="shared" si="36"/>
        <v>0</v>
      </c>
      <c r="K177" s="99">
        <v>50</v>
      </c>
      <c r="L177" s="100">
        <f t="shared" si="37"/>
        <v>0</v>
      </c>
      <c r="M177" s="100">
        <f t="shared" si="38"/>
        <v>0</v>
      </c>
      <c r="N177" s="100">
        <v>0</v>
      </c>
      <c r="O177" s="100">
        <f t="shared" si="39"/>
        <v>0</v>
      </c>
      <c r="P177" s="100">
        <f t="shared" si="40"/>
        <v>0</v>
      </c>
      <c r="Q177" s="124">
        <f t="shared" si="41"/>
        <v>0</v>
      </c>
      <c r="R177" s="123"/>
      <c r="S177" s="123"/>
      <c r="T177" s="123"/>
      <c r="U177" s="123"/>
      <c r="V177" s="123"/>
      <c r="W177" s="123"/>
      <c r="X177" s="123"/>
      <c r="Y177" s="123"/>
      <c r="Z177" s="123"/>
      <c r="AA177" s="123"/>
      <c r="AB177" s="123"/>
      <c r="AC177" s="123"/>
      <c r="AD177" s="123"/>
      <c r="AE177" s="123"/>
      <c r="AF177" s="123"/>
      <c r="AG177" s="123"/>
      <c r="AH177" s="123"/>
      <c r="AI177" s="123"/>
      <c r="AJ177" s="123"/>
    </row>
    <row r="178" s="33" customFormat="1" ht="16.95" customHeight="1" spans="1:36">
      <c r="A178" s="87">
        <f>IF(F178&lt;&gt;"",1+MAX($A$2:A177),"")</f>
        <v>153</v>
      </c>
      <c r="B178" s="89"/>
      <c r="C178" s="89"/>
      <c r="D178" s="69" t="s">
        <v>344</v>
      </c>
      <c r="E178" s="72">
        <v>1</v>
      </c>
      <c r="F178" s="90">
        <v>0</v>
      </c>
      <c r="G178" s="91">
        <v>1</v>
      </c>
      <c r="H178" s="70" t="s">
        <v>35</v>
      </c>
      <c r="I178" s="97">
        <v>0</v>
      </c>
      <c r="J178" s="98">
        <f t="shared" si="36"/>
        <v>0</v>
      </c>
      <c r="K178" s="99">
        <v>50</v>
      </c>
      <c r="L178" s="100">
        <f t="shared" si="37"/>
        <v>0</v>
      </c>
      <c r="M178" s="100">
        <f t="shared" si="38"/>
        <v>0</v>
      </c>
      <c r="N178" s="100">
        <v>0</v>
      </c>
      <c r="O178" s="100">
        <f t="shared" si="39"/>
        <v>0</v>
      </c>
      <c r="P178" s="100">
        <f t="shared" si="40"/>
        <v>0</v>
      </c>
      <c r="Q178" s="124">
        <f t="shared" si="41"/>
        <v>0</v>
      </c>
      <c r="R178" s="123"/>
      <c r="S178" s="123"/>
      <c r="T178" s="123"/>
      <c r="U178" s="123"/>
      <c r="V178" s="123"/>
      <c r="W178" s="123"/>
      <c r="X178" s="123"/>
      <c r="Y178" s="123"/>
      <c r="Z178" s="123"/>
      <c r="AA178" s="123"/>
      <c r="AB178" s="123"/>
      <c r="AC178" s="123"/>
      <c r="AD178" s="123"/>
      <c r="AE178" s="123"/>
      <c r="AF178" s="123"/>
      <c r="AG178" s="123"/>
      <c r="AH178" s="123"/>
      <c r="AI178" s="123"/>
      <c r="AJ178" s="123"/>
    </row>
    <row r="179" s="33" customFormat="1" ht="16.95" customHeight="1" spans="1:36">
      <c r="A179" s="87">
        <f>IF(F179&lt;&gt;"",1+MAX($A$2:A178),"")</f>
        <v>154</v>
      </c>
      <c r="B179" s="89"/>
      <c r="C179" s="89"/>
      <c r="D179" s="69" t="s">
        <v>345</v>
      </c>
      <c r="E179" s="72">
        <v>1</v>
      </c>
      <c r="F179" s="90">
        <v>0</v>
      </c>
      <c r="G179" s="91">
        <v>1</v>
      </c>
      <c r="H179" s="70" t="s">
        <v>35</v>
      </c>
      <c r="I179" s="97">
        <v>0</v>
      </c>
      <c r="J179" s="98">
        <f t="shared" si="36"/>
        <v>0</v>
      </c>
      <c r="K179" s="99">
        <v>50</v>
      </c>
      <c r="L179" s="100">
        <f t="shared" si="37"/>
        <v>0</v>
      </c>
      <c r="M179" s="100">
        <f t="shared" si="38"/>
        <v>0</v>
      </c>
      <c r="N179" s="100">
        <v>0</v>
      </c>
      <c r="O179" s="100">
        <f t="shared" si="39"/>
        <v>0</v>
      </c>
      <c r="P179" s="100">
        <f t="shared" si="40"/>
        <v>0</v>
      </c>
      <c r="Q179" s="124">
        <f t="shared" si="41"/>
        <v>0</v>
      </c>
      <c r="R179" s="123"/>
      <c r="S179" s="123"/>
      <c r="T179" s="123"/>
      <c r="U179" s="123"/>
      <c r="V179" s="123"/>
      <c r="W179" s="123"/>
      <c r="X179" s="123"/>
      <c r="Y179" s="123"/>
      <c r="Z179" s="123"/>
      <c r="AA179" s="123"/>
      <c r="AB179" s="123"/>
      <c r="AC179" s="123"/>
      <c r="AD179" s="123"/>
      <c r="AE179" s="123"/>
      <c r="AF179" s="123"/>
      <c r="AG179" s="123"/>
      <c r="AH179" s="123"/>
      <c r="AI179" s="123"/>
      <c r="AJ179" s="123"/>
    </row>
    <row r="180" s="33" customFormat="1" ht="16.95" customHeight="1" spans="1:36">
      <c r="A180" s="87">
        <f>IF(F180&lt;&gt;"",1+MAX($A$2:A179),"")</f>
        <v>155</v>
      </c>
      <c r="B180" s="89"/>
      <c r="C180" s="89"/>
      <c r="D180" s="69" t="s">
        <v>346</v>
      </c>
      <c r="E180" s="72">
        <v>1</v>
      </c>
      <c r="F180" s="90">
        <v>0</v>
      </c>
      <c r="G180" s="91">
        <v>1</v>
      </c>
      <c r="H180" s="70" t="s">
        <v>35</v>
      </c>
      <c r="I180" s="97">
        <v>0</v>
      </c>
      <c r="J180" s="98">
        <f t="shared" si="36"/>
        <v>0</v>
      </c>
      <c r="K180" s="99">
        <v>50</v>
      </c>
      <c r="L180" s="100">
        <f t="shared" si="37"/>
        <v>0</v>
      </c>
      <c r="M180" s="100">
        <f t="shared" si="38"/>
        <v>0</v>
      </c>
      <c r="N180" s="100">
        <v>0</v>
      </c>
      <c r="O180" s="100">
        <f t="shared" si="39"/>
        <v>0</v>
      </c>
      <c r="P180" s="100">
        <f t="shared" si="40"/>
        <v>0</v>
      </c>
      <c r="Q180" s="124">
        <f t="shared" si="41"/>
        <v>0</v>
      </c>
      <c r="R180" s="123"/>
      <c r="S180" s="123"/>
      <c r="T180" s="123"/>
      <c r="U180" s="123"/>
      <c r="V180" s="123"/>
      <c r="W180" s="123"/>
      <c r="X180" s="123"/>
      <c r="Y180" s="123"/>
      <c r="Z180" s="123"/>
      <c r="AA180" s="123"/>
      <c r="AB180" s="123"/>
      <c r="AC180" s="123"/>
      <c r="AD180" s="123"/>
      <c r="AE180" s="123"/>
      <c r="AF180" s="123"/>
      <c r="AG180" s="123"/>
      <c r="AH180" s="123"/>
      <c r="AI180" s="123"/>
      <c r="AJ180" s="123"/>
    </row>
    <row r="181" s="33" customFormat="1" ht="16.95" customHeight="1" spans="1:36">
      <c r="A181" s="87">
        <f>IF(F181&lt;&gt;"",1+MAX($A$2:A180),"")</f>
        <v>156</v>
      </c>
      <c r="B181" s="89"/>
      <c r="C181" s="89"/>
      <c r="D181" s="69" t="s">
        <v>347</v>
      </c>
      <c r="E181" s="72">
        <v>1</v>
      </c>
      <c r="F181" s="90">
        <v>0</v>
      </c>
      <c r="G181" s="91">
        <v>1</v>
      </c>
      <c r="H181" s="70" t="s">
        <v>35</v>
      </c>
      <c r="I181" s="97">
        <v>0</v>
      </c>
      <c r="J181" s="98">
        <f t="shared" si="36"/>
        <v>0</v>
      </c>
      <c r="K181" s="99">
        <v>50</v>
      </c>
      <c r="L181" s="100">
        <f t="shared" si="37"/>
        <v>0</v>
      </c>
      <c r="M181" s="100">
        <f t="shared" si="38"/>
        <v>0</v>
      </c>
      <c r="N181" s="100">
        <v>0</v>
      </c>
      <c r="O181" s="100">
        <f t="shared" si="39"/>
        <v>0</v>
      </c>
      <c r="P181" s="100">
        <f t="shared" si="40"/>
        <v>0</v>
      </c>
      <c r="Q181" s="124">
        <f t="shared" si="41"/>
        <v>0</v>
      </c>
      <c r="R181" s="123"/>
      <c r="S181" s="123"/>
      <c r="T181" s="123"/>
      <c r="U181" s="123"/>
      <c r="V181" s="123"/>
      <c r="W181" s="123"/>
      <c r="X181" s="123"/>
      <c r="Y181" s="123"/>
      <c r="Z181" s="123"/>
      <c r="AA181" s="123"/>
      <c r="AB181" s="123"/>
      <c r="AC181" s="123"/>
      <c r="AD181" s="123"/>
      <c r="AE181" s="123"/>
      <c r="AF181" s="123"/>
      <c r="AG181" s="123"/>
      <c r="AH181" s="123"/>
      <c r="AI181" s="123"/>
      <c r="AJ181" s="123"/>
    </row>
    <row r="182" s="33" customFormat="1" ht="16.95" customHeight="1" spans="1:36">
      <c r="A182" s="87">
        <f>IF(F182&lt;&gt;"",1+MAX($A$2:A181),"")</f>
        <v>157</v>
      </c>
      <c r="B182" s="89"/>
      <c r="C182" s="89"/>
      <c r="D182" s="69" t="s">
        <v>348</v>
      </c>
      <c r="E182" s="72">
        <v>1</v>
      </c>
      <c r="F182" s="90">
        <v>0</v>
      </c>
      <c r="G182" s="91">
        <v>1</v>
      </c>
      <c r="H182" s="70" t="s">
        <v>35</v>
      </c>
      <c r="I182" s="97">
        <v>0</v>
      </c>
      <c r="J182" s="98">
        <f t="shared" si="36"/>
        <v>0</v>
      </c>
      <c r="K182" s="99">
        <v>50</v>
      </c>
      <c r="L182" s="100">
        <f t="shared" si="37"/>
        <v>0</v>
      </c>
      <c r="M182" s="100">
        <f t="shared" si="38"/>
        <v>0</v>
      </c>
      <c r="N182" s="100">
        <v>0</v>
      </c>
      <c r="O182" s="100">
        <f t="shared" si="39"/>
        <v>0</v>
      </c>
      <c r="P182" s="100">
        <f t="shared" si="40"/>
        <v>0</v>
      </c>
      <c r="Q182" s="124">
        <f t="shared" si="41"/>
        <v>0</v>
      </c>
      <c r="R182" s="123"/>
      <c r="S182" s="123"/>
      <c r="T182" s="123"/>
      <c r="U182" s="123"/>
      <c r="V182" s="123"/>
      <c r="W182" s="123"/>
      <c r="X182" s="123"/>
      <c r="Y182" s="123"/>
      <c r="Z182" s="123"/>
      <c r="AA182" s="123"/>
      <c r="AB182" s="123"/>
      <c r="AC182" s="123"/>
      <c r="AD182" s="123"/>
      <c r="AE182" s="123"/>
      <c r="AF182" s="123"/>
      <c r="AG182" s="123"/>
      <c r="AH182" s="123"/>
      <c r="AI182" s="123"/>
      <c r="AJ182" s="123"/>
    </row>
    <row r="183" s="33" customFormat="1" ht="16.95" customHeight="1" spans="1:36">
      <c r="A183" s="87">
        <f>IF(F183&lt;&gt;"",1+MAX($A$2:A182),"")</f>
        <v>158</v>
      </c>
      <c r="B183" s="89"/>
      <c r="C183" s="89"/>
      <c r="D183" s="69" t="s">
        <v>349</v>
      </c>
      <c r="E183" s="72">
        <v>1</v>
      </c>
      <c r="F183" s="90">
        <v>0</v>
      </c>
      <c r="G183" s="91">
        <v>1</v>
      </c>
      <c r="H183" s="70" t="s">
        <v>35</v>
      </c>
      <c r="I183" s="97">
        <v>0</v>
      </c>
      <c r="J183" s="98">
        <f t="shared" si="36"/>
        <v>0</v>
      </c>
      <c r="K183" s="99">
        <v>50</v>
      </c>
      <c r="L183" s="100">
        <f t="shared" si="37"/>
        <v>0</v>
      </c>
      <c r="M183" s="100">
        <f t="shared" si="38"/>
        <v>0</v>
      </c>
      <c r="N183" s="100">
        <v>0</v>
      </c>
      <c r="O183" s="100">
        <f t="shared" si="39"/>
        <v>0</v>
      </c>
      <c r="P183" s="100">
        <f t="shared" si="40"/>
        <v>0</v>
      </c>
      <c r="Q183" s="124">
        <f t="shared" si="41"/>
        <v>0</v>
      </c>
      <c r="R183" s="123"/>
      <c r="S183" s="123"/>
      <c r="T183" s="123"/>
      <c r="U183" s="123"/>
      <c r="V183" s="123"/>
      <c r="W183" s="123"/>
      <c r="X183" s="123"/>
      <c r="Y183" s="123"/>
      <c r="Z183" s="123"/>
      <c r="AA183" s="123"/>
      <c r="AB183" s="123"/>
      <c r="AC183" s="123"/>
      <c r="AD183" s="123"/>
      <c r="AE183" s="123"/>
      <c r="AF183" s="123"/>
      <c r="AG183" s="123"/>
      <c r="AH183" s="123"/>
      <c r="AI183" s="123"/>
      <c r="AJ183" s="123"/>
    </row>
    <row r="184" s="33" customFormat="1" ht="16.95" customHeight="1" spans="1:36">
      <c r="A184" s="87">
        <f>IF(F184&lt;&gt;"",1+MAX($A$2:A183),"")</f>
        <v>159</v>
      </c>
      <c r="B184" s="89"/>
      <c r="C184" s="89"/>
      <c r="D184" s="69" t="s">
        <v>350</v>
      </c>
      <c r="E184" s="72">
        <v>6</v>
      </c>
      <c r="F184" s="90">
        <v>0</v>
      </c>
      <c r="G184" s="91">
        <v>6</v>
      </c>
      <c r="H184" s="70" t="s">
        <v>35</v>
      </c>
      <c r="I184" s="97">
        <v>0</v>
      </c>
      <c r="J184" s="98">
        <f t="shared" si="36"/>
        <v>0</v>
      </c>
      <c r="K184" s="99">
        <v>50</v>
      </c>
      <c r="L184" s="100">
        <f t="shared" si="37"/>
        <v>0</v>
      </c>
      <c r="M184" s="100">
        <f t="shared" si="38"/>
        <v>0</v>
      </c>
      <c r="N184" s="100">
        <v>0</v>
      </c>
      <c r="O184" s="100">
        <f t="shared" si="39"/>
        <v>0</v>
      </c>
      <c r="P184" s="100">
        <f t="shared" si="40"/>
        <v>0</v>
      </c>
      <c r="Q184" s="124">
        <f t="shared" si="41"/>
        <v>0</v>
      </c>
      <c r="R184" s="123"/>
      <c r="S184" s="123"/>
      <c r="T184" s="123"/>
      <c r="U184" s="123"/>
      <c r="V184" s="123"/>
      <c r="W184" s="123"/>
      <c r="X184" s="123"/>
      <c r="Y184" s="123"/>
      <c r="Z184" s="123"/>
      <c r="AA184" s="123"/>
      <c r="AB184" s="123"/>
      <c r="AC184" s="123"/>
      <c r="AD184" s="123"/>
      <c r="AE184" s="123"/>
      <c r="AF184" s="123"/>
      <c r="AG184" s="123"/>
      <c r="AH184" s="123"/>
      <c r="AI184" s="123"/>
      <c r="AJ184" s="123"/>
    </row>
    <row r="185" s="33" customFormat="1" ht="16.95" customHeight="1" spans="1:36">
      <c r="A185" s="87">
        <f>IF(F185&lt;&gt;"",1+MAX($A$2:A184),"")</f>
        <v>160</v>
      </c>
      <c r="B185" s="89"/>
      <c r="C185" s="89"/>
      <c r="D185" s="69" t="s">
        <v>351</v>
      </c>
      <c r="E185" s="72">
        <v>34</v>
      </c>
      <c r="F185" s="90">
        <v>0</v>
      </c>
      <c r="G185" s="91">
        <v>34</v>
      </c>
      <c r="H185" s="70" t="s">
        <v>35</v>
      </c>
      <c r="I185" s="97">
        <v>0</v>
      </c>
      <c r="J185" s="98">
        <f t="shared" si="36"/>
        <v>0</v>
      </c>
      <c r="K185" s="99">
        <v>50</v>
      </c>
      <c r="L185" s="100">
        <f t="shared" si="37"/>
        <v>0</v>
      </c>
      <c r="M185" s="100">
        <f t="shared" si="38"/>
        <v>0</v>
      </c>
      <c r="N185" s="100">
        <v>0</v>
      </c>
      <c r="O185" s="100">
        <f t="shared" si="39"/>
        <v>0</v>
      </c>
      <c r="P185" s="100">
        <f t="shared" si="40"/>
        <v>0</v>
      </c>
      <c r="Q185" s="124">
        <f t="shared" si="41"/>
        <v>0</v>
      </c>
      <c r="R185" s="123"/>
      <c r="S185" s="123"/>
      <c r="T185" s="123"/>
      <c r="U185" s="123"/>
      <c r="V185" s="123"/>
      <c r="W185" s="123"/>
      <c r="X185" s="123"/>
      <c r="Y185" s="123"/>
      <c r="Z185" s="123"/>
      <c r="AA185" s="123"/>
      <c r="AB185" s="123"/>
      <c r="AC185" s="123"/>
      <c r="AD185" s="123"/>
      <c r="AE185" s="123"/>
      <c r="AF185" s="123"/>
      <c r="AG185" s="123"/>
      <c r="AH185" s="123"/>
      <c r="AI185" s="123"/>
      <c r="AJ185" s="123"/>
    </row>
    <row r="186" s="33" customFormat="1" ht="16.95" customHeight="1" spans="1:36">
      <c r="A186" s="87">
        <f>IF(F186&lt;&gt;"",1+MAX($A$2:A185),"")</f>
        <v>161</v>
      </c>
      <c r="B186" s="89"/>
      <c r="C186" s="89"/>
      <c r="D186" s="69" t="s">
        <v>352</v>
      </c>
      <c r="E186" s="72">
        <v>3</v>
      </c>
      <c r="F186" s="90">
        <v>0</v>
      </c>
      <c r="G186" s="91">
        <v>3</v>
      </c>
      <c r="H186" s="70" t="s">
        <v>35</v>
      </c>
      <c r="I186" s="97">
        <v>0</v>
      </c>
      <c r="J186" s="98">
        <f t="shared" si="36"/>
        <v>0</v>
      </c>
      <c r="K186" s="99">
        <v>50</v>
      </c>
      <c r="L186" s="100">
        <f t="shared" si="37"/>
        <v>0</v>
      </c>
      <c r="M186" s="100">
        <f t="shared" si="38"/>
        <v>0</v>
      </c>
      <c r="N186" s="100">
        <v>0</v>
      </c>
      <c r="O186" s="100">
        <f t="shared" si="39"/>
        <v>0</v>
      </c>
      <c r="P186" s="100">
        <f t="shared" si="40"/>
        <v>0</v>
      </c>
      <c r="Q186" s="124">
        <f t="shared" si="41"/>
        <v>0</v>
      </c>
      <c r="R186" s="123"/>
      <c r="S186" s="123"/>
      <c r="T186" s="123"/>
      <c r="U186" s="123"/>
      <c r="V186" s="123"/>
      <c r="W186" s="123"/>
      <c r="X186" s="123"/>
      <c r="Y186" s="123"/>
      <c r="Z186" s="123"/>
      <c r="AA186" s="123"/>
      <c r="AB186" s="123"/>
      <c r="AC186" s="123"/>
      <c r="AD186" s="123"/>
      <c r="AE186" s="123"/>
      <c r="AF186" s="123"/>
      <c r="AG186" s="123"/>
      <c r="AH186" s="123"/>
      <c r="AI186" s="123"/>
      <c r="AJ186" s="123"/>
    </row>
    <row r="187" s="33" customFormat="1" ht="16.95" customHeight="1" spans="1:36">
      <c r="A187" s="87">
        <f>IF(F187&lt;&gt;"",1+MAX($A$2:A186),"")</f>
        <v>162</v>
      </c>
      <c r="B187" s="89"/>
      <c r="C187" s="89"/>
      <c r="D187" s="69" t="s">
        <v>353</v>
      </c>
      <c r="E187" s="72">
        <v>1</v>
      </c>
      <c r="F187" s="90">
        <v>0</v>
      </c>
      <c r="G187" s="91">
        <v>1</v>
      </c>
      <c r="H187" s="70" t="s">
        <v>35</v>
      </c>
      <c r="I187" s="97">
        <v>0</v>
      </c>
      <c r="J187" s="98">
        <f t="shared" si="36"/>
        <v>0</v>
      </c>
      <c r="K187" s="99">
        <v>50</v>
      </c>
      <c r="L187" s="100">
        <f t="shared" si="37"/>
        <v>0</v>
      </c>
      <c r="M187" s="100">
        <f t="shared" si="38"/>
        <v>0</v>
      </c>
      <c r="N187" s="100">
        <v>0</v>
      </c>
      <c r="O187" s="100">
        <f t="shared" si="39"/>
        <v>0</v>
      </c>
      <c r="P187" s="100">
        <f t="shared" si="40"/>
        <v>0</v>
      </c>
      <c r="Q187" s="124">
        <f t="shared" si="41"/>
        <v>0</v>
      </c>
      <c r="R187" s="123"/>
      <c r="S187" s="123"/>
      <c r="T187" s="123"/>
      <c r="U187" s="123"/>
      <c r="V187" s="123"/>
      <c r="W187" s="123"/>
      <c r="X187" s="123"/>
      <c r="Y187" s="123"/>
      <c r="Z187" s="123"/>
      <c r="AA187" s="123"/>
      <c r="AB187" s="123"/>
      <c r="AC187" s="123"/>
      <c r="AD187" s="123"/>
      <c r="AE187" s="123"/>
      <c r="AF187" s="123"/>
      <c r="AG187" s="123"/>
      <c r="AH187" s="123"/>
      <c r="AI187" s="123"/>
      <c r="AJ187" s="123"/>
    </row>
    <row r="188" s="33" customFormat="1" ht="16.95" customHeight="1" spans="1:36">
      <c r="A188" s="87">
        <f>IF(F188&lt;&gt;"",1+MAX($A$2:A187),"")</f>
        <v>163</v>
      </c>
      <c r="B188" s="89"/>
      <c r="C188" s="89"/>
      <c r="D188" s="69" t="s">
        <v>354</v>
      </c>
      <c r="E188" s="72">
        <v>1</v>
      </c>
      <c r="F188" s="90">
        <v>0</v>
      </c>
      <c r="G188" s="91">
        <v>1</v>
      </c>
      <c r="H188" s="70" t="s">
        <v>35</v>
      </c>
      <c r="I188" s="97">
        <v>0</v>
      </c>
      <c r="J188" s="98">
        <f t="shared" si="36"/>
        <v>0</v>
      </c>
      <c r="K188" s="99">
        <v>50</v>
      </c>
      <c r="L188" s="100">
        <f t="shared" si="37"/>
        <v>0</v>
      </c>
      <c r="M188" s="100">
        <f t="shared" si="38"/>
        <v>0</v>
      </c>
      <c r="N188" s="100">
        <v>0</v>
      </c>
      <c r="O188" s="100">
        <f t="shared" si="39"/>
        <v>0</v>
      </c>
      <c r="P188" s="100">
        <f t="shared" si="40"/>
        <v>0</v>
      </c>
      <c r="Q188" s="124">
        <f t="shared" si="41"/>
        <v>0</v>
      </c>
      <c r="R188" s="123"/>
      <c r="S188" s="123"/>
      <c r="T188" s="123"/>
      <c r="U188" s="123"/>
      <c r="V188" s="123"/>
      <c r="W188" s="123"/>
      <c r="X188" s="123"/>
      <c r="Y188" s="123"/>
      <c r="Z188" s="123"/>
      <c r="AA188" s="123"/>
      <c r="AB188" s="123"/>
      <c r="AC188" s="123"/>
      <c r="AD188" s="123"/>
      <c r="AE188" s="123"/>
      <c r="AF188" s="123"/>
      <c r="AG188" s="123"/>
      <c r="AH188" s="123"/>
      <c r="AI188" s="123"/>
      <c r="AJ188" s="123"/>
    </row>
    <row r="189" s="33" customFormat="1" ht="16.95" customHeight="1" spans="1:36">
      <c r="A189" s="87">
        <f>IF(F189&lt;&gt;"",1+MAX($A$2:A188),"")</f>
        <v>164</v>
      </c>
      <c r="B189" s="89"/>
      <c r="C189" s="89"/>
      <c r="D189" s="69" t="s">
        <v>355</v>
      </c>
      <c r="E189" s="72">
        <v>1</v>
      </c>
      <c r="F189" s="90">
        <v>0</v>
      </c>
      <c r="G189" s="91">
        <v>1</v>
      </c>
      <c r="H189" s="70" t="s">
        <v>35</v>
      </c>
      <c r="I189" s="97">
        <v>0</v>
      </c>
      <c r="J189" s="98">
        <f t="shared" si="36"/>
        <v>0</v>
      </c>
      <c r="K189" s="99">
        <v>50</v>
      </c>
      <c r="L189" s="100">
        <f t="shared" si="37"/>
        <v>0</v>
      </c>
      <c r="M189" s="100">
        <f t="shared" si="38"/>
        <v>0</v>
      </c>
      <c r="N189" s="100">
        <v>0</v>
      </c>
      <c r="O189" s="100">
        <f t="shared" si="39"/>
        <v>0</v>
      </c>
      <c r="P189" s="100">
        <f t="shared" si="40"/>
        <v>0</v>
      </c>
      <c r="Q189" s="124">
        <f t="shared" si="41"/>
        <v>0</v>
      </c>
      <c r="R189" s="123"/>
      <c r="S189" s="123"/>
      <c r="T189" s="123"/>
      <c r="U189" s="123"/>
      <c r="V189" s="123"/>
      <c r="W189" s="123"/>
      <c r="X189" s="123"/>
      <c r="Y189" s="123"/>
      <c r="Z189" s="123"/>
      <c r="AA189" s="123"/>
      <c r="AB189" s="123"/>
      <c r="AC189" s="123"/>
      <c r="AD189" s="123"/>
      <c r="AE189" s="123"/>
      <c r="AF189" s="123"/>
      <c r="AG189" s="123"/>
      <c r="AH189" s="123"/>
      <c r="AI189" s="123"/>
      <c r="AJ189" s="123"/>
    </row>
    <row r="190" s="33" customFormat="1" ht="16.95" customHeight="1" spans="1:36">
      <c r="A190" s="87">
        <f>IF(F190&lt;&gt;"",1+MAX($A$2:A189),"")</f>
        <v>165</v>
      </c>
      <c r="B190" s="89"/>
      <c r="C190" s="89"/>
      <c r="D190" s="69" t="s">
        <v>356</v>
      </c>
      <c r="E190" s="72">
        <v>2</v>
      </c>
      <c r="F190" s="90">
        <v>0</v>
      </c>
      <c r="G190" s="91">
        <v>2</v>
      </c>
      <c r="H190" s="70" t="s">
        <v>35</v>
      </c>
      <c r="I190" s="97">
        <v>0</v>
      </c>
      <c r="J190" s="98">
        <f t="shared" si="36"/>
        <v>0</v>
      </c>
      <c r="K190" s="99">
        <v>50</v>
      </c>
      <c r="L190" s="100">
        <f t="shared" si="37"/>
        <v>0</v>
      </c>
      <c r="M190" s="100">
        <f t="shared" si="38"/>
        <v>0</v>
      </c>
      <c r="N190" s="100">
        <v>0</v>
      </c>
      <c r="O190" s="100">
        <f t="shared" si="39"/>
        <v>0</v>
      </c>
      <c r="P190" s="100">
        <f t="shared" si="40"/>
        <v>0</v>
      </c>
      <c r="Q190" s="124">
        <f t="shared" si="41"/>
        <v>0</v>
      </c>
      <c r="R190" s="123"/>
      <c r="S190" s="123"/>
      <c r="T190" s="123"/>
      <c r="U190" s="123"/>
      <c r="V190" s="123"/>
      <c r="W190" s="123"/>
      <c r="X190" s="123"/>
      <c r="Y190" s="123"/>
      <c r="Z190" s="123"/>
      <c r="AA190" s="123"/>
      <c r="AB190" s="123"/>
      <c r="AC190" s="123"/>
      <c r="AD190" s="123"/>
      <c r="AE190" s="123"/>
      <c r="AF190" s="123"/>
      <c r="AG190" s="123"/>
      <c r="AH190" s="123"/>
      <c r="AI190" s="123"/>
      <c r="AJ190" s="123"/>
    </row>
    <row r="191" s="33" customFormat="1" ht="16.95" customHeight="1" spans="1:36">
      <c r="A191" s="87">
        <f>IF(F191&lt;&gt;"",1+MAX($A$2:A190),"")</f>
        <v>166</v>
      </c>
      <c r="B191" s="89"/>
      <c r="C191" s="89"/>
      <c r="D191" s="69" t="s">
        <v>357</v>
      </c>
      <c r="E191" s="72">
        <v>1</v>
      </c>
      <c r="F191" s="90">
        <v>0</v>
      </c>
      <c r="G191" s="91">
        <v>1</v>
      </c>
      <c r="H191" s="70" t="s">
        <v>35</v>
      </c>
      <c r="I191" s="97">
        <v>0</v>
      </c>
      <c r="J191" s="98">
        <f t="shared" si="36"/>
        <v>0</v>
      </c>
      <c r="K191" s="99">
        <v>50</v>
      </c>
      <c r="L191" s="100">
        <f t="shared" si="37"/>
        <v>0</v>
      </c>
      <c r="M191" s="100">
        <f t="shared" si="38"/>
        <v>0</v>
      </c>
      <c r="N191" s="100">
        <v>0</v>
      </c>
      <c r="O191" s="100">
        <f t="shared" si="39"/>
        <v>0</v>
      </c>
      <c r="P191" s="100">
        <f t="shared" si="40"/>
        <v>0</v>
      </c>
      <c r="Q191" s="124">
        <f t="shared" si="41"/>
        <v>0</v>
      </c>
      <c r="R191" s="123"/>
      <c r="S191" s="123"/>
      <c r="T191" s="123"/>
      <c r="U191" s="123"/>
      <c r="V191" s="123"/>
      <c r="W191" s="123"/>
      <c r="X191" s="123"/>
      <c r="Y191" s="123"/>
      <c r="Z191" s="123"/>
      <c r="AA191" s="123"/>
      <c r="AB191" s="123"/>
      <c r="AC191" s="123"/>
      <c r="AD191" s="123"/>
      <c r="AE191" s="123"/>
      <c r="AF191" s="123"/>
      <c r="AG191" s="123"/>
      <c r="AH191" s="123"/>
      <c r="AI191" s="123"/>
      <c r="AJ191" s="123"/>
    </row>
    <row r="192" s="33" customFormat="1" ht="16.95" customHeight="1" spans="1:36">
      <c r="A192" s="87">
        <f>IF(F192&lt;&gt;"",1+MAX($A$2:A191),"")</f>
        <v>167</v>
      </c>
      <c r="B192" s="89"/>
      <c r="C192" s="89"/>
      <c r="D192" s="69" t="s">
        <v>358</v>
      </c>
      <c r="E192" s="72">
        <v>1</v>
      </c>
      <c r="F192" s="90">
        <v>0</v>
      </c>
      <c r="G192" s="91">
        <v>1</v>
      </c>
      <c r="H192" s="70" t="s">
        <v>35</v>
      </c>
      <c r="I192" s="97">
        <v>0</v>
      </c>
      <c r="J192" s="98">
        <f t="shared" si="36"/>
        <v>0</v>
      </c>
      <c r="K192" s="99">
        <v>50</v>
      </c>
      <c r="L192" s="100">
        <f t="shared" si="37"/>
        <v>0</v>
      </c>
      <c r="M192" s="100">
        <f t="shared" si="38"/>
        <v>0</v>
      </c>
      <c r="N192" s="100">
        <v>0</v>
      </c>
      <c r="O192" s="100">
        <f t="shared" si="39"/>
        <v>0</v>
      </c>
      <c r="P192" s="100">
        <f t="shared" si="40"/>
        <v>0</v>
      </c>
      <c r="Q192" s="124">
        <f t="shared" si="41"/>
        <v>0</v>
      </c>
      <c r="R192" s="123"/>
      <c r="S192" s="123"/>
      <c r="T192" s="123"/>
      <c r="U192" s="123"/>
      <c r="V192" s="123"/>
      <c r="W192" s="123"/>
      <c r="X192" s="123"/>
      <c r="Y192" s="123"/>
      <c r="Z192" s="123"/>
      <c r="AA192" s="123"/>
      <c r="AB192" s="123"/>
      <c r="AC192" s="123"/>
      <c r="AD192" s="123"/>
      <c r="AE192" s="123"/>
      <c r="AF192" s="123"/>
      <c r="AG192" s="123"/>
      <c r="AH192" s="123"/>
      <c r="AI192" s="123"/>
      <c r="AJ192" s="123"/>
    </row>
    <row r="193" s="33" customFormat="1" ht="16.95" customHeight="1" spans="1:36">
      <c r="A193" s="87">
        <f>IF(F193&lt;&gt;"",1+MAX($A$2:A192),"")</f>
        <v>168</v>
      </c>
      <c r="B193" s="89"/>
      <c r="C193" s="89"/>
      <c r="D193" s="69" t="s">
        <v>359</v>
      </c>
      <c r="E193" s="72">
        <v>1</v>
      </c>
      <c r="F193" s="90">
        <v>0</v>
      </c>
      <c r="G193" s="91">
        <v>1</v>
      </c>
      <c r="H193" s="70" t="s">
        <v>35</v>
      </c>
      <c r="I193" s="97">
        <v>0</v>
      </c>
      <c r="J193" s="98">
        <f t="shared" si="36"/>
        <v>0</v>
      </c>
      <c r="K193" s="99">
        <v>50</v>
      </c>
      <c r="L193" s="100">
        <f t="shared" si="37"/>
        <v>0</v>
      </c>
      <c r="M193" s="100">
        <f t="shared" si="38"/>
        <v>0</v>
      </c>
      <c r="N193" s="100">
        <v>0</v>
      </c>
      <c r="O193" s="100">
        <f t="shared" si="39"/>
        <v>0</v>
      </c>
      <c r="P193" s="100">
        <f t="shared" si="40"/>
        <v>0</v>
      </c>
      <c r="Q193" s="124">
        <f t="shared" si="41"/>
        <v>0</v>
      </c>
      <c r="R193" s="123"/>
      <c r="S193" s="123"/>
      <c r="T193" s="123"/>
      <c r="U193" s="123"/>
      <c r="V193" s="123"/>
      <c r="W193" s="123"/>
      <c r="X193" s="123"/>
      <c r="Y193" s="123"/>
      <c r="Z193" s="123"/>
      <c r="AA193" s="123"/>
      <c r="AB193" s="123"/>
      <c r="AC193" s="123"/>
      <c r="AD193" s="123"/>
      <c r="AE193" s="123"/>
      <c r="AF193" s="123"/>
      <c r="AG193" s="123"/>
      <c r="AH193" s="123"/>
      <c r="AI193" s="123"/>
      <c r="AJ193" s="123"/>
    </row>
    <row r="194" s="33" customFormat="1" ht="16.95" customHeight="1" spans="1:36">
      <c r="A194" s="87">
        <f>IF(F194&lt;&gt;"",1+MAX($A$2:A193),"")</f>
        <v>169</v>
      </c>
      <c r="B194" s="89"/>
      <c r="C194" s="89"/>
      <c r="D194" s="69" t="s">
        <v>360</v>
      </c>
      <c r="E194" s="72">
        <v>3</v>
      </c>
      <c r="F194" s="90">
        <v>0</v>
      </c>
      <c r="G194" s="91">
        <v>3</v>
      </c>
      <c r="H194" s="70" t="s">
        <v>35</v>
      </c>
      <c r="I194" s="97">
        <v>0</v>
      </c>
      <c r="J194" s="98">
        <f t="shared" si="36"/>
        <v>0</v>
      </c>
      <c r="K194" s="99">
        <v>50</v>
      </c>
      <c r="L194" s="100">
        <f t="shared" si="37"/>
        <v>0</v>
      </c>
      <c r="M194" s="100">
        <f t="shared" si="38"/>
        <v>0</v>
      </c>
      <c r="N194" s="100">
        <v>0</v>
      </c>
      <c r="O194" s="100">
        <f t="shared" si="39"/>
        <v>0</v>
      </c>
      <c r="P194" s="100">
        <f t="shared" si="40"/>
        <v>0</v>
      </c>
      <c r="Q194" s="124">
        <f t="shared" si="41"/>
        <v>0</v>
      </c>
      <c r="R194" s="123"/>
      <c r="S194" s="123"/>
      <c r="T194" s="123"/>
      <c r="U194" s="123"/>
      <c r="V194" s="123"/>
      <c r="W194" s="123"/>
      <c r="X194" s="123"/>
      <c r="Y194" s="123"/>
      <c r="Z194" s="123"/>
      <c r="AA194" s="123"/>
      <c r="AB194" s="123"/>
      <c r="AC194" s="123"/>
      <c r="AD194" s="123"/>
      <c r="AE194" s="123"/>
      <c r="AF194" s="123"/>
      <c r="AG194" s="123"/>
      <c r="AH194" s="123"/>
      <c r="AI194" s="123"/>
      <c r="AJ194" s="123"/>
    </row>
    <row r="195" s="33" customFormat="1" ht="16.95" customHeight="1" spans="1:36">
      <c r="A195" s="87">
        <f>IF(F195&lt;&gt;"",1+MAX($A$2:A194),"")</f>
        <v>170</v>
      </c>
      <c r="B195" s="89"/>
      <c r="C195" s="89"/>
      <c r="D195" s="69" t="s">
        <v>361</v>
      </c>
      <c r="E195" s="72">
        <v>1</v>
      </c>
      <c r="F195" s="90">
        <v>0</v>
      </c>
      <c r="G195" s="91">
        <v>1</v>
      </c>
      <c r="H195" s="70" t="s">
        <v>35</v>
      </c>
      <c r="I195" s="97">
        <v>0</v>
      </c>
      <c r="J195" s="98">
        <f t="shared" si="36"/>
        <v>0</v>
      </c>
      <c r="K195" s="99">
        <v>50</v>
      </c>
      <c r="L195" s="100">
        <f t="shared" si="37"/>
        <v>0</v>
      </c>
      <c r="M195" s="100">
        <f t="shared" si="38"/>
        <v>0</v>
      </c>
      <c r="N195" s="100">
        <v>0</v>
      </c>
      <c r="O195" s="100">
        <f t="shared" si="39"/>
        <v>0</v>
      </c>
      <c r="P195" s="100">
        <f t="shared" si="40"/>
        <v>0</v>
      </c>
      <c r="Q195" s="124">
        <f t="shared" si="41"/>
        <v>0</v>
      </c>
      <c r="R195" s="123"/>
      <c r="S195" s="123"/>
      <c r="T195" s="123"/>
      <c r="U195" s="123"/>
      <c r="V195" s="123"/>
      <c r="W195" s="123"/>
      <c r="X195" s="123"/>
      <c r="Y195" s="123"/>
      <c r="Z195" s="123"/>
      <c r="AA195" s="123"/>
      <c r="AB195" s="123"/>
      <c r="AC195" s="123"/>
      <c r="AD195" s="123"/>
      <c r="AE195" s="123"/>
      <c r="AF195" s="123"/>
      <c r="AG195" s="123"/>
      <c r="AH195" s="123"/>
      <c r="AI195" s="123"/>
      <c r="AJ195" s="123"/>
    </row>
    <row r="196" s="33" customFormat="1" ht="16.95" customHeight="1" spans="1:36">
      <c r="A196" s="87">
        <f>IF(F196&lt;&gt;"",1+MAX($A$2:A195),"")</f>
        <v>171</v>
      </c>
      <c r="B196" s="89"/>
      <c r="C196" s="89"/>
      <c r="D196" s="69" t="s">
        <v>362</v>
      </c>
      <c r="E196" s="72">
        <v>2</v>
      </c>
      <c r="F196" s="90">
        <v>0</v>
      </c>
      <c r="G196" s="91">
        <v>2</v>
      </c>
      <c r="H196" s="70" t="s">
        <v>35</v>
      </c>
      <c r="I196" s="97">
        <v>0</v>
      </c>
      <c r="J196" s="98">
        <f t="shared" si="36"/>
        <v>0</v>
      </c>
      <c r="K196" s="99">
        <v>50</v>
      </c>
      <c r="L196" s="100">
        <f t="shared" si="37"/>
        <v>0</v>
      </c>
      <c r="M196" s="100">
        <f t="shared" si="38"/>
        <v>0</v>
      </c>
      <c r="N196" s="100">
        <v>0</v>
      </c>
      <c r="O196" s="100">
        <f t="shared" si="39"/>
        <v>0</v>
      </c>
      <c r="P196" s="100">
        <f t="shared" si="40"/>
        <v>0</v>
      </c>
      <c r="Q196" s="124">
        <f t="shared" si="41"/>
        <v>0</v>
      </c>
      <c r="R196" s="123"/>
      <c r="S196" s="123"/>
      <c r="T196" s="123"/>
      <c r="U196" s="123"/>
      <c r="V196" s="123"/>
      <c r="W196" s="123"/>
      <c r="X196" s="123"/>
      <c r="Y196" s="123"/>
      <c r="Z196" s="123"/>
      <c r="AA196" s="123"/>
      <c r="AB196" s="123"/>
      <c r="AC196" s="123"/>
      <c r="AD196" s="123"/>
      <c r="AE196" s="123"/>
      <c r="AF196" s="123"/>
      <c r="AG196" s="123"/>
      <c r="AH196" s="123"/>
      <c r="AI196" s="123"/>
      <c r="AJ196" s="123"/>
    </row>
    <row r="197" s="33" customFormat="1" ht="16.95" customHeight="1" spans="1:36">
      <c r="A197" s="87">
        <f>IF(F197&lt;&gt;"",1+MAX($A$2:A196),"")</f>
        <v>172</v>
      </c>
      <c r="B197" s="89"/>
      <c r="C197" s="89"/>
      <c r="D197" s="69" t="s">
        <v>363</v>
      </c>
      <c r="E197" s="72">
        <v>6</v>
      </c>
      <c r="F197" s="90">
        <v>0</v>
      </c>
      <c r="G197" s="91">
        <v>6</v>
      </c>
      <c r="H197" s="70" t="s">
        <v>35</v>
      </c>
      <c r="I197" s="97">
        <v>0</v>
      </c>
      <c r="J197" s="98">
        <f t="shared" si="36"/>
        <v>0</v>
      </c>
      <c r="K197" s="99">
        <v>50</v>
      </c>
      <c r="L197" s="100">
        <f t="shared" si="37"/>
        <v>0</v>
      </c>
      <c r="M197" s="100">
        <f t="shared" si="38"/>
        <v>0</v>
      </c>
      <c r="N197" s="100">
        <v>0</v>
      </c>
      <c r="O197" s="100">
        <f t="shared" si="39"/>
        <v>0</v>
      </c>
      <c r="P197" s="100">
        <f t="shared" si="40"/>
        <v>0</v>
      </c>
      <c r="Q197" s="124">
        <f t="shared" si="41"/>
        <v>0</v>
      </c>
      <c r="R197" s="123"/>
      <c r="S197" s="123"/>
      <c r="T197" s="123"/>
      <c r="U197" s="123"/>
      <c r="V197" s="123"/>
      <c r="W197" s="123"/>
      <c r="X197" s="123"/>
      <c r="Y197" s="123"/>
      <c r="Z197" s="123"/>
      <c r="AA197" s="123"/>
      <c r="AB197" s="123"/>
      <c r="AC197" s="123"/>
      <c r="AD197" s="123"/>
      <c r="AE197" s="123"/>
      <c r="AF197" s="123"/>
      <c r="AG197" s="123"/>
      <c r="AH197" s="123"/>
      <c r="AI197" s="123"/>
      <c r="AJ197" s="123"/>
    </row>
    <row r="198" s="33" customFormat="1" ht="16.95" customHeight="1" spans="1:36">
      <c r="A198" s="87">
        <f>IF(F198&lt;&gt;"",1+MAX($A$2:A197),"")</f>
        <v>173</v>
      </c>
      <c r="B198" s="89"/>
      <c r="C198" s="89"/>
      <c r="D198" s="69" t="s">
        <v>364</v>
      </c>
      <c r="E198" s="72">
        <v>1</v>
      </c>
      <c r="F198" s="90">
        <v>0</v>
      </c>
      <c r="G198" s="91">
        <v>1</v>
      </c>
      <c r="H198" s="70" t="s">
        <v>35</v>
      </c>
      <c r="I198" s="97">
        <v>0</v>
      </c>
      <c r="J198" s="98">
        <f t="shared" si="36"/>
        <v>0</v>
      </c>
      <c r="K198" s="99">
        <v>50</v>
      </c>
      <c r="L198" s="100">
        <f t="shared" si="37"/>
        <v>0</v>
      </c>
      <c r="M198" s="100">
        <f t="shared" si="38"/>
        <v>0</v>
      </c>
      <c r="N198" s="100">
        <v>0</v>
      </c>
      <c r="O198" s="100">
        <f t="shared" si="39"/>
        <v>0</v>
      </c>
      <c r="P198" s="100">
        <f t="shared" si="40"/>
        <v>0</v>
      </c>
      <c r="Q198" s="124">
        <f t="shared" si="41"/>
        <v>0</v>
      </c>
      <c r="R198" s="123"/>
      <c r="S198" s="123"/>
      <c r="T198" s="123"/>
      <c r="U198" s="123"/>
      <c r="V198" s="123"/>
      <c r="W198" s="123"/>
      <c r="X198" s="123"/>
      <c r="Y198" s="123"/>
      <c r="Z198" s="123"/>
      <c r="AA198" s="123"/>
      <c r="AB198" s="123"/>
      <c r="AC198" s="123"/>
      <c r="AD198" s="123"/>
      <c r="AE198" s="123"/>
      <c r="AF198" s="123"/>
      <c r="AG198" s="123"/>
      <c r="AH198" s="123"/>
      <c r="AI198" s="123"/>
      <c r="AJ198" s="123"/>
    </row>
    <row r="199" s="33" customFormat="1" ht="16.95" customHeight="1" spans="1:36">
      <c r="A199" s="87">
        <f>IF(F199&lt;&gt;"",1+MAX($A$2:A198),"")</f>
        <v>174</v>
      </c>
      <c r="B199" s="89"/>
      <c r="C199" s="89"/>
      <c r="D199" s="69" t="s">
        <v>365</v>
      </c>
      <c r="E199" s="72">
        <v>1</v>
      </c>
      <c r="F199" s="90">
        <v>0</v>
      </c>
      <c r="G199" s="91">
        <v>1</v>
      </c>
      <c r="H199" s="70" t="s">
        <v>35</v>
      </c>
      <c r="I199" s="97">
        <v>0</v>
      </c>
      <c r="J199" s="98">
        <f t="shared" si="36"/>
        <v>0</v>
      </c>
      <c r="K199" s="99">
        <v>50</v>
      </c>
      <c r="L199" s="100">
        <f t="shared" si="37"/>
        <v>0</v>
      </c>
      <c r="M199" s="100">
        <f t="shared" si="38"/>
        <v>0</v>
      </c>
      <c r="N199" s="100">
        <v>0</v>
      </c>
      <c r="O199" s="100">
        <f t="shared" si="39"/>
        <v>0</v>
      </c>
      <c r="P199" s="100">
        <f t="shared" si="40"/>
        <v>0</v>
      </c>
      <c r="Q199" s="124">
        <f t="shared" si="41"/>
        <v>0</v>
      </c>
      <c r="R199" s="123"/>
      <c r="S199" s="123"/>
      <c r="T199" s="123"/>
      <c r="U199" s="123"/>
      <c r="V199" s="123"/>
      <c r="W199" s="123"/>
      <c r="X199" s="123"/>
      <c r="Y199" s="123"/>
      <c r="Z199" s="123"/>
      <c r="AA199" s="123"/>
      <c r="AB199" s="123"/>
      <c r="AC199" s="123"/>
      <c r="AD199" s="123"/>
      <c r="AE199" s="123"/>
      <c r="AF199" s="123"/>
      <c r="AG199" s="123"/>
      <c r="AH199" s="123"/>
      <c r="AI199" s="123"/>
      <c r="AJ199" s="123"/>
    </row>
    <row r="200" s="33" customFormat="1" ht="16.95" customHeight="1" spans="1:36">
      <c r="A200" s="87">
        <f>IF(F200&lt;&gt;"",1+MAX($A$2:A199),"")</f>
        <v>175</v>
      </c>
      <c r="B200" s="89"/>
      <c r="C200" s="89"/>
      <c r="D200" s="69" t="s">
        <v>366</v>
      </c>
      <c r="E200" s="72">
        <v>2</v>
      </c>
      <c r="F200" s="90">
        <v>0</v>
      </c>
      <c r="G200" s="91">
        <v>2</v>
      </c>
      <c r="H200" s="70" t="s">
        <v>35</v>
      </c>
      <c r="I200" s="97">
        <v>0</v>
      </c>
      <c r="J200" s="98">
        <f t="shared" si="36"/>
        <v>0</v>
      </c>
      <c r="K200" s="99">
        <v>50</v>
      </c>
      <c r="L200" s="100">
        <f t="shared" si="37"/>
        <v>0</v>
      </c>
      <c r="M200" s="100">
        <f t="shared" si="38"/>
        <v>0</v>
      </c>
      <c r="N200" s="100">
        <v>0</v>
      </c>
      <c r="O200" s="100">
        <f t="shared" si="39"/>
        <v>0</v>
      </c>
      <c r="P200" s="100">
        <f t="shared" si="40"/>
        <v>0</v>
      </c>
      <c r="Q200" s="124">
        <f t="shared" si="41"/>
        <v>0</v>
      </c>
      <c r="R200" s="123"/>
      <c r="S200" s="123"/>
      <c r="T200" s="123"/>
      <c r="U200" s="123"/>
      <c r="V200" s="123"/>
      <c r="W200" s="123"/>
      <c r="X200" s="123"/>
      <c r="Y200" s="123"/>
      <c r="Z200" s="123"/>
      <c r="AA200" s="123"/>
      <c r="AB200" s="123"/>
      <c r="AC200" s="123"/>
      <c r="AD200" s="123"/>
      <c r="AE200" s="123"/>
      <c r="AF200" s="123"/>
      <c r="AG200" s="123"/>
      <c r="AH200" s="123"/>
      <c r="AI200" s="123"/>
      <c r="AJ200" s="123"/>
    </row>
    <row r="201" s="33" customFormat="1" ht="16.95" customHeight="1" spans="1:36">
      <c r="A201" s="87">
        <f>IF(F201&lt;&gt;"",1+MAX($A$2:A200),"")</f>
        <v>176</v>
      </c>
      <c r="B201" s="89"/>
      <c r="C201" s="89" t="s">
        <v>367</v>
      </c>
      <c r="D201" s="69" t="s">
        <v>368</v>
      </c>
      <c r="E201" s="72">
        <v>136</v>
      </c>
      <c r="F201" s="90">
        <v>0</v>
      </c>
      <c r="G201" s="91">
        <v>136</v>
      </c>
      <c r="H201" s="70" t="s">
        <v>35</v>
      </c>
      <c r="I201" s="97">
        <v>0</v>
      </c>
      <c r="J201" s="98">
        <f t="shared" si="36"/>
        <v>0</v>
      </c>
      <c r="K201" s="99">
        <v>50</v>
      </c>
      <c r="L201" s="100">
        <f t="shared" si="37"/>
        <v>0</v>
      </c>
      <c r="M201" s="100">
        <f t="shared" si="38"/>
        <v>0</v>
      </c>
      <c r="N201" s="100">
        <v>0</v>
      </c>
      <c r="O201" s="100">
        <f t="shared" si="39"/>
        <v>0</v>
      </c>
      <c r="P201" s="100">
        <f t="shared" si="40"/>
        <v>0</v>
      </c>
      <c r="Q201" s="124">
        <f t="shared" si="41"/>
        <v>0</v>
      </c>
      <c r="R201" s="123"/>
      <c r="S201" s="123"/>
      <c r="T201" s="123"/>
      <c r="U201" s="123"/>
      <c r="V201" s="123"/>
      <c r="W201" s="123"/>
      <c r="X201" s="123"/>
      <c r="Y201" s="123"/>
      <c r="Z201" s="123"/>
      <c r="AA201" s="123"/>
      <c r="AB201" s="123"/>
      <c r="AC201" s="123"/>
      <c r="AD201" s="123"/>
      <c r="AE201" s="123"/>
      <c r="AF201" s="123"/>
      <c r="AG201" s="123"/>
      <c r="AH201" s="123"/>
      <c r="AI201" s="123"/>
      <c r="AJ201" s="123"/>
    </row>
    <row r="202" s="33" customFormat="1" ht="16.95" customHeight="1" spans="1:36">
      <c r="A202" s="87">
        <f>IF(F202&lt;&gt;"",1+MAX($A$2:A201),"")</f>
        <v>177</v>
      </c>
      <c r="B202" s="89"/>
      <c r="C202" s="89" t="s">
        <v>369</v>
      </c>
      <c r="D202" s="69" t="s">
        <v>370</v>
      </c>
      <c r="E202" s="72">
        <v>16</v>
      </c>
      <c r="F202" s="90">
        <v>0</v>
      </c>
      <c r="G202" s="91">
        <v>16</v>
      </c>
      <c r="H202" s="70" t="s">
        <v>35</v>
      </c>
      <c r="I202" s="97">
        <v>0</v>
      </c>
      <c r="J202" s="98">
        <f t="shared" si="36"/>
        <v>0</v>
      </c>
      <c r="K202" s="99">
        <v>50</v>
      </c>
      <c r="L202" s="100">
        <f t="shared" si="37"/>
        <v>0</v>
      </c>
      <c r="M202" s="100">
        <f t="shared" si="38"/>
        <v>0</v>
      </c>
      <c r="N202" s="100">
        <v>0</v>
      </c>
      <c r="O202" s="100">
        <f t="shared" si="39"/>
        <v>0</v>
      </c>
      <c r="P202" s="100">
        <f t="shared" si="40"/>
        <v>0</v>
      </c>
      <c r="Q202" s="124">
        <f t="shared" si="41"/>
        <v>0</v>
      </c>
      <c r="R202" s="123"/>
      <c r="S202" s="123"/>
      <c r="T202" s="123"/>
      <c r="U202" s="123"/>
      <c r="V202" s="123"/>
      <c r="W202" s="123"/>
      <c r="X202" s="123"/>
      <c r="Y202" s="123"/>
      <c r="Z202" s="123"/>
      <c r="AA202" s="123"/>
      <c r="AB202" s="123"/>
      <c r="AC202" s="123"/>
      <c r="AD202" s="123"/>
      <c r="AE202" s="123"/>
      <c r="AF202" s="123"/>
      <c r="AG202" s="123"/>
      <c r="AH202" s="123"/>
      <c r="AI202" s="123"/>
      <c r="AJ202" s="123"/>
    </row>
    <row r="203" s="33" customFormat="1" ht="16.95" customHeight="1" spans="1:36">
      <c r="A203" s="87">
        <f>IF(F203&lt;&gt;"",1+MAX($A$2:A202),"")</f>
        <v>178</v>
      </c>
      <c r="B203" s="89"/>
      <c r="C203" s="89" t="s">
        <v>371</v>
      </c>
      <c r="D203" s="69" t="s">
        <v>372</v>
      </c>
      <c r="E203" s="72">
        <v>2</v>
      </c>
      <c r="F203" s="90">
        <v>0</v>
      </c>
      <c r="G203" s="91">
        <v>2</v>
      </c>
      <c r="H203" s="70" t="s">
        <v>35</v>
      </c>
      <c r="I203" s="97">
        <v>0</v>
      </c>
      <c r="J203" s="98">
        <f t="shared" si="36"/>
        <v>0</v>
      </c>
      <c r="K203" s="99">
        <v>50</v>
      </c>
      <c r="L203" s="100">
        <f t="shared" si="37"/>
        <v>0</v>
      </c>
      <c r="M203" s="100">
        <f t="shared" si="38"/>
        <v>0</v>
      </c>
      <c r="N203" s="100">
        <v>0</v>
      </c>
      <c r="O203" s="100">
        <f t="shared" si="39"/>
        <v>0</v>
      </c>
      <c r="P203" s="100">
        <f t="shared" si="40"/>
        <v>0</v>
      </c>
      <c r="Q203" s="124">
        <f t="shared" si="41"/>
        <v>0</v>
      </c>
      <c r="R203" s="123"/>
      <c r="S203" s="123"/>
      <c r="T203" s="123"/>
      <c r="U203" s="123"/>
      <c r="V203" s="123"/>
      <c r="W203" s="123"/>
      <c r="X203" s="123"/>
      <c r="Y203" s="123"/>
      <c r="Z203" s="123"/>
      <c r="AA203" s="123"/>
      <c r="AB203" s="123"/>
      <c r="AC203" s="123"/>
      <c r="AD203" s="123"/>
      <c r="AE203" s="123"/>
      <c r="AF203" s="123"/>
      <c r="AG203" s="123"/>
      <c r="AH203" s="123"/>
      <c r="AI203" s="123"/>
      <c r="AJ203" s="123"/>
    </row>
    <row r="204" s="33" customFormat="1" ht="16.95" customHeight="1" spans="1:36">
      <c r="A204" s="87">
        <f>IF(F204&lt;&gt;"",1+MAX($A$2:A203),"")</f>
        <v>179</v>
      </c>
      <c r="B204" s="89"/>
      <c r="C204" s="89" t="s">
        <v>373</v>
      </c>
      <c r="D204" s="69" t="s">
        <v>374</v>
      </c>
      <c r="E204" s="72">
        <v>2</v>
      </c>
      <c r="F204" s="90">
        <v>0</v>
      </c>
      <c r="G204" s="91">
        <v>2</v>
      </c>
      <c r="H204" s="70" t="s">
        <v>35</v>
      </c>
      <c r="I204" s="97">
        <v>0</v>
      </c>
      <c r="J204" s="98">
        <f t="shared" si="36"/>
        <v>0</v>
      </c>
      <c r="K204" s="99">
        <v>50</v>
      </c>
      <c r="L204" s="100">
        <f t="shared" si="37"/>
        <v>0</v>
      </c>
      <c r="M204" s="100">
        <f t="shared" si="38"/>
        <v>0</v>
      </c>
      <c r="N204" s="100">
        <v>0</v>
      </c>
      <c r="O204" s="100">
        <f t="shared" si="39"/>
        <v>0</v>
      </c>
      <c r="P204" s="100">
        <f t="shared" si="40"/>
        <v>0</v>
      </c>
      <c r="Q204" s="124">
        <f t="shared" si="41"/>
        <v>0</v>
      </c>
      <c r="R204" s="123"/>
      <c r="S204" s="123"/>
      <c r="T204" s="123"/>
      <c r="U204" s="123"/>
      <c r="V204" s="123"/>
      <c r="W204" s="123"/>
      <c r="X204" s="123"/>
      <c r="Y204" s="123"/>
      <c r="Z204" s="123"/>
      <c r="AA204" s="123"/>
      <c r="AB204" s="123"/>
      <c r="AC204" s="123"/>
      <c r="AD204" s="123"/>
      <c r="AE204" s="123"/>
      <c r="AF204" s="123"/>
      <c r="AG204" s="123"/>
      <c r="AH204" s="123"/>
      <c r="AI204" s="123"/>
      <c r="AJ204" s="123"/>
    </row>
    <row r="205" s="33" customFormat="1" ht="16.95" customHeight="1" spans="1:36">
      <c r="A205" s="87">
        <f>IF(F205&lt;&gt;"",1+MAX($A$2:A204),"")</f>
        <v>180</v>
      </c>
      <c r="B205" s="89"/>
      <c r="C205" s="89" t="s">
        <v>375</v>
      </c>
      <c r="D205" s="69" t="s">
        <v>376</v>
      </c>
      <c r="E205" s="72">
        <v>7</v>
      </c>
      <c r="F205" s="90">
        <v>0</v>
      </c>
      <c r="G205" s="91">
        <v>7</v>
      </c>
      <c r="H205" s="70" t="s">
        <v>35</v>
      </c>
      <c r="I205" s="97">
        <v>0</v>
      </c>
      <c r="J205" s="98">
        <f t="shared" si="36"/>
        <v>0</v>
      </c>
      <c r="K205" s="99">
        <v>50</v>
      </c>
      <c r="L205" s="100">
        <f t="shared" si="37"/>
        <v>0</v>
      </c>
      <c r="M205" s="100">
        <f t="shared" si="38"/>
        <v>0</v>
      </c>
      <c r="N205" s="100">
        <v>0</v>
      </c>
      <c r="O205" s="100">
        <f t="shared" si="39"/>
        <v>0</v>
      </c>
      <c r="P205" s="100">
        <f t="shared" si="40"/>
        <v>0</v>
      </c>
      <c r="Q205" s="124">
        <f t="shared" si="41"/>
        <v>0</v>
      </c>
      <c r="R205" s="123"/>
      <c r="S205" s="123"/>
      <c r="T205" s="123"/>
      <c r="U205" s="123"/>
      <c r="V205" s="123"/>
      <c r="W205" s="123"/>
      <c r="X205" s="123"/>
      <c r="Y205" s="123"/>
      <c r="Z205" s="123"/>
      <c r="AA205" s="123"/>
      <c r="AB205" s="123"/>
      <c r="AC205" s="123"/>
      <c r="AD205" s="123"/>
      <c r="AE205" s="123"/>
      <c r="AF205" s="123"/>
      <c r="AG205" s="123"/>
      <c r="AH205" s="123"/>
      <c r="AI205" s="123"/>
      <c r="AJ205" s="123"/>
    </row>
    <row r="206" s="33" customFormat="1" ht="16.95" customHeight="1" spans="1:36">
      <c r="A206" s="87">
        <f>IF(F206&lt;&gt;"",1+MAX($A$2:A205),"")</f>
        <v>181</v>
      </c>
      <c r="B206" s="89"/>
      <c r="C206" s="89" t="s">
        <v>377</v>
      </c>
      <c r="D206" s="69" t="s">
        <v>378</v>
      </c>
      <c r="E206" s="72">
        <v>14</v>
      </c>
      <c r="F206" s="90">
        <v>0</v>
      </c>
      <c r="G206" s="91">
        <v>14</v>
      </c>
      <c r="H206" s="70" t="s">
        <v>35</v>
      </c>
      <c r="I206" s="97">
        <v>0</v>
      </c>
      <c r="J206" s="98">
        <f t="shared" si="36"/>
        <v>0</v>
      </c>
      <c r="K206" s="99">
        <v>50</v>
      </c>
      <c r="L206" s="100">
        <f t="shared" si="37"/>
        <v>0</v>
      </c>
      <c r="M206" s="100">
        <f t="shared" si="38"/>
        <v>0</v>
      </c>
      <c r="N206" s="100">
        <v>0</v>
      </c>
      <c r="O206" s="100">
        <f t="shared" si="39"/>
        <v>0</v>
      </c>
      <c r="P206" s="100">
        <f t="shared" si="40"/>
        <v>0</v>
      </c>
      <c r="Q206" s="124">
        <f t="shared" si="41"/>
        <v>0</v>
      </c>
      <c r="R206" s="123"/>
      <c r="S206" s="123"/>
      <c r="T206" s="123"/>
      <c r="U206" s="123"/>
      <c r="V206" s="123"/>
      <c r="W206" s="123"/>
      <c r="X206" s="123"/>
      <c r="Y206" s="123"/>
      <c r="Z206" s="123"/>
      <c r="AA206" s="123"/>
      <c r="AB206" s="123"/>
      <c r="AC206" s="123"/>
      <c r="AD206" s="123"/>
      <c r="AE206" s="123"/>
      <c r="AF206" s="123"/>
      <c r="AG206" s="123"/>
      <c r="AH206" s="123"/>
      <c r="AI206" s="123"/>
      <c r="AJ206" s="123"/>
    </row>
    <row r="207" s="33" customFormat="1" ht="16.95" customHeight="1" spans="1:36">
      <c r="A207" s="87">
        <f>IF(F207&lt;&gt;"",1+MAX($A$2:A206),"")</f>
        <v>182</v>
      </c>
      <c r="B207" s="89"/>
      <c r="C207" s="89" t="s">
        <v>379</v>
      </c>
      <c r="D207" s="69" t="s">
        <v>380</v>
      </c>
      <c r="E207" s="72">
        <v>142</v>
      </c>
      <c r="F207" s="90">
        <v>0</v>
      </c>
      <c r="G207" s="91">
        <v>142</v>
      </c>
      <c r="H207" s="70" t="s">
        <v>35</v>
      </c>
      <c r="I207" s="97">
        <v>0</v>
      </c>
      <c r="J207" s="98">
        <f t="shared" si="36"/>
        <v>0</v>
      </c>
      <c r="K207" s="99">
        <v>50</v>
      </c>
      <c r="L207" s="100">
        <f t="shared" si="37"/>
        <v>0</v>
      </c>
      <c r="M207" s="100">
        <f t="shared" si="38"/>
        <v>0</v>
      </c>
      <c r="N207" s="100">
        <v>0</v>
      </c>
      <c r="O207" s="100">
        <f t="shared" si="39"/>
        <v>0</v>
      </c>
      <c r="P207" s="100">
        <f t="shared" si="40"/>
        <v>0</v>
      </c>
      <c r="Q207" s="124">
        <f t="shared" si="41"/>
        <v>0</v>
      </c>
      <c r="R207" s="123"/>
      <c r="S207" s="123"/>
      <c r="T207" s="123"/>
      <c r="U207" s="123"/>
      <c r="V207" s="123"/>
      <c r="W207" s="123"/>
      <c r="X207" s="123"/>
      <c r="Y207" s="123"/>
      <c r="Z207" s="123"/>
      <c r="AA207" s="123"/>
      <c r="AB207" s="123"/>
      <c r="AC207" s="123"/>
      <c r="AD207" s="123"/>
      <c r="AE207" s="123"/>
      <c r="AF207" s="123"/>
      <c r="AG207" s="123"/>
      <c r="AH207" s="123"/>
      <c r="AI207" s="123"/>
      <c r="AJ207" s="123"/>
    </row>
    <row r="208" s="33" customFormat="1" ht="16.95" customHeight="1" spans="1:36">
      <c r="A208" s="87">
        <f>IF(F208&lt;&gt;"",1+MAX($A$2:A207),"")</f>
        <v>183</v>
      </c>
      <c r="B208" s="89"/>
      <c r="C208" s="89" t="s">
        <v>381</v>
      </c>
      <c r="D208" s="69" t="s">
        <v>382</v>
      </c>
      <c r="E208" s="72">
        <v>4</v>
      </c>
      <c r="F208" s="90">
        <v>0</v>
      </c>
      <c r="G208" s="91">
        <v>4</v>
      </c>
      <c r="H208" s="70" t="s">
        <v>35</v>
      </c>
      <c r="I208" s="97">
        <v>0</v>
      </c>
      <c r="J208" s="98">
        <f t="shared" si="36"/>
        <v>0</v>
      </c>
      <c r="K208" s="99">
        <v>50</v>
      </c>
      <c r="L208" s="100">
        <f t="shared" si="37"/>
        <v>0</v>
      </c>
      <c r="M208" s="100">
        <f t="shared" si="38"/>
        <v>0</v>
      </c>
      <c r="N208" s="100">
        <v>0</v>
      </c>
      <c r="O208" s="100">
        <f t="shared" si="39"/>
        <v>0</v>
      </c>
      <c r="P208" s="100">
        <f t="shared" si="40"/>
        <v>0</v>
      </c>
      <c r="Q208" s="124">
        <f t="shared" si="41"/>
        <v>0</v>
      </c>
      <c r="R208" s="123"/>
      <c r="S208" s="123"/>
      <c r="T208" s="123"/>
      <c r="U208" s="123"/>
      <c r="V208" s="123"/>
      <c r="W208" s="123"/>
      <c r="X208" s="123"/>
      <c r="Y208" s="123"/>
      <c r="Z208" s="123"/>
      <c r="AA208" s="123"/>
      <c r="AB208" s="123"/>
      <c r="AC208" s="123"/>
      <c r="AD208" s="123"/>
      <c r="AE208" s="123"/>
      <c r="AF208" s="123"/>
      <c r="AG208" s="123"/>
      <c r="AH208" s="123"/>
      <c r="AI208" s="123"/>
      <c r="AJ208" s="123"/>
    </row>
    <row r="209" s="33" customFormat="1" ht="16.95" customHeight="1" spans="1:36">
      <c r="A209" s="87">
        <f>IF(F209&lt;&gt;"",1+MAX($A$2:A208),"")</f>
        <v>184</v>
      </c>
      <c r="B209" s="89"/>
      <c r="C209" s="89" t="s">
        <v>383</v>
      </c>
      <c r="D209" s="69" t="s">
        <v>384</v>
      </c>
      <c r="E209" s="72">
        <v>12</v>
      </c>
      <c r="F209" s="90">
        <v>0</v>
      </c>
      <c r="G209" s="91">
        <v>12</v>
      </c>
      <c r="H209" s="70" t="s">
        <v>35</v>
      </c>
      <c r="I209" s="97">
        <v>0</v>
      </c>
      <c r="J209" s="98">
        <f t="shared" si="36"/>
        <v>0</v>
      </c>
      <c r="K209" s="99">
        <v>50</v>
      </c>
      <c r="L209" s="100">
        <f t="shared" si="37"/>
        <v>0</v>
      </c>
      <c r="M209" s="100">
        <f t="shared" si="38"/>
        <v>0</v>
      </c>
      <c r="N209" s="100">
        <v>0</v>
      </c>
      <c r="O209" s="100">
        <f t="shared" si="39"/>
        <v>0</v>
      </c>
      <c r="P209" s="100">
        <f t="shared" si="40"/>
        <v>0</v>
      </c>
      <c r="Q209" s="124">
        <f t="shared" si="41"/>
        <v>0</v>
      </c>
      <c r="R209" s="123"/>
      <c r="S209" s="123"/>
      <c r="T209" s="123"/>
      <c r="U209" s="123"/>
      <c r="V209" s="123"/>
      <c r="W209" s="123"/>
      <c r="X209" s="123"/>
      <c r="Y209" s="123"/>
      <c r="Z209" s="123"/>
      <c r="AA209" s="123"/>
      <c r="AB209" s="123"/>
      <c r="AC209" s="123"/>
      <c r="AD209" s="123"/>
      <c r="AE209" s="123"/>
      <c r="AF209" s="123"/>
      <c r="AG209" s="123"/>
      <c r="AH209" s="123"/>
      <c r="AI209" s="123"/>
      <c r="AJ209" s="123"/>
    </row>
    <row r="210" s="33" customFormat="1" ht="16.95" customHeight="1" spans="1:36">
      <c r="A210" s="87">
        <f>IF(F210&lt;&gt;"",1+MAX($A$2:A209),"")</f>
        <v>185</v>
      </c>
      <c r="B210" s="89"/>
      <c r="C210" s="89" t="s">
        <v>385</v>
      </c>
      <c r="D210" s="69" t="s">
        <v>386</v>
      </c>
      <c r="E210" s="72">
        <v>2</v>
      </c>
      <c r="F210" s="90">
        <v>0</v>
      </c>
      <c r="G210" s="91">
        <v>2</v>
      </c>
      <c r="H210" s="70" t="s">
        <v>35</v>
      </c>
      <c r="I210" s="97">
        <v>0</v>
      </c>
      <c r="J210" s="98">
        <f t="shared" si="36"/>
        <v>0</v>
      </c>
      <c r="K210" s="99">
        <v>50</v>
      </c>
      <c r="L210" s="100">
        <f t="shared" si="37"/>
        <v>0</v>
      </c>
      <c r="M210" s="100">
        <f t="shared" si="38"/>
        <v>0</v>
      </c>
      <c r="N210" s="100">
        <v>0</v>
      </c>
      <c r="O210" s="100">
        <f t="shared" si="39"/>
        <v>0</v>
      </c>
      <c r="P210" s="100">
        <f t="shared" si="40"/>
        <v>0</v>
      </c>
      <c r="Q210" s="124">
        <f t="shared" si="41"/>
        <v>0</v>
      </c>
      <c r="R210" s="123"/>
      <c r="S210" s="123"/>
      <c r="T210" s="123"/>
      <c r="U210" s="123"/>
      <c r="V210" s="123"/>
      <c r="W210" s="123"/>
      <c r="X210" s="123"/>
      <c r="Y210" s="123"/>
      <c r="Z210" s="123"/>
      <c r="AA210" s="123"/>
      <c r="AB210" s="123"/>
      <c r="AC210" s="123"/>
      <c r="AD210" s="123"/>
      <c r="AE210" s="123"/>
      <c r="AF210" s="123"/>
      <c r="AG210" s="123"/>
      <c r="AH210" s="123"/>
      <c r="AI210" s="123"/>
      <c r="AJ210" s="123"/>
    </row>
    <row r="211" s="33" customFormat="1" ht="16.95" customHeight="1" spans="1:36">
      <c r="A211" s="87">
        <f>IF(F211&lt;&gt;"",1+MAX($A$2:A210),"")</f>
        <v>186</v>
      </c>
      <c r="B211" s="89"/>
      <c r="C211" s="89" t="s">
        <v>387</v>
      </c>
      <c r="D211" s="69" t="s">
        <v>388</v>
      </c>
      <c r="E211" s="72">
        <v>10</v>
      </c>
      <c r="F211" s="90">
        <v>0</v>
      </c>
      <c r="G211" s="91">
        <v>10</v>
      </c>
      <c r="H211" s="70" t="s">
        <v>35</v>
      </c>
      <c r="I211" s="97">
        <v>0</v>
      </c>
      <c r="J211" s="98">
        <f t="shared" si="36"/>
        <v>0</v>
      </c>
      <c r="K211" s="99">
        <v>50</v>
      </c>
      <c r="L211" s="100">
        <f t="shared" si="37"/>
        <v>0</v>
      </c>
      <c r="M211" s="100">
        <f t="shared" si="38"/>
        <v>0</v>
      </c>
      <c r="N211" s="100">
        <v>0</v>
      </c>
      <c r="O211" s="100">
        <f t="shared" si="39"/>
        <v>0</v>
      </c>
      <c r="P211" s="100">
        <f t="shared" si="40"/>
        <v>0</v>
      </c>
      <c r="Q211" s="124">
        <f t="shared" si="41"/>
        <v>0</v>
      </c>
      <c r="R211" s="123"/>
      <c r="S211" s="123"/>
      <c r="T211" s="123"/>
      <c r="U211" s="123"/>
      <c r="V211" s="123"/>
      <c r="W211" s="123"/>
      <c r="X211" s="123"/>
      <c r="Y211" s="123"/>
      <c r="Z211" s="123"/>
      <c r="AA211" s="123"/>
      <c r="AB211" s="123"/>
      <c r="AC211" s="123"/>
      <c r="AD211" s="123"/>
      <c r="AE211" s="123"/>
      <c r="AF211" s="123"/>
      <c r="AG211" s="123"/>
      <c r="AH211" s="123"/>
      <c r="AI211" s="123"/>
      <c r="AJ211" s="123"/>
    </row>
    <row r="212" s="33" customFormat="1" ht="16.95" customHeight="1" spans="1:36">
      <c r="A212" s="87" t="str">
        <f>IF(F212&lt;&gt;"",1+MAX($A$2:A211),"")</f>
        <v/>
      </c>
      <c r="B212" s="89"/>
      <c r="C212" s="89"/>
      <c r="D212" s="69"/>
      <c r="E212" s="72"/>
      <c r="F212" s="90"/>
      <c r="G212" s="91"/>
      <c r="H212" s="70"/>
      <c r="I212" s="97"/>
      <c r="J212" s="98"/>
      <c r="K212" s="99"/>
      <c r="L212" s="100"/>
      <c r="M212" s="100"/>
      <c r="N212" s="100"/>
      <c r="O212" s="100"/>
      <c r="P212" s="100"/>
      <c r="Q212" s="124"/>
      <c r="R212" s="123"/>
      <c r="S212" s="123"/>
      <c r="T212" s="123"/>
      <c r="U212" s="123"/>
      <c r="V212" s="123"/>
      <c r="W212" s="123"/>
      <c r="X212" s="123"/>
      <c r="Y212" s="123"/>
      <c r="Z212" s="123"/>
      <c r="AA212" s="123"/>
      <c r="AB212" s="123"/>
      <c r="AC212" s="123"/>
      <c r="AD212" s="123"/>
      <c r="AE212" s="123"/>
      <c r="AF212" s="123"/>
      <c r="AG212" s="123"/>
      <c r="AH212" s="123"/>
      <c r="AI212" s="123"/>
      <c r="AJ212" s="123"/>
    </row>
    <row r="213" s="33" customFormat="1" ht="16.95" customHeight="1" spans="1:36">
      <c r="A213" s="87" t="str">
        <f>IF(F213&lt;&gt;"",1+MAX($A$2:A212),"")</f>
        <v/>
      </c>
      <c r="B213" s="89"/>
      <c r="C213" s="89"/>
      <c r="D213" s="88" t="s">
        <v>389</v>
      </c>
      <c r="E213" s="72"/>
      <c r="F213" s="90"/>
      <c r="G213" s="91"/>
      <c r="H213" s="70"/>
      <c r="I213" s="97"/>
      <c r="J213" s="98"/>
      <c r="K213" s="99"/>
      <c r="L213" s="100"/>
      <c r="M213" s="100"/>
      <c r="N213" s="100"/>
      <c r="O213" s="100"/>
      <c r="P213" s="100"/>
      <c r="Q213" s="124"/>
      <c r="R213" s="123"/>
      <c r="S213" s="123"/>
      <c r="T213" s="123"/>
      <c r="U213" s="123"/>
      <c r="V213" s="123"/>
      <c r="W213" s="123"/>
      <c r="X213" s="123"/>
      <c r="Y213" s="123"/>
      <c r="Z213" s="123"/>
      <c r="AA213" s="123"/>
      <c r="AB213" s="123"/>
      <c r="AC213" s="123"/>
      <c r="AD213" s="123"/>
      <c r="AE213" s="123"/>
      <c r="AF213" s="123"/>
      <c r="AG213" s="123"/>
      <c r="AH213" s="123"/>
      <c r="AI213" s="123"/>
      <c r="AJ213" s="123"/>
    </row>
    <row r="214" s="33" customFormat="1" ht="16.95" customHeight="1" spans="1:36">
      <c r="A214" s="87">
        <f>IF(F214&lt;&gt;"",1+MAX($A$2:A213),"")</f>
        <v>187</v>
      </c>
      <c r="B214" s="89"/>
      <c r="C214" s="89" t="s">
        <v>390</v>
      </c>
      <c r="D214" s="69" t="s">
        <v>391</v>
      </c>
      <c r="E214" s="72">
        <v>1</v>
      </c>
      <c r="F214" s="90">
        <v>0</v>
      </c>
      <c r="G214" s="91">
        <v>1</v>
      </c>
      <c r="H214" s="70" t="s">
        <v>35</v>
      </c>
      <c r="I214" s="97">
        <v>0</v>
      </c>
      <c r="J214" s="98">
        <f t="shared" ref="J214:J261" si="42">+I214*G214</f>
        <v>0</v>
      </c>
      <c r="K214" s="99">
        <v>50</v>
      </c>
      <c r="L214" s="100">
        <f t="shared" ref="L214:L261" si="43">I214*K214</f>
        <v>0</v>
      </c>
      <c r="M214" s="100">
        <f t="shared" ref="M214:M261" si="44">K214*J214</f>
        <v>0</v>
      </c>
      <c r="N214" s="100">
        <v>0</v>
      </c>
      <c r="O214" s="100">
        <f t="shared" ref="O214:O261" si="45">N214*G214</f>
        <v>0</v>
      </c>
      <c r="P214" s="100">
        <f t="shared" ref="P214:P261" si="46">(I214*K214)+N214</f>
        <v>0</v>
      </c>
      <c r="Q214" s="124">
        <f t="shared" ref="Q214:Q261" si="47">P214*G214</f>
        <v>0</v>
      </c>
      <c r="R214" s="123"/>
      <c r="S214" s="123"/>
      <c r="T214" s="123"/>
      <c r="U214" s="123"/>
      <c r="V214" s="123"/>
      <c r="W214" s="123"/>
      <c r="X214" s="123"/>
      <c r="Y214" s="123"/>
      <c r="Z214" s="123"/>
      <c r="AA214" s="123"/>
      <c r="AB214" s="123"/>
      <c r="AC214" s="123"/>
      <c r="AD214" s="123"/>
      <c r="AE214" s="123"/>
      <c r="AF214" s="123"/>
      <c r="AG214" s="123"/>
      <c r="AH214" s="123"/>
      <c r="AI214" s="123"/>
      <c r="AJ214" s="123"/>
    </row>
    <row r="215" s="33" customFormat="1" ht="16.95" customHeight="1" spans="1:36">
      <c r="A215" s="87">
        <f>IF(F215&lt;&gt;"",1+MAX($A$2:A214),"")</f>
        <v>188</v>
      </c>
      <c r="B215" s="89"/>
      <c r="C215" s="89" t="s">
        <v>392</v>
      </c>
      <c r="D215" s="69" t="s">
        <v>393</v>
      </c>
      <c r="E215" s="72">
        <v>1</v>
      </c>
      <c r="F215" s="90">
        <v>0</v>
      </c>
      <c r="G215" s="91">
        <v>1</v>
      </c>
      <c r="H215" s="70" t="s">
        <v>35</v>
      </c>
      <c r="I215" s="97">
        <v>0</v>
      </c>
      <c r="J215" s="98">
        <f t="shared" si="42"/>
        <v>0</v>
      </c>
      <c r="K215" s="99">
        <v>50</v>
      </c>
      <c r="L215" s="100">
        <f t="shared" si="43"/>
        <v>0</v>
      </c>
      <c r="M215" s="100">
        <f t="shared" si="44"/>
        <v>0</v>
      </c>
      <c r="N215" s="100">
        <v>0</v>
      </c>
      <c r="O215" s="100">
        <f t="shared" si="45"/>
        <v>0</v>
      </c>
      <c r="P215" s="100">
        <f t="shared" si="46"/>
        <v>0</v>
      </c>
      <c r="Q215" s="124">
        <f t="shared" si="47"/>
        <v>0</v>
      </c>
      <c r="R215" s="123"/>
      <c r="S215" s="123"/>
      <c r="T215" s="123"/>
      <c r="U215" s="123"/>
      <c r="V215" s="123"/>
      <c r="W215" s="123"/>
      <c r="X215" s="123"/>
      <c r="Y215" s="123"/>
      <c r="Z215" s="123"/>
      <c r="AA215" s="123"/>
      <c r="AB215" s="123"/>
      <c r="AC215" s="123"/>
      <c r="AD215" s="123"/>
      <c r="AE215" s="123"/>
      <c r="AF215" s="123"/>
      <c r="AG215" s="123"/>
      <c r="AH215" s="123"/>
      <c r="AI215" s="123"/>
      <c r="AJ215" s="123"/>
    </row>
    <row r="216" s="33" customFormat="1" ht="16.95" customHeight="1" spans="1:36">
      <c r="A216" s="87">
        <f>IF(F216&lt;&gt;"",1+MAX($A$2:A215),"")</f>
        <v>189</v>
      </c>
      <c r="B216" s="89"/>
      <c r="C216" s="89" t="s">
        <v>394</v>
      </c>
      <c r="D216" s="69" t="s">
        <v>395</v>
      </c>
      <c r="E216" s="72">
        <v>1</v>
      </c>
      <c r="F216" s="90">
        <v>0</v>
      </c>
      <c r="G216" s="91">
        <v>1</v>
      </c>
      <c r="H216" s="70" t="s">
        <v>35</v>
      </c>
      <c r="I216" s="97">
        <v>0</v>
      </c>
      <c r="J216" s="98">
        <f t="shared" si="42"/>
        <v>0</v>
      </c>
      <c r="K216" s="99">
        <v>50</v>
      </c>
      <c r="L216" s="100">
        <f t="shared" si="43"/>
        <v>0</v>
      </c>
      <c r="M216" s="100">
        <f t="shared" si="44"/>
        <v>0</v>
      </c>
      <c r="N216" s="100">
        <v>0</v>
      </c>
      <c r="O216" s="100">
        <f t="shared" si="45"/>
        <v>0</v>
      </c>
      <c r="P216" s="100">
        <f t="shared" si="46"/>
        <v>0</v>
      </c>
      <c r="Q216" s="124">
        <f t="shared" si="47"/>
        <v>0</v>
      </c>
      <c r="R216" s="123"/>
      <c r="S216" s="123"/>
      <c r="T216" s="123"/>
      <c r="U216" s="123"/>
      <c r="V216" s="123"/>
      <c r="W216" s="123"/>
      <c r="X216" s="123"/>
      <c r="Y216" s="123"/>
      <c r="Z216" s="123"/>
      <c r="AA216" s="123"/>
      <c r="AB216" s="123"/>
      <c r="AC216" s="123"/>
      <c r="AD216" s="123"/>
      <c r="AE216" s="123"/>
      <c r="AF216" s="123"/>
      <c r="AG216" s="123"/>
      <c r="AH216" s="123"/>
      <c r="AI216" s="123"/>
      <c r="AJ216" s="123"/>
    </row>
    <row r="217" s="33" customFormat="1" ht="16.95" customHeight="1" spans="1:36">
      <c r="A217" s="87">
        <f>IF(F217&lt;&gt;"",1+MAX($A$2:A216),"")</f>
        <v>190</v>
      </c>
      <c r="B217" s="89"/>
      <c r="C217" s="89" t="s">
        <v>396</v>
      </c>
      <c r="D217" s="69" t="s">
        <v>397</v>
      </c>
      <c r="E217" s="72">
        <v>1</v>
      </c>
      <c r="F217" s="90">
        <v>0</v>
      </c>
      <c r="G217" s="91">
        <v>1</v>
      </c>
      <c r="H217" s="70" t="s">
        <v>35</v>
      </c>
      <c r="I217" s="97">
        <v>0</v>
      </c>
      <c r="J217" s="98">
        <f t="shared" si="42"/>
        <v>0</v>
      </c>
      <c r="K217" s="99">
        <v>50</v>
      </c>
      <c r="L217" s="100">
        <f t="shared" si="43"/>
        <v>0</v>
      </c>
      <c r="M217" s="100">
        <f t="shared" si="44"/>
        <v>0</v>
      </c>
      <c r="N217" s="100">
        <v>0</v>
      </c>
      <c r="O217" s="100">
        <f t="shared" si="45"/>
        <v>0</v>
      </c>
      <c r="P217" s="100">
        <f t="shared" si="46"/>
        <v>0</v>
      </c>
      <c r="Q217" s="124">
        <f t="shared" si="47"/>
        <v>0</v>
      </c>
      <c r="R217" s="123"/>
      <c r="S217" s="123"/>
      <c r="T217" s="123"/>
      <c r="U217" s="123"/>
      <c r="V217" s="123"/>
      <c r="W217" s="123"/>
      <c r="X217" s="123"/>
      <c r="Y217" s="123"/>
      <c r="Z217" s="123"/>
      <c r="AA217" s="123"/>
      <c r="AB217" s="123"/>
      <c r="AC217" s="123"/>
      <c r="AD217" s="123"/>
      <c r="AE217" s="123"/>
      <c r="AF217" s="123"/>
      <c r="AG217" s="123"/>
      <c r="AH217" s="123"/>
      <c r="AI217" s="123"/>
      <c r="AJ217" s="123"/>
    </row>
    <row r="218" s="33" customFormat="1" ht="16.95" customHeight="1" spans="1:36">
      <c r="A218" s="87">
        <f>IF(F218&lt;&gt;"",1+MAX($A$2:A217),"")</f>
        <v>191</v>
      </c>
      <c r="B218" s="89"/>
      <c r="C218" s="89" t="s">
        <v>398</v>
      </c>
      <c r="D218" s="69" t="s">
        <v>399</v>
      </c>
      <c r="E218" s="72">
        <v>1</v>
      </c>
      <c r="F218" s="90">
        <v>0</v>
      </c>
      <c r="G218" s="91">
        <v>1</v>
      </c>
      <c r="H218" s="70" t="s">
        <v>35</v>
      </c>
      <c r="I218" s="97">
        <v>0</v>
      </c>
      <c r="J218" s="98">
        <f t="shared" si="42"/>
        <v>0</v>
      </c>
      <c r="K218" s="99">
        <v>50</v>
      </c>
      <c r="L218" s="100">
        <f t="shared" si="43"/>
        <v>0</v>
      </c>
      <c r="M218" s="100">
        <f t="shared" si="44"/>
        <v>0</v>
      </c>
      <c r="N218" s="100">
        <v>0</v>
      </c>
      <c r="O218" s="100">
        <f t="shared" si="45"/>
        <v>0</v>
      </c>
      <c r="P218" s="100">
        <f t="shared" si="46"/>
        <v>0</v>
      </c>
      <c r="Q218" s="124">
        <f t="shared" si="47"/>
        <v>0</v>
      </c>
      <c r="R218" s="123"/>
      <c r="S218" s="123"/>
      <c r="T218" s="123"/>
      <c r="U218" s="123"/>
      <c r="V218" s="123"/>
      <c r="W218" s="123"/>
      <c r="X218" s="123"/>
      <c r="Y218" s="123"/>
      <c r="Z218" s="123"/>
      <c r="AA218" s="123"/>
      <c r="AB218" s="123"/>
      <c r="AC218" s="123"/>
      <c r="AD218" s="123"/>
      <c r="AE218" s="123"/>
      <c r="AF218" s="123"/>
      <c r="AG218" s="123"/>
      <c r="AH218" s="123"/>
      <c r="AI218" s="123"/>
      <c r="AJ218" s="123"/>
    </row>
    <row r="219" s="33" customFormat="1" ht="16.95" customHeight="1" spans="1:36">
      <c r="A219" s="87">
        <f>IF(F219&lt;&gt;"",1+MAX($A$2:A218),"")</f>
        <v>192</v>
      </c>
      <c r="B219" s="89"/>
      <c r="C219" s="89" t="s">
        <v>400</v>
      </c>
      <c r="D219" s="69" t="s">
        <v>401</v>
      </c>
      <c r="E219" s="72">
        <v>1</v>
      </c>
      <c r="F219" s="90">
        <v>0</v>
      </c>
      <c r="G219" s="91">
        <v>1</v>
      </c>
      <c r="H219" s="70" t="s">
        <v>35</v>
      </c>
      <c r="I219" s="97">
        <v>0</v>
      </c>
      <c r="J219" s="98">
        <f t="shared" si="42"/>
        <v>0</v>
      </c>
      <c r="K219" s="99">
        <v>50</v>
      </c>
      <c r="L219" s="100">
        <f t="shared" si="43"/>
        <v>0</v>
      </c>
      <c r="M219" s="100">
        <f t="shared" si="44"/>
        <v>0</v>
      </c>
      <c r="N219" s="100">
        <v>0</v>
      </c>
      <c r="O219" s="100">
        <f t="shared" si="45"/>
        <v>0</v>
      </c>
      <c r="P219" s="100">
        <f t="shared" si="46"/>
        <v>0</v>
      </c>
      <c r="Q219" s="124">
        <f t="shared" si="47"/>
        <v>0</v>
      </c>
      <c r="R219" s="123"/>
      <c r="S219" s="123"/>
      <c r="T219" s="123"/>
      <c r="U219" s="123"/>
      <c r="V219" s="123"/>
      <c r="W219" s="123"/>
      <c r="X219" s="123"/>
      <c r="Y219" s="123"/>
      <c r="Z219" s="123"/>
      <c r="AA219" s="123"/>
      <c r="AB219" s="123"/>
      <c r="AC219" s="123"/>
      <c r="AD219" s="123"/>
      <c r="AE219" s="123"/>
      <c r="AF219" s="123"/>
      <c r="AG219" s="123"/>
      <c r="AH219" s="123"/>
      <c r="AI219" s="123"/>
      <c r="AJ219" s="123"/>
    </row>
    <row r="220" s="33" customFormat="1" ht="16.95" customHeight="1" spans="1:36">
      <c r="A220" s="87">
        <f>IF(F220&lt;&gt;"",1+MAX($A$2:A219),"")</f>
        <v>193</v>
      </c>
      <c r="B220" s="89"/>
      <c r="C220" s="89" t="s">
        <v>402</v>
      </c>
      <c r="D220" s="69" t="s">
        <v>403</v>
      </c>
      <c r="E220" s="72">
        <v>1</v>
      </c>
      <c r="F220" s="90">
        <v>0</v>
      </c>
      <c r="G220" s="91">
        <v>1</v>
      </c>
      <c r="H220" s="70" t="s">
        <v>35</v>
      </c>
      <c r="I220" s="97">
        <v>0</v>
      </c>
      <c r="J220" s="98">
        <f t="shared" si="42"/>
        <v>0</v>
      </c>
      <c r="K220" s="99">
        <v>50</v>
      </c>
      <c r="L220" s="100">
        <f t="shared" si="43"/>
        <v>0</v>
      </c>
      <c r="M220" s="100">
        <f t="shared" si="44"/>
        <v>0</v>
      </c>
      <c r="N220" s="100">
        <v>0</v>
      </c>
      <c r="O220" s="100">
        <f t="shared" si="45"/>
        <v>0</v>
      </c>
      <c r="P220" s="100">
        <f t="shared" si="46"/>
        <v>0</v>
      </c>
      <c r="Q220" s="124">
        <f t="shared" si="47"/>
        <v>0</v>
      </c>
      <c r="R220" s="123"/>
      <c r="S220" s="123"/>
      <c r="T220" s="123"/>
      <c r="U220" s="123"/>
      <c r="V220" s="123"/>
      <c r="W220" s="123"/>
      <c r="X220" s="123"/>
      <c r="Y220" s="123"/>
      <c r="Z220" s="123"/>
      <c r="AA220" s="123"/>
      <c r="AB220" s="123"/>
      <c r="AC220" s="123"/>
      <c r="AD220" s="123"/>
      <c r="AE220" s="123"/>
      <c r="AF220" s="123"/>
      <c r="AG220" s="123"/>
      <c r="AH220" s="123"/>
      <c r="AI220" s="123"/>
      <c r="AJ220" s="123"/>
    </row>
    <row r="221" s="33" customFormat="1" ht="16.95" customHeight="1" spans="1:36">
      <c r="A221" s="87">
        <f>IF(F221&lt;&gt;"",1+MAX($A$2:A220),"")</f>
        <v>194</v>
      </c>
      <c r="B221" s="89"/>
      <c r="C221" s="89" t="s">
        <v>404</v>
      </c>
      <c r="D221" s="69" t="s">
        <v>405</v>
      </c>
      <c r="E221" s="72">
        <v>1</v>
      </c>
      <c r="F221" s="90">
        <v>0</v>
      </c>
      <c r="G221" s="91">
        <v>1</v>
      </c>
      <c r="H221" s="70" t="s">
        <v>35</v>
      </c>
      <c r="I221" s="97">
        <v>0</v>
      </c>
      <c r="J221" s="98">
        <f t="shared" si="42"/>
        <v>0</v>
      </c>
      <c r="K221" s="99">
        <v>50</v>
      </c>
      <c r="L221" s="100">
        <f t="shared" si="43"/>
        <v>0</v>
      </c>
      <c r="M221" s="100">
        <f t="shared" si="44"/>
        <v>0</v>
      </c>
      <c r="N221" s="100">
        <v>0</v>
      </c>
      <c r="O221" s="100">
        <f t="shared" si="45"/>
        <v>0</v>
      </c>
      <c r="P221" s="100">
        <f t="shared" si="46"/>
        <v>0</v>
      </c>
      <c r="Q221" s="124">
        <f t="shared" si="47"/>
        <v>0</v>
      </c>
      <c r="R221" s="123"/>
      <c r="S221" s="123"/>
      <c r="T221" s="123"/>
      <c r="U221" s="123"/>
      <c r="V221" s="123"/>
      <c r="W221" s="123"/>
      <c r="X221" s="123"/>
      <c r="Y221" s="123"/>
      <c r="Z221" s="123"/>
      <c r="AA221" s="123"/>
      <c r="AB221" s="123"/>
      <c r="AC221" s="123"/>
      <c r="AD221" s="123"/>
      <c r="AE221" s="123"/>
      <c r="AF221" s="123"/>
      <c r="AG221" s="123"/>
      <c r="AH221" s="123"/>
      <c r="AI221" s="123"/>
      <c r="AJ221" s="123"/>
    </row>
    <row r="222" s="33" customFormat="1" ht="16.95" customHeight="1" spans="1:36">
      <c r="A222" s="87">
        <f>IF(F222&lt;&gt;"",1+MAX($A$2:A221),"")</f>
        <v>195</v>
      </c>
      <c r="B222" s="89"/>
      <c r="C222" s="89" t="s">
        <v>406</v>
      </c>
      <c r="D222" s="69" t="s">
        <v>407</v>
      </c>
      <c r="E222" s="72">
        <v>1</v>
      </c>
      <c r="F222" s="90">
        <v>0</v>
      </c>
      <c r="G222" s="91">
        <v>1</v>
      </c>
      <c r="H222" s="70" t="s">
        <v>35</v>
      </c>
      <c r="I222" s="97">
        <v>0</v>
      </c>
      <c r="J222" s="98">
        <f t="shared" si="42"/>
        <v>0</v>
      </c>
      <c r="K222" s="99">
        <v>50</v>
      </c>
      <c r="L222" s="100">
        <f t="shared" si="43"/>
        <v>0</v>
      </c>
      <c r="M222" s="100">
        <f t="shared" si="44"/>
        <v>0</v>
      </c>
      <c r="N222" s="100">
        <v>0</v>
      </c>
      <c r="O222" s="100">
        <f t="shared" si="45"/>
        <v>0</v>
      </c>
      <c r="P222" s="100">
        <f t="shared" si="46"/>
        <v>0</v>
      </c>
      <c r="Q222" s="124">
        <f t="shared" si="47"/>
        <v>0</v>
      </c>
      <c r="R222" s="123"/>
      <c r="S222" s="123"/>
      <c r="T222" s="123"/>
      <c r="U222" s="123"/>
      <c r="V222" s="123"/>
      <c r="W222" s="123"/>
      <c r="X222" s="123"/>
      <c r="Y222" s="123"/>
      <c r="Z222" s="123"/>
      <c r="AA222" s="123"/>
      <c r="AB222" s="123"/>
      <c r="AC222" s="123"/>
      <c r="AD222" s="123"/>
      <c r="AE222" s="123"/>
      <c r="AF222" s="123"/>
      <c r="AG222" s="123"/>
      <c r="AH222" s="123"/>
      <c r="AI222" s="123"/>
      <c r="AJ222" s="123"/>
    </row>
    <row r="223" s="33" customFormat="1" ht="16.95" customHeight="1" spans="1:36">
      <c r="A223" s="87">
        <f>IF(F223&lt;&gt;"",1+MAX($A$2:A222),"")</f>
        <v>196</v>
      </c>
      <c r="B223" s="89"/>
      <c r="C223" s="89" t="s">
        <v>408</v>
      </c>
      <c r="D223" s="69" t="s">
        <v>409</v>
      </c>
      <c r="E223" s="72">
        <v>1</v>
      </c>
      <c r="F223" s="90">
        <v>0</v>
      </c>
      <c r="G223" s="91">
        <v>1</v>
      </c>
      <c r="H223" s="70" t="s">
        <v>35</v>
      </c>
      <c r="I223" s="97">
        <v>0</v>
      </c>
      <c r="J223" s="98">
        <f t="shared" si="42"/>
        <v>0</v>
      </c>
      <c r="K223" s="99">
        <v>50</v>
      </c>
      <c r="L223" s="100">
        <f t="shared" si="43"/>
        <v>0</v>
      </c>
      <c r="M223" s="100">
        <f t="shared" si="44"/>
        <v>0</v>
      </c>
      <c r="N223" s="100">
        <v>0</v>
      </c>
      <c r="O223" s="100">
        <f t="shared" si="45"/>
        <v>0</v>
      </c>
      <c r="P223" s="100">
        <f t="shared" si="46"/>
        <v>0</v>
      </c>
      <c r="Q223" s="124">
        <f t="shared" si="47"/>
        <v>0</v>
      </c>
      <c r="R223" s="123"/>
      <c r="S223" s="123"/>
      <c r="T223" s="123"/>
      <c r="U223" s="123"/>
      <c r="V223" s="123"/>
      <c r="W223" s="123"/>
      <c r="X223" s="123"/>
      <c r="Y223" s="123"/>
      <c r="Z223" s="123"/>
      <c r="AA223" s="123"/>
      <c r="AB223" s="123"/>
      <c r="AC223" s="123"/>
      <c r="AD223" s="123"/>
      <c r="AE223" s="123"/>
      <c r="AF223" s="123"/>
      <c r="AG223" s="123"/>
      <c r="AH223" s="123"/>
      <c r="AI223" s="123"/>
      <c r="AJ223" s="123"/>
    </row>
    <row r="224" s="33" customFormat="1" ht="16.95" customHeight="1" spans="1:36">
      <c r="A224" s="87">
        <f>IF(F224&lt;&gt;"",1+MAX($A$2:A223),"")</f>
        <v>197</v>
      </c>
      <c r="B224" s="89"/>
      <c r="C224" s="89" t="s">
        <v>410</v>
      </c>
      <c r="D224" s="69" t="s">
        <v>411</v>
      </c>
      <c r="E224" s="72">
        <v>1</v>
      </c>
      <c r="F224" s="90">
        <v>0</v>
      </c>
      <c r="G224" s="91">
        <v>1</v>
      </c>
      <c r="H224" s="70" t="s">
        <v>35</v>
      </c>
      <c r="I224" s="97">
        <v>0</v>
      </c>
      <c r="J224" s="98">
        <f t="shared" si="42"/>
        <v>0</v>
      </c>
      <c r="K224" s="99">
        <v>50</v>
      </c>
      <c r="L224" s="100">
        <f t="shared" si="43"/>
        <v>0</v>
      </c>
      <c r="M224" s="100">
        <f t="shared" si="44"/>
        <v>0</v>
      </c>
      <c r="N224" s="100">
        <v>0</v>
      </c>
      <c r="O224" s="100">
        <f t="shared" si="45"/>
        <v>0</v>
      </c>
      <c r="P224" s="100">
        <f t="shared" si="46"/>
        <v>0</v>
      </c>
      <c r="Q224" s="124">
        <f t="shared" si="47"/>
        <v>0</v>
      </c>
      <c r="R224" s="123"/>
      <c r="S224" s="123"/>
      <c r="T224" s="123"/>
      <c r="U224" s="123"/>
      <c r="V224" s="123"/>
      <c r="W224" s="123"/>
      <c r="X224" s="123"/>
      <c r="Y224" s="123"/>
      <c r="Z224" s="123"/>
      <c r="AA224" s="123"/>
      <c r="AB224" s="123"/>
      <c r="AC224" s="123"/>
      <c r="AD224" s="123"/>
      <c r="AE224" s="123"/>
      <c r="AF224" s="123"/>
      <c r="AG224" s="123"/>
      <c r="AH224" s="123"/>
      <c r="AI224" s="123"/>
      <c r="AJ224" s="123"/>
    </row>
    <row r="225" s="33" customFormat="1" ht="16.95" customHeight="1" spans="1:36">
      <c r="A225" s="87">
        <f>IF(F225&lt;&gt;"",1+MAX($A$2:A224),"")</f>
        <v>198</v>
      </c>
      <c r="B225" s="89"/>
      <c r="C225" s="89" t="s">
        <v>412</v>
      </c>
      <c r="D225" s="69" t="s">
        <v>413</v>
      </c>
      <c r="E225" s="72">
        <v>1</v>
      </c>
      <c r="F225" s="90">
        <v>0</v>
      </c>
      <c r="G225" s="91">
        <v>1</v>
      </c>
      <c r="H225" s="70" t="s">
        <v>35</v>
      </c>
      <c r="I225" s="97">
        <v>0</v>
      </c>
      <c r="J225" s="98">
        <f t="shared" si="42"/>
        <v>0</v>
      </c>
      <c r="K225" s="99">
        <v>50</v>
      </c>
      <c r="L225" s="100">
        <f t="shared" si="43"/>
        <v>0</v>
      </c>
      <c r="M225" s="100">
        <f t="shared" si="44"/>
        <v>0</v>
      </c>
      <c r="N225" s="100">
        <v>0</v>
      </c>
      <c r="O225" s="100">
        <f t="shared" si="45"/>
        <v>0</v>
      </c>
      <c r="P225" s="100">
        <f t="shared" si="46"/>
        <v>0</v>
      </c>
      <c r="Q225" s="124">
        <f t="shared" si="47"/>
        <v>0</v>
      </c>
      <c r="R225" s="123"/>
      <c r="S225" s="123"/>
      <c r="T225" s="123"/>
      <c r="U225" s="123"/>
      <c r="V225" s="123"/>
      <c r="W225" s="123"/>
      <c r="X225" s="123"/>
      <c r="Y225" s="123"/>
      <c r="Z225" s="123"/>
      <c r="AA225" s="123"/>
      <c r="AB225" s="123"/>
      <c r="AC225" s="123"/>
      <c r="AD225" s="123"/>
      <c r="AE225" s="123"/>
      <c r="AF225" s="123"/>
      <c r="AG225" s="123"/>
      <c r="AH225" s="123"/>
      <c r="AI225" s="123"/>
      <c r="AJ225" s="123"/>
    </row>
    <row r="226" s="33" customFormat="1" ht="16.95" customHeight="1" spans="1:36">
      <c r="A226" s="87">
        <f>IF(F226&lt;&gt;"",1+MAX($A$2:A225),"")</f>
        <v>199</v>
      </c>
      <c r="B226" s="89"/>
      <c r="C226" s="89" t="s">
        <v>414</v>
      </c>
      <c r="D226" s="69" t="s">
        <v>415</v>
      </c>
      <c r="E226" s="72">
        <v>1</v>
      </c>
      <c r="F226" s="90">
        <v>0</v>
      </c>
      <c r="G226" s="91">
        <v>1</v>
      </c>
      <c r="H226" s="70" t="s">
        <v>35</v>
      </c>
      <c r="I226" s="97">
        <v>0</v>
      </c>
      <c r="J226" s="98">
        <f t="shared" si="42"/>
        <v>0</v>
      </c>
      <c r="K226" s="99">
        <v>50</v>
      </c>
      <c r="L226" s="100">
        <f t="shared" si="43"/>
        <v>0</v>
      </c>
      <c r="M226" s="100">
        <f t="shared" si="44"/>
        <v>0</v>
      </c>
      <c r="N226" s="100">
        <v>0</v>
      </c>
      <c r="O226" s="100">
        <f t="shared" si="45"/>
        <v>0</v>
      </c>
      <c r="P226" s="100">
        <f t="shared" si="46"/>
        <v>0</v>
      </c>
      <c r="Q226" s="124">
        <f t="shared" si="47"/>
        <v>0</v>
      </c>
      <c r="R226" s="123"/>
      <c r="S226" s="123"/>
      <c r="T226" s="123"/>
      <c r="U226" s="123"/>
      <c r="V226" s="123"/>
      <c r="W226" s="123"/>
      <c r="X226" s="123"/>
      <c r="Y226" s="123"/>
      <c r="Z226" s="123"/>
      <c r="AA226" s="123"/>
      <c r="AB226" s="123"/>
      <c r="AC226" s="123"/>
      <c r="AD226" s="123"/>
      <c r="AE226" s="123"/>
      <c r="AF226" s="123"/>
      <c r="AG226" s="123"/>
      <c r="AH226" s="123"/>
      <c r="AI226" s="123"/>
      <c r="AJ226" s="123"/>
    </row>
    <row r="227" s="33" customFormat="1" ht="16.95" customHeight="1" spans="1:36">
      <c r="A227" s="87">
        <f>IF(F227&lt;&gt;"",1+MAX($A$2:A226),"")</f>
        <v>200</v>
      </c>
      <c r="B227" s="89"/>
      <c r="C227" s="89" t="s">
        <v>416</v>
      </c>
      <c r="D227" s="69" t="s">
        <v>417</v>
      </c>
      <c r="E227" s="72">
        <v>1</v>
      </c>
      <c r="F227" s="90">
        <v>0</v>
      </c>
      <c r="G227" s="91">
        <v>1</v>
      </c>
      <c r="H227" s="70" t="s">
        <v>35</v>
      </c>
      <c r="I227" s="97">
        <v>0</v>
      </c>
      <c r="J227" s="98">
        <f t="shared" si="42"/>
        <v>0</v>
      </c>
      <c r="K227" s="99">
        <v>50</v>
      </c>
      <c r="L227" s="100">
        <f t="shared" si="43"/>
        <v>0</v>
      </c>
      <c r="M227" s="100">
        <f t="shared" si="44"/>
        <v>0</v>
      </c>
      <c r="N227" s="100">
        <v>0</v>
      </c>
      <c r="O227" s="100">
        <f t="shared" si="45"/>
        <v>0</v>
      </c>
      <c r="P227" s="100">
        <f t="shared" si="46"/>
        <v>0</v>
      </c>
      <c r="Q227" s="124">
        <f t="shared" si="47"/>
        <v>0</v>
      </c>
      <c r="R227" s="123"/>
      <c r="S227" s="123"/>
      <c r="T227" s="123"/>
      <c r="U227" s="123"/>
      <c r="V227" s="123"/>
      <c r="W227" s="123"/>
      <c r="X227" s="123"/>
      <c r="Y227" s="123"/>
      <c r="Z227" s="123"/>
      <c r="AA227" s="123"/>
      <c r="AB227" s="123"/>
      <c r="AC227" s="123"/>
      <c r="AD227" s="123"/>
      <c r="AE227" s="123"/>
      <c r="AF227" s="123"/>
      <c r="AG227" s="123"/>
      <c r="AH227" s="123"/>
      <c r="AI227" s="123"/>
      <c r="AJ227" s="123"/>
    </row>
    <row r="228" s="33" customFormat="1" ht="16.95" customHeight="1" spans="1:36">
      <c r="A228" s="87">
        <f>IF(F228&lt;&gt;"",1+MAX($A$2:A227),"")</f>
        <v>201</v>
      </c>
      <c r="B228" s="89"/>
      <c r="C228" s="89" t="s">
        <v>418</v>
      </c>
      <c r="D228" s="69" t="s">
        <v>419</v>
      </c>
      <c r="E228" s="72">
        <v>1</v>
      </c>
      <c r="F228" s="90">
        <v>0</v>
      </c>
      <c r="G228" s="91">
        <v>1</v>
      </c>
      <c r="H228" s="70" t="s">
        <v>35</v>
      </c>
      <c r="I228" s="97">
        <v>0</v>
      </c>
      <c r="J228" s="98">
        <f t="shared" si="42"/>
        <v>0</v>
      </c>
      <c r="K228" s="99">
        <v>50</v>
      </c>
      <c r="L228" s="100">
        <f t="shared" si="43"/>
        <v>0</v>
      </c>
      <c r="M228" s="100">
        <f t="shared" si="44"/>
        <v>0</v>
      </c>
      <c r="N228" s="100">
        <v>0</v>
      </c>
      <c r="O228" s="100">
        <f t="shared" si="45"/>
        <v>0</v>
      </c>
      <c r="P228" s="100">
        <f t="shared" si="46"/>
        <v>0</v>
      </c>
      <c r="Q228" s="124">
        <f t="shared" si="47"/>
        <v>0</v>
      </c>
      <c r="R228" s="123"/>
      <c r="S228" s="123"/>
      <c r="T228" s="123"/>
      <c r="U228" s="123"/>
      <c r="V228" s="123"/>
      <c r="W228" s="123"/>
      <c r="X228" s="123"/>
      <c r="Y228" s="123"/>
      <c r="Z228" s="123"/>
      <c r="AA228" s="123"/>
      <c r="AB228" s="123"/>
      <c r="AC228" s="123"/>
      <c r="AD228" s="123"/>
      <c r="AE228" s="123"/>
      <c r="AF228" s="123"/>
      <c r="AG228" s="123"/>
      <c r="AH228" s="123"/>
      <c r="AI228" s="123"/>
      <c r="AJ228" s="123"/>
    </row>
    <row r="229" s="33" customFormat="1" ht="16.95" customHeight="1" spans="1:36">
      <c r="A229" s="87">
        <f>IF(F229&lt;&gt;"",1+MAX($A$2:A228),"")</f>
        <v>202</v>
      </c>
      <c r="B229" s="89"/>
      <c r="C229" s="89" t="s">
        <v>420</v>
      </c>
      <c r="D229" s="69" t="s">
        <v>421</v>
      </c>
      <c r="E229" s="72">
        <v>1</v>
      </c>
      <c r="F229" s="90">
        <v>0</v>
      </c>
      <c r="G229" s="91">
        <v>1</v>
      </c>
      <c r="H229" s="70" t="s">
        <v>35</v>
      </c>
      <c r="I229" s="97">
        <v>0</v>
      </c>
      <c r="J229" s="98">
        <f t="shared" si="42"/>
        <v>0</v>
      </c>
      <c r="K229" s="99">
        <v>50</v>
      </c>
      <c r="L229" s="100">
        <f t="shared" si="43"/>
        <v>0</v>
      </c>
      <c r="M229" s="100">
        <f t="shared" si="44"/>
        <v>0</v>
      </c>
      <c r="N229" s="100">
        <v>0</v>
      </c>
      <c r="O229" s="100">
        <f t="shared" si="45"/>
        <v>0</v>
      </c>
      <c r="P229" s="100">
        <f t="shared" si="46"/>
        <v>0</v>
      </c>
      <c r="Q229" s="124">
        <f t="shared" si="47"/>
        <v>0</v>
      </c>
      <c r="R229" s="123"/>
      <c r="S229" s="123"/>
      <c r="T229" s="123"/>
      <c r="U229" s="123"/>
      <c r="V229" s="123"/>
      <c r="W229" s="123"/>
      <c r="X229" s="123"/>
      <c r="Y229" s="123"/>
      <c r="Z229" s="123"/>
      <c r="AA229" s="123"/>
      <c r="AB229" s="123"/>
      <c r="AC229" s="123"/>
      <c r="AD229" s="123"/>
      <c r="AE229" s="123"/>
      <c r="AF229" s="123"/>
      <c r="AG229" s="123"/>
      <c r="AH229" s="123"/>
      <c r="AI229" s="123"/>
      <c r="AJ229" s="123"/>
    </row>
    <row r="230" s="33" customFormat="1" ht="16.95" customHeight="1" spans="1:36">
      <c r="A230" s="87">
        <f>IF(F230&lt;&gt;"",1+MAX($A$2:A229),"")</f>
        <v>203</v>
      </c>
      <c r="B230" s="89"/>
      <c r="C230" s="89" t="s">
        <v>422</v>
      </c>
      <c r="D230" s="69" t="s">
        <v>423</v>
      </c>
      <c r="E230" s="72">
        <v>1</v>
      </c>
      <c r="F230" s="90">
        <v>0</v>
      </c>
      <c r="G230" s="91">
        <v>1</v>
      </c>
      <c r="H230" s="70" t="s">
        <v>35</v>
      </c>
      <c r="I230" s="97">
        <v>0</v>
      </c>
      <c r="J230" s="98">
        <f t="shared" si="42"/>
        <v>0</v>
      </c>
      <c r="K230" s="99">
        <v>50</v>
      </c>
      <c r="L230" s="100">
        <f t="shared" si="43"/>
        <v>0</v>
      </c>
      <c r="M230" s="100">
        <f t="shared" si="44"/>
        <v>0</v>
      </c>
      <c r="N230" s="100">
        <v>0</v>
      </c>
      <c r="O230" s="100">
        <f t="shared" si="45"/>
        <v>0</v>
      </c>
      <c r="P230" s="100">
        <f t="shared" si="46"/>
        <v>0</v>
      </c>
      <c r="Q230" s="124">
        <f t="shared" si="47"/>
        <v>0</v>
      </c>
      <c r="R230" s="123"/>
      <c r="S230" s="123"/>
      <c r="T230" s="123"/>
      <c r="U230" s="123"/>
      <c r="V230" s="123"/>
      <c r="W230" s="123"/>
      <c r="X230" s="123"/>
      <c r="Y230" s="123"/>
      <c r="Z230" s="123"/>
      <c r="AA230" s="123"/>
      <c r="AB230" s="123"/>
      <c r="AC230" s="123"/>
      <c r="AD230" s="123"/>
      <c r="AE230" s="123"/>
      <c r="AF230" s="123"/>
      <c r="AG230" s="123"/>
      <c r="AH230" s="123"/>
      <c r="AI230" s="123"/>
      <c r="AJ230" s="123"/>
    </row>
    <row r="231" s="33" customFormat="1" ht="16.95" customHeight="1" spans="1:36">
      <c r="A231" s="87">
        <f>IF(F231&lt;&gt;"",1+MAX($A$2:A230),"")</f>
        <v>204</v>
      </c>
      <c r="B231" s="89"/>
      <c r="C231" s="89" t="s">
        <v>424</v>
      </c>
      <c r="D231" s="69" t="s">
        <v>425</v>
      </c>
      <c r="E231" s="72">
        <v>1</v>
      </c>
      <c r="F231" s="90">
        <v>0</v>
      </c>
      <c r="G231" s="91">
        <v>1</v>
      </c>
      <c r="H231" s="70" t="s">
        <v>35</v>
      </c>
      <c r="I231" s="97">
        <v>0</v>
      </c>
      <c r="J231" s="98">
        <f t="shared" si="42"/>
        <v>0</v>
      </c>
      <c r="K231" s="99">
        <v>50</v>
      </c>
      <c r="L231" s="100">
        <f t="shared" si="43"/>
        <v>0</v>
      </c>
      <c r="M231" s="100">
        <f t="shared" si="44"/>
        <v>0</v>
      </c>
      <c r="N231" s="100">
        <v>0</v>
      </c>
      <c r="O231" s="100">
        <f t="shared" si="45"/>
        <v>0</v>
      </c>
      <c r="P231" s="100">
        <f t="shared" si="46"/>
        <v>0</v>
      </c>
      <c r="Q231" s="124">
        <f t="shared" si="47"/>
        <v>0</v>
      </c>
      <c r="R231" s="123"/>
      <c r="S231" s="123"/>
      <c r="T231" s="123"/>
      <c r="U231" s="123"/>
      <c r="V231" s="123"/>
      <c r="W231" s="123"/>
      <c r="X231" s="123"/>
      <c r="Y231" s="123"/>
      <c r="Z231" s="123"/>
      <c r="AA231" s="123"/>
      <c r="AB231" s="123"/>
      <c r="AC231" s="123"/>
      <c r="AD231" s="123"/>
      <c r="AE231" s="123"/>
      <c r="AF231" s="123"/>
      <c r="AG231" s="123"/>
      <c r="AH231" s="123"/>
      <c r="AI231" s="123"/>
      <c r="AJ231" s="123"/>
    </row>
    <row r="232" s="33" customFormat="1" ht="16.95" customHeight="1" spans="1:36">
      <c r="A232" s="87">
        <f>IF(F232&lt;&gt;"",1+MAX($A$2:A231),"")</f>
        <v>205</v>
      </c>
      <c r="B232" s="89"/>
      <c r="C232" s="89" t="s">
        <v>426</v>
      </c>
      <c r="D232" s="69" t="s">
        <v>427</v>
      </c>
      <c r="E232" s="72">
        <v>1</v>
      </c>
      <c r="F232" s="90">
        <v>0</v>
      </c>
      <c r="G232" s="91">
        <v>1</v>
      </c>
      <c r="H232" s="70" t="s">
        <v>35</v>
      </c>
      <c r="I232" s="97">
        <v>0</v>
      </c>
      <c r="J232" s="98">
        <f t="shared" si="42"/>
        <v>0</v>
      </c>
      <c r="K232" s="99">
        <v>50</v>
      </c>
      <c r="L232" s="100">
        <f t="shared" si="43"/>
        <v>0</v>
      </c>
      <c r="M232" s="100">
        <f t="shared" si="44"/>
        <v>0</v>
      </c>
      <c r="N232" s="100">
        <v>0</v>
      </c>
      <c r="O232" s="100">
        <f t="shared" si="45"/>
        <v>0</v>
      </c>
      <c r="P232" s="100">
        <f t="shared" si="46"/>
        <v>0</v>
      </c>
      <c r="Q232" s="124">
        <f t="shared" si="47"/>
        <v>0</v>
      </c>
      <c r="R232" s="123"/>
      <c r="S232" s="123"/>
      <c r="T232" s="123"/>
      <c r="U232" s="123"/>
      <c r="V232" s="123"/>
      <c r="W232" s="123"/>
      <c r="X232" s="123"/>
      <c r="Y232" s="123"/>
      <c r="Z232" s="123"/>
      <c r="AA232" s="123"/>
      <c r="AB232" s="123"/>
      <c r="AC232" s="123"/>
      <c r="AD232" s="123"/>
      <c r="AE232" s="123"/>
      <c r="AF232" s="123"/>
      <c r="AG232" s="123"/>
      <c r="AH232" s="123"/>
      <c r="AI232" s="123"/>
      <c r="AJ232" s="123"/>
    </row>
    <row r="233" s="33" customFormat="1" ht="16.95" customHeight="1" spans="1:36">
      <c r="A233" s="87">
        <f>IF(F233&lt;&gt;"",1+MAX($A$2:A232),"")</f>
        <v>206</v>
      </c>
      <c r="B233" s="89"/>
      <c r="C233" s="89" t="s">
        <v>428</v>
      </c>
      <c r="D233" s="69" t="s">
        <v>429</v>
      </c>
      <c r="E233" s="72">
        <v>1</v>
      </c>
      <c r="F233" s="90">
        <v>0</v>
      </c>
      <c r="G233" s="91">
        <v>1</v>
      </c>
      <c r="H233" s="70" t="s">
        <v>35</v>
      </c>
      <c r="I233" s="97">
        <v>0</v>
      </c>
      <c r="J233" s="98">
        <f t="shared" si="42"/>
        <v>0</v>
      </c>
      <c r="K233" s="99">
        <v>50</v>
      </c>
      <c r="L233" s="100">
        <f t="shared" si="43"/>
        <v>0</v>
      </c>
      <c r="M233" s="100">
        <f t="shared" si="44"/>
        <v>0</v>
      </c>
      <c r="N233" s="100">
        <v>0</v>
      </c>
      <c r="O233" s="100">
        <f t="shared" si="45"/>
        <v>0</v>
      </c>
      <c r="P233" s="100">
        <f t="shared" si="46"/>
        <v>0</v>
      </c>
      <c r="Q233" s="124">
        <f t="shared" si="47"/>
        <v>0</v>
      </c>
      <c r="R233" s="123"/>
      <c r="S233" s="123"/>
      <c r="T233" s="123"/>
      <c r="U233" s="123"/>
      <c r="V233" s="123"/>
      <c r="W233" s="123"/>
      <c r="X233" s="123"/>
      <c r="Y233" s="123"/>
      <c r="Z233" s="123"/>
      <c r="AA233" s="123"/>
      <c r="AB233" s="123"/>
      <c r="AC233" s="123"/>
      <c r="AD233" s="123"/>
      <c r="AE233" s="123"/>
      <c r="AF233" s="123"/>
      <c r="AG233" s="123"/>
      <c r="AH233" s="123"/>
      <c r="AI233" s="123"/>
      <c r="AJ233" s="123"/>
    </row>
    <row r="234" s="33" customFormat="1" ht="16.95" customHeight="1" spans="1:36">
      <c r="A234" s="87">
        <f>IF(F234&lt;&gt;"",1+MAX($A$2:A233),"")</f>
        <v>207</v>
      </c>
      <c r="B234" s="89"/>
      <c r="C234" s="89" t="s">
        <v>430</v>
      </c>
      <c r="D234" s="69" t="s">
        <v>431</v>
      </c>
      <c r="E234" s="72">
        <v>1</v>
      </c>
      <c r="F234" s="90">
        <v>0</v>
      </c>
      <c r="G234" s="91">
        <v>1</v>
      </c>
      <c r="H234" s="70" t="s">
        <v>35</v>
      </c>
      <c r="I234" s="97">
        <v>0</v>
      </c>
      <c r="J234" s="98">
        <f t="shared" si="42"/>
        <v>0</v>
      </c>
      <c r="K234" s="99">
        <v>50</v>
      </c>
      <c r="L234" s="100">
        <f t="shared" si="43"/>
        <v>0</v>
      </c>
      <c r="M234" s="100">
        <f t="shared" si="44"/>
        <v>0</v>
      </c>
      <c r="N234" s="100">
        <v>0</v>
      </c>
      <c r="O234" s="100">
        <f t="shared" si="45"/>
        <v>0</v>
      </c>
      <c r="P234" s="100">
        <f t="shared" si="46"/>
        <v>0</v>
      </c>
      <c r="Q234" s="124">
        <f t="shared" si="47"/>
        <v>0</v>
      </c>
      <c r="R234" s="123"/>
      <c r="S234" s="123"/>
      <c r="T234" s="123"/>
      <c r="U234" s="123"/>
      <c r="V234" s="123"/>
      <c r="W234" s="123"/>
      <c r="X234" s="123"/>
      <c r="Y234" s="123"/>
      <c r="Z234" s="123"/>
      <c r="AA234" s="123"/>
      <c r="AB234" s="123"/>
      <c r="AC234" s="123"/>
      <c r="AD234" s="123"/>
      <c r="AE234" s="123"/>
      <c r="AF234" s="123"/>
      <c r="AG234" s="123"/>
      <c r="AH234" s="123"/>
      <c r="AI234" s="123"/>
      <c r="AJ234" s="123"/>
    </row>
    <row r="235" s="33" customFormat="1" ht="16.95" customHeight="1" spans="1:36">
      <c r="A235" s="87">
        <f>IF(F235&lt;&gt;"",1+MAX($A$2:A234),"")</f>
        <v>208</v>
      </c>
      <c r="B235" s="89"/>
      <c r="C235" s="89" t="s">
        <v>432</v>
      </c>
      <c r="D235" s="69" t="s">
        <v>433</v>
      </c>
      <c r="E235" s="72">
        <v>1</v>
      </c>
      <c r="F235" s="90">
        <v>0</v>
      </c>
      <c r="G235" s="91">
        <v>1</v>
      </c>
      <c r="H235" s="70" t="s">
        <v>35</v>
      </c>
      <c r="I235" s="97">
        <v>0</v>
      </c>
      <c r="J235" s="98">
        <f t="shared" si="42"/>
        <v>0</v>
      </c>
      <c r="K235" s="99">
        <v>50</v>
      </c>
      <c r="L235" s="100">
        <f t="shared" si="43"/>
        <v>0</v>
      </c>
      <c r="M235" s="100">
        <f t="shared" si="44"/>
        <v>0</v>
      </c>
      <c r="N235" s="100">
        <v>0</v>
      </c>
      <c r="O235" s="100">
        <f t="shared" si="45"/>
        <v>0</v>
      </c>
      <c r="P235" s="100">
        <f t="shared" si="46"/>
        <v>0</v>
      </c>
      <c r="Q235" s="124">
        <f t="shared" si="47"/>
        <v>0</v>
      </c>
      <c r="R235" s="123"/>
      <c r="S235" s="123"/>
      <c r="T235" s="123"/>
      <c r="U235" s="123"/>
      <c r="V235" s="123"/>
      <c r="W235" s="123"/>
      <c r="X235" s="123"/>
      <c r="Y235" s="123"/>
      <c r="Z235" s="123"/>
      <c r="AA235" s="123"/>
      <c r="AB235" s="123"/>
      <c r="AC235" s="123"/>
      <c r="AD235" s="123"/>
      <c r="AE235" s="123"/>
      <c r="AF235" s="123"/>
      <c r="AG235" s="123"/>
      <c r="AH235" s="123"/>
      <c r="AI235" s="123"/>
      <c r="AJ235" s="123"/>
    </row>
    <row r="236" s="33" customFormat="1" ht="16.95" customHeight="1" spans="1:36">
      <c r="A236" s="87">
        <f>IF(F236&lt;&gt;"",1+MAX($A$2:A235),"")</f>
        <v>209</v>
      </c>
      <c r="B236" s="89"/>
      <c r="C236" s="89" t="s">
        <v>434</v>
      </c>
      <c r="D236" s="69" t="s">
        <v>435</v>
      </c>
      <c r="E236" s="72">
        <v>1</v>
      </c>
      <c r="F236" s="90">
        <v>0</v>
      </c>
      <c r="G236" s="91">
        <v>1</v>
      </c>
      <c r="H236" s="70" t="s">
        <v>35</v>
      </c>
      <c r="I236" s="97">
        <v>0</v>
      </c>
      <c r="J236" s="98">
        <f t="shared" si="42"/>
        <v>0</v>
      </c>
      <c r="K236" s="99">
        <v>50</v>
      </c>
      <c r="L236" s="100">
        <f t="shared" si="43"/>
        <v>0</v>
      </c>
      <c r="M236" s="100">
        <f t="shared" si="44"/>
        <v>0</v>
      </c>
      <c r="N236" s="100">
        <v>0</v>
      </c>
      <c r="O236" s="100">
        <f t="shared" si="45"/>
        <v>0</v>
      </c>
      <c r="P236" s="100">
        <f t="shared" si="46"/>
        <v>0</v>
      </c>
      <c r="Q236" s="124">
        <f t="shared" si="47"/>
        <v>0</v>
      </c>
      <c r="R236" s="123"/>
      <c r="S236" s="123"/>
      <c r="T236" s="123"/>
      <c r="U236" s="123"/>
      <c r="V236" s="123"/>
      <c r="W236" s="123"/>
      <c r="X236" s="123"/>
      <c r="Y236" s="123"/>
      <c r="Z236" s="123"/>
      <c r="AA236" s="123"/>
      <c r="AB236" s="123"/>
      <c r="AC236" s="123"/>
      <c r="AD236" s="123"/>
      <c r="AE236" s="123"/>
      <c r="AF236" s="123"/>
      <c r="AG236" s="123"/>
      <c r="AH236" s="123"/>
      <c r="AI236" s="123"/>
      <c r="AJ236" s="123"/>
    </row>
    <row r="237" s="33" customFormat="1" ht="16.95" customHeight="1" spans="1:36">
      <c r="A237" s="87">
        <f>IF(F237&lt;&gt;"",1+MAX($A$2:A236),"")</f>
        <v>210</v>
      </c>
      <c r="B237" s="89"/>
      <c r="C237" s="89" t="s">
        <v>436</v>
      </c>
      <c r="D237" s="69" t="s">
        <v>437</v>
      </c>
      <c r="E237" s="72">
        <v>1</v>
      </c>
      <c r="F237" s="90">
        <v>0</v>
      </c>
      <c r="G237" s="91">
        <v>1</v>
      </c>
      <c r="H237" s="70" t="s">
        <v>35</v>
      </c>
      <c r="I237" s="97">
        <v>0</v>
      </c>
      <c r="J237" s="98">
        <f t="shared" si="42"/>
        <v>0</v>
      </c>
      <c r="K237" s="99">
        <v>50</v>
      </c>
      <c r="L237" s="100">
        <f t="shared" si="43"/>
        <v>0</v>
      </c>
      <c r="M237" s="100">
        <f t="shared" si="44"/>
        <v>0</v>
      </c>
      <c r="N237" s="100">
        <v>0</v>
      </c>
      <c r="O237" s="100">
        <f t="shared" si="45"/>
        <v>0</v>
      </c>
      <c r="P237" s="100">
        <f t="shared" si="46"/>
        <v>0</v>
      </c>
      <c r="Q237" s="124">
        <f t="shared" si="47"/>
        <v>0</v>
      </c>
      <c r="R237" s="123"/>
      <c r="S237" s="123"/>
      <c r="T237" s="123"/>
      <c r="U237" s="123"/>
      <c r="V237" s="123"/>
      <c r="W237" s="123"/>
      <c r="X237" s="123"/>
      <c r="Y237" s="123"/>
      <c r="Z237" s="123"/>
      <c r="AA237" s="123"/>
      <c r="AB237" s="123"/>
      <c r="AC237" s="123"/>
      <c r="AD237" s="123"/>
      <c r="AE237" s="123"/>
      <c r="AF237" s="123"/>
      <c r="AG237" s="123"/>
      <c r="AH237" s="123"/>
      <c r="AI237" s="123"/>
      <c r="AJ237" s="123"/>
    </row>
    <row r="238" s="33" customFormat="1" ht="16.95" customHeight="1" spans="1:36">
      <c r="A238" s="87">
        <f>IF(F238&lt;&gt;"",1+MAX($A$2:A237),"")</f>
        <v>211</v>
      </c>
      <c r="B238" s="89"/>
      <c r="C238" s="89" t="s">
        <v>438</v>
      </c>
      <c r="D238" s="69" t="s">
        <v>439</v>
      </c>
      <c r="E238" s="72">
        <v>1</v>
      </c>
      <c r="F238" s="90">
        <v>0</v>
      </c>
      <c r="G238" s="91">
        <v>1</v>
      </c>
      <c r="H238" s="70" t="s">
        <v>35</v>
      </c>
      <c r="I238" s="97">
        <v>0</v>
      </c>
      <c r="J238" s="98">
        <f t="shared" si="42"/>
        <v>0</v>
      </c>
      <c r="K238" s="99">
        <v>50</v>
      </c>
      <c r="L238" s="100">
        <f t="shared" si="43"/>
        <v>0</v>
      </c>
      <c r="M238" s="100">
        <f t="shared" si="44"/>
        <v>0</v>
      </c>
      <c r="N238" s="100">
        <v>0</v>
      </c>
      <c r="O238" s="100">
        <f t="shared" si="45"/>
        <v>0</v>
      </c>
      <c r="P238" s="100">
        <f t="shared" si="46"/>
        <v>0</v>
      </c>
      <c r="Q238" s="124">
        <f t="shared" si="47"/>
        <v>0</v>
      </c>
      <c r="R238" s="123"/>
      <c r="S238" s="123"/>
      <c r="T238" s="123"/>
      <c r="U238" s="123"/>
      <c r="V238" s="123"/>
      <c r="W238" s="123"/>
      <c r="X238" s="123"/>
      <c r="Y238" s="123"/>
      <c r="Z238" s="123"/>
      <c r="AA238" s="123"/>
      <c r="AB238" s="123"/>
      <c r="AC238" s="123"/>
      <c r="AD238" s="123"/>
      <c r="AE238" s="123"/>
      <c r="AF238" s="123"/>
      <c r="AG238" s="123"/>
      <c r="AH238" s="123"/>
      <c r="AI238" s="123"/>
      <c r="AJ238" s="123"/>
    </row>
    <row r="239" s="33" customFormat="1" ht="16.95" customHeight="1" spans="1:36">
      <c r="A239" s="87">
        <f>IF(F239&lt;&gt;"",1+MAX($A$2:A238),"")</f>
        <v>212</v>
      </c>
      <c r="B239" s="89"/>
      <c r="C239" s="89" t="s">
        <v>440</v>
      </c>
      <c r="D239" s="69" t="s">
        <v>441</v>
      </c>
      <c r="E239" s="72">
        <v>1</v>
      </c>
      <c r="F239" s="90">
        <v>0</v>
      </c>
      <c r="G239" s="91">
        <v>1</v>
      </c>
      <c r="H239" s="70" t="s">
        <v>35</v>
      </c>
      <c r="I239" s="97">
        <v>0</v>
      </c>
      <c r="J239" s="98">
        <f t="shared" si="42"/>
        <v>0</v>
      </c>
      <c r="K239" s="99">
        <v>50</v>
      </c>
      <c r="L239" s="100">
        <f t="shared" si="43"/>
        <v>0</v>
      </c>
      <c r="M239" s="100">
        <f t="shared" si="44"/>
        <v>0</v>
      </c>
      <c r="N239" s="100">
        <v>0</v>
      </c>
      <c r="O239" s="100">
        <f t="shared" si="45"/>
        <v>0</v>
      </c>
      <c r="P239" s="100">
        <f t="shared" si="46"/>
        <v>0</v>
      </c>
      <c r="Q239" s="124">
        <f t="shared" si="47"/>
        <v>0</v>
      </c>
      <c r="R239" s="123"/>
      <c r="S239" s="123"/>
      <c r="T239" s="123"/>
      <c r="U239" s="123"/>
      <c r="V239" s="123"/>
      <c r="W239" s="123"/>
      <c r="X239" s="123"/>
      <c r="Y239" s="123"/>
      <c r="Z239" s="123"/>
      <c r="AA239" s="123"/>
      <c r="AB239" s="123"/>
      <c r="AC239" s="123"/>
      <c r="AD239" s="123"/>
      <c r="AE239" s="123"/>
      <c r="AF239" s="123"/>
      <c r="AG239" s="123"/>
      <c r="AH239" s="123"/>
      <c r="AI239" s="123"/>
      <c r="AJ239" s="123"/>
    </row>
    <row r="240" s="33" customFormat="1" ht="16.95" customHeight="1" spans="1:36">
      <c r="A240" s="87">
        <f>IF(F240&lt;&gt;"",1+MAX($A$2:A239),"")</f>
        <v>213</v>
      </c>
      <c r="B240" s="89"/>
      <c r="C240" s="89" t="s">
        <v>442</v>
      </c>
      <c r="D240" s="69" t="s">
        <v>443</v>
      </c>
      <c r="E240" s="72">
        <v>1</v>
      </c>
      <c r="F240" s="90">
        <v>0</v>
      </c>
      <c r="G240" s="91">
        <v>1</v>
      </c>
      <c r="H240" s="70" t="s">
        <v>35</v>
      </c>
      <c r="I240" s="97">
        <v>0</v>
      </c>
      <c r="J240" s="98">
        <f t="shared" si="42"/>
        <v>0</v>
      </c>
      <c r="K240" s="99">
        <v>50</v>
      </c>
      <c r="L240" s="100">
        <f t="shared" si="43"/>
        <v>0</v>
      </c>
      <c r="M240" s="100">
        <f t="shared" si="44"/>
        <v>0</v>
      </c>
      <c r="N240" s="100">
        <v>0</v>
      </c>
      <c r="O240" s="100">
        <f t="shared" si="45"/>
        <v>0</v>
      </c>
      <c r="P240" s="100">
        <f t="shared" si="46"/>
        <v>0</v>
      </c>
      <c r="Q240" s="124">
        <f t="shared" si="47"/>
        <v>0</v>
      </c>
      <c r="R240" s="123"/>
      <c r="S240" s="123"/>
      <c r="T240" s="123"/>
      <c r="U240" s="123"/>
      <c r="V240" s="123"/>
      <c r="W240" s="123"/>
      <c r="X240" s="123"/>
      <c r="Y240" s="123"/>
      <c r="Z240" s="123"/>
      <c r="AA240" s="123"/>
      <c r="AB240" s="123"/>
      <c r="AC240" s="123"/>
      <c r="AD240" s="123"/>
      <c r="AE240" s="123"/>
      <c r="AF240" s="123"/>
      <c r="AG240" s="123"/>
      <c r="AH240" s="123"/>
      <c r="AI240" s="123"/>
      <c r="AJ240" s="123"/>
    </row>
    <row r="241" s="33" customFormat="1" ht="16.95" customHeight="1" spans="1:36">
      <c r="A241" s="87">
        <f>IF(F241&lt;&gt;"",1+MAX($A$2:A240),"")</f>
        <v>214</v>
      </c>
      <c r="B241" s="89"/>
      <c r="C241" s="89" t="s">
        <v>444</v>
      </c>
      <c r="D241" s="69" t="s">
        <v>445</v>
      </c>
      <c r="E241" s="72">
        <v>1</v>
      </c>
      <c r="F241" s="90">
        <v>0</v>
      </c>
      <c r="G241" s="91">
        <v>1</v>
      </c>
      <c r="H241" s="70" t="s">
        <v>35</v>
      </c>
      <c r="I241" s="97">
        <v>0</v>
      </c>
      <c r="J241" s="98">
        <f t="shared" si="42"/>
        <v>0</v>
      </c>
      <c r="K241" s="99">
        <v>50</v>
      </c>
      <c r="L241" s="100">
        <f t="shared" si="43"/>
        <v>0</v>
      </c>
      <c r="M241" s="100">
        <f t="shared" si="44"/>
        <v>0</v>
      </c>
      <c r="N241" s="100">
        <v>0</v>
      </c>
      <c r="O241" s="100">
        <f t="shared" si="45"/>
        <v>0</v>
      </c>
      <c r="P241" s="100">
        <f t="shared" si="46"/>
        <v>0</v>
      </c>
      <c r="Q241" s="124">
        <f t="shared" si="47"/>
        <v>0</v>
      </c>
      <c r="R241" s="123"/>
      <c r="S241" s="123"/>
      <c r="T241" s="123"/>
      <c r="U241" s="123"/>
      <c r="V241" s="123"/>
      <c r="W241" s="123"/>
      <c r="X241" s="123"/>
      <c r="Y241" s="123"/>
      <c r="Z241" s="123"/>
      <c r="AA241" s="123"/>
      <c r="AB241" s="123"/>
      <c r="AC241" s="123"/>
      <c r="AD241" s="123"/>
      <c r="AE241" s="123"/>
      <c r="AF241" s="123"/>
      <c r="AG241" s="123"/>
      <c r="AH241" s="123"/>
      <c r="AI241" s="123"/>
      <c r="AJ241" s="123"/>
    </row>
    <row r="242" s="33" customFormat="1" ht="16.95" customHeight="1" spans="1:36">
      <c r="A242" s="87">
        <f>IF(F242&lt;&gt;"",1+MAX($A$2:A241),"")</f>
        <v>215</v>
      </c>
      <c r="B242" s="89"/>
      <c r="C242" s="89" t="s">
        <v>446</v>
      </c>
      <c r="D242" s="69" t="s">
        <v>447</v>
      </c>
      <c r="E242" s="72">
        <v>1</v>
      </c>
      <c r="F242" s="90">
        <v>0</v>
      </c>
      <c r="G242" s="91">
        <v>1</v>
      </c>
      <c r="H242" s="70" t="s">
        <v>35</v>
      </c>
      <c r="I242" s="97">
        <v>0</v>
      </c>
      <c r="J242" s="98">
        <f t="shared" si="42"/>
        <v>0</v>
      </c>
      <c r="K242" s="99">
        <v>50</v>
      </c>
      <c r="L242" s="100">
        <f t="shared" si="43"/>
        <v>0</v>
      </c>
      <c r="M242" s="100">
        <f t="shared" si="44"/>
        <v>0</v>
      </c>
      <c r="N242" s="100">
        <v>0</v>
      </c>
      <c r="O242" s="100">
        <f t="shared" si="45"/>
        <v>0</v>
      </c>
      <c r="P242" s="100">
        <f t="shared" si="46"/>
        <v>0</v>
      </c>
      <c r="Q242" s="124">
        <f t="shared" si="47"/>
        <v>0</v>
      </c>
      <c r="R242" s="123"/>
      <c r="S242" s="123"/>
      <c r="T242" s="123"/>
      <c r="U242" s="123"/>
      <c r="V242" s="123"/>
      <c r="W242" s="123"/>
      <c r="X242" s="123"/>
      <c r="Y242" s="123"/>
      <c r="Z242" s="123"/>
      <c r="AA242" s="123"/>
      <c r="AB242" s="123"/>
      <c r="AC242" s="123"/>
      <c r="AD242" s="123"/>
      <c r="AE242" s="123"/>
      <c r="AF242" s="123"/>
      <c r="AG242" s="123"/>
      <c r="AH242" s="123"/>
      <c r="AI242" s="123"/>
      <c r="AJ242" s="123"/>
    </row>
    <row r="243" s="33" customFormat="1" ht="16.95" customHeight="1" spans="1:36">
      <c r="A243" s="87">
        <f>IF(F243&lt;&gt;"",1+MAX($A$2:A242),"")</f>
        <v>216</v>
      </c>
      <c r="B243" s="89"/>
      <c r="C243" s="89" t="s">
        <v>448</v>
      </c>
      <c r="D243" s="69" t="s">
        <v>449</v>
      </c>
      <c r="E243" s="72">
        <v>1</v>
      </c>
      <c r="F243" s="90">
        <v>0</v>
      </c>
      <c r="G243" s="91">
        <v>1</v>
      </c>
      <c r="H243" s="70" t="s">
        <v>35</v>
      </c>
      <c r="I243" s="97">
        <v>0</v>
      </c>
      <c r="J243" s="98">
        <f t="shared" si="42"/>
        <v>0</v>
      </c>
      <c r="K243" s="99">
        <v>50</v>
      </c>
      <c r="L243" s="100">
        <f t="shared" si="43"/>
        <v>0</v>
      </c>
      <c r="M243" s="100">
        <f t="shared" si="44"/>
        <v>0</v>
      </c>
      <c r="N243" s="100">
        <v>0</v>
      </c>
      <c r="O243" s="100">
        <f t="shared" si="45"/>
        <v>0</v>
      </c>
      <c r="P243" s="100">
        <f t="shared" si="46"/>
        <v>0</v>
      </c>
      <c r="Q243" s="124">
        <f t="shared" si="47"/>
        <v>0</v>
      </c>
      <c r="R243" s="123"/>
      <c r="S243" s="123"/>
      <c r="T243" s="123"/>
      <c r="U243" s="123"/>
      <c r="V243" s="123"/>
      <c r="W243" s="123"/>
      <c r="X243" s="123"/>
      <c r="Y243" s="123"/>
      <c r="Z243" s="123"/>
      <c r="AA243" s="123"/>
      <c r="AB243" s="123"/>
      <c r="AC243" s="123"/>
      <c r="AD243" s="123"/>
      <c r="AE243" s="123"/>
      <c r="AF243" s="123"/>
      <c r="AG243" s="123"/>
      <c r="AH243" s="123"/>
      <c r="AI243" s="123"/>
      <c r="AJ243" s="123"/>
    </row>
    <row r="244" s="33" customFormat="1" ht="16.95" customHeight="1" spans="1:36">
      <c r="A244" s="87">
        <f>IF(F244&lt;&gt;"",1+MAX($A$2:A243),"")</f>
        <v>217</v>
      </c>
      <c r="B244" s="89"/>
      <c r="C244" s="89" t="s">
        <v>450</v>
      </c>
      <c r="D244" s="69" t="s">
        <v>451</v>
      </c>
      <c r="E244" s="72">
        <v>1</v>
      </c>
      <c r="F244" s="90">
        <v>0</v>
      </c>
      <c r="G244" s="91">
        <v>1</v>
      </c>
      <c r="H244" s="70" t="s">
        <v>35</v>
      </c>
      <c r="I244" s="97">
        <v>0</v>
      </c>
      <c r="J244" s="98">
        <f t="shared" si="42"/>
        <v>0</v>
      </c>
      <c r="K244" s="99">
        <v>50</v>
      </c>
      <c r="L244" s="100">
        <f t="shared" si="43"/>
        <v>0</v>
      </c>
      <c r="M244" s="100">
        <f t="shared" si="44"/>
        <v>0</v>
      </c>
      <c r="N244" s="100">
        <v>0</v>
      </c>
      <c r="O244" s="100">
        <f t="shared" si="45"/>
        <v>0</v>
      </c>
      <c r="P244" s="100">
        <f t="shared" si="46"/>
        <v>0</v>
      </c>
      <c r="Q244" s="124">
        <f t="shared" si="47"/>
        <v>0</v>
      </c>
      <c r="R244" s="123"/>
      <c r="S244" s="123"/>
      <c r="T244" s="123"/>
      <c r="U244" s="123"/>
      <c r="V244" s="123"/>
      <c r="W244" s="123"/>
      <c r="X244" s="123"/>
      <c r="Y244" s="123"/>
      <c r="Z244" s="123"/>
      <c r="AA244" s="123"/>
      <c r="AB244" s="123"/>
      <c r="AC244" s="123"/>
      <c r="AD244" s="123"/>
      <c r="AE244" s="123"/>
      <c r="AF244" s="123"/>
      <c r="AG244" s="123"/>
      <c r="AH244" s="123"/>
      <c r="AI244" s="123"/>
      <c r="AJ244" s="123"/>
    </row>
    <row r="245" s="33" customFormat="1" ht="16.95" customHeight="1" spans="1:36">
      <c r="A245" s="87">
        <f>IF(F245&lt;&gt;"",1+MAX($A$2:A244),"")</f>
        <v>218</v>
      </c>
      <c r="B245" s="89"/>
      <c r="C245" s="89" t="s">
        <v>452</v>
      </c>
      <c r="D245" s="69" t="s">
        <v>453</v>
      </c>
      <c r="E245" s="72">
        <v>1</v>
      </c>
      <c r="F245" s="90">
        <v>0</v>
      </c>
      <c r="G245" s="91">
        <v>1</v>
      </c>
      <c r="H245" s="70" t="s">
        <v>35</v>
      </c>
      <c r="I245" s="97">
        <v>0</v>
      </c>
      <c r="J245" s="98">
        <f t="shared" si="42"/>
        <v>0</v>
      </c>
      <c r="K245" s="99">
        <v>50</v>
      </c>
      <c r="L245" s="100">
        <f t="shared" si="43"/>
        <v>0</v>
      </c>
      <c r="M245" s="100">
        <f t="shared" si="44"/>
        <v>0</v>
      </c>
      <c r="N245" s="100">
        <v>0</v>
      </c>
      <c r="O245" s="100">
        <f t="shared" si="45"/>
        <v>0</v>
      </c>
      <c r="P245" s="100">
        <f t="shared" si="46"/>
        <v>0</v>
      </c>
      <c r="Q245" s="124">
        <f t="shared" si="47"/>
        <v>0</v>
      </c>
      <c r="R245" s="123"/>
      <c r="S245" s="123"/>
      <c r="T245" s="123"/>
      <c r="U245" s="123"/>
      <c r="V245" s="123"/>
      <c r="W245" s="123"/>
      <c r="X245" s="123"/>
      <c r="Y245" s="123"/>
      <c r="Z245" s="123"/>
      <c r="AA245" s="123"/>
      <c r="AB245" s="123"/>
      <c r="AC245" s="123"/>
      <c r="AD245" s="123"/>
      <c r="AE245" s="123"/>
      <c r="AF245" s="123"/>
      <c r="AG245" s="123"/>
      <c r="AH245" s="123"/>
      <c r="AI245" s="123"/>
      <c r="AJ245" s="123"/>
    </row>
    <row r="246" s="33" customFormat="1" ht="16.95" customHeight="1" spans="1:36">
      <c r="A246" s="87">
        <f>IF(F246&lt;&gt;"",1+MAX($A$2:A245),"")</f>
        <v>219</v>
      </c>
      <c r="B246" s="89"/>
      <c r="C246" s="89" t="s">
        <v>454</v>
      </c>
      <c r="D246" s="69" t="s">
        <v>455</v>
      </c>
      <c r="E246" s="72">
        <v>1</v>
      </c>
      <c r="F246" s="90">
        <v>0</v>
      </c>
      <c r="G246" s="91">
        <v>1</v>
      </c>
      <c r="H246" s="70" t="s">
        <v>35</v>
      </c>
      <c r="I246" s="97">
        <v>0</v>
      </c>
      <c r="J246" s="98">
        <f t="shared" si="42"/>
        <v>0</v>
      </c>
      <c r="K246" s="99">
        <v>50</v>
      </c>
      <c r="L246" s="100">
        <f t="shared" si="43"/>
        <v>0</v>
      </c>
      <c r="M246" s="100">
        <f t="shared" si="44"/>
        <v>0</v>
      </c>
      <c r="N246" s="100">
        <v>0</v>
      </c>
      <c r="O246" s="100">
        <f t="shared" si="45"/>
        <v>0</v>
      </c>
      <c r="P246" s="100">
        <f t="shared" si="46"/>
        <v>0</v>
      </c>
      <c r="Q246" s="124">
        <f t="shared" si="47"/>
        <v>0</v>
      </c>
      <c r="R246" s="123"/>
      <c r="S246" s="123"/>
      <c r="T246" s="123"/>
      <c r="U246" s="123"/>
      <c r="V246" s="123"/>
      <c r="W246" s="123"/>
      <c r="X246" s="123"/>
      <c r="Y246" s="123"/>
      <c r="Z246" s="123"/>
      <c r="AA246" s="123"/>
      <c r="AB246" s="123"/>
      <c r="AC246" s="123"/>
      <c r="AD246" s="123"/>
      <c r="AE246" s="123"/>
      <c r="AF246" s="123"/>
      <c r="AG246" s="123"/>
      <c r="AH246" s="123"/>
      <c r="AI246" s="123"/>
      <c r="AJ246" s="123"/>
    </row>
    <row r="247" s="33" customFormat="1" ht="16.95" customHeight="1" spans="1:36">
      <c r="A247" s="87">
        <f>IF(F247&lt;&gt;"",1+MAX($A$2:A246),"")</f>
        <v>220</v>
      </c>
      <c r="B247" s="89"/>
      <c r="C247" s="89" t="s">
        <v>456</v>
      </c>
      <c r="D247" s="69" t="s">
        <v>457</v>
      </c>
      <c r="E247" s="72">
        <v>1</v>
      </c>
      <c r="F247" s="90">
        <v>0</v>
      </c>
      <c r="G247" s="91">
        <v>1</v>
      </c>
      <c r="H247" s="70" t="s">
        <v>35</v>
      </c>
      <c r="I247" s="97">
        <v>0</v>
      </c>
      <c r="J247" s="98">
        <f t="shared" si="42"/>
        <v>0</v>
      </c>
      <c r="K247" s="99">
        <v>50</v>
      </c>
      <c r="L247" s="100">
        <f t="shared" si="43"/>
        <v>0</v>
      </c>
      <c r="M247" s="100">
        <f t="shared" si="44"/>
        <v>0</v>
      </c>
      <c r="N247" s="100">
        <v>0</v>
      </c>
      <c r="O247" s="100">
        <f t="shared" si="45"/>
        <v>0</v>
      </c>
      <c r="P247" s="100">
        <f t="shared" si="46"/>
        <v>0</v>
      </c>
      <c r="Q247" s="124">
        <f t="shared" si="47"/>
        <v>0</v>
      </c>
      <c r="R247" s="123"/>
      <c r="S247" s="123"/>
      <c r="T247" s="123"/>
      <c r="U247" s="123"/>
      <c r="V247" s="123"/>
      <c r="W247" s="123"/>
      <c r="X247" s="123"/>
      <c r="Y247" s="123"/>
      <c r="Z247" s="123"/>
      <c r="AA247" s="123"/>
      <c r="AB247" s="123"/>
      <c r="AC247" s="123"/>
      <c r="AD247" s="123"/>
      <c r="AE247" s="123"/>
      <c r="AF247" s="123"/>
      <c r="AG247" s="123"/>
      <c r="AH247" s="123"/>
      <c r="AI247" s="123"/>
      <c r="AJ247" s="123"/>
    </row>
    <row r="248" s="33" customFormat="1" ht="16.95" customHeight="1" spans="1:36">
      <c r="A248" s="87">
        <f>IF(F248&lt;&gt;"",1+MAX($A$2:A247),"")</f>
        <v>221</v>
      </c>
      <c r="B248" s="89"/>
      <c r="C248" s="89" t="s">
        <v>458</v>
      </c>
      <c r="D248" s="69" t="s">
        <v>459</v>
      </c>
      <c r="E248" s="72">
        <v>1</v>
      </c>
      <c r="F248" s="90">
        <v>0</v>
      </c>
      <c r="G248" s="91">
        <v>1</v>
      </c>
      <c r="H248" s="70" t="s">
        <v>35</v>
      </c>
      <c r="I248" s="97">
        <v>0</v>
      </c>
      <c r="J248" s="98">
        <f t="shared" si="42"/>
        <v>0</v>
      </c>
      <c r="K248" s="99">
        <v>50</v>
      </c>
      <c r="L248" s="100">
        <f t="shared" si="43"/>
        <v>0</v>
      </c>
      <c r="M248" s="100">
        <f t="shared" si="44"/>
        <v>0</v>
      </c>
      <c r="N248" s="100">
        <v>0</v>
      </c>
      <c r="O248" s="100">
        <f t="shared" si="45"/>
        <v>0</v>
      </c>
      <c r="P248" s="100">
        <f t="shared" si="46"/>
        <v>0</v>
      </c>
      <c r="Q248" s="124">
        <f t="shared" si="47"/>
        <v>0</v>
      </c>
      <c r="R248" s="123"/>
      <c r="S248" s="123"/>
      <c r="T248" s="123"/>
      <c r="U248" s="123"/>
      <c r="V248" s="123"/>
      <c r="W248" s="123"/>
      <c r="X248" s="123"/>
      <c r="Y248" s="123"/>
      <c r="Z248" s="123"/>
      <c r="AA248" s="123"/>
      <c r="AB248" s="123"/>
      <c r="AC248" s="123"/>
      <c r="AD248" s="123"/>
      <c r="AE248" s="123"/>
      <c r="AF248" s="123"/>
      <c r="AG248" s="123"/>
      <c r="AH248" s="123"/>
      <c r="AI248" s="123"/>
      <c r="AJ248" s="123"/>
    </row>
    <row r="249" s="33" customFormat="1" ht="16.95" customHeight="1" spans="1:36">
      <c r="A249" s="87">
        <f>IF(F249&lt;&gt;"",1+MAX($A$2:A248),"")</f>
        <v>222</v>
      </c>
      <c r="B249" s="89"/>
      <c r="C249" s="89" t="s">
        <v>414</v>
      </c>
      <c r="D249" s="69" t="s">
        <v>415</v>
      </c>
      <c r="E249" s="72">
        <v>1</v>
      </c>
      <c r="F249" s="90">
        <v>0</v>
      </c>
      <c r="G249" s="91">
        <v>1</v>
      </c>
      <c r="H249" s="70" t="s">
        <v>35</v>
      </c>
      <c r="I249" s="97">
        <v>0</v>
      </c>
      <c r="J249" s="98">
        <f t="shared" si="42"/>
        <v>0</v>
      </c>
      <c r="K249" s="99">
        <v>50</v>
      </c>
      <c r="L249" s="100">
        <f t="shared" si="43"/>
        <v>0</v>
      </c>
      <c r="M249" s="100">
        <f t="shared" si="44"/>
        <v>0</v>
      </c>
      <c r="N249" s="100">
        <v>0</v>
      </c>
      <c r="O249" s="100">
        <f t="shared" si="45"/>
        <v>0</v>
      </c>
      <c r="P249" s="100">
        <f t="shared" si="46"/>
        <v>0</v>
      </c>
      <c r="Q249" s="124">
        <f t="shared" si="47"/>
        <v>0</v>
      </c>
      <c r="R249" s="123"/>
      <c r="S249" s="123"/>
      <c r="T249" s="123"/>
      <c r="U249" s="123"/>
      <c r="V249" s="123"/>
      <c r="W249" s="123"/>
      <c r="X249" s="123"/>
      <c r="Y249" s="123"/>
      <c r="Z249" s="123"/>
      <c r="AA249" s="123"/>
      <c r="AB249" s="123"/>
      <c r="AC249" s="123"/>
      <c r="AD249" s="123"/>
      <c r="AE249" s="123"/>
      <c r="AF249" s="123"/>
      <c r="AG249" s="123"/>
      <c r="AH249" s="123"/>
      <c r="AI249" s="123"/>
      <c r="AJ249" s="123"/>
    </row>
    <row r="250" s="33" customFormat="1" ht="16.95" customHeight="1" spans="1:36">
      <c r="A250" s="87">
        <f>IF(F250&lt;&gt;"",1+MAX($A$2:A249),"")</f>
        <v>223</v>
      </c>
      <c r="B250" s="89"/>
      <c r="C250" s="89" t="s">
        <v>460</v>
      </c>
      <c r="D250" s="69" t="s">
        <v>461</v>
      </c>
      <c r="E250" s="72">
        <v>1</v>
      </c>
      <c r="F250" s="90">
        <v>0</v>
      </c>
      <c r="G250" s="91">
        <v>1</v>
      </c>
      <c r="H250" s="70" t="s">
        <v>35</v>
      </c>
      <c r="I250" s="97">
        <v>0</v>
      </c>
      <c r="J250" s="98">
        <f t="shared" si="42"/>
        <v>0</v>
      </c>
      <c r="K250" s="99">
        <v>50</v>
      </c>
      <c r="L250" s="100">
        <f t="shared" si="43"/>
        <v>0</v>
      </c>
      <c r="M250" s="100">
        <f t="shared" si="44"/>
        <v>0</v>
      </c>
      <c r="N250" s="100">
        <v>0</v>
      </c>
      <c r="O250" s="100">
        <f t="shared" si="45"/>
        <v>0</v>
      </c>
      <c r="P250" s="100">
        <f t="shared" si="46"/>
        <v>0</v>
      </c>
      <c r="Q250" s="124">
        <f t="shared" si="47"/>
        <v>0</v>
      </c>
      <c r="R250" s="123"/>
      <c r="S250" s="123"/>
      <c r="T250" s="123"/>
      <c r="U250" s="123"/>
      <c r="V250" s="123"/>
      <c r="W250" s="123"/>
      <c r="X250" s="123"/>
      <c r="Y250" s="123"/>
      <c r="Z250" s="123"/>
      <c r="AA250" s="123"/>
      <c r="AB250" s="123"/>
      <c r="AC250" s="123"/>
      <c r="AD250" s="123"/>
      <c r="AE250" s="123"/>
      <c r="AF250" s="123"/>
      <c r="AG250" s="123"/>
      <c r="AH250" s="123"/>
      <c r="AI250" s="123"/>
      <c r="AJ250" s="123"/>
    </row>
    <row r="251" s="33" customFormat="1" ht="16.95" customHeight="1" spans="1:36">
      <c r="A251" s="87">
        <f>IF(F251&lt;&gt;"",1+MAX($A$2:A250),"")</f>
        <v>224</v>
      </c>
      <c r="B251" s="89"/>
      <c r="C251" s="89" t="s">
        <v>390</v>
      </c>
      <c r="D251" s="69" t="s">
        <v>391</v>
      </c>
      <c r="E251" s="72">
        <v>1</v>
      </c>
      <c r="F251" s="90">
        <v>0</v>
      </c>
      <c r="G251" s="91">
        <v>1</v>
      </c>
      <c r="H251" s="70" t="s">
        <v>35</v>
      </c>
      <c r="I251" s="97">
        <v>0</v>
      </c>
      <c r="J251" s="98">
        <f t="shared" si="42"/>
        <v>0</v>
      </c>
      <c r="K251" s="99">
        <v>50</v>
      </c>
      <c r="L251" s="100">
        <f t="shared" si="43"/>
        <v>0</v>
      </c>
      <c r="M251" s="100">
        <f t="shared" si="44"/>
        <v>0</v>
      </c>
      <c r="N251" s="100">
        <v>0</v>
      </c>
      <c r="O251" s="100">
        <f t="shared" si="45"/>
        <v>0</v>
      </c>
      <c r="P251" s="100">
        <f t="shared" si="46"/>
        <v>0</v>
      </c>
      <c r="Q251" s="124">
        <f t="shared" si="47"/>
        <v>0</v>
      </c>
      <c r="R251" s="123"/>
      <c r="S251" s="123"/>
      <c r="T251" s="123"/>
      <c r="U251" s="123"/>
      <c r="V251" s="123"/>
      <c r="W251" s="123"/>
      <c r="X251" s="123"/>
      <c r="Y251" s="123"/>
      <c r="Z251" s="123"/>
      <c r="AA251" s="123"/>
      <c r="AB251" s="123"/>
      <c r="AC251" s="123"/>
      <c r="AD251" s="123"/>
      <c r="AE251" s="123"/>
      <c r="AF251" s="123"/>
      <c r="AG251" s="123"/>
      <c r="AH251" s="123"/>
      <c r="AI251" s="123"/>
      <c r="AJ251" s="123"/>
    </row>
    <row r="252" s="33" customFormat="1" ht="16.95" customHeight="1" spans="1:36">
      <c r="A252" s="87">
        <f>IF(F252&lt;&gt;"",1+MAX($A$2:A251),"")</f>
        <v>225</v>
      </c>
      <c r="B252" s="89"/>
      <c r="C252" s="89" t="s">
        <v>462</v>
      </c>
      <c r="D252" s="69" t="s">
        <v>463</v>
      </c>
      <c r="E252" s="72">
        <v>1</v>
      </c>
      <c r="F252" s="90">
        <v>0</v>
      </c>
      <c r="G252" s="91">
        <v>1</v>
      </c>
      <c r="H252" s="70" t="s">
        <v>35</v>
      </c>
      <c r="I252" s="97">
        <v>0</v>
      </c>
      <c r="J252" s="98">
        <f t="shared" si="42"/>
        <v>0</v>
      </c>
      <c r="K252" s="99">
        <v>50</v>
      </c>
      <c r="L252" s="100">
        <f t="shared" si="43"/>
        <v>0</v>
      </c>
      <c r="M252" s="100">
        <f t="shared" si="44"/>
        <v>0</v>
      </c>
      <c r="N252" s="100">
        <v>0</v>
      </c>
      <c r="O252" s="100">
        <f t="shared" si="45"/>
        <v>0</v>
      </c>
      <c r="P252" s="100">
        <f t="shared" si="46"/>
        <v>0</v>
      </c>
      <c r="Q252" s="124">
        <f t="shared" si="47"/>
        <v>0</v>
      </c>
      <c r="R252" s="123"/>
      <c r="S252" s="123"/>
      <c r="T252" s="123"/>
      <c r="U252" s="123"/>
      <c r="V252" s="123"/>
      <c r="W252" s="123"/>
      <c r="X252" s="123"/>
      <c r="Y252" s="123"/>
      <c r="Z252" s="123"/>
      <c r="AA252" s="123"/>
      <c r="AB252" s="123"/>
      <c r="AC252" s="123"/>
      <c r="AD252" s="123"/>
      <c r="AE252" s="123"/>
      <c r="AF252" s="123"/>
      <c r="AG252" s="123"/>
      <c r="AH252" s="123"/>
      <c r="AI252" s="123"/>
      <c r="AJ252" s="123"/>
    </row>
    <row r="253" s="33" customFormat="1" ht="16.95" customHeight="1" spans="1:36">
      <c r="A253" s="87">
        <f>IF(F253&lt;&gt;"",1+MAX($A$2:A252),"")</f>
        <v>226</v>
      </c>
      <c r="B253" s="89"/>
      <c r="C253" s="89" t="s">
        <v>464</v>
      </c>
      <c r="D253" s="69" t="s">
        <v>465</v>
      </c>
      <c r="E253" s="72">
        <v>1</v>
      </c>
      <c r="F253" s="90">
        <v>0</v>
      </c>
      <c r="G253" s="91">
        <v>1</v>
      </c>
      <c r="H253" s="70" t="s">
        <v>35</v>
      </c>
      <c r="I253" s="97">
        <v>0</v>
      </c>
      <c r="J253" s="98">
        <f t="shared" si="42"/>
        <v>0</v>
      </c>
      <c r="K253" s="99">
        <v>50</v>
      </c>
      <c r="L253" s="100">
        <f t="shared" si="43"/>
        <v>0</v>
      </c>
      <c r="M253" s="100">
        <f t="shared" si="44"/>
        <v>0</v>
      </c>
      <c r="N253" s="100">
        <v>0</v>
      </c>
      <c r="O253" s="100">
        <f t="shared" si="45"/>
        <v>0</v>
      </c>
      <c r="P253" s="100">
        <f t="shared" si="46"/>
        <v>0</v>
      </c>
      <c r="Q253" s="124">
        <f t="shared" si="47"/>
        <v>0</v>
      </c>
      <c r="R253" s="123"/>
      <c r="S253" s="123"/>
      <c r="T253" s="123"/>
      <c r="U253" s="123"/>
      <c r="V253" s="123"/>
      <c r="W253" s="123"/>
      <c r="X253" s="123"/>
      <c r="Y253" s="123"/>
      <c r="Z253" s="123"/>
      <c r="AA253" s="123"/>
      <c r="AB253" s="123"/>
      <c r="AC253" s="123"/>
      <c r="AD253" s="123"/>
      <c r="AE253" s="123"/>
      <c r="AF253" s="123"/>
      <c r="AG253" s="123"/>
      <c r="AH253" s="123"/>
      <c r="AI253" s="123"/>
      <c r="AJ253" s="123"/>
    </row>
    <row r="254" s="33" customFormat="1" ht="16.95" customHeight="1" spans="1:36">
      <c r="A254" s="87">
        <f>IF(F254&lt;&gt;"",1+MAX($A$2:A253),"")</f>
        <v>227</v>
      </c>
      <c r="B254" s="89"/>
      <c r="C254" s="89" t="s">
        <v>466</v>
      </c>
      <c r="D254" s="69" t="s">
        <v>467</v>
      </c>
      <c r="E254" s="72">
        <v>2</v>
      </c>
      <c r="F254" s="90">
        <v>0</v>
      </c>
      <c r="G254" s="91">
        <v>2</v>
      </c>
      <c r="H254" s="70" t="s">
        <v>35</v>
      </c>
      <c r="I254" s="97">
        <v>0</v>
      </c>
      <c r="J254" s="98">
        <f t="shared" si="42"/>
        <v>0</v>
      </c>
      <c r="K254" s="99">
        <v>50</v>
      </c>
      <c r="L254" s="100">
        <f t="shared" si="43"/>
        <v>0</v>
      </c>
      <c r="M254" s="100">
        <f t="shared" si="44"/>
        <v>0</v>
      </c>
      <c r="N254" s="100">
        <v>0</v>
      </c>
      <c r="O254" s="100">
        <f t="shared" si="45"/>
        <v>0</v>
      </c>
      <c r="P254" s="100">
        <f t="shared" si="46"/>
        <v>0</v>
      </c>
      <c r="Q254" s="124">
        <f t="shared" si="47"/>
        <v>0</v>
      </c>
      <c r="R254" s="123"/>
      <c r="S254" s="123"/>
      <c r="T254" s="123"/>
      <c r="U254" s="123"/>
      <c r="V254" s="123"/>
      <c r="W254" s="123"/>
      <c r="X254" s="123"/>
      <c r="Y254" s="123"/>
      <c r="Z254" s="123"/>
      <c r="AA254" s="123"/>
      <c r="AB254" s="123"/>
      <c r="AC254" s="123"/>
      <c r="AD254" s="123"/>
      <c r="AE254" s="123"/>
      <c r="AF254" s="123"/>
      <c r="AG254" s="123"/>
      <c r="AH254" s="123"/>
      <c r="AI254" s="123"/>
      <c r="AJ254" s="123"/>
    </row>
    <row r="255" s="33" customFormat="1" ht="16.95" customHeight="1" spans="1:36">
      <c r="A255" s="87">
        <f>IF(F255&lt;&gt;"",1+MAX($A$2:A254),"")</f>
        <v>228</v>
      </c>
      <c r="B255" s="89"/>
      <c r="C255" s="89" t="s">
        <v>468</v>
      </c>
      <c r="D255" s="69" t="s">
        <v>469</v>
      </c>
      <c r="E255" s="72">
        <v>1</v>
      </c>
      <c r="F255" s="90">
        <v>0</v>
      </c>
      <c r="G255" s="91">
        <v>1</v>
      </c>
      <c r="H255" s="70" t="s">
        <v>35</v>
      </c>
      <c r="I255" s="97">
        <v>0</v>
      </c>
      <c r="J255" s="98">
        <f t="shared" si="42"/>
        <v>0</v>
      </c>
      <c r="K255" s="99">
        <v>50</v>
      </c>
      <c r="L255" s="100">
        <f t="shared" si="43"/>
        <v>0</v>
      </c>
      <c r="M255" s="100">
        <f t="shared" si="44"/>
        <v>0</v>
      </c>
      <c r="N255" s="100">
        <v>0</v>
      </c>
      <c r="O255" s="100">
        <f t="shared" si="45"/>
        <v>0</v>
      </c>
      <c r="P255" s="100">
        <f t="shared" si="46"/>
        <v>0</v>
      </c>
      <c r="Q255" s="124">
        <f t="shared" si="47"/>
        <v>0</v>
      </c>
      <c r="R255" s="123"/>
      <c r="S255" s="123"/>
      <c r="T255" s="123"/>
      <c r="U255" s="123"/>
      <c r="V255" s="123"/>
      <c r="W255" s="123"/>
      <c r="X255" s="123"/>
      <c r="Y255" s="123"/>
      <c r="Z255" s="123"/>
      <c r="AA255" s="123"/>
      <c r="AB255" s="123"/>
      <c r="AC255" s="123"/>
      <c r="AD255" s="123"/>
      <c r="AE255" s="123"/>
      <c r="AF255" s="123"/>
      <c r="AG255" s="123"/>
      <c r="AH255" s="123"/>
      <c r="AI255" s="123"/>
      <c r="AJ255" s="123"/>
    </row>
    <row r="256" s="33" customFormat="1" ht="16.95" customHeight="1" spans="1:36">
      <c r="A256" s="87">
        <f>IF(F256&lt;&gt;"",1+MAX($A$2:A255),"")</f>
        <v>229</v>
      </c>
      <c r="B256" s="89"/>
      <c r="C256" s="89" t="s">
        <v>470</v>
      </c>
      <c r="D256" s="69" t="s">
        <v>471</v>
      </c>
      <c r="E256" s="72">
        <v>1</v>
      </c>
      <c r="F256" s="90">
        <v>0</v>
      </c>
      <c r="G256" s="91">
        <v>1</v>
      </c>
      <c r="H256" s="70" t="s">
        <v>35</v>
      </c>
      <c r="I256" s="97">
        <v>0</v>
      </c>
      <c r="J256" s="98">
        <f t="shared" si="42"/>
        <v>0</v>
      </c>
      <c r="K256" s="99">
        <v>50</v>
      </c>
      <c r="L256" s="100">
        <f t="shared" si="43"/>
        <v>0</v>
      </c>
      <c r="M256" s="100">
        <f t="shared" si="44"/>
        <v>0</v>
      </c>
      <c r="N256" s="100">
        <v>0</v>
      </c>
      <c r="O256" s="100">
        <f t="shared" si="45"/>
        <v>0</v>
      </c>
      <c r="P256" s="100">
        <f t="shared" si="46"/>
        <v>0</v>
      </c>
      <c r="Q256" s="124">
        <f t="shared" si="47"/>
        <v>0</v>
      </c>
      <c r="R256" s="123"/>
      <c r="S256" s="123"/>
      <c r="T256" s="123"/>
      <c r="U256" s="123"/>
      <c r="V256" s="123"/>
      <c r="W256" s="123"/>
      <c r="X256" s="123"/>
      <c r="Y256" s="123"/>
      <c r="Z256" s="123"/>
      <c r="AA256" s="123"/>
      <c r="AB256" s="123"/>
      <c r="AC256" s="123"/>
      <c r="AD256" s="123"/>
      <c r="AE256" s="123"/>
      <c r="AF256" s="123"/>
      <c r="AG256" s="123"/>
      <c r="AH256" s="123"/>
      <c r="AI256" s="123"/>
      <c r="AJ256" s="123"/>
    </row>
    <row r="257" s="33" customFormat="1" ht="16.95" customHeight="1" spans="1:36">
      <c r="A257" s="87">
        <f>IF(F257&lt;&gt;"",1+MAX($A$2:A256),"")</f>
        <v>230</v>
      </c>
      <c r="B257" s="89"/>
      <c r="C257" s="89" t="s">
        <v>472</v>
      </c>
      <c r="D257" s="69" t="s">
        <v>473</v>
      </c>
      <c r="E257" s="72">
        <v>1</v>
      </c>
      <c r="F257" s="90">
        <v>0</v>
      </c>
      <c r="G257" s="91">
        <v>1</v>
      </c>
      <c r="H257" s="70" t="s">
        <v>35</v>
      </c>
      <c r="I257" s="97">
        <v>0</v>
      </c>
      <c r="J257" s="98">
        <f t="shared" si="42"/>
        <v>0</v>
      </c>
      <c r="K257" s="99">
        <v>50</v>
      </c>
      <c r="L257" s="100">
        <f t="shared" si="43"/>
        <v>0</v>
      </c>
      <c r="M257" s="100">
        <f t="shared" si="44"/>
        <v>0</v>
      </c>
      <c r="N257" s="100">
        <v>0</v>
      </c>
      <c r="O257" s="100">
        <f t="shared" si="45"/>
        <v>0</v>
      </c>
      <c r="P257" s="100">
        <f t="shared" si="46"/>
        <v>0</v>
      </c>
      <c r="Q257" s="124">
        <f t="shared" si="47"/>
        <v>0</v>
      </c>
      <c r="R257" s="123"/>
      <c r="S257" s="123"/>
      <c r="T257" s="123"/>
      <c r="U257" s="123"/>
      <c r="V257" s="123"/>
      <c r="W257" s="123"/>
      <c r="X257" s="123"/>
      <c r="Y257" s="123"/>
      <c r="Z257" s="123"/>
      <c r="AA257" s="123"/>
      <c r="AB257" s="123"/>
      <c r="AC257" s="123"/>
      <c r="AD257" s="123"/>
      <c r="AE257" s="123"/>
      <c r="AF257" s="123"/>
      <c r="AG257" s="123"/>
      <c r="AH257" s="123"/>
      <c r="AI257" s="123"/>
      <c r="AJ257" s="123"/>
    </row>
    <row r="258" s="33" customFormat="1" ht="16.95" customHeight="1" spans="1:36">
      <c r="A258" s="87">
        <f>IF(F258&lt;&gt;"",1+MAX($A$2:A257),"")</f>
        <v>231</v>
      </c>
      <c r="B258" s="89"/>
      <c r="C258" s="89" t="s">
        <v>474</v>
      </c>
      <c r="D258" s="69" t="s">
        <v>475</v>
      </c>
      <c r="E258" s="72">
        <v>1</v>
      </c>
      <c r="F258" s="90">
        <v>0</v>
      </c>
      <c r="G258" s="91">
        <v>1</v>
      </c>
      <c r="H258" s="70" t="s">
        <v>35</v>
      </c>
      <c r="I258" s="97">
        <v>0</v>
      </c>
      <c r="J258" s="98">
        <f t="shared" si="42"/>
        <v>0</v>
      </c>
      <c r="K258" s="99">
        <v>50</v>
      </c>
      <c r="L258" s="100">
        <f t="shared" si="43"/>
        <v>0</v>
      </c>
      <c r="M258" s="100">
        <f t="shared" si="44"/>
        <v>0</v>
      </c>
      <c r="N258" s="100">
        <v>0</v>
      </c>
      <c r="O258" s="100">
        <f t="shared" si="45"/>
        <v>0</v>
      </c>
      <c r="P258" s="100">
        <f t="shared" si="46"/>
        <v>0</v>
      </c>
      <c r="Q258" s="124">
        <f t="shared" si="47"/>
        <v>0</v>
      </c>
      <c r="R258" s="123"/>
      <c r="S258" s="123"/>
      <c r="T258" s="123"/>
      <c r="U258" s="123"/>
      <c r="V258" s="123"/>
      <c r="W258" s="123"/>
      <c r="X258" s="123"/>
      <c r="Y258" s="123"/>
      <c r="Z258" s="123"/>
      <c r="AA258" s="123"/>
      <c r="AB258" s="123"/>
      <c r="AC258" s="123"/>
      <c r="AD258" s="123"/>
      <c r="AE258" s="123"/>
      <c r="AF258" s="123"/>
      <c r="AG258" s="123"/>
      <c r="AH258" s="123"/>
      <c r="AI258" s="123"/>
      <c r="AJ258" s="123"/>
    </row>
    <row r="259" s="33" customFormat="1" ht="16.95" customHeight="1" spans="1:36">
      <c r="A259" s="87">
        <f>IF(F259&lt;&gt;"",1+MAX($A$2:A258),"")</f>
        <v>232</v>
      </c>
      <c r="B259" s="89"/>
      <c r="C259" s="89" t="s">
        <v>476</v>
      </c>
      <c r="D259" s="69" t="s">
        <v>477</v>
      </c>
      <c r="E259" s="72">
        <v>1</v>
      </c>
      <c r="F259" s="90">
        <v>0</v>
      </c>
      <c r="G259" s="91">
        <v>1</v>
      </c>
      <c r="H259" s="70" t="s">
        <v>35</v>
      </c>
      <c r="I259" s="97">
        <v>0</v>
      </c>
      <c r="J259" s="98">
        <f t="shared" si="42"/>
        <v>0</v>
      </c>
      <c r="K259" s="99">
        <v>50</v>
      </c>
      <c r="L259" s="100">
        <f t="shared" si="43"/>
        <v>0</v>
      </c>
      <c r="M259" s="100">
        <f t="shared" si="44"/>
        <v>0</v>
      </c>
      <c r="N259" s="100">
        <v>0</v>
      </c>
      <c r="O259" s="100">
        <f t="shared" si="45"/>
        <v>0</v>
      </c>
      <c r="P259" s="100">
        <f t="shared" si="46"/>
        <v>0</v>
      </c>
      <c r="Q259" s="124">
        <f t="shared" si="47"/>
        <v>0</v>
      </c>
      <c r="R259" s="123"/>
      <c r="S259" s="123"/>
      <c r="T259" s="123"/>
      <c r="U259" s="123"/>
      <c r="V259" s="123"/>
      <c r="W259" s="123"/>
      <c r="X259" s="123"/>
      <c r="Y259" s="123"/>
      <c r="Z259" s="123"/>
      <c r="AA259" s="123"/>
      <c r="AB259" s="123"/>
      <c r="AC259" s="123"/>
      <c r="AD259" s="123"/>
      <c r="AE259" s="123"/>
      <c r="AF259" s="123"/>
      <c r="AG259" s="123"/>
      <c r="AH259" s="123"/>
      <c r="AI259" s="123"/>
      <c r="AJ259" s="123"/>
    </row>
    <row r="260" s="33" customFormat="1" ht="16.95" customHeight="1" spans="1:36">
      <c r="A260" s="87">
        <f>IF(F260&lt;&gt;"",1+MAX($A$2:A259),"")</f>
        <v>233</v>
      </c>
      <c r="B260" s="89"/>
      <c r="C260" s="89" t="s">
        <v>478</v>
      </c>
      <c r="D260" s="69" t="s">
        <v>479</v>
      </c>
      <c r="E260" s="72">
        <v>1</v>
      </c>
      <c r="F260" s="90">
        <v>0</v>
      </c>
      <c r="G260" s="91">
        <v>1</v>
      </c>
      <c r="H260" s="70" t="s">
        <v>35</v>
      </c>
      <c r="I260" s="97">
        <v>0</v>
      </c>
      <c r="J260" s="98">
        <f t="shared" si="42"/>
        <v>0</v>
      </c>
      <c r="K260" s="99">
        <v>50</v>
      </c>
      <c r="L260" s="100">
        <f t="shared" si="43"/>
        <v>0</v>
      </c>
      <c r="M260" s="100">
        <f t="shared" si="44"/>
        <v>0</v>
      </c>
      <c r="N260" s="100">
        <v>0</v>
      </c>
      <c r="O260" s="100">
        <f t="shared" si="45"/>
        <v>0</v>
      </c>
      <c r="P260" s="100">
        <f t="shared" si="46"/>
        <v>0</v>
      </c>
      <c r="Q260" s="124">
        <f t="shared" si="47"/>
        <v>0</v>
      </c>
      <c r="R260" s="123"/>
      <c r="S260" s="123"/>
      <c r="T260" s="123"/>
      <c r="U260" s="123"/>
      <c r="V260" s="123"/>
      <c r="W260" s="123"/>
      <c r="X260" s="123"/>
      <c r="Y260" s="123"/>
      <c r="Z260" s="123"/>
      <c r="AA260" s="123"/>
      <c r="AB260" s="123"/>
      <c r="AC260" s="123"/>
      <c r="AD260" s="123"/>
      <c r="AE260" s="123"/>
      <c r="AF260" s="123"/>
      <c r="AG260" s="123"/>
      <c r="AH260" s="123"/>
      <c r="AI260" s="123"/>
      <c r="AJ260" s="123"/>
    </row>
    <row r="261" s="33" customFormat="1" ht="16.95" customHeight="1" spans="1:36">
      <c r="A261" s="87">
        <f>IF(F261&lt;&gt;"",1+MAX($A$2:A260),"")</f>
        <v>234</v>
      </c>
      <c r="B261" s="89"/>
      <c r="C261" s="89" t="s">
        <v>480</v>
      </c>
      <c r="D261" s="69" t="s">
        <v>481</v>
      </c>
      <c r="E261" s="72">
        <v>1</v>
      </c>
      <c r="F261" s="90">
        <v>0</v>
      </c>
      <c r="G261" s="91">
        <v>1</v>
      </c>
      <c r="H261" s="70" t="s">
        <v>35</v>
      </c>
      <c r="I261" s="97">
        <v>0</v>
      </c>
      <c r="J261" s="98">
        <f t="shared" si="42"/>
        <v>0</v>
      </c>
      <c r="K261" s="99">
        <v>50</v>
      </c>
      <c r="L261" s="100">
        <f t="shared" si="43"/>
        <v>0</v>
      </c>
      <c r="M261" s="100">
        <f t="shared" si="44"/>
        <v>0</v>
      </c>
      <c r="N261" s="100">
        <v>0</v>
      </c>
      <c r="O261" s="100">
        <f t="shared" si="45"/>
        <v>0</v>
      </c>
      <c r="P261" s="100">
        <f t="shared" si="46"/>
        <v>0</v>
      </c>
      <c r="Q261" s="124">
        <f t="shared" si="47"/>
        <v>0</v>
      </c>
      <c r="R261" s="123"/>
      <c r="S261" s="123"/>
      <c r="T261" s="123"/>
      <c r="U261" s="123"/>
      <c r="V261" s="123"/>
      <c r="W261" s="123"/>
      <c r="X261" s="123"/>
      <c r="Y261" s="123"/>
      <c r="Z261" s="123"/>
      <c r="AA261" s="123"/>
      <c r="AB261" s="123"/>
      <c r="AC261" s="123"/>
      <c r="AD261" s="123"/>
      <c r="AE261" s="123"/>
      <c r="AF261" s="123"/>
      <c r="AG261" s="123"/>
      <c r="AH261" s="123"/>
      <c r="AI261" s="123"/>
      <c r="AJ261" s="123"/>
    </row>
    <row r="262" s="33" customFormat="1" ht="16.95" customHeight="1" spans="1:36">
      <c r="A262" s="87" t="str">
        <f>IF(F262&lt;&gt;"",1+MAX($A$2:A261),"")</f>
        <v/>
      </c>
      <c r="B262" s="89"/>
      <c r="C262" s="89"/>
      <c r="D262" s="69"/>
      <c r="E262" s="72"/>
      <c r="F262" s="90"/>
      <c r="G262" s="91"/>
      <c r="H262" s="70"/>
      <c r="I262" s="97"/>
      <c r="J262" s="98"/>
      <c r="K262" s="99"/>
      <c r="L262" s="100"/>
      <c r="M262" s="100"/>
      <c r="N262" s="100"/>
      <c r="O262" s="100"/>
      <c r="P262" s="100"/>
      <c r="Q262" s="124"/>
      <c r="R262" s="123"/>
      <c r="S262" s="123"/>
      <c r="T262" s="123"/>
      <c r="U262" s="123"/>
      <c r="V262" s="123"/>
      <c r="W262" s="123"/>
      <c r="X262" s="123"/>
      <c r="Y262" s="123"/>
      <c r="Z262" s="123"/>
      <c r="AA262" s="123"/>
      <c r="AB262" s="123"/>
      <c r="AC262" s="123"/>
      <c r="AD262" s="123"/>
      <c r="AE262" s="123"/>
      <c r="AF262" s="123"/>
      <c r="AG262" s="123"/>
      <c r="AH262" s="123"/>
      <c r="AI262" s="123"/>
      <c r="AJ262" s="123"/>
    </row>
    <row r="263" s="33" customFormat="1" ht="16.95" customHeight="1" spans="1:36">
      <c r="A263" s="87" t="str">
        <f>IF(F263&lt;&gt;"",1+MAX($A$2:A262),"")</f>
        <v/>
      </c>
      <c r="B263" s="89"/>
      <c r="C263" s="89"/>
      <c r="D263" s="88" t="s">
        <v>482</v>
      </c>
      <c r="E263" s="72"/>
      <c r="F263" s="90"/>
      <c r="G263" s="91"/>
      <c r="H263" s="70"/>
      <c r="I263" s="97"/>
      <c r="J263" s="98"/>
      <c r="K263" s="99"/>
      <c r="L263" s="100"/>
      <c r="M263" s="100"/>
      <c r="N263" s="100"/>
      <c r="O263" s="100"/>
      <c r="P263" s="100"/>
      <c r="Q263" s="124"/>
      <c r="R263" s="123"/>
      <c r="S263" s="123"/>
      <c r="T263" s="123"/>
      <c r="U263" s="123"/>
      <c r="V263" s="123"/>
      <c r="W263" s="123"/>
      <c r="X263" s="123"/>
      <c r="Y263" s="123"/>
      <c r="Z263" s="123"/>
      <c r="AA263" s="123"/>
      <c r="AB263" s="123"/>
      <c r="AC263" s="123"/>
      <c r="AD263" s="123"/>
      <c r="AE263" s="123"/>
      <c r="AF263" s="123"/>
      <c r="AG263" s="123"/>
      <c r="AH263" s="123"/>
      <c r="AI263" s="123"/>
      <c r="AJ263" s="123"/>
    </row>
    <row r="264" s="33" customFormat="1" ht="16.95" customHeight="1" spans="1:36">
      <c r="A264" s="87">
        <f>IF(F264&lt;&gt;"",1+MAX($A$2:A263),"")</f>
        <v>235</v>
      </c>
      <c r="B264" s="89"/>
      <c r="C264" s="89" t="s">
        <v>483</v>
      </c>
      <c r="D264" s="69" t="s">
        <v>484</v>
      </c>
      <c r="E264" s="72">
        <v>1</v>
      </c>
      <c r="F264" s="90">
        <v>0</v>
      </c>
      <c r="G264" s="91">
        <v>1</v>
      </c>
      <c r="H264" s="70" t="s">
        <v>35</v>
      </c>
      <c r="I264" s="97">
        <v>0</v>
      </c>
      <c r="J264" s="98">
        <f t="shared" ref="J264:J300" si="48">+I264*G264</f>
        <v>0</v>
      </c>
      <c r="K264" s="99">
        <v>50</v>
      </c>
      <c r="L264" s="100">
        <f t="shared" ref="L264:L300" si="49">I264*K264</f>
        <v>0</v>
      </c>
      <c r="M264" s="100">
        <f t="shared" ref="M264:M300" si="50">K264*J264</f>
        <v>0</v>
      </c>
      <c r="N264" s="100">
        <v>0</v>
      </c>
      <c r="O264" s="100">
        <f t="shared" ref="O264:O300" si="51">N264*G264</f>
        <v>0</v>
      </c>
      <c r="P264" s="100">
        <f t="shared" ref="P264:P300" si="52">(I264*K264)+N264</f>
        <v>0</v>
      </c>
      <c r="Q264" s="124">
        <f t="shared" ref="Q264:Q300" si="53">P264*G264</f>
        <v>0</v>
      </c>
      <c r="R264" s="123"/>
      <c r="S264" s="123"/>
      <c r="T264" s="123"/>
      <c r="U264" s="123"/>
      <c r="V264" s="123"/>
      <c r="W264" s="123"/>
      <c r="X264" s="123"/>
      <c r="Y264" s="123"/>
      <c r="Z264" s="123"/>
      <c r="AA264" s="123"/>
      <c r="AB264" s="123"/>
      <c r="AC264" s="123"/>
      <c r="AD264" s="123"/>
      <c r="AE264" s="123"/>
      <c r="AF264" s="123"/>
      <c r="AG264" s="123"/>
      <c r="AH264" s="123"/>
      <c r="AI264" s="123"/>
      <c r="AJ264" s="123"/>
    </row>
    <row r="265" s="33" customFormat="1" ht="16.95" customHeight="1" spans="1:36">
      <c r="A265" s="87">
        <f>IF(F265&lt;&gt;"",1+MAX($A$2:A264),"")</f>
        <v>236</v>
      </c>
      <c r="B265" s="89"/>
      <c r="C265" s="89" t="s">
        <v>485</v>
      </c>
      <c r="D265" s="69" t="s">
        <v>486</v>
      </c>
      <c r="E265" s="72">
        <v>1</v>
      </c>
      <c r="F265" s="90">
        <v>0</v>
      </c>
      <c r="G265" s="91">
        <v>1</v>
      </c>
      <c r="H265" s="70" t="s">
        <v>35</v>
      </c>
      <c r="I265" s="97">
        <v>0</v>
      </c>
      <c r="J265" s="98">
        <f t="shared" si="48"/>
        <v>0</v>
      </c>
      <c r="K265" s="99">
        <v>50</v>
      </c>
      <c r="L265" s="100">
        <f t="shared" si="49"/>
        <v>0</v>
      </c>
      <c r="M265" s="100">
        <f t="shared" si="50"/>
        <v>0</v>
      </c>
      <c r="N265" s="100">
        <v>0</v>
      </c>
      <c r="O265" s="100">
        <f t="shared" si="51"/>
        <v>0</v>
      </c>
      <c r="P265" s="100">
        <f t="shared" si="52"/>
        <v>0</v>
      </c>
      <c r="Q265" s="124">
        <f t="shared" si="53"/>
        <v>0</v>
      </c>
      <c r="R265" s="123"/>
      <c r="S265" s="123"/>
      <c r="T265" s="123"/>
      <c r="U265" s="123"/>
      <c r="V265" s="123"/>
      <c r="W265" s="123"/>
      <c r="X265" s="123"/>
      <c r="Y265" s="123"/>
      <c r="Z265" s="123"/>
      <c r="AA265" s="123"/>
      <c r="AB265" s="123"/>
      <c r="AC265" s="123"/>
      <c r="AD265" s="123"/>
      <c r="AE265" s="123"/>
      <c r="AF265" s="123"/>
      <c r="AG265" s="123"/>
      <c r="AH265" s="123"/>
      <c r="AI265" s="123"/>
      <c r="AJ265" s="123"/>
    </row>
    <row r="266" s="33" customFormat="1" ht="16.95" customHeight="1" spans="1:36">
      <c r="A266" s="87">
        <f>IF(F266&lt;&gt;"",1+MAX($A$2:A265),"")</f>
        <v>237</v>
      </c>
      <c r="B266" s="89"/>
      <c r="C266" s="89" t="s">
        <v>487</v>
      </c>
      <c r="D266" s="69" t="s">
        <v>488</v>
      </c>
      <c r="E266" s="72">
        <v>1</v>
      </c>
      <c r="F266" s="90">
        <v>0</v>
      </c>
      <c r="G266" s="91">
        <v>1</v>
      </c>
      <c r="H266" s="70" t="s">
        <v>35</v>
      </c>
      <c r="I266" s="97">
        <v>0</v>
      </c>
      <c r="J266" s="98">
        <f t="shared" si="48"/>
        <v>0</v>
      </c>
      <c r="K266" s="99">
        <v>50</v>
      </c>
      <c r="L266" s="100">
        <f t="shared" si="49"/>
        <v>0</v>
      </c>
      <c r="M266" s="100">
        <f t="shared" si="50"/>
        <v>0</v>
      </c>
      <c r="N266" s="100">
        <v>0</v>
      </c>
      <c r="O266" s="100">
        <f t="shared" si="51"/>
        <v>0</v>
      </c>
      <c r="P266" s="100">
        <f t="shared" si="52"/>
        <v>0</v>
      </c>
      <c r="Q266" s="124">
        <f t="shared" si="53"/>
        <v>0</v>
      </c>
      <c r="R266" s="123"/>
      <c r="S266" s="123"/>
      <c r="T266" s="123"/>
      <c r="U266" s="123"/>
      <c r="V266" s="123"/>
      <c r="W266" s="123"/>
      <c r="X266" s="123"/>
      <c r="Y266" s="123"/>
      <c r="Z266" s="123"/>
      <c r="AA266" s="123"/>
      <c r="AB266" s="123"/>
      <c r="AC266" s="123"/>
      <c r="AD266" s="123"/>
      <c r="AE266" s="123"/>
      <c r="AF266" s="123"/>
      <c r="AG266" s="123"/>
      <c r="AH266" s="123"/>
      <c r="AI266" s="123"/>
      <c r="AJ266" s="123"/>
    </row>
    <row r="267" s="33" customFormat="1" ht="16.95" customHeight="1" spans="1:36">
      <c r="A267" s="87">
        <f>IF(F267&lt;&gt;"",1+MAX($A$2:A266),"")</f>
        <v>238</v>
      </c>
      <c r="B267" s="89"/>
      <c r="C267" s="89" t="s">
        <v>489</v>
      </c>
      <c r="D267" s="69" t="s">
        <v>490</v>
      </c>
      <c r="E267" s="72">
        <v>1</v>
      </c>
      <c r="F267" s="90">
        <v>0</v>
      </c>
      <c r="G267" s="91">
        <v>1</v>
      </c>
      <c r="H267" s="70" t="s">
        <v>35</v>
      </c>
      <c r="I267" s="97">
        <v>0</v>
      </c>
      <c r="J267" s="98">
        <f t="shared" si="48"/>
        <v>0</v>
      </c>
      <c r="K267" s="99">
        <v>50</v>
      </c>
      <c r="L267" s="100">
        <f t="shared" si="49"/>
        <v>0</v>
      </c>
      <c r="M267" s="100">
        <f t="shared" si="50"/>
        <v>0</v>
      </c>
      <c r="N267" s="100">
        <v>0</v>
      </c>
      <c r="O267" s="100">
        <f t="shared" si="51"/>
        <v>0</v>
      </c>
      <c r="P267" s="100">
        <f t="shared" si="52"/>
        <v>0</v>
      </c>
      <c r="Q267" s="124">
        <f t="shared" si="53"/>
        <v>0</v>
      </c>
      <c r="R267" s="123"/>
      <c r="S267" s="123"/>
      <c r="T267" s="123"/>
      <c r="U267" s="123"/>
      <c r="V267" s="123"/>
      <c r="W267" s="123"/>
      <c r="X267" s="123"/>
      <c r="Y267" s="123"/>
      <c r="Z267" s="123"/>
      <c r="AA267" s="123"/>
      <c r="AB267" s="123"/>
      <c r="AC267" s="123"/>
      <c r="AD267" s="123"/>
      <c r="AE267" s="123"/>
      <c r="AF267" s="123"/>
      <c r="AG267" s="123"/>
      <c r="AH267" s="123"/>
      <c r="AI267" s="123"/>
      <c r="AJ267" s="123"/>
    </row>
    <row r="268" s="33" customFormat="1" ht="16.95" customHeight="1" spans="1:36">
      <c r="A268" s="87">
        <f>IF(F268&lt;&gt;"",1+MAX($A$2:A267),"")</f>
        <v>239</v>
      </c>
      <c r="B268" s="89"/>
      <c r="C268" s="89" t="s">
        <v>491</v>
      </c>
      <c r="D268" s="69" t="s">
        <v>492</v>
      </c>
      <c r="E268" s="72">
        <v>1</v>
      </c>
      <c r="F268" s="90">
        <v>0</v>
      </c>
      <c r="G268" s="91">
        <v>1</v>
      </c>
      <c r="H268" s="70" t="s">
        <v>35</v>
      </c>
      <c r="I268" s="97">
        <v>0</v>
      </c>
      <c r="J268" s="98">
        <f t="shared" si="48"/>
        <v>0</v>
      </c>
      <c r="K268" s="99">
        <v>50</v>
      </c>
      <c r="L268" s="100">
        <f t="shared" si="49"/>
        <v>0</v>
      </c>
      <c r="M268" s="100">
        <f t="shared" si="50"/>
        <v>0</v>
      </c>
      <c r="N268" s="100">
        <v>0</v>
      </c>
      <c r="O268" s="100">
        <f t="shared" si="51"/>
        <v>0</v>
      </c>
      <c r="P268" s="100">
        <f t="shared" si="52"/>
        <v>0</v>
      </c>
      <c r="Q268" s="124">
        <f t="shared" si="53"/>
        <v>0</v>
      </c>
      <c r="R268" s="123"/>
      <c r="S268" s="123"/>
      <c r="T268" s="123"/>
      <c r="U268" s="123"/>
      <c r="V268" s="123"/>
      <c r="W268" s="123"/>
      <c r="X268" s="123"/>
      <c r="Y268" s="123"/>
      <c r="Z268" s="123"/>
      <c r="AA268" s="123"/>
      <c r="AB268" s="123"/>
      <c r="AC268" s="123"/>
      <c r="AD268" s="123"/>
      <c r="AE268" s="123"/>
      <c r="AF268" s="123"/>
      <c r="AG268" s="123"/>
      <c r="AH268" s="123"/>
      <c r="AI268" s="123"/>
      <c r="AJ268" s="123"/>
    </row>
    <row r="269" s="33" customFormat="1" ht="16.95" customHeight="1" spans="1:36">
      <c r="A269" s="87">
        <f>IF(F269&lt;&gt;"",1+MAX($A$2:A268),"")</f>
        <v>240</v>
      </c>
      <c r="B269" s="89"/>
      <c r="C269" s="89" t="s">
        <v>493</v>
      </c>
      <c r="D269" s="69" t="s">
        <v>494</v>
      </c>
      <c r="E269" s="72">
        <v>1</v>
      </c>
      <c r="F269" s="90">
        <v>0</v>
      </c>
      <c r="G269" s="91">
        <v>1</v>
      </c>
      <c r="H269" s="70" t="s">
        <v>35</v>
      </c>
      <c r="I269" s="97">
        <v>0</v>
      </c>
      <c r="J269" s="98">
        <f t="shared" si="48"/>
        <v>0</v>
      </c>
      <c r="K269" s="99">
        <v>50</v>
      </c>
      <c r="L269" s="100">
        <f t="shared" si="49"/>
        <v>0</v>
      </c>
      <c r="M269" s="100">
        <f t="shared" si="50"/>
        <v>0</v>
      </c>
      <c r="N269" s="100">
        <v>0</v>
      </c>
      <c r="O269" s="100">
        <f t="shared" si="51"/>
        <v>0</v>
      </c>
      <c r="P269" s="100">
        <f t="shared" si="52"/>
        <v>0</v>
      </c>
      <c r="Q269" s="124">
        <f t="shared" si="53"/>
        <v>0</v>
      </c>
      <c r="R269" s="123"/>
      <c r="S269" s="123"/>
      <c r="T269" s="123"/>
      <c r="U269" s="123"/>
      <c r="V269" s="123"/>
      <c r="W269" s="123"/>
      <c r="X269" s="123"/>
      <c r="Y269" s="123"/>
      <c r="Z269" s="123"/>
      <c r="AA269" s="123"/>
      <c r="AB269" s="123"/>
      <c r="AC269" s="123"/>
      <c r="AD269" s="123"/>
      <c r="AE269" s="123"/>
      <c r="AF269" s="123"/>
      <c r="AG269" s="123"/>
      <c r="AH269" s="123"/>
      <c r="AI269" s="123"/>
      <c r="AJ269" s="123"/>
    </row>
    <row r="270" s="33" customFormat="1" ht="16.95" customHeight="1" spans="1:36">
      <c r="A270" s="87">
        <f>IF(F270&lt;&gt;"",1+MAX($A$2:A269),"")</f>
        <v>241</v>
      </c>
      <c r="B270" s="89"/>
      <c r="C270" s="89" t="s">
        <v>495</v>
      </c>
      <c r="D270" s="69" t="s">
        <v>496</v>
      </c>
      <c r="E270" s="72">
        <v>6</v>
      </c>
      <c r="F270" s="90">
        <v>0</v>
      </c>
      <c r="G270" s="91">
        <v>6</v>
      </c>
      <c r="H270" s="70" t="s">
        <v>35</v>
      </c>
      <c r="I270" s="97">
        <v>0</v>
      </c>
      <c r="J270" s="98">
        <f t="shared" si="48"/>
        <v>0</v>
      </c>
      <c r="K270" s="99">
        <v>50</v>
      </c>
      <c r="L270" s="100">
        <f t="shared" si="49"/>
        <v>0</v>
      </c>
      <c r="M270" s="100">
        <f t="shared" si="50"/>
        <v>0</v>
      </c>
      <c r="N270" s="100">
        <v>0</v>
      </c>
      <c r="O270" s="100">
        <f t="shared" si="51"/>
        <v>0</v>
      </c>
      <c r="P270" s="100">
        <f t="shared" si="52"/>
        <v>0</v>
      </c>
      <c r="Q270" s="124">
        <f t="shared" si="53"/>
        <v>0</v>
      </c>
      <c r="R270" s="123"/>
      <c r="S270" s="123"/>
      <c r="T270" s="123"/>
      <c r="U270" s="123"/>
      <c r="V270" s="123"/>
      <c r="W270" s="123"/>
      <c r="X270" s="123"/>
      <c r="Y270" s="123"/>
      <c r="Z270" s="123"/>
      <c r="AA270" s="123"/>
      <c r="AB270" s="123"/>
      <c r="AC270" s="123"/>
      <c r="AD270" s="123"/>
      <c r="AE270" s="123"/>
      <c r="AF270" s="123"/>
      <c r="AG270" s="123"/>
      <c r="AH270" s="123"/>
      <c r="AI270" s="123"/>
      <c r="AJ270" s="123"/>
    </row>
    <row r="271" s="33" customFormat="1" ht="16.95" customHeight="1" spans="1:36">
      <c r="A271" s="87">
        <f>IF(F271&lt;&gt;"",1+MAX($A$2:A270),"")</f>
        <v>242</v>
      </c>
      <c r="B271" s="89"/>
      <c r="C271" s="89" t="s">
        <v>497</v>
      </c>
      <c r="D271" s="69" t="s">
        <v>497</v>
      </c>
      <c r="E271" s="72">
        <v>1</v>
      </c>
      <c r="F271" s="90">
        <v>0</v>
      </c>
      <c r="G271" s="91">
        <v>1</v>
      </c>
      <c r="H271" s="70" t="s">
        <v>35</v>
      </c>
      <c r="I271" s="97">
        <v>0</v>
      </c>
      <c r="J271" s="98">
        <f t="shared" si="48"/>
        <v>0</v>
      </c>
      <c r="K271" s="99">
        <v>50</v>
      </c>
      <c r="L271" s="100">
        <f t="shared" si="49"/>
        <v>0</v>
      </c>
      <c r="M271" s="100">
        <f t="shared" si="50"/>
        <v>0</v>
      </c>
      <c r="N271" s="100">
        <v>0</v>
      </c>
      <c r="O271" s="100">
        <f t="shared" si="51"/>
        <v>0</v>
      </c>
      <c r="P271" s="100">
        <f t="shared" si="52"/>
        <v>0</v>
      </c>
      <c r="Q271" s="124">
        <f t="shared" si="53"/>
        <v>0</v>
      </c>
      <c r="R271" s="123"/>
      <c r="S271" s="123"/>
      <c r="T271" s="123"/>
      <c r="U271" s="123"/>
      <c r="V271" s="123"/>
      <c r="W271" s="123"/>
      <c r="X271" s="123"/>
      <c r="Y271" s="123"/>
      <c r="Z271" s="123"/>
      <c r="AA271" s="123"/>
      <c r="AB271" s="123"/>
      <c r="AC271" s="123"/>
      <c r="AD271" s="123"/>
      <c r="AE271" s="123"/>
      <c r="AF271" s="123"/>
      <c r="AG271" s="123"/>
      <c r="AH271" s="123"/>
      <c r="AI271" s="123"/>
      <c r="AJ271" s="123"/>
    </row>
    <row r="272" s="33" customFormat="1" ht="16.95" customHeight="1" spans="1:36">
      <c r="A272" s="87">
        <f>IF(F272&lt;&gt;"",1+MAX($A$2:A271),"")</f>
        <v>243</v>
      </c>
      <c r="B272" s="89"/>
      <c r="C272" s="89" t="s">
        <v>498</v>
      </c>
      <c r="D272" s="69" t="s">
        <v>499</v>
      </c>
      <c r="E272" s="72">
        <v>2</v>
      </c>
      <c r="F272" s="90">
        <v>0</v>
      </c>
      <c r="G272" s="91">
        <v>2</v>
      </c>
      <c r="H272" s="70" t="s">
        <v>35</v>
      </c>
      <c r="I272" s="97">
        <v>0</v>
      </c>
      <c r="J272" s="98">
        <f t="shared" si="48"/>
        <v>0</v>
      </c>
      <c r="K272" s="99">
        <v>50</v>
      </c>
      <c r="L272" s="100">
        <f t="shared" si="49"/>
        <v>0</v>
      </c>
      <c r="M272" s="100">
        <f t="shared" si="50"/>
        <v>0</v>
      </c>
      <c r="N272" s="100">
        <v>0</v>
      </c>
      <c r="O272" s="100">
        <f t="shared" si="51"/>
        <v>0</v>
      </c>
      <c r="P272" s="100">
        <f t="shared" si="52"/>
        <v>0</v>
      </c>
      <c r="Q272" s="124">
        <f t="shared" si="53"/>
        <v>0</v>
      </c>
      <c r="R272" s="123"/>
      <c r="S272" s="123"/>
      <c r="T272" s="123"/>
      <c r="U272" s="123"/>
      <c r="V272" s="123"/>
      <c r="W272" s="123"/>
      <c r="X272" s="123"/>
      <c r="Y272" s="123"/>
      <c r="Z272" s="123"/>
      <c r="AA272" s="123"/>
      <c r="AB272" s="123"/>
      <c r="AC272" s="123"/>
      <c r="AD272" s="123"/>
      <c r="AE272" s="123"/>
      <c r="AF272" s="123"/>
      <c r="AG272" s="123"/>
      <c r="AH272" s="123"/>
      <c r="AI272" s="123"/>
      <c r="AJ272" s="123"/>
    </row>
    <row r="273" s="33" customFormat="1" ht="16.95" customHeight="1" spans="1:36">
      <c r="A273" s="87">
        <f>IF(F273&lt;&gt;"",1+MAX($A$2:A272),"")</f>
        <v>244</v>
      </c>
      <c r="B273" s="89"/>
      <c r="C273" s="89" t="s">
        <v>500</v>
      </c>
      <c r="D273" s="69" t="s">
        <v>501</v>
      </c>
      <c r="E273" s="72">
        <v>1</v>
      </c>
      <c r="F273" s="90">
        <v>0</v>
      </c>
      <c r="G273" s="91">
        <v>1</v>
      </c>
      <c r="H273" s="70" t="s">
        <v>35</v>
      </c>
      <c r="I273" s="97">
        <v>0</v>
      </c>
      <c r="J273" s="98">
        <f t="shared" si="48"/>
        <v>0</v>
      </c>
      <c r="K273" s="99">
        <v>50</v>
      </c>
      <c r="L273" s="100">
        <f t="shared" si="49"/>
        <v>0</v>
      </c>
      <c r="M273" s="100">
        <f t="shared" si="50"/>
        <v>0</v>
      </c>
      <c r="N273" s="100">
        <v>0</v>
      </c>
      <c r="O273" s="100">
        <f t="shared" si="51"/>
        <v>0</v>
      </c>
      <c r="P273" s="100">
        <f t="shared" si="52"/>
        <v>0</v>
      </c>
      <c r="Q273" s="124">
        <f t="shared" si="53"/>
        <v>0</v>
      </c>
      <c r="R273" s="123"/>
      <c r="S273" s="123"/>
      <c r="T273" s="123"/>
      <c r="U273" s="123"/>
      <c r="V273" s="123"/>
      <c r="W273" s="123"/>
      <c r="X273" s="123"/>
      <c r="Y273" s="123"/>
      <c r="Z273" s="123"/>
      <c r="AA273" s="123"/>
      <c r="AB273" s="123"/>
      <c r="AC273" s="123"/>
      <c r="AD273" s="123"/>
      <c r="AE273" s="123"/>
      <c r="AF273" s="123"/>
      <c r="AG273" s="123"/>
      <c r="AH273" s="123"/>
      <c r="AI273" s="123"/>
      <c r="AJ273" s="123"/>
    </row>
    <row r="274" s="33" customFormat="1" ht="16.95" customHeight="1" spans="1:36">
      <c r="A274" s="87">
        <f>IF(F274&lt;&gt;"",1+MAX($A$2:A273),"")</f>
        <v>245</v>
      </c>
      <c r="B274" s="89"/>
      <c r="C274" s="89" t="s">
        <v>502</v>
      </c>
      <c r="D274" s="69" t="s">
        <v>503</v>
      </c>
      <c r="E274" s="72">
        <v>1</v>
      </c>
      <c r="F274" s="90">
        <v>0</v>
      </c>
      <c r="G274" s="91">
        <v>1</v>
      </c>
      <c r="H274" s="70" t="s">
        <v>35</v>
      </c>
      <c r="I274" s="97">
        <v>0</v>
      </c>
      <c r="J274" s="98">
        <f t="shared" si="48"/>
        <v>0</v>
      </c>
      <c r="K274" s="99">
        <v>50</v>
      </c>
      <c r="L274" s="100">
        <f t="shared" si="49"/>
        <v>0</v>
      </c>
      <c r="M274" s="100">
        <f t="shared" si="50"/>
        <v>0</v>
      </c>
      <c r="N274" s="100">
        <v>0</v>
      </c>
      <c r="O274" s="100">
        <f t="shared" si="51"/>
        <v>0</v>
      </c>
      <c r="P274" s="100">
        <f t="shared" si="52"/>
        <v>0</v>
      </c>
      <c r="Q274" s="124">
        <f t="shared" si="53"/>
        <v>0</v>
      </c>
      <c r="R274" s="123"/>
      <c r="S274" s="123"/>
      <c r="T274" s="123"/>
      <c r="U274" s="123"/>
      <c r="V274" s="123"/>
      <c r="W274" s="123"/>
      <c r="X274" s="123"/>
      <c r="Y274" s="123"/>
      <c r="Z274" s="123"/>
      <c r="AA274" s="123"/>
      <c r="AB274" s="123"/>
      <c r="AC274" s="123"/>
      <c r="AD274" s="123"/>
      <c r="AE274" s="123"/>
      <c r="AF274" s="123"/>
      <c r="AG274" s="123"/>
      <c r="AH274" s="123"/>
      <c r="AI274" s="123"/>
      <c r="AJ274" s="123"/>
    </row>
    <row r="275" s="33" customFormat="1" ht="16.95" customHeight="1" spans="1:36">
      <c r="A275" s="87">
        <f>IF(F275&lt;&gt;"",1+MAX($A$2:A274),"")</f>
        <v>246</v>
      </c>
      <c r="B275" s="89"/>
      <c r="C275" s="89" t="s">
        <v>504</v>
      </c>
      <c r="D275" s="69" t="s">
        <v>505</v>
      </c>
      <c r="E275" s="72">
        <v>2</v>
      </c>
      <c r="F275" s="90">
        <v>0</v>
      </c>
      <c r="G275" s="91">
        <v>2</v>
      </c>
      <c r="H275" s="70" t="s">
        <v>35</v>
      </c>
      <c r="I275" s="97">
        <v>0</v>
      </c>
      <c r="J275" s="98">
        <f t="shared" si="48"/>
        <v>0</v>
      </c>
      <c r="K275" s="99">
        <v>50</v>
      </c>
      <c r="L275" s="100">
        <f t="shared" si="49"/>
        <v>0</v>
      </c>
      <c r="M275" s="100">
        <f t="shared" si="50"/>
        <v>0</v>
      </c>
      <c r="N275" s="100">
        <v>0</v>
      </c>
      <c r="O275" s="100">
        <f t="shared" si="51"/>
        <v>0</v>
      </c>
      <c r="P275" s="100">
        <f t="shared" si="52"/>
        <v>0</v>
      </c>
      <c r="Q275" s="124">
        <f t="shared" si="53"/>
        <v>0</v>
      </c>
      <c r="R275" s="123"/>
      <c r="S275" s="123"/>
      <c r="T275" s="123"/>
      <c r="U275" s="123"/>
      <c r="V275" s="123"/>
      <c r="W275" s="123"/>
      <c r="X275" s="123"/>
      <c r="Y275" s="123"/>
      <c r="Z275" s="123"/>
      <c r="AA275" s="123"/>
      <c r="AB275" s="123"/>
      <c r="AC275" s="123"/>
      <c r="AD275" s="123"/>
      <c r="AE275" s="123"/>
      <c r="AF275" s="123"/>
      <c r="AG275" s="123"/>
      <c r="AH275" s="123"/>
      <c r="AI275" s="123"/>
      <c r="AJ275" s="123"/>
    </row>
    <row r="276" s="33" customFormat="1" ht="16.95" customHeight="1" spans="1:36">
      <c r="A276" s="87">
        <f>IF(F276&lt;&gt;"",1+MAX($A$2:A275),"")</f>
        <v>247</v>
      </c>
      <c r="B276" s="89"/>
      <c r="C276" s="89" t="s">
        <v>506</v>
      </c>
      <c r="D276" s="69" t="s">
        <v>507</v>
      </c>
      <c r="E276" s="72">
        <v>8</v>
      </c>
      <c r="F276" s="90">
        <v>0</v>
      </c>
      <c r="G276" s="91">
        <v>8</v>
      </c>
      <c r="H276" s="70" t="s">
        <v>35</v>
      </c>
      <c r="I276" s="97">
        <v>0</v>
      </c>
      <c r="J276" s="98">
        <f t="shared" si="48"/>
        <v>0</v>
      </c>
      <c r="K276" s="99">
        <v>50</v>
      </c>
      <c r="L276" s="100">
        <f t="shared" si="49"/>
        <v>0</v>
      </c>
      <c r="M276" s="100">
        <f t="shared" si="50"/>
        <v>0</v>
      </c>
      <c r="N276" s="100">
        <v>0</v>
      </c>
      <c r="O276" s="100">
        <f t="shared" si="51"/>
        <v>0</v>
      </c>
      <c r="P276" s="100">
        <f t="shared" si="52"/>
        <v>0</v>
      </c>
      <c r="Q276" s="124">
        <f t="shared" si="53"/>
        <v>0</v>
      </c>
      <c r="R276" s="123"/>
      <c r="S276" s="123"/>
      <c r="T276" s="123"/>
      <c r="U276" s="123"/>
      <c r="V276" s="123"/>
      <c r="W276" s="123"/>
      <c r="X276" s="123"/>
      <c r="Y276" s="123"/>
      <c r="Z276" s="123"/>
      <c r="AA276" s="123"/>
      <c r="AB276" s="123"/>
      <c r="AC276" s="123"/>
      <c r="AD276" s="123"/>
      <c r="AE276" s="123"/>
      <c r="AF276" s="123"/>
      <c r="AG276" s="123"/>
      <c r="AH276" s="123"/>
      <c r="AI276" s="123"/>
      <c r="AJ276" s="123"/>
    </row>
    <row r="277" s="33" customFormat="1" ht="16.95" customHeight="1" spans="1:36">
      <c r="A277" s="87">
        <f>IF(F277&lt;&gt;"",1+MAX($A$2:A276),"")</f>
        <v>248</v>
      </c>
      <c r="B277" s="89"/>
      <c r="C277" s="89" t="s">
        <v>508</v>
      </c>
      <c r="D277" s="69" t="s">
        <v>509</v>
      </c>
      <c r="E277" s="72">
        <v>3</v>
      </c>
      <c r="F277" s="90">
        <v>0</v>
      </c>
      <c r="G277" s="91">
        <v>3</v>
      </c>
      <c r="H277" s="70" t="s">
        <v>35</v>
      </c>
      <c r="I277" s="97">
        <v>0</v>
      </c>
      <c r="J277" s="98">
        <f t="shared" si="48"/>
        <v>0</v>
      </c>
      <c r="K277" s="99">
        <v>50</v>
      </c>
      <c r="L277" s="100">
        <f t="shared" si="49"/>
        <v>0</v>
      </c>
      <c r="M277" s="100">
        <f t="shared" si="50"/>
        <v>0</v>
      </c>
      <c r="N277" s="100">
        <v>0</v>
      </c>
      <c r="O277" s="100">
        <f t="shared" si="51"/>
        <v>0</v>
      </c>
      <c r="P277" s="100">
        <f t="shared" si="52"/>
        <v>0</v>
      </c>
      <c r="Q277" s="124">
        <f t="shared" si="53"/>
        <v>0</v>
      </c>
      <c r="R277" s="123"/>
      <c r="S277" s="123"/>
      <c r="T277" s="123"/>
      <c r="U277" s="123"/>
      <c r="V277" s="123"/>
      <c r="W277" s="123"/>
      <c r="X277" s="123"/>
      <c r="Y277" s="123"/>
      <c r="Z277" s="123"/>
      <c r="AA277" s="123"/>
      <c r="AB277" s="123"/>
      <c r="AC277" s="123"/>
      <c r="AD277" s="123"/>
      <c r="AE277" s="123"/>
      <c r="AF277" s="123"/>
      <c r="AG277" s="123"/>
      <c r="AH277" s="123"/>
      <c r="AI277" s="123"/>
      <c r="AJ277" s="123"/>
    </row>
    <row r="278" s="33" customFormat="1" ht="16.95" customHeight="1" spans="1:36">
      <c r="A278" s="87">
        <f>IF(F278&lt;&gt;"",1+MAX($A$2:A277),"")</f>
        <v>249</v>
      </c>
      <c r="B278" s="89"/>
      <c r="C278" s="89" t="s">
        <v>510</v>
      </c>
      <c r="D278" s="69" t="s">
        <v>511</v>
      </c>
      <c r="E278" s="72">
        <v>6</v>
      </c>
      <c r="F278" s="90">
        <v>0</v>
      </c>
      <c r="G278" s="91">
        <v>6</v>
      </c>
      <c r="H278" s="70" t="s">
        <v>35</v>
      </c>
      <c r="I278" s="97">
        <v>0</v>
      </c>
      <c r="J278" s="98">
        <f t="shared" si="48"/>
        <v>0</v>
      </c>
      <c r="K278" s="99">
        <v>50</v>
      </c>
      <c r="L278" s="100">
        <f t="shared" si="49"/>
        <v>0</v>
      </c>
      <c r="M278" s="100">
        <f t="shared" si="50"/>
        <v>0</v>
      </c>
      <c r="N278" s="100">
        <v>0</v>
      </c>
      <c r="O278" s="100">
        <f t="shared" si="51"/>
        <v>0</v>
      </c>
      <c r="P278" s="100">
        <f t="shared" si="52"/>
        <v>0</v>
      </c>
      <c r="Q278" s="124">
        <f t="shared" si="53"/>
        <v>0</v>
      </c>
      <c r="R278" s="123"/>
      <c r="S278" s="123"/>
      <c r="T278" s="123"/>
      <c r="U278" s="123"/>
      <c r="V278" s="123"/>
      <c r="W278" s="123"/>
      <c r="X278" s="123"/>
      <c r="Y278" s="123"/>
      <c r="Z278" s="123"/>
      <c r="AA278" s="123"/>
      <c r="AB278" s="123"/>
      <c r="AC278" s="123"/>
      <c r="AD278" s="123"/>
      <c r="AE278" s="123"/>
      <c r="AF278" s="123"/>
      <c r="AG278" s="123"/>
      <c r="AH278" s="123"/>
      <c r="AI278" s="123"/>
      <c r="AJ278" s="123"/>
    </row>
    <row r="279" s="33" customFormat="1" ht="16.95" customHeight="1" spans="1:36">
      <c r="A279" s="87">
        <f>IF(F279&lt;&gt;"",1+MAX($A$2:A278),"")</f>
        <v>250</v>
      </c>
      <c r="B279" s="89"/>
      <c r="C279" s="89" t="s">
        <v>512</v>
      </c>
      <c r="D279" s="69" t="s">
        <v>513</v>
      </c>
      <c r="E279" s="72">
        <v>6</v>
      </c>
      <c r="F279" s="90">
        <v>0</v>
      </c>
      <c r="G279" s="91">
        <v>6</v>
      </c>
      <c r="H279" s="70" t="s">
        <v>35</v>
      </c>
      <c r="I279" s="97">
        <v>0</v>
      </c>
      <c r="J279" s="98">
        <f t="shared" si="48"/>
        <v>0</v>
      </c>
      <c r="K279" s="99">
        <v>50</v>
      </c>
      <c r="L279" s="100">
        <f t="shared" si="49"/>
        <v>0</v>
      </c>
      <c r="M279" s="100">
        <f t="shared" si="50"/>
        <v>0</v>
      </c>
      <c r="N279" s="100">
        <v>0</v>
      </c>
      <c r="O279" s="100">
        <f t="shared" si="51"/>
        <v>0</v>
      </c>
      <c r="P279" s="100">
        <f t="shared" si="52"/>
        <v>0</v>
      </c>
      <c r="Q279" s="124">
        <f t="shared" si="53"/>
        <v>0</v>
      </c>
      <c r="R279" s="123"/>
      <c r="S279" s="123"/>
      <c r="T279" s="123"/>
      <c r="U279" s="123"/>
      <c r="V279" s="123"/>
      <c r="W279" s="123"/>
      <c r="X279" s="123"/>
      <c r="Y279" s="123"/>
      <c r="Z279" s="123"/>
      <c r="AA279" s="123"/>
      <c r="AB279" s="123"/>
      <c r="AC279" s="123"/>
      <c r="AD279" s="123"/>
      <c r="AE279" s="123"/>
      <c r="AF279" s="123"/>
      <c r="AG279" s="123"/>
      <c r="AH279" s="123"/>
      <c r="AI279" s="123"/>
      <c r="AJ279" s="123"/>
    </row>
    <row r="280" s="33" customFormat="1" ht="16.95" customHeight="1" spans="1:36">
      <c r="A280" s="87">
        <f>IF(F280&lt;&gt;"",1+MAX($A$2:A279),"")</f>
        <v>251</v>
      </c>
      <c r="B280" s="89"/>
      <c r="C280" s="89" t="s">
        <v>514</v>
      </c>
      <c r="D280" s="69" t="s">
        <v>515</v>
      </c>
      <c r="E280" s="72">
        <v>1</v>
      </c>
      <c r="F280" s="90">
        <v>0</v>
      </c>
      <c r="G280" s="91">
        <v>1</v>
      </c>
      <c r="H280" s="70" t="s">
        <v>35</v>
      </c>
      <c r="I280" s="97">
        <v>0</v>
      </c>
      <c r="J280" s="98">
        <f t="shared" si="48"/>
        <v>0</v>
      </c>
      <c r="K280" s="99">
        <v>50</v>
      </c>
      <c r="L280" s="100">
        <f t="shared" si="49"/>
        <v>0</v>
      </c>
      <c r="M280" s="100">
        <f t="shared" si="50"/>
        <v>0</v>
      </c>
      <c r="N280" s="100">
        <v>0</v>
      </c>
      <c r="O280" s="100">
        <f t="shared" si="51"/>
        <v>0</v>
      </c>
      <c r="P280" s="100">
        <f t="shared" si="52"/>
        <v>0</v>
      </c>
      <c r="Q280" s="124">
        <f t="shared" si="53"/>
        <v>0</v>
      </c>
      <c r="R280" s="123"/>
      <c r="S280" s="123"/>
      <c r="T280" s="123"/>
      <c r="U280" s="123"/>
      <c r="V280" s="123"/>
      <c r="W280" s="123"/>
      <c r="X280" s="123"/>
      <c r="Y280" s="123"/>
      <c r="Z280" s="123"/>
      <c r="AA280" s="123"/>
      <c r="AB280" s="123"/>
      <c r="AC280" s="123"/>
      <c r="AD280" s="123"/>
      <c r="AE280" s="123"/>
      <c r="AF280" s="123"/>
      <c r="AG280" s="123"/>
      <c r="AH280" s="123"/>
      <c r="AI280" s="123"/>
      <c r="AJ280" s="123"/>
    </row>
    <row r="281" s="33" customFormat="1" ht="16.95" customHeight="1" spans="1:36">
      <c r="A281" s="87">
        <f>IF(F281&lt;&gt;"",1+MAX($A$2:A280),"")</f>
        <v>252</v>
      </c>
      <c r="B281" s="89"/>
      <c r="C281" s="89" t="s">
        <v>516</v>
      </c>
      <c r="D281" s="69" t="s">
        <v>517</v>
      </c>
      <c r="E281" s="72">
        <v>2</v>
      </c>
      <c r="F281" s="90">
        <v>0</v>
      </c>
      <c r="G281" s="91">
        <v>2</v>
      </c>
      <c r="H281" s="70" t="s">
        <v>35</v>
      </c>
      <c r="I281" s="97">
        <v>0</v>
      </c>
      <c r="J281" s="98">
        <f t="shared" si="48"/>
        <v>0</v>
      </c>
      <c r="K281" s="99">
        <v>50</v>
      </c>
      <c r="L281" s="100">
        <f t="shared" si="49"/>
        <v>0</v>
      </c>
      <c r="M281" s="100">
        <f t="shared" si="50"/>
        <v>0</v>
      </c>
      <c r="N281" s="100">
        <v>0</v>
      </c>
      <c r="O281" s="100">
        <f t="shared" si="51"/>
        <v>0</v>
      </c>
      <c r="P281" s="100">
        <f t="shared" si="52"/>
        <v>0</v>
      </c>
      <c r="Q281" s="124">
        <f t="shared" si="53"/>
        <v>0</v>
      </c>
      <c r="R281" s="123"/>
      <c r="S281" s="123"/>
      <c r="T281" s="123"/>
      <c r="U281" s="123"/>
      <c r="V281" s="123"/>
      <c r="W281" s="123"/>
      <c r="X281" s="123"/>
      <c r="Y281" s="123"/>
      <c r="Z281" s="123"/>
      <c r="AA281" s="123"/>
      <c r="AB281" s="123"/>
      <c r="AC281" s="123"/>
      <c r="AD281" s="123"/>
      <c r="AE281" s="123"/>
      <c r="AF281" s="123"/>
      <c r="AG281" s="123"/>
      <c r="AH281" s="123"/>
      <c r="AI281" s="123"/>
      <c r="AJ281" s="123"/>
    </row>
    <row r="282" s="33" customFormat="1" ht="16.95" customHeight="1" spans="1:36">
      <c r="A282" s="87">
        <f>IF(F282&lt;&gt;"",1+MAX($A$2:A281),"")</f>
        <v>253</v>
      </c>
      <c r="B282" s="89"/>
      <c r="C282" s="89" t="s">
        <v>518</v>
      </c>
      <c r="D282" s="69" t="s">
        <v>519</v>
      </c>
      <c r="E282" s="72">
        <v>1</v>
      </c>
      <c r="F282" s="90">
        <v>0</v>
      </c>
      <c r="G282" s="91">
        <v>1</v>
      </c>
      <c r="H282" s="70" t="s">
        <v>35</v>
      </c>
      <c r="I282" s="97">
        <v>0</v>
      </c>
      <c r="J282" s="98">
        <f t="shared" si="48"/>
        <v>0</v>
      </c>
      <c r="K282" s="99">
        <v>50</v>
      </c>
      <c r="L282" s="100">
        <f t="shared" si="49"/>
        <v>0</v>
      </c>
      <c r="M282" s="100">
        <f t="shared" si="50"/>
        <v>0</v>
      </c>
      <c r="N282" s="100">
        <v>0</v>
      </c>
      <c r="O282" s="100">
        <f t="shared" si="51"/>
        <v>0</v>
      </c>
      <c r="P282" s="100">
        <f t="shared" si="52"/>
        <v>0</v>
      </c>
      <c r="Q282" s="124">
        <f t="shared" si="53"/>
        <v>0</v>
      </c>
      <c r="R282" s="123"/>
      <c r="S282" s="123"/>
      <c r="T282" s="123"/>
      <c r="U282" s="123"/>
      <c r="V282" s="123"/>
      <c r="W282" s="123"/>
      <c r="X282" s="123"/>
      <c r="Y282" s="123"/>
      <c r="Z282" s="123"/>
      <c r="AA282" s="123"/>
      <c r="AB282" s="123"/>
      <c r="AC282" s="123"/>
      <c r="AD282" s="123"/>
      <c r="AE282" s="123"/>
      <c r="AF282" s="123"/>
      <c r="AG282" s="123"/>
      <c r="AH282" s="123"/>
      <c r="AI282" s="123"/>
      <c r="AJ282" s="123"/>
    </row>
    <row r="283" s="33" customFormat="1" ht="16.95" customHeight="1" spans="1:36">
      <c r="A283" s="87">
        <f>IF(F283&lt;&gt;"",1+MAX($A$2:A282),"")</f>
        <v>254</v>
      </c>
      <c r="B283" s="89"/>
      <c r="C283" s="89" t="s">
        <v>520</v>
      </c>
      <c r="D283" s="69" t="s">
        <v>521</v>
      </c>
      <c r="E283" s="72">
        <v>1</v>
      </c>
      <c r="F283" s="90">
        <v>0</v>
      </c>
      <c r="G283" s="91">
        <v>1</v>
      </c>
      <c r="H283" s="70" t="s">
        <v>35</v>
      </c>
      <c r="I283" s="97">
        <v>0</v>
      </c>
      <c r="J283" s="98">
        <f t="shared" si="48"/>
        <v>0</v>
      </c>
      <c r="K283" s="99">
        <v>50</v>
      </c>
      <c r="L283" s="100">
        <f t="shared" si="49"/>
        <v>0</v>
      </c>
      <c r="M283" s="100">
        <f t="shared" si="50"/>
        <v>0</v>
      </c>
      <c r="N283" s="100">
        <v>0</v>
      </c>
      <c r="O283" s="100">
        <f t="shared" si="51"/>
        <v>0</v>
      </c>
      <c r="P283" s="100">
        <f t="shared" si="52"/>
        <v>0</v>
      </c>
      <c r="Q283" s="124">
        <f t="shared" si="53"/>
        <v>0</v>
      </c>
      <c r="R283" s="123"/>
      <c r="S283" s="123"/>
      <c r="T283" s="123"/>
      <c r="U283" s="123"/>
      <c r="V283" s="123"/>
      <c r="W283" s="123"/>
      <c r="X283" s="123"/>
      <c r="Y283" s="123"/>
      <c r="Z283" s="123"/>
      <c r="AA283" s="123"/>
      <c r="AB283" s="123"/>
      <c r="AC283" s="123"/>
      <c r="AD283" s="123"/>
      <c r="AE283" s="123"/>
      <c r="AF283" s="123"/>
      <c r="AG283" s="123"/>
      <c r="AH283" s="123"/>
      <c r="AI283" s="123"/>
      <c r="AJ283" s="123"/>
    </row>
    <row r="284" s="33" customFormat="1" ht="16.95" customHeight="1" spans="1:36">
      <c r="A284" s="87">
        <f>IF(F284&lt;&gt;"",1+MAX($A$2:A283),"")</f>
        <v>255</v>
      </c>
      <c r="B284" s="89"/>
      <c r="C284" s="70" t="s">
        <v>522</v>
      </c>
      <c r="D284" s="69" t="s">
        <v>522</v>
      </c>
      <c r="E284" s="72">
        <v>1</v>
      </c>
      <c r="F284" s="90">
        <v>0</v>
      </c>
      <c r="G284" s="91">
        <v>1</v>
      </c>
      <c r="H284" s="70" t="s">
        <v>35</v>
      </c>
      <c r="I284" s="97">
        <v>0</v>
      </c>
      <c r="J284" s="98">
        <f t="shared" si="48"/>
        <v>0</v>
      </c>
      <c r="K284" s="99">
        <v>50</v>
      </c>
      <c r="L284" s="100">
        <f t="shared" si="49"/>
        <v>0</v>
      </c>
      <c r="M284" s="100">
        <f t="shared" si="50"/>
        <v>0</v>
      </c>
      <c r="N284" s="100">
        <v>0</v>
      </c>
      <c r="O284" s="100">
        <f t="shared" si="51"/>
        <v>0</v>
      </c>
      <c r="P284" s="100">
        <f t="shared" si="52"/>
        <v>0</v>
      </c>
      <c r="Q284" s="124">
        <f t="shared" si="53"/>
        <v>0</v>
      </c>
      <c r="R284" s="123"/>
      <c r="S284" s="123"/>
      <c r="T284" s="123"/>
      <c r="U284" s="123"/>
      <c r="V284" s="123"/>
      <c r="W284" s="123"/>
      <c r="X284" s="123"/>
      <c r="Y284" s="123"/>
      <c r="Z284" s="123"/>
      <c r="AA284" s="123"/>
      <c r="AB284" s="123"/>
      <c r="AC284" s="123"/>
      <c r="AD284" s="123"/>
      <c r="AE284" s="123"/>
      <c r="AF284" s="123"/>
      <c r="AG284" s="123"/>
      <c r="AH284" s="123"/>
      <c r="AI284" s="123"/>
      <c r="AJ284" s="123"/>
    </row>
    <row r="285" s="33" customFormat="1" ht="16.95" customHeight="1" spans="1:36">
      <c r="A285" s="87">
        <f>IF(F285&lt;&gt;"",1+MAX($A$2:A284),"")</f>
        <v>256</v>
      </c>
      <c r="B285" s="89"/>
      <c r="C285" s="70" t="s">
        <v>523</v>
      </c>
      <c r="D285" s="69" t="s">
        <v>523</v>
      </c>
      <c r="E285" s="72">
        <v>1</v>
      </c>
      <c r="F285" s="90">
        <v>0</v>
      </c>
      <c r="G285" s="91">
        <v>1</v>
      </c>
      <c r="H285" s="70" t="s">
        <v>35</v>
      </c>
      <c r="I285" s="97">
        <v>0</v>
      </c>
      <c r="J285" s="98">
        <f t="shared" si="48"/>
        <v>0</v>
      </c>
      <c r="K285" s="99">
        <v>50</v>
      </c>
      <c r="L285" s="100">
        <f t="shared" si="49"/>
        <v>0</v>
      </c>
      <c r="M285" s="100">
        <f t="shared" si="50"/>
        <v>0</v>
      </c>
      <c r="N285" s="100">
        <v>0</v>
      </c>
      <c r="O285" s="100">
        <f t="shared" si="51"/>
        <v>0</v>
      </c>
      <c r="P285" s="100">
        <f t="shared" si="52"/>
        <v>0</v>
      </c>
      <c r="Q285" s="124">
        <f t="shared" si="53"/>
        <v>0</v>
      </c>
      <c r="R285" s="123"/>
      <c r="S285" s="123"/>
      <c r="T285" s="123"/>
      <c r="U285" s="123"/>
      <c r="V285" s="123"/>
      <c r="W285" s="123"/>
      <c r="X285" s="123"/>
      <c r="Y285" s="123"/>
      <c r="Z285" s="123"/>
      <c r="AA285" s="123"/>
      <c r="AB285" s="123"/>
      <c r="AC285" s="123"/>
      <c r="AD285" s="123"/>
      <c r="AE285" s="123"/>
      <c r="AF285" s="123"/>
      <c r="AG285" s="123"/>
      <c r="AH285" s="123"/>
      <c r="AI285" s="123"/>
      <c r="AJ285" s="123"/>
    </row>
    <row r="286" s="33" customFormat="1" ht="16.95" customHeight="1" spans="1:36">
      <c r="A286" s="87">
        <f>IF(F286&lt;&gt;"",1+MAX($A$2:A285),"")</f>
        <v>257</v>
      </c>
      <c r="B286" s="89"/>
      <c r="C286" s="70" t="s">
        <v>524</v>
      </c>
      <c r="D286" s="69" t="s">
        <v>524</v>
      </c>
      <c r="E286" s="72">
        <v>1</v>
      </c>
      <c r="F286" s="90">
        <v>0</v>
      </c>
      <c r="G286" s="91">
        <v>1</v>
      </c>
      <c r="H286" s="70" t="s">
        <v>35</v>
      </c>
      <c r="I286" s="97">
        <v>0</v>
      </c>
      <c r="J286" s="98">
        <f t="shared" si="48"/>
        <v>0</v>
      </c>
      <c r="K286" s="99">
        <v>50</v>
      </c>
      <c r="L286" s="100">
        <f t="shared" si="49"/>
        <v>0</v>
      </c>
      <c r="M286" s="100">
        <f t="shared" si="50"/>
        <v>0</v>
      </c>
      <c r="N286" s="100">
        <v>0</v>
      </c>
      <c r="O286" s="100">
        <f t="shared" si="51"/>
        <v>0</v>
      </c>
      <c r="P286" s="100">
        <f t="shared" si="52"/>
        <v>0</v>
      </c>
      <c r="Q286" s="124">
        <f t="shared" si="53"/>
        <v>0</v>
      </c>
      <c r="R286" s="123"/>
      <c r="S286" s="123"/>
      <c r="T286" s="123"/>
      <c r="U286" s="123"/>
      <c r="V286" s="123"/>
      <c r="W286" s="123"/>
      <c r="X286" s="123"/>
      <c r="Y286" s="123"/>
      <c r="Z286" s="123"/>
      <c r="AA286" s="123"/>
      <c r="AB286" s="123"/>
      <c r="AC286" s="123"/>
      <c r="AD286" s="123"/>
      <c r="AE286" s="123"/>
      <c r="AF286" s="123"/>
      <c r="AG286" s="123"/>
      <c r="AH286" s="123"/>
      <c r="AI286" s="123"/>
      <c r="AJ286" s="123"/>
    </row>
    <row r="287" s="33" customFormat="1" ht="16.95" customHeight="1" spans="1:36">
      <c r="A287" s="87">
        <f>IF(F287&lt;&gt;"",1+MAX($A$2:A286),"")</f>
        <v>258</v>
      </c>
      <c r="B287" s="89"/>
      <c r="C287" s="70" t="s">
        <v>525</v>
      </c>
      <c r="D287" s="69" t="s">
        <v>525</v>
      </c>
      <c r="E287" s="72">
        <v>1</v>
      </c>
      <c r="F287" s="90">
        <v>0</v>
      </c>
      <c r="G287" s="91">
        <v>1</v>
      </c>
      <c r="H287" s="70" t="s">
        <v>35</v>
      </c>
      <c r="I287" s="97">
        <v>0</v>
      </c>
      <c r="J287" s="98">
        <f t="shared" si="48"/>
        <v>0</v>
      </c>
      <c r="K287" s="99">
        <v>50</v>
      </c>
      <c r="L287" s="100">
        <f t="shared" si="49"/>
        <v>0</v>
      </c>
      <c r="M287" s="100">
        <f t="shared" si="50"/>
        <v>0</v>
      </c>
      <c r="N287" s="100">
        <v>0</v>
      </c>
      <c r="O287" s="100">
        <f t="shared" si="51"/>
        <v>0</v>
      </c>
      <c r="P287" s="100">
        <f t="shared" si="52"/>
        <v>0</v>
      </c>
      <c r="Q287" s="124">
        <f t="shared" si="53"/>
        <v>0</v>
      </c>
      <c r="R287" s="123"/>
      <c r="S287" s="123"/>
      <c r="T287" s="123"/>
      <c r="U287" s="123"/>
      <c r="V287" s="123"/>
      <c r="W287" s="123"/>
      <c r="X287" s="123"/>
      <c r="Y287" s="123"/>
      <c r="Z287" s="123"/>
      <c r="AA287" s="123"/>
      <c r="AB287" s="123"/>
      <c r="AC287" s="123"/>
      <c r="AD287" s="123"/>
      <c r="AE287" s="123"/>
      <c r="AF287" s="123"/>
      <c r="AG287" s="123"/>
      <c r="AH287" s="123"/>
      <c r="AI287" s="123"/>
      <c r="AJ287" s="123"/>
    </row>
    <row r="288" s="33" customFormat="1" ht="16.95" customHeight="1" spans="1:36">
      <c r="A288" s="87">
        <f>IF(F288&lt;&gt;"",1+MAX($A$2:A287),"")</f>
        <v>259</v>
      </c>
      <c r="B288" s="89"/>
      <c r="C288" s="70" t="s">
        <v>526</v>
      </c>
      <c r="D288" s="69" t="s">
        <v>526</v>
      </c>
      <c r="E288" s="72">
        <v>2</v>
      </c>
      <c r="F288" s="90">
        <v>0</v>
      </c>
      <c r="G288" s="91">
        <v>2</v>
      </c>
      <c r="H288" s="70" t="s">
        <v>35</v>
      </c>
      <c r="I288" s="97">
        <v>0</v>
      </c>
      <c r="J288" s="98">
        <f t="shared" si="48"/>
        <v>0</v>
      </c>
      <c r="K288" s="99">
        <v>50</v>
      </c>
      <c r="L288" s="100">
        <f t="shared" si="49"/>
        <v>0</v>
      </c>
      <c r="M288" s="100">
        <f t="shared" si="50"/>
        <v>0</v>
      </c>
      <c r="N288" s="100">
        <v>0</v>
      </c>
      <c r="O288" s="100">
        <f t="shared" si="51"/>
        <v>0</v>
      </c>
      <c r="P288" s="100">
        <f t="shared" si="52"/>
        <v>0</v>
      </c>
      <c r="Q288" s="124">
        <f t="shared" si="53"/>
        <v>0</v>
      </c>
      <c r="R288" s="123"/>
      <c r="S288" s="123"/>
      <c r="T288" s="123"/>
      <c r="U288" s="123"/>
      <c r="V288" s="123"/>
      <c r="W288" s="123"/>
      <c r="X288" s="123"/>
      <c r="Y288" s="123"/>
      <c r="Z288" s="123"/>
      <c r="AA288" s="123"/>
      <c r="AB288" s="123"/>
      <c r="AC288" s="123"/>
      <c r="AD288" s="123"/>
      <c r="AE288" s="123"/>
      <c r="AF288" s="123"/>
      <c r="AG288" s="123"/>
      <c r="AH288" s="123"/>
      <c r="AI288" s="123"/>
      <c r="AJ288" s="123"/>
    </row>
    <row r="289" s="33" customFormat="1" ht="16.95" customHeight="1" spans="1:36">
      <c r="A289" s="87">
        <f>IF(F289&lt;&gt;"",1+MAX($A$2:A288),"")</f>
        <v>260</v>
      </c>
      <c r="B289" s="89"/>
      <c r="C289" s="70" t="s">
        <v>527</v>
      </c>
      <c r="D289" s="69" t="s">
        <v>527</v>
      </c>
      <c r="E289" s="72">
        <v>1</v>
      </c>
      <c r="F289" s="90">
        <v>0</v>
      </c>
      <c r="G289" s="91">
        <v>1</v>
      </c>
      <c r="H289" s="70" t="s">
        <v>35</v>
      </c>
      <c r="I289" s="97">
        <v>0</v>
      </c>
      <c r="J289" s="98">
        <f t="shared" si="48"/>
        <v>0</v>
      </c>
      <c r="K289" s="99">
        <v>50</v>
      </c>
      <c r="L289" s="100">
        <f t="shared" si="49"/>
        <v>0</v>
      </c>
      <c r="M289" s="100">
        <f t="shared" si="50"/>
        <v>0</v>
      </c>
      <c r="N289" s="100">
        <v>0</v>
      </c>
      <c r="O289" s="100">
        <f t="shared" si="51"/>
        <v>0</v>
      </c>
      <c r="P289" s="100">
        <f t="shared" si="52"/>
        <v>0</v>
      </c>
      <c r="Q289" s="124">
        <f t="shared" si="53"/>
        <v>0</v>
      </c>
      <c r="R289" s="123"/>
      <c r="S289" s="123"/>
      <c r="T289" s="123"/>
      <c r="U289" s="123"/>
      <c r="V289" s="123"/>
      <c r="W289" s="123"/>
      <c r="X289" s="123"/>
      <c r="Y289" s="123"/>
      <c r="Z289" s="123"/>
      <c r="AA289" s="123"/>
      <c r="AB289" s="123"/>
      <c r="AC289" s="123"/>
      <c r="AD289" s="123"/>
      <c r="AE289" s="123"/>
      <c r="AF289" s="123"/>
      <c r="AG289" s="123"/>
      <c r="AH289" s="123"/>
      <c r="AI289" s="123"/>
      <c r="AJ289" s="123"/>
    </row>
    <row r="290" s="33" customFormat="1" ht="16.95" customHeight="1" spans="1:36">
      <c r="A290" s="87">
        <f>IF(F290&lt;&gt;"",1+MAX($A$2:A289),"")</f>
        <v>261</v>
      </c>
      <c r="B290" s="89"/>
      <c r="C290" s="70" t="s">
        <v>528</v>
      </c>
      <c r="D290" s="69" t="s">
        <v>528</v>
      </c>
      <c r="E290" s="72">
        <v>1</v>
      </c>
      <c r="F290" s="90">
        <v>0</v>
      </c>
      <c r="G290" s="91">
        <v>1</v>
      </c>
      <c r="H290" s="70" t="s">
        <v>35</v>
      </c>
      <c r="I290" s="97">
        <v>0</v>
      </c>
      <c r="J290" s="98">
        <f t="shared" si="48"/>
        <v>0</v>
      </c>
      <c r="K290" s="99">
        <v>50</v>
      </c>
      <c r="L290" s="100">
        <f t="shared" si="49"/>
        <v>0</v>
      </c>
      <c r="M290" s="100">
        <f t="shared" si="50"/>
        <v>0</v>
      </c>
      <c r="N290" s="100">
        <v>0</v>
      </c>
      <c r="O290" s="100">
        <f t="shared" si="51"/>
        <v>0</v>
      </c>
      <c r="P290" s="100">
        <f t="shared" si="52"/>
        <v>0</v>
      </c>
      <c r="Q290" s="124">
        <f t="shared" si="53"/>
        <v>0</v>
      </c>
      <c r="R290" s="123"/>
      <c r="S290" s="123"/>
      <c r="T290" s="123"/>
      <c r="U290" s="123"/>
      <c r="V290" s="123"/>
      <c r="W290" s="123"/>
      <c r="X290" s="123"/>
      <c r="Y290" s="123"/>
      <c r="Z290" s="123"/>
      <c r="AA290" s="123"/>
      <c r="AB290" s="123"/>
      <c r="AC290" s="123"/>
      <c r="AD290" s="123"/>
      <c r="AE290" s="123"/>
      <c r="AF290" s="123"/>
      <c r="AG290" s="123"/>
      <c r="AH290" s="123"/>
      <c r="AI290" s="123"/>
      <c r="AJ290" s="123"/>
    </row>
    <row r="291" s="33" customFormat="1" ht="16.95" customHeight="1" spans="1:36">
      <c r="A291" s="87">
        <f>IF(F291&lt;&gt;"",1+MAX($A$2:A290),"")</f>
        <v>262</v>
      </c>
      <c r="B291" s="89"/>
      <c r="C291" s="70" t="s">
        <v>529</v>
      </c>
      <c r="D291" s="69" t="s">
        <v>529</v>
      </c>
      <c r="E291" s="72">
        <v>1</v>
      </c>
      <c r="F291" s="90">
        <v>0</v>
      </c>
      <c r="G291" s="91">
        <v>1</v>
      </c>
      <c r="H291" s="70" t="s">
        <v>35</v>
      </c>
      <c r="I291" s="97">
        <v>0</v>
      </c>
      <c r="J291" s="98">
        <f t="shared" si="48"/>
        <v>0</v>
      </c>
      <c r="K291" s="99">
        <v>50</v>
      </c>
      <c r="L291" s="100">
        <f t="shared" si="49"/>
        <v>0</v>
      </c>
      <c r="M291" s="100">
        <f t="shared" si="50"/>
        <v>0</v>
      </c>
      <c r="N291" s="100">
        <v>0</v>
      </c>
      <c r="O291" s="100">
        <f t="shared" si="51"/>
        <v>0</v>
      </c>
      <c r="P291" s="100">
        <f t="shared" si="52"/>
        <v>0</v>
      </c>
      <c r="Q291" s="124">
        <f t="shared" si="53"/>
        <v>0</v>
      </c>
      <c r="R291" s="123"/>
      <c r="S291" s="123"/>
      <c r="T291" s="123"/>
      <c r="U291" s="123"/>
      <c r="V291" s="123"/>
      <c r="W291" s="123"/>
      <c r="X291" s="123"/>
      <c r="Y291" s="123"/>
      <c r="Z291" s="123"/>
      <c r="AA291" s="123"/>
      <c r="AB291" s="123"/>
      <c r="AC291" s="123"/>
      <c r="AD291" s="123"/>
      <c r="AE291" s="123"/>
      <c r="AF291" s="123"/>
      <c r="AG291" s="123"/>
      <c r="AH291" s="123"/>
      <c r="AI291" s="123"/>
      <c r="AJ291" s="123"/>
    </row>
    <row r="292" s="33" customFormat="1" ht="16.95" customHeight="1" spans="1:36">
      <c r="A292" s="87">
        <f>IF(F292&lt;&gt;"",1+MAX($A$2:A291),"")</f>
        <v>263</v>
      </c>
      <c r="B292" s="89"/>
      <c r="C292" s="70" t="s">
        <v>530</v>
      </c>
      <c r="D292" s="69" t="s">
        <v>530</v>
      </c>
      <c r="E292" s="72">
        <v>1</v>
      </c>
      <c r="F292" s="90">
        <v>0</v>
      </c>
      <c r="G292" s="91">
        <v>1</v>
      </c>
      <c r="H292" s="70" t="s">
        <v>35</v>
      </c>
      <c r="I292" s="97">
        <v>0</v>
      </c>
      <c r="J292" s="98">
        <f t="shared" si="48"/>
        <v>0</v>
      </c>
      <c r="K292" s="99">
        <v>50</v>
      </c>
      <c r="L292" s="100">
        <f t="shared" si="49"/>
        <v>0</v>
      </c>
      <c r="M292" s="100">
        <f t="shared" si="50"/>
        <v>0</v>
      </c>
      <c r="N292" s="100">
        <v>0</v>
      </c>
      <c r="O292" s="100">
        <f t="shared" si="51"/>
        <v>0</v>
      </c>
      <c r="P292" s="100">
        <f t="shared" si="52"/>
        <v>0</v>
      </c>
      <c r="Q292" s="124">
        <f t="shared" si="53"/>
        <v>0</v>
      </c>
      <c r="R292" s="123"/>
      <c r="S292" s="123"/>
      <c r="T292" s="123"/>
      <c r="U292" s="123"/>
      <c r="V292" s="123"/>
      <c r="W292" s="123"/>
      <c r="X292" s="123"/>
      <c r="Y292" s="123"/>
      <c r="Z292" s="123"/>
      <c r="AA292" s="123"/>
      <c r="AB292" s="123"/>
      <c r="AC292" s="123"/>
      <c r="AD292" s="123"/>
      <c r="AE292" s="123"/>
      <c r="AF292" s="123"/>
      <c r="AG292" s="123"/>
      <c r="AH292" s="123"/>
      <c r="AI292" s="123"/>
      <c r="AJ292" s="123"/>
    </row>
    <row r="293" s="33" customFormat="1" ht="16.95" customHeight="1" spans="1:36">
      <c r="A293" s="87">
        <f>IF(F293&lt;&gt;"",1+MAX($A$2:A292),"")</f>
        <v>264</v>
      </c>
      <c r="B293" s="89"/>
      <c r="C293" s="89"/>
      <c r="D293" s="69" t="s">
        <v>531</v>
      </c>
      <c r="E293" s="72">
        <v>5</v>
      </c>
      <c r="F293" s="90">
        <v>0</v>
      </c>
      <c r="G293" s="91">
        <v>5</v>
      </c>
      <c r="H293" s="70" t="s">
        <v>35</v>
      </c>
      <c r="I293" s="97">
        <v>0</v>
      </c>
      <c r="J293" s="98">
        <f t="shared" si="48"/>
        <v>0</v>
      </c>
      <c r="K293" s="99">
        <v>50</v>
      </c>
      <c r="L293" s="100">
        <f t="shared" si="49"/>
        <v>0</v>
      </c>
      <c r="M293" s="100">
        <f t="shared" si="50"/>
        <v>0</v>
      </c>
      <c r="N293" s="100">
        <v>0</v>
      </c>
      <c r="O293" s="100">
        <f t="shared" si="51"/>
        <v>0</v>
      </c>
      <c r="P293" s="100">
        <f t="shared" si="52"/>
        <v>0</v>
      </c>
      <c r="Q293" s="124">
        <f t="shared" si="53"/>
        <v>0</v>
      </c>
      <c r="R293" s="123"/>
      <c r="S293" s="123"/>
      <c r="T293" s="123"/>
      <c r="U293" s="123"/>
      <c r="V293" s="123"/>
      <c r="W293" s="123"/>
      <c r="X293" s="123"/>
      <c r="Y293" s="123"/>
      <c r="Z293" s="123"/>
      <c r="AA293" s="123"/>
      <c r="AB293" s="123"/>
      <c r="AC293" s="123"/>
      <c r="AD293" s="123"/>
      <c r="AE293" s="123"/>
      <c r="AF293" s="123"/>
      <c r="AG293" s="123"/>
      <c r="AH293" s="123"/>
      <c r="AI293" s="123"/>
      <c r="AJ293" s="123"/>
    </row>
    <row r="294" s="33" customFormat="1" ht="16.95" customHeight="1" spans="1:36">
      <c r="A294" s="87">
        <f>IF(F294&lt;&gt;"",1+MAX($A$2:A293),"")</f>
        <v>265</v>
      </c>
      <c r="B294" s="89"/>
      <c r="C294" s="89"/>
      <c r="D294" s="69" t="s">
        <v>532</v>
      </c>
      <c r="E294" s="72">
        <v>2</v>
      </c>
      <c r="F294" s="90">
        <v>0</v>
      </c>
      <c r="G294" s="91">
        <v>2</v>
      </c>
      <c r="H294" s="70" t="s">
        <v>35</v>
      </c>
      <c r="I294" s="97">
        <v>0</v>
      </c>
      <c r="J294" s="98">
        <f t="shared" si="48"/>
        <v>0</v>
      </c>
      <c r="K294" s="99">
        <v>50</v>
      </c>
      <c r="L294" s="100">
        <f t="shared" si="49"/>
        <v>0</v>
      </c>
      <c r="M294" s="100">
        <f t="shared" si="50"/>
        <v>0</v>
      </c>
      <c r="N294" s="100">
        <v>0</v>
      </c>
      <c r="O294" s="100">
        <f t="shared" si="51"/>
        <v>0</v>
      </c>
      <c r="P294" s="100">
        <f t="shared" si="52"/>
        <v>0</v>
      </c>
      <c r="Q294" s="124">
        <f t="shared" si="53"/>
        <v>0</v>
      </c>
      <c r="R294" s="123"/>
      <c r="S294" s="123"/>
      <c r="T294" s="123"/>
      <c r="U294" s="123"/>
      <c r="V294" s="123"/>
      <c r="W294" s="123"/>
      <c r="X294" s="123"/>
      <c r="Y294" s="123"/>
      <c r="Z294" s="123"/>
      <c r="AA294" s="123"/>
      <c r="AB294" s="123"/>
      <c r="AC294" s="123"/>
      <c r="AD294" s="123"/>
      <c r="AE294" s="123"/>
      <c r="AF294" s="123"/>
      <c r="AG294" s="123"/>
      <c r="AH294" s="123"/>
      <c r="AI294" s="123"/>
      <c r="AJ294" s="123"/>
    </row>
    <row r="295" s="33" customFormat="1" ht="16.95" customHeight="1" spans="1:36">
      <c r="A295" s="87">
        <f>IF(F295&lt;&gt;"",1+MAX($A$2:A294),"")</f>
        <v>266</v>
      </c>
      <c r="B295" s="89"/>
      <c r="C295" s="89" t="s">
        <v>533</v>
      </c>
      <c r="D295" s="69" t="s">
        <v>533</v>
      </c>
      <c r="E295" s="72">
        <v>1</v>
      </c>
      <c r="F295" s="90">
        <v>0</v>
      </c>
      <c r="G295" s="91">
        <v>1</v>
      </c>
      <c r="H295" s="70" t="s">
        <v>35</v>
      </c>
      <c r="I295" s="97">
        <v>0</v>
      </c>
      <c r="J295" s="98">
        <f t="shared" si="48"/>
        <v>0</v>
      </c>
      <c r="K295" s="99">
        <v>50</v>
      </c>
      <c r="L295" s="100">
        <f t="shared" si="49"/>
        <v>0</v>
      </c>
      <c r="M295" s="100">
        <f t="shared" si="50"/>
        <v>0</v>
      </c>
      <c r="N295" s="100">
        <v>0</v>
      </c>
      <c r="O295" s="100">
        <f t="shared" si="51"/>
        <v>0</v>
      </c>
      <c r="P295" s="100">
        <f t="shared" si="52"/>
        <v>0</v>
      </c>
      <c r="Q295" s="124">
        <f t="shared" si="53"/>
        <v>0</v>
      </c>
      <c r="R295" s="123"/>
      <c r="S295" s="123"/>
      <c r="T295" s="123"/>
      <c r="U295" s="123"/>
      <c r="V295" s="123"/>
      <c r="W295" s="123"/>
      <c r="X295" s="123"/>
      <c r="Y295" s="123"/>
      <c r="Z295" s="123"/>
      <c r="AA295" s="123"/>
      <c r="AB295" s="123"/>
      <c r="AC295" s="123"/>
      <c r="AD295" s="123"/>
      <c r="AE295" s="123"/>
      <c r="AF295" s="123"/>
      <c r="AG295" s="123"/>
      <c r="AH295" s="123"/>
      <c r="AI295" s="123"/>
      <c r="AJ295" s="123"/>
    </row>
    <row r="296" s="33" customFormat="1" ht="16.95" customHeight="1" spans="1:36">
      <c r="A296" s="87">
        <f>IF(F296&lt;&gt;"",1+MAX($A$2:A295),"")</f>
        <v>267</v>
      </c>
      <c r="B296" s="89"/>
      <c r="C296" s="89" t="s">
        <v>534</v>
      </c>
      <c r="D296" s="69" t="s">
        <v>535</v>
      </c>
      <c r="E296" s="72">
        <v>1</v>
      </c>
      <c r="F296" s="90">
        <v>0</v>
      </c>
      <c r="G296" s="91">
        <v>1</v>
      </c>
      <c r="H296" s="70" t="s">
        <v>35</v>
      </c>
      <c r="I296" s="97">
        <v>0</v>
      </c>
      <c r="J296" s="98">
        <f t="shared" si="48"/>
        <v>0</v>
      </c>
      <c r="K296" s="99">
        <v>50</v>
      </c>
      <c r="L296" s="100">
        <f t="shared" si="49"/>
        <v>0</v>
      </c>
      <c r="M296" s="100">
        <f t="shared" si="50"/>
        <v>0</v>
      </c>
      <c r="N296" s="100">
        <v>0</v>
      </c>
      <c r="O296" s="100">
        <f t="shared" si="51"/>
        <v>0</v>
      </c>
      <c r="P296" s="100">
        <f t="shared" si="52"/>
        <v>0</v>
      </c>
      <c r="Q296" s="124">
        <f t="shared" si="53"/>
        <v>0</v>
      </c>
      <c r="R296" s="123"/>
      <c r="S296" s="123"/>
      <c r="T296" s="123"/>
      <c r="U296" s="123"/>
      <c r="V296" s="123"/>
      <c r="W296" s="123"/>
      <c r="X296" s="123"/>
      <c r="Y296" s="123"/>
      <c r="Z296" s="123"/>
      <c r="AA296" s="123"/>
      <c r="AB296" s="123"/>
      <c r="AC296" s="123"/>
      <c r="AD296" s="123"/>
      <c r="AE296" s="123"/>
      <c r="AF296" s="123"/>
      <c r="AG296" s="123"/>
      <c r="AH296" s="123"/>
      <c r="AI296" s="123"/>
      <c r="AJ296" s="123"/>
    </row>
    <row r="297" s="33" customFormat="1" ht="16.95" customHeight="1" spans="1:36">
      <c r="A297" s="87">
        <f>IF(F297&lt;&gt;"",1+MAX($A$2:A296),"")</f>
        <v>268</v>
      </c>
      <c r="B297" s="89"/>
      <c r="C297" s="89"/>
      <c r="D297" s="69" t="s">
        <v>536</v>
      </c>
      <c r="E297" s="72">
        <v>1</v>
      </c>
      <c r="F297" s="90">
        <v>0</v>
      </c>
      <c r="G297" s="91">
        <v>1</v>
      </c>
      <c r="H297" s="70" t="s">
        <v>35</v>
      </c>
      <c r="I297" s="97">
        <v>0</v>
      </c>
      <c r="J297" s="98">
        <f t="shared" si="48"/>
        <v>0</v>
      </c>
      <c r="K297" s="99">
        <v>50</v>
      </c>
      <c r="L297" s="100">
        <f t="shared" si="49"/>
        <v>0</v>
      </c>
      <c r="M297" s="100">
        <f t="shared" si="50"/>
        <v>0</v>
      </c>
      <c r="N297" s="100">
        <v>0</v>
      </c>
      <c r="O297" s="100">
        <f t="shared" si="51"/>
        <v>0</v>
      </c>
      <c r="P297" s="100">
        <f t="shared" si="52"/>
        <v>0</v>
      </c>
      <c r="Q297" s="124">
        <f t="shared" si="53"/>
        <v>0</v>
      </c>
      <c r="R297" s="123"/>
      <c r="S297" s="123"/>
      <c r="T297" s="123"/>
      <c r="U297" s="123"/>
      <c r="V297" s="123"/>
      <c r="W297" s="123"/>
      <c r="X297" s="123"/>
      <c r="Y297" s="123"/>
      <c r="Z297" s="123"/>
      <c r="AA297" s="123"/>
      <c r="AB297" s="123"/>
      <c r="AC297" s="123"/>
      <c r="AD297" s="123"/>
      <c r="AE297" s="123"/>
      <c r="AF297" s="123"/>
      <c r="AG297" s="123"/>
      <c r="AH297" s="123"/>
      <c r="AI297" s="123"/>
      <c r="AJ297" s="123"/>
    </row>
    <row r="298" s="33" customFormat="1" ht="16.95" customHeight="1" spans="1:36">
      <c r="A298" s="87">
        <f>IF(F298&lt;&gt;"",1+MAX($A$2:A297),"")</f>
        <v>269</v>
      </c>
      <c r="B298" s="89"/>
      <c r="C298" s="89"/>
      <c r="D298" s="69" t="s">
        <v>537</v>
      </c>
      <c r="E298" s="72">
        <v>1</v>
      </c>
      <c r="F298" s="90">
        <v>0</v>
      </c>
      <c r="G298" s="91">
        <v>1</v>
      </c>
      <c r="H298" s="70" t="s">
        <v>35</v>
      </c>
      <c r="I298" s="97">
        <v>0</v>
      </c>
      <c r="J298" s="98">
        <f t="shared" si="48"/>
        <v>0</v>
      </c>
      <c r="K298" s="99">
        <v>50</v>
      </c>
      <c r="L298" s="100">
        <f t="shared" si="49"/>
        <v>0</v>
      </c>
      <c r="M298" s="100">
        <f t="shared" si="50"/>
        <v>0</v>
      </c>
      <c r="N298" s="100">
        <v>0</v>
      </c>
      <c r="O298" s="100">
        <f t="shared" si="51"/>
        <v>0</v>
      </c>
      <c r="P298" s="100">
        <f t="shared" si="52"/>
        <v>0</v>
      </c>
      <c r="Q298" s="124">
        <f t="shared" si="53"/>
        <v>0</v>
      </c>
      <c r="R298" s="123"/>
      <c r="S298" s="123"/>
      <c r="T298" s="123"/>
      <c r="U298" s="123"/>
      <c r="V298" s="123"/>
      <c r="W298" s="123"/>
      <c r="X298" s="123"/>
      <c r="Y298" s="123"/>
      <c r="Z298" s="123"/>
      <c r="AA298" s="123"/>
      <c r="AB298" s="123"/>
      <c r="AC298" s="123"/>
      <c r="AD298" s="123"/>
      <c r="AE298" s="123"/>
      <c r="AF298" s="123"/>
      <c r="AG298" s="123"/>
      <c r="AH298" s="123"/>
      <c r="AI298" s="123"/>
      <c r="AJ298" s="123"/>
    </row>
    <row r="299" s="33" customFormat="1" ht="16.95" customHeight="1" spans="1:36">
      <c r="A299" s="87">
        <f>IF(F299&lt;&gt;"",1+MAX($A$2:A298),"")</f>
        <v>270</v>
      </c>
      <c r="B299" s="89"/>
      <c r="C299" s="89"/>
      <c r="D299" s="69" t="s">
        <v>538</v>
      </c>
      <c r="E299" s="72">
        <v>1</v>
      </c>
      <c r="F299" s="90">
        <v>0</v>
      </c>
      <c r="G299" s="91">
        <v>1</v>
      </c>
      <c r="H299" s="70" t="s">
        <v>35</v>
      </c>
      <c r="I299" s="97">
        <v>0</v>
      </c>
      <c r="J299" s="98">
        <f t="shared" si="48"/>
        <v>0</v>
      </c>
      <c r="K299" s="99">
        <v>50</v>
      </c>
      <c r="L299" s="100">
        <f t="shared" si="49"/>
        <v>0</v>
      </c>
      <c r="M299" s="100">
        <f t="shared" si="50"/>
        <v>0</v>
      </c>
      <c r="N299" s="100">
        <v>0</v>
      </c>
      <c r="O299" s="100">
        <f t="shared" si="51"/>
        <v>0</v>
      </c>
      <c r="P299" s="100">
        <f t="shared" si="52"/>
        <v>0</v>
      </c>
      <c r="Q299" s="124">
        <f t="shared" si="53"/>
        <v>0</v>
      </c>
      <c r="R299" s="123"/>
      <c r="S299" s="123"/>
      <c r="T299" s="123"/>
      <c r="U299" s="123"/>
      <c r="V299" s="123"/>
      <c r="W299" s="123"/>
      <c r="X299" s="123"/>
      <c r="Y299" s="123"/>
      <c r="Z299" s="123"/>
      <c r="AA299" s="123"/>
      <c r="AB299" s="123"/>
      <c r="AC299" s="123"/>
      <c r="AD299" s="123"/>
      <c r="AE299" s="123"/>
      <c r="AF299" s="123"/>
      <c r="AG299" s="123"/>
      <c r="AH299" s="123"/>
      <c r="AI299" s="123"/>
      <c r="AJ299" s="123"/>
    </row>
    <row r="300" s="33" customFormat="1" ht="16.95" customHeight="1" spans="1:36">
      <c r="A300" s="87">
        <f>IF(F300&lt;&gt;"",1+MAX($A$2:A299),"")</f>
        <v>271</v>
      </c>
      <c r="B300" s="89"/>
      <c r="C300" s="89"/>
      <c r="D300" s="69" t="s">
        <v>539</v>
      </c>
      <c r="E300" s="72">
        <v>3</v>
      </c>
      <c r="F300" s="90">
        <v>0</v>
      </c>
      <c r="G300" s="91">
        <v>3</v>
      </c>
      <c r="H300" s="70" t="s">
        <v>35</v>
      </c>
      <c r="I300" s="97">
        <v>0</v>
      </c>
      <c r="J300" s="98">
        <f t="shared" si="48"/>
        <v>0</v>
      </c>
      <c r="K300" s="99">
        <v>50</v>
      </c>
      <c r="L300" s="100">
        <f t="shared" si="49"/>
        <v>0</v>
      </c>
      <c r="M300" s="100">
        <f t="shared" si="50"/>
        <v>0</v>
      </c>
      <c r="N300" s="100">
        <v>0</v>
      </c>
      <c r="O300" s="100">
        <f t="shared" si="51"/>
        <v>0</v>
      </c>
      <c r="P300" s="100">
        <f t="shared" si="52"/>
        <v>0</v>
      </c>
      <c r="Q300" s="124">
        <f t="shared" si="53"/>
        <v>0</v>
      </c>
      <c r="R300" s="123"/>
      <c r="S300" s="123"/>
      <c r="T300" s="123"/>
      <c r="U300" s="123"/>
      <c r="V300" s="123"/>
      <c r="W300" s="123"/>
      <c r="X300" s="123"/>
      <c r="Y300" s="123"/>
      <c r="Z300" s="123"/>
      <c r="AA300" s="123"/>
      <c r="AB300" s="123"/>
      <c r="AC300" s="123"/>
      <c r="AD300" s="123"/>
      <c r="AE300" s="123"/>
      <c r="AF300" s="123"/>
      <c r="AG300" s="123"/>
      <c r="AH300" s="123"/>
      <c r="AI300" s="123"/>
      <c r="AJ300" s="123"/>
    </row>
    <row r="301" s="33" customFormat="1" ht="16.95" customHeight="1" spans="1:36">
      <c r="A301" s="87" t="str">
        <f>IF(F301&lt;&gt;"",1+MAX($A$2:A300),"")</f>
        <v/>
      </c>
      <c r="B301" s="89"/>
      <c r="C301" s="89"/>
      <c r="D301" s="69"/>
      <c r="E301" s="72"/>
      <c r="F301" s="90"/>
      <c r="G301" s="91"/>
      <c r="H301" s="70"/>
      <c r="I301" s="97"/>
      <c r="J301" s="98"/>
      <c r="K301" s="99"/>
      <c r="L301" s="100"/>
      <c r="M301" s="139"/>
      <c r="N301" s="100"/>
      <c r="O301" s="100"/>
      <c r="P301" s="100"/>
      <c r="Q301" s="122"/>
      <c r="R301" s="123"/>
      <c r="S301" s="123"/>
      <c r="T301" s="123"/>
      <c r="U301" s="123"/>
      <c r="V301" s="123"/>
      <c r="W301" s="123"/>
      <c r="X301" s="123"/>
      <c r="Y301" s="123"/>
      <c r="Z301" s="123"/>
      <c r="AA301" s="123"/>
      <c r="AB301" s="123"/>
      <c r="AC301" s="123"/>
      <c r="AD301" s="123"/>
      <c r="AE301" s="123"/>
      <c r="AF301" s="123"/>
      <c r="AG301" s="123"/>
      <c r="AH301" s="123"/>
      <c r="AI301" s="123"/>
      <c r="AJ301" s="123"/>
    </row>
    <row r="302" s="33" customFormat="1" ht="15.75" customHeight="1" spans="1:19">
      <c r="A302" s="87" t="str">
        <f>IF(F302&lt;&gt;"",1+MAX($A$2:A301),"")</f>
        <v/>
      </c>
      <c r="B302" s="126"/>
      <c r="C302" s="126"/>
      <c r="D302" s="82" t="s">
        <v>31</v>
      </c>
      <c r="E302" s="129"/>
      <c r="F302" s="129"/>
      <c r="G302" s="130"/>
      <c r="H302" s="129"/>
      <c r="I302" s="129"/>
      <c r="J302" s="140"/>
      <c r="K302" s="140"/>
      <c r="L302" s="141"/>
      <c r="M302" s="142"/>
      <c r="N302" s="141"/>
      <c r="O302" s="141"/>
      <c r="P302" s="143"/>
      <c r="Q302" s="117">
        <f>SUM(Q17:Q300)</f>
        <v>0</v>
      </c>
      <c r="S302" s="121"/>
    </row>
    <row r="303" s="33" customFormat="1" ht="15.75" customHeight="1" spans="1:19">
      <c r="A303" s="131" t="str">
        <f>IF(F303&lt;&gt;"",1+MAX($A$2:A302),"")</f>
        <v/>
      </c>
      <c r="B303" s="132"/>
      <c r="C303" s="132"/>
      <c r="D303" s="133"/>
      <c r="E303" s="132"/>
      <c r="F303" s="132"/>
      <c r="G303" s="132"/>
      <c r="H303" s="132"/>
      <c r="I303" s="132"/>
      <c r="J303" s="132"/>
      <c r="K303" s="132"/>
      <c r="L303" s="132"/>
      <c r="M303" s="132"/>
      <c r="N303" s="132"/>
      <c r="O303" s="132"/>
      <c r="P303" s="132"/>
      <c r="Q303" s="145"/>
      <c r="S303" s="121"/>
    </row>
    <row r="304" s="33" customFormat="1" ht="16.95" customHeight="1" spans="1:19">
      <c r="A304" s="57" t="str">
        <f>IF(F304&lt;&gt;"",1+MAX($A$2:A303),"")</f>
        <v/>
      </c>
      <c r="B304" s="60">
        <v>26</v>
      </c>
      <c r="C304" s="60"/>
      <c r="D304" s="59" t="s">
        <v>540</v>
      </c>
      <c r="E304" s="60"/>
      <c r="F304" s="60"/>
      <c r="G304" s="60"/>
      <c r="H304" s="60"/>
      <c r="I304" s="60"/>
      <c r="J304" s="60"/>
      <c r="K304" s="60"/>
      <c r="L304" s="60"/>
      <c r="M304" s="60"/>
      <c r="N304" s="60"/>
      <c r="O304" s="60"/>
      <c r="P304" s="60"/>
      <c r="Q304" s="120"/>
      <c r="S304" s="121"/>
    </row>
    <row r="305" s="34" customFormat="1" ht="18" customHeight="1" spans="1:18">
      <c r="A305" s="61" t="str">
        <f>IF(F305&lt;&gt;"",1+MAX($A$2:A304),"")</f>
        <v/>
      </c>
      <c r="B305" s="62"/>
      <c r="C305" s="62"/>
      <c r="D305" s="134" t="s">
        <v>33</v>
      </c>
      <c r="E305"/>
      <c r="F305" s="77"/>
      <c r="G305" s="78"/>
      <c r="H305" s="70"/>
      <c r="I305" s="97"/>
      <c r="J305" s="98"/>
      <c r="K305" s="99"/>
      <c r="L305" s="100"/>
      <c r="M305" s="100"/>
      <c r="N305" s="100"/>
      <c r="O305" s="100"/>
      <c r="P305" s="100"/>
      <c r="Q305" s="124"/>
      <c r="R305" s="114"/>
    </row>
    <row r="306" s="34" customFormat="1" spans="1:18">
      <c r="A306" s="61">
        <f>IF(F306&lt;&gt;"",1+MAX($A$2:A305),"")</f>
        <v>272</v>
      </c>
      <c r="B306" s="68"/>
      <c r="C306" s="68"/>
      <c r="D306" s="69" t="s">
        <v>541</v>
      </c>
      <c r="E306" s="70">
        <v>3</v>
      </c>
      <c r="F306" s="77">
        <v>0</v>
      </c>
      <c r="G306" s="78">
        <f t="shared" ref="G306:G328" si="54">(F306*E306)+E306</f>
        <v>3</v>
      </c>
      <c r="H306" s="70" t="s">
        <v>35</v>
      </c>
      <c r="I306" s="97">
        <v>0</v>
      </c>
      <c r="J306" s="98">
        <f t="shared" ref="J306:J328" si="55">+I306*G306</f>
        <v>0</v>
      </c>
      <c r="K306" s="99">
        <v>50</v>
      </c>
      <c r="L306" s="100">
        <f t="shared" ref="L306:L328" si="56">I306*K306</f>
        <v>0</v>
      </c>
      <c r="M306" s="100">
        <f t="shared" ref="M306:M328" si="57">K306*J306</f>
        <v>0</v>
      </c>
      <c r="N306" s="100">
        <v>0</v>
      </c>
      <c r="O306" s="100">
        <f t="shared" ref="O306:O328" si="58">N306*G306</f>
        <v>0</v>
      </c>
      <c r="P306" s="100">
        <f t="shared" ref="P306:P328" si="59">(I306*K306)+N306</f>
        <v>0</v>
      </c>
      <c r="Q306" s="124">
        <f t="shared" ref="Q306:Q328" si="60">P306*G306</f>
        <v>0</v>
      </c>
      <c r="R306" s="114"/>
    </row>
    <row r="307" s="34" customFormat="1" spans="1:18">
      <c r="A307" s="61">
        <f>IF(F307&lt;&gt;"",1+MAX($A$2:A306),"")</f>
        <v>273</v>
      </c>
      <c r="B307" s="68"/>
      <c r="C307" s="68"/>
      <c r="D307" s="69" t="s">
        <v>542</v>
      </c>
      <c r="E307" s="70">
        <v>2837.39</v>
      </c>
      <c r="F307" s="77">
        <v>0</v>
      </c>
      <c r="G307" s="78">
        <f t="shared" si="54"/>
        <v>2837.39</v>
      </c>
      <c r="H307" s="76" t="s">
        <v>37</v>
      </c>
      <c r="I307" s="97">
        <v>0</v>
      </c>
      <c r="J307" s="98">
        <f t="shared" si="55"/>
        <v>0</v>
      </c>
      <c r="K307" s="99">
        <v>50</v>
      </c>
      <c r="L307" s="100">
        <f t="shared" si="56"/>
        <v>0</v>
      </c>
      <c r="M307" s="100">
        <f t="shared" si="57"/>
        <v>0</v>
      </c>
      <c r="N307" s="100">
        <v>0</v>
      </c>
      <c r="O307" s="100">
        <f t="shared" si="58"/>
        <v>0</v>
      </c>
      <c r="P307" s="100">
        <f t="shared" si="59"/>
        <v>0</v>
      </c>
      <c r="Q307" s="124">
        <f t="shared" si="60"/>
        <v>0</v>
      </c>
      <c r="R307" s="114"/>
    </row>
    <row r="308" s="34" customFormat="1" ht="31.2" spans="1:18">
      <c r="A308" s="61">
        <f>IF(F308&lt;&gt;"",1+MAX($A$2:A307),"")</f>
        <v>274</v>
      </c>
      <c r="B308" s="68"/>
      <c r="C308" s="68"/>
      <c r="D308" s="69" t="s">
        <v>543</v>
      </c>
      <c r="E308" s="70">
        <v>7</v>
      </c>
      <c r="F308" s="77">
        <v>0</v>
      </c>
      <c r="G308" s="78">
        <f t="shared" si="54"/>
        <v>7</v>
      </c>
      <c r="H308" s="70" t="s">
        <v>35</v>
      </c>
      <c r="I308" s="97">
        <v>0</v>
      </c>
      <c r="J308" s="98">
        <f t="shared" si="55"/>
        <v>0</v>
      </c>
      <c r="K308" s="99">
        <v>50</v>
      </c>
      <c r="L308" s="100">
        <f t="shared" si="56"/>
        <v>0</v>
      </c>
      <c r="M308" s="100">
        <f t="shared" si="57"/>
        <v>0</v>
      </c>
      <c r="N308" s="100">
        <v>0</v>
      </c>
      <c r="O308" s="100">
        <f t="shared" si="58"/>
        <v>0</v>
      </c>
      <c r="P308" s="100">
        <f t="shared" si="59"/>
        <v>0</v>
      </c>
      <c r="Q308" s="124">
        <f t="shared" si="60"/>
        <v>0</v>
      </c>
      <c r="R308" s="114"/>
    </row>
    <row r="309" s="34" customFormat="1" ht="31.2" spans="1:18">
      <c r="A309" s="61">
        <f>IF(F309&lt;&gt;"",1+MAX($A$2:A308),"")</f>
        <v>275</v>
      </c>
      <c r="B309" s="68"/>
      <c r="C309" s="68"/>
      <c r="D309" s="69" t="s">
        <v>544</v>
      </c>
      <c r="E309" s="70">
        <v>3</v>
      </c>
      <c r="F309" s="77">
        <v>0</v>
      </c>
      <c r="G309" s="78">
        <f t="shared" si="54"/>
        <v>3</v>
      </c>
      <c r="H309" s="76" t="s">
        <v>329</v>
      </c>
      <c r="I309" s="97">
        <v>0</v>
      </c>
      <c r="J309" s="98">
        <f t="shared" si="55"/>
        <v>0</v>
      </c>
      <c r="K309" s="99">
        <v>50</v>
      </c>
      <c r="L309" s="100">
        <f t="shared" si="56"/>
        <v>0</v>
      </c>
      <c r="M309" s="100">
        <f t="shared" si="57"/>
        <v>0</v>
      </c>
      <c r="N309" s="100">
        <v>0</v>
      </c>
      <c r="O309" s="100">
        <f t="shared" si="58"/>
        <v>0</v>
      </c>
      <c r="P309" s="100">
        <f t="shared" si="59"/>
        <v>0</v>
      </c>
      <c r="Q309" s="124">
        <f t="shared" si="60"/>
        <v>0</v>
      </c>
      <c r="R309" s="114"/>
    </row>
    <row r="310" s="34" customFormat="1" ht="46.8" spans="1:18">
      <c r="A310" s="61">
        <f>IF(F310&lt;&gt;"",1+MAX($A$2:A309),"")</f>
        <v>276</v>
      </c>
      <c r="B310" s="68"/>
      <c r="C310" s="68"/>
      <c r="D310" s="69" t="s">
        <v>545</v>
      </c>
      <c r="E310" s="70">
        <v>4</v>
      </c>
      <c r="F310" s="77">
        <v>0</v>
      </c>
      <c r="G310" s="78">
        <f t="shared" si="54"/>
        <v>4</v>
      </c>
      <c r="H310" s="70" t="s">
        <v>35</v>
      </c>
      <c r="I310" s="97">
        <v>0</v>
      </c>
      <c r="J310" s="98">
        <f t="shared" si="55"/>
        <v>0</v>
      </c>
      <c r="K310" s="99">
        <v>50</v>
      </c>
      <c r="L310" s="100">
        <f t="shared" si="56"/>
        <v>0</v>
      </c>
      <c r="M310" s="100">
        <f t="shared" si="57"/>
        <v>0</v>
      </c>
      <c r="N310" s="100">
        <v>0</v>
      </c>
      <c r="O310" s="100">
        <f t="shared" si="58"/>
        <v>0</v>
      </c>
      <c r="P310" s="100">
        <f t="shared" si="59"/>
        <v>0</v>
      </c>
      <c r="Q310" s="124">
        <f t="shared" si="60"/>
        <v>0</v>
      </c>
      <c r="R310" s="114"/>
    </row>
    <row r="311" s="34" customFormat="1" ht="46.8" spans="1:18">
      <c r="A311" s="61">
        <f>IF(F311&lt;&gt;"",1+MAX($A$2:A310),"")</f>
        <v>277</v>
      </c>
      <c r="B311" s="68"/>
      <c r="C311" s="68"/>
      <c r="D311" s="69" t="s">
        <v>546</v>
      </c>
      <c r="E311" s="70">
        <v>1</v>
      </c>
      <c r="F311" s="77">
        <v>0</v>
      </c>
      <c r="G311" s="78">
        <f t="shared" si="54"/>
        <v>1</v>
      </c>
      <c r="H311" s="70" t="s">
        <v>35</v>
      </c>
      <c r="I311" s="97">
        <v>0</v>
      </c>
      <c r="J311" s="98">
        <f t="shared" si="55"/>
        <v>0</v>
      </c>
      <c r="K311" s="99">
        <v>50</v>
      </c>
      <c r="L311" s="100">
        <f t="shared" si="56"/>
        <v>0</v>
      </c>
      <c r="M311" s="100">
        <f t="shared" si="57"/>
        <v>0</v>
      </c>
      <c r="N311" s="100">
        <v>0</v>
      </c>
      <c r="O311" s="100">
        <f t="shared" si="58"/>
        <v>0</v>
      </c>
      <c r="P311" s="100">
        <f t="shared" si="59"/>
        <v>0</v>
      </c>
      <c r="Q311" s="124">
        <f t="shared" si="60"/>
        <v>0</v>
      </c>
      <c r="R311" s="114"/>
    </row>
    <row r="312" s="34" customFormat="1" ht="46.8" spans="1:18">
      <c r="A312" s="61">
        <f>IF(F312&lt;&gt;"",1+MAX($A$2:A311),"")</f>
        <v>278</v>
      </c>
      <c r="B312" s="68"/>
      <c r="C312" s="68"/>
      <c r="D312" s="69" t="s">
        <v>547</v>
      </c>
      <c r="E312" s="70">
        <v>332.37</v>
      </c>
      <c r="F312" s="77">
        <v>0</v>
      </c>
      <c r="G312" s="78">
        <f t="shared" si="54"/>
        <v>332.37</v>
      </c>
      <c r="H312" s="76" t="s">
        <v>37</v>
      </c>
      <c r="I312" s="97">
        <v>0</v>
      </c>
      <c r="J312" s="98">
        <f t="shared" si="55"/>
        <v>0</v>
      </c>
      <c r="K312" s="99">
        <v>50</v>
      </c>
      <c r="L312" s="100">
        <f t="shared" si="56"/>
        <v>0</v>
      </c>
      <c r="M312" s="100">
        <f t="shared" si="57"/>
        <v>0</v>
      </c>
      <c r="N312" s="100">
        <v>0</v>
      </c>
      <c r="O312" s="100">
        <f t="shared" si="58"/>
        <v>0</v>
      </c>
      <c r="P312" s="100">
        <f t="shared" si="59"/>
        <v>0</v>
      </c>
      <c r="Q312" s="124">
        <f t="shared" si="60"/>
        <v>0</v>
      </c>
      <c r="R312" s="114"/>
    </row>
    <row r="313" s="34" customFormat="1" ht="31.2" spans="1:18">
      <c r="A313" s="61">
        <f>IF(F313&lt;&gt;"",1+MAX($A$2:A312),"")</f>
        <v>279</v>
      </c>
      <c r="B313" s="68"/>
      <c r="C313" s="147"/>
      <c r="D313" s="138" t="s">
        <v>543</v>
      </c>
      <c r="E313" s="76">
        <v>2</v>
      </c>
      <c r="F313" s="77">
        <v>0</v>
      </c>
      <c r="G313" s="78">
        <f t="shared" si="54"/>
        <v>2</v>
      </c>
      <c r="H313" s="70" t="s">
        <v>35</v>
      </c>
      <c r="I313" s="97">
        <v>0</v>
      </c>
      <c r="J313" s="98">
        <f t="shared" si="55"/>
        <v>0</v>
      </c>
      <c r="K313" s="99">
        <v>50</v>
      </c>
      <c r="L313" s="100">
        <f t="shared" si="56"/>
        <v>0</v>
      </c>
      <c r="M313" s="100">
        <f t="shared" si="57"/>
        <v>0</v>
      </c>
      <c r="N313" s="100">
        <v>0</v>
      </c>
      <c r="O313" s="100">
        <f t="shared" si="58"/>
        <v>0</v>
      </c>
      <c r="P313" s="100">
        <f t="shared" si="59"/>
        <v>0</v>
      </c>
      <c r="Q313" s="124">
        <f t="shared" si="60"/>
        <v>0</v>
      </c>
      <c r="R313" s="114"/>
    </row>
    <row r="314" s="34" customFormat="1" ht="31.2" spans="1:18">
      <c r="A314" s="61">
        <f>IF(F314&lt;&gt;"",1+MAX($A$2:A313),"")</f>
        <v>280</v>
      </c>
      <c r="B314" s="68"/>
      <c r="C314" s="147"/>
      <c r="D314" s="138" t="s">
        <v>544</v>
      </c>
      <c r="E314" s="76">
        <v>2</v>
      </c>
      <c r="F314" s="77">
        <v>0</v>
      </c>
      <c r="G314" s="78">
        <f t="shared" si="54"/>
        <v>2</v>
      </c>
      <c r="H314" s="70" t="s">
        <v>35</v>
      </c>
      <c r="I314" s="97">
        <v>0</v>
      </c>
      <c r="J314" s="98">
        <f t="shared" si="55"/>
        <v>0</v>
      </c>
      <c r="K314" s="99">
        <v>50</v>
      </c>
      <c r="L314" s="100">
        <f t="shared" si="56"/>
        <v>0</v>
      </c>
      <c r="M314" s="100">
        <f t="shared" si="57"/>
        <v>0</v>
      </c>
      <c r="N314" s="100">
        <v>0</v>
      </c>
      <c r="O314" s="100">
        <f t="shared" si="58"/>
        <v>0</v>
      </c>
      <c r="P314" s="100">
        <f t="shared" si="59"/>
        <v>0</v>
      </c>
      <c r="Q314" s="124">
        <f t="shared" si="60"/>
        <v>0</v>
      </c>
      <c r="R314" s="114"/>
    </row>
    <row r="315" s="34" customFormat="1" ht="46.8" spans="1:18">
      <c r="A315" s="61">
        <f>IF(F315&lt;&gt;"",1+MAX($A$2:A314),"")</f>
        <v>281</v>
      </c>
      <c r="B315" s="68"/>
      <c r="C315" s="147"/>
      <c r="D315" s="138" t="s">
        <v>545</v>
      </c>
      <c r="E315" s="76">
        <v>1</v>
      </c>
      <c r="F315" s="77">
        <v>0</v>
      </c>
      <c r="G315" s="78">
        <f t="shared" si="54"/>
        <v>1</v>
      </c>
      <c r="H315" s="70" t="s">
        <v>35</v>
      </c>
      <c r="I315" s="97">
        <v>0</v>
      </c>
      <c r="J315" s="98">
        <f t="shared" si="55"/>
        <v>0</v>
      </c>
      <c r="K315" s="99">
        <v>50</v>
      </c>
      <c r="L315" s="100">
        <f t="shared" si="56"/>
        <v>0</v>
      </c>
      <c r="M315" s="100">
        <f t="shared" si="57"/>
        <v>0</v>
      </c>
      <c r="N315" s="100">
        <v>0</v>
      </c>
      <c r="O315" s="100">
        <f t="shared" si="58"/>
        <v>0</v>
      </c>
      <c r="P315" s="100">
        <f t="shared" si="59"/>
        <v>0</v>
      </c>
      <c r="Q315" s="124">
        <f t="shared" si="60"/>
        <v>0</v>
      </c>
      <c r="R315" s="114"/>
    </row>
    <row r="316" s="34" customFormat="1" ht="31.2" spans="1:18">
      <c r="A316" s="61">
        <f>IF(F316&lt;&gt;"",1+MAX($A$2:A315),"")</f>
        <v>282</v>
      </c>
      <c r="B316" s="68"/>
      <c r="C316" s="68"/>
      <c r="D316" s="69" t="s">
        <v>543</v>
      </c>
      <c r="E316" s="70">
        <v>7</v>
      </c>
      <c r="F316" s="77">
        <v>0</v>
      </c>
      <c r="G316" s="78">
        <f t="shared" si="54"/>
        <v>7</v>
      </c>
      <c r="H316" s="70" t="s">
        <v>35</v>
      </c>
      <c r="I316" s="97">
        <v>0</v>
      </c>
      <c r="J316" s="98">
        <f t="shared" si="55"/>
        <v>0</v>
      </c>
      <c r="K316" s="99">
        <v>50</v>
      </c>
      <c r="L316" s="100">
        <f t="shared" si="56"/>
        <v>0</v>
      </c>
      <c r="M316" s="100">
        <f t="shared" si="57"/>
        <v>0</v>
      </c>
      <c r="N316" s="100">
        <v>0</v>
      </c>
      <c r="O316" s="100">
        <f t="shared" si="58"/>
        <v>0</v>
      </c>
      <c r="P316" s="100">
        <f t="shared" si="59"/>
        <v>0</v>
      </c>
      <c r="Q316" s="124">
        <f t="shared" si="60"/>
        <v>0</v>
      </c>
      <c r="R316" s="114"/>
    </row>
    <row r="317" s="34" customFormat="1" ht="31.2" spans="1:18">
      <c r="A317" s="61">
        <f>IF(F317&lt;&gt;"",1+MAX($A$2:A316),"")</f>
        <v>283</v>
      </c>
      <c r="B317" s="68"/>
      <c r="C317" s="68"/>
      <c r="D317" s="69" t="s">
        <v>544</v>
      </c>
      <c r="E317" s="70">
        <v>3</v>
      </c>
      <c r="F317" s="77">
        <v>0</v>
      </c>
      <c r="G317" s="78">
        <f t="shared" si="54"/>
        <v>3</v>
      </c>
      <c r="H317" s="70" t="s">
        <v>35</v>
      </c>
      <c r="I317" s="97">
        <v>0</v>
      </c>
      <c r="J317" s="98">
        <f t="shared" si="55"/>
        <v>0</v>
      </c>
      <c r="K317" s="99">
        <v>50</v>
      </c>
      <c r="L317" s="100">
        <f t="shared" si="56"/>
        <v>0</v>
      </c>
      <c r="M317" s="100">
        <f t="shared" si="57"/>
        <v>0</v>
      </c>
      <c r="N317" s="100">
        <v>0</v>
      </c>
      <c r="O317" s="100">
        <f t="shared" si="58"/>
        <v>0</v>
      </c>
      <c r="P317" s="100">
        <f t="shared" si="59"/>
        <v>0</v>
      </c>
      <c r="Q317" s="124">
        <f t="shared" si="60"/>
        <v>0</v>
      </c>
      <c r="R317" s="114"/>
    </row>
    <row r="318" s="34" customFormat="1" ht="31.2" spans="1:18">
      <c r="A318" s="61">
        <f>IF(F318&lt;&gt;"",1+MAX($A$2:A317),"")</f>
        <v>284</v>
      </c>
      <c r="B318" s="68"/>
      <c r="C318" s="68"/>
      <c r="D318" s="69" t="s">
        <v>548</v>
      </c>
      <c r="E318" s="70">
        <v>3</v>
      </c>
      <c r="F318" s="77">
        <v>0</v>
      </c>
      <c r="G318" s="78">
        <f t="shared" si="54"/>
        <v>3</v>
      </c>
      <c r="H318" s="70" t="s">
        <v>35</v>
      </c>
      <c r="I318" s="97">
        <v>0</v>
      </c>
      <c r="J318" s="98">
        <f t="shared" si="55"/>
        <v>0</v>
      </c>
      <c r="K318" s="99">
        <v>50</v>
      </c>
      <c r="L318" s="100">
        <f t="shared" si="56"/>
        <v>0</v>
      </c>
      <c r="M318" s="100">
        <f t="shared" si="57"/>
        <v>0</v>
      </c>
      <c r="N318" s="100">
        <v>0</v>
      </c>
      <c r="O318" s="100">
        <f t="shared" si="58"/>
        <v>0</v>
      </c>
      <c r="P318" s="100">
        <f t="shared" si="59"/>
        <v>0</v>
      </c>
      <c r="Q318" s="124">
        <f t="shared" si="60"/>
        <v>0</v>
      </c>
      <c r="R318" s="114"/>
    </row>
    <row r="319" s="34" customFormat="1" ht="46.8" spans="1:18">
      <c r="A319" s="61">
        <f>IF(F319&lt;&gt;"",1+MAX($A$2:A318),"")</f>
        <v>285</v>
      </c>
      <c r="B319" s="68"/>
      <c r="C319" s="68"/>
      <c r="D319" s="69" t="s">
        <v>549</v>
      </c>
      <c r="E319" s="70">
        <v>5</v>
      </c>
      <c r="F319" s="77">
        <v>0</v>
      </c>
      <c r="G319" s="78">
        <f t="shared" si="54"/>
        <v>5</v>
      </c>
      <c r="H319" s="70" t="s">
        <v>35</v>
      </c>
      <c r="I319" s="97">
        <v>0</v>
      </c>
      <c r="J319" s="98">
        <f t="shared" si="55"/>
        <v>0</v>
      </c>
      <c r="K319" s="99">
        <v>50</v>
      </c>
      <c r="L319" s="100">
        <f t="shared" si="56"/>
        <v>0</v>
      </c>
      <c r="M319" s="100">
        <f t="shared" si="57"/>
        <v>0</v>
      </c>
      <c r="N319" s="100">
        <v>0</v>
      </c>
      <c r="O319" s="100">
        <f t="shared" si="58"/>
        <v>0</v>
      </c>
      <c r="P319" s="100">
        <f t="shared" si="59"/>
        <v>0</v>
      </c>
      <c r="Q319" s="124">
        <f t="shared" si="60"/>
        <v>0</v>
      </c>
      <c r="R319" s="114"/>
    </row>
    <row r="320" s="34" customFormat="1" spans="1:18">
      <c r="A320" s="61">
        <f>IF(F320&lt;&gt;"",1+MAX($A$2:A319),"")</f>
        <v>286</v>
      </c>
      <c r="B320" s="68"/>
      <c r="C320" s="68"/>
      <c r="D320" s="69" t="s">
        <v>550</v>
      </c>
      <c r="E320" s="70">
        <v>1</v>
      </c>
      <c r="F320" s="77">
        <v>0</v>
      </c>
      <c r="G320" s="78">
        <f t="shared" si="54"/>
        <v>1</v>
      </c>
      <c r="H320" s="70" t="s">
        <v>35</v>
      </c>
      <c r="I320" s="97">
        <v>0</v>
      </c>
      <c r="J320" s="98">
        <f t="shared" si="55"/>
        <v>0</v>
      </c>
      <c r="K320" s="99">
        <v>50</v>
      </c>
      <c r="L320" s="100">
        <f t="shared" si="56"/>
        <v>0</v>
      </c>
      <c r="M320" s="100">
        <f t="shared" si="57"/>
        <v>0</v>
      </c>
      <c r="N320" s="100">
        <v>0</v>
      </c>
      <c r="O320" s="100">
        <f t="shared" si="58"/>
        <v>0</v>
      </c>
      <c r="P320" s="100">
        <f t="shared" si="59"/>
        <v>0</v>
      </c>
      <c r="Q320" s="124">
        <f t="shared" si="60"/>
        <v>0</v>
      </c>
      <c r="R320" s="114"/>
    </row>
    <row r="321" s="34" customFormat="1" spans="1:18">
      <c r="A321" s="61">
        <f>IF(F321&lt;&gt;"",1+MAX($A$2:A320),"")</f>
        <v>287</v>
      </c>
      <c r="B321" s="68"/>
      <c r="C321" s="68"/>
      <c r="D321" s="69" t="s">
        <v>551</v>
      </c>
      <c r="E321" s="70">
        <v>7</v>
      </c>
      <c r="F321" s="77">
        <v>0</v>
      </c>
      <c r="G321" s="78">
        <f t="shared" si="54"/>
        <v>7</v>
      </c>
      <c r="H321" s="70" t="s">
        <v>35</v>
      </c>
      <c r="I321" s="97">
        <v>0</v>
      </c>
      <c r="J321" s="98">
        <f t="shared" si="55"/>
        <v>0</v>
      </c>
      <c r="K321" s="99">
        <v>50</v>
      </c>
      <c r="L321" s="100">
        <f t="shared" si="56"/>
        <v>0</v>
      </c>
      <c r="M321" s="100">
        <f t="shared" si="57"/>
        <v>0</v>
      </c>
      <c r="N321" s="100">
        <v>0</v>
      </c>
      <c r="O321" s="100">
        <f t="shared" si="58"/>
        <v>0</v>
      </c>
      <c r="P321" s="100">
        <f t="shared" si="59"/>
        <v>0</v>
      </c>
      <c r="Q321" s="124">
        <f t="shared" si="60"/>
        <v>0</v>
      </c>
      <c r="R321" s="114"/>
    </row>
    <row r="322" s="34" customFormat="1" ht="31.2" spans="1:18">
      <c r="A322" s="61">
        <f>IF(F322&lt;&gt;"",1+MAX($A$2:A321),"")</f>
        <v>288</v>
      </c>
      <c r="B322" s="68"/>
      <c r="C322" s="68"/>
      <c r="D322" s="69" t="s">
        <v>552</v>
      </c>
      <c r="E322" s="70">
        <v>5</v>
      </c>
      <c r="F322" s="77">
        <v>0</v>
      </c>
      <c r="G322" s="78">
        <f t="shared" si="54"/>
        <v>5</v>
      </c>
      <c r="H322" s="70" t="s">
        <v>35</v>
      </c>
      <c r="I322" s="97">
        <v>0</v>
      </c>
      <c r="J322" s="98">
        <f t="shared" si="55"/>
        <v>0</v>
      </c>
      <c r="K322" s="99">
        <v>50</v>
      </c>
      <c r="L322" s="100">
        <f t="shared" si="56"/>
        <v>0</v>
      </c>
      <c r="M322" s="100">
        <f t="shared" si="57"/>
        <v>0</v>
      </c>
      <c r="N322" s="100">
        <v>0</v>
      </c>
      <c r="O322" s="100">
        <f t="shared" si="58"/>
        <v>0</v>
      </c>
      <c r="P322" s="100">
        <f t="shared" si="59"/>
        <v>0</v>
      </c>
      <c r="Q322" s="124">
        <f t="shared" si="60"/>
        <v>0</v>
      </c>
      <c r="R322" s="114"/>
    </row>
    <row r="323" s="34" customFormat="1" ht="46.8" spans="1:18">
      <c r="A323" s="61">
        <f>IF(F323&lt;&gt;"",1+MAX($A$2:A322),"")</f>
        <v>289</v>
      </c>
      <c r="B323" s="68"/>
      <c r="C323" s="68"/>
      <c r="D323" s="69" t="s">
        <v>553</v>
      </c>
      <c r="E323" s="70">
        <v>6</v>
      </c>
      <c r="F323" s="77">
        <v>0</v>
      </c>
      <c r="G323" s="78">
        <f t="shared" si="54"/>
        <v>6</v>
      </c>
      <c r="H323" s="70" t="s">
        <v>35</v>
      </c>
      <c r="I323" s="97">
        <v>0</v>
      </c>
      <c r="J323" s="98">
        <f t="shared" si="55"/>
        <v>0</v>
      </c>
      <c r="K323" s="99">
        <v>50</v>
      </c>
      <c r="L323" s="100">
        <f t="shared" si="56"/>
        <v>0</v>
      </c>
      <c r="M323" s="100">
        <f t="shared" si="57"/>
        <v>0</v>
      </c>
      <c r="N323" s="100">
        <v>0</v>
      </c>
      <c r="O323" s="100">
        <f t="shared" si="58"/>
        <v>0</v>
      </c>
      <c r="P323" s="100">
        <f t="shared" si="59"/>
        <v>0</v>
      </c>
      <c r="Q323" s="124">
        <f t="shared" si="60"/>
        <v>0</v>
      </c>
      <c r="R323" s="114"/>
    </row>
    <row r="324" s="34" customFormat="1" ht="31.2" spans="1:18">
      <c r="A324" s="61">
        <f>IF(F324&lt;&gt;"",1+MAX($A$2:A323),"")</f>
        <v>290</v>
      </c>
      <c r="B324" s="68"/>
      <c r="C324" s="68"/>
      <c r="D324" s="69" t="s">
        <v>543</v>
      </c>
      <c r="E324" s="70">
        <v>3</v>
      </c>
      <c r="F324" s="77">
        <v>0</v>
      </c>
      <c r="G324" s="78">
        <f t="shared" si="54"/>
        <v>3</v>
      </c>
      <c r="H324" s="70" t="s">
        <v>35</v>
      </c>
      <c r="I324" s="97">
        <v>0</v>
      </c>
      <c r="J324" s="98">
        <f t="shared" si="55"/>
        <v>0</v>
      </c>
      <c r="K324" s="99">
        <v>50</v>
      </c>
      <c r="L324" s="100">
        <f t="shared" si="56"/>
        <v>0</v>
      </c>
      <c r="M324" s="100">
        <f t="shared" si="57"/>
        <v>0</v>
      </c>
      <c r="N324" s="100">
        <v>0</v>
      </c>
      <c r="O324" s="100">
        <f t="shared" si="58"/>
        <v>0</v>
      </c>
      <c r="P324" s="100">
        <f t="shared" si="59"/>
        <v>0</v>
      </c>
      <c r="Q324" s="124">
        <f t="shared" si="60"/>
        <v>0</v>
      </c>
      <c r="R324" s="114"/>
    </row>
    <row r="325" s="34" customFormat="1" ht="31.2" spans="1:18">
      <c r="A325" s="61">
        <f>IF(F325&lt;&gt;"",1+MAX($A$2:A324),"")</f>
        <v>291</v>
      </c>
      <c r="B325" s="68"/>
      <c r="C325" s="68"/>
      <c r="D325" s="69" t="s">
        <v>544</v>
      </c>
      <c r="E325" s="70">
        <v>1</v>
      </c>
      <c r="F325" s="77">
        <v>0</v>
      </c>
      <c r="G325" s="78">
        <f t="shared" si="54"/>
        <v>1</v>
      </c>
      <c r="H325" s="70" t="s">
        <v>35</v>
      </c>
      <c r="I325" s="97">
        <v>0</v>
      </c>
      <c r="J325" s="98">
        <f t="shared" si="55"/>
        <v>0</v>
      </c>
      <c r="K325" s="99">
        <v>50</v>
      </c>
      <c r="L325" s="100">
        <f t="shared" si="56"/>
        <v>0</v>
      </c>
      <c r="M325" s="100">
        <f t="shared" si="57"/>
        <v>0</v>
      </c>
      <c r="N325" s="100">
        <v>0</v>
      </c>
      <c r="O325" s="100">
        <f t="shared" si="58"/>
        <v>0</v>
      </c>
      <c r="P325" s="100">
        <f t="shared" si="59"/>
        <v>0</v>
      </c>
      <c r="Q325" s="124">
        <f t="shared" si="60"/>
        <v>0</v>
      </c>
      <c r="R325" s="114"/>
    </row>
    <row r="326" s="34" customFormat="1" ht="31.2" spans="1:18">
      <c r="A326" s="61">
        <f>IF(F326&lt;&gt;"",1+MAX($A$2:A325),"")</f>
        <v>292</v>
      </c>
      <c r="B326" s="68"/>
      <c r="C326" s="68"/>
      <c r="D326" s="69" t="s">
        <v>554</v>
      </c>
      <c r="E326" s="70">
        <v>2</v>
      </c>
      <c r="F326" s="77">
        <v>0</v>
      </c>
      <c r="G326" s="78">
        <f t="shared" si="54"/>
        <v>2</v>
      </c>
      <c r="H326" s="70" t="s">
        <v>35</v>
      </c>
      <c r="I326" s="97">
        <v>0</v>
      </c>
      <c r="J326" s="98">
        <f t="shared" si="55"/>
        <v>0</v>
      </c>
      <c r="K326" s="99">
        <v>50</v>
      </c>
      <c r="L326" s="100">
        <f t="shared" si="56"/>
        <v>0</v>
      </c>
      <c r="M326" s="100">
        <f t="shared" si="57"/>
        <v>0</v>
      </c>
      <c r="N326" s="100">
        <v>0</v>
      </c>
      <c r="O326" s="100">
        <f t="shared" si="58"/>
        <v>0</v>
      </c>
      <c r="P326" s="100">
        <f t="shared" si="59"/>
        <v>0</v>
      </c>
      <c r="Q326" s="124">
        <f t="shared" si="60"/>
        <v>0</v>
      </c>
      <c r="R326" s="114"/>
    </row>
    <row r="327" s="34" customFormat="1" ht="46.8" spans="1:18">
      <c r="A327" s="61">
        <f>IF(F327&lt;&gt;"",1+MAX($A$2:A326),"")</f>
        <v>293</v>
      </c>
      <c r="B327" s="68"/>
      <c r="C327" s="68"/>
      <c r="D327" s="69" t="s">
        <v>553</v>
      </c>
      <c r="E327" s="70">
        <v>1</v>
      </c>
      <c r="F327" s="77">
        <v>0</v>
      </c>
      <c r="G327" s="78">
        <f t="shared" si="54"/>
        <v>1</v>
      </c>
      <c r="H327" s="70" t="s">
        <v>35</v>
      </c>
      <c r="I327" s="97">
        <v>0</v>
      </c>
      <c r="J327" s="98">
        <f t="shared" si="55"/>
        <v>0</v>
      </c>
      <c r="K327" s="99">
        <v>50</v>
      </c>
      <c r="L327" s="100">
        <f t="shared" si="56"/>
        <v>0</v>
      </c>
      <c r="M327" s="100">
        <f t="shared" si="57"/>
        <v>0</v>
      </c>
      <c r="N327" s="100">
        <v>0</v>
      </c>
      <c r="O327" s="100">
        <f t="shared" si="58"/>
        <v>0</v>
      </c>
      <c r="P327" s="100">
        <f t="shared" si="59"/>
        <v>0</v>
      </c>
      <c r="Q327" s="124">
        <f t="shared" si="60"/>
        <v>0</v>
      </c>
      <c r="R327" s="114"/>
    </row>
    <row r="328" s="34" customFormat="1" ht="31.2" spans="1:18">
      <c r="A328" s="61">
        <f>IF(F328&lt;&gt;"",1+MAX($A$2:A327),"")</f>
        <v>294</v>
      </c>
      <c r="B328" s="68"/>
      <c r="C328" s="68"/>
      <c r="D328" s="69" t="s">
        <v>555</v>
      </c>
      <c r="E328" s="70">
        <v>1</v>
      </c>
      <c r="F328" s="77">
        <v>0</v>
      </c>
      <c r="G328" s="78">
        <f t="shared" si="54"/>
        <v>1</v>
      </c>
      <c r="H328" s="70" t="s">
        <v>35</v>
      </c>
      <c r="I328" s="97">
        <v>0</v>
      </c>
      <c r="J328" s="98">
        <f t="shared" si="55"/>
        <v>0</v>
      </c>
      <c r="K328" s="99">
        <v>50</v>
      </c>
      <c r="L328" s="100">
        <f t="shared" si="56"/>
        <v>0</v>
      </c>
      <c r="M328" s="100">
        <f t="shared" si="57"/>
        <v>0</v>
      </c>
      <c r="N328" s="100">
        <v>0</v>
      </c>
      <c r="O328" s="100">
        <f t="shared" si="58"/>
        <v>0</v>
      </c>
      <c r="P328" s="100">
        <f t="shared" si="59"/>
        <v>0</v>
      </c>
      <c r="Q328" s="124">
        <f t="shared" si="60"/>
        <v>0</v>
      </c>
      <c r="R328" s="114"/>
    </row>
    <row r="329" s="34" customFormat="1" spans="1:18">
      <c r="A329" s="61" t="str">
        <f>IF(F329&lt;&gt;"",1+MAX($A$2:A328),"")</f>
        <v/>
      </c>
      <c r="B329" s="135"/>
      <c r="C329" s="68"/>
      <c r="D329" s="69"/>
      <c r="E329" s="76"/>
      <c r="F329" s="212"/>
      <c r="G329" s="213"/>
      <c r="H329" s="64"/>
      <c r="I329" s="97"/>
      <c r="J329" s="98"/>
      <c r="K329" s="99"/>
      <c r="L329" s="100"/>
      <c r="M329" s="100"/>
      <c r="N329" s="100"/>
      <c r="O329" s="100"/>
      <c r="P329" s="100"/>
      <c r="Q329" s="124"/>
      <c r="R329" s="114"/>
    </row>
    <row r="330" s="34" customFormat="1" ht="18" customHeight="1" spans="1:18">
      <c r="A330" s="61" t="str">
        <f>IF(F330&lt;&gt;"",1+MAX($A$2:A329),"")</f>
        <v/>
      </c>
      <c r="B330" s="62"/>
      <c r="C330" s="62"/>
      <c r="D330" s="134" t="s">
        <v>556</v>
      </c>
      <c r="E330" s="76"/>
      <c r="F330" s="65"/>
      <c r="G330" s="66"/>
      <c r="H330" s="64"/>
      <c r="I330" s="97"/>
      <c r="J330" s="98"/>
      <c r="K330" s="99"/>
      <c r="L330" s="100"/>
      <c r="M330" s="100"/>
      <c r="N330" s="100"/>
      <c r="O330" s="100"/>
      <c r="P330" s="100"/>
      <c r="Q330" s="124"/>
      <c r="R330" s="114"/>
    </row>
    <row r="331" s="34" customFormat="1" ht="18" customHeight="1" spans="1:18">
      <c r="A331" s="67" t="str">
        <f>IF(F331&lt;&gt;"",1+MAX($A$2:A330),"")</f>
        <v/>
      </c>
      <c r="B331" s="68"/>
      <c r="C331" s="68"/>
      <c r="D331" s="146" t="s">
        <v>557</v>
      </c>
      <c r="E331" s="76"/>
      <c r="F331" s="71"/>
      <c r="G331" s="66"/>
      <c r="H331" s="70"/>
      <c r="I331" s="97"/>
      <c r="J331" s="98"/>
      <c r="K331" s="99"/>
      <c r="L331" s="100"/>
      <c r="M331" s="100"/>
      <c r="N331" s="100"/>
      <c r="O331" s="100"/>
      <c r="P331" s="100"/>
      <c r="Q331" s="124"/>
      <c r="R331" s="114"/>
    </row>
    <row r="332" s="34" customFormat="1" ht="18" customHeight="1" spans="1:18">
      <c r="A332" s="61">
        <f>IF(F332&lt;&gt;"",1+MAX($A$2:A331),"")</f>
        <v>295</v>
      </c>
      <c r="B332" s="214"/>
      <c r="C332" s="74"/>
      <c r="D332" s="138" t="s">
        <v>558</v>
      </c>
      <c r="E332" s="76">
        <v>2510</v>
      </c>
      <c r="F332" s="65">
        <v>0.05</v>
      </c>
      <c r="G332" s="66">
        <f t="shared" ref="G332:G395" si="61">(F332*E332)+E332</f>
        <v>2635.5</v>
      </c>
      <c r="H332" s="70" t="s">
        <v>37</v>
      </c>
      <c r="I332" s="97">
        <v>0</v>
      </c>
      <c r="J332" s="98">
        <f t="shared" ref="J332:J395" si="62">+I332*G332</f>
        <v>0</v>
      </c>
      <c r="K332" s="99">
        <v>50</v>
      </c>
      <c r="L332" s="100">
        <f t="shared" ref="L332:L395" si="63">I332*K332</f>
        <v>0</v>
      </c>
      <c r="M332" s="100">
        <f t="shared" ref="M332:M395" si="64">K332*J332</f>
        <v>0</v>
      </c>
      <c r="N332" s="100">
        <v>0</v>
      </c>
      <c r="O332" s="100">
        <f t="shared" ref="O332:O395" si="65">N332*G332</f>
        <v>0</v>
      </c>
      <c r="P332" s="100">
        <f t="shared" ref="P332:P395" si="66">(I332*K332)+N332</f>
        <v>0</v>
      </c>
      <c r="Q332" s="124">
        <f t="shared" ref="Q332:Q395" si="67">P332*G332</f>
        <v>0</v>
      </c>
      <c r="R332" s="114"/>
    </row>
    <row r="333" s="34" customFormat="1" ht="18" customHeight="1" spans="1:18">
      <c r="A333" s="61">
        <f>IF(F333&lt;&gt;"",1+MAX($A$2:A332),"")</f>
        <v>296</v>
      </c>
      <c r="B333" s="214"/>
      <c r="C333" s="74"/>
      <c r="D333" s="138" t="s">
        <v>558</v>
      </c>
      <c r="E333" s="76">
        <v>2510</v>
      </c>
      <c r="F333" s="65">
        <v>0.05</v>
      </c>
      <c r="G333" s="66">
        <f t="shared" si="61"/>
        <v>2635.5</v>
      </c>
      <c r="H333" s="70" t="s">
        <v>37</v>
      </c>
      <c r="I333" s="97">
        <v>0</v>
      </c>
      <c r="J333" s="98">
        <f t="shared" si="62"/>
        <v>0</v>
      </c>
      <c r="K333" s="99">
        <v>50</v>
      </c>
      <c r="L333" s="100">
        <f t="shared" si="63"/>
        <v>0</v>
      </c>
      <c r="M333" s="100">
        <f t="shared" si="64"/>
        <v>0</v>
      </c>
      <c r="N333" s="100">
        <v>0</v>
      </c>
      <c r="O333" s="100">
        <f t="shared" si="65"/>
        <v>0</v>
      </c>
      <c r="P333" s="100">
        <f t="shared" si="66"/>
        <v>0</v>
      </c>
      <c r="Q333" s="124">
        <f t="shared" si="67"/>
        <v>0</v>
      </c>
      <c r="R333" s="114"/>
    </row>
    <row r="334" s="34" customFormat="1" ht="18" customHeight="1" spans="1:18">
      <c r="A334" s="61">
        <f>IF(F334&lt;&gt;"",1+MAX($A$2:A333),"")</f>
        <v>297</v>
      </c>
      <c r="B334" s="214"/>
      <c r="C334" s="74"/>
      <c r="D334" s="138" t="s">
        <v>558</v>
      </c>
      <c r="E334" s="76">
        <v>525</v>
      </c>
      <c r="F334" s="65">
        <v>0.05</v>
      </c>
      <c r="G334" s="66">
        <f t="shared" si="61"/>
        <v>551.25</v>
      </c>
      <c r="H334" s="70" t="s">
        <v>37</v>
      </c>
      <c r="I334" s="97">
        <v>0</v>
      </c>
      <c r="J334" s="98">
        <f t="shared" si="62"/>
        <v>0</v>
      </c>
      <c r="K334" s="99">
        <v>50</v>
      </c>
      <c r="L334" s="100">
        <f t="shared" si="63"/>
        <v>0</v>
      </c>
      <c r="M334" s="100">
        <f t="shared" si="64"/>
        <v>0</v>
      </c>
      <c r="N334" s="100">
        <v>0</v>
      </c>
      <c r="O334" s="100">
        <f t="shared" si="65"/>
        <v>0</v>
      </c>
      <c r="P334" s="100">
        <f t="shared" si="66"/>
        <v>0</v>
      </c>
      <c r="Q334" s="124">
        <f t="shared" si="67"/>
        <v>0</v>
      </c>
      <c r="R334" s="114"/>
    </row>
    <row r="335" s="34" customFormat="1" ht="18" customHeight="1" spans="1:18">
      <c r="A335" s="61">
        <f>IF(F335&lt;&gt;"",1+MAX($A$2:A334),"")</f>
        <v>298</v>
      </c>
      <c r="B335" s="214"/>
      <c r="C335" s="74"/>
      <c r="D335" s="138" t="s">
        <v>558</v>
      </c>
      <c r="E335" s="76">
        <v>500</v>
      </c>
      <c r="F335" s="65">
        <v>0.05</v>
      </c>
      <c r="G335" s="66">
        <f t="shared" si="61"/>
        <v>525</v>
      </c>
      <c r="H335" s="70" t="s">
        <v>37</v>
      </c>
      <c r="I335" s="97">
        <v>0</v>
      </c>
      <c r="J335" s="98">
        <f t="shared" si="62"/>
        <v>0</v>
      </c>
      <c r="K335" s="99">
        <v>50</v>
      </c>
      <c r="L335" s="100">
        <f t="shared" si="63"/>
        <v>0</v>
      </c>
      <c r="M335" s="100">
        <f t="shared" si="64"/>
        <v>0</v>
      </c>
      <c r="N335" s="100">
        <v>0</v>
      </c>
      <c r="O335" s="100">
        <f t="shared" si="65"/>
        <v>0</v>
      </c>
      <c r="P335" s="100">
        <f t="shared" si="66"/>
        <v>0</v>
      </c>
      <c r="Q335" s="124">
        <f t="shared" si="67"/>
        <v>0</v>
      </c>
      <c r="R335" s="114"/>
    </row>
    <row r="336" s="34" customFormat="1" ht="18" customHeight="1" spans="1:18">
      <c r="A336" s="61">
        <f>IF(F336&lt;&gt;"",1+MAX($A$2:A335),"")</f>
        <v>299</v>
      </c>
      <c r="B336" s="214"/>
      <c r="C336" s="74"/>
      <c r="D336" s="138" t="s">
        <v>558</v>
      </c>
      <c r="E336" s="76">
        <v>1900</v>
      </c>
      <c r="F336" s="65">
        <v>0.05</v>
      </c>
      <c r="G336" s="66">
        <f t="shared" si="61"/>
        <v>1995</v>
      </c>
      <c r="H336" s="70" t="s">
        <v>37</v>
      </c>
      <c r="I336" s="97">
        <v>0</v>
      </c>
      <c r="J336" s="98">
        <f t="shared" si="62"/>
        <v>0</v>
      </c>
      <c r="K336" s="99">
        <v>50</v>
      </c>
      <c r="L336" s="100">
        <f t="shared" si="63"/>
        <v>0</v>
      </c>
      <c r="M336" s="100">
        <f t="shared" si="64"/>
        <v>0</v>
      </c>
      <c r="N336" s="100">
        <v>0</v>
      </c>
      <c r="O336" s="100">
        <f t="shared" si="65"/>
        <v>0</v>
      </c>
      <c r="P336" s="100">
        <f t="shared" si="66"/>
        <v>0</v>
      </c>
      <c r="Q336" s="124">
        <f t="shared" si="67"/>
        <v>0</v>
      </c>
      <c r="R336" s="114"/>
    </row>
    <row r="337" s="34" customFormat="1" ht="18" customHeight="1" spans="1:18">
      <c r="A337" s="61">
        <f>IF(F337&lt;&gt;"",1+MAX($A$2:A336),"")</f>
        <v>300</v>
      </c>
      <c r="B337" s="214"/>
      <c r="C337" s="74"/>
      <c r="D337" s="138" t="s">
        <v>558</v>
      </c>
      <c r="E337" s="76">
        <v>475</v>
      </c>
      <c r="F337" s="65">
        <v>0.05</v>
      </c>
      <c r="G337" s="66">
        <f t="shared" si="61"/>
        <v>498.75</v>
      </c>
      <c r="H337" s="70" t="s">
        <v>37</v>
      </c>
      <c r="I337" s="97">
        <v>0</v>
      </c>
      <c r="J337" s="98">
        <f t="shared" si="62"/>
        <v>0</v>
      </c>
      <c r="K337" s="99">
        <v>50</v>
      </c>
      <c r="L337" s="100">
        <f t="shared" si="63"/>
        <v>0</v>
      </c>
      <c r="M337" s="100">
        <f t="shared" si="64"/>
        <v>0</v>
      </c>
      <c r="N337" s="100">
        <v>0</v>
      </c>
      <c r="O337" s="100">
        <f t="shared" si="65"/>
        <v>0</v>
      </c>
      <c r="P337" s="100">
        <f t="shared" si="66"/>
        <v>0</v>
      </c>
      <c r="Q337" s="124">
        <f t="shared" si="67"/>
        <v>0</v>
      </c>
      <c r="R337" s="114"/>
    </row>
    <row r="338" s="34" customFormat="1" ht="18" customHeight="1" spans="1:18">
      <c r="A338" s="61">
        <f>IF(F338&lt;&gt;"",1+MAX($A$2:A337),"")</f>
        <v>301</v>
      </c>
      <c r="B338" s="214"/>
      <c r="C338" s="74"/>
      <c r="D338" s="138" t="s">
        <v>559</v>
      </c>
      <c r="E338" s="76">
        <v>1210</v>
      </c>
      <c r="F338" s="65">
        <v>0.05</v>
      </c>
      <c r="G338" s="66">
        <f t="shared" si="61"/>
        <v>1270.5</v>
      </c>
      <c r="H338" s="70" t="s">
        <v>37</v>
      </c>
      <c r="I338" s="97">
        <v>0</v>
      </c>
      <c r="J338" s="98">
        <f t="shared" si="62"/>
        <v>0</v>
      </c>
      <c r="K338" s="99">
        <v>50</v>
      </c>
      <c r="L338" s="100">
        <f t="shared" si="63"/>
        <v>0</v>
      </c>
      <c r="M338" s="100">
        <f t="shared" si="64"/>
        <v>0</v>
      </c>
      <c r="N338" s="100">
        <v>0</v>
      </c>
      <c r="O338" s="100">
        <f t="shared" si="65"/>
        <v>0</v>
      </c>
      <c r="P338" s="100">
        <f t="shared" si="66"/>
        <v>0</v>
      </c>
      <c r="Q338" s="124">
        <f t="shared" si="67"/>
        <v>0</v>
      </c>
      <c r="R338" s="114"/>
    </row>
    <row r="339" s="34" customFormat="1" ht="18" customHeight="1" spans="1:18">
      <c r="A339" s="61">
        <f>IF(F339&lt;&gt;"",1+MAX($A$2:A338),"")</f>
        <v>302</v>
      </c>
      <c r="B339" s="214"/>
      <c r="C339" s="74"/>
      <c r="D339" s="138" t="s">
        <v>558</v>
      </c>
      <c r="E339" s="76">
        <v>1200</v>
      </c>
      <c r="F339" s="65">
        <v>0.05</v>
      </c>
      <c r="G339" s="66">
        <f t="shared" si="61"/>
        <v>1260</v>
      </c>
      <c r="H339" s="70" t="s">
        <v>37</v>
      </c>
      <c r="I339" s="97">
        <v>0</v>
      </c>
      <c r="J339" s="98">
        <f t="shared" si="62"/>
        <v>0</v>
      </c>
      <c r="K339" s="99">
        <v>50</v>
      </c>
      <c r="L339" s="100">
        <f t="shared" si="63"/>
        <v>0</v>
      </c>
      <c r="M339" s="100">
        <f t="shared" si="64"/>
        <v>0</v>
      </c>
      <c r="N339" s="100">
        <v>0</v>
      </c>
      <c r="O339" s="100">
        <f t="shared" si="65"/>
        <v>0</v>
      </c>
      <c r="P339" s="100">
        <f t="shared" si="66"/>
        <v>0</v>
      </c>
      <c r="Q339" s="124">
        <f t="shared" si="67"/>
        <v>0</v>
      </c>
      <c r="R339" s="114"/>
    </row>
    <row r="340" s="34" customFormat="1" ht="18" customHeight="1" spans="1:18">
      <c r="A340" s="61">
        <f>IF(F340&lt;&gt;"",1+MAX($A$2:A339),"")</f>
        <v>303</v>
      </c>
      <c r="B340" s="214"/>
      <c r="C340" s="74"/>
      <c r="D340" s="138" t="s">
        <v>560</v>
      </c>
      <c r="E340" s="76">
        <v>75</v>
      </c>
      <c r="F340" s="65">
        <v>0.05</v>
      </c>
      <c r="G340" s="66">
        <f t="shared" si="61"/>
        <v>78.75</v>
      </c>
      <c r="H340" s="70" t="s">
        <v>37</v>
      </c>
      <c r="I340" s="97">
        <v>0</v>
      </c>
      <c r="J340" s="98">
        <f t="shared" si="62"/>
        <v>0</v>
      </c>
      <c r="K340" s="99">
        <v>50</v>
      </c>
      <c r="L340" s="100">
        <f t="shared" si="63"/>
        <v>0</v>
      </c>
      <c r="M340" s="100">
        <f t="shared" si="64"/>
        <v>0</v>
      </c>
      <c r="N340" s="100">
        <v>0</v>
      </c>
      <c r="O340" s="100">
        <f t="shared" si="65"/>
        <v>0</v>
      </c>
      <c r="P340" s="100">
        <f t="shared" si="66"/>
        <v>0</v>
      </c>
      <c r="Q340" s="124">
        <f t="shared" si="67"/>
        <v>0</v>
      </c>
      <c r="R340" s="114"/>
    </row>
    <row r="341" s="34" customFormat="1" ht="18" customHeight="1" spans="1:18">
      <c r="A341" s="61">
        <f>IF(F341&lt;&gt;"",1+MAX($A$2:A340),"")</f>
        <v>304</v>
      </c>
      <c r="B341" s="214"/>
      <c r="C341" s="74"/>
      <c r="D341" s="138" t="s">
        <v>561</v>
      </c>
      <c r="E341" s="76">
        <v>200</v>
      </c>
      <c r="F341" s="65">
        <v>0.05</v>
      </c>
      <c r="G341" s="66">
        <f t="shared" si="61"/>
        <v>210</v>
      </c>
      <c r="H341" s="70" t="s">
        <v>37</v>
      </c>
      <c r="I341" s="97">
        <v>0</v>
      </c>
      <c r="J341" s="98">
        <f t="shared" si="62"/>
        <v>0</v>
      </c>
      <c r="K341" s="99">
        <v>50</v>
      </c>
      <c r="L341" s="100">
        <f t="shared" si="63"/>
        <v>0</v>
      </c>
      <c r="M341" s="100">
        <f t="shared" si="64"/>
        <v>0</v>
      </c>
      <c r="N341" s="100">
        <v>0</v>
      </c>
      <c r="O341" s="100">
        <f t="shared" si="65"/>
        <v>0</v>
      </c>
      <c r="P341" s="100">
        <f t="shared" si="66"/>
        <v>0</v>
      </c>
      <c r="Q341" s="124">
        <f t="shared" si="67"/>
        <v>0</v>
      </c>
      <c r="R341" s="114"/>
    </row>
    <row r="342" s="34" customFormat="1" ht="18" customHeight="1" spans="1:18">
      <c r="A342" s="61">
        <f>IF(F342&lt;&gt;"",1+MAX($A$2:A341),"")</f>
        <v>305</v>
      </c>
      <c r="B342" s="214"/>
      <c r="C342" s="74"/>
      <c r="D342" s="138" t="s">
        <v>561</v>
      </c>
      <c r="E342" s="76">
        <v>170</v>
      </c>
      <c r="F342" s="65">
        <v>0.05</v>
      </c>
      <c r="G342" s="66">
        <f t="shared" si="61"/>
        <v>178.5</v>
      </c>
      <c r="H342" s="70" t="s">
        <v>37</v>
      </c>
      <c r="I342" s="97">
        <v>0</v>
      </c>
      <c r="J342" s="98">
        <f t="shared" si="62"/>
        <v>0</v>
      </c>
      <c r="K342" s="99">
        <v>50</v>
      </c>
      <c r="L342" s="100">
        <f t="shared" si="63"/>
        <v>0</v>
      </c>
      <c r="M342" s="100">
        <f t="shared" si="64"/>
        <v>0</v>
      </c>
      <c r="N342" s="100">
        <v>0</v>
      </c>
      <c r="O342" s="100">
        <f t="shared" si="65"/>
        <v>0</v>
      </c>
      <c r="P342" s="100">
        <f t="shared" si="66"/>
        <v>0</v>
      </c>
      <c r="Q342" s="124">
        <f t="shared" si="67"/>
        <v>0</v>
      </c>
      <c r="R342" s="114"/>
    </row>
    <row r="343" s="34" customFormat="1" ht="18" customHeight="1" spans="1:18">
      <c r="A343" s="61">
        <f>IF(F343&lt;&gt;"",1+MAX($A$2:A342),"")</f>
        <v>306</v>
      </c>
      <c r="B343" s="214"/>
      <c r="C343" s="74"/>
      <c r="D343" s="138" t="s">
        <v>561</v>
      </c>
      <c r="E343" s="76">
        <v>170</v>
      </c>
      <c r="F343" s="65">
        <v>0.05</v>
      </c>
      <c r="G343" s="66">
        <f t="shared" si="61"/>
        <v>178.5</v>
      </c>
      <c r="H343" s="70" t="s">
        <v>37</v>
      </c>
      <c r="I343" s="97">
        <v>0</v>
      </c>
      <c r="J343" s="98">
        <f t="shared" si="62"/>
        <v>0</v>
      </c>
      <c r="K343" s="99">
        <v>50</v>
      </c>
      <c r="L343" s="100">
        <f t="shared" si="63"/>
        <v>0</v>
      </c>
      <c r="M343" s="100">
        <f t="shared" si="64"/>
        <v>0</v>
      </c>
      <c r="N343" s="100">
        <v>0</v>
      </c>
      <c r="O343" s="100">
        <f t="shared" si="65"/>
        <v>0</v>
      </c>
      <c r="P343" s="100">
        <f t="shared" si="66"/>
        <v>0</v>
      </c>
      <c r="Q343" s="124">
        <f t="shared" si="67"/>
        <v>0</v>
      </c>
      <c r="R343" s="114"/>
    </row>
    <row r="344" s="34" customFormat="1" ht="18" customHeight="1" spans="1:18">
      <c r="A344" s="61">
        <f>IF(F344&lt;&gt;"",1+MAX($A$2:A343),"")</f>
        <v>307</v>
      </c>
      <c r="B344" s="214"/>
      <c r="C344" s="74"/>
      <c r="D344" s="138" t="s">
        <v>561</v>
      </c>
      <c r="E344" s="76">
        <v>180</v>
      </c>
      <c r="F344" s="65">
        <v>0.05</v>
      </c>
      <c r="G344" s="66">
        <f t="shared" si="61"/>
        <v>189</v>
      </c>
      <c r="H344" s="70" t="s">
        <v>37</v>
      </c>
      <c r="I344" s="97">
        <v>0</v>
      </c>
      <c r="J344" s="98">
        <f t="shared" si="62"/>
        <v>0</v>
      </c>
      <c r="K344" s="99">
        <v>50</v>
      </c>
      <c r="L344" s="100">
        <f t="shared" si="63"/>
        <v>0</v>
      </c>
      <c r="M344" s="100">
        <f t="shared" si="64"/>
        <v>0</v>
      </c>
      <c r="N344" s="100">
        <v>0</v>
      </c>
      <c r="O344" s="100">
        <f t="shared" si="65"/>
        <v>0</v>
      </c>
      <c r="P344" s="100">
        <f t="shared" si="66"/>
        <v>0</v>
      </c>
      <c r="Q344" s="124">
        <f t="shared" si="67"/>
        <v>0</v>
      </c>
      <c r="R344" s="114"/>
    </row>
    <row r="345" s="34" customFormat="1" ht="18" customHeight="1" spans="1:18">
      <c r="A345" s="61">
        <f>IF(F345&lt;&gt;"",1+MAX($A$2:A344),"")</f>
        <v>308</v>
      </c>
      <c r="B345" s="214"/>
      <c r="C345" s="74"/>
      <c r="D345" s="138" t="s">
        <v>562</v>
      </c>
      <c r="E345" s="76">
        <v>100</v>
      </c>
      <c r="F345" s="65">
        <v>0.05</v>
      </c>
      <c r="G345" s="66">
        <f t="shared" si="61"/>
        <v>105</v>
      </c>
      <c r="H345" s="70" t="s">
        <v>37</v>
      </c>
      <c r="I345" s="97">
        <v>0</v>
      </c>
      <c r="J345" s="98">
        <f t="shared" si="62"/>
        <v>0</v>
      </c>
      <c r="K345" s="99">
        <v>50</v>
      </c>
      <c r="L345" s="100">
        <f t="shared" si="63"/>
        <v>0</v>
      </c>
      <c r="M345" s="100">
        <f t="shared" si="64"/>
        <v>0</v>
      </c>
      <c r="N345" s="100">
        <v>0</v>
      </c>
      <c r="O345" s="100">
        <f t="shared" si="65"/>
        <v>0</v>
      </c>
      <c r="P345" s="100">
        <f t="shared" si="66"/>
        <v>0</v>
      </c>
      <c r="Q345" s="124">
        <f t="shared" si="67"/>
        <v>0</v>
      </c>
      <c r="R345" s="114"/>
    </row>
    <row r="346" s="34" customFormat="1" ht="18" customHeight="1" spans="1:18">
      <c r="A346" s="61">
        <f>IF(F346&lt;&gt;"",1+MAX($A$2:A345),"")</f>
        <v>309</v>
      </c>
      <c r="B346" s="214"/>
      <c r="C346" s="74"/>
      <c r="D346" s="138" t="s">
        <v>562</v>
      </c>
      <c r="E346" s="76">
        <v>185</v>
      </c>
      <c r="F346" s="65">
        <v>0.05</v>
      </c>
      <c r="G346" s="66">
        <f t="shared" si="61"/>
        <v>194.25</v>
      </c>
      <c r="H346" s="70" t="s">
        <v>37</v>
      </c>
      <c r="I346" s="97">
        <v>0</v>
      </c>
      <c r="J346" s="98">
        <f t="shared" si="62"/>
        <v>0</v>
      </c>
      <c r="K346" s="99">
        <v>50</v>
      </c>
      <c r="L346" s="100">
        <f t="shared" si="63"/>
        <v>0</v>
      </c>
      <c r="M346" s="100">
        <f t="shared" si="64"/>
        <v>0</v>
      </c>
      <c r="N346" s="100">
        <v>0</v>
      </c>
      <c r="O346" s="100">
        <f t="shared" si="65"/>
        <v>0</v>
      </c>
      <c r="P346" s="100">
        <f t="shared" si="66"/>
        <v>0</v>
      </c>
      <c r="Q346" s="124">
        <f t="shared" si="67"/>
        <v>0</v>
      </c>
      <c r="R346" s="114"/>
    </row>
    <row r="347" s="34" customFormat="1" ht="18" customHeight="1" spans="1:18">
      <c r="A347" s="61">
        <f>IF(F347&lt;&gt;"",1+MAX($A$2:A346),"")</f>
        <v>310</v>
      </c>
      <c r="B347" s="214"/>
      <c r="C347" s="74"/>
      <c r="D347" s="138" t="s">
        <v>563</v>
      </c>
      <c r="E347" s="76">
        <v>240</v>
      </c>
      <c r="F347" s="65">
        <v>0.05</v>
      </c>
      <c r="G347" s="66">
        <f t="shared" si="61"/>
        <v>252</v>
      </c>
      <c r="H347" s="70" t="s">
        <v>37</v>
      </c>
      <c r="I347" s="97">
        <v>0</v>
      </c>
      <c r="J347" s="98">
        <f t="shared" si="62"/>
        <v>0</v>
      </c>
      <c r="K347" s="99">
        <v>50</v>
      </c>
      <c r="L347" s="100">
        <f t="shared" si="63"/>
        <v>0</v>
      </c>
      <c r="M347" s="100">
        <f t="shared" si="64"/>
        <v>0</v>
      </c>
      <c r="N347" s="100">
        <v>0</v>
      </c>
      <c r="O347" s="100">
        <f t="shared" si="65"/>
        <v>0</v>
      </c>
      <c r="P347" s="100">
        <f t="shared" si="66"/>
        <v>0</v>
      </c>
      <c r="Q347" s="124">
        <f t="shared" si="67"/>
        <v>0</v>
      </c>
      <c r="R347" s="114"/>
    </row>
    <row r="348" s="34" customFormat="1" ht="18" customHeight="1" spans="1:18">
      <c r="A348" s="61">
        <f>IF(F348&lt;&gt;"",1+MAX($A$2:A347),"")</f>
        <v>311</v>
      </c>
      <c r="B348" s="214"/>
      <c r="C348" s="74"/>
      <c r="D348" s="138" t="s">
        <v>563</v>
      </c>
      <c r="E348" s="76">
        <v>240</v>
      </c>
      <c r="F348" s="65">
        <v>0.05</v>
      </c>
      <c r="G348" s="66">
        <f t="shared" si="61"/>
        <v>252</v>
      </c>
      <c r="H348" s="70" t="s">
        <v>37</v>
      </c>
      <c r="I348" s="97">
        <v>0</v>
      </c>
      <c r="J348" s="98">
        <f t="shared" si="62"/>
        <v>0</v>
      </c>
      <c r="K348" s="99">
        <v>50</v>
      </c>
      <c r="L348" s="100">
        <f t="shared" si="63"/>
        <v>0</v>
      </c>
      <c r="M348" s="100">
        <f t="shared" si="64"/>
        <v>0</v>
      </c>
      <c r="N348" s="100">
        <v>0</v>
      </c>
      <c r="O348" s="100">
        <f t="shared" si="65"/>
        <v>0</v>
      </c>
      <c r="P348" s="100">
        <f t="shared" si="66"/>
        <v>0</v>
      </c>
      <c r="Q348" s="124">
        <f t="shared" si="67"/>
        <v>0</v>
      </c>
      <c r="R348" s="114"/>
    </row>
    <row r="349" s="34" customFormat="1" ht="18" customHeight="1" spans="1:18">
      <c r="A349" s="61">
        <f>IF(F349&lt;&gt;"",1+MAX($A$2:A348),"")</f>
        <v>312</v>
      </c>
      <c r="B349" s="214"/>
      <c r="C349" s="74"/>
      <c r="D349" s="138" t="s">
        <v>563</v>
      </c>
      <c r="E349" s="76">
        <v>240</v>
      </c>
      <c r="F349" s="65">
        <v>0.05</v>
      </c>
      <c r="G349" s="66">
        <f t="shared" si="61"/>
        <v>252</v>
      </c>
      <c r="H349" s="70" t="s">
        <v>37</v>
      </c>
      <c r="I349" s="97">
        <v>0</v>
      </c>
      <c r="J349" s="98">
        <f t="shared" si="62"/>
        <v>0</v>
      </c>
      <c r="K349" s="99">
        <v>50</v>
      </c>
      <c r="L349" s="100">
        <f t="shared" si="63"/>
        <v>0</v>
      </c>
      <c r="M349" s="100">
        <f t="shared" si="64"/>
        <v>0</v>
      </c>
      <c r="N349" s="100">
        <v>0</v>
      </c>
      <c r="O349" s="100">
        <f t="shared" si="65"/>
        <v>0</v>
      </c>
      <c r="P349" s="100">
        <f t="shared" si="66"/>
        <v>0</v>
      </c>
      <c r="Q349" s="124">
        <f t="shared" si="67"/>
        <v>0</v>
      </c>
      <c r="R349" s="114"/>
    </row>
    <row r="350" s="34" customFormat="1" ht="18" customHeight="1" spans="1:18">
      <c r="A350" s="61">
        <f>IF(F350&lt;&gt;"",1+MAX($A$2:A349),"")</f>
        <v>313</v>
      </c>
      <c r="B350" s="214"/>
      <c r="C350" s="74"/>
      <c r="D350" s="138" t="s">
        <v>563</v>
      </c>
      <c r="E350" s="76">
        <v>240</v>
      </c>
      <c r="F350" s="65">
        <v>0.05</v>
      </c>
      <c r="G350" s="66">
        <f t="shared" si="61"/>
        <v>252</v>
      </c>
      <c r="H350" s="70" t="s">
        <v>37</v>
      </c>
      <c r="I350" s="97">
        <v>0</v>
      </c>
      <c r="J350" s="98">
        <f t="shared" si="62"/>
        <v>0</v>
      </c>
      <c r="K350" s="99">
        <v>50</v>
      </c>
      <c r="L350" s="100">
        <f t="shared" si="63"/>
        <v>0</v>
      </c>
      <c r="M350" s="100">
        <f t="shared" si="64"/>
        <v>0</v>
      </c>
      <c r="N350" s="100">
        <v>0</v>
      </c>
      <c r="O350" s="100">
        <f t="shared" si="65"/>
        <v>0</v>
      </c>
      <c r="P350" s="100">
        <f t="shared" si="66"/>
        <v>0</v>
      </c>
      <c r="Q350" s="124">
        <f t="shared" si="67"/>
        <v>0</v>
      </c>
      <c r="R350" s="114"/>
    </row>
    <row r="351" s="34" customFormat="1" ht="18" customHeight="1" spans="1:18">
      <c r="A351" s="61">
        <f>IF(F351&lt;&gt;"",1+MAX($A$2:A350),"")</f>
        <v>314</v>
      </c>
      <c r="B351" s="214"/>
      <c r="C351" s="74"/>
      <c r="D351" s="138" t="s">
        <v>564</v>
      </c>
      <c r="E351" s="76">
        <v>240</v>
      </c>
      <c r="F351" s="65">
        <v>0.05</v>
      </c>
      <c r="G351" s="66">
        <f t="shared" si="61"/>
        <v>252</v>
      </c>
      <c r="H351" s="70" t="s">
        <v>37</v>
      </c>
      <c r="I351" s="97">
        <v>0</v>
      </c>
      <c r="J351" s="98">
        <f t="shared" si="62"/>
        <v>0</v>
      </c>
      <c r="K351" s="99">
        <v>50</v>
      </c>
      <c r="L351" s="100">
        <f t="shared" si="63"/>
        <v>0</v>
      </c>
      <c r="M351" s="100">
        <f t="shared" si="64"/>
        <v>0</v>
      </c>
      <c r="N351" s="100">
        <v>0</v>
      </c>
      <c r="O351" s="100">
        <f t="shared" si="65"/>
        <v>0</v>
      </c>
      <c r="P351" s="100">
        <f t="shared" si="66"/>
        <v>0</v>
      </c>
      <c r="Q351" s="124">
        <f t="shared" si="67"/>
        <v>0</v>
      </c>
      <c r="R351" s="114"/>
    </row>
    <row r="352" s="34" customFormat="1" ht="18" customHeight="1" spans="1:18">
      <c r="A352" s="61">
        <f>IF(F352&lt;&gt;"",1+MAX($A$2:A351),"")</f>
        <v>315</v>
      </c>
      <c r="B352" s="214"/>
      <c r="C352" s="74"/>
      <c r="D352" s="138" t="s">
        <v>564</v>
      </c>
      <c r="E352" s="76">
        <v>240</v>
      </c>
      <c r="F352" s="65">
        <v>0.05</v>
      </c>
      <c r="G352" s="66">
        <f t="shared" si="61"/>
        <v>252</v>
      </c>
      <c r="H352" s="70" t="s">
        <v>37</v>
      </c>
      <c r="I352" s="97">
        <v>0</v>
      </c>
      <c r="J352" s="98">
        <f t="shared" si="62"/>
        <v>0</v>
      </c>
      <c r="K352" s="99">
        <v>50</v>
      </c>
      <c r="L352" s="100">
        <f t="shared" si="63"/>
        <v>0</v>
      </c>
      <c r="M352" s="100">
        <f t="shared" si="64"/>
        <v>0</v>
      </c>
      <c r="N352" s="100">
        <v>0</v>
      </c>
      <c r="O352" s="100">
        <f t="shared" si="65"/>
        <v>0</v>
      </c>
      <c r="P352" s="100">
        <f t="shared" si="66"/>
        <v>0</v>
      </c>
      <c r="Q352" s="124">
        <f t="shared" si="67"/>
        <v>0</v>
      </c>
      <c r="R352" s="114"/>
    </row>
    <row r="353" s="34" customFormat="1" ht="18" customHeight="1" spans="1:18">
      <c r="A353" s="61">
        <f>IF(F353&lt;&gt;"",1+MAX($A$2:A352),"")</f>
        <v>316</v>
      </c>
      <c r="B353" s="214"/>
      <c r="C353" s="74"/>
      <c r="D353" s="138" t="s">
        <v>564</v>
      </c>
      <c r="E353" s="76">
        <v>240</v>
      </c>
      <c r="F353" s="65">
        <v>0.05</v>
      </c>
      <c r="G353" s="66">
        <f t="shared" si="61"/>
        <v>252</v>
      </c>
      <c r="H353" s="70" t="s">
        <v>37</v>
      </c>
      <c r="I353" s="97">
        <v>0</v>
      </c>
      <c r="J353" s="98">
        <f t="shared" si="62"/>
        <v>0</v>
      </c>
      <c r="K353" s="99">
        <v>50</v>
      </c>
      <c r="L353" s="100">
        <f t="shared" si="63"/>
        <v>0</v>
      </c>
      <c r="M353" s="100">
        <f t="shared" si="64"/>
        <v>0</v>
      </c>
      <c r="N353" s="100">
        <v>0</v>
      </c>
      <c r="O353" s="100">
        <f t="shared" si="65"/>
        <v>0</v>
      </c>
      <c r="P353" s="100">
        <f t="shared" si="66"/>
        <v>0</v>
      </c>
      <c r="Q353" s="124">
        <f t="shared" si="67"/>
        <v>0</v>
      </c>
      <c r="R353" s="114"/>
    </row>
    <row r="354" s="34" customFormat="1" ht="18" customHeight="1" spans="1:18">
      <c r="A354" s="61">
        <f>IF(F354&lt;&gt;"",1+MAX($A$2:A353),"")</f>
        <v>317</v>
      </c>
      <c r="B354" s="214"/>
      <c r="C354" s="74"/>
      <c r="D354" s="138" t="s">
        <v>565</v>
      </c>
      <c r="E354" s="76">
        <v>200</v>
      </c>
      <c r="F354" s="65">
        <v>0.05</v>
      </c>
      <c r="G354" s="66">
        <f t="shared" si="61"/>
        <v>210</v>
      </c>
      <c r="H354" s="70" t="s">
        <v>37</v>
      </c>
      <c r="I354" s="97">
        <v>0</v>
      </c>
      <c r="J354" s="98">
        <f t="shared" si="62"/>
        <v>0</v>
      </c>
      <c r="K354" s="99">
        <v>50</v>
      </c>
      <c r="L354" s="100">
        <f t="shared" si="63"/>
        <v>0</v>
      </c>
      <c r="M354" s="100">
        <f t="shared" si="64"/>
        <v>0</v>
      </c>
      <c r="N354" s="100">
        <v>0</v>
      </c>
      <c r="O354" s="100">
        <f t="shared" si="65"/>
        <v>0</v>
      </c>
      <c r="P354" s="100">
        <f t="shared" si="66"/>
        <v>0</v>
      </c>
      <c r="Q354" s="124">
        <f t="shared" si="67"/>
        <v>0</v>
      </c>
      <c r="R354" s="114"/>
    </row>
    <row r="355" s="34" customFormat="1" ht="18" customHeight="1" spans="1:18">
      <c r="A355" s="61">
        <f>IF(F355&lt;&gt;"",1+MAX($A$2:A354),"")</f>
        <v>318</v>
      </c>
      <c r="B355" s="214"/>
      <c r="C355" s="74"/>
      <c r="D355" s="138" t="s">
        <v>565</v>
      </c>
      <c r="E355" s="76">
        <v>180</v>
      </c>
      <c r="F355" s="65">
        <v>0.05</v>
      </c>
      <c r="G355" s="66">
        <f t="shared" si="61"/>
        <v>189</v>
      </c>
      <c r="H355" s="70" t="s">
        <v>37</v>
      </c>
      <c r="I355" s="97">
        <v>0</v>
      </c>
      <c r="J355" s="98">
        <f t="shared" si="62"/>
        <v>0</v>
      </c>
      <c r="K355" s="99">
        <v>50</v>
      </c>
      <c r="L355" s="100">
        <f t="shared" si="63"/>
        <v>0</v>
      </c>
      <c r="M355" s="100">
        <f t="shared" si="64"/>
        <v>0</v>
      </c>
      <c r="N355" s="100">
        <v>0</v>
      </c>
      <c r="O355" s="100">
        <f t="shared" si="65"/>
        <v>0</v>
      </c>
      <c r="P355" s="100">
        <f t="shared" si="66"/>
        <v>0</v>
      </c>
      <c r="Q355" s="124">
        <f t="shared" si="67"/>
        <v>0</v>
      </c>
      <c r="R355" s="114"/>
    </row>
    <row r="356" s="34" customFormat="1" ht="18" customHeight="1" spans="1:18">
      <c r="A356" s="61">
        <f>IF(F356&lt;&gt;"",1+MAX($A$2:A355),"")</f>
        <v>319</v>
      </c>
      <c r="B356" s="214"/>
      <c r="C356" s="74"/>
      <c r="D356" s="138" t="s">
        <v>564</v>
      </c>
      <c r="E356" s="76">
        <v>700</v>
      </c>
      <c r="F356" s="65">
        <v>0.05</v>
      </c>
      <c r="G356" s="66">
        <f t="shared" si="61"/>
        <v>735</v>
      </c>
      <c r="H356" s="70" t="s">
        <v>37</v>
      </c>
      <c r="I356" s="97">
        <v>0</v>
      </c>
      <c r="J356" s="98">
        <f t="shared" si="62"/>
        <v>0</v>
      </c>
      <c r="K356" s="99">
        <v>50</v>
      </c>
      <c r="L356" s="100">
        <f t="shared" si="63"/>
        <v>0</v>
      </c>
      <c r="M356" s="100">
        <f t="shared" si="64"/>
        <v>0</v>
      </c>
      <c r="N356" s="100">
        <v>0</v>
      </c>
      <c r="O356" s="100">
        <f t="shared" si="65"/>
        <v>0</v>
      </c>
      <c r="P356" s="100">
        <f t="shared" si="66"/>
        <v>0</v>
      </c>
      <c r="Q356" s="124">
        <f t="shared" si="67"/>
        <v>0</v>
      </c>
      <c r="R356" s="114"/>
    </row>
    <row r="357" s="34" customFormat="1" ht="18" customHeight="1" spans="1:18">
      <c r="A357" s="61">
        <f>IF(F357&lt;&gt;"",1+MAX($A$2:A356),"")</f>
        <v>320</v>
      </c>
      <c r="B357" s="214"/>
      <c r="C357" s="74"/>
      <c r="D357" s="138" t="s">
        <v>566</v>
      </c>
      <c r="E357" s="76">
        <v>400</v>
      </c>
      <c r="F357" s="65">
        <v>0.05</v>
      </c>
      <c r="G357" s="66">
        <f t="shared" si="61"/>
        <v>420</v>
      </c>
      <c r="H357" s="70" t="s">
        <v>37</v>
      </c>
      <c r="I357" s="97">
        <v>0</v>
      </c>
      <c r="J357" s="98">
        <f t="shared" si="62"/>
        <v>0</v>
      </c>
      <c r="K357" s="99">
        <v>50</v>
      </c>
      <c r="L357" s="100">
        <f t="shared" si="63"/>
        <v>0</v>
      </c>
      <c r="M357" s="100">
        <f t="shared" si="64"/>
        <v>0</v>
      </c>
      <c r="N357" s="100">
        <v>0</v>
      </c>
      <c r="O357" s="100">
        <f t="shared" si="65"/>
        <v>0</v>
      </c>
      <c r="P357" s="100">
        <f t="shared" si="66"/>
        <v>0</v>
      </c>
      <c r="Q357" s="124">
        <f t="shared" si="67"/>
        <v>0</v>
      </c>
      <c r="R357" s="114"/>
    </row>
    <row r="358" s="34" customFormat="1" ht="18" customHeight="1" spans="1:18">
      <c r="A358" s="61">
        <f>IF(F358&lt;&gt;"",1+MAX($A$2:A357),"")</f>
        <v>321</v>
      </c>
      <c r="B358" s="214"/>
      <c r="C358" s="74"/>
      <c r="D358" s="138" t="s">
        <v>566</v>
      </c>
      <c r="E358" s="76">
        <v>400</v>
      </c>
      <c r="F358" s="65">
        <v>0.05</v>
      </c>
      <c r="G358" s="66">
        <f t="shared" si="61"/>
        <v>420</v>
      </c>
      <c r="H358" s="70" t="s">
        <v>37</v>
      </c>
      <c r="I358" s="97">
        <v>0</v>
      </c>
      <c r="J358" s="98">
        <f t="shared" si="62"/>
        <v>0</v>
      </c>
      <c r="K358" s="99">
        <v>50</v>
      </c>
      <c r="L358" s="100">
        <f t="shared" si="63"/>
        <v>0</v>
      </c>
      <c r="M358" s="100">
        <f t="shared" si="64"/>
        <v>0</v>
      </c>
      <c r="N358" s="100">
        <v>0</v>
      </c>
      <c r="O358" s="100">
        <f t="shared" si="65"/>
        <v>0</v>
      </c>
      <c r="P358" s="100">
        <f t="shared" si="66"/>
        <v>0</v>
      </c>
      <c r="Q358" s="124">
        <f t="shared" si="67"/>
        <v>0</v>
      </c>
      <c r="R358" s="114"/>
    </row>
    <row r="359" s="34" customFormat="1" ht="18" customHeight="1" spans="1:18">
      <c r="A359" s="61">
        <f>IF(F359&lt;&gt;"",1+MAX($A$2:A358),"")</f>
        <v>322</v>
      </c>
      <c r="B359" s="214"/>
      <c r="C359" s="74"/>
      <c r="D359" s="138" t="s">
        <v>563</v>
      </c>
      <c r="E359" s="76">
        <v>250</v>
      </c>
      <c r="F359" s="65">
        <v>0.05</v>
      </c>
      <c r="G359" s="66">
        <f t="shared" si="61"/>
        <v>262.5</v>
      </c>
      <c r="H359" s="70" t="s">
        <v>37</v>
      </c>
      <c r="I359" s="97">
        <v>0</v>
      </c>
      <c r="J359" s="98">
        <f t="shared" si="62"/>
        <v>0</v>
      </c>
      <c r="K359" s="99">
        <v>50</v>
      </c>
      <c r="L359" s="100">
        <f t="shared" si="63"/>
        <v>0</v>
      </c>
      <c r="M359" s="100">
        <f t="shared" si="64"/>
        <v>0</v>
      </c>
      <c r="N359" s="100">
        <v>0</v>
      </c>
      <c r="O359" s="100">
        <f t="shared" si="65"/>
        <v>0</v>
      </c>
      <c r="P359" s="100">
        <f t="shared" si="66"/>
        <v>0</v>
      </c>
      <c r="Q359" s="124">
        <f t="shared" si="67"/>
        <v>0</v>
      </c>
      <c r="R359" s="114"/>
    </row>
    <row r="360" s="34" customFormat="1" ht="18" customHeight="1" spans="1:18">
      <c r="A360" s="61">
        <f>IF(F360&lt;&gt;"",1+MAX($A$2:A359),"")</f>
        <v>323</v>
      </c>
      <c r="B360" s="214"/>
      <c r="C360" s="74"/>
      <c r="D360" s="138" t="s">
        <v>563</v>
      </c>
      <c r="E360" s="76">
        <v>250</v>
      </c>
      <c r="F360" s="65">
        <v>0.05</v>
      </c>
      <c r="G360" s="66">
        <f t="shared" si="61"/>
        <v>262.5</v>
      </c>
      <c r="H360" s="70" t="s">
        <v>37</v>
      </c>
      <c r="I360" s="97">
        <v>0</v>
      </c>
      <c r="J360" s="98">
        <f t="shared" si="62"/>
        <v>0</v>
      </c>
      <c r="K360" s="99">
        <v>50</v>
      </c>
      <c r="L360" s="100">
        <f t="shared" si="63"/>
        <v>0</v>
      </c>
      <c r="M360" s="100">
        <f t="shared" si="64"/>
        <v>0</v>
      </c>
      <c r="N360" s="100">
        <v>0</v>
      </c>
      <c r="O360" s="100">
        <f t="shared" si="65"/>
        <v>0</v>
      </c>
      <c r="P360" s="100">
        <f t="shared" si="66"/>
        <v>0</v>
      </c>
      <c r="Q360" s="124">
        <f t="shared" si="67"/>
        <v>0</v>
      </c>
      <c r="R360" s="114"/>
    </row>
    <row r="361" s="34" customFormat="1" ht="18" customHeight="1" spans="1:18">
      <c r="A361" s="61">
        <f>IF(F361&lt;&gt;"",1+MAX($A$2:A360),"")</f>
        <v>324</v>
      </c>
      <c r="B361" s="214"/>
      <c r="C361" s="74"/>
      <c r="D361" s="138" t="s">
        <v>563</v>
      </c>
      <c r="E361" s="76">
        <v>350</v>
      </c>
      <c r="F361" s="65">
        <v>0.05</v>
      </c>
      <c r="G361" s="66">
        <f t="shared" si="61"/>
        <v>367.5</v>
      </c>
      <c r="H361" s="70" t="s">
        <v>37</v>
      </c>
      <c r="I361" s="97">
        <v>0</v>
      </c>
      <c r="J361" s="98">
        <f t="shared" si="62"/>
        <v>0</v>
      </c>
      <c r="K361" s="99">
        <v>50</v>
      </c>
      <c r="L361" s="100">
        <f t="shared" si="63"/>
        <v>0</v>
      </c>
      <c r="M361" s="100">
        <f t="shared" si="64"/>
        <v>0</v>
      </c>
      <c r="N361" s="100">
        <v>0</v>
      </c>
      <c r="O361" s="100">
        <f t="shared" si="65"/>
        <v>0</v>
      </c>
      <c r="P361" s="100">
        <f t="shared" si="66"/>
        <v>0</v>
      </c>
      <c r="Q361" s="124">
        <f t="shared" si="67"/>
        <v>0</v>
      </c>
      <c r="R361" s="114"/>
    </row>
    <row r="362" s="34" customFormat="1" ht="18" customHeight="1" spans="1:18">
      <c r="A362" s="61">
        <f>IF(F362&lt;&gt;"",1+MAX($A$2:A361),"")</f>
        <v>325</v>
      </c>
      <c r="B362" s="214"/>
      <c r="C362" s="74"/>
      <c r="D362" s="138" t="s">
        <v>563</v>
      </c>
      <c r="E362" s="76">
        <v>280</v>
      </c>
      <c r="F362" s="65">
        <v>0.05</v>
      </c>
      <c r="G362" s="66">
        <f t="shared" si="61"/>
        <v>294</v>
      </c>
      <c r="H362" s="70" t="s">
        <v>37</v>
      </c>
      <c r="I362" s="97">
        <v>0</v>
      </c>
      <c r="J362" s="98">
        <f t="shared" si="62"/>
        <v>0</v>
      </c>
      <c r="K362" s="99">
        <v>50</v>
      </c>
      <c r="L362" s="100">
        <f t="shared" si="63"/>
        <v>0</v>
      </c>
      <c r="M362" s="100">
        <f t="shared" si="64"/>
        <v>0</v>
      </c>
      <c r="N362" s="100">
        <v>0</v>
      </c>
      <c r="O362" s="100">
        <f t="shared" si="65"/>
        <v>0</v>
      </c>
      <c r="P362" s="100">
        <f t="shared" si="66"/>
        <v>0</v>
      </c>
      <c r="Q362" s="124">
        <f t="shared" si="67"/>
        <v>0</v>
      </c>
      <c r="R362" s="114"/>
    </row>
    <row r="363" s="34" customFormat="1" ht="18" customHeight="1" spans="1:18">
      <c r="A363" s="61">
        <f>IF(F363&lt;&gt;"",1+MAX($A$2:A362),"")</f>
        <v>326</v>
      </c>
      <c r="B363" s="214"/>
      <c r="C363" s="74"/>
      <c r="D363" s="138" t="s">
        <v>563</v>
      </c>
      <c r="E363" s="76">
        <v>130</v>
      </c>
      <c r="F363" s="65">
        <v>0.05</v>
      </c>
      <c r="G363" s="66">
        <f t="shared" si="61"/>
        <v>136.5</v>
      </c>
      <c r="H363" s="70" t="s">
        <v>37</v>
      </c>
      <c r="I363" s="97">
        <v>0</v>
      </c>
      <c r="J363" s="98">
        <f t="shared" si="62"/>
        <v>0</v>
      </c>
      <c r="K363" s="99">
        <v>50</v>
      </c>
      <c r="L363" s="100">
        <f t="shared" si="63"/>
        <v>0</v>
      </c>
      <c r="M363" s="100">
        <f t="shared" si="64"/>
        <v>0</v>
      </c>
      <c r="N363" s="100">
        <v>0</v>
      </c>
      <c r="O363" s="100">
        <f t="shared" si="65"/>
        <v>0</v>
      </c>
      <c r="P363" s="100">
        <f t="shared" si="66"/>
        <v>0</v>
      </c>
      <c r="Q363" s="124">
        <f t="shared" si="67"/>
        <v>0</v>
      </c>
      <c r="R363" s="114"/>
    </row>
    <row r="364" s="34" customFormat="1" ht="18" customHeight="1" spans="1:18">
      <c r="A364" s="61">
        <f>IF(F364&lt;&gt;"",1+MAX($A$2:A363),"")</f>
        <v>327</v>
      </c>
      <c r="B364" s="214"/>
      <c r="C364" s="74"/>
      <c r="D364" s="138" t="s">
        <v>563</v>
      </c>
      <c r="E364" s="76">
        <v>60</v>
      </c>
      <c r="F364" s="65">
        <v>0.05</v>
      </c>
      <c r="G364" s="66">
        <f t="shared" si="61"/>
        <v>63</v>
      </c>
      <c r="H364" s="70" t="s">
        <v>37</v>
      </c>
      <c r="I364" s="97">
        <v>0</v>
      </c>
      <c r="J364" s="98">
        <f t="shared" si="62"/>
        <v>0</v>
      </c>
      <c r="K364" s="99">
        <v>50</v>
      </c>
      <c r="L364" s="100">
        <f t="shared" si="63"/>
        <v>0</v>
      </c>
      <c r="M364" s="100">
        <f t="shared" si="64"/>
        <v>0</v>
      </c>
      <c r="N364" s="100">
        <v>0</v>
      </c>
      <c r="O364" s="100">
        <f t="shared" si="65"/>
        <v>0</v>
      </c>
      <c r="P364" s="100">
        <f t="shared" si="66"/>
        <v>0</v>
      </c>
      <c r="Q364" s="124">
        <f t="shared" si="67"/>
        <v>0</v>
      </c>
      <c r="R364" s="114"/>
    </row>
    <row r="365" s="34" customFormat="1" ht="18" customHeight="1" spans="1:18">
      <c r="A365" s="61">
        <f>IF(F365&lt;&gt;"",1+MAX($A$2:A364),"")</f>
        <v>328</v>
      </c>
      <c r="B365" s="214"/>
      <c r="C365" s="74"/>
      <c r="D365" s="138" t="s">
        <v>566</v>
      </c>
      <c r="E365" s="76">
        <v>200</v>
      </c>
      <c r="F365" s="65">
        <v>0.05</v>
      </c>
      <c r="G365" s="66">
        <f t="shared" si="61"/>
        <v>210</v>
      </c>
      <c r="H365" s="70" t="s">
        <v>37</v>
      </c>
      <c r="I365" s="97">
        <v>0</v>
      </c>
      <c r="J365" s="98">
        <f t="shared" si="62"/>
        <v>0</v>
      </c>
      <c r="K365" s="99">
        <v>50</v>
      </c>
      <c r="L365" s="100">
        <f t="shared" si="63"/>
        <v>0</v>
      </c>
      <c r="M365" s="100">
        <f t="shared" si="64"/>
        <v>0</v>
      </c>
      <c r="N365" s="100">
        <v>0</v>
      </c>
      <c r="O365" s="100">
        <f t="shared" si="65"/>
        <v>0</v>
      </c>
      <c r="P365" s="100">
        <f t="shared" si="66"/>
        <v>0</v>
      </c>
      <c r="Q365" s="124">
        <f t="shared" si="67"/>
        <v>0</v>
      </c>
      <c r="R365" s="114"/>
    </row>
    <row r="366" s="34" customFormat="1" ht="18" customHeight="1" spans="1:18">
      <c r="A366" s="61">
        <f>IF(F366&lt;&gt;"",1+MAX($A$2:A365),"")</f>
        <v>329</v>
      </c>
      <c r="B366" s="214"/>
      <c r="C366" s="74"/>
      <c r="D366" s="138" t="s">
        <v>566</v>
      </c>
      <c r="E366" s="76">
        <v>150</v>
      </c>
      <c r="F366" s="65">
        <v>0.05</v>
      </c>
      <c r="G366" s="66">
        <f t="shared" si="61"/>
        <v>157.5</v>
      </c>
      <c r="H366" s="70" t="s">
        <v>37</v>
      </c>
      <c r="I366" s="97">
        <v>0</v>
      </c>
      <c r="J366" s="98">
        <f t="shared" si="62"/>
        <v>0</v>
      </c>
      <c r="K366" s="99">
        <v>50</v>
      </c>
      <c r="L366" s="100">
        <f t="shared" si="63"/>
        <v>0</v>
      </c>
      <c r="M366" s="100">
        <f t="shared" si="64"/>
        <v>0</v>
      </c>
      <c r="N366" s="100">
        <v>0</v>
      </c>
      <c r="O366" s="100">
        <f t="shared" si="65"/>
        <v>0</v>
      </c>
      <c r="P366" s="100">
        <f t="shared" si="66"/>
        <v>0</v>
      </c>
      <c r="Q366" s="124">
        <f t="shared" si="67"/>
        <v>0</v>
      </c>
      <c r="R366" s="114"/>
    </row>
    <row r="367" s="34" customFormat="1" ht="18" customHeight="1" spans="1:18">
      <c r="A367" s="61">
        <f>IF(F367&lt;&gt;"",1+MAX($A$2:A366),"")</f>
        <v>330</v>
      </c>
      <c r="B367" s="214"/>
      <c r="C367" s="74"/>
      <c r="D367" s="138" t="s">
        <v>566</v>
      </c>
      <c r="E367" s="76">
        <v>600</v>
      </c>
      <c r="F367" s="65">
        <v>0.05</v>
      </c>
      <c r="G367" s="66">
        <f t="shared" si="61"/>
        <v>630</v>
      </c>
      <c r="H367" s="70" t="s">
        <v>37</v>
      </c>
      <c r="I367" s="97">
        <v>0</v>
      </c>
      <c r="J367" s="98">
        <f t="shared" si="62"/>
        <v>0</v>
      </c>
      <c r="K367" s="99">
        <v>50</v>
      </c>
      <c r="L367" s="100">
        <f t="shared" si="63"/>
        <v>0</v>
      </c>
      <c r="M367" s="100">
        <f t="shared" si="64"/>
        <v>0</v>
      </c>
      <c r="N367" s="100">
        <v>0</v>
      </c>
      <c r="O367" s="100">
        <f t="shared" si="65"/>
        <v>0</v>
      </c>
      <c r="P367" s="100">
        <f t="shared" si="66"/>
        <v>0</v>
      </c>
      <c r="Q367" s="124">
        <f t="shared" si="67"/>
        <v>0</v>
      </c>
      <c r="R367" s="114"/>
    </row>
    <row r="368" s="34" customFormat="1" ht="18" customHeight="1" spans="1:18">
      <c r="A368" s="61">
        <f>IF(F368&lt;&gt;"",1+MAX($A$2:A367),"")</f>
        <v>331</v>
      </c>
      <c r="B368" s="214"/>
      <c r="C368" s="74"/>
      <c r="D368" s="138" t="s">
        <v>566</v>
      </c>
      <c r="E368" s="76">
        <v>480</v>
      </c>
      <c r="F368" s="65">
        <v>0.05</v>
      </c>
      <c r="G368" s="66">
        <f t="shared" si="61"/>
        <v>504</v>
      </c>
      <c r="H368" s="70" t="s">
        <v>37</v>
      </c>
      <c r="I368" s="97">
        <v>0</v>
      </c>
      <c r="J368" s="98">
        <f t="shared" si="62"/>
        <v>0</v>
      </c>
      <c r="K368" s="99">
        <v>50</v>
      </c>
      <c r="L368" s="100">
        <f t="shared" si="63"/>
        <v>0</v>
      </c>
      <c r="M368" s="100">
        <f t="shared" si="64"/>
        <v>0</v>
      </c>
      <c r="N368" s="100">
        <v>0</v>
      </c>
      <c r="O368" s="100">
        <f t="shared" si="65"/>
        <v>0</v>
      </c>
      <c r="P368" s="100">
        <f t="shared" si="66"/>
        <v>0</v>
      </c>
      <c r="Q368" s="124">
        <f t="shared" si="67"/>
        <v>0</v>
      </c>
      <c r="R368" s="114"/>
    </row>
    <row r="369" s="34" customFormat="1" ht="18" customHeight="1" spans="1:18">
      <c r="A369" s="61">
        <f>IF(F369&lt;&gt;"",1+MAX($A$2:A368),"")</f>
        <v>332</v>
      </c>
      <c r="B369" s="214"/>
      <c r="C369" s="74"/>
      <c r="D369" s="138" t="s">
        <v>566</v>
      </c>
      <c r="E369" s="76">
        <v>540</v>
      </c>
      <c r="F369" s="65">
        <v>0.05</v>
      </c>
      <c r="G369" s="66">
        <f t="shared" si="61"/>
        <v>567</v>
      </c>
      <c r="H369" s="70" t="s">
        <v>37</v>
      </c>
      <c r="I369" s="97">
        <v>0</v>
      </c>
      <c r="J369" s="98">
        <f t="shared" si="62"/>
        <v>0</v>
      </c>
      <c r="K369" s="99">
        <v>50</v>
      </c>
      <c r="L369" s="100">
        <f t="shared" si="63"/>
        <v>0</v>
      </c>
      <c r="M369" s="100">
        <f t="shared" si="64"/>
        <v>0</v>
      </c>
      <c r="N369" s="100">
        <v>0</v>
      </c>
      <c r="O369" s="100">
        <f t="shared" si="65"/>
        <v>0</v>
      </c>
      <c r="P369" s="100">
        <f t="shared" si="66"/>
        <v>0</v>
      </c>
      <c r="Q369" s="124">
        <f t="shared" si="67"/>
        <v>0</v>
      </c>
      <c r="R369" s="114"/>
    </row>
    <row r="370" s="34" customFormat="1" ht="18" customHeight="1" spans="1:18">
      <c r="A370" s="61">
        <f>IF(F370&lt;&gt;"",1+MAX($A$2:A369),"")</f>
        <v>333</v>
      </c>
      <c r="B370" s="214"/>
      <c r="C370" s="74"/>
      <c r="D370" s="138" t="s">
        <v>566</v>
      </c>
      <c r="E370" s="76">
        <v>440</v>
      </c>
      <c r="F370" s="65">
        <v>0.05</v>
      </c>
      <c r="G370" s="66">
        <f t="shared" si="61"/>
        <v>462</v>
      </c>
      <c r="H370" s="70" t="s">
        <v>37</v>
      </c>
      <c r="I370" s="97">
        <v>0</v>
      </c>
      <c r="J370" s="98">
        <f t="shared" si="62"/>
        <v>0</v>
      </c>
      <c r="K370" s="99">
        <v>50</v>
      </c>
      <c r="L370" s="100">
        <f t="shared" si="63"/>
        <v>0</v>
      </c>
      <c r="M370" s="100">
        <f t="shared" si="64"/>
        <v>0</v>
      </c>
      <c r="N370" s="100">
        <v>0</v>
      </c>
      <c r="O370" s="100">
        <f t="shared" si="65"/>
        <v>0</v>
      </c>
      <c r="P370" s="100">
        <f t="shared" si="66"/>
        <v>0</v>
      </c>
      <c r="Q370" s="124">
        <f t="shared" si="67"/>
        <v>0</v>
      </c>
      <c r="R370" s="114"/>
    </row>
    <row r="371" s="34" customFormat="1" ht="18" customHeight="1" spans="1:18">
      <c r="A371" s="61">
        <f>IF(F371&lt;&gt;"",1+MAX($A$2:A370),"")</f>
        <v>334</v>
      </c>
      <c r="B371" s="214"/>
      <c r="C371" s="74"/>
      <c r="D371" s="138" t="s">
        <v>566</v>
      </c>
      <c r="E371" s="76">
        <v>510</v>
      </c>
      <c r="F371" s="65">
        <v>0.05</v>
      </c>
      <c r="G371" s="66">
        <f t="shared" si="61"/>
        <v>535.5</v>
      </c>
      <c r="H371" s="70" t="s">
        <v>37</v>
      </c>
      <c r="I371" s="97">
        <v>0</v>
      </c>
      <c r="J371" s="98">
        <f t="shared" si="62"/>
        <v>0</v>
      </c>
      <c r="K371" s="99">
        <v>50</v>
      </c>
      <c r="L371" s="100">
        <f t="shared" si="63"/>
        <v>0</v>
      </c>
      <c r="M371" s="100">
        <f t="shared" si="64"/>
        <v>0</v>
      </c>
      <c r="N371" s="100">
        <v>0</v>
      </c>
      <c r="O371" s="100">
        <f t="shared" si="65"/>
        <v>0</v>
      </c>
      <c r="P371" s="100">
        <f t="shared" si="66"/>
        <v>0</v>
      </c>
      <c r="Q371" s="124">
        <f t="shared" si="67"/>
        <v>0</v>
      </c>
      <c r="R371" s="114"/>
    </row>
    <row r="372" s="34" customFormat="1" ht="18" customHeight="1" spans="1:18">
      <c r="A372" s="61">
        <f>IF(F372&lt;&gt;"",1+MAX($A$2:A371),"")</f>
        <v>335</v>
      </c>
      <c r="B372" s="214"/>
      <c r="C372" s="74"/>
      <c r="D372" s="138" t="s">
        <v>566</v>
      </c>
      <c r="E372" s="76">
        <v>400</v>
      </c>
      <c r="F372" s="65">
        <v>0.05</v>
      </c>
      <c r="G372" s="66">
        <f t="shared" si="61"/>
        <v>420</v>
      </c>
      <c r="H372" s="70" t="s">
        <v>37</v>
      </c>
      <c r="I372" s="97">
        <v>0</v>
      </c>
      <c r="J372" s="98">
        <f t="shared" si="62"/>
        <v>0</v>
      </c>
      <c r="K372" s="99">
        <v>50</v>
      </c>
      <c r="L372" s="100">
        <f t="shared" si="63"/>
        <v>0</v>
      </c>
      <c r="M372" s="100">
        <f t="shared" si="64"/>
        <v>0</v>
      </c>
      <c r="N372" s="100">
        <v>0</v>
      </c>
      <c r="O372" s="100">
        <f t="shared" si="65"/>
        <v>0</v>
      </c>
      <c r="P372" s="100">
        <f t="shared" si="66"/>
        <v>0</v>
      </c>
      <c r="Q372" s="124">
        <f t="shared" si="67"/>
        <v>0</v>
      </c>
      <c r="R372" s="114"/>
    </row>
    <row r="373" s="34" customFormat="1" ht="18" customHeight="1" spans="1:18">
      <c r="A373" s="61">
        <f>IF(F373&lt;&gt;"",1+MAX($A$2:A372),"")</f>
        <v>336</v>
      </c>
      <c r="B373" s="214"/>
      <c r="C373" s="74"/>
      <c r="D373" s="138" t="s">
        <v>563</v>
      </c>
      <c r="E373" s="76">
        <v>460</v>
      </c>
      <c r="F373" s="65">
        <v>0.05</v>
      </c>
      <c r="G373" s="66">
        <f t="shared" si="61"/>
        <v>483</v>
      </c>
      <c r="H373" s="70" t="s">
        <v>37</v>
      </c>
      <c r="I373" s="97">
        <v>0</v>
      </c>
      <c r="J373" s="98">
        <f t="shared" si="62"/>
        <v>0</v>
      </c>
      <c r="K373" s="99">
        <v>50</v>
      </c>
      <c r="L373" s="100">
        <f t="shared" si="63"/>
        <v>0</v>
      </c>
      <c r="M373" s="100">
        <f t="shared" si="64"/>
        <v>0</v>
      </c>
      <c r="N373" s="100">
        <v>0</v>
      </c>
      <c r="O373" s="100">
        <f t="shared" si="65"/>
        <v>0</v>
      </c>
      <c r="P373" s="100">
        <f t="shared" si="66"/>
        <v>0</v>
      </c>
      <c r="Q373" s="124">
        <f t="shared" si="67"/>
        <v>0</v>
      </c>
      <c r="R373" s="114"/>
    </row>
    <row r="374" s="34" customFormat="1" ht="18" customHeight="1" spans="1:18">
      <c r="A374" s="61">
        <f>IF(F374&lt;&gt;"",1+MAX($A$2:A373),"")</f>
        <v>337</v>
      </c>
      <c r="B374" s="214"/>
      <c r="C374" s="74"/>
      <c r="D374" s="138" t="s">
        <v>566</v>
      </c>
      <c r="E374" s="76">
        <v>350</v>
      </c>
      <c r="F374" s="65">
        <v>0.05</v>
      </c>
      <c r="G374" s="66">
        <f t="shared" si="61"/>
        <v>367.5</v>
      </c>
      <c r="H374" s="70" t="s">
        <v>37</v>
      </c>
      <c r="I374" s="97">
        <v>0</v>
      </c>
      <c r="J374" s="98">
        <f t="shared" si="62"/>
        <v>0</v>
      </c>
      <c r="K374" s="99">
        <v>50</v>
      </c>
      <c r="L374" s="100">
        <f t="shared" si="63"/>
        <v>0</v>
      </c>
      <c r="M374" s="100">
        <f t="shared" si="64"/>
        <v>0</v>
      </c>
      <c r="N374" s="100">
        <v>0</v>
      </c>
      <c r="O374" s="100">
        <f t="shared" si="65"/>
        <v>0</v>
      </c>
      <c r="P374" s="100">
        <f t="shared" si="66"/>
        <v>0</v>
      </c>
      <c r="Q374" s="124">
        <f t="shared" si="67"/>
        <v>0</v>
      </c>
      <c r="R374" s="114"/>
    </row>
    <row r="375" s="34" customFormat="1" ht="18" customHeight="1" spans="1:18">
      <c r="A375" s="61">
        <f>IF(F375&lt;&gt;"",1+MAX($A$2:A374),"")</f>
        <v>338</v>
      </c>
      <c r="B375" s="214"/>
      <c r="C375" s="74"/>
      <c r="D375" s="138" t="s">
        <v>563</v>
      </c>
      <c r="E375" s="76">
        <v>450</v>
      </c>
      <c r="F375" s="65">
        <v>0.05</v>
      </c>
      <c r="G375" s="66">
        <f t="shared" si="61"/>
        <v>472.5</v>
      </c>
      <c r="H375" s="70" t="s">
        <v>37</v>
      </c>
      <c r="I375" s="97">
        <v>0</v>
      </c>
      <c r="J375" s="98">
        <f t="shared" si="62"/>
        <v>0</v>
      </c>
      <c r="K375" s="99">
        <v>50</v>
      </c>
      <c r="L375" s="100">
        <f t="shared" si="63"/>
        <v>0</v>
      </c>
      <c r="M375" s="100">
        <f t="shared" si="64"/>
        <v>0</v>
      </c>
      <c r="N375" s="100">
        <v>0</v>
      </c>
      <c r="O375" s="100">
        <f t="shared" si="65"/>
        <v>0</v>
      </c>
      <c r="P375" s="100">
        <f t="shared" si="66"/>
        <v>0</v>
      </c>
      <c r="Q375" s="124">
        <f t="shared" si="67"/>
        <v>0</v>
      </c>
      <c r="R375" s="114"/>
    </row>
    <row r="376" s="34" customFormat="1" ht="18" customHeight="1" spans="1:18">
      <c r="A376" s="61">
        <f>IF(F376&lt;&gt;"",1+MAX($A$2:A375),"")</f>
        <v>339</v>
      </c>
      <c r="B376" s="214"/>
      <c r="C376" s="74"/>
      <c r="D376" s="138" t="s">
        <v>566</v>
      </c>
      <c r="E376" s="76">
        <v>320</v>
      </c>
      <c r="F376" s="65">
        <v>0.05</v>
      </c>
      <c r="G376" s="66">
        <f t="shared" si="61"/>
        <v>336</v>
      </c>
      <c r="H376" s="70" t="s">
        <v>37</v>
      </c>
      <c r="I376" s="97">
        <v>0</v>
      </c>
      <c r="J376" s="98">
        <f t="shared" si="62"/>
        <v>0</v>
      </c>
      <c r="K376" s="99">
        <v>50</v>
      </c>
      <c r="L376" s="100">
        <f t="shared" si="63"/>
        <v>0</v>
      </c>
      <c r="M376" s="100">
        <f t="shared" si="64"/>
        <v>0</v>
      </c>
      <c r="N376" s="100">
        <v>0</v>
      </c>
      <c r="O376" s="100">
        <f t="shared" si="65"/>
        <v>0</v>
      </c>
      <c r="P376" s="100">
        <f t="shared" si="66"/>
        <v>0</v>
      </c>
      <c r="Q376" s="124">
        <f t="shared" si="67"/>
        <v>0</v>
      </c>
      <c r="R376" s="114"/>
    </row>
    <row r="377" s="34" customFormat="1" ht="18" customHeight="1" spans="1:18">
      <c r="A377" s="61">
        <f>IF(F377&lt;&gt;"",1+MAX($A$2:A376),"")</f>
        <v>340</v>
      </c>
      <c r="B377" s="214"/>
      <c r="C377" s="74"/>
      <c r="D377" s="138" t="s">
        <v>563</v>
      </c>
      <c r="E377" s="76">
        <v>400</v>
      </c>
      <c r="F377" s="65">
        <v>0.05</v>
      </c>
      <c r="G377" s="66">
        <f t="shared" si="61"/>
        <v>420</v>
      </c>
      <c r="H377" s="70" t="s">
        <v>37</v>
      </c>
      <c r="I377" s="97">
        <v>0</v>
      </c>
      <c r="J377" s="98">
        <f t="shared" si="62"/>
        <v>0</v>
      </c>
      <c r="K377" s="99">
        <v>50</v>
      </c>
      <c r="L377" s="100">
        <f t="shared" si="63"/>
        <v>0</v>
      </c>
      <c r="M377" s="100">
        <f t="shared" si="64"/>
        <v>0</v>
      </c>
      <c r="N377" s="100">
        <v>0</v>
      </c>
      <c r="O377" s="100">
        <f t="shared" si="65"/>
        <v>0</v>
      </c>
      <c r="P377" s="100">
        <f t="shared" si="66"/>
        <v>0</v>
      </c>
      <c r="Q377" s="124">
        <f t="shared" si="67"/>
        <v>0</v>
      </c>
      <c r="R377" s="114"/>
    </row>
    <row r="378" s="34" customFormat="1" ht="18" customHeight="1" spans="1:18">
      <c r="A378" s="61">
        <f>IF(F378&lt;&gt;"",1+MAX($A$2:A377),"")</f>
        <v>341</v>
      </c>
      <c r="B378" s="214"/>
      <c r="C378" s="74"/>
      <c r="D378" s="138" t="s">
        <v>563</v>
      </c>
      <c r="E378" s="76">
        <v>280</v>
      </c>
      <c r="F378" s="65">
        <v>0.05</v>
      </c>
      <c r="G378" s="66">
        <f t="shared" si="61"/>
        <v>294</v>
      </c>
      <c r="H378" s="70" t="s">
        <v>37</v>
      </c>
      <c r="I378" s="97">
        <v>0</v>
      </c>
      <c r="J378" s="98">
        <f t="shared" si="62"/>
        <v>0</v>
      </c>
      <c r="K378" s="99">
        <v>50</v>
      </c>
      <c r="L378" s="100">
        <f t="shared" si="63"/>
        <v>0</v>
      </c>
      <c r="M378" s="100">
        <f t="shared" si="64"/>
        <v>0</v>
      </c>
      <c r="N378" s="100">
        <v>0</v>
      </c>
      <c r="O378" s="100">
        <f t="shared" si="65"/>
        <v>0</v>
      </c>
      <c r="P378" s="100">
        <f t="shared" si="66"/>
        <v>0</v>
      </c>
      <c r="Q378" s="124">
        <f t="shared" si="67"/>
        <v>0</v>
      </c>
      <c r="R378" s="114"/>
    </row>
    <row r="379" s="34" customFormat="1" ht="18" customHeight="1" spans="1:18">
      <c r="A379" s="61">
        <f>IF(F379&lt;&gt;"",1+MAX($A$2:A378),"")</f>
        <v>342</v>
      </c>
      <c r="B379" s="214"/>
      <c r="C379" s="74"/>
      <c r="D379" s="138" t="s">
        <v>563</v>
      </c>
      <c r="E379" s="76">
        <v>50</v>
      </c>
      <c r="F379" s="65">
        <v>0.05</v>
      </c>
      <c r="G379" s="66">
        <f t="shared" si="61"/>
        <v>52.5</v>
      </c>
      <c r="H379" s="70" t="s">
        <v>37</v>
      </c>
      <c r="I379" s="97">
        <v>0</v>
      </c>
      <c r="J379" s="98">
        <f t="shared" si="62"/>
        <v>0</v>
      </c>
      <c r="K379" s="99">
        <v>50</v>
      </c>
      <c r="L379" s="100">
        <f t="shared" si="63"/>
        <v>0</v>
      </c>
      <c r="M379" s="100">
        <f t="shared" si="64"/>
        <v>0</v>
      </c>
      <c r="N379" s="100">
        <v>0</v>
      </c>
      <c r="O379" s="100">
        <f t="shared" si="65"/>
        <v>0</v>
      </c>
      <c r="P379" s="100">
        <f t="shared" si="66"/>
        <v>0</v>
      </c>
      <c r="Q379" s="124">
        <f t="shared" si="67"/>
        <v>0</v>
      </c>
      <c r="R379" s="114"/>
    </row>
    <row r="380" s="34" customFormat="1" ht="18" customHeight="1" spans="1:18">
      <c r="A380" s="61">
        <f>IF(F380&lt;&gt;"",1+MAX($A$2:A379),"")</f>
        <v>343</v>
      </c>
      <c r="B380" s="214"/>
      <c r="C380" s="74"/>
      <c r="D380" s="138" t="s">
        <v>567</v>
      </c>
      <c r="E380" s="76">
        <v>50</v>
      </c>
      <c r="F380" s="65">
        <v>0.05</v>
      </c>
      <c r="G380" s="66">
        <f t="shared" si="61"/>
        <v>52.5</v>
      </c>
      <c r="H380" s="70" t="s">
        <v>37</v>
      </c>
      <c r="I380" s="97">
        <v>0</v>
      </c>
      <c r="J380" s="98">
        <f t="shared" si="62"/>
        <v>0</v>
      </c>
      <c r="K380" s="99">
        <v>50</v>
      </c>
      <c r="L380" s="100">
        <f t="shared" si="63"/>
        <v>0</v>
      </c>
      <c r="M380" s="100">
        <f t="shared" si="64"/>
        <v>0</v>
      </c>
      <c r="N380" s="100">
        <v>0</v>
      </c>
      <c r="O380" s="100">
        <f t="shared" si="65"/>
        <v>0</v>
      </c>
      <c r="P380" s="100">
        <f t="shared" si="66"/>
        <v>0</v>
      </c>
      <c r="Q380" s="124">
        <f t="shared" si="67"/>
        <v>0</v>
      </c>
      <c r="R380" s="114"/>
    </row>
    <row r="381" s="34" customFormat="1" ht="18" customHeight="1" spans="1:18">
      <c r="A381" s="61">
        <f>IF(F381&lt;&gt;"",1+MAX($A$2:A380),"")</f>
        <v>344</v>
      </c>
      <c r="B381" s="214"/>
      <c r="C381" s="74"/>
      <c r="D381" s="138" t="s">
        <v>568</v>
      </c>
      <c r="E381" s="76">
        <v>50</v>
      </c>
      <c r="F381" s="65">
        <v>0.05</v>
      </c>
      <c r="G381" s="66">
        <f t="shared" si="61"/>
        <v>52.5</v>
      </c>
      <c r="H381" s="70" t="s">
        <v>37</v>
      </c>
      <c r="I381" s="97">
        <v>0</v>
      </c>
      <c r="J381" s="98">
        <f t="shared" si="62"/>
        <v>0</v>
      </c>
      <c r="K381" s="99">
        <v>50</v>
      </c>
      <c r="L381" s="100">
        <f t="shared" si="63"/>
        <v>0</v>
      </c>
      <c r="M381" s="100">
        <f t="shared" si="64"/>
        <v>0</v>
      </c>
      <c r="N381" s="100">
        <v>0</v>
      </c>
      <c r="O381" s="100">
        <f t="shared" si="65"/>
        <v>0</v>
      </c>
      <c r="P381" s="100">
        <f t="shared" si="66"/>
        <v>0</v>
      </c>
      <c r="Q381" s="124">
        <f t="shared" si="67"/>
        <v>0</v>
      </c>
      <c r="R381" s="114"/>
    </row>
    <row r="382" s="34" customFormat="1" ht="18" customHeight="1" spans="1:18">
      <c r="A382" s="61">
        <f>IF(F382&lt;&gt;"",1+MAX($A$2:A381),"")</f>
        <v>345</v>
      </c>
      <c r="B382" s="214"/>
      <c r="C382" s="74"/>
      <c r="D382" s="138" t="s">
        <v>568</v>
      </c>
      <c r="E382" s="76">
        <v>420</v>
      </c>
      <c r="F382" s="65">
        <v>0.05</v>
      </c>
      <c r="G382" s="66">
        <f t="shared" si="61"/>
        <v>441</v>
      </c>
      <c r="H382" s="70" t="s">
        <v>37</v>
      </c>
      <c r="I382" s="97">
        <v>0</v>
      </c>
      <c r="J382" s="98">
        <f t="shared" si="62"/>
        <v>0</v>
      </c>
      <c r="K382" s="99">
        <v>50</v>
      </c>
      <c r="L382" s="100">
        <f t="shared" si="63"/>
        <v>0</v>
      </c>
      <c r="M382" s="100">
        <f t="shared" si="64"/>
        <v>0</v>
      </c>
      <c r="N382" s="100">
        <v>0</v>
      </c>
      <c r="O382" s="100">
        <f t="shared" si="65"/>
        <v>0</v>
      </c>
      <c r="P382" s="100">
        <f t="shared" si="66"/>
        <v>0</v>
      </c>
      <c r="Q382" s="124">
        <f t="shared" si="67"/>
        <v>0</v>
      </c>
      <c r="R382" s="114"/>
    </row>
    <row r="383" s="34" customFormat="1" ht="18" customHeight="1" spans="1:18">
      <c r="A383" s="61">
        <f>IF(F383&lt;&gt;"",1+MAX($A$2:A382),"")</f>
        <v>346</v>
      </c>
      <c r="B383" s="214"/>
      <c r="C383" s="74"/>
      <c r="D383" s="138" t="s">
        <v>569</v>
      </c>
      <c r="E383" s="76">
        <v>250</v>
      </c>
      <c r="F383" s="65">
        <v>0.05</v>
      </c>
      <c r="G383" s="66">
        <f t="shared" si="61"/>
        <v>262.5</v>
      </c>
      <c r="H383" s="70" t="s">
        <v>37</v>
      </c>
      <c r="I383" s="97">
        <v>0</v>
      </c>
      <c r="J383" s="98">
        <f t="shared" si="62"/>
        <v>0</v>
      </c>
      <c r="K383" s="99">
        <v>50</v>
      </c>
      <c r="L383" s="100">
        <f t="shared" si="63"/>
        <v>0</v>
      </c>
      <c r="M383" s="100">
        <f t="shared" si="64"/>
        <v>0</v>
      </c>
      <c r="N383" s="100">
        <v>0</v>
      </c>
      <c r="O383" s="100">
        <f t="shared" si="65"/>
        <v>0</v>
      </c>
      <c r="P383" s="100">
        <f t="shared" si="66"/>
        <v>0</v>
      </c>
      <c r="Q383" s="124">
        <f t="shared" si="67"/>
        <v>0</v>
      </c>
      <c r="R383" s="114"/>
    </row>
    <row r="384" s="34" customFormat="1" ht="18" customHeight="1" spans="1:18">
      <c r="A384" s="61">
        <f>IF(F384&lt;&gt;"",1+MAX($A$2:A383),"")</f>
        <v>347</v>
      </c>
      <c r="B384" s="214"/>
      <c r="C384" s="74"/>
      <c r="D384" s="138" t="s">
        <v>568</v>
      </c>
      <c r="E384" s="76">
        <v>750</v>
      </c>
      <c r="F384" s="65">
        <v>0.05</v>
      </c>
      <c r="G384" s="66">
        <f t="shared" si="61"/>
        <v>787.5</v>
      </c>
      <c r="H384" s="70" t="s">
        <v>37</v>
      </c>
      <c r="I384" s="97">
        <v>0</v>
      </c>
      <c r="J384" s="98">
        <f t="shared" si="62"/>
        <v>0</v>
      </c>
      <c r="K384" s="99">
        <v>50</v>
      </c>
      <c r="L384" s="100">
        <f t="shared" si="63"/>
        <v>0</v>
      </c>
      <c r="M384" s="100">
        <f t="shared" si="64"/>
        <v>0</v>
      </c>
      <c r="N384" s="100">
        <v>0</v>
      </c>
      <c r="O384" s="100">
        <f t="shared" si="65"/>
        <v>0</v>
      </c>
      <c r="P384" s="100">
        <f t="shared" si="66"/>
        <v>0</v>
      </c>
      <c r="Q384" s="124">
        <f t="shared" si="67"/>
        <v>0</v>
      </c>
      <c r="R384" s="114"/>
    </row>
    <row r="385" s="34" customFormat="1" ht="18" customHeight="1" spans="1:18">
      <c r="A385" s="61">
        <f>IF(F385&lt;&gt;"",1+MAX($A$2:A384),"")</f>
        <v>348</v>
      </c>
      <c r="B385" s="214"/>
      <c r="C385" s="74"/>
      <c r="D385" s="138" t="s">
        <v>570</v>
      </c>
      <c r="E385" s="76">
        <v>100</v>
      </c>
      <c r="F385" s="65">
        <v>0.05</v>
      </c>
      <c r="G385" s="66">
        <f t="shared" si="61"/>
        <v>105</v>
      </c>
      <c r="H385" s="70" t="s">
        <v>37</v>
      </c>
      <c r="I385" s="97">
        <v>0</v>
      </c>
      <c r="J385" s="98">
        <f t="shared" si="62"/>
        <v>0</v>
      </c>
      <c r="K385" s="99">
        <v>50</v>
      </c>
      <c r="L385" s="100">
        <f t="shared" si="63"/>
        <v>0</v>
      </c>
      <c r="M385" s="100">
        <f t="shared" si="64"/>
        <v>0</v>
      </c>
      <c r="N385" s="100">
        <v>0</v>
      </c>
      <c r="O385" s="100">
        <f t="shared" si="65"/>
        <v>0</v>
      </c>
      <c r="P385" s="100">
        <f t="shared" si="66"/>
        <v>0</v>
      </c>
      <c r="Q385" s="124">
        <f t="shared" si="67"/>
        <v>0</v>
      </c>
      <c r="R385" s="114"/>
    </row>
    <row r="386" s="34" customFormat="1" ht="18" customHeight="1" spans="1:18">
      <c r="A386" s="61">
        <f>IF(F386&lt;&gt;"",1+MAX($A$2:A385),"")</f>
        <v>349</v>
      </c>
      <c r="B386" s="214"/>
      <c r="C386" s="74"/>
      <c r="D386" s="138" t="s">
        <v>571</v>
      </c>
      <c r="E386" s="76">
        <v>50</v>
      </c>
      <c r="F386" s="65">
        <v>0.05</v>
      </c>
      <c r="G386" s="66">
        <f t="shared" si="61"/>
        <v>52.5</v>
      </c>
      <c r="H386" s="70" t="s">
        <v>37</v>
      </c>
      <c r="I386" s="97">
        <v>0</v>
      </c>
      <c r="J386" s="98">
        <f t="shared" si="62"/>
        <v>0</v>
      </c>
      <c r="K386" s="99">
        <v>50</v>
      </c>
      <c r="L386" s="100">
        <f t="shared" si="63"/>
        <v>0</v>
      </c>
      <c r="M386" s="100">
        <f t="shared" si="64"/>
        <v>0</v>
      </c>
      <c r="N386" s="100">
        <v>0</v>
      </c>
      <c r="O386" s="100">
        <f t="shared" si="65"/>
        <v>0</v>
      </c>
      <c r="P386" s="100">
        <f t="shared" si="66"/>
        <v>0</v>
      </c>
      <c r="Q386" s="124">
        <f t="shared" si="67"/>
        <v>0</v>
      </c>
      <c r="R386" s="114"/>
    </row>
    <row r="387" s="34" customFormat="1" ht="18" customHeight="1" spans="1:18">
      <c r="A387" s="61">
        <f>IF(F387&lt;&gt;"",1+MAX($A$2:A386),"")</f>
        <v>350</v>
      </c>
      <c r="B387" s="214"/>
      <c r="C387" s="74"/>
      <c r="D387" s="138" t="s">
        <v>571</v>
      </c>
      <c r="E387" s="76">
        <v>490</v>
      </c>
      <c r="F387" s="65">
        <v>0.05</v>
      </c>
      <c r="G387" s="66">
        <f t="shared" si="61"/>
        <v>514.5</v>
      </c>
      <c r="H387" s="70" t="s">
        <v>37</v>
      </c>
      <c r="I387" s="97">
        <v>0</v>
      </c>
      <c r="J387" s="98">
        <f t="shared" si="62"/>
        <v>0</v>
      </c>
      <c r="K387" s="99">
        <v>50</v>
      </c>
      <c r="L387" s="100">
        <f t="shared" si="63"/>
        <v>0</v>
      </c>
      <c r="M387" s="100">
        <f t="shared" si="64"/>
        <v>0</v>
      </c>
      <c r="N387" s="100">
        <v>0</v>
      </c>
      <c r="O387" s="100">
        <f t="shared" si="65"/>
        <v>0</v>
      </c>
      <c r="P387" s="100">
        <f t="shared" si="66"/>
        <v>0</v>
      </c>
      <c r="Q387" s="124">
        <f t="shared" si="67"/>
        <v>0</v>
      </c>
      <c r="R387" s="114"/>
    </row>
    <row r="388" s="34" customFormat="1" ht="18" customHeight="1" spans="1:18">
      <c r="A388" s="61">
        <f>IF(F388&lt;&gt;"",1+MAX($A$2:A387),"")</f>
        <v>351</v>
      </c>
      <c r="B388" s="214"/>
      <c r="C388" s="74"/>
      <c r="D388" s="138" t="s">
        <v>571</v>
      </c>
      <c r="E388" s="76">
        <v>500</v>
      </c>
      <c r="F388" s="65">
        <v>0.05</v>
      </c>
      <c r="G388" s="66">
        <f t="shared" si="61"/>
        <v>525</v>
      </c>
      <c r="H388" s="70" t="s">
        <v>37</v>
      </c>
      <c r="I388" s="97">
        <v>0</v>
      </c>
      <c r="J388" s="98">
        <f t="shared" si="62"/>
        <v>0</v>
      </c>
      <c r="K388" s="99">
        <v>50</v>
      </c>
      <c r="L388" s="100">
        <f t="shared" si="63"/>
        <v>0</v>
      </c>
      <c r="M388" s="100">
        <f t="shared" si="64"/>
        <v>0</v>
      </c>
      <c r="N388" s="100">
        <v>0</v>
      </c>
      <c r="O388" s="100">
        <f t="shared" si="65"/>
        <v>0</v>
      </c>
      <c r="P388" s="100">
        <f t="shared" si="66"/>
        <v>0</v>
      </c>
      <c r="Q388" s="124">
        <f t="shared" si="67"/>
        <v>0</v>
      </c>
      <c r="R388" s="114"/>
    </row>
    <row r="389" s="34" customFormat="1" ht="18" customHeight="1" spans="1:18">
      <c r="A389" s="61">
        <f>IF(F389&lt;&gt;"",1+MAX($A$2:A388),"")</f>
        <v>352</v>
      </c>
      <c r="B389" s="214"/>
      <c r="C389" s="74"/>
      <c r="D389" s="138" t="s">
        <v>563</v>
      </c>
      <c r="E389" s="76">
        <v>510</v>
      </c>
      <c r="F389" s="65">
        <v>0.05</v>
      </c>
      <c r="G389" s="66">
        <f t="shared" si="61"/>
        <v>535.5</v>
      </c>
      <c r="H389" s="70" t="s">
        <v>37</v>
      </c>
      <c r="I389" s="97">
        <v>0</v>
      </c>
      <c r="J389" s="98">
        <f t="shared" si="62"/>
        <v>0</v>
      </c>
      <c r="K389" s="99">
        <v>50</v>
      </c>
      <c r="L389" s="100">
        <f t="shared" si="63"/>
        <v>0</v>
      </c>
      <c r="M389" s="100">
        <f t="shared" si="64"/>
        <v>0</v>
      </c>
      <c r="N389" s="100">
        <v>0</v>
      </c>
      <c r="O389" s="100">
        <f t="shared" si="65"/>
        <v>0</v>
      </c>
      <c r="P389" s="100">
        <f t="shared" si="66"/>
        <v>0</v>
      </c>
      <c r="Q389" s="124">
        <f t="shared" si="67"/>
        <v>0</v>
      </c>
      <c r="R389" s="114"/>
    </row>
    <row r="390" s="34" customFormat="1" ht="18" customHeight="1" spans="1:18">
      <c r="A390" s="61">
        <f>IF(F390&lt;&gt;"",1+MAX($A$2:A389),"")</f>
        <v>353</v>
      </c>
      <c r="B390" s="214"/>
      <c r="C390" s="74"/>
      <c r="D390" s="138" t="s">
        <v>563</v>
      </c>
      <c r="E390" s="76">
        <v>280</v>
      </c>
      <c r="F390" s="65">
        <v>0.05</v>
      </c>
      <c r="G390" s="66">
        <f t="shared" si="61"/>
        <v>294</v>
      </c>
      <c r="H390" s="70" t="s">
        <v>37</v>
      </c>
      <c r="I390" s="97">
        <v>0</v>
      </c>
      <c r="J390" s="98">
        <f t="shared" si="62"/>
        <v>0</v>
      </c>
      <c r="K390" s="99">
        <v>50</v>
      </c>
      <c r="L390" s="100">
        <f t="shared" si="63"/>
        <v>0</v>
      </c>
      <c r="M390" s="100">
        <f t="shared" si="64"/>
        <v>0</v>
      </c>
      <c r="N390" s="100">
        <v>0</v>
      </c>
      <c r="O390" s="100">
        <f t="shared" si="65"/>
        <v>0</v>
      </c>
      <c r="P390" s="100">
        <f t="shared" si="66"/>
        <v>0</v>
      </c>
      <c r="Q390" s="124">
        <f t="shared" si="67"/>
        <v>0</v>
      </c>
      <c r="R390" s="114"/>
    </row>
    <row r="391" s="34" customFormat="1" ht="18" customHeight="1" spans="1:18">
      <c r="A391" s="61">
        <f>IF(F391&lt;&gt;"",1+MAX($A$2:A390),"")</f>
        <v>354</v>
      </c>
      <c r="B391" s="214"/>
      <c r="C391" s="74"/>
      <c r="D391" s="138" t="s">
        <v>563</v>
      </c>
      <c r="E391" s="76">
        <v>300</v>
      </c>
      <c r="F391" s="65">
        <v>0.05</v>
      </c>
      <c r="G391" s="66">
        <f t="shared" si="61"/>
        <v>315</v>
      </c>
      <c r="H391" s="70" t="s">
        <v>37</v>
      </c>
      <c r="I391" s="97">
        <v>0</v>
      </c>
      <c r="J391" s="98">
        <f t="shared" si="62"/>
        <v>0</v>
      </c>
      <c r="K391" s="99">
        <v>50</v>
      </c>
      <c r="L391" s="100">
        <f t="shared" si="63"/>
        <v>0</v>
      </c>
      <c r="M391" s="100">
        <f t="shared" si="64"/>
        <v>0</v>
      </c>
      <c r="N391" s="100">
        <v>0</v>
      </c>
      <c r="O391" s="100">
        <f t="shared" si="65"/>
        <v>0</v>
      </c>
      <c r="P391" s="100">
        <f t="shared" si="66"/>
        <v>0</v>
      </c>
      <c r="Q391" s="124">
        <f t="shared" si="67"/>
        <v>0</v>
      </c>
      <c r="R391" s="114"/>
    </row>
    <row r="392" s="34" customFormat="1" ht="18" customHeight="1" spans="1:18">
      <c r="A392" s="61">
        <f>IF(F392&lt;&gt;"",1+MAX($A$2:A391),"")</f>
        <v>355</v>
      </c>
      <c r="B392" s="214"/>
      <c r="C392" s="74"/>
      <c r="D392" s="138" t="s">
        <v>563</v>
      </c>
      <c r="E392" s="76">
        <v>220</v>
      </c>
      <c r="F392" s="65">
        <v>0.05</v>
      </c>
      <c r="G392" s="66">
        <f t="shared" si="61"/>
        <v>231</v>
      </c>
      <c r="H392" s="70" t="s">
        <v>37</v>
      </c>
      <c r="I392" s="97">
        <v>0</v>
      </c>
      <c r="J392" s="98">
        <f t="shared" si="62"/>
        <v>0</v>
      </c>
      <c r="K392" s="99">
        <v>50</v>
      </c>
      <c r="L392" s="100">
        <f t="shared" si="63"/>
        <v>0</v>
      </c>
      <c r="M392" s="100">
        <f t="shared" si="64"/>
        <v>0</v>
      </c>
      <c r="N392" s="100">
        <v>0</v>
      </c>
      <c r="O392" s="100">
        <f t="shared" si="65"/>
        <v>0</v>
      </c>
      <c r="P392" s="100">
        <f t="shared" si="66"/>
        <v>0</v>
      </c>
      <c r="Q392" s="124">
        <f t="shared" si="67"/>
        <v>0</v>
      </c>
      <c r="R392" s="114"/>
    </row>
    <row r="393" s="34" customFormat="1" ht="18" customHeight="1" spans="1:18">
      <c r="A393" s="61">
        <f>IF(F393&lt;&gt;"",1+MAX($A$2:A392),"")</f>
        <v>356</v>
      </c>
      <c r="B393" s="214"/>
      <c r="C393" s="74"/>
      <c r="D393" s="138" t="s">
        <v>566</v>
      </c>
      <c r="E393" s="76">
        <v>280</v>
      </c>
      <c r="F393" s="65">
        <v>0.05</v>
      </c>
      <c r="G393" s="66">
        <f t="shared" si="61"/>
        <v>294</v>
      </c>
      <c r="H393" s="70" t="s">
        <v>37</v>
      </c>
      <c r="I393" s="97">
        <v>0</v>
      </c>
      <c r="J393" s="98">
        <f t="shared" si="62"/>
        <v>0</v>
      </c>
      <c r="K393" s="99">
        <v>50</v>
      </c>
      <c r="L393" s="100">
        <f t="shared" si="63"/>
        <v>0</v>
      </c>
      <c r="M393" s="100">
        <f t="shared" si="64"/>
        <v>0</v>
      </c>
      <c r="N393" s="100">
        <v>0</v>
      </c>
      <c r="O393" s="100">
        <f t="shared" si="65"/>
        <v>0</v>
      </c>
      <c r="P393" s="100">
        <f t="shared" si="66"/>
        <v>0</v>
      </c>
      <c r="Q393" s="124">
        <f t="shared" si="67"/>
        <v>0</v>
      </c>
      <c r="R393" s="114"/>
    </row>
    <row r="394" s="34" customFormat="1" ht="18" customHeight="1" spans="1:18">
      <c r="A394" s="61">
        <f>IF(F394&lt;&gt;"",1+MAX($A$2:A393),"")</f>
        <v>357</v>
      </c>
      <c r="B394" s="214"/>
      <c r="C394" s="74"/>
      <c r="D394" s="138" t="s">
        <v>572</v>
      </c>
      <c r="E394" s="76">
        <v>140</v>
      </c>
      <c r="F394" s="65">
        <v>0.05</v>
      </c>
      <c r="G394" s="66">
        <f t="shared" si="61"/>
        <v>147</v>
      </c>
      <c r="H394" s="70" t="s">
        <v>37</v>
      </c>
      <c r="I394" s="97">
        <v>0</v>
      </c>
      <c r="J394" s="98">
        <f t="shared" si="62"/>
        <v>0</v>
      </c>
      <c r="K394" s="99">
        <v>50</v>
      </c>
      <c r="L394" s="100">
        <f t="shared" si="63"/>
        <v>0</v>
      </c>
      <c r="M394" s="100">
        <f t="shared" si="64"/>
        <v>0</v>
      </c>
      <c r="N394" s="100">
        <v>0</v>
      </c>
      <c r="O394" s="100">
        <f t="shared" si="65"/>
        <v>0</v>
      </c>
      <c r="P394" s="100">
        <f t="shared" si="66"/>
        <v>0</v>
      </c>
      <c r="Q394" s="124">
        <f t="shared" si="67"/>
        <v>0</v>
      </c>
      <c r="R394" s="114"/>
    </row>
    <row r="395" s="34" customFormat="1" ht="18" customHeight="1" spans="1:18">
      <c r="A395" s="61">
        <f>IF(F395&lt;&gt;"",1+MAX($A$2:A394),"")</f>
        <v>358</v>
      </c>
      <c r="B395" s="214"/>
      <c r="C395" s="74"/>
      <c r="D395" s="138" t="s">
        <v>572</v>
      </c>
      <c r="E395" s="76">
        <v>600</v>
      </c>
      <c r="F395" s="65">
        <v>0.05</v>
      </c>
      <c r="G395" s="66">
        <f t="shared" si="61"/>
        <v>630</v>
      </c>
      <c r="H395" s="70" t="s">
        <v>37</v>
      </c>
      <c r="I395" s="97">
        <v>0</v>
      </c>
      <c r="J395" s="98">
        <f t="shared" si="62"/>
        <v>0</v>
      </c>
      <c r="K395" s="99">
        <v>50</v>
      </c>
      <c r="L395" s="100">
        <f t="shared" si="63"/>
        <v>0</v>
      </c>
      <c r="M395" s="100">
        <f t="shared" si="64"/>
        <v>0</v>
      </c>
      <c r="N395" s="100">
        <v>0</v>
      </c>
      <c r="O395" s="100">
        <f t="shared" si="65"/>
        <v>0</v>
      </c>
      <c r="P395" s="100">
        <f t="shared" si="66"/>
        <v>0</v>
      </c>
      <c r="Q395" s="124">
        <f t="shared" si="67"/>
        <v>0</v>
      </c>
      <c r="R395" s="114"/>
    </row>
    <row r="396" s="34" customFormat="1" ht="18" customHeight="1" spans="1:18">
      <c r="A396" s="61">
        <f>IF(F396&lt;&gt;"",1+MAX($A$2:A395),"")</f>
        <v>359</v>
      </c>
      <c r="B396" s="214"/>
      <c r="C396" s="74"/>
      <c r="D396" s="138" t="s">
        <v>573</v>
      </c>
      <c r="E396" s="76">
        <v>600</v>
      </c>
      <c r="F396" s="65">
        <v>0.05</v>
      </c>
      <c r="G396" s="66">
        <f t="shared" ref="G396:G459" si="68">(F396*E396)+E396</f>
        <v>630</v>
      </c>
      <c r="H396" s="70" t="s">
        <v>37</v>
      </c>
      <c r="I396" s="97">
        <v>0</v>
      </c>
      <c r="J396" s="98">
        <f t="shared" ref="J396:J459" si="69">+I396*G396</f>
        <v>0</v>
      </c>
      <c r="K396" s="99">
        <v>50</v>
      </c>
      <c r="L396" s="100">
        <f t="shared" ref="L396:L459" si="70">I396*K396</f>
        <v>0</v>
      </c>
      <c r="M396" s="100">
        <f t="shared" ref="M396:M459" si="71">K396*J396</f>
        <v>0</v>
      </c>
      <c r="N396" s="100">
        <v>0</v>
      </c>
      <c r="O396" s="100">
        <f t="shared" ref="O396:O459" si="72">N396*G396</f>
        <v>0</v>
      </c>
      <c r="P396" s="100">
        <f t="shared" ref="P396:P459" si="73">(I396*K396)+N396</f>
        <v>0</v>
      </c>
      <c r="Q396" s="124">
        <f t="shared" ref="Q396:Q459" si="74">P396*G396</f>
        <v>0</v>
      </c>
      <c r="R396" s="114"/>
    </row>
    <row r="397" s="34" customFormat="1" ht="18" customHeight="1" spans="1:18">
      <c r="A397" s="61">
        <f>IF(F397&lt;&gt;"",1+MAX($A$2:A396),"")</f>
        <v>360</v>
      </c>
      <c r="B397" s="214"/>
      <c r="C397" s="74"/>
      <c r="D397" s="138" t="s">
        <v>568</v>
      </c>
      <c r="E397" s="76">
        <v>600</v>
      </c>
      <c r="F397" s="65">
        <v>0.05</v>
      </c>
      <c r="G397" s="66">
        <f t="shared" si="68"/>
        <v>630</v>
      </c>
      <c r="H397" s="70" t="s">
        <v>37</v>
      </c>
      <c r="I397" s="97">
        <v>0</v>
      </c>
      <c r="J397" s="98">
        <f t="shared" si="69"/>
        <v>0</v>
      </c>
      <c r="K397" s="99">
        <v>50</v>
      </c>
      <c r="L397" s="100">
        <f t="shared" si="70"/>
        <v>0</v>
      </c>
      <c r="M397" s="100">
        <f t="shared" si="71"/>
        <v>0</v>
      </c>
      <c r="N397" s="100">
        <v>0</v>
      </c>
      <c r="O397" s="100">
        <f t="shared" si="72"/>
        <v>0</v>
      </c>
      <c r="P397" s="100">
        <f t="shared" si="73"/>
        <v>0</v>
      </c>
      <c r="Q397" s="124">
        <f t="shared" si="74"/>
        <v>0</v>
      </c>
      <c r="R397" s="114"/>
    </row>
    <row r="398" s="34" customFormat="1" ht="18" customHeight="1" spans="1:18">
      <c r="A398" s="61">
        <f>IF(F398&lt;&gt;"",1+MAX($A$2:A397),"")</f>
        <v>361</v>
      </c>
      <c r="B398" s="214"/>
      <c r="C398" s="74"/>
      <c r="D398" s="138" t="s">
        <v>568</v>
      </c>
      <c r="E398" s="76">
        <v>500</v>
      </c>
      <c r="F398" s="65">
        <v>0.05</v>
      </c>
      <c r="G398" s="66">
        <f t="shared" si="68"/>
        <v>525</v>
      </c>
      <c r="H398" s="70" t="s">
        <v>37</v>
      </c>
      <c r="I398" s="97">
        <v>0</v>
      </c>
      <c r="J398" s="98">
        <f t="shared" si="69"/>
        <v>0</v>
      </c>
      <c r="K398" s="99">
        <v>50</v>
      </c>
      <c r="L398" s="100">
        <f t="shared" si="70"/>
        <v>0</v>
      </c>
      <c r="M398" s="100">
        <f t="shared" si="71"/>
        <v>0</v>
      </c>
      <c r="N398" s="100">
        <v>0</v>
      </c>
      <c r="O398" s="100">
        <f t="shared" si="72"/>
        <v>0</v>
      </c>
      <c r="P398" s="100">
        <f t="shared" si="73"/>
        <v>0</v>
      </c>
      <c r="Q398" s="124">
        <f t="shared" si="74"/>
        <v>0</v>
      </c>
      <c r="R398" s="114"/>
    </row>
    <row r="399" s="34" customFormat="1" ht="18" customHeight="1" spans="1:18">
      <c r="A399" s="61">
        <f>IF(F399&lt;&gt;"",1+MAX($A$2:A398),"")</f>
        <v>362</v>
      </c>
      <c r="B399" s="214"/>
      <c r="C399" s="74"/>
      <c r="D399" s="138" t="s">
        <v>574</v>
      </c>
      <c r="E399" s="76">
        <v>380</v>
      </c>
      <c r="F399" s="65">
        <v>0.05</v>
      </c>
      <c r="G399" s="66">
        <f t="shared" si="68"/>
        <v>399</v>
      </c>
      <c r="H399" s="70" t="s">
        <v>37</v>
      </c>
      <c r="I399" s="97">
        <v>0</v>
      </c>
      <c r="J399" s="98">
        <f t="shared" si="69"/>
        <v>0</v>
      </c>
      <c r="K399" s="99">
        <v>50</v>
      </c>
      <c r="L399" s="100">
        <f t="shared" si="70"/>
        <v>0</v>
      </c>
      <c r="M399" s="100">
        <f t="shared" si="71"/>
        <v>0</v>
      </c>
      <c r="N399" s="100">
        <v>0</v>
      </c>
      <c r="O399" s="100">
        <f t="shared" si="72"/>
        <v>0</v>
      </c>
      <c r="P399" s="100">
        <f t="shared" si="73"/>
        <v>0</v>
      </c>
      <c r="Q399" s="124">
        <f t="shared" si="74"/>
        <v>0</v>
      </c>
      <c r="R399" s="114"/>
    </row>
    <row r="400" s="34" customFormat="1" ht="18" customHeight="1" spans="1:18">
      <c r="A400" s="61">
        <f>IF(F400&lt;&gt;"",1+MAX($A$2:A399),"")</f>
        <v>363</v>
      </c>
      <c r="B400" s="214"/>
      <c r="C400" s="74"/>
      <c r="D400" s="138" t="s">
        <v>558</v>
      </c>
      <c r="E400" s="76">
        <v>500</v>
      </c>
      <c r="F400" s="65">
        <v>0.05</v>
      </c>
      <c r="G400" s="66">
        <f t="shared" si="68"/>
        <v>525</v>
      </c>
      <c r="H400" s="70" t="s">
        <v>37</v>
      </c>
      <c r="I400" s="97">
        <v>0</v>
      </c>
      <c r="J400" s="98">
        <f t="shared" si="69"/>
        <v>0</v>
      </c>
      <c r="K400" s="99">
        <v>50</v>
      </c>
      <c r="L400" s="100">
        <f t="shared" si="70"/>
        <v>0</v>
      </c>
      <c r="M400" s="100">
        <f t="shared" si="71"/>
        <v>0</v>
      </c>
      <c r="N400" s="100">
        <v>0</v>
      </c>
      <c r="O400" s="100">
        <f t="shared" si="72"/>
        <v>0</v>
      </c>
      <c r="P400" s="100">
        <f t="shared" si="73"/>
        <v>0</v>
      </c>
      <c r="Q400" s="124">
        <f t="shared" si="74"/>
        <v>0</v>
      </c>
      <c r="R400" s="114"/>
    </row>
    <row r="401" s="34" customFormat="1" ht="18" customHeight="1" spans="1:18">
      <c r="A401" s="61">
        <f>IF(F401&lt;&gt;"",1+MAX($A$2:A400),"")</f>
        <v>364</v>
      </c>
      <c r="B401" s="214"/>
      <c r="C401" s="74"/>
      <c r="D401" s="138" t="s">
        <v>568</v>
      </c>
      <c r="E401" s="76">
        <v>980</v>
      </c>
      <c r="F401" s="65">
        <v>0.05</v>
      </c>
      <c r="G401" s="66">
        <f t="shared" si="68"/>
        <v>1029</v>
      </c>
      <c r="H401" s="70" t="s">
        <v>37</v>
      </c>
      <c r="I401" s="97">
        <v>0</v>
      </c>
      <c r="J401" s="98">
        <f t="shared" si="69"/>
        <v>0</v>
      </c>
      <c r="K401" s="99">
        <v>50</v>
      </c>
      <c r="L401" s="100">
        <f t="shared" si="70"/>
        <v>0</v>
      </c>
      <c r="M401" s="100">
        <f t="shared" si="71"/>
        <v>0</v>
      </c>
      <c r="N401" s="100">
        <v>0</v>
      </c>
      <c r="O401" s="100">
        <f t="shared" si="72"/>
        <v>0</v>
      </c>
      <c r="P401" s="100">
        <f t="shared" si="73"/>
        <v>0</v>
      </c>
      <c r="Q401" s="124">
        <f t="shared" si="74"/>
        <v>0</v>
      </c>
      <c r="R401" s="114"/>
    </row>
    <row r="402" s="34" customFormat="1" ht="18" customHeight="1" spans="1:18">
      <c r="A402" s="61">
        <f>IF(F402&lt;&gt;"",1+MAX($A$2:A401),"")</f>
        <v>365</v>
      </c>
      <c r="B402" s="214"/>
      <c r="C402" s="74"/>
      <c r="D402" s="138" t="s">
        <v>568</v>
      </c>
      <c r="E402" s="76">
        <v>420</v>
      </c>
      <c r="F402" s="65">
        <v>0.05</v>
      </c>
      <c r="G402" s="66">
        <f t="shared" si="68"/>
        <v>441</v>
      </c>
      <c r="H402" s="70" t="s">
        <v>37</v>
      </c>
      <c r="I402" s="97">
        <v>0</v>
      </c>
      <c r="J402" s="98">
        <f t="shared" si="69"/>
        <v>0</v>
      </c>
      <c r="K402" s="99">
        <v>50</v>
      </c>
      <c r="L402" s="100">
        <f t="shared" si="70"/>
        <v>0</v>
      </c>
      <c r="M402" s="100">
        <f t="shared" si="71"/>
        <v>0</v>
      </c>
      <c r="N402" s="100">
        <v>0</v>
      </c>
      <c r="O402" s="100">
        <f t="shared" si="72"/>
        <v>0</v>
      </c>
      <c r="P402" s="100">
        <f t="shared" si="73"/>
        <v>0</v>
      </c>
      <c r="Q402" s="124">
        <f t="shared" si="74"/>
        <v>0</v>
      </c>
      <c r="R402" s="114"/>
    </row>
    <row r="403" s="34" customFormat="1" ht="18" customHeight="1" spans="1:18">
      <c r="A403" s="61">
        <f>IF(F403&lt;&gt;"",1+MAX($A$2:A402),"")</f>
        <v>366</v>
      </c>
      <c r="B403" s="214"/>
      <c r="C403" s="74"/>
      <c r="D403" s="138" t="s">
        <v>568</v>
      </c>
      <c r="E403" s="76">
        <v>350</v>
      </c>
      <c r="F403" s="65">
        <v>0.05</v>
      </c>
      <c r="G403" s="66">
        <f t="shared" si="68"/>
        <v>367.5</v>
      </c>
      <c r="H403" s="70" t="s">
        <v>37</v>
      </c>
      <c r="I403" s="97">
        <v>0</v>
      </c>
      <c r="J403" s="98">
        <f t="shared" si="69"/>
        <v>0</v>
      </c>
      <c r="K403" s="99">
        <v>50</v>
      </c>
      <c r="L403" s="100">
        <f t="shared" si="70"/>
        <v>0</v>
      </c>
      <c r="M403" s="100">
        <f t="shared" si="71"/>
        <v>0</v>
      </c>
      <c r="N403" s="100">
        <v>0</v>
      </c>
      <c r="O403" s="100">
        <f t="shared" si="72"/>
        <v>0</v>
      </c>
      <c r="P403" s="100">
        <f t="shared" si="73"/>
        <v>0</v>
      </c>
      <c r="Q403" s="124">
        <f t="shared" si="74"/>
        <v>0</v>
      </c>
      <c r="R403" s="114"/>
    </row>
    <row r="404" s="34" customFormat="1" ht="18" customHeight="1" spans="1:18">
      <c r="A404" s="61">
        <f>IF(F404&lt;&gt;"",1+MAX($A$2:A403),"")</f>
        <v>367</v>
      </c>
      <c r="B404" s="214"/>
      <c r="C404" s="74"/>
      <c r="D404" s="138" t="s">
        <v>568</v>
      </c>
      <c r="E404" s="76">
        <v>350</v>
      </c>
      <c r="F404" s="65">
        <v>0.05</v>
      </c>
      <c r="G404" s="66">
        <f t="shared" si="68"/>
        <v>367.5</v>
      </c>
      <c r="H404" s="70" t="s">
        <v>37</v>
      </c>
      <c r="I404" s="97">
        <v>0</v>
      </c>
      <c r="J404" s="98">
        <f t="shared" si="69"/>
        <v>0</v>
      </c>
      <c r="K404" s="99">
        <v>50</v>
      </c>
      <c r="L404" s="100">
        <f t="shared" si="70"/>
        <v>0</v>
      </c>
      <c r="M404" s="100">
        <f t="shared" si="71"/>
        <v>0</v>
      </c>
      <c r="N404" s="100">
        <v>0</v>
      </c>
      <c r="O404" s="100">
        <f t="shared" si="72"/>
        <v>0</v>
      </c>
      <c r="P404" s="100">
        <f t="shared" si="73"/>
        <v>0</v>
      </c>
      <c r="Q404" s="124">
        <f t="shared" si="74"/>
        <v>0</v>
      </c>
      <c r="R404" s="114"/>
    </row>
    <row r="405" s="34" customFormat="1" ht="18" customHeight="1" spans="1:18">
      <c r="A405" s="61">
        <f>IF(F405&lt;&gt;"",1+MAX($A$2:A404),"")</f>
        <v>368</v>
      </c>
      <c r="B405" s="214"/>
      <c r="C405" s="74"/>
      <c r="D405" s="138" t="s">
        <v>575</v>
      </c>
      <c r="E405" s="76">
        <v>460</v>
      </c>
      <c r="F405" s="65">
        <v>0.05</v>
      </c>
      <c r="G405" s="66">
        <f t="shared" si="68"/>
        <v>483</v>
      </c>
      <c r="H405" s="70" t="s">
        <v>37</v>
      </c>
      <c r="I405" s="97">
        <v>0</v>
      </c>
      <c r="J405" s="98">
        <f t="shared" si="69"/>
        <v>0</v>
      </c>
      <c r="K405" s="99">
        <v>50</v>
      </c>
      <c r="L405" s="100">
        <f t="shared" si="70"/>
        <v>0</v>
      </c>
      <c r="M405" s="100">
        <f t="shared" si="71"/>
        <v>0</v>
      </c>
      <c r="N405" s="100">
        <v>0</v>
      </c>
      <c r="O405" s="100">
        <f t="shared" si="72"/>
        <v>0</v>
      </c>
      <c r="P405" s="100">
        <f t="shared" si="73"/>
        <v>0</v>
      </c>
      <c r="Q405" s="124">
        <f t="shared" si="74"/>
        <v>0</v>
      </c>
      <c r="R405" s="114"/>
    </row>
    <row r="406" s="34" customFormat="1" ht="18" customHeight="1" spans="1:18">
      <c r="A406" s="61">
        <f>IF(F406&lt;&gt;"",1+MAX($A$2:A405),"")</f>
        <v>369</v>
      </c>
      <c r="B406" s="214"/>
      <c r="C406" s="74"/>
      <c r="D406" s="138" t="s">
        <v>568</v>
      </c>
      <c r="E406" s="76">
        <v>660</v>
      </c>
      <c r="F406" s="65">
        <v>0.05</v>
      </c>
      <c r="G406" s="66">
        <f t="shared" si="68"/>
        <v>693</v>
      </c>
      <c r="H406" s="70" t="s">
        <v>37</v>
      </c>
      <c r="I406" s="97">
        <v>0</v>
      </c>
      <c r="J406" s="98">
        <f t="shared" si="69"/>
        <v>0</v>
      </c>
      <c r="K406" s="99">
        <v>50</v>
      </c>
      <c r="L406" s="100">
        <f t="shared" si="70"/>
        <v>0</v>
      </c>
      <c r="M406" s="100">
        <f t="shared" si="71"/>
        <v>0</v>
      </c>
      <c r="N406" s="100">
        <v>0</v>
      </c>
      <c r="O406" s="100">
        <f t="shared" si="72"/>
        <v>0</v>
      </c>
      <c r="P406" s="100">
        <f t="shared" si="73"/>
        <v>0</v>
      </c>
      <c r="Q406" s="124">
        <f t="shared" si="74"/>
        <v>0</v>
      </c>
      <c r="R406" s="114"/>
    </row>
    <row r="407" s="34" customFormat="1" ht="18" customHeight="1" spans="1:18">
      <c r="A407" s="61">
        <f>IF(F407&lt;&gt;"",1+MAX($A$2:A406),"")</f>
        <v>370</v>
      </c>
      <c r="B407" s="214"/>
      <c r="C407" s="74"/>
      <c r="D407" s="138" t="s">
        <v>570</v>
      </c>
      <c r="E407" s="76">
        <v>460</v>
      </c>
      <c r="F407" s="65">
        <v>0.05</v>
      </c>
      <c r="G407" s="66">
        <f t="shared" si="68"/>
        <v>483</v>
      </c>
      <c r="H407" s="70" t="s">
        <v>37</v>
      </c>
      <c r="I407" s="97">
        <v>0</v>
      </c>
      <c r="J407" s="98">
        <f t="shared" si="69"/>
        <v>0</v>
      </c>
      <c r="K407" s="99">
        <v>50</v>
      </c>
      <c r="L407" s="100">
        <f t="shared" si="70"/>
        <v>0</v>
      </c>
      <c r="M407" s="100">
        <f t="shared" si="71"/>
        <v>0</v>
      </c>
      <c r="N407" s="100">
        <v>0</v>
      </c>
      <c r="O407" s="100">
        <f t="shared" si="72"/>
        <v>0</v>
      </c>
      <c r="P407" s="100">
        <f t="shared" si="73"/>
        <v>0</v>
      </c>
      <c r="Q407" s="124">
        <f t="shared" si="74"/>
        <v>0</v>
      </c>
      <c r="R407" s="114"/>
    </row>
    <row r="408" s="34" customFormat="1" ht="18" customHeight="1" spans="1:18">
      <c r="A408" s="61">
        <f>IF(F408&lt;&gt;"",1+MAX($A$2:A407),"")</f>
        <v>371</v>
      </c>
      <c r="B408" s="214"/>
      <c r="C408" s="74"/>
      <c r="D408" s="138" t="s">
        <v>567</v>
      </c>
      <c r="E408" s="76">
        <v>330</v>
      </c>
      <c r="F408" s="65">
        <v>0.05</v>
      </c>
      <c r="G408" s="66">
        <f t="shared" si="68"/>
        <v>346.5</v>
      </c>
      <c r="H408" s="70" t="s">
        <v>37</v>
      </c>
      <c r="I408" s="97">
        <v>0</v>
      </c>
      <c r="J408" s="98">
        <f t="shared" si="69"/>
        <v>0</v>
      </c>
      <c r="K408" s="99">
        <v>50</v>
      </c>
      <c r="L408" s="100">
        <f t="shared" si="70"/>
        <v>0</v>
      </c>
      <c r="M408" s="100">
        <f t="shared" si="71"/>
        <v>0</v>
      </c>
      <c r="N408" s="100">
        <v>0</v>
      </c>
      <c r="O408" s="100">
        <f t="shared" si="72"/>
        <v>0</v>
      </c>
      <c r="P408" s="100">
        <f t="shared" si="73"/>
        <v>0</v>
      </c>
      <c r="Q408" s="124">
        <f t="shared" si="74"/>
        <v>0</v>
      </c>
      <c r="R408" s="114"/>
    </row>
    <row r="409" s="34" customFormat="1" ht="18" customHeight="1" spans="1:18">
      <c r="A409" s="61">
        <f>IF(F409&lt;&gt;"",1+MAX($A$2:A408),"")</f>
        <v>372</v>
      </c>
      <c r="B409" s="214"/>
      <c r="C409" s="74"/>
      <c r="D409" s="138" t="s">
        <v>563</v>
      </c>
      <c r="E409" s="76">
        <v>50</v>
      </c>
      <c r="F409" s="65">
        <v>0.05</v>
      </c>
      <c r="G409" s="66">
        <f t="shared" si="68"/>
        <v>52.5</v>
      </c>
      <c r="H409" s="70" t="s">
        <v>37</v>
      </c>
      <c r="I409" s="97">
        <v>0</v>
      </c>
      <c r="J409" s="98">
        <f t="shared" si="69"/>
        <v>0</v>
      </c>
      <c r="K409" s="99">
        <v>50</v>
      </c>
      <c r="L409" s="100">
        <f t="shared" si="70"/>
        <v>0</v>
      </c>
      <c r="M409" s="100">
        <f t="shared" si="71"/>
        <v>0</v>
      </c>
      <c r="N409" s="100">
        <v>0</v>
      </c>
      <c r="O409" s="100">
        <f t="shared" si="72"/>
        <v>0</v>
      </c>
      <c r="P409" s="100">
        <f t="shared" si="73"/>
        <v>0</v>
      </c>
      <c r="Q409" s="124">
        <f t="shared" si="74"/>
        <v>0</v>
      </c>
      <c r="R409" s="114"/>
    </row>
    <row r="410" s="34" customFormat="1" ht="18" customHeight="1" spans="1:18">
      <c r="A410" s="61">
        <f>IF(F410&lt;&gt;"",1+MAX($A$2:A409),"")</f>
        <v>373</v>
      </c>
      <c r="B410" s="214"/>
      <c r="C410" s="74"/>
      <c r="D410" s="138" t="s">
        <v>563</v>
      </c>
      <c r="E410" s="76">
        <v>350</v>
      </c>
      <c r="F410" s="65">
        <v>0.05</v>
      </c>
      <c r="G410" s="66">
        <f t="shared" si="68"/>
        <v>367.5</v>
      </c>
      <c r="H410" s="70" t="s">
        <v>37</v>
      </c>
      <c r="I410" s="97">
        <v>0</v>
      </c>
      <c r="J410" s="98">
        <f t="shared" si="69"/>
        <v>0</v>
      </c>
      <c r="K410" s="99">
        <v>50</v>
      </c>
      <c r="L410" s="100">
        <f t="shared" si="70"/>
        <v>0</v>
      </c>
      <c r="M410" s="100">
        <f t="shared" si="71"/>
        <v>0</v>
      </c>
      <c r="N410" s="100">
        <v>0</v>
      </c>
      <c r="O410" s="100">
        <f t="shared" si="72"/>
        <v>0</v>
      </c>
      <c r="P410" s="100">
        <f t="shared" si="73"/>
        <v>0</v>
      </c>
      <c r="Q410" s="124">
        <f t="shared" si="74"/>
        <v>0</v>
      </c>
      <c r="R410" s="114"/>
    </row>
    <row r="411" s="34" customFormat="1" ht="18" customHeight="1" spans="1:18">
      <c r="A411" s="61">
        <f>IF(F411&lt;&gt;"",1+MAX($A$2:A410),"")</f>
        <v>374</v>
      </c>
      <c r="B411" s="214"/>
      <c r="C411" s="74"/>
      <c r="D411" s="138" t="s">
        <v>563</v>
      </c>
      <c r="E411" s="76">
        <v>350</v>
      </c>
      <c r="F411" s="65">
        <v>0.05</v>
      </c>
      <c r="G411" s="66">
        <f t="shared" si="68"/>
        <v>367.5</v>
      </c>
      <c r="H411" s="70" t="s">
        <v>37</v>
      </c>
      <c r="I411" s="97">
        <v>0</v>
      </c>
      <c r="J411" s="98">
        <f t="shared" si="69"/>
        <v>0</v>
      </c>
      <c r="K411" s="99">
        <v>50</v>
      </c>
      <c r="L411" s="100">
        <f t="shared" si="70"/>
        <v>0</v>
      </c>
      <c r="M411" s="100">
        <f t="shared" si="71"/>
        <v>0</v>
      </c>
      <c r="N411" s="100">
        <v>0</v>
      </c>
      <c r="O411" s="100">
        <f t="shared" si="72"/>
        <v>0</v>
      </c>
      <c r="P411" s="100">
        <f t="shared" si="73"/>
        <v>0</v>
      </c>
      <c r="Q411" s="124">
        <f t="shared" si="74"/>
        <v>0</v>
      </c>
      <c r="R411" s="114"/>
    </row>
    <row r="412" s="34" customFormat="1" ht="18" customHeight="1" spans="1:18">
      <c r="A412" s="61">
        <f>IF(F412&lt;&gt;"",1+MAX($A$2:A411),"")</f>
        <v>375</v>
      </c>
      <c r="B412" s="214"/>
      <c r="C412" s="74"/>
      <c r="D412" s="138" t="s">
        <v>563</v>
      </c>
      <c r="E412" s="76">
        <v>500</v>
      </c>
      <c r="F412" s="65">
        <v>0.05</v>
      </c>
      <c r="G412" s="66">
        <f t="shared" si="68"/>
        <v>525</v>
      </c>
      <c r="H412" s="70" t="s">
        <v>37</v>
      </c>
      <c r="I412" s="97">
        <v>0</v>
      </c>
      <c r="J412" s="98">
        <f t="shared" si="69"/>
        <v>0</v>
      </c>
      <c r="K412" s="99">
        <v>50</v>
      </c>
      <c r="L412" s="100">
        <f t="shared" si="70"/>
        <v>0</v>
      </c>
      <c r="M412" s="100">
        <f t="shared" si="71"/>
        <v>0</v>
      </c>
      <c r="N412" s="100">
        <v>0</v>
      </c>
      <c r="O412" s="100">
        <f t="shared" si="72"/>
        <v>0</v>
      </c>
      <c r="P412" s="100">
        <f t="shared" si="73"/>
        <v>0</v>
      </c>
      <c r="Q412" s="124">
        <f t="shared" si="74"/>
        <v>0</v>
      </c>
      <c r="R412" s="114"/>
    </row>
    <row r="413" s="34" customFormat="1" ht="18" customHeight="1" spans="1:18">
      <c r="A413" s="61">
        <f>IF(F413&lt;&gt;"",1+MAX($A$2:A412),"")</f>
        <v>376</v>
      </c>
      <c r="B413" s="214"/>
      <c r="C413" s="74"/>
      <c r="D413" s="138" t="s">
        <v>576</v>
      </c>
      <c r="E413" s="76">
        <v>230</v>
      </c>
      <c r="F413" s="65">
        <v>0.05</v>
      </c>
      <c r="G413" s="66">
        <f t="shared" si="68"/>
        <v>241.5</v>
      </c>
      <c r="H413" s="70" t="s">
        <v>37</v>
      </c>
      <c r="I413" s="97">
        <v>0</v>
      </c>
      <c r="J413" s="98">
        <f t="shared" si="69"/>
        <v>0</v>
      </c>
      <c r="K413" s="99">
        <v>50</v>
      </c>
      <c r="L413" s="100">
        <f t="shared" si="70"/>
        <v>0</v>
      </c>
      <c r="M413" s="100">
        <f t="shared" si="71"/>
        <v>0</v>
      </c>
      <c r="N413" s="100">
        <v>0</v>
      </c>
      <c r="O413" s="100">
        <f t="shared" si="72"/>
        <v>0</v>
      </c>
      <c r="P413" s="100">
        <f t="shared" si="73"/>
        <v>0</v>
      </c>
      <c r="Q413" s="124">
        <f t="shared" si="74"/>
        <v>0</v>
      </c>
      <c r="R413" s="114"/>
    </row>
    <row r="414" s="34" customFormat="1" ht="18" customHeight="1" spans="1:18">
      <c r="A414" s="61">
        <f>IF(F414&lt;&gt;"",1+MAX($A$2:A413),"")</f>
        <v>377</v>
      </c>
      <c r="B414" s="214"/>
      <c r="C414" s="74"/>
      <c r="D414" s="138" t="s">
        <v>577</v>
      </c>
      <c r="E414" s="76">
        <v>300</v>
      </c>
      <c r="F414" s="65">
        <v>0.05</v>
      </c>
      <c r="G414" s="66">
        <f t="shared" si="68"/>
        <v>315</v>
      </c>
      <c r="H414" s="70" t="s">
        <v>37</v>
      </c>
      <c r="I414" s="97">
        <v>0</v>
      </c>
      <c r="J414" s="98">
        <f t="shared" si="69"/>
        <v>0</v>
      </c>
      <c r="K414" s="99">
        <v>50</v>
      </c>
      <c r="L414" s="100">
        <f t="shared" si="70"/>
        <v>0</v>
      </c>
      <c r="M414" s="100">
        <f t="shared" si="71"/>
        <v>0</v>
      </c>
      <c r="N414" s="100">
        <v>0</v>
      </c>
      <c r="O414" s="100">
        <f t="shared" si="72"/>
        <v>0</v>
      </c>
      <c r="P414" s="100">
        <f t="shared" si="73"/>
        <v>0</v>
      </c>
      <c r="Q414" s="124">
        <f t="shared" si="74"/>
        <v>0</v>
      </c>
      <c r="R414" s="114"/>
    </row>
    <row r="415" s="34" customFormat="1" ht="18" customHeight="1" spans="1:18">
      <c r="A415" s="61">
        <f>IF(F415&lt;&gt;"",1+MAX($A$2:A414),"")</f>
        <v>378</v>
      </c>
      <c r="B415" s="214"/>
      <c r="C415" s="74"/>
      <c r="D415" s="138" t="s">
        <v>576</v>
      </c>
      <c r="E415" s="76">
        <v>230</v>
      </c>
      <c r="F415" s="65">
        <v>0.05</v>
      </c>
      <c r="G415" s="66">
        <f t="shared" si="68"/>
        <v>241.5</v>
      </c>
      <c r="H415" s="70" t="s">
        <v>37</v>
      </c>
      <c r="I415" s="97">
        <v>0</v>
      </c>
      <c r="J415" s="98">
        <f t="shared" si="69"/>
        <v>0</v>
      </c>
      <c r="K415" s="99">
        <v>50</v>
      </c>
      <c r="L415" s="100">
        <f t="shared" si="70"/>
        <v>0</v>
      </c>
      <c r="M415" s="100">
        <f t="shared" si="71"/>
        <v>0</v>
      </c>
      <c r="N415" s="100">
        <v>0</v>
      </c>
      <c r="O415" s="100">
        <f t="shared" si="72"/>
        <v>0</v>
      </c>
      <c r="P415" s="100">
        <f t="shared" si="73"/>
        <v>0</v>
      </c>
      <c r="Q415" s="124">
        <f t="shared" si="74"/>
        <v>0</v>
      </c>
      <c r="R415" s="114"/>
    </row>
    <row r="416" s="34" customFormat="1" ht="18" customHeight="1" spans="1:18">
      <c r="A416" s="61">
        <f>IF(F416&lt;&gt;"",1+MAX($A$2:A415),"")</f>
        <v>379</v>
      </c>
      <c r="B416" s="214"/>
      <c r="C416" s="74"/>
      <c r="D416" s="138" t="s">
        <v>577</v>
      </c>
      <c r="E416" s="76">
        <v>300</v>
      </c>
      <c r="F416" s="65">
        <v>0.05</v>
      </c>
      <c r="G416" s="66">
        <f t="shared" si="68"/>
        <v>315</v>
      </c>
      <c r="H416" s="70" t="s">
        <v>37</v>
      </c>
      <c r="I416" s="97">
        <v>0</v>
      </c>
      <c r="J416" s="98">
        <f t="shared" si="69"/>
        <v>0</v>
      </c>
      <c r="K416" s="99">
        <v>50</v>
      </c>
      <c r="L416" s="100">
        <f t="shared" si="70"/>
        <v>0</v>
      </c>
      <c r="M416" s="100">
        <f t="shared" si="71"/>
        <v>0</v>
      </c>
      <c r="N416" s="100">
        <v>0</v>
      </c>
      <c r="O416" s="100">
        <f t="shared" si="72"/>
        <v>0</v>
      </c>
      <c r="P416" s="100">
        <f t="shared" si="73"/>
        <v>0</v>
      </c>
      <c r="Q416" s="124">
        <f t="shared" si="74"/>
        <v>0</v>
      </c>
      <c r="R416" s="114"/>
    </row>
    <row r="417" s="34" customFormat="1" ht="18" customHeight="1" spans="1:18">
      <c r="A417" s="61">
        <f>IF(F417&lt;&gt;"",1+MAX($A$2:A416),"")</f>
        <v>380</v>
      </c>
      <c r="B417" s="214"/>
      <c r="C417" s="74"/>
      <c r="D417" s="138" t="s">
        <v>577</v>
      </c>
      <c r="E417" s="76">
        <v>220</v>
      </c>
      <c r="F417" s="65">
        <v>0.05</v>
      </c>
      <c r="G417" s="66">
        <f t="shared" si="68"/>
        <v>231</v>
      </c>
      <c r="H417" s="70" t="s">
        <v>37</v>
      </c>
      <c r="I417" s="97">
        <v>0</v>
      </c>
      <c r="J417" s="98">
        <f t="shared" si="69"/>
        <v>0</v>
      </c>
      <c r="K417" s="99">
        <v>50</v>
      </c>
      <c r="L417" s="100">
        <f t="shared" si="70"/>
        <v>0</v>
      </c>
      <c r="M417" s="100">
        <f t="shared" si="71"/>
        <v>0</v>
      </c>
      <c r="N417" s="100">
        <v>0</v>
      </c>
      <c r="O417" s="100">
        <f t="shared" si="72"/>
        <v>0</v>
      </c>
      <c r="P417" s="100">
        <f t="shared" si="73"/>
        <v>0</v>
      </c>
      <c r="Q417" s="124">
        <f t="shared" si="74"/>
        <v>0</v>
      </c>
      <c r="R417" s="114"/>
    </row>
    <row r="418" s="34" customFormat="1" ht="18" customHeight="1" spans="1:18">
      <c r="A418" s="61">
        <f>IF(F418&lt;&gt;"",1+MAX($A$2:A417),"")</f>
        <v>381</v>
      </c>
      <c r="B418" s="214"/>
      <c r="C418" s="74"/>
      <c r="D418" s="138" t="s">
        <v>573</v>
      </c>
      <c r="E418" s="76">
        <v>220</v>
      </c>
      <c r="F418" s="65">
        <v>0.05</v>
      </c>
      <c r="G418" s="66">
        <f t="shared" si="68"/>
        <v>231</v>
      </c>
      <c r="H418" s="70" t="s">
        <v>37</v>
      </c>
      <c r="I418" s="97">
        <v>0</v>
      </c>
      <c r="J418" s="98">
        <f t="shared" si="69"/>
        <v>0</v>
      </c>
      <c r="K418" s="99">
        <v>50</v>
      </c>
      <c r="L418" s="100">
        <f t="shared" si="70"/>
        <v>0</v>
      </c>
      <c r="M418" s="100">
        <f t="shared" si="71"/>
        <v>0</v>
      </c>
      <c r="N418" s="100">
        <v>0</v>
      </c>
      <c r="O418" s="100">
        <f t="shared" si="72"/>
        <v>0</v>
      </c>
      <c r="P418" s="100">
        <f t="shared" si="73"/>
        <v>0</v>
      </c>
      <c r="Q418" s="124">
        <f t="shared" si="74"/>
        <v>0</v>
      </c>
      <c r="R418" s="114"/>
    </row>
    <row r="419" s="34" customFormat="1" ht="18" customHeight="1" spans="1:18">
      <c r="A419" s="61">
        <f>IF(F419&lt;&gt;"",1+MAX($A$2:A418),"")</f>
        <v>382</v>
      </c>
      <c r="B419" s="214"/>
      <c r="C419" s="74"/>
      <c r="D419" s="138" t="s">
        <v>578</v>
      </c>
      <c r="E419" s="76">
        <v>160</v>
      </c>
      <c r="F419" s="65">
        <v>0.05</v>
      </c>
      <c r="G419" s="66">
        <f t="shared" si="68"/>
        <v>168</v>
      </c>
      <c r="H419" s="70" t="s">
        <v>37</v>
      </c>
      <c r="I419" s="97">
        <v>0</v>
      </c>
      <c r="J419" s="98">
        <f t="shared" si="69"/>
        <v>0</v>
      </c>
      <c r="K419" s="99">
        <v>50</v>
      </c>
      <c r="L419" s="100">
        <f t="shared" si="70"/>
        <v>0</v>
      </c>
      <c r="M419" s="100">
        <f t="shared" si="71"/>
        <v>0</v>
      </c>
      <c r="N419" s="100">
        <v>0</v>
      </c>
      <c r="O419" s="100">
        <f t="shared" si="72"/>
        <v>0</v>
      </c>
      <c r="P419" s="100">
        <f t="shared" si="73"/>
        <v>0</v>
      </c>
      <c r="Q419" s="124">
        <f t="shared" si="74"/>
        <v>0</v>
      </c>
      <c r="R419" s="114"/>
    </row>
    <row r="420" s="34" customFormat="1" ht="18" customHeight="1" spans="1:18">
      <c r="A420" s="61">
        <f>IF(F420&lt;&gt;"",1+MAX($A$2:A419),"")</f>
        <v>383</v>
      </c>
      <c r="B420" s="214"/>
      <c r="C420" s="74"/>
      <c r="D420" s="138" t="s">
        <v>576</v>
      </c>
      <c r="E420" s="76">
        <v>450</v>
      </c>
      <c r="F420" s="65">
        <v>0.05</v>
      </c>
      <c r="G420" s="66">
        <f t="shared" si="68"/>
        <v>472.5</v>
      </c>
      <c r="H420" s="70" t="s">
        <v>37</v>
      </c>
      <c r="I420" s="97">
        <v>0</v>
      </c>
      <c r="J420" s="98">
        <f t="shared" si="69"/>
        <v>0</v>
      </c>
      <c r="K420" s="99">
        <v>50</v>
      </c>
      <c r="L420" s="100">
        <f t="shared" si="70"/>
        <v>0</v>
      </c>
      <c r="M420" s="100">
        <f t="shared" si="71"/>
        <v>0</v>
      </c>
      <c r="N420" s="100">
        <v>0</v>
      </c>
      <c r="O420" s="100">
        <f t="shared" si="72"/>
        <v>0</v>
      </c>
      <c r="P420" s="100">
        <f t="shared" si="73"/>
        <v>0</v>
      </c>
      <c r="Q420" s="124">
        <f t="shared" si="74"/>
        <v>0</v>
      </c>
      <c r="R420" s="114"/>
    </row>
    <row r="421" s="34" customFormat="1" ht="18" customHeight="1" spans="1:18">
      <c r="A421" s="61">
        <f>IF(F421&lt;&gt;"",1+MAX($A$2:A420),"")</f>
        <v>384</v>
      </c>
      <c r="B421" s="214"/>
      <c r="C421" s="74"/>
      <c r="D421" s="138" t="s">
        <v>569</v>
      </c>
      <c r="E421" s="76">
        <v>500</v>
      </c>
      <c r="F421" s="65">
        <v>0.05</v>
      </c>
      <c r="G421" s="66">
        <f t="shared" si="68"/>
        <v>525</v>
      </c>
      <c r="H421" s="70" t="s">
        <v>37</v>
      </c>
      <c r="I421" s="97">
        <v>0</v>
      </c>
      <c r="J421" s="98">
        <f t="shared" si="69"/>
        <v>0</v>
      </c>
      <c r="K421" s="99">
        <v>50</v>
      </c>
      <c r="L421" s="100">
        <f t="shared" si="70"/>
        <v>0</v>
      </c>
      <c r="M421" s="100">
        <f t="shared" si="71"/>
        <v>0</v>
      </c>
      <c r="N421" s="100">
        <v>0</v>
      </c>
      <c r="O421" s="100">
        <f t="shared" si="72"/>
        <v>0</v>
      </c>
      <c r="P421" s="100">
        <f t="shared" si="73"/>
        <v>0</v>
      </c>
      <c r="Q421" s="124">
        <f t="shared" si="74"/>
        <v>0</v>
      </c>
      <c r="R421" s="114"/>
    </row>
    <row r="422" s="34" customFormat="1" ht="18" customHeight="1" spans="1:18">
      <c r="A422" s="61">
        <f>IF(F422&lt;&gt;"",1+MAX($A$2:A421),"")</f>
        <v>385</v>
      </c>
      <c r="B422" s="214"/>
      <c r="C422" s="74"/>
      <c r="D422" s="138" t="s">
        <v>579</v>
      </c>
      <c r="E422" s="76">
        <v>600</v>
      </c>
      <c r="F422" s="65">
        <v>0.05</v>
      </c>
      <c r="G422" s="66">
        <f t="shared" si="68"/>
        <v>630</v>
      </c>
      <c r="H422" s="70" t="s">
        <v>37</v>
      </c>
      <c r="I422" s="97">
        <v>0</v>
      </c>
      <c r="J422" s="98">
        <f t="shared" si="69"/>
        <v>0</v>
      </c>
      <c r="K422" s="99">
        <v>50</v>
      </c>
      <c r="L422" s="100">
        <f t="shared" si="70"/>
        <v>0</v>
      </c>
      <c r="M422" s="100">
        <f t="shared" si="71"/>
        <v>0</v>
      </c>
      <c r="N422" s="100">
        <v>0</v>
      </c>
      <c r="O422" s="100">
        <f t="shared" si="72"/>
        <v>0</v>
      </c>
      <c r="P422" s="100">
        <f t="shared" si="73"/>
        <v>0</v>
      </c>
      <c r="Q422" s="124">
        <f t="shared" si="74"/>
        <v>0</v>
      </c>
      <c r="R422" s="114"/>
    </row>
    <row r="423" s="34" customFormat="1" ht="18" customHeight="1" spans="1:18">
      <c r="A423" s="61">
        <f>IF(F423&lt;&gt;"",1+MAX($A$2:A422),"")</f>
        <v>386</v>
      </c>
      <c r="B423" s="214"/>
      <c r="C423" s="74"/>
      <c r="D423" s="138" t="s">
        <v>576</v>
      </c>
      <c r="E423" s="76">
        <v>400</v>
      </c>
      <c r="F423" s="65">
        <v>0.05</v>
      </c>
      <c r="G423" s="66">
        <f t="shared" si="68"/>
        <v>420</v>
      </c>
      <c r="H423" s="70" t="s">
        <v>37</v>
      </c>
      <c r="I423" s="97">
        <v>0</v>
      </c>
      <c r="J423" s="98">
        <f t="shared" si="69"/>
        <v>0</v>
      </c>
      <c r="K423" s="99">
        <v>50</v>
      </c>
      <c r="L423" s="100">
        <f t="shared" si="70"/>
        <v>0</v>
      </c>
      <c r="M423" s="100">
        <f t="shared" si="71"/>
        <v>0</v>
      </c>
      <c r="N423" s="100">
        <v>0</v>
      </c>
      <c r="O423" s="100">
        <f t="shared" si="72"/>
        <v>0</v>
      </c>
      <c r="P423" s="100">
        <f t="shared" si="73"/>
        <v>0</v>
      </c>
      <c r="Q423" s="124">
        <f t="shared" si="74"/>
        <v>0</v>
      </c>
      <c r="R423" s="114"/>
    </row>
    <row r="424" s="34" customFormat="1" ht="18" customHeight="1" spans="1:18">
      <c r="A424" s="61">
        <f>IF(F424&lt;&gt;"",1+MAX($A$2:A423),"")</f>
        <v>387</v>
      </c>
      <c r="B424" s="214"/>
      <c r="C424" s="74"/>
      <c r="D424" s="138" t="s">
        <v>577</v>
      </c>
      <c r="E424" s="76">
        <v>550</v>
      </c>
      <c r="F424" s="65">
        <v>0.05</v>
      </c>
      <c r="G424" s="66">
        <f t="shared" si="68"/>
        <v>577.5</v>
      </c>
      <c r="H424" s="70" t="s">
        <v>37</v>
      </c>
      <c r="I424" s="97">
        <v>0</v>
      </c>
      <c r="J424" s="98">
        <f t="shared" si="69"/>
        <v>0</v>
      </c>
      <c r="K424" s="99">
        <v>50</v>
      </c>
      <c r="L424" s="100">
        <f t="shared" si="70"/>
        <v>0</v>
      </c>
      <c r="M424" s="100">
        <f t="shared" si="71"/>
        <v>0</v>
      </c>
      <c r="N424" s="100">
        <v>0</v>
      </c>
      <c r="O424" s="100">
        <f t="shared" si="72"/>
        <v>0</v>
      </c>
      <c r="P424" s="100">
        <f t="shared" si="73"/>
        <v>0</v>
      </c>
      <c r="Q424" s="124">
        <f t="shared" si="74"/>
        <v>0</v>
      </c>
      <c r="R424" s="114"/>
    </row>
    <row r="425" s="34" customFormat="1" ht="18" customHeight="1" spans="1:18">
      <c r="A425" s="61">
        <f>IF(F425&lt;&gt;"",1+MAX($A$2:A424),"")</f>
        <v>388</v>
      </c>
      <c r="B425" s="214"/>
      <c r="C425" s="74"/>
      <c r="D425" s="138" t="s">
        <v>573</v>
      </c>
      <c r="E425" s="76">
        <v>375</v>
      </c>
      <c r="F425" s="65">
        <v>0.05</v>
      </c>
      <c r="G425" s="66">
        <f t="shared" si="68"/>
        <v>393.75</v>
      </c>
      <c r="H425" s="70" t="s">
        <v>37</v>
      </c>
      <c r="I425" s="97">
        <v>0</v>
      </c>
      <c r="J425" s="98">
        <f t="shared" si="69"/>
        <v>0</v>
      </c>
      <c r="K425" s="99">
        <v>50</v>
      </c>
      <c r="L425" s="100">
        <f t="shared" si="70"/>
        <v>0</v>
      </c>
      <c r="M425" s="100">
        <f t="shared" si="71"/>
        <v>0</v>
      </c>
      <c r="N425" s="100">
        <v>0</v>
      </c>
      <c r="O425" s="100">
        <f t="shared" si="72"/>
        <v>0</v>
      </c>
      <c r="P425" s="100">
        <f t="shared" si="73"/>
        <v>0</v>
      </c>
      <c r="Q425" s="124">
        <f t="shared" si="74"/>
        <v>0</v>
      </c>
      <c r="R425" s="114"/>
    </row>
    <row r="426" s="34" customFormat="1" ht="18" customHeight="1" spans="1:18">
      <c r="A426" s="61">
        <f>IF(F426&lt;&gt;"",1+MAX($A$2:A425),"")</f>
        <v>389</v>
      </c>
      <c r="B426" s="214"/>
      <c r="C426" s="74"/>
      <c r="D426" s="138" t="s">
        <v>580</v>
      </c>
      <c r="E426" s="76">
        <v>250</v>
      </c>
      <c r="F426" s="65">
        <v>0.05</v>
      </c>
      <c r="G426" s="66">
        <f t="shared" si="68"/>
        <v>262.5</v>
      </c>
      <c r="H426" s="70" t="s">
        <v>37</v>
      </c>
      <c r="I426" s="97">
        <v>0</v>
      </c>
      <c r="J426" s="98">
        <f t="shared" si="69"/>
        <v>0</v>
      </c>
      <c r="K426" s="99">
        <v>50</v>
      </c>
      <c r="L426" s="100">
        <f t="shared" si="70"/>
        <v>0</v>
      </c>
      <c r="M426" s="100">
        <f t="shared" si="71"/>
        <v>0</v>
      </c>
      <c r="N426" s="100">
        <v>0</v>
      </c>
      <c r="O426" s="100">
        <f t="shared" si="72"/>
        <v>0</v>
      </c>
      <c r="P426" s="100">
        <f t="shared" si="73"/>
        <v>0</v>
      </c>
      <c r="Q426" s="124">
        <f t="shared" si="74"/>
        <v>0</v>
      </c>
      <c r="R426" s="114"/>
    </row>
    <row r="427" s="34" customFormat="1" ht="18" customHeight="1" spans="1:18">
      <c r="A427" s="61">
        <f>IF(F427&lt;&gt;"",1+MAX($A$2:A426),"")</f>
        <v>390</v>
      </c>
      <c r="B427" s="214"/>
      <c r="C427" s="74"/>
      <c r="D427" s="138" t="s">
        <v>573</v>
      </c>
      <c r="E427" s="76">
        <v>20</v>
      </c>
      <c r="F427" s="65">
        <v>0.05</v>
      </c>
      <c r="G427" s="66">
        <f t="shared" si="68"/>
        <v>21</v>
      </c>
      <c r="H427" s="70" t="s">
        <v>37</v>
      </c>
      <c r="I427" s="97">
        <v>0</v>
      </c>
      <c r="J427" s="98">
        <f t="shared" si="69"/>
        <v>0</v>
      </c>
      <c r="K427" s="99">
        <v>50</v>
      </c>
      <c r="L427" s="100">
        <f t="shared" si="70"/>
        <v>0</v>
      </c>
      <c r="M427" s="100">
        <f t="shared" si="71"/>
        <v>0</v>
      </c>
      <c r="N427" s="100">
        <v>0</v>
      </c>
      <c r="O427" s="100">
        <f t="shared" si="72"/>
        <v>0</v>
      </c>
      <c r="P427" s="100">
        <f t="shared" si="73"/>
        <v>0</v>
      </c>
      <c r="Q427" s="124">
        <f t="shared" si="74"/>
        <v>0</v>
      </c>
      <c r="R427" s="114"/>
    </row>
    <row r="428" s="34" customFormat="1" ht="18" customHeight="1" spans="1:18">
      <c r="A428" s="61">
        <f>IF(F428&lt;&gt;"",1+MAX($A$2:A427),"")</f>
        <v>391</v>
      </c>
      <c r="B428" s="214"/>
      <c r="C428" s="74"/>
      <c r="D428" s="138" t="s">
        <v>565</v>
      </c>
      <c r="E428" s="76">
        <v>420</v>
      </c>
      <c r="F428" s="65">
        <v>0.05</v>
      </c>
      <c r="G428" s="66">
        <f t="shared" si="68"/>
        <v>441</v>
      </c>
      <c r="H428" s="70" t="s">
        <v>37</v>
      </c>
      <c r="I428" s="97">
        <v>0</v>
      </c>
      <c r="J428" s="98">
        <f t="shared" si="69"/>
        <v>0</v>
      </c>
      <c r="K428" s="99">
        <v>50</v>
      </c>
      <c r="L428" s="100">
        <f t="shared" si="70"/>
        <v>0</v>
      </c>
      <c r="M428" s="100">
        <f t="shared" si="71"/>
        <v>0</v>
      </c>
      <c r="N428" s="100">
        <v>0</v>
      </c>
      <c r="O428" s="100">
        <f t="shared" si="72"/>
        <v>0</v>
      </c>
      <c r="P428" s="100">
        <f t="shared" si="73"/>
        <v>0</v>
      </c>
      <c r="Q428" s="124">
        <f t="shared" si="74"/>
        <v>0</v>
      </c>
      <c r="R428" s="114"/>
    </row>
    <row r="429" s="34" customFormat="1" ht="18" customHeight="1" spans="1:18">
      <c r="A429" s="61">
        <f>IF(F429&lt;&gt;"",1+MAX($A$2:A428),"")</f>
        <v>392</v>
      </c>
      <c r="B429" s="214"/>
      <c r="C429" s="74"/>
      <c r="D429" s="138" t="s">
        <v>577</v>
      </c>
      <c r="E429" s="76">
        <v>80</v>
      </c>
      <c r="F429" s="65">
        <v>0.05</v>
      </c>
      <c r="G429" s="66">
        <f t="shared" si="68"/>
        <v>84</v>
      </c>
      <c r="H429" s="70" t="s">
        <v>37</v>
      </c>
      <c r="I429" s="97">
        <v>0</v>
      </c>
      <c r="J429" s="98">
        <f t="shared" si="69"/>
        <v>0</v>
      </c>
      <c r="K429" s="99">
        <v>50</v>
      </c>
      <c r="L429" s="100">
        <f t="shared" si="70"/>
        <v>0</v>
      </c>
      <c r="M429" s="100">
        <f t="shared" si="71"/>
        <v>0</v>
      </c>
      <c r="N429" s="100">
        <v>0</v>
      </c>
      <c r="O429" s="100">
        <f t="shared" si="72"/>
        <v>0</v>
      </c>
      <c r="P429" s="100">
        <f t="shared" si="73"/>
        <v>0</v>
      </c>
      <c r="Q429" s="124">
        <f t="shared" si="74"/>
        <v>0</v>
      </c>
      <c r="R429" s="114"/>
    </row>
    <row r="430" s="34" customFormat="1" ht="18" customHeight="1" spans="1:18">
      <c r="A430" s="61">
        <f>IF(F430&lt;&gt;"",1+MAX($A$2:A429),"")</f>
        <v>393</v>
      </c>
      <c r="B430" s="214"/>
      <c r="C430" s="74"/>
      <c r="D430" s="138" t="s">
        <v>563</v>
      </c>
      <c r="E430" s="76">
        <v>80</v>
      </c>
      <c r="F430" s="65">
        <v>0.05</v>
      </c>
      <c r="G430" s="66">
        <f t="shared" si="68"/>
        <v>84</v>
      </c>
      <c r="H430" s="70" t="s">
        <v>37</v>
      </c>
      <c r="I430" s="97">
        <v>0</v>
      </c>
      <c r="J430" s="98">
        <f t="shared" si="69"/>
        <v>0</v>
      </c>
      <c r="K430" s="99">
        <v>50</v>
      </c>
      <c r="L430" s="100">
        <f t="shared" si="70"/>
        <v>0</v>
      </c>
      <c r="M430" s="100">
        <f t="shared" si="71"/>
        <v>0</v>
      </c>
      <c r="N430" s="100">
        <v>0</v>
      </c>
      <c r="O430" s="100">
        <f t="shared" si="72"/>
        <v>0</v>
      </c>
      <c r="P430" s="100">
        <f t="shared" si="73"/>
        <v>0</v>
      </c>
      <c r="Q430" s="124">
        <f t="shared" si="74"/>
        <v>0</v>
      </c>
      <c r="R430" s="114"/>
    </row>
    <row r="431" s="34" customFormat="1" ht="18" customHeight="1" spans="1:18">
      <c r="A431" s="61">
        <f>IF(F431&lt;&gt;"",1+MAX($A$2:A430),"")</f>
        <v>394</v>
      </c>
      <c r="B431" s="214"/>
      <c r="C431" s="74"/>
      <c r="D431" s="138" t="s">
        <v>564</v>
      </c>
      <c r="E431" s="76">
        <v>350</v>
      </c>
      <c r="F431" s="65">
        <v>0.05</v>
      </c>
      <c r="G431" s="66">
        <f t="shared" si="68"/>
        <v>367.5</v>
      </c>
      <c r="H431" s="70" t="s">
        <v>37</v>
      </c>
      <c r="I431" s="97">
        <v>0</v>
      </c>
      <c r="J431" s="98">
        <f t="shared" si="69"/>
        <v>0</v>
      </c>
      <c r="K431" s="99">
        <v>50</v>
      </c>
      <c r="L431" s="100">
        <f t="shared" si="70"/>
        <v>0</v>
      </c>
      <c r="M431" s="100">
        <f t="shared" si="71"/>
        <v>0</v>
      </c>
      <c r="N431" s="100">
        <v>0</v>
      </c>
      <c r="O431" s="100">
        <f t="shared" si="72"/>
        <v>0</v>
      </c>
      <c r="P431" s="100">
        <f t="shared" si="73"/>
        <v>0</v>
      </c>
      <c r="Q431" s="124">
        <f t="shared" si="74"/>
        <v>0</v>
      </c>
      <c r="R431" s="114"/>
    </row>
    <row r="432" s="34" customFormat="1" ht="18" customHeight="1" spans="1:18">
      <c r="A432" s="61">
        <f>IF(F432&lt;&gt;"",1+MAX($A$2:A431),"")</f>
        <v>395</v>
      </c>
      <c r="B432" s="214"/>
      <c r="C432" s="74"/>
      <c r="D432" s="138" t="s">
        <v>565</v>
      </c>
      <c r="E432" s="76">
        <v>280</v>
      </c>
      <c r="F432" s="65">
        <v>0.05</v>
      </c>
      <c r="G432" s="66">
        <f t="shared" si="68"/>
        <v>294</v>
      </c>
      <c r="H432" s="70" t="s">
        <v>37</v>
      </c>
      <c r="I432" s="97">
        <v>0</v>
      </c>
      <c r="J432" s="98">
        <f t="shared" si="69"/>
        <v>0</v>
      </c>
      <c r="K432" s="99">
        <v>50</v>
      </c>
      <c r="L432" s="100">
        <f t="shared" si="70"/>
        <v>0</v>
      </c>
      <c r="M432" s="100">
        <f t="shared" si="71"/>
        <v>0</v>
      </c>
      <c r="N432" s="100">
        <v>0</v>
      </c>
      <c r="O432" s="100">
        <f t="shared" si="72"/>
        <v>0</v>
      </c>
      <c r="P432" s="100">
        <f t="shared" si="73"/>
        <v>0</v>
      </c>
      <c r="Q432" s="124">
        <f t="shared" si="74"/>
        <v>0</v>
      </c>
      <c r="R432" s="114"/>
    </row>
    <row r="433" s="34" customFormat="1" ht="18" customHeight="1" spans="1:18">
      <c r="A433" s="61">
        <f>IF(F433&lt;&gt;"",1+MAX($A$2:A432),"")</f>
        <v>396</v>
      </c>
      <c r="B433" s="214"/>
      <c r="C433" s="74"/>
      <c r="D433" s="138" t="s">
        <v>565</v>
      </c>
      <c r="E433" s="76">
        <v>200</v>
      </c>
      <c r="F433" s="65">
        <v>0.05</v>
      </c>
      <c r="G433" s="66">
        <f t="shared" si="68"/>
        <v>210</v>
      </c>
      <c r="H433" s="70" t="s">
        <v>37</v>
      </c>
      <c r="I433" s="97">
        <v>0</v>
      </c>
      <c r="J433" s="98">
        <f t="shared" si="69"/>
        <v>0</v>
      </c>
      <c r="K433" s="99">
        <v>50</v>
      </c>
      <c r="L433" s="100">
        <f t="shared" si="70"/>
        <v>0</v>
      </c>
      <c r="M433" s="100">
        <f t="shared" si="71"/>
        <v>0</v>
      </c>
      <c r="N433" s="100">
        <v>0</v>
      </c>
      <c r="O433" s="100">
        <f t="shared" si="72"/>
        <v>0</v>
      </c>
      <c r="P433" s="100">
        <f t="shared" si="73"/>
        <v>0</v>
      </c>
      <c r="Q433" s="124">
        <f t="shared" si="74"/>
        <v>0</v>
      </c>
      <c r="R433" s="114"/>
    </row>
    <row r="434" s="34" customFormat="1" ht="18" customHeight="1" spans="1:18">
      <c r="A434" s="61">
        <f>IF(F434&lt;&gt;"",1+MAX($A$2:A433),"")</f>
        <v>397</v>
      </c>
      <c r="B434" s="214"/>
      <c r="C434" s="74"/>
      <c r="D434" s="138" t="s">
        <v>568</v>
      </c>
      <c r="E434" s="76">
        <v>250</v>
      </c>
      <c r="F434" s="65">
        <v>0.05</v>
      </c>
      <c r="G434" s="66">
        <f t="shared" si="68"/>
        <v>262.5</v>
      </c>
      <c r="H434" s="70" t="s">
        <v>37</v>
      </c>
      <c r="I434" s="97">
        <v>0</v>
      </c>
      <c r="J434" s="98">
        <f t="shared" si="69"/>
        <v>0</v>
      </c>
      <c r="K434" s="99">
        <v>50</v>
      </c>
      <c r="L434" s="100">
        <f t="shared" si="70"/>
        <v>0</v>
      </c>
      <c r="M434" s="100">
        <f t="shared" si="71"/>
        <v>0</v>
      </c>
      <c r="N434" s="100">
        <v>0</v>
      </c>
      <c r="O434" s="100">
        <f t="shared" si="72"/>
        <v>0</v>
      </c>
      <c r="P434" s="100">
        <f t="shared" si="73"/>
        <v>0</v>
      </c>
      <c r="Q434" s="124">
        <f t="shared" si="74"/>
        <v>0</v>
      </c>
      <c r="R434" s="114"/>
    </row>
    <row r="435" s="34" customFormat="1" ht="18" customHeight="1" spans="1:18">
      <c r="A435" s="61">
        <f>IF(F435&lt;&gt;"",1+MAX($A$2:A434),"")</f>
        <v>398</v>
      </c>
      <c r="B435" s="214"/>
      <c r="C435" s="74"/>
      <c r="D435" s="138" t="s">
        <v>581</v>
      </c>
      <c r="E435" s="76">
        <v>250</v>
      </c>
      <c r="F435" s="65">
        <v>0.05</v>
      </c>
      <c r="G435" s="66">
        <f t="shared" si="68"/>
        <v>262.5</v>
      </c>
      <c r="H435" s="70" t="s">
        <v>37</v>
      </c>
      <c r="I435" s="97">
        <v>0</v>
      </c>
      <c r="J435" s="98">
        <f t="shared" si="69"/>
        <v>0</v>
      </c>
      <c r="K435" s="99">
        <v>50</v>
      </c>
      <c r="L435" s="100">
        <f t="shared" si="70"/>
        <v>0</v>
      </c>
      <c r="M435" s="100">
        <f t="shared" si="71"/>
        <v>0</v>
      </c>
      <c r="N435" s="100">
        <v>0</v>
      </c>
      <c r="O435" s="100">
        <f t="shared" si="72"/>
        <v>0</v>
      </c>
      <c r="P435" s="100">
        <f t="shared" si="73"/>
        <v>0</v>
      </c>
      <c r="Q435" s="124">
        <f t="shared" si="74"/>
        <v>0</v>
      </c>
      <c r="R435" s="114"/>
    </row>
    <row r="436" s="34" customFormat="1" ht="18" customHeight="1" spans="1:18">
      <c r="A436" s="61">
        <f>IF(F436&lt;&gt;"",1+MAX($A$2:A435),"")</f>
        <v>399</v>
      </c>
      <c r="B436" s="214"/>
      <c r="C436" s="74"/>
      <c r="D436" s="138" t="s">
        <v>567</v>
      </c>
      <c r="E436" s="76">
        <v>870</v>
      </c>
      <c r="F436" s="65">
        <v>0.05</v>
      </c>
      <c r="G436" s="66">
        <f t="shared" si="68"/>
        <v>913.5</v>
      </c>
      <c r="H436" s="70" t="s">
        <v>37</v>
      </c>
      <c r="I436" s="97">
        <v>0</v>
      </c>
      <c r="J436" s="98">
        <f t="shared" si="69"/>
        <v>0</v>
      </c>
      <c r="K436" s="99">
        <v>50</v>
      </c>
      <c r="L436" s="100">
        <f t="shared" si="70"/>
        <v>0</v>
      </c>
      <c r="M436" s="100">
        <f t="shared" si="71"/>
        <v>0</v>
      </c>
      <c r="N436" s="100">
        <v>0</v>
      </c>
      <c r="O436" s="100">
        <f t="shared" si="72"/>
        <v>0</v>
      </c>
      <c r="P436" s="100">
        <f t="shared" si="73"/>
        <v>0</v>
      </c>
      <c r="Q436" s="124">
        <f t="shared" si="74"/>
        <v>0</v>
      </c>
      <c r="R436" s="114"/>
    </row>
    <row r="437" s="34" customFormat="1" ht="18" customHeight="1" spans="1:18">
      <c r="A437" s="61">
        <f>IF(F437&lt;&gt;"",1+MAX($A$2:A436),"")</f>
        <v>400</v>
      </c>
      <c r="B437" s="214"/>
      <c r="C437" s="74"/>
      <c r="D437" s="138" t="s">
        <v>582</v>
      </c>
      <c r="E437" s="76">
        <v>50</v>
      </c>
      <c r="F437" s="65">
        <v>0.05</v>
      </c>
      <c r="G437" s="66">
        <f t="shared" si="68"/>
        <v>52.5</v>
      </c>
      <c r="H437" s="70" t="s">
        <v>37</v>
      </c>
      <c r="I437" s="97">
        <v>0</v>
      </c>
      <c r="J437" s="98">
        <f t="shared" si="69"/>
        <v>0</v>
      </c>
      <c r="K437" s="99">
        <v>50</v>
      </c>
      <c r="L437" s="100">
        <f t="shared" si="70"/>
        <v>0</v>
      </c>
      <c r="M437" s="100">
        <f t="shared" si="71"/>
        <v>0</v>
      </c>
      <c r="N437" s="100">
        <v>0</v>
      </c>
      <c r="O437" s="100">
        <f t="shared" si="72"/>
        <v>0</v>
      </c>
      <c r="P437" s="100">
        <f t="shared" si="73"/>
        <v>0</v>
      </c>
      <c r="Q437" s="124">
        <f t="shared" si="74"/>
        <v>0</v>
      </c>
      <c r="R437" s="114"/>
    </row>
    <row r="438" s="34" customFormat="1" ht="18" customHeight="1" spans="1:18">
      <c r="A438" s="61">
        <f>IF(F438&lt;&gt;"",1+MAX($A$2:A437),"")</f>
        <v>401</v>
      </c>
      <c r="B438" s="214"/>
      <c r="C438" s="74"/>
      <c r="D438" s="138" t="s">
        <v>565</v>
      </c>
      <c r="E438" s="76">
        <v>15</v>
      </c>
      <c r="F438" s="65">
        <v>0.05</v>
      </c>
      <c r="G438" s="66">
        <f t="shared" si="68"/>
        <v>15.75</v>
      </c>
      <c r="H438" s="70" t="s">
        <v>37</v>
      </c>
      <c r="I438" s="97">
        <v>0</v>
      </c>
      <c r="J438" s="98">
        <f t="shared" si="69"/>
        <v>0</v>
      </c>
      <c r="K438" s="99">
        <v>50</v>
      </c>
      <c r="L438" s="100">
        <f t="shared" si="70"/>
        <v>0</v>
      </c>
      <c r="M438" s="100">
        <f t="shared" si="71"/>
        <v>0</v>
      </c>
      <c r="N438" s="100">
        <v>0</v>
      </c>
      <c r="O438" s="100">
        <f t="shared" si="72"/>
        <v>0</v>
      </c>
      <c r="P438" s="100">
        <f t="shared" si="73"/>
        <v>0</v>
      </c>
      <c r="Q438" s="124">
        <f t="shared" si="74"/>
        <v>0</v>
      </c>
      <c r="R438" s="114"/>
    </row>
    <row r="439" s="34" customFormat="1" ht="18" customHeight="1" spans="1:18">
      <c r="A439" s="61">
        <f>IF(F439&lt;&gt;"",1+MAX($A$2:A438),"")</f>
        <v>402</v>
      </c>
      <c r="B439" s="214"/>
      <c r="C439" s="74"/>
      <c r="D439" s="138" t="s">
        <v>565</v>
      </c>
      <c r="E439" s="76">
        <v>15</v>
      </c>
      <c r="F439" s="65">
        <v>0.05</v>
      </c>
      <c r="G439" s="66">
        <f t="shared" si="68"/>
        <v>15.75</v>
      </c>
      <c r="H439" s="70" t="s">
        <v>37</v>
      </c>
      <c r="I439" s="97">
        <v>0</v>
      </c>
      <c r="J439" s="98">
        <f t="shared" si="69"/>
        <v>0</v>
      </c>
      <c r="K439" s="99">
        <v>50</v>
      </c>
      <c r="L439" s="100">
        <f t="shared" si="70"/>
        <v>0</v>
      </c>
      <c r="M439" s="100">
        <f t="shared" si="71"/>
        <v>0</v>
      </c>
      <c r="N439" s="100">
        <v>0</v>
      </c>
      <c r="O439" s="100">
        <f t="shared" si="72"/>
        <v>0</v>
      </c>
      <c r="P439" s="100">
        <f t="shared" si="73"/>
        <v>0</v>
      </c>
      <c r="Q439" s="124">
        <f t="shared" si="74"/>
        <v>0</v>
      </c>
      <c r="R439" s="114"/>
    </row>
    <row r="440" s="34" customFormat="1" ht="18" customHeight="1" spans="1:18">
      <c r="A440" s="61">
        <f>IF(F440&lt;&gt;"",1+MAX($A$2:A439),"")</f>
        <v>403</v>
      </c>
      <c r="B440" s="214"/>
      <c r="C440" s="74"/>
      <c r="D440" s="138" t="s">
        <v>565</v>
      </c>
      <c r="E440" s="76">
        <v>15</v>
      </c>
      <c r="F440" s="65">
        <v>0.05</v>
      </c>
      <c r="G440" s="66">
        <f t="shared" si="68"/>
        <v>15.75</v>
      </c>
      <c r="H440" s="70" t="s">
        <v>37</v>
      </c>
      <c r="I440" s="97">
        <v>0</v>
      </c>
      <c r="J440" s="98">
        <f t="shared" si="69"/>
        <v>0</v>
      </c>
      <c r="K440" s="99">
        <v>50</v>
      </c>
      <c r="L440" s="100">
        <f t="shared" si="70"/>
        <v>0</v>
      </c>
      <c r="M440" s="100">
        <f t="shared" si="71"/>
        <v>0</v>
      </c>
      <c r="N440" s="100">
        <v>0</v>
      </c>
      <c r="O440" s="100">
        <f t="shared" si="72"/>
        <v>0</v>
      </c>
      <c r="P440" s="100">
        <f t="shared" si="73"/>
        <v>0</v>
      </c>
      <c r="Q440" s="124">
        <f t="shared" si="74"/>
        <v>0</v>
      </c>
      <c r="R440" s="114"/>
    </row>
    <row r="441" s="34" customFormat="1" ht="18" customHeight="1" spans="1:18">
      <c r="A441" s="61">
        <f>IF(F441&lt;&gt;"",1+MAX($A$2:A440),"")</f>
        <v>404</v>
      </c>
      <c r="B441" s="214"/>
      <c r="C441" s="74"/>
      <c r="D441" s="138" t="s">
        <v>583</v>
      </c>
      <c r="E441" s="76">
        <v>15</v>
      </c>
      <c r="F441" s="65">
        <v>0.05</v>
      </c>
      <c r="G441" s="66">
        <f t="shared" si="68"/>
        <v>15.75</v>
      </c>
      <c r="H441" s="70" t="s">
        <v>37</v>
      </c>
      <c r="I441" s="97">
        <v>0</v>
      </c>
      <c r="J441" s="98">
        <f t="shared" si="69"/>
        <v>0</v>
      </c>
      <c r="K441" s="99">
        <v>50</v>
      </c>
      <c r="L441" s="100">
        <f t="shared" si="70"/>
        <v>0</v>
      </c>
      <c r="M441" s="100">
        <f t="shared" si="71"/>
        <v>0</v>
      </c>
      <c r="N441" s="100">
        <v>0</v>
      </c>
      <c r="O441" s="100">
        <f t="shared" si="72"/>
        <v>0</v>
      </c>
      <c r="P441" s="100">
        <f t="shared" si="73"/>
        <v>0</v>
      </c>
      <c r="Q441" s="124">
        <f t="shared" si="74"/>
        <v>0</v>
      </c>
      <c r="R441" s="114"/>
    </row>
    <row r="442" s="34" customFormat="1" ht="18" customHeight="1" spans="1:18">
      <c r="A442" s="61">
        <f>IF(F442&lt;&gt;"",1+MAX($A$2:A441),"")</f>
        <v>405</v>
      </c>
      <c r="B442" s="214"/>
      <c r="C442" s="74"/>
      <c r="D442" s="138" t="s">
        <v>584</v>
      </c>
      <c r="E442" s="76">
        <v>650</v>
      </c>
      <c r="F442" s="65">
        <v>0.05</v>
      </c>
      <c r="G442" s="66">
        <f t="shared" si="68"/>
        <v>682.5</v>
      </c>
      <c r="H442" s="70" t="s">
        <v>37</v>
      </c>
      <c r="I442" s="97">
        <v>0</v>
      </c>
      <c r="J442" s="98">
        <f t="shared" si="69"/>
        <v>0</v>
      </c>
      <c r="K442" s="99">
        <v>50</v>
      </c>
      <c r="L442" s="100">
        <f t="shared" si="70"/>
        <v>0</v>
      </c>
      <c r="M442" s="100">
        <f t="shared" si="71"/>
        <v>0</v>
      </c>
      <c r="N442" s="100">
        <v>0</v>
      </c>
      <c r="O442" s="100">
        <f t="shared" si="72"/>
        <v>0</v>
      </c>
      <c r="P442" s="100">
        <f t="shared" si="73"/>
        <v>0</v>
      </c>
      <c r="Q442" s="124">
        <f t="shared" si="74"/>
        <v>0</v>
      </c>
      <c r="R442" s="114"/>
    </row>
    <row r="443" s="34" customFormat="1" ht="18" customHeight="1" spans="1:18">
      <c r="A443" s="61">
        <f>IF(F443&lt;&gt;"",1+MAX($A$2:A442),"")</f>
        <v>406</v>
      </c>
      <c r="B443" s="214"/>
      <c r="C443" s="74"/>
      <c r="D443" s="138" t="s">
        <v>584</v>
      </c>
      <c r="E443" s="76">
        <v>15</v>
      </c>
      <c r="F443" s="65">
        <v>0.05</v>
      </c>
      <c r="G443" s="66">
        <f t="shared" si="68"/>
        <v>15.75</v>
      </c>
      <c r="H443" s="70" t="s">
        <v>37</v>
      </c>
      <c r="I443" s="97">
        <v>0</v>
      </c>
      <c r="J443" s="98">
        <f t="shared" si="69"/>
        <v>0</v>
      </c>
      <c r="K443" s="99">
        <v>50</v>
      </c>
      <c r="L443" s="100">
        <f t="shared" si="70"/>
        <v>0</v>
      </c>
      <c r="M443" s="100">
        <f t="shared" si="71"/>
        <v>0</v>
      </c>
      <c r="N443" s="100">
        <v>0</v>
      </c>
      <c r="O443" s="100">
        <f t="shared" si="72"/>
        <v>0</v>
      </c>
      <c r="P443" s="100">
        <f t="shared" si="73"/>
        <v>0</v>
      </c>
      <c r="Q443" s="124">
        <f t="shared" si="74"/>
        <v>0</v>
      </c>
      <c r="R443" s="114"/>
    </row>
    <row r="444" s="34" customFormat="1" ht="18" customHeight="1" spans="1:18">
      <c r="A444" s="61">
        <f>IF(F444&lt;&gt;"",1+MAX($A$2:A443),"")</f>
        <v>407</v>
      </c>
      <c r="B444" s="214"/>
      <c r="C444" s="74"/>
      <c r="D444" s="138" t="s">
        <v>585</v>
      </c>
      <c r="E444" s="76">
        <v>80</v>
      </c>
      <c r="F444" s="65">
        <v>0.05</v>
      </c>
      <c r="G444" s="66">
        <f t="shared" si="68"/>
        <v>84</v>
      </c>
      <c r="H444" s="70" t="s">
        <v>37</v>
      </c>
      <c r="I444" s="97">
        <v>0</v>
      </c>
      <c r="J444" s="98">
        <f t="shared" si="69"/>
        <v>0</v>
      </c>
      <c r="K444" s="99">
        <v>50</v>
      </c>
      <c r="L444" s="100">
        <f t="shared" si="70"/>
        <v>0</v>
      </c>
      <c r="M444" s="100">
        <f t="shared" si="71"/>
        <v>0</v>
      </c>
      <c r="N444" s="100">
        <v>0</v>
      </c>
      <c r="O444" s="100">
        <f t="shared" si="72"/>
        <v>0</v>
      </c>
      <c r="P444" s="100">
        <f t="shared" si="73"/>
        <v>0</v>
      </c>
      <c r="Q444" s="124">
        <f t="shared" si="74"/>
        <v>0</v>
      </c>
      <c r="R444" s="114"/>
    </row>
    <row r="445" s="34" customFormat="1" ht="18" customHeight="1" spans="1:18">
      <c r="A445" s="61">
        <f>IF(F445&lt;&gt;"",1+MAX($A$2:A444),"")</f>
        <v>408</v>
      </c>
      <c r="B445" s="214"/>
      <c r="C445" s="74"/>
      <c r="D445" s="138" t="s">
        <v>586</v>
      </c>
      <c r="E445" s="76">
        <v>30</v>
      </c>
      <c r="F445" s="65">
        <v>0.05</v>
      </c>
      <c r="G445" s="66">
        <f t="shared" si="68"/>
        <v>31.5</v>
      </c>
      <c r="H445" s="70" t="s">
        <v>37</v>
      </c>
      <c r="I445" s="97">
        <v>0</v>
      </c>
      <c r="J445" s="98">
        <f t="shared" si="69"/>
        <v>0</v>
      </c>
      <c r="K445" s="99">
        <v>50</v>
      </c>
      <c r="L445" s="100">
        <f t="shared" si="70"/>
        <v>0</v>
      </c>
      <c r="M445" s="100">
        <f t="shared" si="71"/>
        <v>0</v>
      </c>
      <c r="N445" s="100">
        <v>0</v>
      </c>
      <c r="O445" s="100">
        <f t="shared" si="72"/>
        <v>0</v>
      </c>
      <c r="P445" s="100">
        <f t="shared" si="73"/>
        <v>0</v>
      </c>
      <c r="Q445" s="124">
        <f t="shared" si="74"/>
        <v>0</v>
      </c>
      <c r="R445" s="114"/>
    </row>
    <row r="446" s="34" customFormat="1" ht="18" customHeight="1" spans="1:18">
      <c r="A446" s="61">
        <f>IF(F446&lt;&gt;"",1+MAX($A$2:A445),"")</f>
        <v>409</v>
      </c>
      <c r="B446" s="214"/>
      <c r="C446" s="74"/>
      <c r="D446" s="138" t="s">
        <v>573</v>
      </c>
      <c r="E446" s="76">
        <v>30</v>
      </c>
      <c r="F446" s="65">
        <v>0.05</v>
      </c>
      <c r="G446" s="66">
        <f t="shared" si="68"/>
        <v>31.5</v>
      </c>
      <c r="H446" s="70" t="s">
        <v>37</v>
      </c>
      <c r="I446" s="97">
        <v>0</v>
      </c>
      <c r="J446" s="98">
        <f t="shared" si="69"/>
        <v>0</v>
      </c>
      <c r="K446" s="99">
        <v>50</v>
      </c>
      <c r="L446" s="100">
        <f t="shared" si="70"/>
        <v>0</v>
      </c>
      <c r="M446" s="100">
        <f t="shared" si="71"/>
        <v>0</v>
      </c>
      <c r="N446" s="100">
        <v>0</v>
      </c>
      <c r="O446" s="100">
        <f t="shared" si="72"/>
        <v>0</v>
      </c>
      <c r="P446" s="100">
        <f t="shared" si="73"/>
        <v>0</v>
      </c>
      <c r="Q446" s="124">
        <f t="shared" si="74"/>
        <v>0</v>
      </c>
      <c r="R446" s="114"/>
    </row>
    <row r="447" s="34" customFormat="1" ht="18" customHeight="1" spans="1:18">
      <c r="A447" s="61">
        <f>IF(F447&lt;&gt;"",1+MAX($A$2:A446),"")</f>
        <v>410</v>
      </c>
      <c r="B447" s="214"/>
      <c r="C447" s="74"/>
      <c r="D447" s="138" t="s">
        <v>573</v>
      </c>
      <c r="E447" s="76">
        <v>440</v>
      </c>
      <c r="F447" s="65">
        <v>0.05</v>
      </c>
      <c r="G447" s="66">
        <f t="shared" si="68"/>
        <v>462</v>
      </c>
      <c r="H447" s="70" t="s">
        <v>37</v>
      </c>
      <c r="I447" s="97">
        <v>0</v>
      </c>
      <c r="J447" s="98">
        <f t="shared" si="69"/>
        <v>0</v>
      </c>
      <c r="K447" s="99">
        <v>50</v>
      </c>
      <c r="L447" s="100">
        <f t="shared" si="70"/>
        <v>0</v>
      </c>
      <c r="M447" s="100">
        <f t="shared" si="71"/>
        <v>0</v>
      </c>
      <c r="N447" s="100">
        <v>0</v>
      </c>
      <c r="O447" s="100">
        <f t="shared" si="72"/>
        <v>0</v>
      </c>
      <c r="P447" s="100">
        <f t="shared" si="73"/>
        <v>0</v>
      </c>
      <c r="Q447" s="124">
        <f t="shared" si="74"/>
        <v>0</v>
      </c>
      <c r="R447" s="114"/>
    </row>
    <row r="448" s="34" customFormat="1" ht="18" customHeight="1" spans="1:18">
      <c r="A448" s="61">
        <f>IF(F448&lt;&gt;"",1+MAX($A$2:A447),"")</f>
        <v>411</v>
      </c>
      <c r="B448" s="214"/>
      <c r="C448" s="74"/>
      <c r="D448" s="138" t="s">
        <v>559</v>
      </c>
      <c r="E448" s="76">
        <v>1150</v>
      </c>
      <c r="F448" s="65">
        <v>0.05</v>
      </c>
      <c r="G448" s="66">
        <f t="shared" si="68"/>
        <v>1207.5</v>
      </c>
      <c r="H448" s="70" t="s">
        <v>37</v>
      </c>
      <c r="I448" s="97">
        <v>0</v>
      </c>
      <c r="J448" s="98">
        <f t="shared" si="69"/>
        <v>0</v>
      </c>
      <c r="K448" s="99">
        <v>50</v>
      </c>
      <c r="L448" s="100">
        <f t="shared" si="70"/>
        <v>0</v>
      </c>
      <c r="M448" s="100">
        <f t="shared" si="71"/>
        <v>0</v>
      </c>
      <c r="N448" s="100">
        <v>0</v>
      </c>
      <c r="O448" s="100">
        <f t="shared" si="72"/>
        <v>0</v>
      </c>
      <c r="P448" s="100">
        <f t="shared" si="73"/>
        <v>0</v>
      </c>
      <c r="Q448" s="124">
        <f t="shared" si="74"/>
        <v>0</v>
      </c>
      <c r="R448" s="114"/>
    </row>
    <row r="449" s="34" customFormat="1" ht="18" customHeight="1" spans="1:18">
      <c r="A449" s="61">
        <f>IF(F449&lt;&gt;"",1+MAX($A$2:A448),"")</f>
        <v>412</v>
      </c>
      <c r="B449" s="214"/>
      <c r="C449" s="74"/>
      <c r="D449" s="138" t="s">
        <v>563</v>
      </c>
      <c r="E449" s="76">
        <v>1150</v>
      </c>
      <c r="F449" s="65">
        <v>0.05</v>
      </c>
      <c r="G449" s="66">
        <f t="shared" si="68"/>
        <v>1207.5</v>
      </c>
      <c r="H449" s="70" t="s">
        <v>37</v>
      </c>
      <c r="I449" s="97">
        <v>0</v>
      </c>
      <c r="J449" s="98">
        <f t="shared" si="69"/>
        <v>0</v>
      </c>
      <c r="K449" s="99">
        <v>50</v>
      </c>
      <c r="L449" s="100">
        <f t="shared" si="70"/>
        <v>0</v>
      </c>
      <c r="M449" s="100">
        <f t="shared" si="71"/>
        <v>0</v>
      </c>
      <c r="N449" s="100">
        <v>0</v>
      </c>
      <c r="O449" s="100">
        <f t="shared" si="72"/>
        <v>0</v>
      </c>
      <c r="P449" s="100">
        <f t="shared" si="73"/>
        <v>0</v>
      </c>
      <c r="Q449" s="124">
        <f t="shared" si="74"/>
        <v>0</v>
      </c>
      <c r="R449" s="114"/>
    </row>
    <row r="450" s="34" customFormat="1" ht="18" customHeight="1" spans="1:18">
      <c r="A450" s="61">
        <f>IF(F450&lt;&gt;"",1+MAX($A$2:A449),"")</f>
        <v>413</v>
      </c>
      <c r="B450" s="214"/>
      <c r="C450" s="74"/>
      <c r="D450" s="138" t="s">
        <v>563</v>
      </c>
      <c r="E450" s="76">
        <v>530</v>
      </c>
      <c r="F450" s="65">
        <v>0.05</v>
      </c>
      <c r="G450" s="66">
        <f t="shared" si="68"/>
        <v>556.5</v>
      </c>
      <c r="H450" s="70" t="s">
        <v>37</v>
      </c>
      <c r="I450" s="97">
        <v>0</v>
      </c>
      <c r="J450" s="98">
        <f t="shared" si="69"/>
        <v>0</v>
      </c>
      <c r="K450" s="99">
        <v>50</v>
      </c>
      <c r="L450" s="100">
        <f t="shared" si="70"/>
        <v>0</v>
      </c>
      <c r="M450" s="100">
        <f t="shared" si="71"/>
        <v>0</v>
      </c>
      <c r="N450" s="100">
        <v>0</v>
      </c>
      <c r="O450" s="100">
        <f t="shared" si="72"/>
        <v>0</v>
      </c>
      <c r="P450" s="100">
        <f t="shared" si="73"/>
        <v>0</v>
      </c>
      <c r="Q450" s="124">
        <f t="shared" si="74"/>
        <v>0</v>
      </c>
      <c r="R450" s="114"/>
    </row>
    <row r="451" s="34" customFormat="1" ht="18" customHeight="1" spans="1:18">
      <c r="A451" s="61">
        <f>IF(F451&lt;&gt;"",1+MAX($A$2:A450),"")</f>
        <v>414</v>
      </c>
      <c r="B451" s="214"/>
      <c r="C451" s="74"/>
      <c r="D451" s="138" t="s">
        <v>563</v>
      </c>
      <c r="E451" s="76">
        <v>400</v>
      </c>
      <c r="F451" s="65">
        <v>0.05</v>
      </c>
      <c r="G451" s="66">
        <f t="shared" si="68"/>
        <v>420</v>
      </c>
      <c r="H451" s="70" t="s">
        <v>37</v>
      </c>
      <c r="I451" s="97">
        <v>0</v>
      </c>
      <c r="J451" s="98">
        <f t="shared" si="69"/>
        <v>0</v>
      </c>
      <c r="K451" s="99">
        <v>50</v>
      </c>
      <c r="L451" s="100">
        <f t="shared" si="70"/>
        <v>0</v>
      </c>
      <c r="M451" s="100">
        <f t="shared" si="71"/>
        <v>0</v>
      </c>
      <c r="N451" s="100">
        <v>0</v>
      </c>
      <c r="O451" s="100">
        <f t="shared" si="72"/>
        <v>0</v>
      </c>
      <c r="P451" s="100">
        <f t="shared" si="73"/>
        <v>0</v>
      </c>
      <c r="Q451" s="124">
        <f t="shared" si="74"/>
        <v>0</v>
      </c>
      <c r="R451" s="114"/>
    </row>
    <row r="452" s="34" customFormat="1" ht="18" customHeight="1" spans="1:18">
      <c r="A452" s="61">
        <f>IF(F452&lt;&gt;"",1+MAX($A$2:A451),"")</f>
        <v>415</v>
      </c>
      <c r="B452" s="214"/>
      <c r="C452" s="74"/>
      <c r="D452" s="138" t="s">
        <v>563</v>
      </c>
      <c r="E452" s="76">
        <v>325</v>
      </c>
      <c r="F452" s="65">
        <v>0.05</v>
      </c>
      <c r="G452" s="66">
        <f t="shared" si="68"/>
        <v>341.25</v>
      </c>
      <c r="H452" s="70" t="s">
        <v>37</v>
      </c>
      <c r="I452" s="97">
        <v>0</v>
      </c>
      <c r="J452" s="98">
        <f t="shared" si="69"/>
        <v>0</v>
      </c>
      <c r="K452" s="99">
        <v>50</v>
      </c>
      <c r="L452" s="100">
        <f t="shared" si="70"/>
        <v>0</v>
      </c>
      <c r="M452" s="100">
        <f t="shared" si="71"/>
        <v>0</v>
      </c>
      <c r="N452" s="100">
        <v>0</v>
      </c>
      <c r="O452" s="100">
        <f t="shared" si="72"/>
        <v>0</v>
      </c>
      <c r="P452" s="100">
        <f t="shared" si="73"/>
        <v>0</v>
      </c>
      <c r="Q452" s="124">
        <f t="shared" si="74"/>
        <v>0</v>
      </c>
      <c r="R452" s="114"/>
    </row>
    <row r="453" s="34" customFormat="1" ht="18" customHeight="1" spans="1:18">
      <c r="A453" s="61">
        <f>IF(F453&lt;&gt;"",1+MAX($A$2:A452),"")</f>
        <v>416</v>
      </c>
      <c r="B453" s="214"/>
      <c r="C453" s="74"/>
      <c r="D453" s="138" t="s">
        <v>563</v>
      </c>
      <c r="E453" s="76">
        <v>300</v>
      </c>
      <c r="F453" s="65">
        <v>0.05</v>
      </c>
      <c r="G453" s="66">
        <f t="shared" si="68"/>
        <v>315</v>
      </c>
      <c r="H453" s="70" t="s">
        <v>37</v>
      </c>
      <c r="I453" s="97">
        <v>0</v>
      </c>
      <c r="J453" s="98">
        <f t="shared" si="69"/>
        <v>0</v>
      </c>
      <c r="K453" s="99">
        <v>50</v>
      </c>
      <c r="L453" s="100">
        <f t="shared" si="70"/>
        <v>0</v>
      </c>
      <c r="M453" s="100">
        <f t="shared" si="71"/>
        <v>0</v>
      </c>
      <c r="N453" s="100">
        <v>0</v>
      </c>
      <c r="O453" s="100">
        <f t="shared" si="72"/>
        <v>0</v>
      </c>
      <c r="P453" s="100">
        <f t="shared" si="73"/>
        <v>0</v>
      </c>
      <c r="Q453" s="124">
        <f t="shared" si="74"/>
        <v>0</v>
      </c>
      <c r="R453" s="114"/>
    </row>
    <row r="454" s="34" customFormat="1" ht="18" customHeight="1" spans="1:18">
      <c r="A454" s="61">
        <f>IF(F454&lt;&gt;"",1+MAX($A$2:A453),"")</f>
        <v>417</v>
      </c>
      <c r="B454" s="214"/>
      <c r="C454" s="74"/>
      <c r="D454" s="138" t="s">
        <v>563</v>
      </c>
      <c r="E454" s="76">
        <v>280</v>
      </c>
      <c r="F454" s="65">
        <v>0.05</v>
      </c>
      <c r="G454" s="66">
        <f t="shared" si="68"/>
        <v>294</v>
      </c>
      <c r="H454" s="70" t="s">
        <v>37</v>
      </c>
      <c r="I454" s="97">
        <v>0</v>
      </c>
      <c r="J454" s="98">
        <f t="shared" si="69"/>
        <v>0</v>
      </c>
      <c r="K454" s="99">
        <v>50</v>
      </c>
      <c r="L454" s="100">
        <f t="shared" si="70"/>
        <v>0</v>
      </c>
      <c r="M454" s="100">
        <f t="shared" si="71"/>
        <v>0</v>
      </c>
      <c r="N454" s="100">
        <v>0</v>
      </c>
      <c r="O454" s="100">
        <f t="shared" si="72"/>
        <v>0</v>
      </c>
      <c r="P454" s="100">
        <f t="shared" si="73"/>
        <v>0</v>
      </c>
      <c r="Q454" s="124">
        <f t="shared" si="74"/>
        <v>0</v>
      </c>
      <c r="R454" s="114"/>
    </row>
    <row r="455" s="34" customFormat="1" ht="18" customHeight="1" spans="1:18">
      <c r="A455" s="61">
        <f>IF(F455&lt;&gt;"",1+MAX($A$2:A454),"")</f>
        <v>418</v>
      </c>
      <c r="B455" s="214"/>
      <c r="C455" s="74"/>
      <c r="D455" s="138" t="s">
        <v>563</v>
      </c>
      <c r="E455" s="76">
        <v>200</v>
      </c>
      <c r="F455" s="65">
        <v>0.05</v>
      </c>
      <c r="G455" s="66">
        <f t="shared" si="68"/>
        <v>210</v>
      </c>
      <c r="H455" s="70" t="s">
        <v>37</v>
      </c>
      <c r="I455" s="97">
        <v>0</v>
      </c>
      <c r="J455" s="98">
        <f t="shared" si="69"/>
        <v>0</v>
      </c>
      <c r="K455" s="99">
        <v>50</v>
      </c>
      <c r="L455" s="100">
        <f t="shared" si="70"/>
        <v>0</v>
      </c>
      <c r="M455" s="100">
        <f t="shared" si="71"/>
        <v>0</v>
      </c>
      <c r="N455" s="100">
        <v>0</v>
      </c>
      <c r="O455" s="100">
        <f t="shared" si="72"/>
        <v>0</v>
      </c>
      <c r="P455" s="100">
        <f t="shared" si="73"/>
        <v>0</v>
      </c>
      <c r="Q455" s="124">
        <f t="shared" si="74"/>
        <v>0</v>
      </c>
      <c r="R455" s="114"/>
    </row>
    <row r="456" s="34" customFormat="1" ht="18" customHeight="1" spans="1:18">
      <c r="A456" s="61">
        <f>IF(F456&lt;&gt;"",1+MAX($A$2:A455),"")</f>
        <v>419</v>
      </c>
      <c r="B456" s="214"/>
      <c r="C456" s="74"/>
      <c r="D456" s="138" t="s">
        <v>587</v>
      </c>
      <c r="E456" s="76">
        <v>330</v>
      </c>
      <c r="F456" s="65">
        <v>0.05</v>
      </c>
      <c r="G456" s="66">
        <f t="shared" si="68"/>
        <v>346.5</v>
      </c>
      <c r="H456" s="70" t="s">
        <v>37</v>
      </c>
      <c r="I456" s="97">
        <v>0</v>
      </c>
      <c r="J456" s="98">
        <f t="shared" si="69"/>
        <v>0</v>
      </c>
      <c r="K456" s="99">
        <v>50</v>
      </c>
      <c r="L456" s="100">
        <f t="shared" si="70"/>
        <v>0</v>
      </c>
      <c r="M456" s="100">
        <f t="shared" si="71"/>
        <v>0</v>
      </c>
      <c r="N456" s="100">
        <v>0</v>
      </c>
      <c r="O456" s="100">
        <f t="shared" si="72"/>
        <v>0</v>
      </c>
      <c r="P456" s="100">
        <f t="shared" si="73"/>
        <v>0</v>
      </c>
      <c r="Q456" s="124">
        <f t="shared" si="74"/>
        <v>0</v>
      </c>
      <c r="R456" s="114"/>
    </row>
    <row r="457" s="34" customFormat="1" ht="18" customHeight="1" spans="1:18">
      <c r="A457" s="61">
        <f>IF(F457&lt;&gt;"",1+MAX($A$2:A456),"")</f>
        <v>420</v>
      </c>
      <c r="B457" s="214"/>
      <c r="C457" s="74"/>
      <c r="D457" s="138" t="s">
        <v>587</v>
      </c>
      <c r="E457" s="76">
        <v>220</v>
      </c>
      <c r="F457" s="65">
        <v>0.05</v>
      </c>
      <c r="G457" s="66">
        <f t="shared" si="68"/>
        <v>231</v>
      </c>
      <c r="H457" s="70" t="s">
        <v>37</v>
      </c>
      <c r="I457" s="97">
        <v>0</v>
      </c>
      <c r="J457" s="98">
        <f t="shared" si="69"/>
        <v>0</v>
      </c>
      <c r="K457" s="99">
        <v>50</v>
      </c>
      <c r="L457" s="100">
        <f t="shared" si="70"/>
        <v>0</v>
      </c>
      <c r="M457" s="100">
        <f t="shared" si="71"/>
        <v>0</v>
      </c>
      <c r="N457" s="100">
        <v>0</v>
      </c>
      <c r="O457" s="100">
        <f t="shared" si="72"/>
        <v>0</v>
      </c>
      <c r="P457" s="100">
        <f t="shared" si="73"/>
        <v>0</v>
      </c>
      <c r="Q457" s="124">
        <f t="shared" si="74"/>
        <v>0</v>
      </c>
      <c r="R457" s="114"/>
    </row>
    <row r="458" s="34" customFormat="1" ht="18" customHeight="1" spans="1:18">
      <c r="A458" s="61">
        <f>IF(F458&lt;&gt;"",1+MAX($A$2:A457),"")</f>
        <v>421</v>
      </c>
      <c r="B458" s="214"/>
      <c r="C458" s="74"/>
      <c r="D458" s="138" t="s">
        <v>587</v>
      </c>
      <c r="E458" s="76">
        <v>300</v>
      </c>
      <c r="F458" s="65">
        <v>0.05</v>
      </c>
      <c r="G458" s="66">
        <f t="shared" si="68"/>
        <v>315</v>
      </c>
      <c r="H458" s="70" t="s">
        <v>37</v>
      </c>
      <c r="I458" s="97">
        <v>0</v>
      </c>
      <c r="J458" s="98">
        <f t="shared" si="69"/>
        <v>0</v>
      </c>
      <c r="K458" s="99">
        <v>50</v>
      </c>
      <c r="L458" s="100">
        <f t="shared" si="70"/>
        <v>0</v>
      </c>
      <c r="M458" s="100">
        <f t="shared" si="71"/>
        <v>0</v>
      </c>
      <c r="N458" s="100">
        <v>0</v>
      </c>
      <c r="O458" s="100">
        <f t="shared" si="72"/>
        <v>0</v>
      </c>
      <c r="P458" s="100">
        <f t="shared" si="73"/>
        <v>0</v>
      </c>
      <c r="Q458" s="124">
        <f t="shared" si="74"/>
        <v>0</v>
      </c>
      <c r="R458" s="114"/>
    </row>
    <row r="459" s="34" customFormat="1" ht="18" customHeight="1" spans="1:18">
      <c r="A459" s="61">
        <f>IF(F459&lt;&gt;"",1+MAX($A$2:A458),"")</f>
        <v>422</v>
      </c>
      <c r="B459" s="214"/>
      <c r="C459" s="74"/>
      <c r="D459" s="138" t="s">
        <v>568</v>
      </c>
      <c r="E459" s="76">
        <v>350</v>
      </c>
      <c r="F459" s="65">
        <v>0.05</v>
      </c>
      <c r="G459" s="66">
        <f t="shared" si="68"/>
        <v>367.5</v>
      </c>
      <c r="H459" s="70" t="s">
        <v>37</v>
      </c>
      <c r="I459" s="97">
        <v>0</v>
      </c>
      <c r="J459" s="98">
        <f t="shared" si="69"/>
        <v>0</v>
      </c>
      <c r="K459" s="99">
        <v>50</v>
      </c>
      <c r="L459" s="100">
        <f t="shared" si="70"/>
        <v>0</v>
      </c>
      <c r="M459" s="100">
        <f t="shared" si="71"/>
        <v>0</v>
      </c>
      <c r="N459" s="100">
        <v>0</v>
      </c>
      <c r="O459" s="100">
        <f t="shared" si="72"/>
        <v>0</v>
      </c>
      <c r="P459" s="100">
        <f t="shared" si="73"/>
        <v>0</v>
      </c>
      <c r="Q459" s="124">
        <f t="shared" si="74"/>
        <v>0</v>
      </c>
      <c r="R459" s="114"/>
    </row>
    <row r="460" s="34" customFormat="1" ht="18" customHeight="1" spans="1:18">
      <c r="A460" s="61">
        <f>IF(F460&lt;&gt;"",1+MAX($A$2:A459),"")</f>
        <v>423</v>
      </c>
      <c r="B460" s="214"/>
      <c r="C460" s="74"/>
      <c r="D460" s="138" t="s">
        <v>569</v>
      </c>
      <c r="E460" s="76">
        <v>480</v>
      </c>
      <c r="F460" s="65">
        <v>0.05</v>
      </c>
      <c r="G460" s="66">
        <f t="shared" ref="G460:G491" si="75">(F460*E460)+E460</f>
        <v>504</v>
      </c>
      <c r="H460" s="70" t="s">
        <v>37</v>
      </c>
      <c r="I460" s="97">
        <v>0</v>
      </c>
      <c r="J460" s="98">
        <f t="shared" ref="J460:J491" si="76">+I460*G460</f>
        <v>0</v>
      </c>
      <c r="K460" s="99">
        <v>50</v>
      </c>
      <c r="L460" s="100">
        <f t="shared" ref="L460:L491" si="77">I460*K460</f>
        <v>0</v>
      </c>
      <c r="M460" s="100">
        <f t="shared" ref="M460:M491" si="78">K460*J460</f>
        <v>0</v>
      </c>
      <c r="N460" s="100">
        <v>0</v>
      </c>
      <c r="O460" s="100">
        <f t="shared" ref="O460:O491" si="79">N460*G460</f>
        <v>0</v>
      </c>
      <c r="P460" s="100">
        <f t="shared" ref="P460:P491" si="80">(I460*K460)+N460</f>
        <v>0</v>
      </c>
      <c r="Q460" s="124">
        <f t="shared" ref="Q460:Q491" si="81">P460*G460</f>
        <v>0</v>
      </c>
      <c r="R460" s="114"/>
    </row>
    <row r="461" s="34" customFormat="1" ht="18" customHeight="1" spans="1:18">
      <c r="A461" s="61">
        <f>IF(F461&lt;&gt;"",1+MAX($A$2:A460),"")</f>
        <v>424</v>
      </c>
      <c r="B461" s="214"/>
      <c r="C461" s="74"/>
      <c r="D461" s="138" t="s">
        <v>570</v>
      </c>
      <c r="E461" s="76">
        <v>600</v>
      </c>
      <c r="F461" s="65">
        <v>0.05</v>
      </c>
      <c r="G461" s="66">
        <f t="shared" si="75"/>
        <v>630</v>
      </c>
      <c r="H461" s="70" t="s">
        <v>37</v>
      </c>
      <c r="I461" s="97">
        <v>0</v>
      </c>
      <c r="J461" s="98">
        <f t="shared" si="76"/>
        <v>0</v>
      </c>
      <c r="K461" s="99">
        <v>50</v>
      </c>
      <c r="L461" s="100">
        <f t="shared" si="77"/>
        <v>0</v>
      </c>
      <c r="M461" s="100">
        <f t="shared" si="78"/>
        <v>0</v>
      </c>
      <c r="N461" s="100">
        <v>0</v>
      </c>
      <c r="O461" s="100">
        <f t="shared" si="79"/>
        <v>0</v>
      </c>
      <c r="P461" s="100">
        <f t="shared" si="80"/>
        <v>0</v>
      </c>
      <c r="Q461" s="124">
        <f t="shared" si="81"/>
        <v>0</v>
      </c>
      <c r="R461" s="114"/>
    </row>
    <row r="462" s="34" customFormat="1" ht="18" customHeight="1" spans="1:18">
      <c r="A462" s="61">
        <f>IF(F462&lt;&gt;"",1+MAX($A$2:A461),"")</f>
        <v>425</v>
      </c>
      <c r="B462" s="214"/>
      <c r="C462" s="74"/>
      <c r="D462" s="138" t="s">
        <v>565</v>
      </c>
      <c r="E462" s="76">
        <v>250</v>
      </c>
      <c r="F462" s="65">
        <v>0.05</v>
      </c>
      <c r="G462" s="66">
        <f t="shared" si="75"/>
        <v>262.5</v>
      </c>
      <c r="H462" s="70" t="s">
        <v>37</v>
      </c>
      <c r="I462" s="97">
        <v>0</v>
      </c>
      <c r="J462" s="98">
        <f t="shared" si="76"/>
        <v>0</v>
      </c>
      <c r="K462" s="99">
        <v>50</v>
      </c>
      <c r="L462" s="100">
        <f t="shared" si="77"/>
        <v>0</v>
      </c>
      <c r="M462" s="100">
        <f t="shared" si="78"/>
        <v>0</v>
      </c>
      <c r="N462" s="100">
        <v>0</v>
      </c>
      <c r="O462" s="100">
        <f t="shared" si="79"/>
        <v>0</v>
      </c>
      <c r="P462" s="100">
        <f t="shared" si="80"/>
        <v>0</v>
      </c>
      <c r="Q462" s="124">
        <f t="shared" si="81"/>
        <v>0</v>
      </c>
      <c r="R462" s="114"/>
    </row>
    <row r="463" s="34" customFormat="1" ht="18" customHeight="1" spans="1:18">
      <c r="A463" s="61">
        <f>IF(F463&lt;&gt;"",1+MAX($A$2:A462),"")</f>
        <v>426</v>
      </c>
      <c r="B463" s="214"/>
      <c r="C463" s="74"/>
      <c r="D463" s="138" t="s">
        <v>563</v>
      </c>
      <c r="E463" s="76">
        <v>250</v>
      </c>
      <c r="F463" s="65">
        <v>0.05</v>
      </c>
      <c r="G463" s="66">
        <f t="shared" si="75"/>
        <v>262.5</v>
      </c>
      <c r="H463" s="70" t="s">
        <v>37</v>
      </c>
      <c r="I463" s="97">
        <v>0</v>
      </c>
      <c r="J463" s="98">
        <f t="shared" si="76"/>
        <v>0</v>
      </c>
      <c r="K463" s="99">
        <v>50</v>
      </c>
      <c r="L463" s="100">
        <f t="shared" si="77"/>
        <v>0</v>
      </c>
      <c r="M463" s="100">
        <f t="shared" si="78"/>
        <v>0</v>
      </c>
      <c r="N463" s="100">
        <v>0</v>
      </c>
      <c r="O463" s="100">
        <f t="shared" si="79"/>
        <v>0</v>
      </c>
      <c r="P463" s="100">
        <f t="shared" si="80"/>
        <v>0</v>
      </c>
      <c r="Q463" s="124">
        <f t="shared" si="81"/>
        <v>0</v>
      </c>
      <c r="R463" s="114"/>
    </row>
    <row r="464" s="34" customFormat="1" ht="18" customHeight="1" spans="1:18">
      <c r="A464" s="61">
        <f>IF(F464&lt;&gt;"",1+MAX($A$2:A463),"")</f>
        <v>427</v>
      </c>
      <c r="B464" s="214"/>
      <c r="C464" s="74"/>
      <c r="D464" s="138" t="s">
        <v>563</v>
      </c>
      <c r="E464" s="76">
        <v>300</v>
      </c>
      <c r="F464" s="65">
        <v>0.05</v>
      </c>
      <c r="G464" s="66">
        <f t="shared" si="75"/>
        <v>315</v>
      </c>
      <c r="H464" s="70" t="s">
        <v>37</v>
      </c>
      <c r="I464" s="97">
        <v>0</v>
      </c>
      <c r="J464" s="98">
        <f t="shared" si="76"/>
        <v>0</v>
      </c>
      <c r="K464" s="99">
        <v>50</v>
      </c>
      <c r="L464" s="100">
        <f t="shared" si="77"/>
        <v>0</v>
      </c>
      <c r="M464" s="100">
        <f t="shared" si="78"/>
        <v>0</v>
      </c>
      <c r="N464" s="100">
        <v>0</v>
      </c>
      <c r="O464" s="100">
        <f t="shared" si="79"/>
        <v>0</v>
      </c>
      <c r="P464" s="100">
        <f t="shared" si="80"/>
        <v>0</v>
      </c>
      <c r="Q464" s="124">
        <f t="shared" si="81"/>
        <v>0</v>
      </c>
      <c r="R464" s="114"/>
    </row>
    <row r="465" s="34" customFormat="1" ht="18" customHeight="1" spans="1:18">
      <c r="A465" s="61">
        <f>IF(F465&lt;&gt;"",1+MAX($A$2:A464),"")</f>
        <v>428</v>
      </c>
      <c r="B465" s="214"/>
      <c r="C465" s="74"/>
      <c r="D465" s="138" t="s">
        <v>563</v>
      </c>
      <c r="E465" s="76">
        <v>310</v>
      </c>
      <c r="F465" s="65">
        <v>0.05</v>
      </c>
      <c r="G465" s="66">
        <f t="shared" si="75"/>
        <v>325.5</v>
      </c>
      <c r="H465" s="70" t="s">
        <v>37</v>
      </c>
      <c r="I465" s="97">
        <v>0</v>
      </c>
      <c r="J465" s="98">
        <f t="shared" si="76"/>
        <v>0</v>
      </c>
      <c r="K465" s="99">
        <v>50</v>
      </c>
      <c r="L465" s="100">
        <f t="shared" si="77"/>
        <v>0</v>
      </c>
      <c r="M465" s="100">
        <f t="shared" si="78"/>
        <v>0</v>
      </c>
      <c r="N465" s="100">
        <v>0</v>
      </c>
      <c r="O465" s="100">
        <f t="shared" si="79"/>
        <v>0</v>
      </c>
      <c r="P465" s="100">
        <f t="shared" si="80"/>
        <v>0</v>
      </c>
      <c r="Q465" s="124">
        <f t="shared" si="81"/>
        <v>0</v>
      </c>
      <c r="R465" s="114"/>
    </row>
    <row r="466" s="34" customFormat="1" ht="18" customHeight="1" spans="1:18">
      <c r="A466" s="61">
        <f>IF(F466&lt;&gt;"",1+MAX($A$2:A465),"")</f>
        <v>429</v>
      </c>
      <c r="B466" s="214"/>
      <c r="C466" s="74"/>
      <c r="D466" s="138" t="s">
        <v>563</v>
      </c>
      <c r="E466" s="76">
        <v>110</v>
      </c>
      <c r="F466" s="65">
        <v>0.05</v>
      </c>
      <c r="G466" s="66">
        <f t="shared" si="75"/>
        <v>115.5</v>
      </c>
      <c r="H466" s="70" t="s">
        <v>37</v>
      </c>
      <c r="I466" s="97">
        <v>0</v>
      </c>
      <c r="J466" s="98">
        <f t="shared" si="76"/>
        <v>0</v>
      </c>
      <c r="K466" s="99">
        <v>50</v>
      </c>
      <c r="L466" s="100">
        <f t="shared" si="77"/>
        <v>0</v>
      </c>
      <c r="M466" s="100">
        <f t="shared" si="78"/>
        <v>0</v>
      </c>
      <c r="N466" s="100">
        <v>0</v>
      </c>
      <c r="O466" s="100">
        <f t="shared" si="79"/>
        <v>0</v>
      </c>
      <c r="P466" s="100">
        <f t="shared" si="80"/>
        <v>0</v>
      </c>
      <c r="Q466" s="124">
        <f t="shared" si="81"/>
        <v>0</v>
      </c>
      <c r="R466" s="114"/>
    </row>
    <row r="467" s="34" customFormat="1" ht="18" customHeight="1" spans="1:18">
      <c r="A467" s="61">
        <f>IF(F467&lt;&gt;"",1+MAX($A$2:A466),"")</f>
        <v>430</v>
      </c>
      <c r="B467" s="214"/>
      <c r="C467" s="74"/>
      <c r="D467" s="138" t="s">
        <v>563</v>
      </c>
      <c r="E467" s="76">
        <v>210</v>
      </c>
      <c r="F467" s="65">
        <v>0.05</v>
      </c>
      <c r="G467" s="66">
        <f t="shared" si="75"/>
        <v>220.5</v>
      </c>
      <c r="H467" s="70" t="s">
        <v>37</v>
      </c>
      <c r="I467" s="97">
        <v>0</v>
      </c>
      <c r="J467" s="98">
        <f t="shared" si="76"/>
        <v>0</v>
      </c>
      <c r="K467" s="99">
        <v>50</v>
      </c>
      <c r="L467" s="100">
        <f t="shared" si="77"/>
        <v>0</v>
      </c>
      <c r="M467" s="100">
        <f t="shared" si="78"/>
        <v>0</v>
      </c>
      <c r="N467" s="100">
        <v>0</v>
      </c>
      <c r="O467" s="100">
        <f t="shared" si="79"/>
        <v>0</v>
      </c>
      <c r="P467" s="100">
        <f t="shared" si="80"/>
        <v>0</v>
      </c>
      <c r="Q467" s="124">
        <f t="shared" si="81"/>
        <v>0</v>
      </c>
      <c r="R467" s="114"/>
    </row>
    <row r="468" s="34" customFormat="1" ht="18" customHeight="1" spans="1:18">
      <c r="A468" s="61">
        <f>IF(F468&lt;&gt;"",1+MAX($A$2:A467),"")</f>
        <v>431</v>
      </c>
      <c r="B468" s="214"/>
      <c r="C468" s="74"/>
      <c r="D468" s="138" t="s">
        <v>565</v>
      </c>
      <c r="E468" s="76">
        <v>225</v>
      </c>
      <c r="F468" s="65">
        <v>0.05</v>
      </c>
      <c r="G468" s="66">
        <f t="shared" si="75"/>
        <v>236.25</v>
      </c>
      <c r="H468" s="70" t="s">
        <v>37</v>
      </c>
      <c r="I468" s="97">
        <v>0</v>
      </c>
      <c r="J468" s="98">
        <f t="shared" si="76"/>
        <v>0</v>
      </c>
      <c r="K468" s="99">
        <v>50</v>
      </c>
      <c r="L468" s="100">
        <f t="shared" si="77"/>
        <v>0</v>
      </c>
      <c r="M468" s="100">
        <f t="shared" si="78"/>
        <v>0</v>
      </c>
      <c r="N468" s="100">
        <v>0</v>
      </c>
      <c r="O468" s="100">
        <f t="shared" si="79"/>
        <v>0</v>
      </c>
      <c r="P468" s="100">
        <f t="shared" si="80"/>
        <v>0</v>
      </c>
      <c r="Q468" s="124">
        <f t="shared" si="81"/>
        <v>0</v>
      </c>
      <c r="R468" s="114"/>
    </row>
    <row r="469" s="34" customFormat="1" ht="18" customHeight="1" spans="1:18">
      <c r="A469" s="61">
        <f>IF(F469&lt;&gt;"",1+MAX($A$2:A468),"")</f>
        <v>432</v>
      </c>
      <c r="B469" s="214"/>
      <c r="C469" s="74"/>
      <c r="D469" s="138" t="s">
        <v>563</v>
      </c>
      <c r="E469" s="76">
        <v>250</v>
      </c>
      <c r="F469" s="65">
        <v>0.05</v>
      </c>
      <c r="G469" s="66">
        <f t="shared" si="75"/>
        <v>262.5</v>
      </c>
      <c r="H469" s="70" t="s">
        <v>37</v>
      </c>
      <c r="I469" s="97">
        <v>0</v>
      </c>
      <c r="J469" s="98">
        <f t="shared" si="76"/>
        <v>0</v>
      </c>
      <c r="K469" s="99">
        <v>50</v>
      </c>
      <c r="L469" s="100">
        <f t="shared" si="77"/>
        <v>0</v>
      </c>
      <c r="M469" s="100">
        <f t="shared" si="78"/>
        <v>0</v>
      </c>
      <c r="N469" s="100">
        <v>0</v>
      </c>
      <c r="O469" s="100">
        <f t="shared" si="79"/>
        <v>0</v>
      </c>
      <c r="P469" s="100">
        <f t="shared" si="80"/>
        <v>0</v>
      </c>
      <c r="Q469" s="124">
        <f t="shared" si="81"/>
        <v>0</v>
      </c>
      <c r="R469" s="114"/>
    </row>
    <row r="470" s="34" customFormat="1" ht="18" customHeight="1" spans="1:18">
      <c r="A470" s="61">
        <f>IF(F470&lt;&gt;"",1+MAX($A$2:A469),"")</f>
        <v>433</v>
      </c>
      <c r="B470" s="214"/>
      <c r="C470" s="74"/>
      <c r="D470" s="138" t="s">
        <v>563</v>
      </c>
      <c r="E470" s="76">
        <v>300</v>
      </c>
      <c r="F470" s="65">
        <v>0.05</v>
      </c>
      <c r="G470" s="66">
        <f t="shared" si="75"/>
        <v>315</v>
      </c>
      <c r="H470" s="70" t="s">
        <v>37</v>
      </c>
      <c r="I470" s="97">
        <v>0</v>
      </c>
      <c r="J470" s="98">
        <f t="shared" si="76"/>
        <v>0</v>
      </c>
      <c r="K470" s="99">
        <v>50</v>
      </c>
      <c r="L470" s="100">
        <f t="shared" si="77"/>
        <v>0</v>
      </c>
      <c r="M470" s="100">
        <f t="shared" si="78"/>
        <v>0</v>
      </c>
      <c r="N470" s="100">
        <v>0</v>
      </c>
      <c r="O470" s="100">
        <f t="shared" si="79"/>
        <v>0</v>
      </c>
      <c r="P470" s="100">
        <f t="shared" si="80"/>
        <v>0</v>
      </c>
      <c r="Q470" s="124">
        <f t="shared" si="81"/>
        <v>0</v>
      </c>
      <c r="R470" s="114"/>
    </row>
    <row r="471" s="34" customFormat="1" ht="18" customHeight="1" spans="1:18">
      <c r="A471" s="61">
        <f>IF(F471&lt;&gt;"",1+MAX($A$2:A470),"")</f>
        <v>434</v>
      </c>
      <c r="B471" s="214"/>
      <c r="C471" s="74"/>
      <c r="D471" s="138" t="s">
        <v>563</v>
      </c>
      <c r="E471" s="76">
        <v>310</v>
      </c>
      <c r="F471" s="65">
        <v>0.05</v>
      </c>
      <c r="G471" s="66">
        <f t="shared" si="75"/>
        <v>325.5</v>
      </c>
      <c r="H471" s="70" t="s">
        <v>37</v>
      </c>
      <c r="I471" s="97">
        <v>0</v>
      </c>
      <c r="J471" s="98">
        <f t="shared" si="76"/>
        <v>0</v>
      </c>
      <c r="K471" s="99">
        <v>50</v>
      </c>
      <c r="L471" s="100">
        <f t="shared" si="77"/>
        <v>0</v>
      </c>
      <c r="M471" s="100">
        <f t="shared" si="78"/>
        <v>0</v>
      </c>
      <c r="N471" s="100">
        <v>0</v>
      </c>
      <c r="O471" s="100">
        <f t="shared" si="79"/>
        <v>0</v>
      </c>
      <c r="P471" s="100">
        <f t="shared" si="80"/>
        <v>0</v>
      </c>
      <c r="Q471" s="124">
        <f t="shared" si="81"/>
        <v>0</v>
      </c>
      <c r="R471" s="114"/>
    </row>
    <row r="472" s="34" customFormat="1" ht="18" customHeight="1" spans="1:18">
      <c r="A472" s="61">
        <f>IF(F472&lt;&gt;"",1+MAX($A$2:A471),"")</f>
        <v>435</v>
      </c>
      <c r="B472" s="214"/>
      <c r="C472" s="74"/>
      <c r="D472" s="138" t="s">
        <v>566</v>
      </c>
      <c r="E472" s="76">
        <v>330</v>
      </c>
      <c r="F472" s="65">
        <v>0.05</v>
      </c>
      <c r="G472" s="66">
        <f t="shared" si="75"/>
        <v>346.5</v>
      </c>
      <c r="H472" s="70" t="s">
        <v>37</v>
      </c>
      <c r="I472" s="97">
        <v>0</v>
      </c>
      <c r="J472" s="98">
        <f t="shared" si="76"/>
        <v>0</v>
      </c>
      <c r="K472" s="99">
        <v>50</v>
      </c>
      <c r="L472" s="100">
        <f t="shared" si="77"/>
        <v>0</v>
      </c>
      <c r="M472" s="100">
        <f t="shared" si="78"/>
        <v>0</v>
      </c>
      <c r="N472" s="100">
        <v>0</v>
      </c>
      <c r="O472" s="100">
        <f t="shared" si="79"/>
        <v>0</v>
      </c>
      <c r="P472" s="100">
        <f t="shared" si="80"/>
        <v>0</v>
      </c>
      <c r="Q472" s="124">
        <f t="shared" si="81"/>
        <v>0</v>
      </c>
      <c r="R472" s="114"/>
    </row>
    <row r="473" s="34" customFormat="1" ht="18" customHeight="1" spans="1:18">
      <c r="A473" s="61">
        <f>IF(F473&lt;&gt;"",1+MAX($A$2:A472),"")</f>
        <v>436</v>
      </c>
      <c r="B473" s="214"/>
      <c r="C473" s="74"/>
      <c r="D473" s="138" t="s">
        <v>566</v>
      </c>
      <c r="E473" s="76">
        <v>310</v>
      </c>
      <c r="F473" s="65">
        <v>0.05</v>
      </c>
      <c r="G473" s="66">
        <f t="shared" si="75"/>
        <v>325.5</v>
      </c>
      <c r="H473" s="70" t="s">
        <v>37</v>
      </c>
      <c r="I473" s="97">
        <v>0</v>
      </c>
      <c r="J473" s="98">
        <f t="shared" si="76"/>
        <v>0</v>
      </c>
      <c r="K473" s="99">
        <v>50</v>
      </c>
      <c r="L473" s="100">
        <f t="shared" si="77"/>
        <v>0</v>
      </c>
      <c r="M473" s="100">
        <f t="shared" si="78"/>
        <v>0</v>
      </c>
      <c r="N473" s="100">
        <v>0</v>
      </c>
      <c r="O473" s="100">
        <f t="shared" si="79"/>
        <v>0</v>
      </c>
      <c r="P473" s="100">
        <f t="shared" si="80"/>
        <v>0</v>
      </c>
      <c r="Q473" s="124">
        <f t="shared" si="81"/>
        <v>0</v>
      </c>
      <c r="R473" s="114"/>
    </row>
    <row r="474" s="34" customFormat="1" ht="18" customHeight="1" spans="1:18">
      <c r="A474" s="61">
        <f>IF(F474&lt;&gt;"",1+MAX($A$2:A473),"")</f>
        <v>437</v>
      </c>
      <c r="B474" s="214"/>
      <c r="C474" s="74"/>
      <c r="D474" s="138" t="s">
        <v>564</v>
      </c>
      <c r="E474" s="76">
        <v>300</v>
      </c>
      <c r="F474" s="65">
        <v>0.05</v>
      </c>
      <c r="G474" s="66">
        <f t="shared" si="75"/>
        <v>315</v>
      </c>
      <c r="H474" s="70" t="s">
        <v>37</v>
      </c>
      <c r="I474" s="97">
        <v>0</v>
      </c>
      <c r="J474" s="98">
        <f t="shared" si="76"/>
        <v>0</v>
      </c>
      <c r="K474" s="99">
        <v>50</v>
      </c>
      <c r="L474" s="100">
        <f t="shared" si="77"/>
        <v>0</v>
      </c>
      <c r="M474" s="100">
        <f t="shared" si="78"/>
        <v>0</v>
      </c>
      <c r="N474" s="100">
        <v>0</v>
      </c>
      <c r="O474" s="100">
        <f t="shared" si="79"/>
        <v>0</v>
      </c>
      <c r="P474" s="100">
        <f t="shared" si="80"/>
        <v>0</v>
      </c>
      <c r="Q474" s="124">
        <f t="shared" si="81"/>
        <v>0</v>
      </c>
      <c r="R474" s="114"/>
    </row>
    <row r="475" s="34" customFormat="1" ht="18" customHeight="1" spans="1:18">
      <c r="A475" s="61">
        <f>IF(F475&lt;&gt;"",1+MAX($A$2:A474),"")</f>
        <v>438</v>
      </c>
      <c r="B475" s="214"/>
      <c r="C475" s="74"/>
      <c r="D475" s="138" t="s">
        <v>561</v>
      </c>
      <c r="E475" s="76">
        <v>300</v>
      </c>
      <c r="F475" s="65">
        <v>0.05</v>
      </c>
      <c r="G475" s="66">
        <f t="shared" si="75"/>
        <v>315</v>
      </c>
      <c r="H475" s="70" t="s">
        <v>37</v>
      </c>
      <c r="I475" s="97">
        <v>0</v>
      </c>
      <c r="J475" s="98">
        <f t="shared" si="76"/>
        <v>0</v>
      </c>
      <c r="K475" s="99">
        <v>50</v>
      </c>
      <c r="L475" s="100">
        <f t="shared" si="77"/>
        <v>0</v>
      </c>
      <c r="M475" s="100">
        <f t="shared" si="78"/>
        <v>0</v>
      </c>
      <c r="N475" s="100">
        <v>0</v>
      </c>
      <c r="O475" s="100">
        <f t="shared" si="79"/>
        <v>0</v>
      </c>
      <c r="P475" s="100">
        <f t="shared" si="80"/>
        <v>0</v>
      </c>
      <c r="Q475" s="124">
        <f t="shared" si="81"/>
        <v>0</v>
      </c>
      <c r="R475" s="114"/>
    </row>
    <row r="476" s="34" customFormat="1" ht="18" customHeight="1" spans="1:18">
      <c r="A476" s="61">
        <f>IF(F476&lt;&gt;"",1+MAX($A$2:A475),"")</f>
        <v>439</v>
      </c>
      <c r="B476" s="214"/>
      <c r="C476" s="74"/>
      <c r="D476" s="138" t="s">
        <v>561</v>
      </c>
      <c r="E476" s="76">
        <v>320</v>
      </c>
      <c r="F476" s="65">
        <v>0.05</v>
      </c>
      <c r="G476" s="66">
        <f t="shared" si="75"/>
        <v>336</v>
      </c>
      <c r="H476" s="70" t="s">
        <v>37</v>
      </c>
      <c r="I476" s="97">
        <v>0</v>
      </c>
      <c r="J476" s="98">
        <f t="shared" si="76"/>
        <v>0</v>
      </c>
      <c r="K476" s="99">
        <v>50</v>
      </c>
      <c r="L476" s="100">
        <f t="shared" si="77"/>
        <v>0</v>
      </c>
      <c r="M476" s="100">
        <f t="shared" si="78"/>
        <v>0</v>
      </c>
      <c r="N476" s="100">
        <v>0</v>
      </c>
      <c r="O476" s="100">
        <f t="shared" si="79"/>
        <v>0</v>
      </c>
      <c r="P476" s="100">
        <f t="shared" si="80"/>
        <v>0</v>
      </c>
      <c r="Q476" s="124">
        <f t="shared" si="81"/>
        <v>0</v>
      </c>
      <c r="R476" s="114"/>
    </row>
    <row r="477" s="34" customFormat="1" ht="18" customHeight="1" spans="1:18">
      <c r="A477" s="61">
        <f>IF(F477&lt;&gt;"",1+MAX($A$2:A476),"")</f>
        <v>440</v>
      </c>
      <c r="B477" s="214"/>
      <c r="C477" s="74"/>
      <c r="D477" s="138" t="s">
        <v>562</v>
      </c>
      <c r="E477" s="76">
        <v>300</v>
      </c>
      <c r="F477" s="65">
        <v>0.05</v>
      </c>
      <c r="G477" s="66">
        <f t="shared" si="75"/>
        <v>315</v>
      </c>
      <c r="H477" s="70" t="s">
        <v>37</v>
      </c>
      <c r="I477" s="97">
        <v>0</v>
      </c>
      <c r="J477" s="98">
        <f t="shared" si="76"/>
        <v>0</v>
      </c>
      <c r="K477" s="99">
        <v>50</v>
      </c>
      <c r="L477" s="100">
        <f t="shared" si="77"/>
        <v>0</v>
      </c>
      <c r="M477" s="100">
        <f t="shared" si="78"/>
        <v>0</v>
      </c>
      <c r="N477" s="100">
        <v>0</v>
      </c>
      <c r="O477" s="100">
        <f t="shared" si="79"/>
        <v>0</v>
      </c>
      <c r="P477" s="100">
        <f t="shared" si="80"/>
        <v>0</v>
      </c>
      <c r="Q477" s="124">
        <f t="shared" si="81"/>
        <v>0</v>
      </c>
      <c r="R477" s="114"/>
    </row>
    <row r="478" s="34" customFormat="1" ht="18" customHeight="1" spans="1:18">
      <c r="A478" s="61">
        <f>IF(F478&lt;&gt;"",1+MAX($A$2:A477),"")</f>
        <v>441</v>
      </c>
      <c r="B478" s="214"/>
      <c r="C478" s="74"/>
      <c r="D478" s="138" t="s">
        <v>562</v>
      </c>
      <c r="E478" s="76">
        <v>190</v>
      </c>
      <c r="F478" s="65">
        <v>0.05</v>
      </c>
      <c r="G478" s="66">
        <f t="shared" si="75"/>
        <v>199.5</v>
      </c>
      <c r="H478" s="70" t="s">
        <v>37</v>
      </c>
      <c r="I478" s="97">
        <v>0</v>
      </c>
      <c r="J478" s="98">
        <f t="shared" si="76"/>
        <v>0</v>
      </c>
      <c r="K478" s="99">
        <v>50</v>
      </c>
      <c r="L478" s="100">
        <f t="shared" si="77"/>
        <v>0</v>
      </c>
      <c r="M478" s="100">
        <f t="shared" si="78"/>
        <v>0</v>
      </c>
      <c r="N478" s="100">
        <v>0</v>
      </c>
      <c r="O478" s="100">
        <f t="shared" si="79"/>
        <v>0</v>
      </c>
      <c r="P478" s="100">
        <f t="shared" si="80"/>
        <v>0</v>
      </c>
      <c r="Q478" s="124">
        <f t="shared" si="81"/>
        <v>0</v>
      </c>
      <c r="R478" s="114"/>
    </row>
    <row r="479" s="34" customFormat="1" ht="18" customHeight="1" spans="1:18">
      <c r="A479" s="61">
        <f>IF(F479&lt;&gt;"",1+MAX($A$2:A478),"")</f>
        <v>442</v>
      </c>
      <c r="B479" s="214"/>
      <c r="C479" s="74"/>
      <c r="D479" s="138" t="s">
        <v>562</v>
      </c>
      <c r="E479" s="76">
        <v>190</v>
      </c>
      <c r="F479" s="65">
        <v>0.05</v>
      </c>
      <c r="G479" s="66">
        <f t="shared" si="75"/>
        <v>199.5</v>
      </c>
      <c r="H479" s="70" t="s">
        <v>37</v>
      </c>
      <c r="I479" s="97">
        <v>0</v>
      </c>
      <c r="J479" s="98">
        <f t="shared" si="76"/>
        <v>0</v>
      </c>
      <c r="K479" s="99">
        <v>50</v>
      </c>
      <c r="L479" s="100">
        <f t="shared" si="77"/>
        <v>0</v>
      </c>
      <c r="M479" s="100">
        <f t="shared" si="78"/>
        <v>0</v>
      </c>
      <c r="N479" s="100">
        <v>0</v>
      </c>
      <c r="O479" s="100">
        <f t="shared" si="79"/>
        <v>0</v>
      </c>
      <c r="P479" s="100">
        <f t="shared" si="80"/>
        <v>0</v>
      </c>
      <c r="Q479" s="124">
        <f t="shared" si="81"/>
        <v>0</v>
      </c>
      <c r="R479" s="114"/>
    </row>
    <row r="480" s="34" customFormat="1" ht="18" customHeight="1" spans="1:18">
      <c r="A480" s="61">
        <f>IF(F480&lt;&gt;"",1+MAX($A$2:A479),"")</f>
        <v>443</v>
      </c>
      <c r="B480" s="214"/>
      <c r="C480" s="74"/>
      <c r="D480" s="138" t="s">
        <v>565</v>
      </c>
      <c r="E480" s="76">
        <v>80</v>
      </c>
      <c r="F480" s="65">
        <v>0.05</v>
      </c>
      <c r="G480" s="66">
        <f t="shared" si="75"/>
        <v>84</v>
      </c>
      <c r="H480" s="70" t="s">
        <v>37</v>
      </c>
      <c r="I480" s="97">
        <v>0</v>
      </c>
      <c r="J480" s="98">
        <f t="shared" si="76"/>
        <v>0</v>
      </c>
      <c r="K480" s="99">
        <v>50</v>
      </c>
      <c r="L480" s="100">
        <f t="shared" si="77"/>
        <v>0</v>
      </c>
      <c r="M480" s="100">
        <f t="shared" si="78"/>
        <v>0</v>
      </c>
      <c r="N480" s="100">
        <v>0</v>
      </c>
      <c r="O480" s="100">
        <f t="shared" si="79"/>
        <v>0</v>
      </c>
      <c r="P480" s="100">
        <f t="shared" si="80"/>
        <v>0</v>
      </c>
      <c r="Q480" s="124">
        <f t="shared" si="81"/>
        <v>0</v>
      </c>
      <c r="R480" s="114"/>
    </row>
    <row r="481" s="34" customFormat="1" ht="18" customHeight="1" spans="1:18">
      <c r="A481" s="61">
        <f>IF(F481&lt;&gt;"",1+MAX($A$2:A480),"")</f>
        <v>444</v>
      </c>
      <c r="B481" s="214"/>
      <c r="C481" s="74"/>
      <c r="D481" s="138" t="s">
        <v>564</v>
      </c>
      <c r="E481" s="76">
        <v>150</v>
      </c>
      <c r="F481" s="65">
        <v>0.05</v>
      </c>
      <c r="G481" s="66">
        <f t="shared" si="75"/>
        <v>157.5</v>
      </c>
      <c r="H481" s="70" t="s">
        <v>37</v>
      </c>
      <c r="I481" s="97">
        <v>0</v>
      </c>
      <c r="J481" s="98">
        <f t="shared" si="76"/>
        <v>0</v>
      </c>
      <c r="K481" s="99">
        <v>50</v>
      </c>
      <c r="L481" s="100">
        <f t="shared" si="77"/>
        <v>0</v>
      </c>
      <c r="M481" s="100">
        <f t="shared" si="78"/>
        <v>0</v>
      </c>
      <c r="N481" s="100">
        <v>0</v>
      </c>
      <c r="O481" s="100">
        <f t="shared" si="79"/>
        <v>0</v>
      </c>
      <c r="P481" s="100">
        <f t="shared" si="80"/>
        <v>0</v>
      </c>
      <c r="Q481" s="124">
        <f t="shared" si="81"/>
        <v>0</v>
      </c>
      <c r="R481" s="114"/>
    </row>
    <row r="482" s="34" customFormat="1" ht="18" customHeight="1" spans="1:18">
      <c r="A482" s="61">
        <f>IF(F482&lt;&gt;"",1+MAX($A$2:A481),"")</f>
        <v>445</v>
      </c>
      <c r="B482" s="214"/>
      <c r="C482" s="74"/>
      <c r="D482" s="138" t="s">
        <v>562</v>
      </c>
      <c r="E482" s="76">
        <v>280</v>
      </c>
      <c r="F482" s="65">
        <v>0.05</v>
      </c>
      <c r="G482" s="66">
        <f t="shared" si="75"/>
        <v>294</v>
      </c>
      <c r="H482" s="70" t="s">
        <v>37</v>
      </c>
      <c r="I482" s="97">
        <v>0</v>
      </c>
      <c r="J482" s="98">
        <f t="shared" si="76"/>
        <v>0</v>
      </c>
      <c r="K482" s="99">
        <v>50</v>
      </c>
      <c r="L482" s="100">
        <f t="shared" si="77"/>
        <v>0</v>
      </c>
      <c r="M482" s="100">
        <f t="shared" si="78"/>
        <v>0</v>
      </c>
      <c r="N482" s="100">
        <v>0</v>
      </c>
      <c r="O482" s="100">
        <f t="shared" si="79"/>
        <v>0</v>
      </c>
      <c r="P482" s="100">
        <f t="shared" si="80"/>
        <v>0</v>
      </c>
      <c r="Q482" s="124">
        <f t="shared" si="81"/>
        <v>0</v>
      </c>
      <c r="R482" s="114"/>
    </row>
    <row r="483" s="34" customFormat="1" ht="18" customHeight="1" spans="1:18">
      <c r="A483" s="61">
        <f>IF(F483&lt;&gt;"",1+MAX($A$2:A482),"")</f>
        <v>446</v>
      </c>
      <c r="B483" s="214"/>
      <c r="C483" s="74"/>
      <c r="D483" s="138" t="s">
        <v>566</v>
      </c>
      <c r="E483" s="76">
        <v>120</v>
      </c>
      <c r="F483" s="65">
        <v>0.05</v>
      </c>
      <c r="G483" s="66">
        <f t="shared" si="75"/>
        <v>126</v>
      </c>
      <c r="H483" s="70" t="s">
        <v>37</v>
      </c>
      <c r="I483" s="97">
        <v>0</v>
      </c>
      <c r="J483" s="98">
        <f t="shared" si="76"/>
        <v>0</v>
      </c>
      <c r="K483" s="99">
        <v>50</v>
      </c>
      <c r="L483" s="100">
        <f t="shared" si="77"/>
        <v>0</v>
      </c>
      <c r="M483" s="100">
        <f t="shared" si="78"/>
        <v>0</v>
      </c>
      <c r="N483" s="100">
        <v>0</v>
      </c>
      <c r="O483" s="100">
        <f t="shared" si="79"/>
        <v>0</v>
      </c>
      <c r="P483" s="100">
        <f t="shared" si="80"/>
        <v>0</v>
      </c>
      <c r="Q483" s="124">
        <f t="shared" si="81"/>
        <v>0</v>
      </c>
      <c r="R483" s="114"/>
    </row>
    <row r="484" s="34" customFormat="1" ht="18" customHeight="1" spans="1:18">
      <c r="A484" s="61">
        <f>IF(F484&lt;&gt;"",1+MAX($A$2:A483),"")</f>
        <v>447</v>
      </c>
      <c r="B484" s="214"/>
      <c r="C484" s="74"/>
      <c r="D484" s="138" t="s">
        <v>562</v>
      </c>
      <c r="E484" s="76">
        <v>170</v>
      </c>
      <c r="F484" s="65">
        <v>0.05</v>
      </c>
      <c r="G484" s="66">
        <f t="shared" si="75"/>
        <v>178.5</v>
      </c>
      <c r="H484" s="70" t="s">
        <v>37</v>
      </c>
      <c r="I484" s="97">
        <v>0</v>
      </c>
      <c r="J484" s="98">
        <f t="shared" si="76"/>
        <v>0</v>
      </c>
      <c r="K484" s="99">
        <v>50</v>
      </c>
      <c r="L484" s="100">
        <f t="shared" si="77"/>
        <v>0</v>
      </c>
      <c r="M484" s="100">
        <f t="shared" si="78"/>
        <v>0</v>
      </c>
      <c r="N484" s="100">
        <v>0</v>
      </c>
      <c r="O484" s="100">
        <f t="shared" si="79"/>
        <v>0</v>
      </c>
      <c r="P484" s="100">
        <f t="shared" si="80"/>
        <v>0</v>
      </c>
      <c r="Q484" s="124">
        <f t="shared" si="81"/>
        <v>0</v>
      </c>
      <c r="R484" s="114"/>
    </row>
    <row r="485" s="34" customFormat="1" ht="18" customHeight="1" spans="1:18">
      <c r="A485" s="61">
        <f>IF(F485&lt;&gt;"",1+MAX($A$2:A484),"")</f>
        <v>448</v>
      </c>
      <c r="B485" s="214"/>
      <c r="C485" s="74"/>
      <c r="D485" s="138" t="s">
        <v>564</v>
      </c>
      <c r="E485" s="76">
        <v>120</v>
      </c>
      <c r="F485" s="65">
        <v>0.05</v>
      </c>
      <c r="G485" s="66">
        <f t="shared" si="75"/>
        <v>126</v>
      </c>
      <c r="H485" s="70" t="s">
        <v>37</v>
      </c>
      <c r="I485" s="97">
        <v>0</v>
      </c>
      <c r="J485" s="98">
        <f t="shared" si="76"/>
        <v>0</v>
      </c>
      <c r="K485" s="99">
        <v>50</v>
      </c>
      <c r="L485" s="100">
        <f t="shared" si="77"/>
        <v>0</v>
      </c>
      <c r="M485" s="100">
        <f t="shared" si="78"/>
        <v>0</v>
      </c>
      <c r="N485" s="100">
        <v>0</v>
      </c>
      <c r="O485" s="100">
        <f t="shared" si="79"/>
        <v>0</v>
      </c>
      <c r="P485" s="100">
        <f t="shared" si="80"/>
        <v>0</v>
      </c>
      <c r="Q485" s="124">
        <f t="shared" si="81"/>
        <v>0</v>
      </c>
      <c r="R485" s="114"/>
    </row>
    <row r="486" s="34" customFormat="1" ht="18" customHeight="1" spans="1:18">
      <c r="A486" s="61">
        <f>IF(F486&lt;&gt;"",1+MAX($A$2:A485),"")</f>
        <v>449</v>
      </c>
      <c r="B486" s="214"/>
      <c r="C486" s="74"/>
      <c r="D486" s="138" t="s">
        <v>566</v>
      </c>
      <c r="E486" s="76">
        <v>300</v>
      </c>
      <c r="F486" s="65">
        <v>0.05</v>
      </c>
      <c r="G486" s="66">
        <f t="shared" si="75"/>
        <v>315</v>
      </c>
      <c r="H486" s="70" t="s">
        <v>37</v>
      </c>
      <c r="I486" s="97">
        <v>0</v>
      </c>
      <c r="J486" s="98">
        <f t="shared" si="76"/>
        <v>0</v>
      </c>
      <c r="K486" s="99">
        <v>50</v>
      </c>
      <c r="L486" s="100">
        <f t="shared" si="77"/>
        <v>0</v>
      </c>
      <c r="M486" s="100">
        <f t="shared" si="78"/>
        <v>0</v>
      </c>
      <c r="N486" s="100">
        <v>0</v>
      </c>
      <c r="O486" s="100">
        <f t="shared" si="79"/>
        <v>0</v>
      </c>
      <c r="P486" s="100">
        <f t="shared" si="80"/>
        <v>0</v>
      </c>
      <c r="Q486" s="124">
        <f t="shared" si="81"/>
        <v>0</v>
      </c>
      <c r="R486" s="114"/>
    </row>
    <row r="487" s="34" customFormat="1" ht="18" customHeight="1" spans="1:18">
      <c r="A487" s="61">
        <f>IF(F487&lt;&gt;"",1+MAX($A$2:A486),"")</f>
        <v>450</v>
      </c>
      <c r="B487" s="214"/>
      <c r="C487" s="74"/>
      <c r="D487" s="138" t="s">
        <v>566</v>
      </c>
      <c r="E487" s="76">
        <v>310</v>
      </c>
      <c r="F487" s="65">
        <v>0.05</v>
      </c>
      <c r="G487" s="66">
        <f t="shared" si="75"/>
        <v>325.5</v>
      </c>
      <c r="H487" s="70" t="s">
        <v>37</v>
      </c>
      <c r="I487" s="97">
        <v>0</v>
      </c>
      <c r="J487" s="98">
        <f t="shared" si="76"/>
        <v>0</v>
      </c>
      <c r="K487" s="99">
        <v>50</v>
      </c>
      <c r="L487" s="100">
        <f t="shared" si="77"/>
        <v>0</v>
      </c>
      <c r="M487" s="100">
        <f t="shared" si="78"/>
        <v>0</v>
      </c>
      <c r="N487" s="100">
        <v>0</v>
      </c>
      <c r="O487" s="100">
        <f t="shared" si="79"/>
        <v>0</v>
      </c>
      <c r="P487" s="100">
        <f t="shared" si="80"/>
        <v>0</v>
      </c>
      <c r="Q487" s="124">
        <f t="shared" si="81"/>
        <v>0</v>
      </c>
      <c r="R487" s="114"/>
    </row>
    <row r="488" s="34" customFormat="1" ht="18" customHeight="1" spans="1:18">
      <c r="A488" s="61">
        <f>IF(F488&lt;&gt;"",1+MAX($A$2:A487),"")</f>
        <v>451</v>
      </c>
      <c r="B488" s="214"/>
      <c r="C488" s="74"/>
      <c r="D488" s="138" t="s">
        <v>566</v>
      </c>
      <c r="E488" s="76">
        <v>300</v>
      </c>
      <c r="F488" s="65">
        <v>0.05</v>
      </c>
      <c r="G488" s="66">
        <f t="shared" si="75"/>
        <v>315</v>
      </c>
      <c r="H488" s="70" t="s">
        <v>37</v>
      </c>
      <c r="I488" s="97">
        <v>0</v>
      </c>
      <c r="J488" s="98">
        <f t="shared" si="76"/>
        <v>0</v>
      </c>
      <c r="K488" s="99">
        <v>50</v>
      </c>
      <c r="L488" s="100">
        <f t="shared" si="77"/>
        <v>0</v>
      </c>
      <c r="M488" s="100">
        <f t="shared" si="78"/>
        <v>0</v>
      </c>
      <c r="N488" s="100">
        <v>0</v>
      </c>
      <c r="O488" s="100">
        <f t="shared" si="79"/>
        <v>0</v>
      </c>
      <c r="P488" s="100">
        <f t="shared" si="80"/>
        <v>0</v>
      </c>
      <c r="Q488" s="124">
        <f t="shared" si="81"/>
        <v>0</v>
      </c>
      <c r="R488" s="114"/>
    </row>
    <row r="489" s="34" customFormat="1" ht="18" customHeight="1" spans="1:18">
      <c r="A489" s="61">
        <f>IF(F489&lt;&gt;"",1+MAX($A$2:A488),"")</f>
        <v>452</v>
      </c>
      <c r="B489" s="214"/>
      <c r="C489" s="74"/>
      <c r="D489" s="138" t="s">
        <v>563</v>
      </c>
      <c r="E489" s="76">
        <v>300</v>
      </c>
      <c r="F489" s="65">
        <v>0.05</v>
      </c>
      <c r="G489" s="66">
        <f t="shared" si="75"/>
        <v>315</v>
      </c>
      <c r="H489" s="70" t="s">
        <v>37</v>
      </c>
      <c r="I489" s="97">
        <v>0</v>
      </c>
      <c r="J489" s="98">
        <f t="shared" si="76"/>
        <v>0</v>
      </c>
      <c r="K489" s="99">
        <v>50</v>
      </c>
      <c r="L489" s="100">
        <f t="shared" si="77"/>
        <v>0</v>
      </c>
      <c r="M489" s="100">
        <f t="shared" si="78"/>
        <v>0</v>
      </c>
      <c r="N489" s="100">
        <v>0</v>
      </c>
      <c r="O489" s="100">
        <f t="shared" si="79"/>
        <v>0</v>
      </c>
      <c r="P489" s="100">
        <f t="shared" si="80"/>
        <v>0</v>
      </c>
      <c r="Q489" s="124">
        <f t="shared" si="81"/>
        <v>0</v>
      </c>
      <c r="R489" s="114"/>
    </row>
    <row r="490" s="34" customFormat="1" ht="18" customHeight="1" spans="1:18">
      <c r="A490" s="61">
        <f>IF(F490&lt;&gt;"",1+MAX($A$2:A489),"")</f>
        <v>453</v>
      </c>
      <c r="B490" s="214"/>
      <c r="C490" s="74"/>
      <c r="D490" s="138" t="s">
        <v>563</v>
      </c>
      <c r="E490" s="76">
        <v>290</v>
      </c>
      <c r="F490" s="65">
        <v>0.05</v>
      </c>
      <c r="G490" s="66">
        <f t="shared" si="75"/>
        <v>304.5</v>
      </c>
      <c r="H490" s="70" t="s">
        <v>37</v>
      </c>
      <c r="I490" s="97">
        <v>0</v>
      </c>
      <c r="J490" s="98">
        <f t="shared" si="76"/>
        <v>0</v>
      </c>
      <c r="K490" s="99">
        <v>50</v>
      </c>
      <c r="L490" s="100">
        <f t="shared" si="77"/>
        <v>0</v>
      </c>
      <c r="M490" s="100">
        <f t="shared" si="78"/>
        <v>0</v>
      </c>
      <c r="N490" s="100">
        <v>0</v>
      </c>
      <c r="O490" s="100">
        <f t="shared" si="79"/>
        <v>0</v>
      </c>
      <c r="P490" s="100">
        <f t="shared" si="80"/>
        <v>0</v>
      </c>
      <c r="Q490" s="124">
        <f t="shared" si="81"/>
        <v>0</v>
      </c>
      <c r="R490" s="114"/>
    </row>
    <row r="491" s="34" customFormat="1" ht="18" customHeight="1" spans="1:18">
      <c r="A491" s="61">
        <f>IF(F491&lt;&gt;"",1+MAX($A$2:A490),"")</f>
        <v>454</v>
      </c>
      <c r="B491" s="214"/>
      <c r="C491" s="74"/>
      <c r="D491" s="138" t="s">
        <v>563</v>
      </c>
      <c r="E491" s="76">
        <v>220</v>
      </c>
      <c r="F491" s="65">
        <v>0.05</v>
      </c>
      <c r="G491" s="66">
        <f t="shared" si="75"/>
        <v>231</v>
      </c>
      <c r="H491" s="70" t="s">
        <v>37</v>
      </c>
      <c r="I491" s="97">
        <v>0</v>
      </c>
      <c r="J491" s="98">
        <f t="shared" si="76"/>
        <v>0</v>
      </c>
      <c r="K491" s="99">
        <v>50</v>
      </c>
      <c r="L491" s="100">
        <f t="shared" si="77"/>
        <v>0</v>
      </c>
      <c r="M491" s="100">
        <f t="shared" si="78"/>
        <v>0</v>
      </c>
      <c r="N491" s="100">
        <v>0</v>
      </c>
      <c r="O491" s="100">
        <f t="shared" si="79"/>
        <v>0</v>
      </c>
      <c r="P491" s="100">
        <f t="shared" si="80"/>
        <v>0</v>
      </c>
      <c r="Q491" s="124">
        <f t="shared" si="81"/>
        <v>0</v>
      </c>
      <c r="R491" s="114"/>
    </row>
    <row r="492" s="34" customFormat="1" ht="18" customHeight="1" spans="1:18">
      <c r="A492" s="61" t="str">
        <f>IF(F492&lt;&gt;"",1+MAX($A$2:A491),"")</f>
        <v/>
      </c>
      <c r="B492" s="214"/>
      <c r="C492" s="74"/>
      <c r="D492" s="138"/>
      <c r="E492" s="76"/>
      <c r="F492" s="65"/>
      <c r="G492" s="66"/>
      <c r="H492" s="70"/>
      <c r="I492" s="97"/>
      <c r="J492" s="98"/>
      <c r="K492" s="99"/>
      <c r="L492" s="100"/>
      <c r="M492" s="100"/>
      <c r="N492" s="100"/>
      <c r="O492" s="100"/>
      <c r="P492" s="100"/>
      <c r="Q492" s="124"/>
      <c r="R492" s="114"/>
    </row>
    <row r="493" s="34" customFormat="1" ht="18" customHeight="1" spans="1:18">
      <c r="A493" s="61" t="str">
        <f>IF(F493&lt;&gt;"",1+MAX($A$2:A492),"")</f>
        <v/>
      </c>
      <c r="B493" s="214"/>
      <c r="C493" s="74"/>
      <c r="D493" s="146" t="s">
        <v>588</v>
      </c>
      <c r="E493" s="76"/>
      <c r="F493" s="65"/>
      <c r="G493" s="66"/>
      <c r="H493" s="70"/>
      <c r="I493" s="97"/>
      <c r="J493" s="98"/>
      <c r="K493" s="99"/>
      <c r="L493" s="100"/>
      <c r="M493" s="100"/>
      <c r="N493" s="100"/>
      <c r="O493" s="100"/>
      <c r="P493" s="100"/>
      <c r="Q493" s="124"/>
      <c r="R493" s="114"/>
    </row>
    <row r="494" s="34" customFormat="1" ht="18" customHeight="1" spans="1:18">
      <c r="A494" s="67">
        <f>IF(F494&lt;&gt;"",1+MAX($A$2:A493),"")</f>
        <v>455</v>
      </c>
      <c r="B494" s="214"/>
      <c r="C494" s="74"/>
      <c r="D494" s="138" t="s">
        <v>589</v>
      </c>
      <c r="E494" s="76">
        <v>110</v>
      </c>
      <c r="F494" s="65">
        <v>0.05</v>
      </c>
      <c r="G494" s="66">
        <f t="shared" ref="G494:G509" si="82">(F494*E494)+E494</f>
        <v>115.5</v>
      </c>
      <c r="H494" s="70" t="s">
        <v>37</v>
      </c>
      <c r="I494" s="97">
        <v>0</v>
      </c>
      <c r="J494" s="98">
        <f t="shared" ref="J494:J509" si="83">+I494*G494</f>
        <v>0</v>
      </c>
      <c r="K494" s="99">
        <v>50</v>
      </c>
      <c r="L494" s="100">
        <f t="shared" ref="L494:L509" si="84">I494*K494</f>
        <v>0</v>
      </c>
      <c r="M494" s="100">
        <f t="shared" ref="M494:M509" si="85">K494*J494</f>
        <v>0</v>
      </c>
      <c r="N494" s="100">
        <v>0</v>
      </c>
      <c r="O494" s="100">
        <f t="shared" ref="O494:O509" si="86">N494*G494</f>
        <v>0</v>
      </c>
      <c r="P494" s="100">
        <f t="shared" ref="P494:P509" si="87">(I494*K494)+N494</f>
        <v>0</v>
      </c>
      <c r="Q494" s="124">
        <f t="shared" ref="Q494:Q509" si="88">P494*G494</f>
        <v>0</v>
      </c>
      <c r="R494" s="114"/>
    </row>
    <row r="495" s="34" customFormat="1" ht="18" customHeight="1" spans="1:18">
      <c r="A495" s="67">
        <f>IF(F495&lt;&gt;"",1+MAX($A$2:A494),"")</f>
        <v>456</v>
      </c>
      <c r="B495" s="214"/>
      <c r="C495" s="74"/>
      <c r="D495" s="138" t="s">
        <v>590</v>
      </c>
      <c r="E495" s="76">
        <v>210</v>
      </c>
      <c r="F495" s="65">
        <v>0.05</v>
      </c>
      <c r="G495" s="66">
        <f t="shared" si="82"/>
        <v>220.5</v>
      </c>
      <c r="H495" s="70" t="s">
        <v>37</v>
      </c>
      <c r="I495" s="97">
        <v>0</v>
      </c>
      <c r="J495" s="98">
        <f t="shared" si="83"/>
        <v>0</v>
      </c>
      <c r="K495" s="99">
        <v>50</v>
      </c>
      <c r="L495" s="100">
        <f t="shared" si="84"/>
        <v>0</v>
      </c>
      <c r="M495" s="100">
        <f t="shared" si="85"/>
        <v>0</v>
      </c>
      <c r="N495" s="100">
        <v>0</v>
      </c>
      <c r="O495" s="100">
        <f t="shared" si="86"/>
        <v>0</v>
      </c>
      <c r="P495" s="100">
        <f t="shared" si="87"/>
        <v>0</v>
      </c>
      <c r="Q495" s="124">
        <f t="shared" si="88"/>
        <v>0</v>
      </c>
      <c r="R495" s="114"/>
    </row>
    <row r="496" s="34" customFormat="1" ht="18" customHeight="1" spans="1:18">
      <c r="A496" s="67">
        <f>IF(F496&lt;&gt;"",1+MAX($A$2:A495),"")</f>
        <v>457</v>
      </c>
      <c r="B496" s="214"/>
      <c r="C496" s="74"/>
      <c r="D496" s="138" t="s">
        <v>589</v>
      </c>
      <c r="E496" s="76">
        <v>225</v>
      </c>
      <c r="F496" s="65">
        <v>0.05</v>
      </c>
      <c r="G496" s="66">
        <f t="shared" si="82"/>
        <v>236.25</v>
      </c>
      <c r="H496" s="70" t="s">
        <v>37</v>
      </c>
      <c r="I496" s="97">
        <v>0</v>
      </c>
      <c r="J496" s="98">
        <f t="shared" si="83"/>
        <v>0</v>
      </c>
      <c r="K496" s="99">
        <v>50</v>
      </c>
      <c r="L496" s="100">
        <f t="shared" si="84"/>
        <v>0</v>
      </c>
      <c r="M496" s="100">
        <f t="shared" si="85"/>
        <v>0</v>
      </c>
      <c r="N496" s="100">
        <v>0</v>
      </c>
      <c r="O496" s="100">
        <f t="shared" si="86"/>
        <v>0</v>
      </c>
      <c r="P496" s="100">
        <f t="shared" si="87"/>
        <v>0</v>
      </c>
      <c r="Q496" s="124">
        <f t="shared" si="88"/>
        <v>0</v>
      </c>
      <c r="R496" s="114"/>
    </row>
    <row r="497" s="34" customFormat="1" ht="18" customHeight="1" spans="1:18">
      <c r="A497" s="61">
        <f>IF(F497&lt;&gt;"",1+MAX($A$2:A496),"")</f>
        <v>458</v>
      </c>
      <c r="B497" s="214"/>
      <c r="C497" s="74"/>
      <c r="D497" s="138" t="s">
        <v>591</v>
      </c>
      <c r="E497" s="76">
        <v>250</v>
      </c>
      <c r="F497" s="65">
        <v>0.05</v>
      </c>
      <c r="G497" s="66">
        <f t="shared" si="82"/>
        <v>262.5</v>
      </c>
      <c r="H497" s="70" t="s">
        <v>37</v>
      </c>
      <c r="I497" s="97">
        <v>0</v>
      </c>
      <c r="J497" s="98">
        <f t="shared" si="83"/>
        <v>0</v>
      </c>
      <c r="K497" s="99">
        <v>50</v>
      </c>
      <c r="L497" s="100">
        <f t="shared" si="84"/>
        <v>0</v>
      </c>
      <c r="M497" s="100">
        <f t="shared" si="85"/>
        <v>0</v>
      </c>
      <c r="N497" s="100">
        <v>0</v>
      </c>
      <c r="O497" s="100">
        <f t="shared" si="86"/>
        <v>0</v>
      </c>
      <c r="P497" s="100">
        <f t="shared" si="87"/>
        <v>0</v>
      </c>
      <c r="Q497" s="124">
        <f t="shared" si="88"/>
        <v>0</v>
      </c>
      <c r="R497" s="114"/>
    </row>
    <row r="498" s="34" customFormat="1" ht="18" customHeight="1" spans="1:18">
      <c r="A498" s="67">
        <f>IF(F498&lt;&gt;"",1+MAX($A$2:A497),"")</f>
        <v>459</v>
      </c>
      <c r="B498" s="214"/>
      <c r="C498" s="74"/>
      <c r="D498" s="138" t="s">
        <v>592</v>
      </c>
      <c r="E498" s="76">
        <v>300</v>
      </c>
      <c r="F498" s="65">
        <v>0.05</v>
      </c>
      <c r="G498" s="66">
        <f t="shared" si="82"/>
        <v>315</v>
      </c>
      <c r="H498" s="70" t="s">
        <v>37</v>
      </c>
      <c r="I498" s="97">
        <v>0</v>
      </c>
      <c r="J498" s="98">
        <f t="shared" si="83"/>
        <v>0</v>
      </c>
      <c r="K498" s="99">
        <v>50</v>
      </c>
      <c r="L498" s="100">
        <f t="shared" si="84"/>
        <v>0</v>
      </c>
      <c r="M498" s="100">
        <f t="shared" si="85"/>
        <v>0</v>
      </c>
      <c r="N498" s="100">
        <v>0</v>
      </c>
      <c r="O498" s="100">
        <f t="shared" si="86"/>
        <v>0</v>
      </c>
      <c r="P498" s="100">
        <f t="shared" si="87"/>
        <v>0</v>
      </c>
      <c r="Q498" s="124">
        <f t="shared" si="88"/>
        <v>0</v>
      </c>
      <c r="R498" s="114"/>
    </row>
    <row r="499" s="34" customFormat="1" ht="18" customHeight="1" spans="1:18">
      <c r="A499" s="67">
        <f>IF(F499&lt;&gt;"",1+MAX($A$2:A498),"")</f>
        <v>460</v>
      </c>
      <c r="B499" s="214"/>
      <c r="C499" s="74"/>
      <c r="D499" s="138" t="s">
        <v>593</v>
      </c>
      <c r="E499" s="76">
        <v>310</v>
      </c>
      <c r="F499" s="65">
        <v>0.05</v>
      </c>
      <c r="G499" s="66">
        <f t="shared" si="82"/>
        <v>325.5</v>
      </c>
      <c r="H499" s="70" t="s">
        <v>37</v>
      </c>
      <c r="I499" s="97">
        <v>0</v>
      </c>
      <c r="J499" s="98">
        <f t="shared" si="83"/>
        <v>0</v>
      </c>
      <c r="K499" s="99">
        <v>50</v>
      </c>
      <c r="L499" s="100">
        <f t="shared" si="84"/>
        <v>0</v>
      </c>
      <c r="M499" s="100">
        <f t="shared" si="85"/>
        <v>0</v>
      </c>
      <c r="N499" s="100">
        <v>0</v>
      </c>
      <c r="O499" s="100">
        <f t="shared" si="86"/>
        <v>0</v>
      </c>
      <c r="P499" s="100">
        <f t="shared" si="87"/>
        <v>0</v>
      </c>
      <c r="Q499" s="124">
        <f t="shared" si="88"/>
        <v>0</v>
      </c>
      <c r="R499" s="114"/>
    </row>
    <row r="500" s="34" customFormat="1" ht="18" customHeight="1" spans="1:18">
      <c r="A500" s="67">
        <f>IF(F500&lt;&gt;"",1+MAX($A$2:A499),"")</f>
        <v>461</v>
      </c>
      <c r="B500" s="214"/>
      <c r="C500" s="74"/>
      <c r="D500" s="138" t="s">
        <v>594</v>
      </c>
      <c r="E500" s="76">
        <v>330</v>
      </c>
      <c r="F500" s="65">
        <v>0.05</v>
      </c>
      <c r="G500" s="66">
        <f t="shared" si="82"/>
        <v>346.5</v>
      </c>
      <c r="H500" s="70" t="s">
        <v>37</v>
      </c>
      <c r="I500" s="97">
        <v>0</v>
      </c>
      <c r="J500" s="98">
        <f t="shared" si="83"/>
        <v>0</v>
      </c>
      <c r="K500" s="99">
        <v>50</v>
      </c>
      <c r="L500" s="100">
        <f t="shared" si="84"/>
        <v>0</v>
      </c>
      <c r="M500" s="100">
        <f t="shared" si="85"/>
        <v>0</v>
      </c>
      <c r="N500" s="100">
        <v>0</v>
      </c>
      <c r="O500" s="100">
        <f t="shared" si="86"/>
        <v>0</v>
      </c>
      <c r="P500" s="100">
        <f t="shared" si="87"/>
        <v>0</v>
      </c>
      <c r="Q500" s="124">
        <f t="shared" si="88"/>
        <v>0</v>
      </c>
      <c r="R500" s="114"/>
    </row>
    <row r="501" s="34" customFormat="1" ht="18" customHeight="1" spans="1:18">
      <c r="A501" s="67">
        <f>IF(F501&lt;&gt;"",1+MAX($A$2:A500),"")</f>
        <v>462</v>
      </c>
      <c r="B501" s="214"/>
      <c r="C501" s="74"/>
      <c r="D501" s="138" t="s">
        <v>595</v>
      </c>
      <c r="E501" s="76">
        <v>310</v>
      </c>
      <c r="F501" s="65">
        <v>0.05</v>
      </c>
      <c r="G501" s="66">
        <f t="shared" si="82"/>
        <v>325.5</v>
      </c>
      <c r="H501" s="70" t="s">
        <v>37</v>
      </c>
      <c r="I501" s="97">
        <v>0</v>
      </c>
      <c r="J501" s="98">
        <f t="shared" si="83"/>
        <v>0</v>
      </c>
      <c r="K501" s="99">
        <v>50</v>
      </c>
      <c r="L501" s="100">
        <f t="shared" si="84"/>
        <v>0</v>
      </c>
      <c r="M501" s="100">
        <f t="shared" si="85"/>
        <v>0</v>
      </c>
      <c r="N501" s="100">
        <v>0</v>
      </c>
      <c r="O501" s="100">
        <f t="shared" si="86"/>
        <v>0</v>
      </c>
      <c r="P501" s="100">
        <f t="shared" si="87"/>
        <v>0</v>
      </c>
      <c r="Q501" s="124">
        <f t="shared" si="88"/>
        <v>0</v>
      </c>
      <c r="R501" s="114"/>
    </row>
    <row r="502" s="34" customFormat="1" ht="18" customHeight="1" spans="1:18">
      <c r="A502" s="67">
        <f>IF(F502&lt;&gt;"",1+MAX($A$2:A501),"")</f>
        <v>463</v>
      </c>
      <c r="B502" s="214"/>
      <c r="C502" s="74"/>
      <c r="D502" s="138" t="s">
        <v>596</v>
      </c>
      <c r="E502" s="76">
        <v>300</v>
      </c>
      <c r="F502" s="65">
        <v>0.05</v>
      </c>
      <c r="G502" s="66">
        <f t="shared" si="82"/>
        <v>315</v>
      </c>
      <c r="H502" s="70" t="s">
        <v>37</v>
      </c>
      <c r="I502" s="97">
        <v>0</v>
      </c>
      <c r="J502" s="98">
        <f t="shared" si="83"/>
        <v>0</v>
      </c>
      <c r="K502" s="99">
        <v>50</v>
      </c>
      <c r="L502" s="100">
        <f t="shared" si="84"/>
        <v>0</v>
      </c>
      <c r="M502" s="100">
        <f t="shared" si="85"/>
        <v>0</v>
      </c>
      <c r="N502" s="100">
        <v>0</v>
      </c>
      <c r="O502" s="100">
        <f t="shared" si="86"/>
        <v>0</v>
      </c>
      <c r="P502" s="100">
        <f t="shared" si="87"/>
        <v>0</v>
      </c>
      <c r="Q502" s="124">
        <f t="shared" si="88"/>
        <v>0</v>
      </c>
      <c r="R502" s="114"/>
    </row>
    <row r="503" s="34" customFormat="1" ht="18" customHeight="1" spans="1:18">
      <c r="A503" s="61">
        <f>IF(F503&lt;&gt;"",1+MAX($A$2:A502),"")</f>
        <v>464</v>
      </c>
      <c r="B503" s="214"/>
      <c r="C503" s="74"/>
      <c r="D503" s="138" t="s">
        <v>597</v>
      </c>
      <c r="E503" s="76">
        <v>300</v>
      </c>
      <c r="F503" s="65">
        <v>0.05</v>
      </c>
      <c r="G503" s="66">
        <f t="shared" si="82"/>
        <v>315</v>
      </c>
      <c r="H503" s="70" t="s">
        <v>37</v>
      </c>
      <c r="I503" s="97">
        <v>0</v>
      </c>
      <c r="J503" s="98">
        <f t="shared" si="83"/>
        <v>0</v>
      </c>
      <c r="K503" s="99">
        <v>50</v>
      </c>
      <c r="L503" s="100">
        <f t="shared" si="84"/>
        <v>0</v>
      </c>
      <c r="M503" s="100">
        <f t="shared" si="85"/>
        <v>0</v>
      </c>
      <c r="N503" s="100">
        <v>0</v>
      </c>
      <c r="O503" s="100">
        <f t="shared" si="86"/>
        <v>0</v>
      </c>
      <c r="P503" s="100">
        <f t="shared" si="87"/>
        <v>0</v>
      </c>
      <c r="Q503" s="124">
        <f t="shared" si="88"/>
        <v>0</v>
      </c>
      <c r="R503" s="114"/>
    </row>
    <row r="504" s="34" customFormat="1" ht="18" customHeight="1" spans="1:18">
      <c r="A504" s="67">
        <f>IF(F504&lt;&gt;"",1+MAX($A$2:A503),"")</f>
        <v>465</v>
      </c>
      <c r="B504" s="214"/>
      <c r="C504" s="74"/>
      <c r="D504" s="138" t="s">
        <v>598</v>
      </c>
      <c r="E504" s="76">
        <v>320</v>
      </c>
      <c r="F504" s="65">
        <v>0.05</v>
      </c>
      <c r="G504" s="66">
        <f t="shared" si="82"/>
        <v>336</v>
      </c>
      <c r="H504" s="70" t="s">
        <v>37</v>
      </c>
      <c r="I504" s="97">
        <v>0</v>
      </c>
      <c r="J504" s="98">
        <f t="shared" si="83"/>
        <v>0</v>
      </c>
      <c r="K504" s="99">
        <v>50</v>
      </c>
      <c r="L504" s="100">
        <f t="shared" si="84"/>
        <v>0</v>
      </c>
      <c r="M504" s="100">
        <f t="shared" si="85"/>
        <v>0</v>
      </c>
      <c r="N504" s="100">
        <v>0</v>
      </c>
      <c r="O504" s="100">
        <f t="shared" si="86"/>
        <v>0</v>
      </c>
      <c r="P504" s="100">
        <f t="shared" si="87"/>
        <v>0</v>
      </c>
      <c r="Q504" s="124">
        <f t="shared" si="88"/>
        <v>0</v>
      </c>
      <c r="R504" s="114"/>
    </row>
    <row r="505" s="34" customFormat="1" ht="18" customHeight="1" spans="1:18">
      <c r="A505" s="61">
        <f>IF(F505&lt;&gt;"",1+MAX($A$2:A504),"")</f>
        <v>466</v>
      </c>
      <c r="B505" s="214"/>
      <c r="C505" s="74"/>
      <c r="D505" s="138" t="s">
        <v>599</v>
      </c>
      <c r="E505" s="76">
        <v>300</v>
      </c>
      <c r="F505" s="65">
        <v>0.05</v>
      </c>
      <c r="G505" s="66">
        <f t="shared" si="82"/>
        <v>315</v>
      </c>
      <c r="H505" s="70" t="s">
        <v>37</v>
      </c>
      <c r="I505" s="97">
        <v>0</v>
      </c>
      <c r="J505" s="98">
        <f t="shared" si="83"/>
        <v>0</v>
      </c>
      <c r="K505" s="99">
        <v>50</v>
      </c>
      <c r="L505" s="100">
        <f t="shared" si="84"/>
        <v>0</v>
      </c>
      <c r="M505" s="100">
        <f t="shared" si="85"/>
        <v>0</v>
      </c>
      <c r="N505" s="100">
        <v>0</v>
      </c>
      <c r="O505" s="100">
        <f t="shared" si="86"/>
        <v>0</v>
      </c>
      <c r="P505" s="100">
        <f t="shared" si="87"/>
        <v>0</v>
      </c>
      <c r="Q505" s="124">
        <f t="shared" si="88"/>
        <v>0</v>
      </c>
      <c r="R505" s="114"/>
    </row>
    <row r="506" s="34" customFormat="1" ht="18" customHeight="1" spans="1:18">
      <c r="A506" s="67">
        <f>IF(F506&lt;&gt;"",1+MAX($A$2:A505),"")</f>
        <v>467</v>
      </c>
      <c r="B506" s="214"/>
      <c r="C506" s="74"/>
      <c r="D506" s="138" t="s">
        <v>600</v>
      </c>
      <c r="E506" s="76">
        <v>190</v>
      </c>
      <c r="F506" s="65">
        <v>0.05</v>
      </c>
      <c r="G506" s="66">
        <f t="shared" si="82"/>
        <v>199.5</v>
      </c>
      <c r="H506" s="70" t="s">
        <v>37</v>
      </c>
      <c r="I506" s="97">
        <v>0</v>
      </c>
      <c r="J506" s="98">
        <f t="shared" si="83"/>
        <v>0</v>
      </c>
      <c r="K506" s="99">
        <v>50</v>
      </c>
      <c r="L506" s="100">
        <f t="shared" si="84"/>
        <v>0</v>
      </c>
      <c r="M506" s="100">
        <f t="shared" si="85"/>
        <v>0</v>
      </c>
      <c r="N506" s="100">
        <v>0</v>
      </c>
      <c r="O506" s="100">
        <f t="shared" si="86"/>
        <v>0</v>
      </c>
      <c r="P506" s="100">
        <f t="shared" si="87"/>
        <v>0</v>
      </c>
      <c r="Q506" s="124">
        <f t="shared" si="88"/>
        <v>0</v>
      </c>
      <c r="R506" s="114"/>
    </row>
    <row r="507" s="34" customFormat="1" ht="18" customHeight="1" spans="1:18">
      <c r="A507" s="61">
        <f>IF(F507&lt;&gt;"",1+MAX($A$2:A506),"")</f>
        <v>468</v>
      </c>
      <c r="B507" s="214"/>
      <c r="C507" s="74"/>
      <c r="D507" s="138" t="s">
        <v>601</v>
      </c>
      <c r="E507" s="76">
        <v>190</v>
      </c>
      <c r="F507" s="65">
        <v>0.05</v>
      </c>
      <c r="G507" s="66">
        <f t="shared" si="82"/>
        <v>199.5</v>
      </c>
      <c r="H507" s="70" t="s">
        <v>37</v>
      </c>
      <c r="I507" s="97">
        <v>0</v>
      </c>
      <c r="J507" s="98">
        <f t="shared" si="83"/>
        <v>0</v>
      </c>
      <c r="K507" s="99">
        <v>50</v>
      </c>
      <c r="L507" s="100">
        <f t="shared" si="84"/>
        <v>0</v>
      </c>
      <c r="M507" s="100">
        <f t="shared" si="85"/>
        <v>0</v>
      </c>
      <c r="N507" s="100">
        <v>0</v>
      </c>
      <c r="O507" s="100">
        <f t="shared" si="86"/>
        <v>0</v>
      </c>
      <c r="P507" s="100">
        <f t="shared" si="87"/>
        <v>0</v>
      </c>
      <c r="Q507" s="124">
        <f t="shared" si="88"/>
        <v>0</v>
      </c>
      <c r="R507" s="114"/>
    </row>
    <row r="508" s="34" customFormat="1" ht="18" customHeight="1" spans="1:18">
      <c r="A508" s="67">
        <f>IF(F508&lt;&gt;"",1+MAX($A$2:A507),"")</f>
        <v>469</v>
      </c>
      <c r="B508" s="214"/>
      <c r="C508" s="74"/>
      <c r="D508" s="138" t="s">
        <v>602</v>
      </c>
      <c r="E508" s="76">
        <v>110</v>
      </c>
      <c r="F508" s="65">
        <v>0.05</v>
      </c>
      <c r="G508" s="66">
        <f t="shared" si="82"/>
        <v>115.5</v>
      </c>
      <c r="H508" s="70" t="s">
        <v>37</v>
      </c>
      <c r="I508" s="97">
        <v>0</v>
      </c>
      <c r="J508" s="98">
        <f t="shared" si="83"/>
        <v>0</v>
      </c>
      <c r="K508" s="99">
        <v>50</v>
      </c>
      <c r="L508" s="100">
        <f t="shared" si="84"/>
        <v>0</v>
      </c>
      <c r="M508" s="100">
        <f t="shared" si="85"/>
        <v>0</v>
      </c>
      <c r="N508" s="100">
        <v>0</v>
      </c>
      <c r="O508" s="100">
        <f t="shared" si="86"/>
        <v>0</v>
      </c>
      <c r="P508" s="100">
        <f t="shared" si="87"/>
        <v>0</v>
      </c>
      <c r="Q508" s="124">
        <f t="shared" si="88"/>
        <v>0</v>
      </c>
      <c r="R508" s="114"/>
    </row>
    <row r="509" s="34" customFormat="1" ht="18" customHeight="1" spans="1:18">
      <c r="A509" s="61">
        <f>IF(F509&lt;&gt;"",1+MAX($A$2:A508),"")</f>
        <v>470</v>
      </c>
      <c r="B509" s="214"/>
      <c r="C509" s="74"/>
      <c r="D509" s="138" t="s">
        <v>603</v>
      </c>
      <c r="E509" s="76">
        <v>210</v>
      </c>
      <c r="F509" s="65">
        <v>0.05</v>
      </c>
      <c r="G509" s="66">
        <f t="shared" si="82"/>
        <v>220.5</v>
      </c>
      <c r="H509" s="70" t="s">
        <v>37</v>
      </c>
      <c r="I509" s="97">
        <v>0</v>
      </c>
      <c r="J509" s="98">
        <f t="shared" si="83"/>
        <v>0</v>
      </c>
      <c r="K509" s="99">
        <v>50</v>
      </c>
      <c r="L509" s="100">
        <f t="shared" si="84"/>
        <v>0</v>
      </c>
      <c r="M509" s="100">
        <f t="shared" si="85"/>
        <v>0</v>
      </c>
      <c r="N509" s="100">
        <v>0</v>
      </c>
      <c r="O509" s="100">
        <f t="shared" si="86"/>
        <v>0</v>
      </c>
      <c r="P509" s="100">
        <f t="shared" si="87"/>
        <v>0</v>
      </c>
      <c r="Q509" s="124">
        <f t="shared" si="88"/>
        <v>0</v>
      </c>
      <c r="R509" s="114"/>
    </row>
    <row r="510" s="34" customFormat="1" ht="18" customHeight="1" spans="1:18">
      <c r="A510" s="67" t="str">
        <f>IF(F510&lt;&gt;"",1+MAX($A$2:A509),"")</f>
        <v/>
      </c>
      <c r="B510" s="73"/>
      <c r="C510" s="74"/>
      <c r="D510" s="138"/>
      <c r="E510" s="76"/>
      <c r="F510" s="71"/>
      <c r="G510" s="66"/>
      <c r="H510" s="76"/>
      <c r="I510" s="97"/>
      <c r="J510" s="98"/>
      <c r="K510" s="99"/>
      <c r="L510" s="100"/>
      <c r="M510" s="100"/>
      <c r="N510" s="100"/>
      <c r="O510" s="100"/>
      <c r="P510" s="100"/>
      <c r="Q510" s="124"/>
      <c r="R510" s="114"/>
    </row>
    <row r="511" s="34" customFormat="1" ht="18" customHeight="1" spans="1:18">
      <c r="A511" s="61" t="str">
        <f>IF(F511&lt;&gt;"",1+MAX($A$2:A510),"")</f>
        <v/>
      </c>
      <c r="B511" s="214"/>
      <c r="C511" s="74"/>
      <c r="D511" s="134" t="s">
        <v>39</v>
      </c>
      <c r="E511"/>
      <c r="F511" s="65"/>
      <c r="G511" s="66"/>
      <c r="H511" s="70"/>
      <c r="I511" s="97"/>
      <c r="J511" s="98"/>
      <c r="K511" s="99"/>
      <c r="L511" s="100"/>
      <c r="M511" s="100"/>
      <c r="N511" s="100"/>
      <c r="O511" s="100"/>
      <c r="P511" s="100"/>
      <c r="Q511" s="124"/>
      <c r="R511" s="114"/>
    </row>
    <row r="512" s="34" customFormat="1" ht="62.4" spans="1:18">
      <c r="A512" s="61">
        <f>IF(F512&lt;&gt;"",1+MAX($A$2:A511),"")</f>
        <v>471</v>
      </c>
      <c r="B512" s="73"/>
      <c r="C512" s="74"/>
      <c r="D512" s="69" t="s">
        <v>41</v>
      </c>
      <c r="E512" s="70">
        <v>8</v>
      </c>
      <c r="F512" s="71">
        <v>0</v>
      </c>
      <c r="G512" s="72">
        <v>0</v>
      </c>
      <c r="H512" s="70" t="s">
        <v>35</v>
      </c>
      <c r="I512" s="97">
        <v>0</v>
      </c>
      <c r="J512" s="98">
        <f>+I512*G512</f>
        <v>0</v>
      </c>
      <c r="K512" s="99">
        <v>50</v>
      </c>
      <c r="L512" s="100">
        <f>I512*K512</f>
        <v>0</v>
      </c>
      <c r="M512" s="100">
        <f>K512*J512</f>
        <v>0</v>
      </c>
      <c r="N512" s="100">
        <v>0</v>
      </c>
      <c r="O512" s="100">
        <f>N512*G512</f>
        <v>0</v>
      </c>
      <c r="P512" s="100">
        <f>(I512*K512)+N512</f>
        <v>0</v>
      </c>
      <c r="Q512" s="124">
        <f>P512*G512</f>
        <v>0</v>
      </c>
      <c r="R512" s="114"/>
    </row>
    <row r="513" s="34" customFormat="1" ht="62.4" spans="1:18">
      <c r="A513" s="61">
        <f>IF(F513&lt;&gt;"",1+MAX($A$2:A512),"")</f>
        <v>472</v>
      </c>
      <c r="B513" s="73"/>
      <c r="C513" s="74"/>
      <c r="D513" s="69" t="s">
        <v>604</v>
      </c>
      <c r="E513" s="70">
        <v>2</v>
      </c>
      <c r="F513" s="71">
        <v>0</v>
      </c>
      <c r="G513" s="72">
        <v>0</v>
      </c>
      <c r="H513" s="70" t="s">
        <v>35</v>
      </c>
      <c r="I513" s="97">
        <v>0</v>
      </c>
      <c r="J513" s="98">
        <f>+I513*G513</f>
        <v>0</v>
      </c>
      <c r="K513" s="99">
        <v>50</v>
      </c>
      <c r="L513" s="100">
        <f>I513*K513</f>
        <v>0</v>
      </c>
      <c r="M513" s="100">
        <f>K513*J513</f>
        <v>0</v>
      </c>
      <c r="N513" s="100">
        <v>0</v>
      </c>
      <c r="O513" s="100">
        <f>N513*G513</f>
        <v>0</v>
      </c>
      <c r="P513" s="100">
        <f>(I513*K513)+N513</f>
        <v>0</v>
      </c>
      <c r="Q513" s="124">
        <f>P513*G513</f>
        <v>0</v>
      </c>
      <c r="R513" s="114"/>
    </row>
    <row r="514" s="34" customFormat="1" ht="62.4" spans="1:18">
      <c r="A514" s="61">
        <f>IF(F514&lt;&gt;"",1+MAX($A$2:A513),"")</f>
        <v>473</v>
      </c>
      <c r="B514" s="73"/>
      <c r="C514" s="74"/>
      <c r="D514" s="69" t="s">
        <v>45</v>
      </c>
      <c r="E514" s="70">
        <v>6</v>
      </c>
      <c r="F514" s="71">
        <v>0</v>
      </c>
      <c r="G514" s="72">
        <f>(F514*E514)+E514</f>
        <v>6</v>
      </c>
      <c r="H514" s="70" t="s">
        <v>35</v>
      </c>
      <c r="I514" s="97">
        <v>0</v>
      </c>
      <c r="J514" s="98">
        <f>+I514*G514</f>
        <v>0</v>
      </c>
      <c r="K514" s="99">
        <v>50</v>
      </c>
      <c r="L514" s="100">
        <f>I514*K514</f>
        <v>0</v>
      </c>
      <c r="M514" s="100">
        <f>K514*J514</f>
        <v>0</v>
      </c>
      <c r="N514" s="100">
        <v>0</v>
      </c>
      <c r="O514" s="100">
        <f>N514*G514</f>
        <v>0</v>
      </c>
      <c r="P514" s="100">
        <f>(I514*K514)+N514</f>
        <v>0</v>
      </c>
      <c r="Q514" s="124">
        <f>P514*G514</f>
        <v>0</v>
      </c>
      <c r="R514" s="114"/>
    </row>
    <row r="515" s="34" customFormat="1" ht="62.4" spans="1:18">
      <c r="A515" s="61">
        <f>IF(F515&lt;&gt;"",1+MAX($A$2:A514),"")</f>
        <v>474</v>
      </c>
      <c r="B515" s="73"/>
      <c r="C515" s="74"/>
      <c r="D515" s="69" t="s">
        <v>605</v>
      </c>
      <c r="E515" s="70">
        <v>2</v>
      </c>
      <c r="F515" s="71">
        <v>0</v>
      </c>
      <c r="G515" s="72">
        <f>(F515*E515)+E515</f>
        <v>2</v>
      </c>
      <c r="H515" s="70" t="s">
        <v>35</v>
      </c>
      <c r="I515" s="97">
        <v>0</v>
      </c>
      <c r="J515" s="98">
        <f>+I515*G515</f>
        <v>0</v>
      </c>
      <c r="K515" s="99">
        <v>50</v>
      </c>
      <c r="L515" s="100">
        <f>I515*K515</f>
        <v>0</v>
      </c>
      <c r="M515" s="100">
        <f>K515*J515</f>
        <v>0</v>
      </c>
      <c r="N515" s="100">
        <v>0</v>
      </c>
      <c r="O515" s="100">
        <f>N515*G515</f>
        <v>0</v>
      </c>
      <c r="P515" s="100">
        <f>(I515*K515)+N515</f>
        <v>0</v>
      </c>
      <c r="Q515" s="124">
        <f>P515*G515</f>
        <v>0</v>
      </c>
      <c r="R515" s="114"/>
    </row>
    <row r="516" s="34" customFormat="1" ht="62.4" spans="1:18">
      <c r="A516" s="61">
        <f>IF(F516&lt;&gt;"",1+MAX($A$2:A515),"")</f>
        <v>475</v>
      </c>
      <c r="B516" s="73"/>
      <c r="C516" s="74"/>
      <c r="D516" s="69" t="s">
        <v>606</v>
      </c>
      <c r="E516" s="70">
        <v>15</v>
      </c>
      <c r="F516" s="71">
        <v>0</v>
      </c>
      <c r="G516" s="72">
        <f>(F516*E516)+E516</f>
        <v>15</v>
      </c>
      <c r="H516" s="70" t="s">
        <v>35</v>
      </c>
      <c r="I516" s="97">
        <v>0</v>
      </c>
      <c r="J516" s="98">
        <f t="shared" ref="J516:J563" si="89">+I516*G516</f>
        <v>0</v>
      </c>
      <c r="K516" s="99">
        <v>50</v>
      </c>
      <c r="L516" s="100">
        <f t="shared" ref="L516:L563" si="90">I516*K516</f>
        <v>0</v>
      </c>
      <c r="M516" s="100">
        <f t="shared" ref="M516:M563" si="91">K516*J516</f>
        <v>0</v>
      </c>
      <c r="N516" s="100">
        <v>0</v>
      </c>
      <c r="O516" s="100">
        <f t="shared" ref="O516:O563" si="92">N516*G516</f>
        <v>0</v>
      </c>
      <c r="P516" s="100">
        <f t="shared" ref="P516:P563" si="93">(I516*K516)+N516</f>
        <v>0</v>
      </c>
      <c r="Q516" s="124">
        <f t="shared" ref="Q516:Q563" si="94">P516*G516</f>
        <v>0</v>
      </c>
      <c r="R516" s="114"/>
    </row>
    <row r="517" s="34" customFormat="1" ht="62.4" spans="1:18">
      <c r="A517" s="61">
        <f>IF(F517&lt;&gt;"",1+MAX($A$2:A516),"")</f>
        <v>476</v>
      </c>
      <c r="B517" s="73"/>
      <c r="C517" s="74"/>
      <c r="D517" s="69" t="s">
        <v>607</v>
      </c>
      <c r="E517" s="215">
        <v>3</v>
      </c>
      <c r="F517" s="71">
        <v>0</v>
      </c>
      <c r="G517" s="72">
        <f>(F517*E517)+E517</f>
        <v>3</v>
      </c>
      <c r="H517" s="70" t="s">
        <v>35</v>
      </c>
      <c r="I517" s="97">
        <v>0</v>
      </c>
      <c r="J517" s="98">
        <f t="shared" si="89"/>
        <v>0</v>
      </c>
      <c r="K517" s="99">
        <v>50</v>
      </c>
      <c r="L517" s="100">
        <f t="shared" si="90"/>
        <v>0</v>
      </c>
      <c r="M517" s="100">
        <f t="shared" si="91"/>
        <v>0</v>
      </c>
      <c r="N517" s="100">
        <v>0</v>
      </c>
      <c r="O517" s="100">
        <f t="shared" si="92"/>
        <v>0</v>
      </c>
      <c r="P517" s="100">
        <f t="shared" si="93"/>
        <v>0</v>
      </c>
      <c r="Q517" s="124">
        <f t="shared" si="94"/>
        <v>0</v>
      </c>
      <c r="R517" s="114"/>
    </row>
    <row r="518" s="34" customFormat="1" ht="62.4" spans="1:18">
      <c r="A518" s="61">
        <f>IF(F518&lt;&gt;"",1+MAX($A$2:A517),"")</f>
        <v>477</v>
      </c>
      <c r="B518" s="73"/>
      <c r="C518" s="74"/>
      <c r="D518" s="138" t="s">
        <v>605</v>
      </c>
      <c r="E518" s="76">
        <v>34</v>
      </c>
      <c r="F518" s="71">
        <v>0</v>
      </c>
      <c r="G518" s="72">
        <v>0</v>
      </c>
      <c r="H518" s="70" t="s">
        <v>35</v>
      </c>
      <c r="I518" s="97">
        <v>0</v>
      </c>
      <c r="J518" s="98">
        <f t="shared" si="89"/>
        <v>0</v>
      </c>
      <c r="K518" s="99">
        <v>50</v>
      </c>
      <c r="L518" s="100">
        <f t="shared" si="90"/>
        <v>0</v>
      </c>
      <c r="M518" s="100">
        <f t="shared" si="91"/>
        <v>0</v>
      </c>
      <c r="N518" s="100">
        <v>0</v>
      </c>
      <c r="O518" s="100">
        <f t="shared" si="92"/>
        <v>0</v>
      </c>
      <c r="P518" s="100">
        <f t="shared" si="93"/>
        <v>0</v>
      </c>
      <c r="Q518" s="124">
        <f t="shared" si="94"/>
        <v>0</v>
      </c>
      <c r="R518" s="114"/>
    </row>
    <row r="519" s="34" customFormat="1" ht="62.4" spans="1:18">
      <c r="A519" s="61">
        <f>IF(F519&lt;&gt;"",1+MAX($A$2:A518),"")</f>
        <v>478</v>
      </c>
      <c r="B519" s="73"/>
      <c r="C519" s="74"/>
      <c r="D519" s="138" t="s">
        <v>45</v>
      </c>
      <c r="E519" s="76">
        <v>80</v>
      </c>
      <c r="F519" s="71">
        <v>0</v>
      </c>
      <c r="G519" s="72">
        <v>0</v>
      </c>
      <c r="H519" s="70" t="s">
        <v>35</v>
      </c>
      <c r="I519" s="97">
        <v>0</v>
      </c>
      <c r="J519" s="98">
        <f t="shared" si="89"/>
        <v>0</v>
      </c>
      <c r="K519" s="99">
        <v>50</v>
      </c>
      <c r="L519" s="100">
        <f t="shared" si="90"/>
        <v>0</v>
      </c>
      <c r="M519" s="100">
        <f t="shared" si="91"/>
        <v>0</v>
      </c>
      <c r="N519" s="100">
        <v>0</v>
      </c>
      <c r="O519" s="100">
        <f t="shared" si="92"/>
        <v>0</v>
      </c>
      <c r="P519" s="100">
        <f t="shared" si="93"/>
        <v>0</v>
      </c>
      <c r="Q519" s="124">
        <f t="shared" si="94"/>
        <v>0</v>
      </c>
      <c r="R519" s="114"/>
    </row>
    <row r="520" s="34" customFormat="1" ht="62.4" spans="1:18">
      <c r="A520" s="61">
        <f>IF(F520&lt;&gt;"",1+MAX($A$2:A519),"")</f>
        <v>479</v>
      </c>
      <c r="B520" s="73"/>
      <c r="C520" s="74"/>
      <c r="D520" s="138" t="s">
        <v>41</v>
      </c>
      <c r="E520" s="76">
        <v>20</v>
      </c>
      <c r="F520" s="71">
        <v>0</v>
      </c>
      <c r="G520" s="72">
        <f t="shared" ref="G520:G526" si="95">(F520*E520)+E520</f>
        <v>20</v>
      </c>
      <c r="H520" s="70" t="s">
        <v>35</v>
      </c>
      <c r="I520" s="97">
        <v>0</v>
      </c>
      <c r="J520" s="98">
        <f t="shared" si="89"/>
        <v>0</v>
      </c>
      <c r="K520" s="99">
        <v>50</v>
      </c>
      <c r="L520" s="100">
        <f t="shared" si="90"/>
        <v>0</v>
      </c>
      <c r="M520" s="100">
        <f t="shared" si="91"/>
        <v>0</v>
      </c>
      <c r="N520" s="100">
        <v>0</v>
      </c>
      <c r="O520" s="100">
        <f t="shared" si="92"/>
        <v>0</v>
      </c>
      <c r="P520" s="100">
        <f t="shared" si="93"/>
        <v>0</v>
      </c>
      <c r="Q520" s="124">
        <f t="shared" si="94"/>
        <v>0</v>
      </c>
      <c r="R520" s="114"/>
    </row>
    <row r="521" s="34" customFormat="1" ht="62.4" spans="1:18">
      <c r="A521" s="61">
        <f>IF(F521&lt;&gt;"",1+MAX($A$2:A520),"")</f>
        <v>480</v>
      </c>
      <c r="B521" s="73"/>
      <c r="C521" s="74"/>
      <c r="D521" s="138" t="s">
        <v>43</v>
      </c>
      <c r="E521" s="76">
        <v>11</v>
      </c>
      <c r="F521" s="71">
        <v>0</v>
      </c>
      <c r="G521" s="72">
        <f t="shared" si="95"/>
        <v>11</v>
      </c>
      <c r="H521" s="70" t="s">
        <v>35</v>
      </c>
      <c r="I521" s="97">
        <v>0</v>
      </c>
      <c r="J521" s="98">
        <f t="shared" si="89"/>
        <v>0</v>
      </c>
      <c r="K521" s="99">
        <v>50</v>
      </c>
      <c r="L521" s="100">
        <f t="shared" si="90"/>
        <v>0</v>
      </c>
      <c r="M521" s="100">
        <f t="shared" si="91"/>
        <v>0</v>
      </c>
      <c r="N521" s="100">
        <v>0</v>
      </c>
      <c r="O521" s="100">
        <f t="shared" si="92"/>
        <v>0</v>
      </c>
      <c r="P521" s="100">
        <f t="shared" si="93"/>
        <v>0</v>
      </c>
      <c r="Q521" s="124">
        <f t="shared" si="94"/>
        <v>0</v>
      </c>
      <c r="R521" s="114"/>
    </row>
    <row r="522" s="34" customFormat="1" ht="62.4" spans="1:18">
      <c r="A522" s="61">
        <f>IF(F522&lt;&gt;"",1+MAX($A$2:A521),"")</f>
        <v>481</v>
      </c>
      <c r="B522" s="68"/>
      <c r="C522" s="147"/>
      <c r="D522" s="138" t="s">
        <v>608</v>
      </c>
      <c r="E522" s="76">
        <v>4</v>
      </c>
      <c r="F522" s="71">
        <v>0</v>
      </c>
      <c r="G522" s="72">
        <f t="shared" si="95"/>
        <v>4</v>
      </c>
      <c r="H522" s="70" t="s">
        <v>35</v>
      </c>
      <c r="I522" s="97">
        <v>0</v>
      </c>
      <c r="J522" s="98">
        <f t="shared" si="89"/>
        <v>0</v>
      </c>
      <c r="K522" s="99">
        <v>50</v>
      </c>
      <c r="L522" s="100">
        <f t="shared" si="90"/>
        <v>0</v>
      </c>
      <c r="M522" s="100">
        <f t="shared" si="91"/>
        <v>0</v>
      </c>
      <c r="N522" s="100">
        <v>0</v>
      </c>
      <c r="O522" s="100">
        <f t="shared" si="92"/>
        <v>0</v>
      </c>
      <c r="P522" s="100">
        <f t="shared" si="93"/>
        <v>0</v>
      </c>
      <c r="Q522" s="124">
        <f t="shared" si="94"/>
        <v>0</v>
      </c>
      <c r="R522" s="114"/>
    </row>
    <row r="523" s="34" customFormat="1" ht="62.4" spans="1:18">
      <c r="A523" s="61">
        <f>IF(F523&lt;&gt;"",1+MAX($A$2:A522),"")</f>
        <v>482</v>
      </c>
      <c r="B523" s="68"/>
      <c r="C523" s="147"/>
      <c r="D523" s="138" t="s">
        <v>609</v>
      </c>
      <c r="E523" s="76">
        <v>4</v>
      </c>
      <c r="F523" s="71">
        <v>0</v>
      </c>
      <c r="G523" s="72">
        <f t="shared" si="95"/>
        <v>4</v>
      </c>
      <c r="H523" s="70" t="s">
        <v>35</v>
      </c>
      <c r="I523" s="97">
        <v>0</v>
      </c>
      <c r="J523" s="98">
        <f t="shared" si="89"/>
        <v>0</v>
      </c>
      <c r="K523" s="99">
        <v>50</v>
      </c>
      <c r="L523" s="100">
        <f t="shared" si="90"/>
        <v>0</v>
      </c>
      <c r="M523" s="100">
        <f t="shared" si="91"/>
        <v>0</v>
      </c>
      <c r="N523" s="100">
        <v>0</v>
      </c>
      <c r="O523" s="100">
        <f t="shared" si="92"/>
        <v>0</v>
      </c>
      <c r="P523" s="100">
        <f t="shared" si="93"/>
        <v>0</v>
      </c>
      <c r="Q523" s="124">
        <f t="shared" si="94"/>
        <v>0</v>
      </c>
      <c r="R523" s="114"/>
    </row>
    <row r="524" s="34" customFormat="1" ht="62.4" spans="1:18">
      <c r="A524" s="61">
        <f>IF(F524&lt;&gt;"",1+MAX($A$2:A523),"")</f>
        <v>483</v>
      </c>
      <c r="B524" s="68"/>
      <c r="C524" s="147"/>
      <c r="D524" s="138" t="s">
        <v>610</v>
      </c>
      <c r="E524" s="76">
        <v>2</v>
      </c>
      <c r="F524" s="71">
        <v>0</v>
      </c>
      <c r="G524" s="72">
        <f t="shared" si="95"/>
        <v>2</v>
      </c>
      <c r="H524" s="70" t="s">
        <v>35</v>
      </c>
      <c r="I524" s="97">
        <v>0</v>
      </c>
      <c r="J524" s="98">
        <f t="shared" si="89"/>
        <v>0</v>
      </c>
      <c r="K524" s="99">
        <v>50</v>
      </c>
      <c r="L524" s="100">
        <f t="shared" si="90"/>
        <v>0</v>
      </c>
      <c r="M524" s="100">
        <f t="shared" si="91"/>
        <v>0</v>
      </c>
      <c r="N524" s="100">
        <v>0</v>
      </c>
      <c r="O524" s="100">
        <f t="shared" si="92"/>
        <v>0</v>
      </c>
      <c r="P524" s="100">
        <f t="shared" si="93"/>
        <v>0</v>
      </c>
      <c r="Q524" s="124">
        <f t="shared" si="94"/>
        <v>0</v>
      </c>
      <c r="R524" s="114"/>
    </row>
    <row r="525" s="34" customFormat="1" ht="62.4" spans="1:18">
      <c r="A525" s="61">
        <f>IF(F525&lt;&gt;"",1+MAX($A$2:A524),"")</f>
        <v>484</v>
      </c>
      <c r="B525" s="68"/>
      <c r="C525" s="147"/>
      <c r="D525" s="138" t="s">
        <v>611</v>
      </c>
      <c r="E525" s="76">
        <v>8</v>
      </c>
      <c r="F525" s="71">
        <v>0</v>
      </c>
      <c r="G525" s="72">
        <f t="shared" si="95"/>
        <v>8</v>
      </c>
      <c r="H525" s="70" t="s">
        <v>35</v>
      </c>
      <c r="I525" s="97">
        <v>0</v>
      </c>
      <c r="J525" s="98">
        <f t="shared" si="89"/>
        <v>0</v>
      </c>
      <c r="K525" s="99">
        <v>50</v>
      </c>
      <c r="L525" s="100">
        <f t="shared" si="90"/>
        <v>0</v>
      </c>
      <c r="M525" s="100">
        <f t="shared" si="91"/>
        <v>0</v>
      </c>
      <c r="N525" s="100">
        <v>0</v>
      </c>
      <c r="O525" s="100">
        <f t="shared" si="92"/>
        <v>0</v>
      </c>
      <c r="P525" s="100">
        <f t="shared" si="93"/>
        <v>0</v>
      </c>
      <c r="Q525" s="124">
        <f t="shared" si="94"/>
        <v>0</v>
      </c>
      <c r="R525" s="114"/>
    </row>
    <row r="526" s="34" customFormat="1" ht="62.4" spans="1:18">
      <c r="A526" s="61">
        <f>IF(F526&lt;&gt;"",1+MAX($A$2:A525),"")</f>
        <v>485</v>
      </c>
      <c r="B526" s="68"/>
      <c r="C526" s="147"/>
      <c r="D526" s="138" t="s">
        <v>612</v>
      </c>
      <c r="E526" s="76">
        <v>2</v>
      </c>
      <c r="F526" s="71">
        <v>0</v>
      </c>
      <c r="G526" s="72">
        <f t="shared" si="95"/>
        <v>2</v>
      </c>
      <c r="H526" s="70" t="s">
        <v>35</v>
      </c>
      <c r="I526" s="97">
        <v>0</v>
      </c>
      <c r="J526" s="98">
        <f t="shared" si="89"/>
        <v>0</v>
      </c>
      <c r="K526" s="99">
        <v>50</v>
      </c>
      <c r="L526" s="100">
        <f t="shared" si="90"/>
        <v>0</v>
      </c>
      <c r="M526" s="100">
        <f t="shared" si="91"/>
        <v>0</v>
      </c>
      <c r="N526" s="100">
        <v>0</v>
      </c>
      <c r="O526" s="100">
        <f t="shared" si="92"/>
        <v>0</v>
      </c>
      <c r="P526" s="100">
        <f t="shared" si="93"/>
        <v>0</v>
      </c>
      <c r="Q526" s="124">
        <f t="shared" si="94"/>
        <v>0</v>
      </c>
      <c r="R526" s="114"/>
    </row>
    <row r="527" s="34" customFormat="1" ht="62.4" spans="1:18">
      <c r="A527" s="61">
        <f>IF(F527&lt;&gt;"",1+MAX($A$2:A526),"")</f>
        <v>486</v>
      </c>
      <c r="B527" s="68"/>
      <c r="C527" s="147"/>
      <c r="D527" s="138" t="s">
        <v>45</v>
      </c>
      <c r="E527" s="76">
        <v>110</v>
      </c>
      <c r="F527" s="71">
        <v>0</v>
      </c>
      <c r="G527" s="72">
        <v>0</v>
      </c>
      <c r="H527" s="70" t="s">
        <v>35</v>
      </c>
      <c r="I527" s="97">
        <v>0</v>
      </c>
      <c r="J527" s="98">
        <f t="shared" si="89"/>
        <v>0</v>
      </c>
      <c r="K527" s="99">
        <v>50</v>
      </c>
      <c r="L527" s="100">
        <f t="shared" si="90"/>
        <v>0</v>
      </c>
      <c r="M527" s="100">
        <f t="shared" si="91"/>
        <v>0</v>
      </c>
      <c r="N527" s="100">
        <v>0</v>
      </c>
      <c r="O527" s="100">
        <f t="shared" si="92"/>
        <v>0</v>
      </c>
      <c r="P527" s="100">
        <f t="shared" si="93"/>
        <v>0</v>
      </c>
      <c r="Q527" s="124">
        <f t="shared" si="94"/>
        <v>0</v>
      </c>
      <c r="R527" s="114"/>
    </row>
    <row r="528" s="34" customFormat="1" ht="62.4" spans="1:18">
      <c r="A528" s="61">
        <f>IF(F528&lt;&gt;"",1+MAX($A$2:A527),"")</f>
        <v>487</v>
      </c>
      <c r="B528" s="68"/>
      <c r="C528" s="147"/>
      <c r="D528" s="138" t="s">
        <v>605</v>
      </c>
      <c r="E528" s="76">
        <v>48</v>
      </c>
      <c r="F528" s="71">
        <v>0</v>
      </c>
      <c r="G528" s="72">
        <v>0</v>
      </c>
      <c r="H528" s="70" t="s">
        <v>35</v>
      </c>
      <c r="I528" s="97">
        <v>0</v>
      </c>
      <c r="J528" s="98">
        <f t="shared" si="89"/>
        <v>0</v>
      </c>
      <c r="K528" s="99">
        <v>50</v>
      </c>
      <c r="L528" s="100">
        <f t="shared" si="90"/>
        <v>0</v>
      </c>
      <c r="M528" s="100">
        <f t="shared" si="91"/>
        <v>0</v>
      </c>
      <c r="N528" s="100">
        <v>0</v>
      </c>
      <c r="O528" s="100">
        <f t="shared" si="92"/>
        <v>0</v>
      </c>
      <c r="P528" s="100">
        <f t="shared" si="93"/>
        <v>0</v>
      </c>
      <c r="Q528" s="124">
        <f t="shared" si="94"/>
        <v>0</v>
      </c>
      <c r="R528" s="114"/>
    </row>
    <row r="529" s="34" customFormat="1" ht="62.4" spans="1:18">
      <c r="A529" s="61">
        <f>IF(F529&lt;&gt;"",1+MAX($A$2:A528),"")</f>
        <v>488</v>
      </c>
      <c r="B529" s="68"/>
      <c r="C529" s="147"/>
      <c r="D529" s="138" t="s">
        <v>608</v>
      </c>
      <c r="E529" s="76">
        <v>6</v>
      </c>
      <c r="F529" s="71">
        <v>0</v>
      </c>
      <c r="G529" s="72">
        <f t="shared" ref="G529:G532" si="96">(F529*E529)+E529</f>
        <v>6</v>
      </c>
      <c r="H529" s="70" t="s">
        <v>35</v>
      </c>
      <c r="I529" s="97">
        <v>0</v>
      </c>
      <c r="J529" s="98">
        <f t="shared" si="89"/>
        <v>0</v>
      </c>
      <c r="K529" s="99">
        <v>50</v>
      </c>
      <c r="L529" s="100">
        <f t="shared" si="90"/>
        <v>0</v>
      </c>
      <c r="M529" s="100">
        <f t="shared" si="91"/>
        <v>0</v>
      </c>
      <c r="N529" s="100">
        <v>0</v>
      </c>
      <c r="O529" s="100">
        <f t="shared" si="92"/>
        <v>0</v>
      </c>
      <c r="P529" s="100">
        <f t="shared" si="93"/>
        <v>0</v>
      </c>
      <c r="Q529" s="124">
        <f t="shared" si="94"/>
        <v>0</v>
      </c>
      <c r="R529" s="114"/>
    </row>
    <row r="530" s="34" customFormat="1" ht="62.4" spans="1:18">
      <c r="A530" s="61">
        <f>IF(F530&lt;&gt;"",1+MAX($A$2:A529),"")</f>
        <v>489</v>
      </c>
      <c r="B530" s="68"/>
      <c r="C530" s="147"/>
      <c r="D530" s="138" t="s">
        <v>609</v>
      </c>
      <c r="E530" s="76">
        <v>6</v>
      </c>
      <c r="F530" s="71">
        <v>0</v>
      </c>
      <c r="G530" s="72">
        <f t="shared" si="96"/>
        <v>6</v>
      </c>
      <c r="H530" s="70" t="s">
        <v>35</v>
      </c>
      <c r="I530" s="97">
        <v>0</v>
      </c>
      <c r="J530" s="98">
        <f t="shared" si="89"/>
        <v>0</v>
      </c>
      <c r="K530" s="99">
        <v>50</v>
      </c>
      <c r="L530" s="100">
        <f t="shared" si="90"/>
        <v>0</v>
      </c>
      <c r="M530" s="100">
        <f t="shared" si="91"/>
        <v>0</v>
      </c>
      <c r="N530" s="100">
        <v>0</v>
      </c>
      <c r="O530" s="100">
        <f t="shared" si="92"/>
        <v>0</v>
      </c>
      <c r="P530" s="100">
        <f t="shared" si="93"/>
        <v>0</v>
      </c>
      <c r="Q530" s="124">
        <f t="shared" si="94"/>
        <v>0</v>
      </c>
      <c r="R530" s="114"/>
    </row>
    <row r="531" s="34" customFormat="1" ht="62.4" spans="1:18">
      <c r="A531" s="61">
        <f>IF(F531&lt;&gt;"",1+MAX($A$2:A530),"")</f>
        <v>490</v>
      </c>
      <c r="B531" s="68"/>
      <c r="C531" s="147"/>
      <c r="D531" s="138" t="s">
        <v>610</v>
      </c>
      <c r="E531" s="76">
        <v>4</v>
      </c>
      <c r="F531" s="71">
        <v>0</v>
      </c>
      <c r="G531" s="72">
        <f t="shared" si="96"/>
        <v>4</v>
      </c>
      <c r="H531" s="70" t="s">
        <v>35</v>
      </c>
      <c r="I531" s="97">
        <v>0</v>
      </c>
      <c r="J531" s="98">
        <f t="shared" si="89"/>
        <v>0</v>
      </c>
      <c r="K531" s="99">
        <v>50</v>
      </c>
      <c r="L531" s="100">
        <f t="shared" si="90"/>
        <v>0</v>
      </c>
      <c r="M531" s="100">
        <f t="shared" si="91"/>
        <v>0</v>
      </c>
      <c r="N531" s="100">
        <v>0</v>
      </c>
      <c r="O531" s="100">
        <f t="shared" si="92"/>
        <v>0</v>
      </c>
      <c r="P531" s="100">
        <f t="shared" si="93"/>
        <v>0</v>
      </c>
      <c r="Q531" s="124">
        <f t="shared" si="94"/>
        <v>0</v>
      </c>
      <c r="R531" s="114"/>
    </row>
    <row r="532" s="34" customFormat="1" ht="62.4" spans="1:18">
      <c r="A532" s="61">
        <f>IF(F532&lt;&gt;"",1+MAX($A$2:A531),"")</f>
        <v>491</v>
      </c>
      <c r="B532" s="68"/>
      <c r="C532" s="147"/>
      <c r="D532" s="138" t="s">
        <v>611</v>
      </c>
      <c r="E532" s="76">
        <v>10</v>
      </c>
      <c r="F532" s="71">
        <v>0</v>
      </c>
      <c r="G532" s="72">
        <f t="shared" si="96"/>
        <v>10</v>
      </c>
      <c r="H532" s="70" t="s">
        <v>35</v>
      </c>
      <c r="I532" s="97">
        <v>0</v>
      </c>
      <c r="J532" s="98">
        <f t="shared" si="89"/>
        <v>0</v>
      </c>
      <c r="K532" s="99">
        <v>50</v>
      </c>
      <c r="L532" s="100">
        <f t="shared" si="90"/>
        <v>0</v>
      </c>
      <c r="M532" s="100">
        <f t="shared" si="91"/>
        <v>0</v>
      </c>
      <c r="N532" s="100">
        <v>0</v>
      </c>
      <c r="O532" s="100">
        <f t="shared" si="92"/>
        <v>0</v>
      </c>
      <c r="P532" s="100">
        <f t="shared" si="93"/>
        <v>0</v>
      </c>
      <c r="Q532" s="124">
        <f t="shared" si="94"/>
        <v>0</v>
      </c>
      <c r="R532" s="114"/>
    </row>
    <row r="533" s="34" customFormat="1" ht="62.4" spans="1:18">
      <c r="A533" s="61">
        <f>IF(F533&lt;&gt;"",1+MAX($A$2:A532),"")</f>
        <v>492</v>
      </c>
      <c r="B533" s="68"/>
      <c r="C533" s="147"/>
      <c r="D533" s="69" t="s">
        <v>45</v>
      </c>
      <c r="E533" s="70">
        <v>149</v>
      </c>
      <c r="F533" s="71">
        <v>0</v>
      </c>
      <c r="G533" s="72">
        <v>0</v>
      </c>
      <c r="H533" s="70" t="s">
        <v>35</v>
      </c>
      <c r="I533" s="97">
        <v>0</v>
      </c>
      <c r="J533" s="98">
        <f t="shared" si="89"/>
        <v>0</v>
      </c>
      <c r="K533" s="99">
        <v>50</v>
      </c>
      <c r="L533" s="100">
        <f t="shared" si="90"/>
        <v>0</v>
      </c>
      <c r="M533" s="100">
        <f t="shared" si="91"/>
        <v>0</v>
      </c>
      <c r="N533" s="100">
        <v>0</v>
      </c>
      <c r="O533" s="100">
        <f t="shared" si="92"/>
        <v>0</v>
      </c>
      <c r="P533" s="100">
        <f t="shared" si="93"/>
        <v>0</v>
      </c>
      <c r="Q533" s="124">
        <f t="shared" si="94"/>
        <v>0</v>
      </c>
      <c r="R533" s="114"/>
    </row>
    <row r="534" s="34" customFormat="1" ht="62.4" spans="1:18">
      <c r="A534" s="61">
        <f>IF(F534&lt;&gt;"",1+MAX($A$2:A533),"")</f>
        <v>493</v>
      </c>
      <c r="B534" s="68"/>
      <c r="C534" s="147"/>
      <c r="D534" s="69" t="s">
        <v>605</v>
      </c>
      <c r="E534" s="70">
        <v>76</v>
      </c>
      <c r="F534" s="71">
        <v>0</v>
      </c>
      <c r="G534" s="72">
        <v>0</v>
      </c>
      <c r="H534" s="70" t="s">
        <v>35</v>
      </c>
      <c r="I534" s="97">
        <v>0</v>
      </c>
      <c r="J534" s="98">
        <f t="shared" si="89"/>
        <v>0</v>
      </c>
      <c r="K534" s="99">
        <v>50</v>
      </c>
      <c r="L534" s="100">
        <f t="shared" si="90"/>
        <v>0</v>
      </c>
      <c r="M534" s="100">
        <f t="shared" si="91"/>
        <v>0</v>
      </c>
      <c r="N534" s="100">
        <v>0</v>
      </c>
      <c r="O534" s="100">
        <f t="shared" si="92"/>
        <v>0</v>
      </c>
      <c r="P534" s="100">
        <f t="shared" si="93"/>
        <v>0</v>
      </c>
      <c r="Q534" s="124">
        <f t="shared" si="94"/>
        <v>0</v>
      </c>
      <c r="R534" s="114"/>
    </row>
    <row r="535" s="34" customFormat="1" ht="62.4" spans="1:18">
      <c r="A535" s="61">
        <f>IF(F535&lt;&gt;"",1+MAX($A$2:A534),"")</f>
        <v>494</v>
      </c>
      <c r="B535" s="68"/>
      <c r="C535" s="68"/>
      <c r="D535" s="69" t="s">
        <v>604</v>
      </c>
      <c r="E535" s="70">
        <v>7</v>
      </c>
      <c r="F535" s="71">
        <v>0</v>
      </c>
      <c r="G535" s="72">
        <f t="shared" ref="G535:G538" si="97">(F535*E535)+E535</f>
        <v>7</v>
      </c>
      <c r="H535" s="70" t="s">
        <v>35</v>
      </c>
      <c r="I535" s="97">
        <v>0</v>
      </c>
      <c r="J535" s="98">
        <f t="shared" si="89"/>
        <v>0</v>
      </c>
      <c r="K535" s="99">
        <v>50</v>
      </c>
      <c r="L535" s="100">
        <f t="shared" si="90"/>
        <v>0</v>
      </c>
      <c r="M535" s="100">
        <f t="shared" si="91"/>
        <v>0</v>
      </c>
      <c r="N535" s="100">
        <v>0</v>
      </c>
      <c r="O535" s="100">
        <f t="shared" si="92"/>
        <v>0</v>
      </c>
      <c r="P535" s="100">
        <f t="shared" si="93"/>
        <v>0</v>
      </c>
      <c r="Q535" s="124">
        <f t="shared" si="94"/>
        <v>0</v>
      </c>
      <c r="R535" s="114"/>
    </row>
    <row r="536" s="34" customFormat="1" ht="62.4" spans="1:18">
      <c r="A536" s="61">
        <f>IF(F536&lt;&gt;"",1+MAX($A$2:A535),"")</f>
        <v>495</v>
      </c>
      <c r="B536" s="68"/>
      <c r="C536" s="68"/>
      <c r="D536" s="69" t="s">
        <v>609</v>
      </c>
      <c r="E536" s="70">
        <v>13</v>
      </c>
      <c r="F536" s="71">
        <v>0</v>
      </c>
      <c r="G536" s="72">
        <f t="shared" si="97"/>
        <v>13</v>
      </c>
      <c r="H536" s="70" t="s">
        <v>35</v>
      </c>
      <c r="I536" s="97">
        <v>0</v>
      </c>
      <c r="J536" s="98">
        <f t="shared" si="89"/>
        <v>0</v>
      </c>
      <c r="K536" s="99">
        <v>50</v>
      </c>
      <c r="L536" s="100">
        <f t="shared" si="90"/>
        <v>0</v>
      </c>
      <c r="M536" s="100">
        <f t="shared" si="91"/>
        <v>0</v>
      </c>
      <c r="N536" s="100">
        <v>0</v>
      </c>
      <c r="O536" s="100">
        <f t="shared" si="92"/>
        <v>0</v>
      </c>
      <c r="P536" s="100">
        <f t="shared" si="93"/>
        <v>0</v>
      </c>
      <c r="Q536" s="124">
        <f t="shared" si="94"/>
        <v>0</v>
      </c>
      <c r="R536" s="114"/>
    </row>
    <row r="537" s="34" customFormat="1" ht="62.4" spans="1:18">
      <c r="A537" s="61">
        <f>IF(F537&lt;&gt;"",1+MAX($A$2:A536),"")</f>
        <v>496</v>
      </c>
      <c r="B537" s="68"/>
      <c r="C537" s="68"/>
      <c r="D537" s="69" t="s">
        <v>610</v>
      </c>
      <c r="E537" s="70">
        <v>13</v>
      </c>
      <c r="F537" s="71">
        <v>0</v>
      </c>
      <c r="G537" s="72">
        <f t="shared" si="97"/>
        <v>13</v>
      </c>
      <c r="H537" s="70" t="s">
        <v>35</v>
      </c>
      <c r="I537" s="97">
        <v>0</v>
      </c>
      <c r="J537" s="98">
        <f t="shared" si="89"/>
        <v>0</v>
      </c>
      <c r="K537" s="99">
        <v>50</v>
      </c>
      <c r="L537" s="100">
        <f t="shared" si="90"/>
        <v>0</v>
      </c>
      <c r="M537" s="100">
        <f t="shared" si="91"/>
        <v>0</v>
      </c>
      <c r="N537" s="100">
        <v>0</v>
      </c>
      <c r="O537" s="100">
        <f t="shared" si="92"/>
        <v>0</v>
      </c>
      <c r="P537" s="100">
        <f t="shared" si="93"/>
        <v>0</v>
      </c>
      <c r="Q537" s="124">
        <f t="shared" si="94"/>
        <v>0</v>
      </c>
      <c r="R537" s="114"/>
    </row>
    <row r="538" s="34" customFormat="1" ht="62.4" spans="1:18">
      <c r="A538" s="61">
        <f>IF(F538&lt;&gt;"",1+MAX($A$2:A537),"")</f>
        <v>497</v>
      </c>
      <c r="B538" s="68"/>
      <c r="C538" s="68"/>
      <c r="D538" s="69" t="s">
        <v>613</v>
      </c>
      <c r="E538" s="70">
        <v>28</v>
      </c>
      <c r="F538" s="71">
        <v>0</v>
      </c>
      <c r="G538" s="72">
        <f t="shared" si="97"/>
        <v>28</v>
      </c>
      <c r="H538" s="70" t="s">
        <v>35</v>
      </c>
      <c r="I538" s="97">
        <v>0</v>
      </c>
      <c r="J538" s="98">
        <f t="shared" si="89"/>
        <v>0</v>
      </c>
      <c r="K538" s="99">
        <v>50</v>
      </c>
      <c r="L538" s="100">
        <f t="shared" si="90"/>
        <v>0</v>
      </c>
      <c r="M538" s="100">
        <f t="shared" si="91"/>
        <v>0</v>
      </c>
      <c r="N538" s="100">
        <v>0</v>
      </c>
      <c r="O538" s="100">
        <f t="shared" si="92"/>
        <v>0</v>
      </c>
      <c r="P538" s="100">
        <f t="shared" si="93"/>
        <v>0</v>
      </c>
      <c r="Q538" s="124">
        <f t="shared" si="94"/>
        <v>0</v>
      </c>
      <c r="R538" s="114"/>
    </row>
    <row r="539" s="34" customFormat="1" ht="62.4" spans="1:18">
      <c r="A539" s="61">
        <f>IF(F539&lt;&gt;"",1+MAX($A$2:A538),"")</f>
        <v>498</v>
      </c>
      <c r="B539" s="68"/>
      <c r="C539" s="147"/>
      <c r="D539" s="69" t="s">
        <v>45</v>
      </c>
      <c r="E539" s="70">
        <v>248</v>
      </c>
      <c r="F539" s="71">
        <v>0</v>
      </c>
      <c r="G539" s="72">
        <v>0</v>
      </c>
      <c r="H539" s="70" t="s">
        <v>35</v>
      </c>
      <c r="I539" s="97">
        <v>0</v>
      </c>
      <c r="J539" s="98">
        <f t="shared" si="89"/>
        <v>0</v>
      </c>
      <c r="K539" s="99">
        <v>50</v>
      </c>
      <c r="L539" s="100">
        <f t="shared" si="90"/>
        <v>0</v>
      </c>
      <c r="M539" s="100">
        <f t="shared" si="91"/>
        <v>0</v>
      </c>
      <c r="N539" s="100">
        <v>0</v>
      </c>
      <c r="O539" s="100">
        <f t="shared" si="92"/>
        <v>0</v>
      </c>
      <c r="P539" s="100">
        <f t="shared" si="93"/>
        <v>0</v>
      </c>
      <c r="Q539" s="124">
        <f t="shared" si="94"/>
        <v>0</v>
      </c>
      <c r="R539" s="114"/>
    </row>
    <row r="540" s="34" customFormat="1" ht="62.4" spans="1:18">
      <c r="A540" s="61">
        <f>IF(F540&lt;&gt;"",1+MAX($A$2:A539),"")</f>
        <v>499</v>
      </c>
      <c r="B540" s="68"/>
      <c r="C540" s="147"/>
      <c r="D540" s="69" t="s">
        <v>605</v>
      </c>
      <c r="E540" s="70">
        <v>98</v>
      </c>
      <c r="F540" s="71">
        <v>0</v>
      </c>
      <c r="G540" s="72">
        <v>0</v>
      </c>
      <c r="H540" s="70" t="s">
        <v>35</v>
      </c>
      <c r="I540" s="97">
        <v>0</v>
      </c>
      <c r="J540" s="98">
        <f t="shared" si="89"/>
        <v>0</v>
      </c>
      <c r="K540" s="99">
        <v>50</v>
      </c>
      <c r="L540" s="100">
        <f t="shared" si="90"/>
        <v>0</v>
      </c>
      <c r="M540" s="100">
        <f t="shared" si="91"/>
        <v>0</v>
      </c>
      <c r="N540" s="100">
        <v>0</v>
      </c>
      <c r="O540" s="100">
        <f t="shared" si="92"/>
        <v>0</v>
      </c>
      <c r="P540" s="100">
        <f t="shared" si="93"/>
        <v>0</v>
      </c>
      <c r="Q540" s="124">
        <f t="shared" si="94"/>
        <v>0</v>
      </c>
      <c r="R540" s="114"/>
    </row>
    <row r="541" s="34" customFormat="1" ht="62.4" spans="1:18">
      <c r="A541" s="61">
        <f>IF(F541&lt;&gt;"",1+MAX($A$2:A540),"")</f>
        <v>500</v>
      </c>
      <c r="B541" s="68"/>
      <c r="C541" s="68"/>
      <c r="D541" s="69" t="s">
        <v>41</v>
      </c>
      <c r="E541" s="70">
        <v>11</v>
      </c>
      <c r="F541" s="71">
        <v>0</v>
      </c>
      <c r="G541" s="72">
        <f t="shared" ref="G541:G544" si="98">(F541*E541)+E541</f>
        <v>11</v>
      </c>
      <c r="H541" s="70" t="s">
        <v>35</v>
      </c>
      <c r="I541" s="97">
        <v>0</v>
      </c>
      <c r="J541" s="98">
        <f t="shared" si="89"/>
        <v>0</v>
      </c>
      <c r="K541" s="99">
        <v>50</v>
      </c>
      <c r="L541" s="100">
        <f t="shared" si="90"/>
        <v>0</v>
      </c>
      <c r="M541" s="100">
        <f t="shared" si="91"/>
        <v>0</v>
      </c>
      <c r="N541" s="100">
        <v>0</v>
      </c>
      <c r="O541" s="100">
        <f t="shared" si="92"/>
        <v>0</v>
      </c>
      <c r="P541" s="100">
        <f t="shared" si="93"/>
        <v>0</v>
      </c>
      <c r="Q541" s="124">
        <f t="shared" si="94"/>
        <v>0</v>
      </c>
      <c r="R541" s="114"/>
    </row>
    <row r="542" s="34" customFormat="1" ht="62.4" spans="1:18">
      <c r="A542" s="61">
        <f>IF(F542&lt;&gt;"",1+MAX($A$2:A541),"")</f>
        <v>501</v>
      </c>
      <c r="B542" s="68"/>
      <c r="C542" s="68"/>
      <c r="D542" s="69" t="s">
        <v>43</v>
      </c>
      <c r="E542" s="70">
        <v>6</v>
      </c>
      <c r="F542" s="71">
        <v>0</v>
      </c>
      <c r="G542" s="72">
        <f t="shared" si="98"/>
        <v>6</v>
      </c>
      <c r="H542" s="70" t="s">
        <v>35</v>
      </c>
      <c r="I542" s="97">
        <v>0</v>
      </c>
      <c r="J542" s="98">
        <f t="shared" si="89"/>
        <v>0</v>
      </c>
      <c r="K542" s="99">
        <v>50</v>
      </c>
      <c r="L542" s="100">
        <f t="shared" si="90"/>
        <v>0</v>
      </c>
      <c r="M542" s="100">
        <f t="shared" si="91"/>
        <v>0</v>
      </c>
      <c r="N542" s="100">
        <v>0</v>
      </c>
      <c r="O542" s="100">
        <f t="shared" si="92"/>
        <v>0</v>
      </c>
      <c r="P542" s="100">
        <f t="shared" si="93"/>
        <v>0</v>
      </c>
      <c r="Q542" s="124">
        <f t="shared" si="94"/>
        <v>0</v>
      </c>
      <c r="R542" s="114"/>
    </row>
    <row r="543" s="34" customFormat="1" ht="62.4" spans="1:18">
      <c r="A543" s="61">
        <f>IF(F543&lt;&gt;"",1+MAX($A$2:A542),"")</f>
        <v>502</v>
      </c>
      <c r="B543" s="68"/>
      <c r="C543" s="68"/>
      <c r="D543" s="69" t="s">
        <v>604</v>
      </c>
      <c r="E543" s="70">
        <v>10</v>
      </c>
      <c r="F543" s="71">
        <v>0</v>
      </c>
      <c r="G543" s="72">
        <f t="shared" si="98"/>
        <v>10</v>
      </c>
      <c r="H543" s="70" t="s">
        <v>35</v>
      </c>
      <c r="I543" s="97">
        <v>0</v>
      </c>
      <c r="J543" s="98">
        <f t="shared" si="89"/>
        <v>0</v>
      </c>
      <c r="K543" s="99">
        <v>50</v>
      </c>
      <c r="L543" s="100">
        <f t="shared" si="90"/>
        <v>0</v>
      </c>
      <c r="M543" s="100">
        <f t="shared" si="91"/>
        <v>0</v>
      </c>
      <c r="N543" s="100">
        <v>0</v>
      </c>
      <c r="O543" s="100">
        <f t="shared" si="92"/>
        <v>0</v>
      </c>
      <c r="P543" s="100">
        <f t="shared" si="93"/>
        <v>0</v>
      </c>
      <c r="Q543" s="124">
        <f t="shared" si="94"/>
        <v>0</v>
      </c>
      <c r="R543" s="114"/>
    </row>
    <row r="544" s="34" customFormat="1" ht="62.4" spans="1:18">
      <c r="A544" s="61">
        <f>IF(F544&lt;&gt;"",1+MAX($A$2:A543),"")</f>
        <v>503</v>
      </c>
      <c r="B544" s="68"/>
      <c r="C544" s="68"/>
      <c r="D544" s="69" t="s">
        <v>609</v>
      </c>
      <c r="E544" s="70">
        <v>17</v>
      </c>
      <c r="F544" s="71">
        <v>0</v>
      </c>
      <c r="G544" s="72">
        <f t="shared" si="98"/>
        <v>17</v>
      </c>
      <c r="H544" s="70" t="s">
        <v>35</v>
      </c>
      <c r="I544" s="97">
        <v>0</v>
      </c>
      <c r="J544" s="98">
        <f t="shared" si="89"/>
        <v>0</v>
      </c>
      <c r="K544" s="99">
        <v>50</v>
      </c>
      <c r="L544" s="100">
        <f t="shared" si="90"/>
        <v>0</v>
      </c>
      <c r="M544" s="100">
        <f t="shared" si="91"/>
        <v>0</v>
      </c>
      <c r="N544" s="100">
        <v>0</v>
      </c>
      <c r="O544" s="100">
        <f t="shared" si="92"/>
        <v>0</v>
      </c>
      <c r="P544" s="100">
        <f t="shared" si="93"/>
        <v>0</v>
      </c>
      <c r="Q544" s="124">
        <f t="shared" si="94"/>
        <v>0</v>
      </c>
      <c r="R544" s="114"/>
    </row>
    <row r="545" s="34" customFormat="1" ht="62.4" spans="1:18">
      <c r="A545" s="61">
        <f>IF(F545&lt;&gt;"",1+MAX($A$2:A544),"")</f>
        <v>504</v>
      </c>
      <c r="B545" s="68"/>
      <c r="C545" s="68"/>
      <c r="D545" s="69" t="s">
        <v>610</v>
      </c>
      <c r="E545" s="70">
        <v>16</v>
      </c>
      <c r="F545" s="71">
        <v>0</v>
      </c>
      <c r="G545" s="72">
        <v>0</v>
      </c>
      <c r="H545" s="70" t="s">
        <v>35</v>
      </c>
      <c r="I545" s="97">
        <v>0</v>
      </c>
      <c r="J545" s="98">
        <f t="shared" si="89"/>
        <v>0</v>
      </c>
      <c r="K545" s="99">
        <v>50</v>
      </c>
      <c r="L545" s="100">
        <f t="shared" si="90"/>
        <v>0</v>
      </c>
      <c r="M545" s="100">
        <f t="shared" si="91"/>
        <v>0</v>
      </c>
      <c r="N545" s="100">
        <v>0</v>
      </c>
      <c r="O545" s="100">
        <f t="shared" si="92"/>
        <v>0</v>
      </c>
      <c r="P545" s="100">
        <f t="shared" si="93"/>
        <v>0</v>
      </c>
      <c r="Q545" s="124">
        <f t="shared" si="94"/>
        <v>0</v>
      </c>
      <c r="R545" s="114"/>
    </row>
    <row r="546" s="34" customFormat="1" ht="62.4" spans="1:18">
      <c r="A546" s="61">
        <f>IF(F546&lt;&gt;"",1+MAX($A$2:A545),"")</f>
        <v>505</v>
      </c>
      <c r="B546" s="68"/>
      <c r="C546" s="68"/>
      <c r="D546" s="69" t="s">
        <v>613</v>
      </c>
      <c r="E546" s="70">
        <v>34</v>
      </c>
      <c r="F546" s="71">
        <v>0</v>
      </c>
      <c r="G546" s="72">
        <v>0</v>
      </c>
      <c r="H546" s="70" t="s">
        <v>35</v>
      </c>
      <c r="I546" s="97">
        <v>0</v>
      </c>
      <c r="J546" s="98">
        <f t="shared" si="89"/>
        <v>0</v>
      </c>
      <c r="K546" s="99">
        <v>50</v>
      </c>
      <c r="L546" s="100">
        <f t="shared" si="90"/>
        <v>0</v>
      </c>
      <c r="M546" s="100">
        <f t="shared" si="91"/>
        <v>0</v>
      </c>
      <c r="N546" s="100">
        <v>0</v>
      </c>
      <c r="O546" s="100">
        <f t="shared" si="92"/>
        <v>0</v>
      </c>
      <c r="P546" s="100">
        <f t="shared" si="93"/>
        <v>0</v>
      </c>
      <c r="Q546" s="124">
        <f t="shared" si="94"/>
        <v>0</v>
      </c>
      <c r="R546" s="114"/>
    </row>
    <row r="547" s="34" customFormat="1" ht="62.4" spans="1:18">
      <c r="A547" s="61">
        <f>IF(F547&lt;&gt;"",1+MAX($A$2:A546),"")</f>
        <v>506</v>
      </c>
      <c r="B547" s="68"/>
      <c r="C547" s="68"/>
      <c r="D547" s="69" t="s">
        <v>41</v>
      </c>
      <c r="E547" s="70">
        <v>10</v>
      </c>
      <c r="F547" s="71">
        <v>0</v>
      </c>
      <c r="G547" s="72">
        <v>0</v>
      </c>
      <c r="H547" s="70" t="s">
        <v>35</v>
      </c>
      <c r="I547" s="97">
        <v>0</v>
      </c>
      <c r="J547" s="98">
        <f t="shared" si="89"/>
        <v>0</v>
      </c>
      <c r="K547" s="99">
        <v>50</v>
      </c>
      <c r="L547" s="100">
        <f t="shared" si="90"/>
        <v>0</v>
      </c>
      <c r="M547" s="100">
        <f t="shared" si="91"/>
        <v>0</v>
      </c>
      <c r="N547" s="100">
        <v>0</v>
      </c>
      <c r="O547" s="100">
        <f t="shared" si="92"/>
        <v>0</v>
      </c>
      <c r="P547" s="100">
        <f t="shared" si="93"/>
        <v>0</v>
      </c>
      <c r="Q547" s="124">
        <f t="shared" si="94"/>
        <v>0</v>
      </c>
      <c r="R547" s="114"/>
    </row>
    <row r="548" s="34" customFormat="1" ht="62.4" spans="1:18">
      <c r="A548" s="61">
        <f>IF(F548&lt;&gt;"",1+MAX($A$2:A547),"")</f>
        <v>507</v>
      </c>
      <c r="B548" s="68"/>
      <c r="C548" s="68"/>
      <c r="D548" s="69" t="s">
        <v>43</v>
      </c>
      <c r="E548" s="70">
        <v>3</v>
      </c>
      <c r="F548" s="71">
        <v>0</v>
      </c>
      <c r="G548" s="72">
        <v>0</v>
      </c>
      <c r="H548" s="70" t="s">
        <v>35</v>
      </c>
      <c r="I548" s="97">
        <v>0</v>
      </c>
      <c r="J548" s="98">
        <f t="shared" si="89"/>
        <v>0</v>
      </c>
      <c r="K548" s="99">
        <v>50</v>
      </c>
      <c r="L548" s="100">
        <f t="shared" si="90"/>
        <v>0</v>
      </c>
      <c r="M548" s="100">
        <f t="shared" si="91"/>
        <v>0</v>
      </c>
      <c r="N548" s="100">
        <v>0</v>
      </c>
      <c r="O548" s="100">
        <f t="shared" si="92"/>
        <v>0</v>
      </c>
      <c r="P548" s="100">
        <f t="shared" si="93"/>
        <v>0</v>
      </c>
      <c r="Q548" s="124">
        <f t="shared" si="94"/>
        <v>0</v>
      </c>
      <c r="R548" s="114"/>
    </row>
    <row r="549" s="34" customFormat="1" ht="62.4" spans="1:18">
      <c r="A549" s="61">
        <f>IF(F549&lt;&gt;"",1+MAX($A$2:A548),"")</f>
        <v>508</v>
      </c>
      <c r="B549" s="68"/>
      <c r="C549" s="68"/>
      <c r="D549" s="69" t="s">
        <v>613</v>
      </c>
      <c r="E549" s="70">
        <v>2</v>
      </c>
      <c r="F549" s="71">
        <v>0</v>
      </c>
      <c r="G549" s="72">
        <f t="shared" ref="G549:G553" si="99">(F549*E549)+E549</f>
        <v>2</v>
      </c>
      <c r="H549" s="70" t="s">
        <v>35</v>
      </c>
      <c r="I549" s="97">
        <v>0</v>
      </c>
      <c r="J549" s="98">
        <f t="shared" si="89"/>
        <v>0</v>
      </c>
      <c r="K549" s="99">
        <v>50</v>
      </c>
      <c r="L549" s="100">
        <f t="shared" si="90"/>
        <v>0</v>
      </c>
      <c r="M549" s="100">
        <f t="shared" si="91"/>
        <v>0</v>
      </c>
      <c r="N549" s="100">
        <v>0</v>
      </c>
      <c r="O549" s="100">
        <f t="shared" si="92"/>
        <v>0</v>
      </c>
      <c r="P549" s="100">
        <f t="shared" si="93"/>
        <v>0</v>
      </c>
      <c r="Q549" s="124">
        <f t="shared" si="94"/>
        <v>0</v>
      </c>
      <c r="R549" s="114"/>
    </row>
    <row r="550" s="34" customFormat="1" ht="62.4" spans="1:18">
      <c r="A550" s="61">
        <f>IF(F550&lt;&gt;"",1+MAX($A$2:A549),"")</f>
        <v>509</v>
      </c>
      <c r="B550" s="68"/>
      <c r="C550" s="147"/>
      <c r="D550" s="69" t="s">
        <v>45</v>
      </c>
      <c r="E550" s="70">
        <v>59</v>
      </c>
      <c r="F550" s="71">
        <v>0</v>
      </c>
      <c r="G550" s="72">
        <v>0</v>
      </c>
      <c r="H550" s="70" t="s">
        <v>35</v>
      </c>
      <c r="I550" s="97">
        <v>0</v>
      </c>
      <c r="J550" s="98">
        <f t="shared" si="89"/>
        <v>0</v>
      </c>
      <c r="K550" s="99">
        <v>50</v>
      </c>
      <c r="L550" s="100">
        <f t="shared" si="90"/>
        <v>0</v>
      </c>
      <c r="M550" s="100">
        <f t="shared" si="91"/>
        <v>0</v>
      </c>
      <c r="N550" s="100">
        <v>0</v>
      </c>
      <c r="O550" s="100">
        <f t="shared" si="92"/>
        <v>0</v>
      </c>
      <c r="P550" s="100">
        <f t="shared" si="93"/>
        <v>0</v>
      </c>
      <c r="Q550" s="124">
        <f t="shared" si="94"/>
        <v>0</v>
      </c>
      <c r="R550" s="114"/>
    </row>
    <row r="551" s="34" customFormat="1" ht="62.4" spans="1:18">
      <c r="A551" s="61">
        <f>IF(F551&lt;&gt;"",1+MAX($A$2:A550),"")</f>
        <v>510</v>
      </c>
      <c r="B551" s="68"/>
      <c r="C551" s="147"/>
      <c r="D551" s="69" t="s">
        <v>605</v>
      </c>
      <c r="E551" s="70">
        <v>14</v>
      </c>
      <c r="F551" s="71">
        <v>0</v>
      </c>
      <c r="G551" s="72">
        <v>0</v>
      </c>
      <c r="H551" s="70" t="s">
        <v>35</v>
      </c>
      <c r="I551" s="97">
        <v>0</v>
      </c>
      <c r="J551" s="98">
        <f t="shared" si="89"/>
        <v>0</v>
      </c>
      <c r="K551" s="99">
        <v>50</v>
      </c>
      <c r="L551" s="100">
        <f t="shared" si="90"/>
        <v>0</v>
      </c>
      <c r="M551" s="100">
        <f t="shared" si="91"/>
        <v>0</v>
      </c>
      <c r="N551" s="100">
        <v>0</v>
      </c>
      <c r="O551" s="100">
        <f t="shared" si="92"/>
        <v>0</v>
      </c>
      <c r="P551" s="100">
        <f t="shared" si="93"/>
        <v>0</v>
      </c>
      <c r="Q551" s="124">
        <f t="shared" si="94"/>
        <v>0</v>
      </c>
      <c r="R551" s="114"/>
    </row>
    <row r="552" s="34" customFormat="1" ht="62.4" spans="1:18">
      <c r="A552" s="61">
        <f>IF(F552&lt;&gt;"",1+MAX($A$2:A551),"")</f>
        <v>511</v>
      </c>
      <c r="B552" s="68"/>
      <c r="C552" s="68"/>
      <c r="D552" s="69" t="s">
        <v>611</v>
      </c>
      <c r="E552" s="70">
        <v>11</v>
      </c>
      <c r="F552" s="71">
        <v>0</v>
      </c>
      <c r="G552" s="72">
        <f t="shared" si="99"/>
        <v>11</v>
      </c>
      <c r="H552" s="70" t="s">
        <v>35</v>
      </c>
      <c r="I552" s="97">
        <v>0</v>
      </c>
      <c r="J552" s="98">
        <f t="shared" si="89"/>
        <v>0</v>
      </c>
      <c r="K552" s="99">
        <v>50</v>
      </c>
      <c r="L552" s="100">
        <f t="shared" si="90"/>
        <v>0</v>
      </c>
      <c r="M552" s="100">
        <f t="shared" si="91"/>
        <v>0</v>
      </c>
      <c r="N552" s="100">
        <v>0</v>
      </c>
      <c r="O552" s="100">
        <f t="shared" si="92"/>
        <v>0</v>
      </c>
      <c r="P552" s="100">
        <f t="shared" si="93"/>
        <v>0</v>
      </c>
      <c r="Q552" s="124">
        <f t="shared" si="94"/>
        <v>0</v>
      </c>
      <c r="R552" s="114"/>
    </row>
    <row r="553" s="34" customFormat="1" ht="62.4" spans="1:18">
      <c r="A553" s="61">
        <f>IF(F553&lt;&gt;"",1+MAX($A$2:A552),"")</f>
        <v>512</v>
      </c>
      <c r="B553" s="68"/>
      <c r="C553" s="68"/>
      <c r="D553" s="69" t="s">
        <v>606</v>
      </c>
      <c r="E553" s="70">
        <v>5</v>
      </c>
      <c r="F553" s="71">
        <v>0</v>
      </c>
      <c r="G553" s="72">
        <f t="shared" si="99"/>
        <v>5</v>
      </c>
      <c r="H553" s="70" t="s">
        <v>35</v>
      </c>
      <c r="I553" s="97">
        <v>0</v>
      </c>
      <c r="J553" s="98">
        <f t="shared" si="89"/>
        <v>0</v>
      </c>
      <c r="K553" s="99">
        <v>50</v>
      </c>
      <c r="L553" s="100">
        <f t="shared" si="90"/>
        <v>0</v>
      </c>
      <c r="M553" s="100">
        <f t="shared" si="91"/>
        <v>0</v>
      </c>
      <c r="N553" s="100">
        <v>0</v>
      </c>
      <c r="O553" s="100">
        <f t="shared" si="92"/>
        <v>0</v>
      </c>
      <c r="P553" s="100">
        <f t="shared" si="93"/>
        <v>0</v>
      </c>
      <c r="Q553" s="124">
        <f t="shared" si="94"/>
        <v>0</v>
      </c>
      <c r="R553" s="114"/>
    </row>
    <row r="554" s="34" customFormat="1" ht="62.4" spans="1:18">
      <c r="A554" s="61">
        <f>IF(F554&lt;&gt;"",1+MAX($A$2:A553),"")</f>
        <v>513</v>
      </c>
      <c r="B554" s="68"/>
      <c r="C554" s="68"/>
      <c r="D554" s="69" t="s">
        <v>607</v>
      </c>
      <c r="E554" s="70">
        <v>1</v>
      </c>
      <c r="F554" s="71">
        <v>0</v>
      </c>
      <c r="G554" s="72">
        <v>0</v>
      </c>
      <c r="H554" s="70" t="s">
        <v>35</v>
      </c>
      <c r="I554" s="97">
        <v>0</v>
      </c>
      <c r="J554" s="98">
        <f t="shared" si="89"/>
        <v>0</v>
      </c>
      <c r="K554" s="99">
        <v>50</v>
      </c>
      <c r="L554" s="100">
        <f t="shared" si="90"/>
        <v>0</v>
      </c>
      <c r="M554" s="100">
        <f t="shared" si="91"/>
        <v>0</v>
      </c>
      <c r="N554" s="100">
        <v>0</v>
      </c>
      <c r="O554" s="100">
        <f t="shared" si="92"/>
        <v>0</v>
      </c>
      <c r="P554" s="100">
        <f t="shared" si="93"/>
        <v>0</v>
      </c>
      <c r="Q554" s="124">
        <f t="shared" si="94"/>
        <v>0</v>
      </c>
      <c r="R554" s="114"/>
    </row>
    <row r="555" s="34" customFormat="1" ht="62.4" spans="1:18">
      <c r="A555" s="61">
        <f>IF(F555&lt;&gt;"",1+MAX($A$2:A554),"")</f>
        <v>514</v>
      </c>
      <c r="B555" s="68"/>
      <c r="C555" s="68"/>
      <c r="D555" s="69" t="s">
        <v>43</v>
      </c>
      <c r="E555" s="70">
        <v>2</v>
      </c>
      <c r="F555" s="71">
        <v>0</v>
      </c>
      <c r="G555" s="72">
        <v>0</v>
      </c>
      <c r="H555" s="70" t="s">
        <v>35</v>
      </c>
      <c r="I555" s="97">
        <v>0</v>
      </c>
      <c r="J555" s="98">
        <f t="shared" si="89"/>
        <v>0</v>
      </c>
      <c r="K555" s="99">
        <v>50</v>
      </c>
      <c r="L555" s="100">
        <f t="shared" si="90"/>
        <v>0</v>
      </c>
      <c r="M555" s="100">
        <f t="shared" si="91"/>
        <v>0</v>
      </c>
      <c r="N555" s="100">
        <v>0</v>
      </c>
      <c r="O555" s="100">
        <f t="shared" si="92"/>
        <v>0</v>
      </c>
      <c r="P555" s="100">
        <f t="shared" si="93"/>
        <v>0</v>
      </c>
      <c r="Q555" s="124">
        <f t="shared" si="94"/>
        <v>0</v>
      </c>
      <c r="R555" s="114"/>
    </row>
    <row r="556" s="34" customFormat="1" ht="62.4" spans="1:18">
      <c r="A556" s="61">
        <f>IF(F556&lt;&gt;"",1+MAX($A$2:A555),"")</f>
        <v>515</v>
      </c>
      <c r="B556" s="68"/>
      <c r="C556" s="68"/>
      <c r="D556" s="69" t="s">
        <v>41</v>
      </c>
      <c r="E556" s="70">
        <v>3</v>
      </c>
      <c r="F556" s="71">
        <v>0</v>
      </c>
      <c r="G556" s="72">
        <f t="shared" ref="G556:G558" si="100">(F556*E556)+E556</f>
        <v>3</v>
      </c>
      <c r="H556" s="70" t="s">
        <v>35</v>
      </c>
      <c r="I556" s="97">
        <v>0</v>
      </c>
      <c r="J556" s="98">
        <f t="shared" si="89"/>
        <v>0</v>
      </c>
      <c r="K556" s="99">
        <v>50</v>
      </c>
      <c r="L556" s="100">
        <f t="shared" si="90"/>
        <v>0</v>
      </c>
      <c r="M556" s="100">
        <f t="shared" si="91"/>
        <v>0</v>
      </c>
      <c r="N556" s="100">
        <v>0</v>
      </c>
      <c r="O556" s="100">
        <f t="shared" si="92"/>
        <v>0</v>
      </c>
      <c r="P556" s="100">
        <f t="shared" si="93"/>
        <v>0</v>
      </c>
      <c r="Q556" s="124">
        <f t="shared" si="94"/>
        <v>0</v>
      </c>
      <c r="R556" s="114"/>
    </row>
    <row r="557" s="34" customFormat="1" ht="62.4" spans="1:18">
      <c r="A557" s="61">
        <f>IF(F557&lt;&gt;"",1+MAX($A$2:A556),"")</f>
        <v>516</v>
      </c>
      <c r="B557" s="68"/>
      <c r="C557" s="68"/>
      <c r="D557" s="69" t="s">
        <v>608</v>
      </c>
      <c r="E557" s="70">
        <v>4</v>
      </c>
      <c r="F557" s="71">
        <v>0</v>
      </c>
      <c r="G557" s="72">
        <f t="shared" si="100"/>
        <v>4</v>
      </c>
      <c r="H557" s="70" t="s">
        <v>35</v>
      </c>
      <c r="I557" s="97">
        <v>0</v>
      </c>
      <c r="J557" s="98">
        <f t="shared" si="89"/>
        <v>0</v>
      </c>
      <c r="K557" s="99">
        <v>50</v>
      </c>
      <c r="L557" s="100">
        <f t="shared" si="90"/>
        <v>0</v>
      </c>
      <c r="M557" s="100">
        <f t="shared" si="91"/>
        <v>0</v>
      </c>
      <c r="N557" s="100">
        <v>0</v>
      </c>
      <c r="O557" s="100">
        <f t="shared" si="92"/>
        <v>0</v>
      </c>
      <c r="P557" s="100">
        <f t="shared" si="93"/>
        <v>0</v>
      </c>
      <c r="Q557" s="124">
        <f t="shared" si="94"/>
        <v>0</v>
      </c>
      <c r="R557" s="114"/>
    </row>
    <row r="558" s="34" customFormat="1" ht="62.4" spans="1:18">
      <c r="A558" s="61">
        <f>IF(F558&lt;&gt;"",1+MAX($A$2:A557),"")</f>
        <v>517</v>
      </c>
      <c r="B558" s="68"/>
      <c r="C558" s="68"/>
      <c r="D558" s="69" t="s">
        <v>609</v>
      </c>
      <c r="E558" s="70">
        <v>2</v>
      </c>
      <c r="F558" s="71">
        <v>0</v>
      </c>
      <c r="G558" s="72">
        <f t="shared" si="100"/>
        <v>2</v>
      </c>
      <c r="H558" s="70" t="s">
        <v>35</v>
      </c>
      <c r="I558" s="97">
        <v>0</v>
      </c>
      <c r="J558" s="98">
        <f t="shared" si="89"/>
        <v>0</v>
      </c>
      <c r="K558" s="99">
        <v>50</v>
      </c>
      <c r="L558" s="100">
        <f t="shared" si="90"/>
        <v>0</v>
      </c>
      <c r="M558" s="100">
        <f t="shared" si="91"/>
        <v>0</v>
      </c>
      <c r="N558" s="100">
        <v>0</v>
      </c>
      <c r="O558" s="100">
        <f t="shared" si="92"/>
        <v>0</v>
      </c>
      <c r="P558" s="100">
        <f t="shared" si="93"/>
        <v>0</v>
      </c>
      <c r="Q558" s="124">
        <f t="shared" si="94"/>
        <v>0</v>
      </c>
      <c r="R558" s="114"/>
    </row>
    <row r="559" s="34" customFormat="1" ht="62.4" spans="1:18">
      <c r="A559" s="61">
        <f>IF(F559&lt;&gt;"",1+MAX($A$2:A558),"")</f>
        <v>518</v>
      </c>
      <c r="B559" s="68"/>
      <c r="C559" s="68"/>
      <c r="D559" s="69" t="s">
        <v>610</v>
      </c>
      <c r="E559" s="70">
        <v>5</v>
      </c>
      <c r="F559" s="71">
        <v>0</v>
      </c>
      <c r="G559" s="72">
        <v>0</v>
      </c>
      <c r="H559" s="70" t="s">
        <v>35</v>
      </c>
      <c r="I559" s="97">
        <v>0</v>
      </c>
      <c r="J559" s="98">
        <f t="shared" si="89"/>
        <v>0</v>
      </c>
      <c r="K559" s="99">
        <v>50</v>
      </c>
      <c r="L559" s="100">
        <f t="shared" si="90"/>
        <v>0</v>
      </c>
      <c r="M559" s="100">
        <f t="shared" si="91"/>
        <v>0</v>
      </c>
      <c r="N559" s="100">
        <v>0</v>
      </c>
      <c r="O559" s="100">
        <f t="shared" si="92"/>
        <v>0</v>
      </c>
      <c r="P559" s="100">
        <f t="shared" si="93"/>
        <v>0</v>
      </c>
      <c r="Q559" s="124">
        <f t="shared" si="94"/>
        <v>0</v>
      </c>
      <c r="R559" s="114"/>
    </row>
    <row r="560" s="34" customFormat="1" ht="62.4" spans="1:18">
      <c r="A560" s="61">
        <f>IF(F560&lt;&gt;"",1+MAX($A$2:A559),"")</f>
        <v>519</v>
      </c>
      <c r="B560" s="68"/>
      <c r="C560" s="68"/>
      <c r="D560" s="69" t="s">
        <v>41</v>
      </c>
      <c r="E560" s="70">
        <v>8</v>
      </c>
      <c r="F560" s="71">
        <v>0</v>
      </c>
      <c r="G560" s="72">
        <v>0</v>
      </c>
      <c r="H560" s="70" t="s">
        <v>35</v>
      </c>
      <c r="I560" s="97">
        <v>0</v>
      </c>
      <c r="J560" s="98">
        <f t="shared" si="89"/>
        <v>0</v>
      </c>
      <c r="K560" s="99">
        <v>50</v>
      </c>
      <c r="L560" s="100">
        <f t="shared" si="90"/>
        <v>0</v>
      </c>
      <c r="M560" s="100">
        <f t="shared" si="91"/>
        <v>0</v>
      </c>
      <c r="N560" s="100">
        <v>0</v>
      </c>
      <c r="O560" s="100">
        <f t="shared" si="92"/>
        <v>0</v>
      </c>
      <c r="P560" s="100">
        <f t="shared" si="93"/>
        <v>0</v>
      </c>
      <c r="Q560" s="124">
        <f t="shared" si="94"/>
        <v>0</v>
      </c>
      <c r="R560" s="114"/>
    </row>
    <row r="561" s="34" customFormat="1" ht="62.4" spans="1:18">
      <c r="A561" s="61">
        <f>IF(F561&lt;&gt;"",1+MAX($A$2:A560),"")</f>
        <v>520</v>
      </c>
      <c r="B561" s="68"/>
      <c r="C561" s="68"/>
      <c r="D561" s="69" t="s">
        <v>612</v>
      </c>
      <c r="E561" s="70">
        <v>2</v>
      </c>
      <c r="F561" s="71">
        <v>0</v>
      </c>
      <c r="G561" s="72">
        <v>0</v>
      </c>
      <c r="H561" s="70" t="s">
        <v>35</v>
      </c>
      <c r="I561" s="97">
        <v>0</v>
      </c>
      <c r="J561" s="98">
        <f t="shared" si="89"/>
        <v>0</v>
      </c>
      <c r="K561" s="99">
        <v>50</v>
      </c>
      <c r="L561" s="100">
        <f t="shared" si="90"/>
        <v>0</v>
      </c>
      <c r="M561" s="100">
        <f t="shared" si="91"/>
        <v>0</v>
      </c>
      <c r="N561" s="100">
        <v>0</v>
      </c>
      <c r="O561" s="100">
        <f t="shared" si="92"/>
        <v>0</v>
      </c>
      <c r="P561" s="100">
        <f t="shared" si="93"/>
        <v>0</v>
      </c>
      <c r="Q561" s="124">
        <f t="shared" si="94"/>
        <v>0</v>
      </c>
      <c r="R561" s="114"/>
    </row>
    <row r="562" s="34" customFormat="1" ht="62.4" spans="1:18">
      <c r="A562" s="61">
        <f>IF(F562&lt;&gt;"",1+MAX($A$2:A561),"")</f>
        <v>521</v>
      </c>
      <c r="B562" s="68"/>
      <c r="C562" s="68"/>
      <c r="D562" s="69" t="s">
        <v>614</v>
      </c>
      <c r="E562" s="70">
        <v>3</v>
      </c>
      <c r="F562" s="71">
        <v>0</v>
      </c>
      <c r="G562" s="72">
        <f t="shared" ref="G562:G570" si="101">(F562*E562)+E562</f>
        <v>3</v>
      </c>
      <c r="H562" s="70" t="s">
        <v>35</v>
      </c>
      <c r="I562" s="97">
        <v>0</v>
      </c>
      <c r="J562" s="98">
        <f t="shared" si="89"/>
        <v>0</v>
      </c>
      <c r="K562" s="99">
        <v>50</v>
      </c>
      <c r="L562" s="100">
        <f t="shared" si="90"/>
        <v>0</v>
      </c>
      <c r="M562" s="100">
        <f t="shared" si="91"/>
        <v>0</v>
      </c>
      <c r="N562" s="100">
        <v>0</v>
      </c>
      <c r="O562" s="100">
        <f t="shared" si="92"/>
        <v>0</v>
      </c>
      <c r="P562" s="100">
        <f t="shared" si="93"/>
        <v>0</v>
      </c>
      <c r="Q562" s="124">
        <f t="shared" si="94"/>
        <v>0</v>
      </c>
      <c r="R562" s="114"/>
    </row>
    <row r="563" s="34" customFormat="1" ht="62.4" spans="1:18">
      <c r="A563" s="61">
        <f>IF(F563&lt;&gt;"",1+MAX($A$2:A562),"")</f>
        <v>522</v>
      </c>
      <c r="B563" s="68"/>
      <c r="C563" s="68"/>
      <c r="D563" s="69" t="s">
        <v>613</v>
      </c>
      <c r="E563" s="70">
        <v>1</v>
      </c>
      <c r="F563" s="71">
        <v>0</v>
      </c>
      <c r="G563" s="72">
        <f t="shared" si="101"/>
        <v>1</v>
      </c>
      <c r="H563" s="70" t="s">
        <v>35</v>
      </c>
      <c r="I563" s="97">
        <v>0</v>
      </c>
      <c r="J563" s="98">
        <f t="shared" si="89"/>
        <v>0</v>
      </c>
      <c r="K563" s="99">
        <v>50</v>
      </c>
      <c r="L563" s="100">
        <f t="shared" si="90"/>
        <v>0</v>
      </c>
      <c r="M563" s="100">
        <f t="shared" si="91"/>
        <v>0</v>
      </c>
      <c r="N563" s="100">
        <v>0</v>
      </c>
      <c r="O563" s="100">
        <f t="shared" si="92"/>
        <v>0</v>
      </c>
      <c r="P563" s="100">
        <f t="shared" si="93"/>
        <v>0</v>
      </c>
      <c r="Q563" s="124">
        <f t="shared" si="94"/>
        <v>0</v>
      </c>
      <c r="R563" s="114"/>
    </row>
    <row r="564" s="34" customFormat="1" ht="18" customHeight="1" spans="1:18">
      <c r="A564" s="61" t="str">
        <f>IF(F564&lt;&gt;"",1+MAX($A$2:A563),"")</f>
        <v/>
      </c>
      <c r="B564" s="62"/>
      <c r="C564" s="74"/>
      <c r="D564" s="138"/>
      <c r="E564" s="76"/>
      <c r="F564" s="65"/>
      <c r="G564" s="66"/>
      <c r="H564" s="70"/>
      <c r="I564" s="97"/>
      <c r="J564" s="98"/>
      <c r="K564" s="99"/>
      <c r="L564" s="100"/>
      <c r="M564" s="100"/>
      <c r="N564" s="100"/>
      <c r="O564" s="100"/>
      <c r="P564" s="100"/>
      <c r="Q564" s="124"/>
      <c r="R564" s="114"/>
    </row>
    <row r="565" s="34" customFormat="1" ht="18" customHeight="1" spans="1:18">
      <c r="A565" s="61" t="str">
        <f>IF(F565&lt;&gt;"",1+MAX($A$2:A564),"")</f>
        <v/>
      </c>
      <c r="B565" s="62"/>
      <c r="C565" s="62"/>
      <c r="D565" s="134" t="s">
        <v>52</v>
      </c>
      <c r="E565" s="76"/>
      <c r="F565" s="65"/>
      <c r="G565" s="66"/>
      <c r="H565" s="70"/>
      <c r="I565" s="97"/>
      <c r="J565" s="98"/>
      <c r="K565" s="99"/>
      <c r="L565" s="100"/>
      <c r="M565" s="100"/>
      <c r="N565" s="100"/>
      <c r="O565" s="100"/>
      <c r="P565" s="100"/>
      <c r="Q565" s="124"/>
      <c r="R565" s="114"/>
    </row>
    <row r="566" s="34" customFormat="1" ht="18" customHeight="1" spans="1:18">
      <c r="A566" s="61">
        <f>IF(F566&lt;&gt;"",1+MAX($A$2:A565),"")</f>
        <v>523</v>
      </c>
      <c r="B566" s="68"/>
      <c r="C566" s="147"/>
      <c r="D566" s="138" t="s">
        <v>53</v>
      </c>
      <c r="E566" s="76">
        <v>7</v>
      </c>
      <c r="F566" s="71">
        <v>0</v>
      </c>
      <c r="G566" s="66">
        <f t="shared" si="101"/>
        <v>7</v>
      </c>
      <c r="H566" s="70" t="s">
        <v>35</v>
      </c>
      <c r="I566" s="97">
        <v>0</v>
      </c>
      <c r="J566" s="98">
        <f t="shared" ref="J566:J629" si="102">+I566*G566</f>
        <v>0</v>
      </c>
      <c r="K566" s="99">
        <v>50</v>
      </c>
      <c r="L566" s="100">
        <f t="shared" ref="L566:L629" si="103">I566*K566</f>
        <v>0</v>
      </c>
      <c r="M566" s="100">
        <f t="shared" ref="M566:M629" si="104">K566*J566</f>
        <v>0</v>
      </c>
      <c r="N566" s="100">
        <v>0</v>
      </c>
      <c r="O566" s="100">
        <f t="shared" ref="O566:O629" si="105">N566*G566</f>
        <v>0</v>
      </c>
      <c r="P566" s="100">
        <f t="shared" ref="P566:P629" si="106">(I566*K566)+N566</f>
        <v>0</v>
      </c>
      <c r="Q566" s="124">
        <f t="shared" ref="Q566:Q629" si="107">P566*G566</f>
        <v>0</v>
      </c>
      <c r="R566" s="114"/>
    </row>
    <row r="567" s="34" customFormat="1" ht="18" customHeight="1" spans="1:18">
      <c r="A567" s="67">
        <f>IF(F567&lt;&gt;"",1+MAX($A$2:A566),"")</f>
        <v>524</v>
      </c>
      <c r="B567" s="68"/>
      <c r="C567" s="147"/>
      <c r="D567" s="138" t="s">
        <v>615</v>
      </c>
      <c r="E567" s="76">
        <v>14</v>
      </c>
      <c r="F567" s="71">
        <v>0</v>
      </c>
      <c r="G567" s="66">
        <f t="shared" si="101"/>
        <v>14</v>
      </c>
      <c r="H567" s="70" t="s">
        <v>35</v>
      </c>
      <c r="I567" s="97">
        <v>0</v>
      </c>
      <c r="J567" s="98">
        <f t="shared" si="102"/>
        <v>0</v>
      </c>
      <c r="K567" s="99">
        <v>50</v>
      </c>
      <c r="L567" s="100">
        <f t="shared" si="103"/>
        <v>0</v>
      </c>
      <c r="M567" s="100">
        <f t="shared" si="104"/>
        <v>0</v>
      </c>
      <c r="N567" s="100">
        <v>0</v>
      </c>
      <c r="O567" s="100">
        <f t="shared" si="105"/>
        <v>0</v>
      </c>
      <c r="P567" s="100">
        <f t="shared" si="106"/>
        <v>0</v>
      </c>
      <c r="Q567" s="124">
        <f t="shared" si="107"/>
        <v>0</v>
      </c>
      <c r="R567" s="114"/>
    </row>
    <row r="568" s="34" customFormat="1" ht="18" customHeight="1" spans="1:18">
      <c r="A568" s="67">
        <f>IF(F568&lt;&gt;"",1+MAX($A$2:A567),"")</f>
        <v>525</v>
      </c>
      <c r="B568" s="68"/>
      <c r="C568" s="147"/>
      <c r="D568" s="138" t="s">
        <v>616</v>
      </c>
      <c r="E568" s="76">
        <v>1</v>
      </c>
      <c r="F568" s="71">
        <v>0</v>
      </c>
      <c r="G568" s="66">
        <f t="shared" si="101"/>
        <v>1</v>
      </c>
      <c r="H568" s="70" t="s">
        <v>35</v>
      </c>
      <c r="I568" s="97">
        <v>0</v>
      </c>
      <c r="J568" s="98">
        <f t="shared" si="102"/>
        <v>0</v>
      </c>
      <c r="K568" s="99">
        <v>50</v>
      </c>
      <c r="L568" s="100">
        <f t="shared" si="103"/>
        <v>0</v>
      </c>
      <c r="M568" s="100">
        <f t="shared" si="104"/>
        <v>0</v>
      </c>
      <c r="N568" s="100">
        <v>0</v>
      </c>
      <c r="O568" s="100">
        <f t="shared" si="105"/>
        <v>0</v>
      </c>
      <c r="P568" s="100">
        <f t="shared" si="106"/>
        <v>0</v>
      </c>
      <c r="Q568" s="124">
        <f t="shared" si="107"/>
        <v>0</v>
      </c>
      <c r="R568" s="114"/>
    </row>
    <row r="569" s="34" customFormat="1" ht="18" customHeight="1" spans="1:18">
      <c r="A569" s="67">
        <f>IF(F569&lt;&gt;"",1+MAX($A$2:A568),"")</f>
        <v>526</v>
      </c>
      <c r="B569" s="68"/>
      <c r="C569" s="147"/>
      <c r="D569" s="138" t="s">
        <v>617</v>
      </c>
      <c r="E569" s="76">
        <v>5</v>
      </c>
      <c r="F569" s="71">
        <v>0</v>
      </c>
      <c r="G569" s="66">
        <f t="shared" si="101"/>
        <v>5</v>
      </c>
      <c r="H569" s="70" t="s">
        <v>35</v>
      </c>
      <c r="I569" s="97">
        <v>0</v>
      </c>
      <c r="J569" s="98">
        <f t="shared" si="102"/>
        <v>0</v>
      </c>
      <c r="K569" s="99">
        <v>50</v>
      </c>
      <c r="L569" s="100">
        <f t="shared" si="103"/>
        <v>0</v>
      </c>
      <c r="M569" s="100">
        <f t="shared" si="104"/>
        <v>0</v>
      </c>
      <c r="N569" s="100">
        <v>0</v>
      </c>
      <c r="O569" s="100">
        <f t="shared" si="105"/>
        <v>0</v>
      </c>
      <c r="P569" s="100">
        <f t="shared" si="106"/>
        <v>0</v>
      </c>
      <c r="Q569" s="124">
        <f t="shared" si="107"/>
        <v>0</v>
      </c>
      <c r="R569" s="114"/>
    </row>
    <row r="570" s="34" customFormat="1" ht="18" customHeight="1" spans="1:18">
      <c r="A570" s="67">
        <f>IF(F570&lt;&gt;"",1+MAX($A$2:A569),"")</f>
        <v>527</v>
      </c>
      <c r="B570" s="68"/>
      <c r="C570" s="147"/>
      <c r="D570" s="138" t="s">
        <v>618</v>
      </c>
      <c r="E570" s="76">
        <v>7</v>
      </c>
      <c r="F570" s="71">
        <v>0</v>
      </c>
      <c r="G570" s="66">
        <f t="shared" si="101"/>
        <v>7</v>
      </c>
      <c r="H570" s="70" t="s">
        <v>35</v>
      </c>
      <c r="I570" s="97">
        <v>0</v>
      </c>
      <c r="J570" s="98">
        <f t="shared" si="102"/>
        <v>0</v>
      </c>
      <c r="K570" s="99">
        <v>50</v>
      </c>
      <c r="L570" s="100">
        <f t="shared" si="103"/>
        <v>0</v>
      </c>
      <c r="M570" s="100">
        <f t="shared" si="104"/>
        <v>0</v>
      </c>
      <c r="N570" s="100">
        <v>0</v>
      </c>
      <c r="O570" s="100">
        <f t="shared" si="105"/>
        <v>0</v>
      </c>
      <c r="P570" s="100">
        <f t="shared" si="106"/>
        <v>0</v>
      </c>
      <c r="Q570" s="124">
        <f t="shared" si="107"/>
        <v>0</v>
      </c>
      <c r="R570" s="114"/>
    </row>
    <row r="571" s="34" customFormat="1" ht="18" customHeight="1" spans="1:18">
      <c r="A571" s="67">
        <f>IF(F571&lt;&gt;"",1+MAX($A$2:A570),"")</f>
        <v>528</v>
      </c>
      <c r="B571" s="68"/>
      <c r="C571" s="147"/>
      <c r="D571" s="138" t="s">
        <v>619</v>
      </c>
      <c r="E571" s="76">
        <v>2</v>
      </c>
      <c r="F571" s="71">
        <v>0</v>
      </c>
      <c r="G571" s="66">
        <v>0</v>
      </c>
      <c r="H571" s="70" t="s">
        <v>35</v>
      </c>
      <c r="I571" s="97">
        <v>0</v>
      </c>
      <c r="J571" s="98">
        <f t="shared" si="102"/>
        <v>0</v>
      </c>
      <c r="K571" s="99">
        <v>50</v>
      </c>
      <c r="L571" s="100">
        <f t="shared" si="103"/>
        <v>0</v>
      </c>
      <c r="M571" s="100">
        <f t="shared" si="104"/>
        <v>0</v>
      </c>
      <c r="N571" s="100">
        <v>0</v>
      </c>
      <c r="O571" s="100">
        <f t="shared" si="105"/>
        <v>0</v>
      </c>
      <c r="P571" s="100">
        <f t="shared" si="106"/>
        <v>0</v>
      </c>
      <c r="Q571" s="124">
        <f t="shared" si="107"/>
        <v>0</v>
      </c>
      <c r="R571" s="114"/>
    </row>
    <row r="572" s="34" customFormat="1" ht="18" customHeight="1" spans="1:18">
      <c r="A572" s="61">
        <f>IF(F572&lt;&gt;"",1+MAX($A$2:A571),"")</f>
        <v>529</v>
      </c>
      <c r="B572" s="68"/>
      <c r="C572" s="147"/>
      <c r="D572" s="138" t="s">
        <v>53</v>
      </c>
      <c r="E572" s="76">
        <v>56</v>
      </c>
      <c r="F572" s="71">
        <v>0</v>
      </c>
      <c r="G572" s="66">
        <f t="shared" ref="G572:G576" si="108">(F572*E572)+E572</f>
        <v>56</v>
      </c>
      <c r="H572" s="70" t="s">
        <v>35</v>
      </c>
      <c r="I572" s="97">
        <v>0</v>
      </c>
      <c r="J572" s="98">
        <f t="shared" si="102"/>
        <v>0</v>
      </c>
      <c r="K572" s="99">
        <v>50</v>
      </c>
      <c r="L572" s="100">
        <f t="shared" si="103"/>
        <v>0</v>
      </c>
      <c r="M572" s="100">
        <f t="shared" si="104"/>
        <v>0</v>
      </c>
      <c r="N572" s="100">
        <v>0</v>
      </c>
      <c r="O572" s="100">
        <f t="shared" si="105"/>
        <v>0</v>
      </c>
      <c r="P572" s="100">
        <f t="shared" si="106"/>
        <v>0</v>
      </c>
      <c r="Q572" s="124">
        <f t="shared" si="107"/>
        <v>0</v>
      </c>
      <c r="R572" s="114"/>
    </row>
    <row r="573" s="34" customFormat="1" ht="18" customHeight="1" spans="1:18">
      <c r="A573" s="61">
        <f>IF(F573&lt;&gt;"",1+MAX($A$2:A572),"")</f>
        <v>530</v>
      </c>
      <c r="B573" s="68"/>
      <c r="C573" s="147"/>
      <c r="D573" s="138" t="s">
        <v>615</v>
      </c>
      <c r="E573" s="76">
        <v>58</v>
      </c>
      <c r="F573" s="71">
        <v>0</v>
      </c>
      <c r="G573" s="66">
        <f t="shared" si="108"/>
        <v>58</v>
      </c>
      <c r="H573" s="70" t="s">
        <v>35</v>
      </c>
      <c r="I573" s="97">
        <v>0</v>
      </c>
      <c r="J573" s="98">
        <f t="shared" si="102"/>
        <v>0</v>
      </c>
      <c r="K573" s="99">
        <v>50</v>
      </c>
      <c r="L573" s="100">
        <f t="shared" si="103"/>
        <v>0</v>
      </c>
      <c r="M573" s="100">
        <f t="shared" si="104"/>
        <v>0</v>
      </c>
      <c r="N573" s="100">
        <v>0</v>
      </c>
      <c r="O573" s="100">
        <f t="shared" si="105"/>
        <v>0</v>
      </c>
      <c r="P573" s="100">
        <f t="shared" si="106"/>
        <v>0</v>
      </c>
      <c r="Q573" s="124">
        <f t="shared" si="107"/>
        <v>0</v>
      </c>
      <c r="R573" s="114"/>
    </row>
    <row r="574" s="34" customFormat="1" ht="18" customHeight="1" spans="1:18">
      <c r="A574" s="61">
        <f>IF(F574&lt;&gt;"",1+MAX($A$2:A573),"")</f>
        <v>531</v>
      </c>
      <c r="B574" s="68"/>
      <c r="C574" s="147"/>
      <c r="D574" s="138" t="s">
        <v>620</v>
      </c>
      <c r="E574" s="76">
        <v>1</v>
      </c>
      <c r="F574" s="71">
        <v>0</v>
      </c>
      <c r="G574" s="66">
        <f t="shared" si="108"/>
        <v>1</v>
      </c>
      <c r="H574" s="70" t="s">
        <v>35</v>
      </c>
      <c r="I574" s="97">
        <v>0</v>
      </c>
      <c r="J574" s="98">
        <f t="shared" si="102"/>
        <v>0</v>
      </c>
      <c r="K574" s="99">
        <v>50</v>
      </c>
      <c r="L574" s="100">
        <f t="shared" si="103"/>
        <v>0</v>
      </c>
      <c r="M574" s="100">
        <f t="shared" si="104"/>
        <v>0</v>
      </c>
      <c r="N574" s="100">
        <v>0</v>
      </c>
      <c r="O574" s="100">
        <f t="shared" si="105"/>
        <v>0</v>
      </c>
      <c r="P574" s="100">
        <f t="shared" si="106"/>
        <v>0</v>
      </c>
      <c r="Q574" s="124">
        <f t="shared" si="107"/>
        <v>0</v>
      </c>
      <c r="R574" s="114"/>
    </row>
    <row r="575" s="34" customFormat="1" ht="18" customHeight="1" spans="1:18">
      <c r="A575" s="61">
        <f>IF(F575&lt;&gt;"",1+MAX($A$2:A574),"")</f>
        <v>532</v>
      </c>
      <c r="B575" s="68"/>
      <c r="C575" s="147"/>
      <c r="D575" s="138" t="s">
        <v>616</v>
      </c>
      <c r="E575" s="76">
        <v>1</v>
      </c>
      <c r="F575" s="71">
        <v>0</v>
      </c>
      <c r="G575" s="66">
        <f t="shared" si="108"/>
        <v>1</v>
      </c>
      <c r="H575" s="70" t="s">
        <v>35</v>
      </c>
      <c r="I575" s="97">
        <v>0</v>
      </c>
      <c r="J575" s="98">
        <f t="shared" si="102"/>
        <v>0</v>
      </c>
      <c r="K575" s="99">
        <v>50</v>
      </c>
      <c r="L575" s="100">
        <f t="shared" si="103"/>
        <v>0</v>
      </c>
      <c r="M575" s="100">
        <f t="shared" si="104"/>
        <v>0</v>
      </c>
      <c r="N575" s="100">
        <v>0</v>
      </c>
      <c r="O575" s="100">
        <f t="shared" si="105"/>
        <v>0</v>
      </c>
      <c r="P575" s="100">
        <f t="shared" si="106"/>
        <v>0</v>
      </c>
      <c r="Q575" s="124">
        <f t="shared" si="107"/>
        <v>0</v>
      </c>
      <c r="R575" s="114"/>
    </row>
    <row r="576" s="34" customFormat="1" ht="18" customHeight="1" spans="1:18">
      <c r="A576" s="61">
        <f>IF(F576&lt;&gt;"",1+MAX($A$2:A575),"")</f>
        <v>533</v>
      </c>
      <c r="B576" s="68"/>
      <c r="C576" s="147"/>
      <c r="D576" s="138" t="s">
        <v>621</v>
      </c>
      <c r="E576" s="76">
        <v>2</v>
      </c>
      <c r="F576" s="71">
        <v>0</v>
      </c>
      <c r="G576" s="66">
        <f t="shared" si="108"/>
        <v>2</v>
      </c>
      <c r="H576" s="70" t="s">
        <v>35</v>
      </c>
      <c r="I576" s="97">
        <v>0</v>
      </c>
      <c r="J576" s="98">
        <f t="shared" si="102"/>
        <v>0</v>
      </c>
      <c r="K576" s="99">
        <v>50</v>
      </c>
      <c r="L576" s="100">
        <f t="shared" si="103"/>
        <v>0</v>
      </c>
      <c r="M576" s="100">
        <f t="shared" si="104"/>
        <v>0</v>
      </c>
      <c r="N576" s="100">
        <v>0</v>
      </c>
      <c r="O576" s="100">
        <f t="shared" si="105"/>
        <v>0</v>
      </c>
      <c r="P576" s="100">
        <f t="shared" si="106"/>
        <v>0</v>
      </c>
      <c r="Q576" s="124">
        <f t="shared" si="107"/>
        <v>0</v>
      </c>
      <c r="R576" s="114"/>
    </row>
    <row r="577" s="34" customFormat="1" ht="18" customHeight="1" spans="1:18">
      <c r="A577" s="67">
        <f>IF(F577&lt;&gt;"",1+MAX($A$2:A576),"")</f>
        <v>534</v>
      </c>
      <c r="B577" s="68"/>
      <c r="C577" s="147"/>
      <c r="D577" s="138" t="s">
        <v>622</v>
      </c>
      <c r="E577" s="76">
        <v>3</v>
      </c>
      <c r="F577" s="71">
        <v>0</v>
      </c>
      <c r="G577" s="66">
        <v>0</v>
      </c>
      <c r="H577" s="70" t="s">
        <v>35</v>
      </c>
      <c r="I577" s="97">
        <v>0</v>
      </c>
      <c r="J577" s="98">
        <f t="shared" si="102"/>
        <v>0</v>
      </c>
      <c r="K577" s="99">
        <v>50</v>
      </c>
      <c r="L577" s="100">
        <f t="shared" si="103"/>
        <v>0</v>
      </c>
      <c r="M577" s="100">
        <f t="shared" si="104"/>
        <v>0</v>
      </c>
      <c r="N577" s="100">
        <v>0</v>
      </c>
      <c r="O577" s="100">
        <f t="shared" si="105"/>
        <v>0</v>
      </c>
      <c r="P577" s="100">
        <f t="shared" si="106"/>
        <v>0</v>
      </c>
      <c r="Q577" s="124">
        <f t="shared" si="107"/>
        <v>0</v>
      </c>
      <c r="R577" s="114"/>
    </row>
    <row r="578" s="34" customFormat="1" ht="18" customHeight="1" spans="1:18">
      <c r="A578" s="61">
        <f>IF(F578&lt;&gt;"",1+MAX($A$2:A577),"")</f>
        <v>535</v>
      </c>
      <c r="B578" s="68"/>
      <c r="C578" s="147"/>
      <c r="D578" s="138" t="s">
        <v>617</v>
      </c>
      <c r="E578" s="76">
        <v>10</v>
      </c>
      <c r="F578" s="71">
        <v>0</v>
      </c>
      <c r="G578" s="66">
        <f t="shared" ref="G578:G584" si="109">(F578*E578)+E578</f>
        <v>10</v>
      </c>
      <c r="H578" s="70" t="s">
        <v>35</v>
      </c>
      <c r="I578" s="97">
        <v>0</v>
      </c>
      <c r="J578" s="98">
        <f t="shared" si="102"/>
        <v>0</v>
      </c>
      <c r="K578" s="99">
        <v>50</v>
      </c>
      <c r="L578" s="100">
        <f t="shared" si="103"/>
        <v>0</v>
      </c>
      <c r="M578" s="100">
        <f t="shared" si="104"/>
        <v>0</v>
      </c>
      <c r="N578" s="100">
        <v>0</v>
      </c>
      <c r="O578" s="100">
        <f t="shared" si="105"/>
        <v>0</v>
      </c>
      <c r="P578" s="100">
        <f t="shared" si="106"/>
        <v>0</v>
      </c>
      <c r="Q578" s="124">
        <f t="shared" si="107"/>
        <v>0</v>
      </c>
      <c r="R578" s="114"/>
    </row>
    <row r="579" s="34" customFormat="1" ht="18" customHeight="1" spans="1:18">
      <c r="A579" s="67">
        <f>IF(F579&lt;&gt;"",1+MAX($A$2:A578),"")</f>
        <v>536</v>
      </c>
      <c r="B579" s="68"/>
      <c r="C579" s="147"/>
      <c r="D579" s="138" t="s">
        <v>618</v>
      </c>
      <c r="E579" s="76">
        <v>10</v>
      </c>
      <c r="F579" s="71">
        <v>0</v>
      </c>
      <c r="G579" s="66">
        <f t="shared" si="109"/>
        <v>10</v>
      </c>
      <c r="H579" s="70" t="s">
        <v>35</v>
      </c>
      <c r="I579" s="97">
        <v>0</v>
      </c>
      <c r="J579" s="98">
        <f t="shared" si="102"/>
        <v>0</v>
      </c>
      <c r="K579" s="99">
        <v>50</v>
      </c>
      <c r="L579" s="100">
        <f t="shared" si="103"/>
        <v>0</v>
      </c>
      <c r="M579" s="100">
        <f t="shared" si="104"/>
        <v>0</v>
      </c>
      <c r="N579" s="100">
        <v>0</v>
      </c>
      <c r="O579" s="100">
        <f t="shared" si="105"/>
        <v>0</v>
      </c>
      <c r="P579" s="100">
        <f t="shared" si="106"/>
        <v>0</v>
      </c>
      <c r="Q579" s="124">
        <f t="shared" si="107"/>
        <v>0</v>
      </c>
      <c r="R579" s="114"/>
    </row>
    <row r="580" s="34" customFormat="1" ht="18" customHeight="1" spans="1:18">
      <c r="A580" s="67">
        <f>IF(F580&lt;&gt;"",1+MAX($A$2:A579),"")</f>
        <v>537</v>
      </c>
      <c r="B580" s="68"/>
      <c r="C580" s="147"/>
      <c r="D580" s="138" t="s">
        <v>623</v>
      </c>
      <c r="E580" s="76">
        <v>2</v>
      </c>
      <c r="F580" s="71">
        <v>0</v>
      </c>
      <c r="G580" s="66">
        <f t="shared" si="109"/>
        <v>2</v>
      </c>
      <c r="H580" s="70" t="s">
        <v>35</v>
      </c>
      <c r="I580" s="97">
        <v>0</v>
      </c>
      <c r="J580" s="98">
        <f t="shared" si="102"/>
        <v>0</v>
      </c>
      <c r="K580" s="99">
        <v>50</v>
      </c>
      <c r="L580" s="100">
        <f t="shared" si="103"/>
        <v>0</v>
      </c>
      <c r="M580" s="100">
        <f t="shared" si="104"/>
        <v>0</v>
      </c>
      <c r="N580" s="100">
        <v>0</v>
      </c>
      <c r="O580" s="100">
        <f t="shared" si="105"/>
        <v>0</v>
      </c>
      <c r="P580" s="100">
        <f t="shared" si="106"/>
        <v>0</v>
      </c>
      <c r="Q580" s="124">
        <f t="shared" si="107"/>
        <v>0</v>
      </c>
      <c r="R580" s="114"/>
    </row>
    <row r="581" s="34" customFormat="1" spans="1:18">
      <c r="A581" s="61">
        <f>IF(F581&lt;&gt;"",1+MAX($A$2:A580),"")</f>
        <v>538</v>
      </c>
      <c r="B581" s="68"/>
      <c r="C581" s="147"/>
      <c r="D581" s="138" t="s">
        <v>53</v>
      </c>
      <c r="E581" s="76">
        <v>11</v>
      </c>
      <c r="F581" s="71">
        <v>0</v>
      </c>
      <c r="G581" s="66">
        <f t="shared" si="109"/>
        <v>11</v>
      </c>
      <c r="H581" s="70" t="s">
        <v>35</v>
      </c>
      <c r="I581" s="97">
        <v>0</v>
      </c>
      <c r="J581" s="98">
        <f t="shared" si="102"/>
        <v>0</v>
      </c>
      <c r="K581" s="99">
        <v>50</v>
      </c>
      <c r="L581" s="100">
        <f t="shared" si="103"/>
        <v>0</v>
      </c>
      <c r="M581" s="100">
        <f t="shared" si="104"/>
        <v>0</v>
      </c>
      <c r="N581" s="100">
        <v>0</v>
      </c>
      <c r="O581" s="100">
        <f t="shared" si="105"/>
        <v>0</v>
      </c>
      <c r="P581" s="100">
        <f t="shared" si="106"/>
        <v>0</v>
      </c>
      <c r="Q581" s="124">
        <f t="shared" si="107"/>
        <v>0</v>
      </c>
      <c r="R581" s="114"/>
    </row>
    <row r="582" s="34" customFormat="1" spans="1:18">
      <c r="A582" s="61">
        <f>IF(F582&lt;&gt;"",1+MAX($A$2:A581),"")</f>
        <v>539</v>
      </c>
      <c r="B582" s="68"/>
      <c r="C582" s="147"/>
      <c r="D582" s="138" t="s">
        <v>615</v>
      </c>
      <c r="E582" s="76">
        <v>74</v>
      </c>
      <c r="F582" s="71">
        <v>0</v>
      </c>
      <c r="G582" s="66">
        <f t="shared" si="109"/>
        <v>74</v>
      </c>
      <c r="H582" s="70" t="s">
        <v>35</v>
      </c>
      <c r="I582" s="97">
        <v>0</v>
      </c>
      <c r="J582" s="98">
        <f t="shared" si="102"/>
        <v>0</v>
      </c>
      <c r="K582" s="99">
        <v>50</v>
      </c>
      <c r="L582" s="100">
        <f t="shared" si="103"/>
        <v>0</v>
      </c>
      <c r="M582" s="100">
        <f t="shared" si="104"/>
        <v>0</v>
      </c>
      <c r="N582" s="100">
        <v>0</v>
      </c>
      <c r="O582" s="100">
        <f t="shared" si="105"/>
        <v>0</v>
      </c>
      <c r="P582" s="100">
        <f t="shared" si="106"/>
        <v>0</v>
      </c>
      <c r="Q582" s="124">
        <f t="shared" si="107"/>
        <v>0</v>
      </c>
      <c r="R582" s="114"/>
    </row>
    <row r="583" s="34" customFormat="1" spans="1:18">
      <c r="A583" s="61">
        <f>IF(F583&lt;&gt;"",1+MAX($A$2:A582),"")</f>
        <v>540</v>
      </c>
      <c r="B583" s="68"/>
      <c r="C583" s="147"/>
      <c r="D583" s="138" t="s">
        <v>616</v>
      </c>
      <c r="E583" s="76">
        <v>5</v>
      </c>
      <c r="F583" s="71">
        <v>0</v>
      </c>
      <c r="G583" s="66">
        <f t="shared" si="109"/>
        <v>5</v>
      </c>
      <c r="H583" s="70" t="s">
        <v>35</v>
      </c>
      <c r="I583" s="97">
        <v>0</v>
      </c>
      <c r="J583" s="98">
        <f t="shared" si="102"/>
        <v>0</v>
      </c>
      <c r="K583" s="99">
        <v>50</v>
      </c>
      <c r="L583" s="100">
        <f t="shared" si="103"/>
        <v>0</v>
      </c>
      <c r="M583" s="100">
        <f t="shared" si="104"/>
        <v>0</v>
      </c>
      <c r="N583" s="100">
        <v>0</v>
      </c>
      <c r="O583" s="100">
        <f t="shared" si="105"/>
        <v>0</v>
      </c>
      <c r="P583" s="100">
        <f t="shared" si="106"/>
        <v>0</v>
      </c>
      <c r="Q583" s="124">
        <f t="shared" si="107"/>
        <v>0</v>
      </c>
      <c r="R583" s="114"/>
    </row>
    <row r="584" s="34" customFormat="1" spans="1:18">
      <c r="A584" s="61">
        <f>IF(F584&lt;&gt;"",1+MAX($A$2:A583),"")</f>
        <v>541</v>
      </c>
      <c r="B584" s="68"/>
      <c r="C584" s="147"/>
      <c r="D584" s="138" t="s">
        <v>621</v>
      </c>
      <c r="E584" s="76">
        <v>3</v>
      </c>
      <c r="F584" s="71">
        <v>0</v>
      </c>
      <c r="G584" s="66">
        <f t="shared" si="109"/>
        <v>3</v>
      </c>
      <c r="H584" s="70" t="s">
        <v>35</v>
      </c>
      <c r="I584" s="97">
        <v>0</v>
      </c>
      <c r="J584" s="98">
        <f t="shared" si="102"/>
        <v>0</v>
      </c>
      <c r="K584" s="99">
        <v>50</v>
      </c>
      <c r="L584" s="100">
        <f t="shared" si="103"/>
        <v>0</v>
      </c>
      <c r="M584" s="100">
        <f t="shared" si="104"/>
        <v>0</v>
      </c>
      <c r="N584" s="100">
        <v>0</v>
      </c>
      <c r="O584" s="100">
        <f t="shared" si="105"/>
        <v>0</v>
      </c>
      <c r="P584" s="100">
        <f t="shared" si="106"/>
        <v>0</v>
      </c>
      <c r="Q584" s="124">
        <f t="shared" si="107"/>
        <v>0</v>
      </c>
      <c r="R584" s="114"/>
    </row>
    <row r="585" s="34" customFormat="1" spans="1:18">
      <c r="A585" s="61">
        <f>IF(F585&lt;&gt;"",1+MAX($A$2:A584),"")</f>
        <v>542</v>
      </c>
      <c r="B585" s="68"/>
      <c r="C585" s="147"/>
      <c r="D585" s="138" t="s">
        <v>622</v>
      </c>
      <c r="E585" s="76">
        <v>3</v>
      </c>
      <c r="F585" s="71">
        <v>0</v>
      </c>
      <c r="G585" s="66">
        <v>0</v>
      </c>
      <c r="H585" s="70" t="s">
        <v>35</v>
      </c>
      <c r="I585" s="97">
        <v>0</v>
      </c>
      <c r="J585" s="98">
        <f t="shared" si="102"/>
        <v>0</v>
      </c>
      <c r="K585" s="99">
        <v>50</v>
      </c>
      <c r="L585" s="100">
        <f t="shared" si="103"/>
        <v>0</v>
      </c>
      <c r="M585" s="100">
        <f t="shared" si="104"/>
        <v>0</v>
      </c>
      <c r="N585" s="100">
        <v>0</v>
      </c>
      <c r="O585" s="100">
        <f t="shared" si="105"/>
        <v>0</v>
      </c>
      <c r="P585" s="100">
        <f t="shared" si="106"/>
        <v>0</v>
      </c>
      <c r="Q585" s="124">
        <f t="shared" si="107"/>
        <v>0</v>
      </c>
      <c r="R585" s="114"/>
    </row>
    <row r="586" s="34" customFormat="1" spans="1:18">
      <c r="A586" s="61">
        <f>IF(F586&lt;&gt;"",1+MAX($A$2:A585),"")</f>
        <v>543</v>
      </c>
      <c r="B586" s="68"/>
      <c r="C586" s="147"/>
      <c r="D586" s="138" t="s">
        <v>617</v>
      </c>
      <c r="E586" s="76">
        <v>3</v>
      </c>
      <c r="F586" s="71">
        <v>0</v>
      </c>
      <c r="G586" s="66">
        <f t="shared" ref="G586:G591" si="110">(F586*E586)+E586</f>
        <v>3</v>
      </c>
      <c r="H586" s="70" t="s">
        <v>35</v>
      </c>
      <c r="I586" s="97">
        <v>0</v>
      </c>
      <c r="J586" s="98">
        <f t="shared" si="102"/>
        <v>0</v>
      </c>
      <c r="K586" s="99">
        <v>50</v>
      </c>
      <c r="L586" s="100">
        <f t="shared" si="103"/>
        <v>0</v>
      </c>
      <c r="M586" s="100">
        <f t="shared" si="104"/>
        <v>0</v>
      </c>
      <c r="N586" s="100">
        <v>0</v>
      </c>
      <c r="O586" s="100">
        <f t="shared" si="105"/>
        <v>0</v>
      </c>
      <c r="P586" s="100">
        <f t="shared" si="106"/>
        <v>0</v>
      </c>
      <c r="Q586" s="124">
        <f t="shared" si="107"/>
        <v>0</v>
      </c>
      <c r="R586" s="114"/>
    </row>
    <row r="587" s="34" customFormat="1" spans="1:18">
      <c r="A587" s="61">
        <f>IF(F587&lt;&gt;"",1+MAX($A$2:A586),"")</f>
        <v>544</v>
      </c>
      <c r="B587" s="68"/>
      <c r="C587" s="147"/>
      <c r="D587" s="138" t="s">
        <v>618</v>
      </c>
      <c r="E587" s="76">
        <v>15</v>
      </c>
      <c r="F587" s="71">
        <v>0</v>
      </c>
      <c r="G587" s="66">
        <f t="shared" si="110"/>
        <v>15</v>
      </c>
      <c r="H587" s="70" t="s">
        <v>35</v>
      </c>
      <c r="I587" s="97">
        <v>0</v>
      </c>
      <c r="J587" s="98">
        <f t="shared" si="102"/>
        <v>0</v>
      </c>
      <c r="K587" s="99">
        <v>50</v>
      </c>
      <c r="L587" s="100">
        <f t="shared" si="103"/>
        <v>0</v>
      </c>
      <c r="M587" s="100">
        <f t="shared" si="104"/>
        <v>0</v>
      </c>
      <c r="N587" s="100">
        <v>0</v>
      </c>
      <c r="O587" s="100">
        <f t="shared" si="105"/>
        <v>0</v>
      </c>
      <c r="P587" s="100">
        <f t="shared" si="106"/>
        <v>0</v>
      </c>
      <c r="Q587" s="124">
        <f t="shared" si="107"/>
        <v>0</v>
      </c>
      <c r="R587" s="114"/>
    </row>
    <row r="588" s="34" customFormat="1" ht="18" customHeight="1" spans="1:18">
      <c r="A588" s="61">
        <f>IF(F588&lt;&gt;"",1+MAX($A$2:A587),"")</f>
        <v>545</v>
      </c>
      <c r="B588" s="68"/>
      <c r="C588" s="147"/>
      <c r="D588" s="138" t="s">
        <v>53</v>
      </c>
      <c r="E588" s="76">
        <v>6</v>
      </c>
      <c r="F588" s="71">
        <v>0</v>
      </c>
      <c r="G588" s="66">
        <f t="shared" si="110"/>
        <v>6</v>
      </c>
      <c r="H588" s="70" t="s">
        <v>35</v>
      </c>
      <c r="I588" s="97">
        <v>0</v>
      </c>
      <c r="J588" s="98">
        <f t="shared" si="102"/>
        <v>0</v>
      </c>
      <c r="K588" s="99">
        <v>50</v>
      </c>
      <c r="L588" s="100">
        <f t="shared" si="103"/>
        <v>0</v>
      </c>
      <c r="M588" s="100">
        <f t="shared" si="104"/>
        <v>0</v>
      </c>
      <c r="N588" s="100">
        <v>0</v>
      </c>
      <c r="O588" s="100">
        <f t="shared" si="105"/>
        <v>0</v>
      </c>
      <c r="P588" s="100">
        <f t="shared" si="106"/>
        <v>0</v>
      </c>
      <c r="Q588" s="124">
        <f t="shared" si="107"/>
        <v>0</v>
      </c>
      <c r="R588" s="114"/>
    </row>
    <row r="589" s="34" customFormat="1" ht="18" customHeight="1" spans="1:18">
      <c r="A589" s="67">
        <f>IF(F589&lt;&gt;"",1+MAX($A$2:A588),"")</f>
        <v>546</v>
      </c>
      <c r="B589" s="68"/>
      <c r="C589" s="147"/>
      <c r="D589" s="138" t="s">
        <v>615</v>
      </c>
      <c r="E589" s="76">
        <v>68</v>
      </c>
      <c r="F589" s="71">
        <v>0</v>
      </c>
      <c r="G589" s="66">
        <f t="shared" si="110"/>
        <v>68</v>
      </c>
      <c r="H589" s="70" t="s">
        <v>35</v>
      </c>
      <c r="I589" s="97">
        <v>0</v>
      </c>
      <c r="J589" s="98">
        <f t="shared" si="102"/>
        <v>0</v>
      </c>
      <c r="K589" s="99">
        <v>50</v>
      </c>
      <c r="L589" s="100">
        <f t="shared" si="103"/>
        <v>0</v>
      </c>
      <c r="M589" s="100">
        <f t="shared" si="104"/>
        <v>0</v>
      </c>
      <c r="N589" s="100">
        <v>0</v>
      </c>
      <c r="O589" s="100">
        <f t="shared" si="105"/>
        <v>0</v>
      </c>
      <c r="P589" s="100">
        <f t="shared" si="106"/>
        <v>0</v>
      </c>
      <c r="Q589" s="124">
        <f t="shared" si="107"/>
        <v>0</v>
      </c>
      <c r="R589" s="114"/>
    </row>
    <row r="590" s="34" customFormat="1" ht="18" customHeight="1" spans="1:18">
      <c r="A590" s="67">
        <f>IF(F590&lt;&gt;"",1+MAX($A$2:A589),"")</f>
        <v>547</v>
      </c>
      <c r="B590" s="68"/>
      <c r="C590" s="147"/>
      <c r="D590" s="138" t="s">
        <v>624</v>
      </c>
      <c r="E590" s="76">
        <v>1</v>
      </c>
      <c r="F590" s="71">
        <v>0</v>
      </c>
      <c r="G590" s="66">
        <f t="shared" si="110"/>
        <v>1</v>
      </c>
      <c r="H590" s="70" t="s">
        <v>35</v>
      </c>
      <c r="I590" s="97">
        <v>0</v>
      </c>
      <c r="J590" s="98">
        <f t="shared" si="102"/>
        <v>0</v>
      </c>
      <c r="K590" s="99">
        <v>50</v>
      </c>
      <c r="L590" s="100">
        <f t="shared" si="103"/>
        <v>0</v>
      </c>
      <c r="M590" s="100">
        <f t="shared" si="104"/>
        <v>0</v>
      </c>
      <c r="N590" s="100">
        <v>0</v>
      </c>
      <c r="O590" s="100">
        <f t="shared" si="105"/>
        <v>0</v>
      </c>
      <c r="P590" s="100">
        <f t="shared" si="106"/>
        <v>0</v>
      </c>
      <c r="Q590" s="124">
        <f t="shared" si="107"/>
        <v>0</v>
      </c>
      <c r="R590" s="114"/>
    </row>
    <row r="591" s="34" customFormat="1" ht="18" customHeight="1" spans="1:18">
      <c r="A591" s="67">
        <f>IF(F591&lt;&gt;"",1+MAX($A$2:A590),"")</f>
        <v>548</v>
      </c>
      <c r="B591" s="68"/>
      <c r="C591" s="147"/>
      <c r="D591" s="138" t="s">
        <v>625</v>
      </c>
      <c r="E591" s="76">
        <v>5</v>
      </c>
      <c r="F591" s="71">
        <v>0</v>
      </c>
      <c r="G591" s="66">
        <f t="shared" si="110"/>
        <v>5</v>
      </c>
      <c r="H591" s="70" t="s">
        <v>35</v>
      </c>
      <c r="I591" s="97">
        <v>0</v>
      </c>
      <c r="J591" s="98">
        <f t="shared" si="102"/>
        <v>0</v>
      </c>
      <c r="K591" s="99">
        <v>50</v>
      </c>
      <c r="L591" s="100">
        <f t="shared" si="103"/>
        <v>0</v>
      </c>
      <c r="M591" s="100">
        <f t="shared" si="104"/>
        <v>0</v>
      </c>
      <c r="N591" s="100">
        <v>0</v>
      </c>
      <c r="O591" s="100">
        <f t="shared" si="105"/>
        <v>0</v>
      </c>
      <c r="P591" s="100">
        <f t="shared" si="106"/>
        <v>0</v>
      </c>
      <c r="Q591" s="124">
        <f t="shared" si="107"/>
        <v>0</v>
      </c>
      <c r="R591" s="114"/>
    </row>
    <row r="592" s="34" customFormat="1" ht="18" customHeight="1" spans="1:18">
      <c r="A592" s="67">
        <f>IF(F592&lt;&gt;"",1+MAX($A$2:A591),"")</f>
        <v>549</v>
      </c>
      <c r="B592" s="68"/>
      <c r="C592" s="147"/>
      <c r="D592" s="138" t="s">
        <v>621</v>
      </c>
      <c r="E592" s="76">
        <v>2</v>
      </c>
      <c r="F592" s="71">
        <v>0</v>
      </c>
      <c r="G592" s="66">
        <v>0</v>
      </c>
      <c r="H592" s="70" t="s">
        <v>35</v>
      </c>
      <c r="I592" s="97">
        <v>0</v>
      </c>
      <c r="J592" s="98">
        <f t="shared" si="102"/>
        <v>0</v>
      </c>
      <c r="K592" s="99">
        <v>50</v>
      </c>
      <c r="L592" s="100">
        <f t="shared" si="103"/>
        <v>0</v>
      </c>
      <c r="M592" s="100">
        <f t="shared" si="104"/>
        <v>0</v>
      </c>
      <c r="N592" s="100">
        <v>0</v>
      </c>
      <c r="O592" s="100">
        <f t="shared" si="105"/>
        <v>0</v>
      </c>
      <c r="P592" s="100">
        <f t="shared" si="106"/>
        <v>0</v>
      </c>
      <c r="Q592" s="124">
        <f t="shared" si="107"/>
        <v>0</v>
      </c>
      <c r="R592" s="114"/>
    </row>
    <row r="593" s="34" customFormat="1" ht="18" customHeight="1" spans="1:18">
      <c r="A593" s="61">
        <f>IF(F593&lt;&gt;"",1+MAX($A$2:A592),"")</f>
        <v>550</v>
      </c>
      <c r="B593" s="68"/>
      <c r="C593" s="147"/>
      <c r="D593" s="138" t="s">
        <v>622</v>
      </c>
      <c r="E593" s="76">
        <v>2</v>
      </c>
      <c r="F593" s="71">
        <v>0</v>
      </c>
      <c r="G593" s="66">
        <f t="shared" ref="G593:G598" si="111">(F593*E593)+E593</f>
        <v>2</v>
      </c>
      <c r="H593" s="70" t="s">
        <v>35</v>
      </c>
      <c r="I593" s="97">
        <v>0</v>
      </c>
      <c r="J593" s="98">
        <f t="shared" si="102"/>
        <v>0</v>
      </c>
      <c r="K593" s="99">
        <v>50</v>
      </c>
      <c r="L593" s="100">
        <f t="shared" si="103"/>
        <v>0</v>
      </c>
      <c r="M593" s="100">
        <f t="shared" si="104"/>
        <v>0</v>
      </c>
      <c r="N593" s="100">
        <v>0</v>
      </c>
      <c r="O593" s="100">
        <f t="shared" si="105"/>
        <v>0</v>
      </c>
      <c r="P593" s="100">
        <f t="shared" si="106"/>
        <v>0</v>
      </c>
      <c r="Q593" s="124">
        <f t="shared" si="107"/>
        <v>0</v>
      </c>
      <c r="R593" s="114"/>
    </row>
    <row r="594" s="34" customFormat="1" ht="18" customHeight="1" spans="1:18">
      <c r="A594" s="67">
        <f>IF(F594&lt;&gt;"",1+MAX($A$2:A593),"")</f>
        <v>551</v>
      </c>
      <c r="B594" s="68"/>
      <c r="C594" s="147"/>
      <c r="D594" s="138" t="s">
        <v>617</v>
      </c>
      <c r="E594" s="76">
        <v>2</v>
      </c>
      <c r="F594" s="71">
        <v>0</v>
      </c>
      <c r="G594" s="66">
        <f t="shared" si="111"/>
        <v>2</v>
      </c>
      <c r="H594" s="70" t="s">
        <v>35</v>
      </c>
      <c r="I594" s="97">
        <v>0</v>
      </c>
      <c r="J594" s="98">
        <f t="shared" si="102"/>
        <v>0</v>
      </c>
      <c r="K594" s="99">
        <v>50</v>
      </c>
      <c r="L594" s="100">
        <f t="shared" si="103"/>
        <v>0</v>
      </c>
      <c r="M594" s="100">
        <f t="shared" si="104"/>
        <v>0</v>
      </c>
      <c r="N594" s="100">
        <v>0</v>
      </c>
      <c r="O594" s="100">
        <f t="shared" si="105"/>
        <v>0</v>
      </c>
      <c r="P594" s="100">
        <f t="shared" si="106"/>
        <v>0</v>
      </c>
      <c r="Q594" s="124">
        <f t="shared" si="107"/>
        <v>0</v>
      </c>
      <c r="R594" s="114"/>
    </row>
    <row r="595" s="34" customFormat="1" ht="18" customHeight="1" spans="1:18">
      <c r="A595" s="61">
        <f>IF(F595&lt;&gt;"",1+MAX($A$2:A594),"")</f>
        <v>552</v>
      </c>
      <c r="B595" s="68"/>
      <c r="C595" s="68"/>
      <c r="D595" s="69" t="s">
        <v>53</v>
      </c>
      <c r="E595" s="70">
        <v>62</v>
      </c>
      <c r="F595" s="71">
        <v>0</v>
      </c>
      <c r="G595" s="66">
        <f t="shared" si="111"/>
        <v>62</v>
      </c>
      <c r="H595" s="70" t="s">
        <v>35</v>
      </c>
      <c r="I595" s="97">
        <v>0</v>
      </c>
      <c r="J595" s="98">
        <f t="shared" si="102"/>
        <v>0</v>
      </c>
      <c r="K595" s="99">
        <v>50</v>
      </c>
      <c r="L595" s="100">
        <f t="shared" si="103"/>
        <v>0</v>
      </c>
      <c r="M595" s="100">
        <f t="shared" si="104"/>
        <v>0</v>
      </c>
      <c r="N595" s="100">
        <v>0</v>
      </c>
      <c r="O595" s="100">
        <f t="shared" si="105"/>
        <v>0</v>
      </c>
      <c r="P595" s="100">
        <f t="shared" si="106"/>
        <v>0</v>
      </c>
      <c r="Q595" s="124">
        <f t="shared" si="107"/>
        <v>0</v>
      </c>
      <c r="R595" s="114"/>
    </row>
    <row r="596" s="34" customFormat="1" ht="18" customHeight="1" spans="1:18">
      <c r="A596" s="67">
        <f>IF(F596&lt;&gt;"",1+MAX($A$2:A595),"")</f>
        <v>553</v>
      </c>
      <c r="B596" s="68"/>
      <c r="C596" s="68"/>
      <c r="D596" s="69" t="s">
        <v>615</v>
      </c>
      <c r="E596" s="70">
        <v>176</v>
      </c>
      <c r="F596" s="71">
        <v>0</v>
      </c>
      <c r="G596" s="66">
        <f t="shared" si="111"/>
        <v>176</v>
      </c>
      <c r="H596" s="70" t="s">
        <v>35</v>
      </c>
      <c r="I596" s="97">
        <v>0</v>
      </c>
      <c r="J596" s="98">
        <f t="shared" si="102"/>
        <v>0</v>
      </c>
      <c r="K596" s="99">
        <v>50</v>
      </c>
      <c r="L596" s="100">
        <f t="shared" si="103"/>
        <v>0</v>
      </c>
      <c r="M596" s="100">
        <f t="shared" si="104"/>
        <v>0</v>
      </c>
      <c r="N596" s="100">
        <v>0</v>
      </c>
      <c r="O596" s="100">
        <f t="shared" si="105"/>
        <v>0</v>
      </c>
      <c r="P596" s="100">
        <f t="shared" si="106"/>
        <v>0</v>
      </c>
      <c r="Q596" s="124">
        <f t="shared" si="107"/>
        <v>0</v>
      </c>
      <c r="R596" s="114"/>
    </row>
    <row r="597" s="34" customFormat="1" ht="18" customHeight="1" spans="1:18">
      <c r="A597" s="67">
        <f>IF(F597&lt;&gt;"",1+MAX($A$2:A596),"")</f>
        <v>554</v>
      </c>
      <c r="B597" s="68"/>
      <c r="C597" s="68"/>
      <c r="D597" s="69" t="s">
        <v>616</v>
      </c>
      <c r="E597" s="70">
        <v>3</v>
      </c>
      <c r="F597" s="71">
        <v>0</v>
      </c>
      <c r="G597" s="66">
        <f t="shared" si="111"/>
        <v>3</v>
      </c>
      <c r="H597" s="70" t="s">
        <v>35</v>
      </c>
      <c r="I597" s="97">
        <v>0</v>
      </c>
      <c r="J597" s="98">
        <f t="shared" si="102"/>
        <v>0</v>
      </c>
      <c r="K597" s="99">
        <v>50</v>
      </c>
      <c r="L597" s="100">
        <f t="shared" si="103"/>
        <v>0</v>
      </c>
      <c r="M597" s="100">
        <f t="shared" si="104"/>
        <v>0</v>
      </c>
      <c r="N597" s="100">
        <v>0</v>
      </c>
      <c r="O597" s="100">
        <f t="shared" si="105"/>
        <v>0</v>
      </c>
      <c r="P597" s="100">
        <f t="shared" si="106"/>
        <v>0</v>
      </c>
      <c r="Q597" s="124">
        <f t="shared" si="107"/>
        <v>0</v>
      </c>
      <c r="R597" s="114"/>
    </row>
    <row r="598" s="34" customFormat="1" ht="18" customHeight="1" spans="1:18">
      <c r="A598" s="67">
        <f>IF(F598&lt;&gt;"",1+MAX($A$2:A597),"")</f>
        <v>555</v>
      </c>
      <c r="B598" s="68"/>
      <c r="C598" s="68"/>
      <c r="D598" s="69" t="s">
        <v>626</v>
      </c>
      <c r="E598" s="70">
        <v>1</v>
      </c>
      <c r="F598" s="71">
        <v>0</v>
      </c>
      <c r="G598" s="66">
        <f t="shared" si="111"/>
        <v>1</v>
      </c>
      <c r="H598" s="70" t="s">
        <v>35</v>
      </c>
      <c r="I598" s="97">
        <v>0</v>
      </c>
      <c r="J598" s="98">
        <f t="shared" si="102"/>
        <v>0</v>
      </c>
      <c r="K598" s="99">
        <v>50</v>
      </c>
      <c r="L598" s="100">
        <f t="shared" si="103"/>
        <v>0</v>
      </c>
      <c r="M598" s="100">
        <f t="shared" si="104"/>
        <v>0</v>
      </c>
      <c r="N598" s="100">
        <v>0</v>
      </c>
      <c r="O598" s="100">
        <f t="shared" si="105"/>
        <v>0</v>
      </c>
      <c r="P598" s="100">
        <f t="shared" si="106"/>
        <v>0</v>
      </c>
      <c r="Q598" s="124">
        <f t="shared" si="107"/>
        <v>0</v>
      </c>
      <c r="R598" s="114"/>
    </row>
    <row r="599" s="34" customFormat="1" ht="18" customHeight="1" spans="1:18">
      <c r="A599" s="67">
        <f>IF(F599&lt;&gt;"",1+MAX($A$2:A598),"")</f>
        <v>556</v>
      </c>
      <c r="B599" s="68"/>
      <c r="C599" s="68"/>
      <c r="D599" s="69" t="s">
        <v>627</v>
      </c>
      <c r="E599" s="70">
        <v>2</v>
      </c>
      <c r="F599" s="71">
        <v>0</v>
      </c>
      <c r="G599" s="66">
        <v>0</v>
      </c>
      <c r="H599" s="70" t="s">
        <v>35</v>
      </c>
      <c r="I599" s="97">
        <v>0</v>
      </c>
      <c r="J599" s="98">
        <f t="shared" si="102"/>
        <v>0</v>
      </c>
      <c r="K599" s="99">
        <v>50</v>
      </c>
      <c r="L599" s="100">
        <f t="shared" si="103"/>
        <v>0</v>
      </c>
      <c r="M599" s="100">
        <f t="shared" si="104"/>
        <v>0</v>
      </c>
      <c r="N599" s="100">
        <v>0</v>
      </c>
      <c r="O599" s="100">
        <f t="shared" si="105"/>
        <v>0</v>
      </c>
      <c r="P599" s="100">
        <f t="shared" si="106"/>
        <v>0</v>
      </c>
      <c r="Q599" s="124">
        <f t="shared" si="107"/>
        <v>0</v>
      </c>
      <c r="R599" s="114"/>
    </row>
    <row r="600" s="34" customFormat="1" ht="18" customHeight="1" spans="1:18">
      <c r="A600" s="61">
        <f>IF(F600&lt;&gt;"",1+MAX($A$2:A599),"")</f>
        <v>557</v>
      </c>
      <c r="B600" s="68"/>
      <c r="C600" s="68"/>
      <c r="D600" s="69" t="s">
        <v>628</v>
      </c>
      <c r="E600" s="70">
        <v>2</v>
      </c>
      <c r="F600" s="71">
        <v>0</v>
      </c>
      <c r="G600" s="66">
        <f t="shared" ref="G600:G605" si="112">(F600*E600)+E600</f>
        <v>2</v>
      </c>
      <c r="H600" s="70" t="s">
        <v>35</v>
      </c>
      <c r="I600" s="97">
        <v>0</v>
      </c>
      <c r="J600" s="98">
        <f t="shared" si="102"/>
        <v>0</v>
      </c>
      <c r="K600" s="99">
        <v>50</v>
      </c>
      <c r="L600" s="100">
        <f t="shared" si="103"/>
        <v>0</v>
      </c>
      <c r="M600" s="100">
        <f t="shared" si="104"/>
        <v>0</v>
      </c>
      <c r="N600" s="100">
        <v>0</v>
      </c>
      <c r="O600" s="100">
        <f t="shared" si="105"/>
        <v>0</v>
      </c>
      <c r="P600" s="100">
        <f t="shared" si="106"/>
        <v>0</v>
      </c>
      <c r="Q600" s="124">
        <f t="shared" si="107"/>
        <v>0</v>
      </c>
      <c r="R600" s="114"/>
    </row>
    <row r="601" s="34" customFormat="1" ht="18" customHeight="1" spans="1:18">
      <c r="A601" s="67">
        <f>IF(F601&lt;&gt;"",1+MAX($A$2:A600),"")</f>
        <v>558</v>
      </c>
      <c r="B601" s="68"/>
      <c r="C601" s="68"/>
      <c r="D601" s="69" t="s">
        <v>56</v>
      </c>
      <c r="E601" s="70">
        <v>1</v>
      </c>
      <c r="F601" s="71">
        <v>0</v>
      </c>
      <c r="G601" s="66">
        <f t="shared" si="112"/>
        <v>1</v>
      </c>
      <c r="H601" s="70" t="s">
        <v>35</v>
      </c>
      <c r="I601" s="97">
        <v>0</v>
      </c>
      <c r="J601" s="98">
        <f t="shared" si="102"/>
        <v>0</v>
      </c>
      <c r="K601" s="99">
        <v>50</v>
      </c>
      <c r="L601" s="100">
        <f t="shared" si="103"/>
        <v>0</v>
      </c>
      <c r="M601" s="100">
        <f t="shared" si="104"/>
        <v>0</v>
      </c>
      <c r="N601" s="100">
        <v>0</v>
      </c>
      <c r="O601" s="100">
        <f t="shared" si="105"/>
        <v>0</v>
      </c>
      <c r="P601" s="100">
        <f t="shared" si="106"/>
        <v>0</v>
      </c>
      <c r="Q601" s="124">
        <f t="shared" si="107"/>
        <v>0</v>
      </c>
      <c r="R601" s="114"/>
    </row>
    <row r="602" s="34" customFormat="1" ht="18" customHeight="1" spans="1:18">
      <c r="A602" s="61">
        <f>IF(F602&lt;&gt;"",1+MAX($A$2:A601),"")</f>
        <v>559</v>
      </c>
      <c r="B602" s="68"/>
      <c r="C602" s="68"/>
      <c r="D602" s="69" t="s">
        <v>57</v>
      </c>
      <c r="E602" s="70">
        <v>1</v>
      </c>
      <c r="F602" s="71">
        <v>0</v>
      </c>
      <c r="G602" s="66">
        <f t="shared" si="112"/>
        <v>1</v>
      </c>
      <c r="H602" s="70" t="s">
        <v>35</v>
      </c>
      <c r="I602" s="97">
        <v>0</v>
      </c>
      <c r="J602" s="98">
        <f t="shared" si="102"/>
        <v>0</v>
      </c>
      <c r="K602" s="99">
        <v>50</v>
      </c>
      <c r="L602" s="100">
        <f t="shared" si="103"/>
        <v>0</v>
      </c>
      <c r="M602" s="100">
        <f t="shared" si="104"/>
        <v>0</v>
      </c>
      <c r="N602" s="100">
        <v>0</v>
      </c>
      <c r="O602" s="100">
        <f t="shared" si="105"/>
        <v>0</v>
      </c>
      <c r="P602" s="100">
        <f t="shared" si="106"/>
        <v>0</v>
      </c>
      <c r="Q602" s="124">
        <f t="shared" si="107"/>
        <v>0</v>
      </c>
      <c r="R602" s="114"/>
    </row>
    <row r="603" s="34" customFormat="1" ht="18" customHeight="1" spans="1:18">
      <c r="A603" s="67">
        <f>IF(F603&lt;&gt;"",1+MAX($A$2:A602),"")</f>
        <v>560</v>
      </c>
      <c r="B603" s="68"/>
      <c r="C603" s="68"/>
      <c r="D603" s="69" t="s">
        <v>621</v>
      </c>
      <c r="E603" s="70">
        <v>9</v>
      </c>
      <c r="F603" s="71">
        <v>0</v>
      </c>
      <c r="G603" s="66">
        <f t="shared" si="112"/>
        <v>9</v>
      </c>
      <c r="H603" s="70" t="s">
        <v>35</v>
      </c>
      <c r="I603" s="97">
        <v>0</v>
      </c>
      <c r="J603" s="98">
        <f t="shared" si="102"/>
        <v>0</v>
      </c>
      <c r="K603" s="99">
        <v>50</v>
      </c>
      <c r="L603" s="100">
        <f t="shared" si="103"/>
        <v>0</v>
      </c>
      <c r="M603" s="100">
        <f t="shared" si="104"/>
        <v>0</v>
      </c>
      <c r="N603" s="100">
        <v>0</v>
      </c>
      <c r="O603" s="100">
        <f t="shared" si="105"/>
        <v>0</v>
      </c>
      <c r="P603" s="100">
        <f t="shared" si="106"/>
        <v>0</v>
      </c>
      <c r="Q603" s="124">
        <f t="shared" si="107"/>
        <v>0</v>
      </c>
      <c r="R603" s="114"/>
    </row>
    <row r="604" s="34" customFormat="1" ht="18" customHeight="1" spans="1:18">
      <c r="A604" s="67">
        <f>IF(F604&lt;&gt;"",1+MAX($A$2:A603),"")</f>
        <v>561</v>
      </c>
      <c r="B604" s="68"/>
      <c r="C604" s="68"/>
      <c r="D604" s="69" t="s">
        <v>622</v>
      </c>
      <c r="E604" s="70">
        <v>9</v>
      </c>
      <c r="F604" s="71">
        <v>0</v>
      </c>
      <c r="G604" s="66">
        <f t="shared" si="112"/>
        <v>9</v>
      </c>
      <c r="H604" s="70" t="s">
        <v>35</v>
      </c>
      <c r="I604" s="97">
        <v>0</v>
      </c>
      <c r="J604" s="98">
        <f t="shared" si="102"/>
        <v>0</v>
      </c>
      <c r="K604" s="99">
        <v>50</v>
      </c>
      <c r="L604" s="100">
        <f t="shared" si="103"/>
        <v>0</v>
      </c>
      <c r="M604" s="100">
        <f t="shared" si="104"/>
        <v>0</v>
      </c>
      <c r="N604" s="100">
        <v>0</v>
      </c>
      <c r="O604" s="100">
        <f t="shared" si="105"/>
        <v>0</v>
      </c>
      <c r="P604" s="100">
        <f t="shared" si="106"/>
        <v>0</v>
      </c>
      <c r="Q604" s="124">
        <f t="shared" si="107"/>
        <v>0</v>
      </c>
      <c r="R604" s="114"/>
    </row>
    <row r="605" s="34" customFormat="1" ht="18" customHeight="1" spans="1:18">
      <c r="A605" s="67">
        <f>IF(F605&lt;&gt;"",1+MAX($A$2:A604),"")</f>
        <v>562</v>
      </c>
      <c r="B605" s="68"/>
      <c r="C605" s="68"/>
      <c r="D605" s="69" t="s">
        <v>617</v>
      </c>
      <c r="E605" s="70">
        <v>18</v>
      </c>
      <c r="F605" s="71">
        <v>0</v>
      </c>
      <c r="G605" s="66">
        <f t="shared" si="112"/>
        <v>18</v>
      </c>
      <c r="H605" s="70" t="s">
        <v>35</v>
      </c>
      <c r="I605" s="97">
        <v>0</v>
      </c>
      <c r="J605" s="98">
        <f t="shared" si="102"/>
        <v>0</v>
      </c>
      <c r="K605" s="99">
        <v>50</v>
      </c>
      <c r="L605" s="100">
        <f t="shared" si="103"/>
        <v>0</v>
      </c>
      <c r="M605" s="100">
        <f t="shared" si="104"/>
        <v>0</v>
      </c>
      <c r="N605" s="100">
        <v>0</v>
      </c>
      <c r="O605" s="100">
        <f t="shared" si="105"/>
        <v>0</v>
      </c>
      <c r="P605" s="100">
        <f t="shared" si="106"/>
        <v>0</v>
      </c>
      <c r="Q605" s="124">
        <f t="shared" si="107"/>
        <v>0</v>
      </c>
      <c r="R605" s="114"/>
    </row>
    <row r="606" s="34" customFormat="1" ht="18" customHeight="1" spans="1:18">
      <c r="A606" s="67">
        <f>IF(F606&lt;&gt;"",1+MAX($A$2:A605),"")</f>
        <v>563</v>
      </c>
      <c r="B606" s="68"/>
      <c r="C606" s="68"/>
      <c r="D606" s="69" t="s">
        <v>618</v>
      </c>
      <c r="E606" s="70">
        <v>20</v>
      </c>
      <c r="F606" s="71">
        <v>0</v>
      </c>
      <c r="G606" s="66">
        <v>0</v>
      </c>
      <c r="H606" s="70" t="s">
        <v>35</v>
      </c>
      <c r="I606" s="97">
        <v>0</v>
      </c>
      <c r="J606" s="98">
        <f t="shared" si="102"/>
        <v>0</v>
      </c>
      <c r="K606" s="99">
        <v>50</v>
      </c>
      <c r="L606" s="100">
        <f t="shared" si="103"/>
        <v>0</v>
      </c>
      <c r="M606" s="100">
        <f t="shared" si="104"/>
        <v>0</v>
      </c>
      <c r="N606" s="100">
        <v>0</v>
      </c>
      <c r="O606" s="100">
        <f t="shared" si="105"/>
        <v>0</v>
      </c>
      <c r="P606" s="100">
        <f t="shared" si="106"/>
        <v>0</v>
      </c>
      <c r="Q606" s="124">
        <f t="shared" si="107"/>
        <v>0</v>
      </c>
      <c r="R606" s="114"/>
    </row>
    <row r="607" s="34" customFormat="1" ht="18" customHeight="1" spans="1:18">
      <c r="A607" s="61">
        <f>IF(F607&lt;&gt;"",1+MAX($A$2:A606),"")</f>
        <v>564</v>
      </c>
      <c r="B607" s="68"/>
      <c r="C607" s="68"/>
      <c r="D607" s="69" t="s">
        <v>629</v>
      </c>
      <c r="E607" s="70">
        <v>12</v>
      </c>
      <c r="F607" s="71">
        <v>0</v>
      </c>
      <c r="G607" s="66">
        <f t="shared" ref="G607:G632" si="113">(F607*E607)+E607</f>
        <v>12</v>
      </c>
      <c r="H607" s="70" t="s">
        <v>35</v>
      </c>
      <c r="I607" s="97">
        <v>0</v>
      </c>
      <c r="J607" s="98">
        <f t="shared" si="102"/>
        <v>0</v>
      </c>
      <c r="K607" s="99">
        <v>50</v>
      </c>
      <c r="L607" s="100">
        <f t="shared" si="103"/>
        <v>0</v>
      </c>
      <c r="M607" s="100">
        <f t="shared" si="104"/>
        <v>0</v>
      </c>
      <c r="N607" s="100">
        <v>0</v>
      </c>
      <c r="O607" s="100">
        <f t="shared" si="105"/>
        <v>0</v>
      </c>
      <c r="P607" s="100">
        <f t="shared" si="106"/>
        <v>0</v>
      </c>
      <c r="Q607" s="124">
        <f t="shared" si="107"/>
        <v>0</v>
      </c>
      <c r="R607" s="114"/>
    </row>
    <row r="608" s="34" customFormat="1" ht="18" customHeight="1" spans="1:18">
      <c r="A608" s="61">
        <f>IF(F608&lt;&gt;"",1+MAX($A$2:A607),"")</f>
        <v>565</v>
      </c>
      <c r="B608" s="68"/>
      <c r="C608" s="68"/>
      <c r="D608" s="69" t="s">
        <v>53</v>
      </c>
      <c r="E608" s="70">
        <v>2</v>
      </c>
      <c r="F608" s="71">
        <v>0</v>
      </c>
      <c r="G608" s="66">
        <f t="shared" si="113"/>
        <v>2</v>
      </c>
      <c r="H608" s="70" t="s">
        <v>35</v>
      </c>
      <c r="I608" s="97">
        <v>0</v>
      </c>
      <c r="J608" s="98">
        <f t="shared" si="102"/>
        <v>0</v>
      </c>
      <c r="K608" s="99">
        <v>50</v>
      </c>
      <c r="L608" s="100">
        <f t="shared" si="103"/>
        <v>0</v>
      </c>
      <c r="M608" s="100">
        <f t="shared" si="104"/>
        <v>0</v>
      </c>
      <c r="N608" s="100">
        <v>0</v>
      </c>
      <c r="O608" s="100">
        <f t="shared" si="105"/>
        <v>0</v>
      </c>
      <c r="P608" s="100">
        <f t="shared" si="106"/>
        <v>0</v>
      </c>
      <c r="Q608" s="124">
        <f t="shared" si="107"/>
        <v>0</v>
      </c>
      <c r="R608" s="114"/>
    </row>
    <row r="609" s="34" customFormat="1" ht="18" customHeight="1" spans="1:18">
      <c r="A609" s="61">
        <f>IF(F609&lt;&gt;"",1+MAX($A$2:A608),"")</f>
        <v>566</v>
      </c>
      <c r="B609" s="68"/>
      <c r="C609" s="68"/>
      <c r="D609" s="69" t="s">
        <v>615</v>
      </c>
      <c r="E609" s="70">
        <v>6</v>
      </c>
      <c r="F609" s="71">
        <v>0</v>
      </c>
      <c r="G609" s="66">
        <f t="shared" si="113"/>
        <v>6</v>
      </c>
      <c r="H609" s="70" t="s">
        <v>35</v>
      </c>
      <c r="I609" s="97">
        <v>0</v>
      </c>
      <c r="J609" s="98">
        <f t="shared" si="102"/>
        <v>0</v>
      </c>
      <c r="K609" s="99">
        <v>50</v>
      </c>
      <c r="L609" s="100">
        <f t="shared" si="103"/>
        <v>0</v>
      </c>
      <c r="M609" s="100">
        <f t="shared" si="104"/>
        <v>0</v>
      </c>
      <c r="N609" s="100">
        <v>0</v>
      </c>
      <c r="O609" s="100">
        <f t="shared" si="105"/>
        <v>0</v>
      </c>
      <c r="P609" s="100">
        <f t="shared" si="106"/>
        <v>0</v>
      </c>
      <c r="Q609" s="124">
        <f t="shared" si="107"/>
        <v>0</v>
      </c>
      <c r="R609" s="114"/>
    </row>
    <row r="610" s="34" customFormat="1" ht="18" customHeight="1" spans="1:18">
      <c r="A610" s="61">
        <f>IF(F610&lt;&gt;"",1+MAX($A$2:A609),"")</f>
        <v>567</v>
      </c>
      <c r="B610" s="68"/>
      <c r="C610" s="68"/>
      <c r="D610" s="69" t="s">
        <v>630</v>
      </c>
      <c r="E610" s="70">
        <v>2</v>
      </c>
      <c r="F610" s="71">
        <v>0</v>
      </c>
      <c r="G610" s="66">
        <f t="shared" si="113"/>
        <v>2</v>
      </c>
      <c r="H610" s="70" t="s">
        <v>35</v>
      </c>
      <c r="I610" s="97">
        <v>0</v>
      </c>
      <c r="J610" s="98">
        <f t="shared" si="102"/>
        <v>0</v>
      </c>
      <c r="K610" s="99">
        <v>50</v>
      </c>
      <c r="L610" s="100">
        <f t="shared" si="103"/>
        <v>0</v>
      </c>
      <c r="M610" s="100">
        <f t="shared" si="104"/>
        <v>0</v>
      </c>
      <c r="N610" s="100">
        <v>0</v>
      </c>
      <c r="O610" s="100">
        <f t="shared" si="105"/>
        <v>0</v>
      </c>
      <c r="P610" s="100">
        <f t="shared" si="106"/>
        <v>0</v>
      </c>
      <c r="Q610" s="124">
        <f t="shared" si="107"/>
        <v>0</v>
      </c>
      <c r="R610" s="114"/>
    </row>
    <row r="611" s="34" customFormat="1" ht="18" customHeight="1" spans="1:18">
      <c r="A611" s="67">
        <f>IF(F611&lt;&gt;"",1+MAX($A$2:A610),"")</f>
        <v>568</v>
      </c>
      <c r="B611" s="68"/>
      <c r="C611" s="68"/>
      <c r="D611" s="69" t="s">
        <v>629</v>
      </c>
      <c r="E611" s="70">
        <v>1</v>
      </c>
      <c r="F611" s="71">
        <v>0</v>
      </c>
      <c r="G611" s="66">
        <f t="shared" si="113"/>
        <v>1</v>
      </c>
      <c r="H611" s="70" t="s">
        <v>35</v>
      </c>
      <c r="I611" s="97">
        <v>0</v>
      </c>
      <c r="J611" s="98">
        <f t="shared" si="102"/>
        <v>0</v>
      </c>
      <c r="K611" s="99">
        <v>50</v>
      </c>
      <c r="L611" s="100">
        <f t="shared" si="103"/>
        <v>0</v>
      </c>
      <c r="M611" s="100">
        <f t="shared" si="104"/>
        <v>0</v>
      </c>
      <c r="N611" s="100">
        <v>0</v>
      </c>
      <c r="O611" s="100">
        <f t="shared" si="105"/>
        <v>0</v>
      </c>
      <c r="P611" s="100">
        <f t="shared" si="106"/>
        <v>0</v>
      </c>
      <c r="Q611" s="124">
        <f t="shared" si="107"/>
        <v>0</v>
      </c>
      <c r="R611" s="114"/>
    </row>
    <row r="612" s="34" customFormat="1" ht="18" customHeight="1" spans="1:18">
      <c r="A612" s="61">
        <f>IF(F612&lt;&gt;"",1+MAX($A$2:A611),"")</f>
        <v>569</v>
      </c>
      <c r="B612" s="68"/>
      <c r="C612" s="68"/>
      <c r="D612" s="69" t="s">
        <v>53</v>
      </c>
      <c r="E612" s="70">
        <v>10</v>
      </c>
      <c r="F612" s="71">
        <v>0</v>
      </c>
      <c r="G612" s="66">
        <f t="shared" si="113"/>
        <v>10</v>
      </c>
      <c r="H612" s="70" t="s">
        <v>35</v>
      </c>
      <c r="I612" s="97">
        <v>0</v>
      </c>
      <c r="J612" s="98">
        <f t="shared" si="102"/>
        <v>0</v>
      </c>
      <c r="K612" s="99">
        <v>50</v>
      </c>
      <c r="L612" s="100">
        <f t="shared" si="103"/>
        <v>0</v>
      </c>
      <c r="M612" s="100">
        <f t="shared" si="104"/>
        <v>0</v>
      </c>
      <c r="N612" s="100">
        <v>0</v>
      </c>
      <c r="O612" s="100">
        <f t="shared" si="105"/>
        <v>0</v>
      </c>
      <c r="P612" s="100">
        <f t="shared" si="106"/>
        <v>0</v>
      </c>
      <c r="Q612" s="124">
        <f t="shared" si="107"/>
        <v>0</v>
      </c>
      <c r="R612" s="114"/>
    </row>
    <row r="613" s="34" customFormat="1" ht="18" customHeight="1" spans="1:18">
      <c r="A613" s="61">
        <f>IF(F613&lt;&gt;"",1+MAX($A$2:A612),"")</f>
        <v>570</v>
      </c>
      <c r="B613" s="68"/>
      <c r="C613" s="68"/>
      <c r="D613" s="69" t="s">
        <v>615</v>
      </c>
      <c r="E613" s="70">
        <v>58</v>
      </c>
      <c r="F613" s="71">
        <v>0</v>
      </c>
      <c r="G613" s="66">
        <f t="shared" si="113"/>
        <v>58</v>
      </c>
      <c r="H613" s="70" t="s">
        <v>35</v>
      </c>
      <c r="I613" s="97">
        <v>0</v>
      </c>
      <c r="J613" s="98">
        <f t="shared" si="102"/>
        <v>0</v>
      </c>
      <c r="K613" s="99">
        <v>50</v>
      </c>
      <c r="L613" s="100">
        <f t="shared" si="103"/>
        <v>0</v>
      </c>
      <c r="M613" s="100">
        <f t="shared" si="104"/>
        <v>0</v>
      </c>
      <c r="N613" s="100">
        <v>0</v>
      </c>
      <c r="O613" s="100">
        <f t="shared" si="105"/>
        <v>0</v>
      </c>
      <c r="P613" s="100">
        <f t="shared" si="106"/>
        <v>0</v>
      </c>
      <c r="Q613" s="124">
        <f t="shared" si="107"/>
        <v>0</v>
      </c>
      <c r="R613" s="114"/>
    </row>
    <row r="614" s="34" customFormat="1" ht="18" customHeight="1" spans="1:18">
      <c r="A614" s="61">
        <f>IF(F614&lt;&gt;"",1+MAX($A$2:A613),"")</f>
        <v>571</v>
      </c>
      <c r="B614" s="68"/>
      <c r="C614" s="68"/>
      <c r="D614" s="69" t="s">
        <v>631</v>
      </c>
      <c r="E614" s="70">
        <v>3</v>
      </c>
      <c r="F614" s="71">
        <v>0</v>
      </c>
      <c r="G614" s="66">
        <f t="shared" si="113"/>
        <v>3</v>
      </c>
      <c r="H614" s="70" t="s">
        <v>35</v>
      </c>
      <c r="I614" s="97">
        <v>0</v>
      </c>
      <c r="J614" s="98">
        <f t="shared" si="102"/>
        <v>0</v>
      </c>
      <c r="K614" s="99">
        <v>50</v>
      </c>
      <c r="L614" s="100">
        <f t="shared" si="103"/>
        <v>0</v>
      </c>
      <c r="M614" s="100">
        <f t="shared" si="104"/>
        <v>0</v>
      </c>
      <c r="N614" s="100">
        <v>0</v>
      </c>
      <c r="O614" s="100">
        <f t="shared" si="105"/>
        <v>0</v>
      </c>
      <c r="P614" s="100">
        <f t="shared" si="106"/>
        <v>0</v>
      </c>
      <c r="Q614" s="124">
        <f t="shared" si="107"/>
        <v>0</v>
      </c>
      <c r="R614" s="114"/>
    </row>
    <row r="615" s="34" customFormat="1" ht="18" customHeight="1" spans="1:18">
      <c r="A615" s="61">
        <f>IF(F615&lt;&gt;"",1+MAX($A$2:A614),"")</f>
        <v>572</v>
      </c>
      <c r="B615" s="68"/>
      <c r="C615" s="68"/>
      <c r="D615" s="69" t="s">
        <v>627</v>
      </c>
      <c r="E615" s="70">
        <v>2</v>
      </c>
      <c r="F615" s="71">
        <v>0</v>
      </c>
      <c r="G615" s="66">
        <f t="shared" si="113"/>
        <v>2</v>
      </c>
      <c r="H615" s="70" t="s">
        <v>35</v>
      </c>
      <c r="I615" s="97">
        <v>0</v>
      </c>
      <c r="J615" s="98">
        <f t="shared" si="102"/>
        <v>0</v>
      </c>
      <c r="K615" s="99">
        <v>50</v>
      </c>
      <c r="L615" s="100">
        <f t="shared" si="103"/>
        <v>0</v>
      </c>
      <c r="M615" s="100">
        <f t="shared" si="104"/>
        <v>0</v>
      </c>
      <c r="N615" s="100">
        <v>0</v>
      </c>
      <c r="O615" s="100">
        <f t="shared" si="105"/>
        <v>0</v>
      </c>
      <c r="P615" s="100">
        <f t="shared" si="106"/>
        <v>0</v>
      </c>
      <c r="Q615" s="124">
        <f t="shared" si="107"/>
        <v>0</v>
      </c>
      <c r="R615" s="114"/>
    </row>
    <row r="616" s="34" customFormat="1" ht="18" customHeight="1" spans="1:18">
      <c r="A616" s="61">
        <f>IF(F616&lt;&gt;"",1+MAX($A$2:A615),"")</f>
        <v>573</v>
      </c>
      <c r="B616" s="68"/>
      <c r="C616" s="68"/>
      <c r="D616" s="69" t="s">
        <v>628</v>
      </c>
      <c r="E616" s="70">
        <v>2</v>
      </c>
      <c r="F616" s="71">
        <v>0</v>
      </c>
      <c r="G616" s="66">
        <f t="shared" si="113"/>
        <v>2</v>
      </c>
      <c r="H616" s="70" t="s">
        <v>35</v>
      </c>
      <c r="I616" s="97">
        <v>0</v>
      </c>
      <c r="J616" s="98">
        <f t="shared" si="102"/>
        <v>0</v>
      </c>
      <c r="K616" s="99">
        <v>50</v>
      </c>
      <c r="L616" s="100">
        <f t="shared" si="103"/>
        <v>0</v>
      </c>
      <c r="M616" s="100">
        <f t="shared" si="104"/>
        <v>0</v>
      </c>
      <c r="N616" s="100">
        <v>0</v>
      </c>
      <c r="O616" s="100">
        <f t="shared" si="105"/>
        <v>0</v>
      </c>
      <c r="P616" s="100">
        <f t="shared" si="106"/>
        <v>0</v>
      </c>
      <c r="Q616" s="124">
        <f t="shared" si="107"/>
        <v>0</v>
      </c>
      <c r="R616" s="114"/>
    </row>
    <row r="617" s="34" customFormat="1" ht="18" customHeight="1" spans="1:18">
      <c r="A617" s="61">
        <f>IF(F617&lt;&gt;"",1+MAX($A$2:A616),"")</f>
        <v>574</v>
      </c>
      <c r="B617" s="68"/>
      <c r="C617" s="68"/>
      <c r="D617" s="69" t="s">
        <v>621</v>
      </c>
      <c r="E617" s="70">
        <v>1</v>
      </c>
      <c r="F617" s="71">
        <v>0</v>
      </c>
      <c r="G617" s="66">
        <f t="shared" si="113"/>
        <v>1</v>
      </c>
      <c r="H617" s="70" t="s">
        <v>35</v>
      </c>
      <c r="I617" s="97">
        <v>0</v>
      </c>
      <c r="J617" s="98">
        <f t="shared" si="102"/>
        <v>0</v>
      </c>
      <c r="K617" s="99">
        <v>50</v>
      </c>
      <c r="L617" s="100">
        <f t="shared" si="103"/>
        <v>0</v>
      </c>
      <c r="M617" s="100">
        <f t="shared" si="104"/>
        <v>0</v>
      </c>
      <c r="N617" s="100">
        <v>0</v>
      </c>
      <c r="O617" s="100">
        <f t="shared" si="105"/>
        <v>0</v>
      </c>
      <c r="P617" s="100">
        <f t="shared" si="106"/>
        <v>0</v>
      </c>
      <c r="Q617" s="124">
        <f t="shared" si="107"/>
        <v>0</v>
      </c>
      <c r="R617" s="114"/>
    </row>
    <row r="618" s="34" customFormat="1" ht="18" customHeight="1" spans="1:18">
      <c r="A618" s="61">
        <f>IF(F618&lt;&gt;"",1+MAX($A$2:A617),"")</f>
        <v>575</v>
      </c>
      <c r="B618" s="68"/>
      <c r="C618" s="68"/>
      <c r="D618" s="69" t="s">
        <v>622</v>
      </c>
      <c r="E618" s="70">
        <v>1</v>
      </c>
      <c r="F618" s="71">
        <v>0</v>
      </c>
      <c r="G618" s="66">
        <f t="shared" si="113"/>
        <v>1</v>
      </c>
      <c r="H618" s="70" t="s">
        <v>35</v>
      </c>
      <c r="I618" s="97">
        <v>0</v>
      </c>
      <c r="J618" s="98">
        <f t="shared" si="102"/>
        <v>0</v>
      </c>
      <c r="K618" s="99">
        <v>50</v>
      </c>
      <c r="L618" s="100">
        <f t="shared" si="103"/>
        <v>0</v>
      </c>
      <c r="M618" s="100">
        <f t="shared" si="104"/>
        <v>0</v>
      </c>
      <c r="N618" s="100">
        <v>0</v>
      </c>
      <c r="O618" s="100">
        <f t="shared" si="105"/>
        <v>0</v>
      </c>
      <c r="P618" s="100">
        <f t="shared" si="106"/>
        <v>0</v>
      </c>
      <c r="Q618" s="124">
        <f t="shared" si="107"/>
        <v>0</v>
      </c>
      <c r="R618" s="114"/>
    </row>
    <row r="619" s="34" customFormat="1" ht="18" customHeight="1" spans="1:18">
      <c r="A619" s="61">
        <f>IF(F619&lt;&gt;"",1+MAX($A$2:A618),"")</f>
        <v>576</v>
      </c>
      <c r="B619" s="68"/>
      <c r="C619" s="68"/>
      <c r="D619" s="69" t="s">
        <v>617</v>
      </c>
      <c r="E619" s="70">
        <v>1</v>
      </c>
      <c r="F619" s="71">
        <v>0</v>
      </c>
      <c r="G619" s="66">
        <f t="shared" si="113"/>
        <v>1</v>
      </c>
      <c r="H619" s="70" t="s">
        <v>35</v>
      </c>
      <c r="I619" s="97">
        <v>0</v>
      </c>
      <c r="J619" s="98">
        <f t="shared" si="102"/>
        <v>0</v>
      </c>
      <c r="K619" s="99">
        <v>50</v>
      </c>
      <c r="L619" s="100">
        <f t="shared" si="103"/>
        <v>0</v>
      </c>
      <c r="M619" s="100">
        <f t="shared" si="104"/>
        <v>0</v>
      </c>
      <c r="N619" s="100">
        <v>0</v>
      </c>
      <c r="O619" s="100">
        <f t="shared" si="105"/>
        <v>0</v>
      </c>
      <c r="P619" s="100">
        <f t="shared" si="106"/>
        <v>0</v>
      </c>
      <c r="Q619" s="124">
        <f t="shared" si="107"/>
        <v>0</v>
      </c>
      <c r="R619" s="114"/>
    </row>
    <row r="620" s="34" customFormat="1" ht="18" customHeight="1" spans="1:18">
      <c r="A620" s="61">
        <f>IF(F620&lt;&gt;"",1+MAX($A$2:A619),"")</f>
        <v>577</v>
      </c>
      <c r="B620" s="68"/>
      <c r="C620" s="68"/>
      <c r="D620" s="69" t="s">
        <v>618</v>
      </c>
      <c r="E620" s="70">
        <v>2</v>
      </c>
      <c r="F620" s="71">
        <v>0</v>
      </c>
      <c r="G620" s="66">
        <f t="shared" si="113"/>
        <v>2</v>
      </c>
      <c r="H620" s="70" t="s">
        <v>35</v>
      </c>
      <c r="I620" s="97">
        <v>0</v>
      </c>
      <c r="J620" s="98">
        <f t="shared" si="102"/>
        <v>0</v>
      </c>
      <c r="K620" s="99">
        <v>50</v>
      </c>
      <c r="L620" s="100">
        <f t="shared" si="103"/>
        <v>0</v>
      </c>
      <c r="M620" s="100">
        <f t="shared" si="104"/>
        <v>0</v>
      </c>
      <c r="N620" s="100">
        <v>0</v>
      </c>
      <c r="O620" s="100">
        <f t="shared" si="105"/>
        <v>0</v>
      </c>
      <c r="P620" s="100">
        <f t="shared" si="106"/>
        <v>0</v>
      </c>
      <c r="Q620" s="124">
        <f t="shared" si="107"/>
        <v>0</v>
      </c>
      <c r="R620" s="114"/>
    </row>
    <row r="621" s="34" customFormat="1" ht="18" customHeight="1" spans="1:18">
      <c r="A621" s="67">
        <f>IF(F621&lt;&gt;"",1+MAX($A$2:A620),"")</f>
        <v>578</v>
      </c>
      <c r="B621" s="68"/>
      <c r="C621" s="68"/>
      <c r="D621" s="69" t="s">
        <v>619</v>
      </c>
      <c r="E621" s="70">
        <v>2</v>
      </c>
      <c r="F621" s="71">
        <v>0</v>
      </c>
      <c r="G621" s="66">
        <f t="shared" si="113"/>
        <v>2</v>
      </c>
      <c r="H621" s="70" t="s">
        <v>35</v>
      </c>
      <c r="I621" s="97">
        <v>0</v>
      </c>
      <c r="J621" s="98">
        <f t="shared" si="102"/>
        <v>0</v>
      </c>
      <c r="K621" s="99">
        <v>50</v>
      </c>
      <c r="L621" s="100">
        <f t="shared" si="103"/>
        <v>0</v>
      </c>
      <c r="M621" s="100">
        <f t="shared" si="104"/>
        <v>0</v>
      </c>
      <c r="N621" s="100">
        <v>0</v>
      </c>
      <c r="O621" s="100">
        <f t="shared" si="105"/>
        <v>0</v>
      </c>
      <c r="P621" s="100">
        <f t="shared" si="106"/>
        <v>0</v>
      </c>
      <c r="Q621" s="124">
        <f t="shared" si="107"/>
        <v>0</v>
      </c>
      <c r="R621" s="114"/>
    </row>
    <row r="622" s="34" customFormat="1" ht="18" customHeight="1" spans="1:18">
      <c r="A622" s="61">
        <f>IF(F622&lt;&gt;"",1+MAX($A$2:A621),"")</f>
        <v>579</v>
      </c>
      <c r="B622" s="68"/>
      <c r="C622" s="68"/>
      <c r="D622" s="69" t="s">
        <v>632</v>
      </c>
      <c r="E622" s="70">
        <v>6</v>
      </c>
      <c r="F622" s="71">
        <v>0</v>
      </c>
      <c r="G622" s="66">
        <f t="shared" si="113"/>
        <v>6</v>
      </c>
      <c r="H622" s="70" t="s">
        <v>35</v>
      </c>
      <c r="I622" s="97">
        <v>0</v>
      </c>
      <c r="J622" s="98">
        <f t="shared" si="102"/>
        <v>0</v>
      </c>
      <c r="K622" s="99">
        <v>50</v>
      </c>
      <c r="L622" s="100">
        <f t="shared" si="103"/>
        <v>0</v>
      </c>
      <c r="M622" s="100">
        <f t="shared" si="104"/>
        <v>0</v>
      </c>
      <c r="N622" s="100">
        <v>0</v>
      </c>
      <c r="O622" s="100">
        <f t="shared" si="105"/>
        <v>0</v>
      </c>
      <c r="P622" s="100">
        <f t="shared" si="106"/>
        <v>0</v>
      </c>
      <c r="Q622" s="124">
        <f t="shared" si="107"/>
        <v>0</v>
      </c>
      <c r="R622" s="114"/>
    </row>
    <row r="623" s="34" customFormat="1" ht="18" customHeight="1" spans="1:18">
      <c r="A623" s="67">
        <f>IF(F623&lt;&gt;"",1+MAX($A$2:A622),"")</f>
        <v>580</v>
      </c>
      <c r="B623" s="68"/>
      <c r="C623" s="68"/>
      <c r="D623" s="69" t="s">
        <v>633</v>
      </c>
      <c r="E623" s="70">
        <v>1</v>
      </c>
      <c r="F623" s="71">
        <v>0</v>
      </c>
      <c r="G623" s="66">
        <f t="shared" si="113"/>
        <v>1</v>
      </c>
      <c r="H623" s="70" t="s">
        <v>35</v>
      </c>
      <c r="I623" s="97">
        <v>0</v>
      </c>
      <c r="J623" s="98">
        <f t="shared" si="102"/>
        <v>0</v>
      </c>
      <c r="K623" s="99">
        <v>50</v>
      </c>
      <c r="L623" s="100">
        <f t="shared" si="103"/>
        <v>0</v>
      </c>
      <c r="M623" s="100">
        <f t="shared" si="104"/>
        <v>0</v>
      </c>
      <c r="N623" s="100">
        <v>0</v>
      </c>
      <c r="O623" s="100">
        <f t="shared" si="105"/>
        <v>0</v>
      </c>
      <c r="P623" s="100">
        <f t="shared" si="106"/>
        <v>0</v>
      </c>
      <c r="Q623" s="124">
        <f t="shared" si="107"/>
        <v>0</v>
      </c>
      <c r="R623" s="114"/>
    </row>
    <row r="624" s="34" customFormat="1" ht="18" customHeight="1" spans="1:18">
      <c r="A624" s="67">
        <f>IF(F624&lt;&gt;"",1+MAX($A$2:A623),"")</f>
        <v>581</v>
      </c>
      <c r="B624" s="68"/>
      <c r="C624" s="68"/>
      <c r="D624" s="69" t="s">
        <v>634</v>
      </c>
      <c r="E624" s="70">
        <v>2</v>
      </c>
      <c r="F624" s="71">
        <v>0</v>
      </c>
      <c r="G624" s="66">
        <f t="shared" si="113"/>
        <v>2</v>
      </c>
      <c r="H624" s="70" t="s">
        <v>35</v>
      </c>
      <c r="I624" s="97">
        <v>0</v>
      </c>
      <c r="J624" s="98">
        <f t="shared" si="102"/>
        <v>0</v>
      </c>
      <c r="K624" s="99">
        <v>50</v>
      </c>
      <c r="L624" s="100">
        <f t="shared" si="103"/>
        <v>0</v>
      </c>
      <c r="M624" s="100">
        <f t="shared" si="104"/>
        <v>0</v>
      </c>
      <c r="N624" s="100">
        <v>0</v>
      </c>
      <c r="O624" s="100">
        <f t="shared" si="105"/>
        <v>0</v>
      </c>
      <c r="P624" s="100">
        <f t="shared" si="106"/>
        <v>0</v>
      </c>
      <c r="Q624" s="124">
        <f t="shared" si="107"/>
        <v>0</v>
      </c>
      <c r="R624" s="114"/>
    </row>
    <row r="625" s="34" customFormat="1" ht="18" customHeight="1" spans="1:18">
      <c r="A625" s="67">
        <f>IF(F625&lt;&gt;"",1+MAX($A$2:A624),"")</f>
        <v>582</v>
      </c>
      <c r="B625" s="68"/>
      <c r="C625" s="68"/>
      <c r="D625" s="69" t="s">
        <v>635</v>
      </c>
      <c r="E625" s="70">
        <v>1</v>
      </c>
      <c r="F625" s="71">
        <v>0</v>
      </c>
      <c r="G625" s="66">
        <f t="shared" si="113"/>
        <v>1</v>
      </c>
      <c r="H625" s="70" t="s">
        <v>35</v>
      </c>
      <c r="I625" s="97">
        <v>0</v>
      </c>
      <c r="J625" s="98">
        <f t="shared" si="102"/>
        <v>0</v>
      </c>
      <c r="K625" s="99">
        <v>50</v>
      </c>
      <c r="L625" s="100">
        <f t="shared" si="103"/>
        <v>0</v>
      </c>
      <c r="M625" s="100">
        <f t="shared" si="104"/>
        <v>0</v>
      </c>
      <c r="N625" s="100">
        <v>0</v>
      </c>
      <c r="O625" s="100">
        <f t="shared" si="105"/>
        <v>0</v>
      </c>
      <c r="P625" s="100">
        <f t="shared" si="106"/>
        <v>0</v>
      </c>
      <c r="Q625" s="124">
        <f t="shared" si="107"/>
        <v>0</v>
      </c>
      <c r="R625" s="114"/>
    </row>
    <row r="626" s="34" customFormat="1" ht="18" customHeight="1" spans="1:18">
      <c r="A626" s="67">
        <f>IF(F626&lt;&gt;"",1+MAX($A$2:A625),"")</f>
        <v>583</v>
      </c>
      <c r="B626" s="68"/>
      <c r="C626" s="68"/>
      <c r="D626" s="69" t="s">
        <v>636</v>
      </c>
      <c r="E626" s="70">
        <v>1</v>
      </c>
      <c r="F626" s="71">
        <v>0</v>
      </c>
      <c r="G626" s="66">
        <f t="shared" si="113"/>
        <v>1</v>
      </c>
      <c r="H626" s="70" t="s">
        <v>35</v>
      </c>
      <c r="I626" s="97">
        <v>0</v>
      </c>
      <c r="J626" s="98">
        <f t="shared" si="102"/>
        <v>0</v>
      </c>
      <c r="K626" s="99">
        <v>50</v>
      </c>
      <c r="L626" s="100">
        <f t="shared" si="103"/>
        <v>0</v>
      </c>
      <c r="M626" s="100">
        <f t="shared" si="104"/>
        <v>0</v>
      </c>
      <c r="N626" s="100">
        <v>0</v>
      </c>
      <c r="O626" s="100">
        <f t="shared" si="105"/>
        <v>0</v>
      </c>
      <c r="P626" s="100">
        <f t="shared" si="106"/>
        <v>0</v>
      </c>
      <c r="Q626" s="124">
        <f t="shared" si="107"/>
        <v>0</v>
      </c>
      <c r="R626" s="114"/>
    </row>
    <row r="627" s="34" customFormat="1" ht="18" customHeight="1" spans="1:18">
      <c r="A627" s="67">
        <f>IF(F627&lt;&gt;"",1+MAX($A$2:A626),"")</f>
        <v>584</v>
      </c>
      <c r="B627" s="68"/>
      <c r="C627" s="68"/>
      <c r="D627" s="69" t="s">
        <v>637</v>
      </c>
      <c r="E627" s="70">
        <v>2</v>
      </c>
      <c r="F627" s="71">
        <v>0</v>
      </c>
      <c r="G627" s="66">
        <f t="shared" si="113"/>
        <v>2</v>
      </c>
      <c r="H627" s="70" t="s">
        <v>35</v>
      </c>
      <c r="I627" s="97">
        <v>0</v>
      </c>
      <c r="J627" s="98">
        <f t="shared" si="102"/>
        <v>0</v>
      </c>
      <c r="K627" s="99">
        <v>50</v>
      </c>
      <c r="L627" s="100">
        <f t="shared" si="103"/>
        <v>0</v>
      </c>
      <c r="M627" s="100">
        <f t="shared" si="104"/>
        <v>0</v>
      </c>
      <c r="N627" s="100">
        <v>0</v>
      </c>
      <c r="O627" s="100">
        <f t="shared" si="105"/>
        <v>0</v>
      </c>
      <c r="P627" s="100">
        <f t="shared" si="106"/>
        <v>0</v>
      </c>
      <c r="Q627" s="124">
        <f t="shared" si="107"/>
        <v>0</v>
      </c>
      <c r="R627" s="114"/>
    </row>
    <row r="628" s="34" customFormat="1" ht="18" customHeight="1" spans="1:18">
      <c r="A628" s="61">
        <f>IF(F628&lt;&gt;"",1+MAX($A$2:A627),"")</f>
        <v>585</v>
      </c>
      <c r="B628" s="68"/>
      <c r="C628" s="68"/>
      <c r="D628" s="69" t="s">
        <v>638</v>
      </c>
      <c r="E628" s="70">
        <v>1</v>
      </c>
      <c r="F628" s="71">
        <v>0</v>
      </c>
      <c r="G628" s="66">
        <f t="shared" si="113"/>
        <v>1</v>
      </c>
      <c r="H628" s="70" t="s">
        <v>35</v>
      </c>
      <c r="I628" s="97">
        <v>0</v>
      </c>
      <c r="J628" s="98">
        <f t="shared" si="102"/>
        <v>0</v>
      </c>
      <c r="K628" s="99">
        <v>50</v>
      </c>
      <c r="L628" s="100">
        <f t="shared" si="103"/>
        <v>0</v>
      </c>
      <c r="M628" s="100">
        <f t="shared" si="104"/>
        <v>0</v>
      </c>
      <c r="N628" s="100">
        <v>0</v>
      </c>
      <c r="O628" s="100">
        <f t="shared" si="105"/>
        <v>0</v>
      </c>
      <c r="P628" s="100">
        <f t="shared" si="106"/>
        <v>0</v>
      </c>
      <c r="Q628" s="124">
        <f t="shared" si="107"/>
        <v>0</v>
      </c>
      <c r="R628" s="114"/>
    </row>
    <row r="629" s="34" customFormat="1" ht="18" customHeight="1" spans="1:18">
      <c r="A629" s="67">
        <f>IF(F629&lt;&gt;"",1+MAX($A$2:A628),"")</f>
        <v>586</v>
      </c>
      <c r="B629" s="68"/>
      <c r="C629" s="68"/>
      <c r="D629" s="69" t="s">
        <v>639</v>
      </c>
      <c r="E629" s="70">
        <v>1</v>
      </c>
      <c r="F629" s="71">
        <v>0</v>
      </c>
      <c r="G629" s="66">
        <f t="shared" si="113"/>
        <v>1</v>
      </c>
      <c r="H629" s="70" t="s">
        <v>35</v>
      </c>
      <c r="I629" s="97">
        <v>0</v>
      </c>
      <c r="J629" s="98">
        <f t="shared" si="102"/>
        <v>0</v>
      </c>
      <c r="K629" s="99">
        <v>50</v>
      </c>
      <c r="L629" s="100">
        <f t="shared" si="103"/>
        <v>0</v>
      </c>
      <c r="M629" s="100">
        <f t="shared" si="104"/>
        <v>0</v>
      </c>
      <c r="N629" s="100">
        <v>0</v>
      </c>
      <c r="O629" s="100">
        <f t="shared" si="105"/>
        <v>0</v>
      </c>
      <c r="P629" s="100">
        <f t="shared" si="106"/>
        <v>0</v>
      </c>
      <c r="Q629" s="124">
        <f t="shared" si="107"/>
        <v>0</v>
      </c>
      <c r="R629" s="114"/>
    </row>
    <row r="630" s="34" customFormat="1" ht="18" customHeight="1" spans="1:18">
      <c r="A630" s="67">
        <f>IF(F630&lt;&gt;"",1+MAX($A$2:A629),"")</f>
        <v>587</v>
      </c>
      <c r="B630" s="68"/>
      <c r="C630" s="68"/>
      <c r="D630" s="69" t="s">
        <v>640</v>
      </c>
      <c r="E630" s="70">
        <v>1</v>
      </c>
      <c r="F630" s="71">
        <v>0</v>
      </c>
      <c r="G630" s="66">
        <f t="shared" si="113"/>
        <v>1</v>
      </c>
      <c r="H630" s="70" t="s">
        <v>35</v>
      </c>
      <c r="I630" s="97">
        <v>0</v>
      </c>
      <c r="J630" s="98">
        <f t="shared" ref="J630:J632" si="114">+I630*G630</f>
        <v>0</v>
      </c>
      <c r="K630" s="99">
        <v>50</v>
      </c>
      <c r="L630" s="100">
        <f t="shared" ref="L630:L632" si="115">I630*K630</f>
        <v>0</v>
      </c>
      <c r="M630" s="100">
        <f t="shared" ref="M630:M632" si="116">K630*J630</f>
        <v>0</v>
      </c>
      <c r="N630" s="100">
        <v>0</v>
      </c>
      <c r="O630" s="100">
        <f t="shared" ref="O630:O632" si="117">N630*G630</f>
        <v>0</v>
      </c>
      <c r="P630" s="100">
        <f t="shared" ref="P630:P632" si="118">(I630*K630)+N630</f>
        <v>0</v>
      </c>
      <c r="Q630" s="124">
        <f t="shared" ref="Q630:Q632" si="119">P630*G630</f>
        <v>0</v>
      </c>
      <c r="R630" s="114"/>
    </row>
    <row r="631" s="34" customFormat="1" ht="18" customHeight="1" spans="1:18">
      <c r="A631" s="67">
        <f>IF(F631&lt;&gt;"",1+MAX($A$2:A630),"")</f>
        <v>588</v>
      </c>
      <c r="B631" s="68"/>
      <c r="C631" s="68"/>
      <c r="D631" s="69" t="s">
        <v>641</v>
      </c>
      <c r="E631" s="70">
        <v>4</v>
      </c>
      <c r="F631" s="71">
        <v>0</v>
      </c>
      <c r="G631" s="66">
        <f t="shared" si="113"/>
        <v>4</v>
      </c>
      <c r="H631" s="70" t="s">
        <v>35</v>
      </c>
      <c r="I631" s="97">
        <v>0</v>
      </c>
      <c r="J631" s="98">
        <f t="shared" si="114"/>
        <v>0</v>
      </c>
      <c r="K631" s="99">
        <v>50</v>
      </c>
      <c r="L631" s="100">
        <f t="shared" si="115"/>
        <v>0</v>
      </c>
      <c r="M631" s="100">
        <f t="shared" si="116"/>
        <v>0</v>
      </c>
      <c r="N631" s="100">
        <v>0</v>
      </c>
      <c r="O631" s="100">
        <f t="shared" si="117"/>
        <v>0</v>
      </c>
      <c r="P631" s="100">
        <f t="shared" si="118"/>
        <v>0</v>
      </c>
      <c r="Q631" s="124">
        <f t="shared" si="119"/>
        <v>0</v>
      </c>
      <c r="R631" s="114"/>
    </row>
    <row r="632" s="34" customFormat="1" ht="18" customHeight="1" spans="1:18">
      <c r="A632" s="67">
        <f>IF(F632&lt;&gt;"",1+MAX($A$2:A631),"")</f>
        <v>589</v>
      </c>
      <c r="B632" s="68"/>
      <c r="C632" s="68"/>
      <c r="D632" s="69" t="s">
        <v>642</v>
      </c>
      <c r="E632" s="70">
        <v>1</v>
      </c>
      <c r="F632" s="71">
        <v>0</v>
      </c>
      <c r="G632" s="66">
        <f t="shared" si="113"/>
        <v>1</v>
      </c>
      <c r="H632" s="70" t="s">
        <v>35</v>
      </c>
      <c r="I632" s="97">
        <v>0</v>
      </c>
      <c r="J632" s="98">
        <f t="shared" si="114"/>
        <v>0</v>
      </c>
      <c r="K632" s="99">
        <v>50</v>
      </c>
      <c r="L632" s="100">
        <f t="shared" si="115"/>
        <v>0</v>
      </c>
      <c r="M632" s="100">
        <f t="shared" si="116"/>
        <v>0</v>
      </c>
      <c r="N632" s="100">
        <v>0</v>
      </c>
      <c r="O632" s="100">
        <f t="shared" si="117"/>
        <v>0</v>
      </c>
      <c r="P632" s="100">
        <f t="shared" si="118"/>
        <v>0</v>
      </c>
      <c r="Q632" s="124">
        <f t="shared" si="119"/>
        <v>0</v>
      </c>
      <c r="R632" s="114"/>
    </row>
    <row r="633" s="34" customFormat="1" ht="18" customHeight="1" spans="1:18">
      <c r="A633" s="61" t="str">
        <f>IF(F633&lt;&gt;"",1+MAX($A$2:A632),"")</f>
        <v/>
      </c>
      <c r="B633" s="62"/>
      <c r="C633" s="74"/>
      <c r="D633" s="138"/>
      <c r="E633" s="76"/>
      <c r="F633" s="65"/>
      <c r="G633" s="66"/>
      <c r="H633" s="70"/>
      <c r="I633" s="97"/>
      <c r="J633" s="98"/>
      <c r="K633" s="99"/>
      <c r="L633" s="100"/>
      <c r="M633" s="100"/>
      <c r="N633" s="100"/>
      <c r="O633" s="100"/>
      <c r="P633" s="100"/>
      <c r="Q633" s="124"/>
      <c r="R633" s="114"/>
    </row>
    <row r="634" s="34" customFormat="1" ht="18" customHeight="1" spans="1:18">
      <c r="A634" s="61" t="str">
        <f>IF(F634&lt;&gt;"",1+MAX($A$2:A633),"")</f>
        <v/>
      </c>
      <c r="B634" s="62"/>
      <c r="C634" s="74"/>
      <c r="D634" s="134" t="s">
        <v>643</v>
      </c>
      <c r="E634" s="76"/>
      <c r="F634" s="65"/>
      <c r="G634" s="66"/>
      <c r="H634" s="70"/>
      <c r="I634" s="97"/>
      <c r="J634" s="98"/>
      <c r="K634" s="99"/>
      <c r="L634" s="100"/>
      <c r="M634" s="100"/>
      <c r="N634" s="100"/>
      <c r="O634" s="100"/>
      <c r="P634" s="100"/>
      <c r="Q634" s="124"/>
      <c r="R634" s="114"/>
    </row>
    <row r="635" s="31" customFormat="1" spans="1:18">
      <c r="A635" s="136">
        <f>IF(F635&lt;&gt;"",1+MAX($A$2:A634),"")</f>
        <v>590</v>
      </c>
      <c r="B635" s="148"/>
      <c r="C635" s="148" t="s">
        <v>644</v>
      </c>
      <c r="D635" s="216" t="s">
        <v>645</v>
      </c>
      <c r="E635" s="76">
        <v>1</v>
      </c>
      <c r="F635" s="65">
        <v>0</v>
      </c>
      <c r="G635" s="66">
        <f t="shared" ref="G635:G644" si="120">(F635*E635)+E635</f>
        <v>1</v>
      </c>
      <c r="H635" s="70" t="s">
        <v>35</v>
      </c>
      <c r="I635" s="97">
        <v>0</v>
      </c>
      <c r="J635" s="98">
        <f t="shared" ref="J635:J698" si="121">+I635*G635</f>
        <v>0</v>
      </c>
      <c r="K635" s="144">
        <v>50</v>
      </c>
      <c r="L635" s="100">
        <f t="shared" ref="L635:L698" si="122">I635*K635</f>
        <v>0</v>
      </c>
      <c r="M635" s="100">
        <f t="shared" ref="M635:M698" si="123">K635*J635</f>
        <v>0</v>
      </c>
      <c r="N635" s="100">
        <v>0</v>
      </c>
      <c r="O635" s="100">
        <f t="shared" ref="O635:O698" si="124">N635*G635</f>
        <v>0</v>
      </c>
      <c r="P635" s="100">
        <f t="shared" ref="P635:P698" si="125">(I635*K635)+N635</f>
        <v>0</v>
      </c>
      <c r="Q635" s="124">
        <f t="shared" ref="Q635:Q698" si="126">P635*G635</f>
        <v>0</v>
      </c>
      <c r="R635" s="118"/>
    </row>
    <row r="636" s="31" customFormat="1" ht="31.2" spans="1:18">
      <c r="A636" s="136">
        <f>IF(F636&lt;&gt;"",1+MAX($A$2:A635),"")</f>
        <v>591</v>
      </c>
      <c r="B636" s="148"/>
      <c r="C636" s="148" t="s">
        <v>646</v>
      </c>
      <c r="D636" s="216" t="s">
        <v>647</v>
      </c>
      <c r="E636" s="76">
        <v>1</v>
      </c>
      <c r="F636" s="65">
        <v>0</v>
      </c>
      <c r="G636" s="66">
        <f t="shared" si="120"/>
        <v>1</v>
      </c>
      <c r="H636" s="70" t="s">
        <v>35</v>
      </c>
      <c r="I636" s="97">
        <v>0</v>
      </c>
      <c r="J636" s="98">
        <f t="shared" si="121"/>
        <v>0</v>
      </c>
      <c r="K636" s="144">
        <v>50</v>
      </c>
      <c r="L636" s="100">
        <f t="shared" si="122"/>
        <v>0</v>
      </c>
      <c r="M636" s="100">
        <f t="shared" si="123"/>
        <v>0</v>
      </c>
      <c r="N636" s="100">
        <v>0</v>
      </c>
      <c r="O636" s="100">
        <f t="shared" si="124"/>
        <v>0</v>
      </c>
      <c r="P636" s="100">
        <f t="shared" si="125"/>
        <v>0</v>
      </c>
      <c r="Q636" s="124">
        <f t="shared" si="126"/>
        <v>0</v>
      </c>
      <c r="R636" s="118"/>
    </row>
    <row r="637" s="31" customFormat="1" ht="62.4" spans="1:18">
      <c r="A637" s="136">
        <f>IF(F637&lt;&gt;"",1+MAX($A$2:A636),"")</f>
        <v>592</v>
      </c>
      <c r="B637" s="148"/>
      <c r="C637" s="148" t="s">
        <v>648</v>
      </c>
      <c r="D637" s="150" t="s">
        <v>649</v>
      </c>
      <c r="E637" s="76">
        <v>1</v>
      </c>
      <c r="F637" s="65">
        <v>0</v>
      </c>
      <c r="G637" s="66">
        <f t="shared" si="120"/>
        <v>1</v>
      </c>
      <c r="H637" s="70" t="s">
        <v>35</v>
      </c>
      <c r="I637" s="97">
        <v>0</v>
      </c>
      <c r="J637" s="98">
        <f t="shared" si="121"/>
        <v>0</v>
      </c>
      <c r="K637" s="144">
        <v>50</v>
      </c>
      <c r="L637" s="100">
        <f t="shared" si="122"/>
        <v>0</v>
      </c>
      <c r="M637" s="100">
        <f t="shared" si="123"/>
        <v>0</v>
      </c>
      <c r="N637" s="100">
        <v>0</v>
      </c>
      <c r="O637" s="100">
        <f t="shared" si="124"/>
        <v>0</v>
      </c>
      <c r="P637" s="100">
        <f t="shared" si="125"/>
        <v>0</v>
      </c>
      <c r="Q637" s="124">
        <f t="shared" si="126"/>
        <v>0</v>
      </c>
      <c r="R637" s="118"/>
    </row>
    <row r="638" s="31" customFormat="1" ht="62.4" spans="1:18">
      <c r="A638" s="136">
        <f>IF(F638&lt;&gt;"",1+MAX($A$2:A637),"")</f>
        <v>593</v>
      </c>
      <c r="B638" s="148"/>
      <c r="C638" s="148" t="s">
        <v>650</v>
      </c>
      <c r="D638" s="150" t="s">
        <v>651</v>
      </c>
      <c r="E638" s="76">
        <v>1</v>
      </c>
      <c r="F638" s="65">
        <v>0</v>
      </c>
      <c r="G638" s="66">
        <f t="shared" si="120"/>
        <v>1</v>
      </c>
      <c r="H638" s="70" t="s">
        <v>35</v>
      </c>
      <c r="I638" s="97">
        <v>0</v>
      </c>
      <c r="J638" s="98">
        <f t="shared" si="121"/>
        <v>0</v>
      </c>
      <c r="K638" s="144">
        <v>50</v>
      </c>
      <c r="L638" s="100">
        <f t="shared" si="122"/>
        <v>0</v>
      </c>
      <c r="M638" s="100">
        <f t="shared" si="123"/>
        <v>0</v>
      </c>
      <c r="N638" s="100">
        <v>0</v>
      </c>
      <c r="O638" s="100">
        <f t="shared" si="124"/>
        <v>0</v>
      </c>
      <c r="P638" s="100">
        <f t="shared" si="125"/>
        <v>0</v>
      </c>
      <c r="Q638" s="124">
        <f t="shared" si="126"/>
        <v>0</v>
      </c>
      <c r="R638" s="118"/>
    </row>
    <row r="639" s="31" customFormat="1" ht="62.4" spans="1:18">
      <c r="A639" s="136">
        <f>IF(F639&lt;&gt;"",1+MAX($A$2:A638),"")</f>
        <v>594</v>
      </c>
      <c r="B639" s="148"/>
      <c r="C639" s="148" t="s">
        <v>652</v>
      </c>
      <c r="D639" s="150" t="s">
        <v>653</v>
      </c>
      <c r="E639" s="76">
        <v>1</v>
      </c>
      <c r="F639" s="65">
        <v>0</v>
      </c>
      <c r="G639" s="66">
        <f t="shared" si="120"/>
        <v>1</v>
      </c>
      <c r="H639" s="70" t="s">
        <v>35</v>
      </c>
      <c r="I639" s="97">
        <v>0</v>
      </c>
      <c r="J639" s="98">
        <f t="shared" si="121"/>
        <v>0</v>
      </c>
      <c r="K639" s="144">
        <v>50</v>
      </c>
      <c r="L639" s="100">
        <f t="shared" si="122"/>
        <v>0</v>
      </c>
      <c r="M639" s="100">
        <f t="shared" si="123"/>
        <v>0</v>
      </c>
      <c r="N639" s="100">
        <v>0</v>
      </c>
      <c r="O639" s="100">
        <f t="shared" si="124"/>
        <v>0</v>
      </c>
      <c r="P639" s="100">
        <f t="shared" si="125"/>
        <v>0</v>
      </c>
      <c r="Q639" s="124">
        <f t="shared" si="126"/>
        <v>0</v>
      </c>
      <c r="R639" s="118"/>
    </row>
    <row r="640" s="31" customFormat="1" ht="62.4" spans="1:18">
      <c r="A640" s="136">
        <f>IF(F640&lt;&gt;"",1+MAX($A$2:A639),"")</f>
        <v>595</v>
      </c>
      <c r="B640" s="148"/>
      <c r="C640" s="148" t="s">
        <v>654</v>
      </c>
      <c r="D640" s="150" t="s">
        <v>655</v>
      </c>
      <c r="E640" s="76">
        <v>1</v>
      </c>
      <c r="F640" s="65">
        <v>0</v>
      </c>
      <c r="G640" s="66">
        <f t="shared" si="120"/>
        <v>1</v>
      </c>
      <c r="H640" s="70" t="s">
        <v>35</v>
      </c>
      <c r="I640" s="97">
        <v>0</v>
      </c>
      <c r="J640" s="98">
        <f t="shared" si="121"/>
        <v>0</v>
      </c>
      <c r="K640" s="144">
        <v>50</v>
      </c>
      <c r="L640" s="100">
        <f t="shared" si="122"/>
        <v>0</v>
      </c>
      <c r="M640" s="100">
        <f t="shared" si="123"/>
        <v>0</v>
      </c>
      <c r="N640" s="100">
        <v>0</v>
      </c>
      <c r="O640" s="100">
        <f t="shared" si="124"/>
        <v>0</v>
      </c>
      <c r="P640" s="100">
        <f t="shared" si="125"/>
        <v>0</v>
      </c>
      <c r="Q640" s="124">
        <f t="shared" si="126"/>
        <v>0</v>
      </c>
      <c r="R640" s="118"/>
    </row>
    <row r="641" s="31" customFormat="1" ht="62.4" spans="1:18">
      <c r="A641" s="136">
        <f>IF(F641&lt;&gt;"",1+MAX($A$2:A640),"")</f>
        <v>596</v>
      </c>
      <c r="B641" s="148"/>
      <c r="C641" s="50" t="s">
        <v>656</v>
      </c>
      <c r="D641" s="216" t="s">
        <v>657</v>
      </c>
      <c r="E641" s="76">
        <v>1</v>
      </c>
      <c r="F641" s="65">
        <v>0</v>
      </c>
      <c r="G641" s="66">
        <f t="shared" si="120"/>
        <v>1</v>
      </c>
      <c r="H641" s="70" t="s">
        <v>35</v>
      </c>
      <c r="I641" s="97">
        <v>0</v>
      </c>
      <c r="J641" s="98">
        <f t="shared" si="121"/>
        <v>0</v>
      </c>
      <c r="K641" s="144">
        <v>50</v>
      </c>
      <c r="L641" s="100">
        <f t="shared" si="122"/>
        <v>0</v>
      </c>
      <c r="M641" s="100">
        <f t="shared" si="123"/>
        <v>0</v>
      </c>
      <c r="N641" s="100">
        <v>0</v>
      </c>
      <c r="O641" s="100">
        <f t="shared" si="124"/>
        <v>0</v>
      </c>
      <c r="P641" s="100">
        <f t="shared" si="125"/>
        <v>0</v>
      </c>
      <c r="Q641" s="124">
        <f t="shared" si="126"/>
        <v>0</v>
      </c>
      <c r="R641" s="118"/>
    </row>
    <row r="642" s="31" customFormat="1" ht="62.4" spans="1:18">
      <c r="A642" s="136">
        <f>IF(F642&lt;&gt;"",1+MAX($A$2:A641),"")</f>
        <v>597</v>
      </c>
      <c r="B642" s="148"/>
      <c r="C642" s="217" t="s">
        <v>658</v>
      </c>
      <c r="D642" s="150" t="s">
        <v>659</v>
      </c>
      <c r="E642" s="76">
        <v>1</v>
      </c>
      <c r="F642" s="65">
        <v>0</v>
      </c>
      <c r="G642" s="66">
        <f t="shared" si="120"/>
        <v>1</v>
      </c>
      <c r="H642" s="70" t="s">
        <v>35</v>
      </c>
      <c r="I642" s="97">
        <v>0</v>
      </c>
      <c r="J642" s="98">
        <f t="shared" si="121"/>
        <v>0</v>
      </c>
      <c r="K642" s="144">
        <v>50</v>
      </c>
      <c r="L642" s="100">
        <f t="shared" si="122"/>
        <v>0</v>
      </c>
      <c r="M642" s="100">
        <f t="shared" si="123"/>
        <v>0</v>
      </c>
      <c r="N642" s="100">
        <v>0</v>
      </c>
      <c r="O642" s="100">
        <f t="shared" si="124"/>
        <v>0</v>
      </c>
      <c r="P642" s="100">
        <f t="shared" si="125"/>
        <v>0</v>
      </c>
      <c r="Q642" s="124">
        <f t="shared" si="126"/>
        <v>0</v>
      </c>
      <c r="R642" s="118"/>
    </row>
    <row r="643" s="31" customFormat="1" ht="62.4" spans="1:18">
      <c r="A643" s="136">
        <f>IF(F643&lt;&gt;"",1+MAX($A$2:A642),"")</f>
        <v>598</v>
      </c>
      <c r="B643" s="148"/>
      <c r="C643" s="148" t="s">
        <v>660</v>
      </c>
      <c r="D643" s="150" t="s">
        <v>661</v>
      </c>
      <c r="E643" s="76">
        <v>1</v>
      </c>
      <c r="F643" s="65">
        <v>0</v>
      </c>
      <c r="G643" s="66">
        <f t="shared" si="120"/>
        <v>1</v>
      </c>
      <c r="H643" s="70" t="s">
        <v>35</v>
      </c>
      <c r="I643" s="97">
        <v>0</v>
      </c>
      <c r="J643" s="98">
        <f t="shared" si="121"/>
        <v>0</v>
      </c>
      <c r="K643" s="144">
        <v>50</v>
      </c>
      <c r="L643" s="100">
        <f t="shared" si="122"/>
        <v>0</v>
      </c>
      <c r="M643" s="100">
        <f t="shared" si="123"/>
        <v>0</v>
      </c>
      <c r="N643" s="100">
        <v>0</v>
      </c>
      <c r="O643" s="100">
        <f t="shared" si="124"/>
        <v>0</v>
      </c>
      <c r="P643" s="100">
        <f t="shared" si="125"/>
        <v>0</v>
      </c>
      <c r="Q643" s="124">
        <f t="shared" si="126"/>
        <v>0</v>
      </c>
      <c r="R643" s="118"/>
    </row>
    <row r="644" s="31" customFormat="1" ht="62.4" spans="1:18">
      <c r="A644" s="136">
        <f>IF(F644&lt;&gt;"",1+MAX($A$2:A643),"")</f>
        <v>599</v>
      </c>
      <c r="B644" s="148"/>
      <c r="C644" s="148" t="s">
        <v>662</v>
      </c>
      <c r="D644" s="150" t="s">
        <v>663</v>
      </c>
      <c r="E644" s="76">
        <v>1</v>
      </c>
      <c r="F644" s="65">
        <v>0</v>
      </c>
      <c r="G644" s="66">
        <f t="shared" si="120"/>
        <v>1</v>
      </c>
      <c r="H644" s="70" t="s">
        <v>35</v>
      </c>
      <c r="I644" s="97">
        <v>0</v>
      </c>
      <c r="J644" s="98">
        <f t="shared" si="121"/>
        <v>0</v>
      </c>
      <c r="K644" s="144">
        <v>50</v>
      </c>
      <c r="L644" s="100">
        <f t="shared" si="122"/>
        <v>0</v>
      </c>
      <c r="M644" s="100">
        <f t="shared" si="123"/>
        <v>0</v>
      </c>
      <c r="N644" s="100">
        <v>0</v>
      </c>
      <c r="O644" s="100">
        <f t="shared" si="124"/>
        <v>0</v>
      </c>
      <c r="P644" s="100">
        <f t="shared" si="125"/>
        <v>0</v>
      </c>
      <c r="Q644" s="124">
        <f t="shared" si="126"/>
        <v>0</v>
      </c>
      <c r="R644" s="118"/>
    </row>
    <row r="645" s="31" customFormat="1" ht="62.4" spans="1:18">
      <c r="A645" s="136">
        <f>IF(F645&lt;&gt;"",1+MAX($A$2:A644),"")</f>
        <v>600</v>
      </c>
      <c r="B645" s="148"/>
      <c r="C645" s="148" t="s">
        <v>664</v>
      </c>
      <c r="D645" s="150" t="s">
        <v>665</v>
      </c>
      <c r="E645" s="76">
        <v>1</v>
      </c>
      <c r="F645" s="65">
        <v>0</v>
      </c>
      <c r="G645" s="66">
        <v>1</v>
      </c>
      <c r="H645" s="70" t="s">
        <v>35</v>
      </c>
      <c r="I645" s="97">
        <v>0</v>
      </c>
      <c r="J645" s="98">
        <f t="shared" si="121"/>
        <v>0</v>
      </c>
      <c r="K645" s="144">
        <v>50</v>
      </c>
      <c r="L645" s="100">
        <f t="shared" si="122"/>
        <v>0</v>
      </c>
      <c r="M645" s="100">
        <f t="shared" si="123"/>
        <v>0</v>
      </c>
      <c r="N645" s="100">
        <v>0</v>
      </c>
      <c r="O645" s="100">
        <f t="shared" si="124"/>
        <v>0</v>
      </c>
      <c r="P645" s="100">
        <f t="shared" si="125"/>
        <v>0</v>
      </c>
      <c r="Q645" s="124">
        <f t="shared" si="126"/>
        <v>0</v>
      </c>
      <c r="R645" s="118"/>
    </row>
    <row r="646" s="31" customFormat="1" ht="62.4" spans="1:18">
      <c r="A646" s="136">
        <f>IF(F646&lt;&gt;"",1+MAX($A$2:A645),"")</f>
        <v>601</v>
      </c>
      <c r="B646" s="148"/>
      <c r="C646" s="148" t="s">
        <v>666</v>
      </c>
      <c r="D646" s="150" t="s">
        <v>667</v>
      </c>
      <c r="E646" s="76">
        <v>1</v>
      </c>
      <c r="F646" s="65">
        <v>0</v>
      </c>
      <c r="G646" s="66">
        <v>6</v>
      </c>
      <c r="H646" s="70" t="s">
        <v>35</v>
      </c>
      <c r="I646" s="97">
        <v>0</v>
      </c>
      <c r="J646" s="98">
        <f t="shared" si="121"/>
        <v>0</v>
      </c>
      <c r="K646" s="144">
        <v>50</v>
      </c>
      <c r="L646" s="100">
        <f t="shared" si="122"/>
        <v>0</v>
      </c>
      <c r="M646" s="100">
        <f t="shared" si="123"/>
        <v>0</v>
      </c>
      <c r="N646" s="100">
        <v>0</v>
      </c>
      <c r="O646" s="100">
        <f t="shared" si="124"/>
        <v>0</v>
      </c>
      <c r="P646" s="100">
        <f t="shared" si="125"/>
        <v>0</v>
      </c>
      <c r="Q646" s="124">
        <f t="shared" si="126"/>
        <v>0</v>
      </c>
      <c r="R646" s="118"/>
    </row>
    <row r="647" s="31" customFormat="1" ht="62.4" spans="1:18">
      <c r="A647" s="136">
        <f>IF(F647&lt;&gt;"",1+MAX($A$2:A646),"")</f>
        <v>602</v>
      </c>
      <c r="B647" s="148"/>
      <c r="C647" s="148" t="s">
        <v>668</v>
      </c>
      <c r="D647" s="150" t="s">
        <v>669</v>
      </c>
      <c r="E647" s="76">
        <v>1</v>
      </c>
      <c r="F647" s="65">
        <v>0</v>
      </c>
      <c r="G647" s="66">
        <v>6</v>
      </c>
      <c r="H647" s="70" t="s">
        <v>35</v>
      </c>
      <c r="I647" s="97">
        <v>0</v>
      </c>
      <c r="J647" s="98">
        <f t="shared" si="121"/>
        <v>0</v>
      </c>
      <c r="K647" s="144">
        <v>50</v>
      </c>
      <c r="L647" s="100">
        <f t="shared" si="122"/>
        <v>0</v>
      </c>
      <c r="M647" s="100">
        <f t="shared" si="123"/>
        <v>0</v>
      </c>
      <c r="N647" s="100">
        <v>0</v>
      </c>
      <c r="O647" s="100">
        <f t="shared" si="124"/>
        <v>0</v>
      </c>
      <c r="P647" s="100">
        <f t="shared" si="125"/>
        <v>0</v>
      </c>
      <c r="Q647" s="124">
        <f t="shared" si="126"/>
        <v>0</v>
      </c>
      <c r="R647" s="118"/>
    </row>
    <row r="648" s="31" customFormat="1" ht="62.4" spans="1:18">
      <c r="A648" s="136">
        <f>IF(F648&lt;&gt;"",1+MAX($A$2:A647),"")</f>
        <v>603</v>
      </c>
      <c r="B648" s="148"/>
      <c r="C648" s="148" t="s">
        <v>670</v>
      </c>
      <c r="D648" s="150" t="s">
        <v>671</v>
      </c>
      <c r="E648" s="76">
        <v>1</v>
      </c>
      <c r="F648" s="65">
        <v>0</v>
      </c>
      <c r="G648" s="66">
        <v>4</v>
      </c>
      <c r="H648" s="70" t="s">
        <v>35</v>
      </c>
      <c r="I648" s="97">
        <v>0</v>
      </c>
      <c r="J648" s="98">
        <f t="shared" si="121"/>
        <v>0</v>
      </c>
      <c r="K648" s="144">
        <v>50</v>
      </c>
      <c r="L648" s="100">
        <f t="shared" si="122"/>
        <v>0</v>
      </c>
      <c r="M648" s="100">
        <f t="shared" si="123"/>
        <v>0</v>
      </c>
      <c r="N648" s="100">
        <v>0</v>
      </c>
      <c r="O648" s="100">
        <f t="shared" si="124"/>
        <v>0</v>
      </c>
      <c r="P648" s="100">
        <f t="shared" si="125"/>
        <v>0</v>
      </c>
      <c r="Q648" s="124">
        <f t="shared" si="126"/>
        <v>0</v>
      </c>
      <c r="R648" s="118"/>
    </row>
    <row r="649" s="31" customFormat="1" ht="62.4" spans="1:18">
      <c r="A649" s="136">
        <f>IF(F649&lt;&gt;"",1+MAX($A$2:A648),"")</f>
        <v>604</v>
      </c>
      <c r="B649" s="148"/>
      <c r="C649" s="148" t="s">
        <v>672</v>
      </c>
      <c r="D649" s="150" t="s">
        <v>673</v>
      </c>
      <c r="E649" s="76">
        <v>1</v>
      </c>
      <c r="F649" s="65">
        <v>0</v>
      </c>
      <c r="G649" s="66">
        <v>2</v>
      </c>
      <c r="H649" s="70" t="s">
        <v>35</v>
      </c>
      <c r="I649" s="97">
        <v>0</v>
      </c>
      <c r="J649" s="98">
        <f t="shared" si="121"/>
        <v>0</v>
      </c>
      <c r="K649" s="144">
        <v>50</v>
      </c>
      <c r="L649" s="100">
        <f t="shared" si="122"/>
        <v>0</v>
      </c>
      <c r="M649" s="100">
        <f t="shared" si="123"/>
        <v>0</v>
      </c>
      <c r="N649" s="100">
        <v>0</v>
      </c>
      <c r="O649" s="100">
        <f t="shared" si="124"/>
        <v>0</v>
      </c>
      <c r="P649" s="100">
        <f t="shared" si="125"/>
        <v>0</v>
      </c>
      <c r="Q649" s="124">
        <f t="shared" si="126"/>
        <v>0</v>
      </c>
      <c r="R649" s="118"/>
    </row>
    <row r="650" s="31" customFormat="1" ht="62.4" spans="1:18">
      <c r="A650" s="136">
        <f>IF(F650&lt;&gt;"",1+MAX($A$2:A649),"")</f>
        <v>605</v>
      </c>
      <c r="B650" s="148"/>
      <c r="C650" s="148" t="s">
        <v>674</v>
      </c>
      <c r="D650" s="150" t="s">
        <v>673</v>
      </c>
      <c r="E650" s="76">
        <v>1</v>
      </c>
      <c r="F650" s="65">
        <v>0</v>
      </c>
      <c r="G650" s="66">
        <v>5</v>
      </c>
      <c r="H650" s="70" t="s">
        <v>35</v>
      </c>
      <c r="I650" s="97">
        <v>0</v>
      </c>
      <c r="J650" s="98">
        <f t="shared" si="121"/>
        <v>0</v>
      </c>
      <c r="K650" s="144">
        <v>50</v>
      </c>
      <c r="L650" s="100">
        <f t="shared" si="122"/>
        <v>0</v>
      </c>
      <c r="M650" s="100">
        <f t="shared" si="123"/>
        <v>0</v>
      </c>
      <c r="N650" s="100">
        <v>0</v>
      </c>
      <c r="O650" s="100">
        <f t="shared" si="124"/>
        <v>0</v>
      </c>
      <c r="P650" s="100">
        <f t="shared" si="125"/>
        <v>0</v>
      </c>
      <c r="Q650" s="124">
        <f t="shared" si="126"/>
        <v>0</v>
      </c>
      <c r="R650" s="118"/>
    </row>
    <row r="651" s="31" customFormat="1" ht="62.4" spans="1:18">
      <c r="A651" s="136">
        <f>IF(F651&lt;&gt;"",1+MAX($A$2:A650),"")</f>
        <v>606</v>
      </c>
      <c r="B651" s="148"/>
      <c r="C651" s="148" t="s">
        <v>675</v>
      </c>
      <c r="D651" s="150" t="s">
        <v>673</v>
      </c>
      <c r="E651" s="76">
        <v>1</v>
      </c>
      <c r="F651" s="65">
        <v>0</v>
      </c>
      <c r="G651" s="66">
        <v>1</v>
      </c>
      <c r="H651" s="70" t="s">
        <v>35</v>
      </c>
      <c r="I651" s="97">
        <v>0</v>
      </c>
      <c r="J651" s="98">
        <f t="shared" si="121"/>
        <v>0</v>
      </c>
      <c r="K651" s="144">
        <v>50</v>
      </c>
      <c r="L651" s="100">
        <f t="shared" si="122"/>
        <v>0</v>
      </c>
      <c r="M651" s="100">
        <f t="shared" si="123"/>
        <v>0</v>
      </c>
      <c r="N651" s="100">
        <v>0</v>
      </c>
      <c r="O651" s="100">
        <f t="shared" si="124"/>
        <v>0</v>
      </c>
      <c r="P651" s="100">
        <f t="shared" si="125"/>
        <v>0</v>
      </c>
      <c r="Q651" s="124">
        <f t="shared" si="126"/>
        <v>0</v>
      </c>
      <c r="R651" s="118"/>
    </row>
    <row r="652" s="31" customFormat="1" ht="62.4" spans="1:18">
      <c r="A652" s="136">
        <f>IF(F652&lt;&gt;"",1+MAX($A$2:A651),"")</f>
        <v>607</v>
      </c>
      <c r="B652" s="148"/>
      <c r="C652" s="148" t="s">
        <v>676</v>
      </c>
      <c r="D652" s="150" t="s">
        <v>673</v>
      </c>
      <c r="E652" s="76">
        <v>1</v>
      </c>
      <c r="F652" s="65">
        <v>0</v>
      </c>
      <c r="G652" s="66">
        <v>1</v>
      </c>
      <c r="H652" s="70" t="s">
        <v>35</v>
      </c>
      <c r="I652" s="97">
        <v>0</v>
      </c>
      <c r="J652" s="98">
        <f t="shared" si="121"/>
        <v>0</v>
      </c>
      <c r="K652" s="144">
        <v>50</v>
      </c>
      <c r="L652" s="100">
        <f t="shared" si="122"/>
        <v>0</v>
      </c>
      <c r="M652" s="100">
        <f t="shared" si="123"/>
        <v>0</v>
      </c>
      <c r="N652" s="100">
        <v>0</v>
      </c>
      <c r="O652" s="100">
        <f t="shared" si="124"/>
        <v>0</v>
      </c>
      <c r="P652" s="100">
        <f t="shared" si="125"/>
        <v>0</v>
      </c>
      <c r="Q652" s="124">
        <f t="shared" si="126"/>
        <v>0</v>
      </c>
      <c r="R652" s="118"/>
    </row>
    <row r="653" s="31" customFormat="1" ht="62.4" spans="1:18">
      <c r="A653" s="136">
        <f>IF(F653&lt;&gt;"",1+MAX($A$2:A652),"")</f>
        <v>608</v>
      </c>
      <c r="B653" s="148"/>
      <c r="C653" s="148" t="s">
        <v>677</v>
      </c>
      <c r="D653" s="150" t="s">
        <v>678</v>
      </c>
      <c r="E653" s="76">
        <v>1</v>
      </c>
      <c r="F653" s="65">
        <v>0</v>
      </c>
      <c r="G653" s="66">
        <v>1</v>
      </c>
      <c r="H653" s="70" t="s">
        <v>35</v>
      </c>
      <c r="I653" s="97">
        <v>0</v>
      </c>
      <c r="J653" s="98">
        <f t="shared" si="121"/>
        <v>0</v>
      </c>
      <c r="K653" s="144">
        <v>50</v>
      </c>
      <c r="L653" s="100">
        <f t="shared" si="122"/>
        <v>0</v>
      </c>
      <c r="M653" s="100">
        <f t="shared" si="123"/>
        <v>0</v>
      </c>
      <c r="N653" s="100">
        <v>0</v>
      </c>
      <c r="O653" s="100">
        <f t="shared" si="124"/>
        <v>0</v>
      </c>
      <c r="P653" s="100">
        <f t="shared" si="125"/>
        <v>0</v>
      </c>
      <c r="Q653" s="124">
        <f t="shared" si="126"/>
        <v>0</v>
      </c>
      <c r="R653" s="118"/>
    </row>
    <row r="654" s="31" customFormat="1" ht="62.4" spans="1:18">
      <c r="A654" s="136">
        <f>IF(F654&lt;&gt;"",1+MAX($A$2:A653),"")</f>
        <v>609</v>
      </c>
      <c r="B654" s="148"/>
      <c r="C654" s="148" t="s">
        <v>679</v>
      </c>
      <c r="D654" s="150" t="s">
        <v>680</v>
      </c>
      <c r="E654" s="76">
        <v>1</v>
      </c>
      <c r="F654" s="65">
        <v>0</v>
      </c>
      <c r="G654" s="66">
        <v>1</v>
      </c>
      <c r="H654" s="70" t="s">
        <v>35</v>
      </c>
      <c r="I654" s="97">
        <v>0</v>
      </c>
      <c r="J654" s="98">
        <f t="shared" si="121"/>
        <v>0</v>
      </c>
      <c r="K654" s="144">
        <v>50</v>
      </c>
      <c r="L654" s="100">
        <f t="shared" si="122"/>
        <v>0</v>
      </c>
      <c r="M654" s="100">
        <f t="shared" si="123"/>
        <v>0</v>
      </c>
      <c r="N654" s="100">
        <v>0</v>
      </c>
      <c r="O654" s="100">
        <f t="shared" si="124"/>
        <v>0</v>
      </c>
      <c r="P654" s="100">
        <f t="shared" si="125"/>
        <v>0</v>
      </c>
      <c r="Q654" s="124">
        <f t="shared" si="126"/>
        <v>0</v>
      </c>
      <c r="R654" s="118"/>
    </row>
    <row r="655" s="31" customFormat="1" ht="62.4" spans="1:18">
      <c r="A655" s="136">
        <f>IF(F655&lt;&gt;"",1+MAX($A$2:A654),"")</f>
        <v>610</v>
      </c>
      <c r="B655" s="148"/>
      <c r="C655" s="148" t="s">
        <v>650</v>
      </c>
      <c r="D655" s="216" t="s">
        <v>651</v>
      </c>
      <c r="E655" s="76">
        <v>1</v>
      </c>
      <c r="F655" s="65">
        <v>0</v>
      </c>
      <c r="G655" s="66">
        <f t="shared" ref="G655:G718" si="127">(F655*E655)+E655</f>
        <v>1</v>
      </c>
      <c r="H655" s="70" t="s">
        <v>35</v>
      </c>
      <c r="I655" s="97">
        <v>0</v>
      </c>
      <c r="J655" s="98">
        <f t="shared" si="121"/>
        <v>0</v>
      </c>
      <c r="K655" s="144">
        <v>50</v>
      </c>
      <c r="L655" s="100">
        <f t="shared" si="122"/>
        <v>0</v>
      </c>
      <c r="M655" s="100">
        <f t="shared" si="123"/>
        <v>0</v>
      </c>
      <c r="N655" s="100">
        <v>0</v>
      </c>
      <c r="O655" s="100">
        <f t="shared" si="124"/>
        <v>0</v>
      </c>
      <c r="P655" s="100">
        <f t="shared" si="125"/>
        <v>0</v>
      </c>
      <c r="Q655" s="124">
        <f t="shared" si="126"/>
        <v>0</v>
      </c>
      <c r="R655" s="118"/>
    </row>
    <row r="656" s="31" customFormat="1" ht="62.4" spans="1:18">
      <c r="A656" s="136">
        <f>IF(F656&lt;&gt;"",1+MAX($A$2:A655),"")</f>
        <v>611</v>
      </c>
      <c r="B656" s="148"/>
      <c r="C656" s="148" t="s">
        <v>652</v>
      </c>
      <c r="D656" s="216" t="s">
        <v>653</v>
      </c>
      <c r="E656" s="76">
        <v>1</v>
      </c>
      <c r="F656" s="65">
        <v>0</v>
      </c>
      <c r="G656" s="66">
        <f t="shared" si="127"/>
        <v>1</v>
      </c>
      <c r="H656" s="70" t="s">
        <v>35</v>
      </c>
      <c r="I656" s="97">
        <v>0</v>
      </c>
      <c r="J656" s="98">
        <f t="shared" si="121"/>
        <v>0</v>
      </c>
      <c r="K656" s="144">
        <v>50</v>
      </c>
      <c r="L656" s="100">
        <f t="shared" si="122"/>
        <v>0</v>
      </c>
      <c r="M656" s="100">
        <f t="shared" si="123"/>
        <v>0</v>
      </c>
      <c r="N656" s="100">
        <v>0</v>
      </c>
      <c r="O656" s="100">
        <f t="shared" si="124"/>
        <v>0</v>
      </c>
      <c r="P656" s="100">
        <f t="shared" si="125"/>
        <v>0</v>
      </c>
      <c r="Q656" s="124">
        <f t="shared" si="126"/>
        <v>0</v>
      </c>
      <c r="R656" s="118"/>
    </row>
    <row r="657" s="31" customFormat="1" spans="1:18">
      <c r="A657" s="136">
        <f>IF(F657&lt;&gt;"",1+MAX($A$2:A656),"")</f>
        <v>612</v>
      </c>
      <c r="B657" s="148"/>
      <c r="C657" s="148" t="s">
        <v>681</v>
      </c>
      <c r="D657" s="216" t="s">
        <v>682</v>
      </c>
      <c r="E657" s="76">
        <v>1</v>
      </c>
      <c r="F657" s="65">
        <v>0</v>
      </c>
      <c r="G657" s="66">
        <f t="shared" si="127"/>
        <v>1</v>
      </c>
      <c r="H657" s="70" t="s">
        <v>35</v>
      </c>
      <c r="I657" s="97">
        <v>0</v>
      </c>
      <c r="J657" s="98">
        <f t="shared" si="121"/>
        <v>0</v>
      </c>
      <c r="K657" s="144">
        <v>50</v>
      </c>
      <c r="L657" s="100">
        <f t="shared" si="122"/>
        <v>0</v>
      </c>
      <c r="M657" s="100">
        <f t="shared" si="123"/>
        <v>0</v>
      </c>
      <c r="N657" s="100">
        <v>0</v>
      </c>
      <c r="O657" s="100">
        <f t="shared" si="124"/>
        <v>0</v>
      </c>
      <c r="P657" s="100">
        <f t="shared" si="125"/>
        <v>0</v>
      </c>
      <c r="Q657" s="124">
        <f t="shared" si="126"/>
        <v>0</v>
      </c>
      <c r="R657" s="118"/>
    </row>
    <row r="658" s="31" customFormat="1" spans="1:18">
      <c r="A658" s="136">
        <f>IF(F658&lt;&gt;"",1+MAX($A$2:A657),"")</f>
        <v>613</v>
      </c>
      <c r="B658" s="148"/>
      <c r="C658" s="148" t="s">
        <v>683</v>
      </c>
      <c r="D658" s="216" t="s">
        <v>684</v>
      </c>
      <c r="E658" s="76">
        <v>1</v>
      </c>
      <c r="F658" s="65">
        <v>0</v>
      </c>
      <c r="G658" s="66">
        <f t="shared" si="127"/>
        <v>1</v>
      </c>
      <c r="H658" s="70" t="s">
        <v>35</v>
      </c>
      <c r="I658" s="97">
        <v>0</v>
      </c>
      <c r="J658" s="98">
        <f t="shared" si="121"/>
        <v>0</v>
      </c>
      <c r="K658" s="144">
        <v>50</v>
      </c>
      <c r="L658" s="100">
        <f t="shared" si="122"/>
        <v>0</v>
      </c>
      <c r="M658" s="100">
        <f t="shared" si="123"/>
        <v>0</v>
      </c>
      <c r="N658" s="100">
        <v>0</v>
      </c>
      <c r="O658" s="100">
        <f t="shared" si="124"/>
        <v>0</v>
      </c>
      <c r="P658" s="100">
        <f t="shared" si="125"/>
        <v>0</v>
      </c>
      <c r="Q658" s="124">
        <f t="shared" si="126"/>
        <v>0</v>
      </c>
      <c r="R658" s="118"/>
    </row>
    <row r="659" s="31" customFormat="1" ht="62.4" spans="1:18">
      <c r="A659" s="136">
        <f>IF(F659&lt;&gt;"",1+MAX($A$2:A658),"")</f>
        <v>614</v>
      </c>
      <c r="B659" s="148"/>
      <c r="C659" s="148" t="s">
        <v>676</v>
      </c>
      <c r="D659" s="216" t="s">
        <v>685</v>
      </c>
      <c r="E659" s="76">
        <v>1</v>
      </c>
      <c r="F659" s="65">
        <v>0</v>
      </c>
      <c r="G659" s="66">
        <f t="shared" si="127"/>
        <v>1</v>
      </c>
      <c r="H659" s="70" t="s">
        <v>35</v>
      </c>
      <c r="I659" s="97">
        <v>0</v>
      </c>
      <c r="J659" s="98">
        <f t="shared" si="121"/>
        <v>0</v>
      </c>
      <c r="K659" s="144">
        <v>50</v>
      </c>
      <c r="L659" s="100">
        <f t="shared" si="122"/>
        <v>0</v>
      </c>
      <c r="M659" s="100">
        <f t="shared" si="123"/>
        <v>0</v>
      </c>
      <c r="N659" s="100">
        <v>0</v>
      </c>
      <c r="O659" s="100">
        <f t="shared" si="124"/>
        <v>0</v>
      </c>
      <c r="P659" s="100">
        <f t="shared" si="125"/>
        <v>0</v>
      </c>
      <c r="Q659" s="124">
        <f t="shared" si="126"/>
        <v>0</v>
      </c>
      <c r="R659" s="118"/>
    </row>
    <row r="660" s="31" customFormat="1" ht="62.4" spans="1:18">
      <c r="A660" s="136">
        <f>IF(F660&lt;&gt;"",1+MAX($A$2:A659),"")</f>
        <v>615</v>
      </c>
      <c r="B660" s="148"/>
      <c r="C660" s="148" t="s">
        <v>686</v>
      </c>
      <c r="D660" s="216" t="s">
        <v>687</v>
      </c>
      <c r="E660" s="76">
        <v>1</v>
      </c>
      <c r="F660" s="65">
        <v>0</v>
      </c>
      <c r="G660" s="66">
        <f t="shared" si="127"/>
        <v>1</v>
      </c>
      <c r="H660" s="70" t="s">
        <v>35</v>
      </c>
      <c r="I660" s="97">
        <v>0</v>
      </c>
      <c r="J660" s="98">
        <f t="shared" si="121"/>
        <v>0</v>
      </c>
      <c r="K660" s="144">
        <v>50</v>
      </c>
      <c r="L660" s="100">
        <f t="shared" si="122"/>
        <v>0</v>
      </c>
      <c r="M660" s="100">
        <f t="shared" si="123"/>
        <v>0</v>
      </c>
      <c r="N660" s="100">
        <v>0</v>
      </c>
      <c r="O660" s="100">
        <f t="shared" si="124"/>
        <v>0</v>
      </c>
      <c r="P660" s="100">
        <f t="shared" si="125"/>
        <v>0</v>
      </c>
      <c r="Q660" s="124">
        <f t="shared" si="126"/>
        <v>0</v>
      </c>
      <c r="R660" s="118"/>
    </row>
    <row r="661" s="31" customFormat="1" ht="62.4" spans="1:18">
      <c r="A661" s="136">
        <f>IF(F661&lt;&gt;"",1+MAX($A$2:A660),"")</f>
        <v>616</v>
      </c>
      <c r="B661" s="148"/>
      <c r="C661" s="148" t="s">
        <v>688</v>
      </c>
      <c r="D661" s="216" t="s">
        <v>689</v>
      </c>
      <c r="E661" s="76">
        <v>1</v>
      </c>
      <c r="F661" s="65">
        <v>0</v>
      </c>
      <c r="G661" s="66">
        <f t="shared" si="127"/>
        <v>1</v>
      </c>
      <c r="H661" s="70" t="s">
        <v>35</v>
      </c>
      <c r="I661" s="97">
        <v>0</v>
      </c>
      <c r="J661" s="98">
        <f t="shared" si="121"/>
        <v>0</v>
      </c>
      <c r="K661" s="144">
        <v>50</v>
      </c>
      <c r="L661" s="100">
        <f t="shared" si="122"/>
        <v>0</v>
      </c>
      <c r="M661" s="100">
        <f t="shared" si="123"/>
        <v>0</v>
      </c>
      <c r="N661" s="100">
        <v>0</v>
      </c>
      <c r="O661" s="100">
        <f t="shared" si="124"/>
        <v>0</v>
      </c>
      <c r="P661" s="100">
        <f t="shared" si="125"/>
        <v>0</v>
      </c>
      <c r="Q661" s="124">
        <f t="shared" si="126"/>
        <v>0</v>
      </c>
      <c r="R661" s="118"/>
    </row>
    <row r="662" s="31" customFormat="1" ht="62.4" spans="1:18">
      <c r="A662" s="136">
        <f>IF(F662&lt;&gt;"",1+MAX($A$2:A661),"")</f>
        <v>617</v>
      </c>
      <c r="B662" s="148"/>
      <c r="C662" s="148" t="s">
        <v>690</v>
      </c>
      <c r="D662" s="216" t="s">
        <v>691</v>
      </c>
      <c r="E662" s="76">
        <v>1</v>
      </c>
      <c r="F662" s="65">
        <v>0</v>
      </c>
      <c r="G662" s="66">
        <f t="shared" si="127"/>
        <v>1</v>
      </c>
      <c r="H662" s="70" t="s">
        <v>35</v>
      </c>
      <c r="I662" s="97">
        <v>0</v>
      </c>
      <c r="J662" s="98">
        <f t="shared" si="121"/>
        <v>0</v>
      </c>
      <c r="K662" s="144">
        <v>50</v>
      </c>
      <c r="L662" s="100">
        <f t="shared" si="122"/>
        <v>0</v>
      </c>
      <c r="M662" s="100">
        <f t="shared" si="123"/>
        <v>0</v>
      </c>
      <c r="N662" s="100">
        <v>0</v>
      </c>
      <c r="O662" s="100">
        <f t="shared" si="124"/>
        <v>0</v>
      </c>
      <c r="P662" s="100">
        <f t="shared" si="125"/>
        <v>0</v>
      </c>
      <c r="Q662" s="124">
        <f t="shared" si="126"/>
        <v>0</v>
      </c>
      <c r="R662" s="118"/>
    </row>
    <row r="663" s="31" customFormat="1" ht="62.4" spans="1:18">
      <c r="A663" s="136">
        <f>IF(F663&lt;&gt;"",1+MAX($A$2:A662),"")</f>
        <v>618</v>
      </c>
      <c r="B663" s="148"/>
      <c r="C663" s="148" t="s">
        <v>692</v>
      </c>
      <c r="D663" s="216" t="s">
        <v>693</v>
      </c>
      <c r="E663" s="76">
        <v>1</v>
      </c>
      <c r="F663" s="65">
        <v>0</v>
      </c>
      <c r="G663" s="66">
        <f t="shared" si="127"/>
        <v>1</v>
      </c>
      <c r="H663" s="70" t="s">
        <v>35</v>
      </c>
      <c r="I663" s="97">
        <v>0</v>
      </c>
      <c r="J663" s="98">
        <f t="shared" si="121"/>
        <v>0</v>
      </c>
      <c r="K663" s="144">
        <v>50</v>
      </c>
      <c r="L663" s="100">
        <f t="shared" si="122"/>
        <v>0</v>
      </c>
      <c r="M663" s="100">
        <f t="shared" si="123"/>
        <v>0</v>
      </c>
      <c r="N663" s="100">
        <v>0</v>
      </c>
      <c r="O663" s="100">
        <f t="shared" si="124"/>
        <v>0</v>
      </c>
      <c r="P663" s="100">
        <f t="shared" si="125"/>
        <v>0</v>
      </c>
      <c r="Q663" s="124">
        <f t="shared" si="126"/>
        <v>0</v>
      </c>
      <c r="R663" s="118"/>
    </row>
    <row r="664" s="31" customFormat="1" ht="62.4" spans="1:18">
      <c r="A664" s="136">
        <f>IF(F664&lt;&gt;"",1+MAX($A$2:A663),"")</f>
        <v>619</v>
      </c>
      <c r="B664" s="148"/>
      <c r="C664" s="148" t="s">
        <v>694</v>
      </c>
      <c r="D664" s="216" t="s">
        <v>695</v>
      </c>
      <c r="E664" s="76">
        <v>1</v>
      </c>
      <c r="F664" s="65">
        <v>0</v>
      </c>
      <c r="G664" s="66">
        <f t="shared" si="127"/>
        <v>1</v>
      </c>
      <c r="H664" s="70" t="s">
        <v>35</v>
      </c>
      <c r="I664" s="97">
        <v>0</v>
      </c>
      <c r="J664" s="98">
        <f t="shared" si="121"/>
        <v>0</v>
      </c>
      <c r="K664" s="144">
        <v>50</v>
      </c>
      <c r="L664" s="100">
        <f t="shared" si="122"/>
        <v>0</v>
      </c>
      <c r="M664" s="100">
        <f t="shared" si="123"/>
        <v>0</v>
      </c>
      <c r="N664" s="100">
        <v>0</v>
      </c>
      <c r="O664" s="100">
        <f t="shared" si="124"/>
        <v>0</v>
      </c>
      <c r="P664" s="100">
        <f t="shared" si="125"/>
        <v>0</v>
      </c>
      <c r="Q664" s="124">
        <f t="shared" si="126"/>
        <v>0</v>
      </c>
      <c r="R664" s="118"/>
    </row>
    <row r="665" s="31" customFormat="1" ht="62.4" spans="1:18">
      <c r="A665" s="136">
        <f>IF(F665&lt;&gt;"",1+MAX($A$2:A664),"")</f>
        <v>620</v>
      </c>
      <c r="B665" s="148"/>
      <c r="C665" s="148" t="s">
        <v>696</v>
      </c>
      <c r="D665" s="216" t="s">
        <v>697</v>
      </c>
      <c r="E665" s="76">
        <v>1</v>
      </c>
      <c r="F665" s="65">
        <v>0</v>
      </c>
      <c r="G665" s="66">
        <f t="shared" si="127"/>
        <v>1</v>
      </c>
      <c r="H665" s="70" t="s">
        <v>35</v>
      </c>
      <c r="I665" s="97">
        <v>0</v>
      </c>
      <c r="J665" s="98">
        <f t="shared" si="121"/>
        <v>0</v>
      </c>
      <c r="K665" s="144">
        <v>50</v>
      </c>
      <c r="L665" s="100">
        <f t="shared" si="122"/>
        <v>0</v>
      </c>
      <c r="M665" s="100">
        <f t="shared" si="123"/>
        <v>0</v>
      </c>
      <c r="N665" s="100">
        <v>0</v>
      </c>
      <c r="O665" s="100">
        <f t="shared" si="124"/>
        <v>0</v>
      </c>
      <c r="P665" s="100">
        <f t="shared" si="125"/>
        <v>0</v>
      </c>
      <c r="Q665" s="124">
        <f t="shared" si="126"/>
        <v>0</v>
      </c>
      <c r="R665" s="118"/>
    </row>
    <row r="666" s="31" customFormat="1" ht="31.2" spans="1:18">
      <c r="A666" s="136">
        <f>IF(F666&lt;&gt;"",1+MAX($A$2:A665),"")</f>
        <v>621</v>
      </c>
      <c r="B666" s="148"/>
      <c r="C666" s="148" t="s">
        <v>698</v>
      </c>
      <c r="D666" s="216" t="s">
        <v>699</v>
      </c>
      <c r="E666" s="76">
        <v>1</v>
      </c>
      <c r="F666" s="65">
        <v>0</v>
      </c>
      <c r="G666" s="66">
        <f t="shared" si="127"/>
        <v>1</v>
      </c>
      <c r="H666" s="70" t="s">
        <v>35</v>
      </c>
      <c r="I666" s="97">
        <v>0</v>
      </c>
      <c r="J666" s="98">
        <f t="shared" si="121"/>
        <v>0</v>
      </c>
      <c r="K666" s="144">
        <v>50</v>
      </c>
      <c r="L666" s="100">
        <f t="shared" si="122"/>
        <v>0</v>
      </c>
      <c r="M666" s="100">
        <f t="shared" si="123"/>
        <v>0</v>
      </c>
      <c r="N666" s="100">
        <v>0</v>
      </c>
      <c r="O666" s="100">
        <f t="shared" si="124"/>
        <v>0</v>
      </c>
      <c r="P666" s="100">
        <f t="shared" si="125"/>
        <v>0</v>
      </c>
      <c r="Q666" s="124">
        <f t="shared" si="126"/>
        <v>0</v>
      </c>
      <c r="R666" s="118"/>
    </row>
    <row r="667" s="31" customFormat="1" ht="62.4" spans="1:18">
      <c r="A667" s="136">
        <f>IF(F667&lt;&gt;"",1+MAX($A$2:A666),"")</f>
        <v>622</v>
      </c>
      <c r="B667" s="148"/>
      <c r="C667" s="148" t="s">
        <v>700</v>
      </c>
      <c r="D667" s="216" t="s">
        <v>701</v>
      </c>
      <c r="E667" s="76">
        <v>1</v>
      </c>
      <c r="F667" s="65">
        <v>0</v>
      </c>
      <c r="G667" s="66">
        <f t="shared" si="127"/>
        <v>1</v>
      </c>
      <c r="H667" s="70" t="s">
        <v>35</v>
      </c>
      <c r="I667" s="97">
        <v>0</v>
      </c>
      <c r="J667" s="98">
        <f t="shared" si="121"/>
        <v>0</v>
      </c>
      <c r="K667" s="144">
        <v>50</v>
      </c>
      <c r="L667" s="100">
        <f t="shared" si="122"/>
        <v>0</v>
      </c>
      <c r="M667" s="100">
        <f t="shared" si="123"/>
        <v>0</v>
      </c>
      <c r="N667" s="100">
        <v>0</v>
      </c>
      <c r="O667" s="100">
        <f t="shared" si="124"/>
        <v>0</v>
      </c>
      <c r="P667" s="100">
        <f t="shared" si="125"/>
        <v>0</v>
      </c>
      <c r="Q667" s="124">
        <f t="shared" si="126"/>
        <v>0</v>
      </c>
      <c r="R667" s="118"/>
    </row>
    <row r="668" s="31" customFormat="1" ht="62.4" spans="1:18">
      <c r="A668" s="136">
        <f>IF(F668&lt;&gt;"",1+MAX($A$2:A667),"")</f>
        <v>623</v>
      </c>
      <c r="B668" s="148"/>
      <c r="C668" s="148" t="s">
        <v>702</v>
      </c>
      <c r="D668" s="216" t="s">
        <v>703</v>
      </c>
      <c r="E668" s="76">
        <v>1</v>
      </c>
      <c r="F668" s="65">
        <v>0</v>
      </c>
      <c r="G668" s="66">
        <f t="shared" si="127"/>
        <v>1</v>
      </c>
      <c r="H668" s="70" t="s">
        <v>35</v>
      </c>
      <c r="I668" s="97">
        <v>0</v>
      </c>
      <c r="J668" s="98">
        <f t="shared" si="121"/>
        <v>0</v>
      </c>
      <c r="K668" s="144">
        <v>50</v>
      </c>
      <c r="L668" s="100">
        <f t="shared" si="122"/>
        <v>0</v>
      </c>
      <c r="M668" s="100">
        <f t="shared" si="123"/>
        <v>0</v>
      </c>
      <c r="N668" s="100">
        <v>0</v>
      </c>
      <c r="O668" s="100">
        <f t="shared" si="124"/>
        <v>0</v>
      </c>
      <c r="P668" s="100">
        <f t="shared" si="125"/>
        <v>0</v>
      </c>
      <c r="Q668" s="124">
        <f t="shared" si="126"/>
        <v>0</v>
      </c>
      <c r="R668" s="118"/>
    </row>
    <row r="669" s="31" customFormat="1" ht="62.4" spans="1:18">
      <c r="A669" s="136">
        <f>IF(F669&lt;&gt;"",1+MAX($A$2:A668),"")</f>
        <v>624</v>
      </c>
      <c r="B669" s="148"/>
      <c r="C669" s="148" t="s">
        <v>704</v>
      </c>
      <c r="D669" s="216" t="s">
        <v>705</v>
      </c>
      <c r="E669" s="76">
        <v>1</v>
      </c>
      <c r="F669" s="65">
        <v>0</v>
      </c>
      <c r="G669" s="66">
        <f t="shared" si="127"/>
        <v>1</v>
      </c>
      <c r="H669" s="70" t="s">
        <v>35</v>
      </c>
      <c r="I669" s="97">
        <v>0</v>
      </c>
      <c r="J669" s="98">
        <f t="shared" si="121"/>
        <v>0</v>
      </c>
      <c r="K669" s="144">
        <v>50</v>
      </c>
      <c r="L669" s="100">
        <f t="shared" si="122"/>
        <v>0</v>
      </c>
      <c r="M669" s="100">
        <f t="shared" si="123"/>
        <v>0</v>
      </c>
      <c r="N669" s="100">
        <v>0</v>
      </c>
      <c r="O669" s="100">
        <f t="shared" si="124"/>
        <v>0</v>
      </c>
      <c r="P669" s="100">
        <f t="shared" si="125"/>
        <v>0</v>
      </c>
      <c r="Q669" s="124">
        <f t="shared" si="126"/>
        <v>0</v>
      </c>
      <c r="R669" s="118"/>
    </row>
    <row r="670" s="31" customFormat="1" ht="62.4" spans="1:18">
      <c r="A670" s="136">
        <f>IF(F670&lt;&gt;"",1+MAX($A$2:A669),"")</f>
        <v>625</v>
      </c>
      <c r="B670" s="148"/>
      <c r="C670" s="148" t="s">
        <v>706</v>
      </c>
      <c r="D670" s="216" t="s">
        <v>707</v>
      </c>
      <c r="E670" s="76">
        <v>1</v>
      </c>
      <c r="F670" s="65">
        <v>0</v>
      </c>
      <c r="G670" s="66">
        <f t="shared" si="127"/>
        <v>1</v>
      </c>
      <c r="H670" s="70" t="s">
        <v>35</v>
      </c>
      <c r="I670" s="97">
        <v>0</v>
      </c>
      <c r="J670" s="98">
        <f t="shared" si="121"/>
        <v>0</v>
      </c>
      <c r="K670" s="144">
        <v>50</v>
      </c>
      <c r="L670" s="100">
        <f t="shared" si="122"/>
        <v>0</v>
      </c>
      <c r="M670" s="100">
        <f t="shared" si="123"/>
        <v>0</v>
      </c>
      <c r="N670" s="100">
        <v>0</v>
      </c>
      <c r="O670" s="100">
        <f t="shared" si="124"/>
        <v>0</v>
      </c>
      <c r="P670" s="100">
        <f t="shared" si="125"/>
        <v>0</v>
      </c>
      <c r="Q670" s="124">
        <f t="shared" si="126"/>
        <v>0</v>
      </c>
      <c r="R670" s="118"/>
    </row>
    <row r="671" s="31" customFormat="1" ht="62.4" spans="1:18">
      <c r="A671" s="136">
        <f>IF(F671&lt;&gt;"",1+MAX($A$2:A670),"")</f>
        <v>626</v>
      </c>
      <c r="B671" s="148"/>
      <c r="C671" s="148" t="s">
        <v>708</v>
      </c>
      <c r="D671" s="216" t="s">
        <v>709</v>
      </c>
      <c r="E671" s="76">
        <v>1</v>
      </c>
      <c r="F671" s="65">
        <v>0</v>
      </c>
      <c r="G671" s="66">
        <f t="shared" si="127"/>
        <v>1</v>
      </c>
      <c r="H671" s="70" t="s">
        <v>35</v>
      </c>
      <c r="I671" s="97">
        <v>0</v>
      </c>
      <c r="J671" s="98">
        <f t="shared" si="121"/>
        <v>0</v>
      </c>
      <c r="K671" s="144">
        <v>50</v>
      </c>
      <c r="L671" s="100">
        <f t="shared" si="122"/>
        <v>0</v>
      </c>
      <c r="M671" s="100">
        <f t="shared" si="123"/>
        <v>0</v>
      </c>
      <c r="N671" s="100">
        <v>0</v>
      </c>
      <c r="O671" s="100">
        <f t="shared" si="124"/>
        <v>0</v>
      </c>
      <c r="P671" s="100">
        <f t="shared" si="125"/>
        <v>0</v>
      </c>
      <c r="Q671" s="124">
        <f t="shared" si="126"/>
        <v>0</v>
      </c>
      <c r="R671" s="118"/>
    </row>
    <row r="672" s="31" customFormat="1" ht="62.4" spans="1:18">
      <c r="A672" s="136">
        <f>IF(F672&lt;&gt;"",1+MAX($A$2:A671),"")</f>
        <v>627</v>
      </c>
      <c r="B672" s="148"/>
      <c r="C672" s="148" t="s">
        <v>710</v>
      </c>
      <c r="D672" s="216" t="s">
        <v>711</v>
      </c>
      <c r="E672" s="76">
        <v>1</v>
      </c>
      <c r="F672" s="65">
        <v>0</v>
      </c>
      <c r="G672" s="66">
        <f t="shared" si="127"/>
        <v>1</v>
      </c>
      <c r="H672" s="70" t="s">
        <v>35</v>
      </c>
      <c r="I672" s="97">
        <v>0</v>
      </c>
      <c r="J672" s="98">
        <f t="shared" si="121"/>
        <v>0</v>
      </c>
      <c r="K672" s="144">
        <v>50</v>
      </c>
      <c r="L672" s="100">
        <f t="shared" si="122"/>
        <v>0</v>
      </c>
      <c r="M672" s="100">
        <f t="shared" si="123"/>
        <v>0</v>
      </c>
      <c r="N672" s="100">
        <v>0</v>
      </c>
      <c r="O672" s="100">
        <f t="shared" si="124"/>
        <v>0</v>
      </c>
      <c r="P672" s="100">
        <f t="shared" si="125"/>
        <v>0</v>
      </c>
      <c r="Q672" s="124">
        <f t="shared" si="126"/>
        <v>0</v>
      </c>
      <c r="R672" s="118"/>
    </row>
    <row r="673" s="31" customFormat="1" ht="62.4" spans="1:18">
      <c r="A673" s="136">
        <f>IF(F673&lt;&gt;"",1+MAX($A$2:A672),"")</f>
        <v>628</v>
      </c>
      <c r="B673" s="148"/>
      <c r="C673" s="148" t="s">
        <v>712</v>
      </c>
      <c r="D673" s="216" t="s">
        <v>713</v>
      </c>
      <c r="E673" s="76">
        <v>1</v>
      </c>
      <c r="F673" s="65">
        <v>0</v>
      </c>
      <c r="G673" s="66">
        <f t="shared" si="127"/>
        <v>1</v>
      </c>
      <c r="H673" s="70" t="s">
        <v>35</v>
      </c>
      <c r="I673" s="97">
        <v>0</v>
      </c>
      <c r="J673" s="98">
        <f t="shared" si="121"/>
        <v>0</v>
      </c>
      <c r="K673" s="144">
        <v>50</v>
      </c>
      <c r="L673" s="100">
        <f t="shared" si="122"/>
        <v>0</v>
      </c>
      <c r="M673" s="100">
        <f t="shared" si="123"/>
        <v>0</v>
      </c>
      <c r="N673" s="100">
        <v>0</v>
      </c>
      <c r="O673" s="100">
        <f t="shared" si="124"/>
        <v>0</v>
      </c>
      <c r="P673" s="100">
        <f t="shared" si="125"/>
        <v>0</v>
      </c>
      <c r="Q673" s="124">
        <f t="shared" si="126"/>
        <v>0</v>
      </c>
      <c r="R673" s="118"/>
    </row>
    <row r="674" s="31" customFormat="1" ht="62.4" spans="1:18">
      <c r="A674" s="136">
        <f>IF(F674&lt;&gt;"",1+MAX($A$2:A673),"")</f>
        <v>629</v>
      </c>
      <c r="B674" s="148"/>
      <c r="C674" s="148" t="s">
        <v>714</v>
      </c>
      <c r="D674" s="216" t="s">
        <v>715</v>
      </c>
      <c r="E674" s="76">
        <v>1</v>
      </c>
      <c r="F674" s="65">
        <v>0</v>
      </c>
      <c r="G674" s="66">
        <f t="shared" si="127"/>
        <v>1</v>
      </c>
      <c r="H674" s="70" t="s">
        <v>35</v>
      </c>
      <c r="I674" s="97">
        <v>0</v>
      </c>
      <c r="J674" s="98">
        <f t="shared" si="121"/>
        <v>0</v>
      </c>
      <c r="K674" s="144">
        <v>50</v>
      </c>
      <c r="L674" s="100">
        <f t="shared" si="122"/>
        <v>0</v>
      </c>
      <c r="M674" s="100">
        <f t="shared" si="123"/>
        <v>0</v>
      </c>
      <c r="N674" s="100">
        <v>0</v>
      </c>
      <c r="O674" s="100">
        <f t="shared" si="124"/>
        <v>0</v>
      </c>
      <c r="P674" s="100">
        <f t="shared" si="125"/>
        <v>0</v>
      </c>
      <c r="Q674" s="124">
        <f t="shared" si="126"/>
        <v>0</v>
      </c>
      <c r="R674" s="118"/>
    </row>
    <row r="675" s="31" customFormat="1" ht="62.4" spans="1:18">
      <c r="A675" s="136">
        <f>IF(F675&lt;&gt;"",1+MAX($A$2:A674),"")</f>
        <v>630</v>
      </c>
      <c r="B675" s="148"/>
      <c r="C675" s="148" t="s">
        <v>716</v>
      </c>
      <c r="D675" s="216" t="s">
        <v>717</v>
      </c>
      <c r="E675" s="76">
        <v>1</v>
      </c>
      <c r="F675" s="65">
        <v>0</v>
      </c>
      <c r="G675" s="66">
        <f t="shared" si="127"/>
        <v>1</v>
      </c>
      <c r="H675" s="70" t="s">
        <v>35</v>
      </c>
      <c r="I675" s="97">
        <v>0</v>
      </c>
      <c r="J675" s="98">
        <f t="shared" si="121"/>
        <v>0</v>
      </c>
      <c r="K675" s="144">
        <v>50</v>
      </c>
      <c r="L675" s="100">
        <f t="shared" si="122"/>
        <v>0</v>
      </c>
      <c r="M675" s="100">
        <f t="shared" si="123"/>
        <v>0</v>
      </c>
      <c r="N675" s="100">
        <v>0</v>
      </c>
      <c r="O675" s="100">
        <f t="shared" si="124"/>
        <v>0</v>
      </c>
      <c r="P675" s="100">
        <f t="shared" si="125"/>
        <v>0</v>
      </c>
      <c r="Q675" s="124">
        <f t="shared" si="126"/>
        <v>0</v>
      </c>
      <c r="R675" s="118"/>
    </row>
    <row r="676" s="31" customFormat="1" ht="62.4" spans="1:18">
      <c r="A676" s="136">
        <f>IF(F676&lt;&gt;"",1+MAX($A$2:A675),"")</f>
        <v>631</v>
      </c>
      <c r="B676" s="148"/>
      <c r="C676" s="148" t="s">
        <v>718</v>
      </c>
      <c r="D676" s="216" t="s">
        <v>719</v>
      </c>
      <c r="E676" s="76">
        <v>1</v>
      </c>
      <c r="F676" s="65">
        <v>0</v>
      </c>
      <c r="G676" s="66">
        <f t="shared" si="127"/>
        <v>1</v>
      </c>
      <c r="H676" s="70" t="s">
        <v>35</v>
      </c>
      <c r="I676" s="97">
        <v>0</v>
      </c>
      <c r="J676" s="98">
        <f t="shared" si="121"/>
        <v>0</v>
      </c>
      <c r="K676" s="144">
        <v>50</v>
      </c>
      <c r="L676" s="100">
        <f t="shared" si="122"/>
        <v>0</v>
      </c>
      <c r="M676" s="100">
        <f t="shared" si="123"/>
        <v>0</v>
      </c>
      <c r="N676" s="100">
        <v>0</v>
      </c>
      <c r="O676" s="100">
        <f t="shared" si="124"/>
        <v>0</v>
      </c>
      <c r="P676" s="100">
        <f t="shared" si="125"/>
        <v>0</v>
      </c>
      <c r="Q676" s="124">
        <f t="shared" si="126"/>
        <v>0</v>
      </c>
      <c r="R676" s="118"/>
    </row>
    <row r="677" s="31" customFormat="1" ht="62.4" spans="1:18">
      <c r="A677" s="136">
        <f>IF(F677&lt;&gt;"",1+MAX($A$2:A676),"")</f>
        <v>632</v>
      </c>
      <c r="B677" s="148"/>
      <c r="C677" s="148" t="s">
        <v>720</v>
      </c>
      <c r="D677" s="216" t="s">
        <v>721</v>
      </c>
      <c r="E677" s="76">
        <v>1</v>
      </c>
      <c r="F677" s="65">
        <v>0</v>
      </c>
      <c r="G677" s="66">
        <f t="shared" si="127"/>
        <v>1</v>
      </c>
      <c r="H677" s="70" t="s">
        <v>35</v>
      </c>
      <c r="I677" s="97">
        <v>0</v>
      </c>
      <c r="J677" s="98">
        <f t="shared" si="121"/>
        <v>0</v>
      </c>
      <c r="K677" s="144">
        <v>50</v>
      </c>
      <c r="L677" s="100">
        <f t="shared" si="122"/>
        <v>0</v>
      </c>
      <c r="M677" s="100">
        <f t="shared" si="123"/>
        <v>0</v>
      </c>
      <c r="N677" s="100">
        <v>0</v>
      </c>
      <c r="O677" s="100">
        <f t="shared" si="124"/>
        <v>0</v>
      </c>
      <c r="P677" s="100">
        <f t="shared" si="125"/>
        <v>0</v>
      </c>
      <c r="Q677" s="124">
        <f t="shared" si="126"/>
        <v>0</v>
      </c>
      <c r="R677" s="118"/>
    </row>
    <row r="678" s="31" customFormat="1" ht="62.4" spans="1:18">
      <c r="A678" s="136">
        <f>IF(F678&lt;&gt;"",1+MAX($A$2:A677),"")</f>
        <v>633</v>
      </c>
      <c r="B678" s="148"/>
      <c r="C678" s="148" t="s">
        <v>722</v>
      </c>
      <c r="D678" s="216" t="s">
        <v>723</v>
      </c>
      <c r="E678" s="76">
        <v>1</v>
      </c>
      <c r="F678" s="65">
        <v>0</v>
      </c>
      <c r="G678" s="66">
        <f t="shared" si="127"/>
        <v>1</v>
      </c>
      <c r="H678" s="70" t="s">
        <v>35</v>
      </c>
      <c r="I678" s="97">
        <v>0</v>
      </c>
      <c r="J678" s="98">
        <f t="shared" si="121"/>
        <v>0</v>
      </c>
      <c r="K678" s="144">
        <v>50</v>
      </c>
      <c r="L678" s="100">
        <f t="shared" si="122"/>
        <v>0</v>
      </c>
      <c r="M678" s="100">
        <f t="shared" si="123"/>
        <v>0</v>
      </c>
      <c r="N678" s="100">
        <v>0</v>
      </c>
      <c r="O678" s="100">
        <f t="shared" si="124"/>
        <v>0</v>
      </c>
      <c r="P678" s="100">
        <f t="shared" si="125"/>
        <v>0</v>
      </c>
      <c r="Q678" s="124">
        <f t="shared" si="126"/>
        <v>0</v>
      </c>
      <c r="R678" s="118"/>
    </row>
    <row r="679" s="31" customFormat="1" ht="62.4" spans="1:18">
      <c r="A679" s="136">
        <f>IF(F679&lt;&gt;"",1+MAX($A$2:A678),"")</f>
        <v>634</v>
      </c>
      <c r="B679" s="148"/>
      <c r="C679" s="148" t="s">
        <v>724</v>
      </c>
      <c r="D679" s="216" t="s">
        <v>725</v>
      </c>
      <c r="E679" s="76">
        <v>1</v>
      </c>
      <c r="F679" s="65">
        <v>0</v>
      </c>
      <c r="G679" s="66">
        <f t="shared" si="127"/>
        <v>1</v>
      </c>
      <c r="H679" s="70" t="s">
        <v>35</v>
      </c>
      <c r="I679" s="97">
        <v>0</v>
      </c>
      <c r="J679" s="98">
        <f t="shared" si="121"/>
        <v>0</v>
      </c>
      <c r="K679" s="144">
        <v>50</v>
      </c>
      <c r="L679" s="100">
        <f t="shared" si="122"/>
        <v>0</v>
      </c>
      <c r="M679" s="100">
        <f t="shared" si="123"/>
        <v>0</v>
      </c>
      <c r="N679" s="100">
        <v>0</v>
      </c>
      <c r="O679" s="100">
        <f t="shared" si="124"/>
        <v>0</v>
      </c>
      <c r="P679" s="100">
        <f t="shared" si="125"/>
        <v>0</v>
      </c>
      <c r="Q679" s="124">
        <f t="shared" si="126"/>
        <v>0</v>
      </c>
      <c r="R679" s="118"/>
    </row>
    <row r="680" s="31" customFormat="1" ht="62.4" spans="1:18">
      <c r="A680" s="136">
        <f>IF(F680&lt;&gt;"",1+MAX($A$2:A679),"")</f>
        <v>635</v>
      </c>
      <c r="B680" s="148"/>
      <c r="C680" s="148" t="s">
        <v>726</v>
      </c>
      <c r="D680" s="216" t="s">
        <v>727</v>
      </c>
      <c r="E680" s="76">
        <v>1</v>
      </c>
      <c r="F680" s="65">
        <v>0</v>
      </c>
      <c r="G680" s="66">
        <f t="shared" si="127"/>
        <v>1</v>
      </c>
      <c r="H680" s="70" t="s">
        <v>35</v>
      </c>
      <c r="I680" s="97">
        <v>0</v>
      </c>
      <c r="J680" s="98">
        <f t="shared" si="121"/>
        <v>0</v>
      </c>
      <c r="K680" s="144">
        <v>50</v>
      </c>
      <c r="L680" s="100">
        <f t="shared" si="122"/>
        <v>0</v>
      </c>
      <c r="M680" s="100">
        <f t="shared" si="123"/>
        <v>0</v>
      </c>
      <c r="N680" s="100">
        <v>0</v>
      </c>
      <c r="O680" s="100">
        <f t="shared" si="124"/>
        <v>0</v>
      </c>
      <c r="P680" s="100">
        <f t="shared" si="125"/>
        <v>0</v>
      </c>
      <c r="Q680" s="124">
        <f t="shared" si="126"/>
        <v>0</v>
      </c>
      <c r="R680" s="118"/>
    </row>
    <row r="681" s="31" customFormat="1" ht="62.4" spans="1:18">
      <c r="A681" s="136">
        <f>IF(F681&lt;&gt;"",1+MAX($A$2:A680),"")</f>
        <v>636</v>
      </c>
      <c r="B681" s="148"/>
      <c r="C681" s="148" t="s">
        <v>728</v>
      </c>
      <c r="D681" s="216" t="s">
        <v>729</v>
      </c>
      <c r="E681" s="76">
        <v>1</v>
      </c>
      <c r="F681" s="65">
        <v>0</v>
      </c>
      <c r="G681" s="66">
        <f t="shared" si="127"/>
        <v>1</v>
      </c>
      <c r="H681" s="70" t="s">
        <v>35</v>
      </c>
      <c r="I681" s="97">
        <v>0</v>
      </c>
      <c r="J681" s="98">
        <f t="shared" si="121"/>
        <v>0</v>
      </c>
      <c r="K681" s="144">
        <v>50</v>
      </c>
      <c r="L681" s="100">
        <f t="shared" si="122"/>
        <v>0</v>
      </c>
      <c r="M681" s="100">
        <f t="shared" si="123"/>
        <v>0</v>
      </c>
      <c r="N681" s="100">
        <v>0</v>
      </c>
      <c r="O681" s="100">
        <f t="shared" si="124"/>
        <v>0</v>
      </c>
      <c r="P681" s="100">
        <f t="shared" si="125"/>
        <v>0</v>
      </c>
      <c r="Q681" s="124">
        <f t="shared" si="126"/>
        <v>0</v>
      </c>
      <c r="R681" s="118"/>
    </row>
    <row r="682" s="31" customFormat="1" ht="62.4" spans="1:18">
      <c r="A682" s="136">
        <f>IF(F682&lt;&gt;"",1+MAX($A$2:A681),"")</f>
        <v>637</v>
      </c>
      <c r="B682" s="148"/>
      <c r="C682" s="148" t="s">
        <v>730</v>
      </c>
      <c r="D682" s="216" t="s">
        <v>731</v>
      </c>
      <c r="E682" s="76">
        <v>1</v>
      </c>
      <c r="F682" s="65">
        <v>0</v>
      </c>
      <c r="G682" s="66">
        <f t="shared" si="127"/>
        <v>1</v>
      </c>
      <c r="H682" s="70" t="s">
        <v>35</v>
      </c>
      <c r="I682" s="97">
        <v>0</v>
      </c>
      <c r="J682" s="98">
        <f t="shared" si="121"/>
        <v>0</v>
      </c>
      <c r="K682" s="144">
        <v>50</v>
      </c>
      <c r="L682" s="100">
        <f t="shared" si="122"/>
        <v>0</v>
      </c>
      <c r="M682" s="100">
        <f t="shared" si="123"/>
        <v>0</v>
      </c>
      <c r="N682" s="100">
        <v>0</v>
      </c>
      <c r="O682" s="100">
        <f t="shared" si="124"/>
        <v>0</v>
      </c>
      <c r="P682" s="100">
        <f t="shared" si="125"/>
        <v>0</v>
      </c>
      <c r="Q682" s="124">
        <f t="shared" si="126"/>
        <v>0</v>
      </c>
      <c r="R682" s="118"/>
    </row>
    <row r="683" s="31" customFormat="1" ht="62.4" spans="1:18">
      <c r="A683" s="136">
        <f>IF(F683&lt;&gt;"",1+MAX($A$2:A682),"")</f>
        <v>638</v>
      </c>
      <c r="B683" s="148"/>
      <c r="C683" s="148" t="s">
        <v>732</v>
      </c>
      <c r="D683" s="216" t="s">
        <v>733</v>
      </c>
      <c r="E683" s="76">
        <v>1</v>
      </c>
      <c r="F683" s="65">
        <v>0</v>
      </c>
      <c r="G683" s="66">
        <f t="shared" si="127"/>
        <v>1</v>
      </c>
      <c r="H683" s="70" t="s">
        <v>35</v>
      </c>
      <c r="I683" s="97">
        <v>0</v>
      </c>
      <c r="J683" s="98">
        <f t="shared" si="121"/>
        <v>0</v>
      </c>
      <c r="K683" s="144">
        <v>50</v>
      </c>
      <c r="L683" s="100">
        <f t="shared" si="122"/>
        <v>0</v>
      </c>
      <c r="M683" s="100">
        <f t="shared" si="123"/>
        <v>0</v>
      </c>
      <c r="N683" s="100">
        <v>0</v>
      </c>
      <c r="O683" s="100">
        <f t="shared" si="124"/>
        <v>0</v>
      </c>
      <c r="P683" s="100">
        <f t="shared" si="125"/>
        <v>0</v>
      </c>
      <c r="Q683" s="124">
        <f t="shared" si="126"/>
        <v>0</v>
      </c>
      <c r="R683" s="118"/>
    </row>
    <row r="684" s="31" customFormat="1" ht="62.4" spans="1:18">
      <c r="A684" s="136">
        <f>IF(F684&lt;&gt;"",1+MAX($A$2:A683),"")</f>
        <v>639</v>
      </c>
      <c r="B684" s="148"/>
      <c r="C684" s="148" t="s">
        <v>734</v>
      </c>
      <c r="D684" s="216" t="s">
        <v>735</v>
      </c>
      <c r="E684" s="76">
        <v>1</v>
      </c>
      <c r="F684" s="65">
        <v>0</v>
      </c>
      <c r="G684" s="66">
        <f t="shared" si="127"/>
        <v>1</v>
      </c>
      <c r="H684" s="70" t="s">
        <v>35</v>
      </c>
      <c r="I684" s="97">
        <v>0</v>
      </c>
      <c r="J684" s="98">
        <f t="shared" si="121"/>
        <v>0</v>
      </c>
      <c r="K684" s="144">
        <v>50</v>
      </c>
      <c r="L684" s="100">
        <f t="shared" si="122"/>
        <v>0</v>
      </c>
      <c r="M684" s="100">
        <f t="shared" si="123"/>
        <v>0</v>
      </c>
      <c r="N684" s="100">
        <v>0</v>
      </c>
      <c r="O684" s="100">
        <f t="shared" si="124"/>
        <v>0</v>
      </c>
      <c r="P684" s="100">
        <f t="shared" si="125"/>
        <v>0</v>
      </c>
      <c r="Q684" s="124">
        <f t="shared" si="126"/>
        <v>0</v>
      </c>
      <c r="R684" s="118"/>
    </row>
    <row r="685" s="31" customFormat="1" ht="62.4" spans="1:18">
      <c r="A685" s="136">
        <f>IF(F685&lt;&gt;"",1+MAX($A$2:A684),"")</f>
        <v>640</v>
      </c>
      <c r="B685" s="148"/>
      <c r="C685" s="148" t="s">
        <v>736</v>
      </c>
      <c r="D685" s="216" t="s">
        <v>737</v>
      </c>
      <c r="E685" s="76">
        <v>1</v>
      </c>
      <c r="F685" s="65">
        <v>0</v>
      </c>
      <c r="G685" s="66">
        <f t="shared" si="127"/>
        <v>1</v>
      </c>
      <c r="H685" s="70" t="s">
        <v>35</v>
      </c>
      <c r="I685" s="97">
        <v>0</v>
      </c>
      <c r="J685" s="98">
        <f t="shared" si="121"/>
        <v>0</v>
      </c>
      <c r="K685" s="144">
        <v>50</v>
      </c>
      <c r="L685" s="100">
        <f t="shared" si="122"/>
        <v>0</v>
      </c>
      <c r="M685" s="100">
        <f t="shared" si="123"/>
        <v>0</v>
      </c>
      <c r="N685" s="100">
        <v>0</v>
      </c>
      <c r="O685" s="100">
        <f t="shared" si="124"/>
        <v>0</v>
      </c>
      <c r="P685" s="100">
        <f t="shared" si="125"/>
        <v>0</v>
      </c>
      <c r="Q685" s="124">
        <f t="shared" si="126"/>
        <v>0</v>
      </c>
      <c r="R685" s="118"/>
    </row>
    <row r="686" s="31" customFormat="1" ht="62.4" spans="1:18">
      <c r="A686" s="136">
        <f>IF(F686&lt;&gt;"",1+MAX($A$2:A685),"")</f>
        <v>641</v>
      </c>
      <c r="B686" s="148"/>
      <c r="C686" s="148" t="s">
        <v>738</v>
      </c>
      <c r="D686" s="216" t="s">
        <v>739</v>
      </c>
      <c r="E686" s="76">
        <v>1</v>
      </c>
      <c r="F686" s="65">
        <v>0</v>
      </c>
      <c r="G686" s="66">
        <f t="shared" si="127"/>
        <v>1</v>
      </c>
      <c r="H686" s="70" t="s">
        <v>35</v>
      </c>
      <c r="I686" s="97">
        <v>0</v>
      </c>
      <c r="J686" s="98">
        <f t="shared" si="121"/>
        <v>0</v>
      </c>
      <c r="K686" s="144">
        <v>50</v>
      </c>
      <c r="L686" s="100">
        <f t="shared" si="122"/>
        <v>0</v>
      </c>
      <c r="M686" s="100">
        <f t="shared" si="123"/>
        <v>0</v>
      </c>
      <c r="N686" s="100">
        <v>0</v>
      </c>
      <c r="O686" s="100">
        <f t="shared" si="124"/>
        <v>0</v>
      </c>
      <c r="P686" s="100">
        <f t="shared" si="125"/>
        <v>0</v>
      </c>
      <c r="Q686" s="124">
        <f t="shared" si="126"/>
        <v>0</v>
      </c>
      <c r="R686" s="118"/>
    </row>
    <row r="687" s="31" customFormat="1" ht="62.4" spans="1:18">
      <c r="A687" s="136">
        <f>IF(F687&lt;&gt;"",1+MAX($A$2:A686),"")</f>
        <v>642</v>
      </c>
      <c r="B687" s="148"/>
      <c r="C687" s="148" t="s">
        <v>740</v>
      </c>
      <c r="D687" s="216" t="s">
        <v>741</v>
      </c>
      <c r="E687" s="76">
        <v>1</v>
      </c>
      <c r="F687" s="65">
        <v>0</v>
      </c>
      <c r="G687" s="66">
        <f t="shared" si="127"/>
        <v>1</v>
      </c>
      <c r="H687" s="70" t="s">
        <v>35</v>
      </c>
      <c r="I687" s="97">
        <v>0</v>
      </c>
      <c r="J687" s="98">
        <f t="shared" si="121"/>
        <v>0</v>
      </c>
      <c r="K687" s="144">
        <v>50</v>
      </c>
      <c r="L687" s="100">
        <f t="shared" si="122"/>
        <v>0</v>
      </c>
      <c r="M687" s="100">
        <f t="shared" si="123"/>
        <v>0</v>
      </c>
      <c r="N687" s="100">
        <v>0</v>
      </c>
      <c r="O687" s="100">
        <f t="shared" si="124"/>
        <v>0</v>
      </c>
      <c r="P687" s="100">
        <f t="shared" si="125"/>
        <v>0</v>
      </c>
      <c r="Q687" s="124">
        <f t="shared" si="126"/>
        <v>0</v>
      </c>
      <c r="R687" s="118"/>
    </row>
    <row r="688" s="31" customFormat="1" ht="62.4" spans="1:18">
      <c r="A688" s="136">
        <f>IF(F688&lt;&gt;"",1+MAX($A$2:A687),"")</f>
        <v>643</v>
      </c>
      <c r="B688" s="148"/>
      <c r="C688" s="148" t="s">
        <v>742</v>
      </c>
      <c r="D688" s="150" t="s">
        <v>743</v>
      </c>
      <c r="E688" s="76">
        <v>1</v>
      </c>
      <c r="F688" s="65">
        <v>0</v>
      </c>
      <c r="G688" s="66">
        <f t="shared" si="127"/>
        <v>1</v>
      </c>
      <c r="H688" s="70" t="s">
        <v>35</v>
      </c>
      <c r="I688" s="97">
        <v>0</v>
      </c>
      <c r="J688" s="98">
        <f t="shared" si="121"/>
        <v>0</v>
      </c>
      <c r="K688" s="144">
        <v>50</v>
      </c>
      <c r="L688" s="100">
        <f t="shared" si="122"/>
        <v>0</v>
      </c>
      <c r="M688" s="100">
        <f t="shared" si="123"/>
        <v>0</v>
      </c>
      <c r="N688" s="100">
        <v>0</v>
      </c>
      <c r="O688" s="100">
        <f t="shared" si="124"/>
        <v>0</v>
      </c>
      <c r="P688" s="100">
        <f t="shared" si="125"/>
        <v>0</v>
      </c>
      <c r="Q688" s="160">
        <f t="shared" si="126"/>
        <v>0</v>
      </c>
      <c r="R688" s="118"/>
    </row>
    <row r="689" s="31" customFormat="1" ht="62.4" spans="1:18">
      <c r="A689" s="136">
        <f>IF(F689&lt;&gt;"",1+MAX($A$2:A688),"")</f>
        <v>644</v>
      </c>
      <c r="B689" s="148"/>
      <c r="C689" s="148" t="s">
        <v>744</v>
      </c>
      <c r="D689" s="150" t="s">
        <v>745</v>
      </c>
      <c r="E689" s="76">
        <v>1</v>
      </c>
      <c r="F689" s="65">
        <v>0</v>
      </c>
      <c r="G689" s="66">
        <f t="shared" si="127"/>
        <v>1</v>
      </c>
      <c r="H689" s="70" t="s">
        <v>35</v>
      </c>
      <c r="I689" s="97">
        <v>0</v>
      </c>
      <c r="J689" s="98">
        <f t="shared" si="121"/>
        <v>0</v>
      </c>
      <c r="K689" s="144">
        <v>50</v>
      </c>
      <c r="L689" s="100">
        <f t="shared" si="122"/>
        <v>0</v>
      </c>
      <c r="M689" s="100">
        <f t="shared" si="123"/>
        <v>0</v>
      </c>
      <c r="N689" s="100">
        <v>0</v>
      </c>
      <c r="O689" s="100">
        <f t="shared" si="124"/>
        <v>0</v>
      </c>
      <c r="P689" s="100">
        <f t="shared" si="125"/>
        <v>0</v>
      </c>
      <c r="Q689" s="160">
        <f t="shared" si="126"/>
        <v>0</v>
      </c>
      <c r="R689" s="118"/>
    </row>
    <row r="690" s="31" customFormat="1" ht="62.4" spans="1:18">
      <c r="A690" s="136">
        <f>IF(F690&lt;&gt;"",1+MAX($A$2:A689),"")</f>
        <v>645</v>
      </c>
      <c r="B690" s="148"/>
      <c r="C690" s="148" t="s">
        <v>746</v>
      </c>
      <c r="D690" s="150" t="s">
        <v>747</v>
      </c>
      <c r="E690" s="76">
        <v>1</v>
      </c>
      <c r="F690" s="65">
        <v>0</v>
      </c>
      <c r="G690" s="66">
        <f t="shared" si="127"/>
        <v>1</v>
      </c>
      <c r="H690" s="70" t="s">
        <v>35</v>
      </c>
      <c r="I690" s="97">
        <v>0</v>
      </c>
      <c r="J690" s="98">
        <f t="shared" si="121"/>
        <v>0</v>
      </c>
      <c r="K690" s="144">
        <v>50</v>
      </c>
      <c r="L690" s="100">
        <f t="shared" si="122"/>
        <v>0</v>
      </c>
      <c r="M690" s="100">
        <f t="shared" si="123"/>
        <v>0</v>
      </c>
      <c r="N690" s="100">
        <v>0</v>
      </c>
      <c r="O690" s="100">
        <f t="shared" si="124"/>
        <v>0</v>
      </c>
      <c r="P690" s="100">
        <f t="shared" si="125"/>
        <v>0</v>
      </c>
      <c r="Q690" s="160">
        <f t="shared" si="126"/>
        <v>0</v>
      </c>
      <c r="R690" s="118"/>
    </row>
    <row r="691" s="31" customFormat="1" ht="62.4" spans="1:18">
      <c r="A691" s="136">
        <f>IF(F691&lt;&gt;"",1+MAX($A$2:A690),"")</f>
        <v>646</v>
      </c>
      <c r="B691" s="148"/>
      <c r="C691" s="148" t="s">
        <v>748</v>
      </c>
      <c r="D691" s="150" t="s">
        <v>749</v>
      </c>
      <c r="E691" s="76">
        <v>1</v>
      </c>
      <c r="F691" s="65">
        <v>0</v>
      </c>
      <c r="G691" s="66">
        <f t="shared" si="127"/>
        <v>1</v>
      </c>
      <c r="H691" s="70" t="s">
        <v>35</v>
      </c>
      <c r="I691" s="97">
        <v>0</v>
      </c>
      <c r="J691" s="98">
        <f t="shared" si="121"/>
        <v>0</v>
      </c>
      <c r="K691" s="144">
        <v>50</v>
      </c>
      <c r="L691" s="100">
        <f t="shared" si="122"/>
        <v>0</v>
      </c>
      <c r="M691" s="100">
        <f t="shared" si="123"/>
        <v>0</v>
      </c>
      <c r="N691" s="100">
        <v>0</v>
      </c>
      <c r="O691" s="100">
        <f t="shared" si="124"/>
        <v>0</v>
      </c>
      <c r="P691" s="100">
        <f t="shared" si="125"/>
        <v>0</v>
      </c>
      <c r="Q691" s="160">
        <f t="shared" si="126"/>
        <v>0</v>
      </c>
      <c r="R691" s="118"/>
    </row>
    <row r="692" s="31" customFormat="1" ht="62.4" spans="1:18">
      <c r="A692" s="136">
        <f>IF(F692&lt;&gt;"",1+MAX($A$2:A691),"")</f>
        <v>647</v>
      </c>
      <c r="B692" s="148"/>
      <c r="C692" s="148" t="s">
        <v>675</v>
      </c>
      <c r="D692" s="150" t="s">
        <v>750</v>
      </c>
      <c r="E692" s="76">
        <v>1</v>
      </c>
      <c r="F692" s="65">
        <v>0</v>
      </c>
      <c r="G692" s="66">
        <f t="shared" si="127"/>
        <v>1</v>
      </c>
      <c r="H692" s="70" t="s">
        <v>35</v>
      </c>
      <c r="I692" s="97">
        <v>0</v>
      </c>
      <c r="J692" s="98">
        <f t="shared" si="121"/>
        <v>0</v>
      </c>
      <c r="K692" s="144">
        <v>50</v>
      </c>
      <c r="L692" s="100">
        <f t="shared" si="122"/>
        <v>0</v>
      </c>
      <c r="M692" s="100">
        <f t="shared" si="123"/>
        <v>0</v>
      </c>
      <c r="N692" s="100">
        <v>0</v>
      </c>
      <c r="O692" s="100">
        <f t="shared" si="124"/>
        <v>0</v>
      </c>
      <c r="P692" s="100">
        <f t="shared" si="125"/>
        <v>0</v>
      </c>
      <c r="Q692" s="160">
        <f t="shared" si="126"/>
        <v>0</v>
      </c>
      <c r="R692" s="118"/>
    </row>
    <row r="693" s="31" customFormat="1" ht="62.4" spans="1:18">
      <c r="A693" s="136">
        <f>IF(F693&lt;&gt;"",1+MAX($A$2:A692),"")</f>
        <v>648</v>
      </c>
      <c r="B693" s="148"/>
      <c r="C693" s="148" t="s">
        <v>751</v>
      </c>
      <c r="D693" s="216" t="s">
        <v>752</v>
      </c>
      <c r="E693" s="76">
        <v>1</v>
      </c>
      <c r="F693" s="65">
        <v>0</v>
      </c>
      <c r="G693" s="66">
        <f t="shared" si="127"/>
        <v>1</v>
      </c>
      <c r="H693" s="70" t="s">
        <v>35</v>
      </c>
      <c r="I693" s="97">
        <v>0</v>
      </c>
      <c r="J693" s="98">
        <f t="shared" si="121"/>
        <v>0</v>
      </c>
      <c r="K693" s="144">
        <v>50</v>
      </c>
      <c r="L693" s="100">
        <f t="shared" si="122"/>
        <v>0</v>
      </c>
      <c r="M693" s="100">
        <f t="shared" si="123"/>
        <v>0</v>
      </c>
      <c r="N693" s="100">
        <v>0</v>
      </c>
      <c r="O693" s="100">
        <f t="shared" si="124"/>
        <v>0</v>
      </c>
      <c r="P693" s="100">
        <f t="shared" si="125"/>
        <v>0</v>
      </c>
      <c r="Q693" s="124">
        <f t="shared" si="126"/>
        <v>0</v>
      </c>
      <c r="R693" s="118"/>
    </row>
    <row r="694" s="31" customFormat="1" spans="1:18">
      <c r="A694" s="136">
        <f>IF(F694&lt;&gt;"",1+MAX($A$2:A693),"")</f>
        <v>649</v>
      </c>
      <c r="B694" s="148"/>
      <c r="C694" s="148"/>
      <c r="D694" s="151" t="s">
        <v>753</v>
      </c>
      <c r="E694" s="76">
        <v>2</v>
      </c>
      <c r="F694" s="65">
        <v>0</v>
      </c>
      <c r="G694" s="66">
        <f t="shared" si="127"/>
        <v>2</v>
      </c>
      <c r="H694" s="70" t="s">
        <v>35</v>
      </c>
      <c r="I694" s="97">
        <v>0</v>
      </c>
      <c r="J694" s="98">
        <f t="shared" si="121"/>
        <v>0</v>
      </c>
      <c r="K694" s="144">
        <v>50</v>
      </c>
      <c r="L694" s="100">
        <f t="shared" si="122"/>
        <v>0</v>
      </c>
      <c r="M694" s="100">
        <f t="shared" si="123"/>
        <v>0</v>
      </c>
      <c r="N694" s="100">
        <v>0</v>
      </c>
      <c r="O694" s="100">
        <f t="shared" si="124"/>
        <v>0</v>
      </c>
      <c r="P694" s="100">
        <f t="shared" si="125"/>
        <v>0</v>
      </c>
      <c r="Q694" s="124">
        <f t="shared" si="126"/>
        <v>0</v>
      </c>
      <c r="R694" s="118"/>
    </row>
    <row r="695" s="31" customFormat="1" spans="1:18">
      <c r="A695" s="136">
        <f>IF(F695&lt;&gt;"",1+MAX($A$2:A694),"")</f>
        <v>650</v>
      </c>
      <c r="B695" s="148"/>
      <c r="C695" s="148"/>
      <c r="D695" s="151" t="s">
        <v>754</v>
      </c>
      <c r="E695" s="76">
        <v>38</v>
      </c>
      <c r="F695" s="65">
        <v>0</v>
      </c>
      <c r="G695" s="66">
        <f t="shared" si="127"/>
        <v>38</v>
      </c>
      <c r="H695" s="70" t="s">
        <v>35</v>
      </c>
      <c r="I695" s="97">
        <v>0</v>
      </c>
      <c r="J695" s="98">
        <f t="shared" si="121"/>
        <v>0</v>
      </c>
      <c r="K695" s="144">
        <v>50</v>
      </c>
      <c r="L695" s="100">
        <f t="shared" si="122"/>
        <v>0</v>
      </c>
      <c r="M695" s="100">
        <f t="shared" si="123"/>
        <v>0</v>
      </c>
      <c r="N695" s="100">
        <v>0</v>
      </c>
      <c r="O695" s="100">
        <f t="shared" si="124"/>
        <v>0</v>
      </c>
      <c r="P695" s="100">
        <f t="shared" si="125"/>
        <v>0</v>
      </c>
      <c r="Q695" s="124">
        <f t="shared" si="126"/>
        <v>0</v>
      </c>
      <c r="R695" s="118"/>
    </row>
    <row r="696" s="31" customFormat="1" spans="1:18">
      <c r="A696" s="136">
        <f>IF(F696&lt;&gt;"",1+MAX($A$2:A695),"")</f>
        <v>651</v>
      </c>
      <c r="B696" s="148"/>
      <c r="C696" s="148"/>
      <c r="D696" s="151" t="s">
        <v>755</v>
      </c>
      <c r="E696" s="76">
        <v>2</v>
      </c>
      <c r="F696" s="65">
        <v>0</v>
      </c>
      <c r="G696" s="66">
        <f t="shared" si="127"/>
        <v>2</v>
      </c>
      <c r="H696" s="70" t="s">
        <v>35</v>
      </c>
      <c r="I696" s="97">
        <v>0</v>
      </c>
      <c r="J696" s="98">
        <f t="shared" si="121"/>
        <v>0</v>
      </c>
      <c r="K696" s="144">
        <v>50</v>
      </c>
      <c r="L696" s="100">
        <f t="shared" si="122"/>
        <v>0</v>
      </c>
      <c r="M696" s="100">
        <f t="shared" si="123"/>
        <v>0</v>
      </c>
      <c r="N696" s="100">
        <v>0</v>
      </c>
      <c r="O696" s="100">
        <f t="shared" si="124"/>
        <v>0</v>
      </c>
      <c r="P696" s="100">
        <f t="shared" si="125"/>
        <v>0</v>
      </c>
      <c r="Q696" s="124">
        <f t="shared" si="126"/>
        <v>0</v>
      </c>
      <c r="R696" s="118"/>
    </row>
    <row r="697" s="31" customFormat="1" spans="1:18">
      <c r="A697" s="136">
        <f>IF(F697&lt;&gt;"",1+MAX($A$2:A696),"")</f>
        <v>652</v>
      </c>
      <c r="B697" s="148"/>
      <c r="C697" s="148"/>
      <c r="D697" s="151" t="s">
        <v>756</v>
      </c>
      <c r="E697" s="76">
        <v>1</v>
      </c>
      <c r="F697" s="65">
        <v>0</v>
      </c>
      <c r="G697" s="66">
        <f t="shared" si="127"/>
        <v>1</v>
      </c>
      <c r="H697" s="70" t="s">
        <v>35</v>
      </c>
      <c r="I697" s="97">
        <v>0</v>
      </c>
      <c r="J697" s="98">
        <f t="shared" si="121"/>
        <v>0</v>
      </c>
      <c r="K697" s="144">
        <v>50</v>
      </c>
      <c r="L697" s="100">
        <f t="shared" si="122"/>
        <v>0</v>
      </c>
      <c r="M697" s="100">
        <f t="shared" si="123"/>
        <v>0</v>
      </c>
      <c r="N697" s="100">
        <v>0</v>
      </c>
      <c r="O697" s="100">
        <f t="shared" si="124"/>
        <v>0</v>
      </c>
      <c r="P697" s="100">
        <f t="shared" si="125"/>
        <v>0</v>
      </c>
      <c r="Q697" s="124">
        <f t="shared" si="126"/>
        <v>0</v>
      </c>
      <c r="R697" s="118"/>
    </row>
    <row r="698" s="31" customFormat="1" spans="1:18">
      <c r="A698" s="136">
        <f>IF(F698&lt;&gt;"",1+MAX($A$2:A697),"")</f>
        <v>653</v>
      </c>
      <c r="B698" s="148"/>
      <c r="C698" s="148"/>
      <c r="D698" s="151" t="s">
        <v>757</v>
      </c>
      <c r="E698" s="76">
        <v>1</v>
      </c>
      <c r="F698" s="65">
        <v>0</v>
      </c>
      <c r="G698" s="66">
        <f t="shared" si="127"/>
        <v>1</v>
      </c>
      <c r="H698" s="70" t="s">
        <v>35</v>
      </c>
      <c r="I698" s="97">
        <v>0</v>
      </c>
      <c r="J698" s="98">
        <f t="shared" si="121"/>
        <v>0</v>
      </c>
      <c r="K698" s="144">
        <v>50</v>
      </c>
      <c r="L698" s="100">
        <f t="shared" si="122"/>
        <v>0</v>
      </c>
      <c r="M698" s="100">
        <f t="shared" si="123"/>
        <v>0</v>
      </c>
      <c r="N698" s="100">
        <v>0</v>
      </c>
      <c r="O698" s="100">
        <f t="shared" si="124"/>
        <v>0</v>
      </c>
      <c r="P698" s="100">
        <f t="shared" si="125"/>
        <v>0</v>
      </c>
      <c r="Q698" s="124">
        <f t="shared" si="126"/>
        <v>0</v>
      </c>
      <c r="R698" s="118"/>
    </row>
    <row r="699" s="31" customFormat="1" spans="1:18">
      <c r="A699" s="136">
        <f>IF(F699&lt;&gt;"",1+MAX($A$2:A698),"")</f>
        <v>654</v>
      </c>
      <c r="B699" s="148"/>
      <c r="C699" s="148"/>
      <c r="D699" s="151" t="s">
        <v>758</v>
      </c>
      <c r="E699" s="76">
        <v>1</v>
      </c>
      <c r="F699" s="65">
        <v>0</v>
      </c>
      <c r="G699" s="66">
        <f t="shared" si="127"/>
        <v>1</v>
      </c>
      <c r="H699" s="70" t="s">
        <v>35</v>
      </c>
      <c r="I699" s="97">
        <v>0</v>
      </c>
      <c r="J699" s="98">
        <f t="shared" ref="J699:J728" si="128">+I699*G699</f>
        <v>0</v>
      </c>
      <c r="K699" s="144">
        <v>50</v>
      </c>
      <c r="L699" s="100">
        <f t="shared" ref="L699:L728" si="129">I699*K699</f>
        <v>0</v>
      </c>
      <c r="M699" s="100">
        <f t="shared" ref="M699:M728" si="130">K699*J699</f>
        <v>0</v>
      </c>
      <c r="N699" s="100">
        <v>0</v>
      </c>
      <c r="O699" s="100">
        <f t="shared" ref="O699:O728" si="131">N699*G699</f>
        <v>0</v>
      </c>
      <c r="P699" s="100">
        <f t="shared" ref="P699:P728" si="132">(I699*K699)+N699</f>
        <v>0</v>
      </c>
      <c r="Q699" s="124">
        <f t="shared" ref="Q699:Q728" si="133">P699*G699</f>
        <v>0</v>
      </c>
      <c r="R699" s="118"/>
    </row>
    <row r="700" s="31" customFormat="1" spans="1:18">
      <c r="A700" s="136">
        <f>IF(F700&lt;&gt;"",1+MAX($A$2:A699),"")</f>
        <v>655</v>
      </c>
      <c r="B700" s="148"/>
      <c r="C700" s="148"/>
      <c r="D700" s="151" t="s">
        <v>759</v>
      </c>
      <c r="E700" s="76">
        <v>2</v>
      </c>
      <c r="F700" s="65">
        <v>0</v>
      </c>
      <c r="G700" s="66">
        <f t="shared" si="127"/>
        <v>2</v>
      </c>
      <c r="H700" s="70" t="s">
        <v>35</v>
      </c>
      <c r="I700" s="97">
        <v>0</v>
      </c>
      <c r="J700" s="98">
        <f t="shared" si="128"/>
        <v>0</v>
      </c>
      <c r="K700" s="144">
        <v>50</v>
      </c>
      <c r="L700" s="100">
        <f t="shared" si="129"/>
        <v>0</v>
      </c>
      <c r="M700" s="100">
        <f t="shared" si="130"/>
        <v>0</v>
      </c>
      <c r="N700" s="100">
        <v>0</v>
      </c>
      <c r="O700" s="100">
        <f t="shared" si="131"/>
        <v>0</v>
      </c>
      <c r="P700" s="100">
        <f t="shared" si="132"/>
        <v>0</v>
      </c>
      <c r="Q700" s="124">
        <f t="shared" si="133"/>
        <v>0</v>
      </c>
      <c r="R700" s="118"/>
    </row>
    <row r="701" s="31" customFormat="1" spans="1:18">
      <c r="A701" s="136">
        <f>IF(F701&lt;&gt;"",1+MAX($A$2:A700),"")</f>
        <v>656</v>
      </c>
      <c r="B701" s="148"/>
      <c r="C701" s="148"/>
      <c r="D701" s="151" t="s">
        <v>760</v>
      </c>
      <c r="E701" s="76">
        <v>4</v>
      </c>
      <c r="F701" s="65">
        <v>0</v>
      </c>
      <c r="G701" s="66">
        <f t="shared" si="127"/>
        <v>4</v>
      </c>
      <c r="H701" s="70" t="s">
        <v>35</v>
      </c>
      <c r="I701" s="97">
        <v>0</v>
      </c>
      <c r="J701" s="98">
        <f t="shared" si="128"/>
        <v>0</v>
      </c>
      <c r="K701" s="144">
        <v>50</v>
      </c>
      <c r="L701" s="100">
        <f t="shared" si="129"/>
        <v>0</v>
      </c>
      <c r="M701" s="100">
        <f t="shared" si="130"/>
        <v>0</v>
      </c>
      <c r="N701" s="100">
        <v>0</v>
      </c>
      <c r="O701" s="100">
        <f t="shared" si="131"/>
        <v>0</v>
      </c>
      <c r="P701" s="100">
        <f t="shared" si="132"/>
        <v>0</v>
      </c>
      <c r="Q701" s="124">
        <f t="shared" si="133"/>
        <v>0</v>
      </c>
      <c r="R701" s="118"/>
    </row>
    <row r="702" s="31" customFormat="1" spans="1:18">
      <c r="A702" s="136">
        <f>IF(F702&lt;&gt;"",1+MAX($A$2:A701),"")</f>
        <v>657</v>
      </c>
      <c r="B702" s="148"/>
      <c r="C702" s="148"/>
      <c r="D702" s="151" t="s">
        <v>761</v>
      </c>
      <c r="E702" s="76">
        <v>2</v>
      </c>
      <c r="F702" s="65">
        <v>0</v>
      </c>
      <c r="G702" s="66">
        <f t="shared" si="127"/>
        <v>2</v>
      </c>
      <c r="H702" s="70" t="s">
        <v>35</v>
      </c>
      <c r="I702" s="97">
        <v>0</v>
      </c>
      <c r="J702" s="98">
        <f t="shared" si="128"/>
        <v>0</v>
      </c>
      <c r="K702" s="144">
        <v>50</v>
      </c>
      <c r="L702" s="100">
        <f t="shared" si="129"/>
        <v>0</v>
      </c>
      <c r="M702" s="100">
        <f t="shared" si="130"/>
        <v>0</v>
      </c>
      <c r="N702" s="100">
        <v>0</v>
      </c>
      <c r="O702" s="100">
        <f t="shared" si="131"/>
        <v>0</v>
      </c>
      <c r="P702" s="100">
        <f t="shared" si="132"/>
        <v>0</v>
      </c>
      <c r="Q702" s="124">
        <f t="shared" si="133"/>
        <v>0</v>
      </c>
      <c r="R702" s="118"/>
    </row>
    <row r="703" s="31" customFormat="1" spans="1:18">
      <c r="A703" s="136">
        <f>IF(F703&lt;&gt;"",1+MAX($A$2:A702),"")</f>
        <v>658</v>
      </c>
      <c r="B703" s="148"/>
      <c r="C703" s="148"/>
      <c r="D703" s="151" t="s">
        <v>762</v>
      </c>
      <c r="E703" s="76">
        <v>5</v>
      </c>
      <c r="F703" s="65">
        <v>0</v>
      </c>
      <c r="G703" s="66">
        <f t="shared" si="127"/>
        <v>5</v>
      </c>
      <c r="H703" s="70" t="s">
        <v>35</v>
      </c>
      <c r="I703" s="97">
        <v>0</v>
      </c>
      <c r="J703" s="98">
        <f t="shared" si="128"/>
        <v>0</v>
      </c>
      <c r="K703" s="144">
        <v>50</v>
      </c>
      <c r="L703" s="100">
        <f t="shared" si="129"/>
        <v>0</v>
      </c>
      <c r="M703" s="100">
        <f t="shared" si="130"/>
        <v>0</v>
      </c>
      <c r="N703" s="100">
        <v>0</v>
      </c>
      <c r="O703" s="100">
        <f t="shared" si="131"/>
        <v>0</v>
      </c>
      <c r="P703" s="100">
        <f t="shared" si="132"/>
        <v>0</v>
      </c>
      <c r="Q703" s="124">
        <f t="shared" si="133"/>
        <v>0</v>
      </c>
      <c r="R703" s="118"/>
    </row>
    <row r="704" s="31" customFormat="1" spans="1:18">
      <c r="A704" s="136">
        <f>IF(F704&lt;&gt;"",1+MAX($A$2:A703),"")</f>
        <v>659</v>
      </c>
      <c r="B704" s="148"/>
      <c r="C704" s="148"/>
      <c r="D704" s="151" t="s">
        <v>763</v>
      </c>
      <c r="E704" s="76">
        <v>1</v>
      </c>
      <c r="F704" s="65">
        <v>0</v>
      </c>
      <c r="G704" s="66">
        <f t="shared" si="127"/>
        <v>1</v>
      </c>
      <c r="H704" s="70" t="s">
        <v>35</v>
      </c>
      <c r="I704" s="97">
        <v>0</v>
      </c>
      <c r="J704" s="98">
        <f t="shared" si="128"/>
        <v>0</v>
      </c>
      <c r="K704" s="144">
        <v>50</v>
      </c>
      <c r="L704" s="100">
        <f t="shared" si="129"/>
        <v>0</v>
      </c>
      <c r="M704" s="100">
        <f t="shared" si="130"/>
        <v>0</v>
      </c>
      <c r="N704" s="100">
        <v>0</v>
      </c>
      <c r="O704" s="100">
        <f t="shared" si="131"/>
        <v>0</v>
      </c>
      <c r="P704" s="100">
        <f t="shared" si="132"/>
        <v>0</v>
      </c>
      <c r="Q704" s="124">
        <f t="shared" si="133"/>
        <v>0</v>
      </c>
      <c r="R704" s="118"/>
    </row>
    <row r="705" s="31" customFormat="1" spans="1:18">
      <c r="A705" s="136">
        <f>IF(F705&lt;&gt;"",1+MAX($A$2:A704),"")</f>
        <v>660</v>
      </c>
      <c r="B705" s="148"/>
      <c r="C705" s="148"/>
      <c r="D705" s="151" t="s">
        <v>764</v>
      </c>
      <c r="E705" s="76">
        <v>6</v>
      </c>
      <c r="F705" s="65">
        <v>0</v>
      </c>
      <c r="G705" s="66">
        <f t="shared" si="127"/>
        <v>6</v>
      </c>
      <c r="H705" s="70" t="s">
        <v>35</v>
      </c>
      <c r="I705" s="97">
        <v>0</v>
      </c>
      <c r="J705" s="98">
        <f t="shared" si="128"/>
        <v>0</v>
      </c>
      <c r="K705" s="144">
        <v>50</v>
      </c>
      <c r="L705" s="100">
        <f t="shared" si="129"/>
        <v>0</v>
      </c>
      <c r="M705" s="100">
        <f t="shared" si="130"/>
        <v>0</v>
      </c>
      <c r="N705" s="100">
        <v>0</v>
      </c>
      <c r="O705" s="100">
        <f t="shared" si="131"/>
        <v>0</v>
      </c>
      <c r="P705" s="100">
        <f t="shared" si="132"/>
        <v>0</v>
      </c>
      <c r="Q705" s="124">
        <f t="shared" si="133"/>
        <v>0</v>
      </c>
      <c r="R705" s="118"/>
    </row>
    <row r="706" s="31" customFormat="1" spans="1:18">
      <c r="A706" s="136">
        <f>IF(F706&lt;&gt;"",1+MAX($A$2:A705),"")</f>
        <v>661</v>
      </c>
      <c r="B706" s="148"/>
      <c r="C706" s="148"/>
      <c r="D706" s="151" t="s">
        <v>765</v>
      </c>
      <c r="E706" s="76">
        <v>6</v>
      </c>
      <c r="F706" s="65">
        <v>0</v>
      </c>
      <c r="G706" s="66">
        <f t="shared" si="127"/>
        <v>6</v>
      </c>
      <c r="H706" s="70" t="s">
        <v>35</v>
      </c>
      <c r="I706" s="97">
        <v>0</v>
      </c>
      <c r="J706" s="98">
        <f t="shared" si="128"/>
        <v>0</v>
      </c>
      <c r="K706" s="144">
        <v>50</v>
      </c>
      <c r="L706" s="100">
        <f t="shared" si="129"/>
        <v>0</v>
      </c>
      <c r="M706" s="100">
        <f t="shared" si="130"/>
        <v>0</v>
      </c>
      <c r="N706" s="100">
        <v>0</v>
      </c>
      <c r="O706" s="100">
        <f t="shared" si="131"/>
        <v>0</v>
      </c>
      <c r="P706" s="100">
        <f t="shared" si="132"/>
        <v>0</v>
      </c>
      <c r="Q706" s="124">
        <f t="shared" si="133"/>
        <v>0</v>
      </c>
      <c r="R706" s="118"/>
    </row>
    <row r="707" s="31" customFormat="1" spans="1:18">
      <c r="A707" s="136">
        <f>IF(F707&lt;&gt;"",1+MAX($A$2:A706),"")</f>
        <v>662</v>
      </c>
      <c r="B707" s="148"/>
      <c r="C707" s="148"/>
      <c r="D707" s="151" t="s">
        <v>766</v>
      </c>
      <c r="E707" s="76">
        <v>1</v>
      </c>
      <c r="F707" s="65">
        <v>0</v>
      </c>
      <c r="G707" s="66">
        <f t="shared" si="127"/>
        <v>1</v>
      </c>
      <c r="H707" s="70" t="s">
        <v>35</v>
      </c>
      <c r="I707" s="97">
        <v>0</v>
      </c>
      <c r="J707" s="98">
        <f t="shared" si="128"/>
        <v>0</v>
      </c>
      <c r="K707" s="144">
        <v>50</v>
      </c>
      <c r="L707" s="100">
        <f t="shared" si="129"/>
        <v>0</v>
      </c>
      <c r="M707" s="100">
        <f t="shared" si="130"/>
        <v>0</v>
      </c>
      <c r="N707" s="100">
        <v>0</v>
      </c>
      <c r="O707" s="100">
        <f t="shared" si="131"/>
        <v>0</v>
      </c>
      <c r="P707" s="100">
        <f t="shared" si="132"/>
        <v>0</v>
      </c>
      <c r="Q707" s="124">
        <f t="shared" si="133"/>
        <v>0</v>
      </c>
      <c r="R707" s="118"/>
    </row>
    <row r="708" s="31" customFormat="1" spans="1:18">
      <c r="A708" s="136">
        <f>IF(F708&lt;&gt;"",1+MAX($A$2:A707),"")</f>
        <v>663</v>
      </c>
      <c r="B708" s="148"/>
      <c r="C708" s="148"/>
      <c r="D708" s="151" t="s">
        <v>763</v>
      </c>
      <c r="E708" s="76">
        <v>2</v>
      </c>
      <c r="F708" s="65">
        <v>0</v>
      </c>
      <c r="G708" s="66">
        <f t="shared" si="127"/>
        <v>2</v>
      </c>
      <c r="H708" s="70" t="s">
        <v>35</v>
      </c>
      <c r="I708" s="97">
        <v>0</v>
      </c>
      <c r="J708" s="98">
        <f t="shared" si="128"/>
        <v>0</v>
      </c>
      <c r="K708" s="144">
        <v>50</v>
      </c>
      <c r="L708" s="100">
        <f t="shared" si="129"/>
        <v>0</v>
      </c>
      <c r="M708" s="100">
        <f t="shared" si="130"/>
        <v>0</v>
      </c>
      <c r="N708" s="100">
        <v>0</v>
      </c>
      <c r="O708" s="100">
        <f t="shared" si="131"/>
        <v>0</v>
      </c>
      <c r="P708" s="100">
        <f t="shared" si="132"/>
        <v>0</v>
      </c>
      <c r="Q708" s="124">
        <f t="shared" si="133"/>
        <v>0</v>
      </c>
      <c r="R708" s="118"/>
    </row>
    <row r="709" s="31" customFormat="1" spans="1:18">
      <c r="A709" s="136">
        <f>IF(F709&lt;&gt;"",1+MAX($A$2:A708),"")</f>
        <v>664</v>
      </c>
      <c r="B709" s="148"/>
      <c r="C709" s="148"/>
      <c r="D709" s="151" t="s">
        <v>762</v>
      </c>
      <c r="E709" s="76">
        <v>6</v>
      </c>
      <c r="F709" s="65">
        <v>0</v>
      </c>
      <c r="G709" s="66">
        <f t="shared" si="127"/>
        <v>6</v>
      </c>
      <c r="H709" s="70" t="s">
        <v>35</v>
      </c>
      <c r="I709" s="97">
        <v>0</v>
      </c>
      <c r="J709" s="98">
        <f t="shared" si="128"/>
        <v>0</v>
      </c>
      <c r="K709" s="144">
        <v>50</v>
      </c>
      <c r="L709" s="100">
        <f t="shared" si="129"/>
        <v>0</v>
      </c>
      <c r="M709" s="100">
        <f t="shared" si="130"/>
        <v>0</v>
      </c>
      <c r="N709" s="100">
        <v>0</v>
      </c>
      <c r="O709" s="100">
        <f t="shared" si="131"/>
        <v>0</v>
      </c>
      <c r="P709" s="100">
        <f t="shared" si="132"/>
        <v>0</v>
      </c>
      <c r="Q709" s="124">
        <f t="shared" si="133"/>
        <v>0</v>
      </c>
      <c r="R709" s="118"/>
    </row>
    <row r="710" s="31" customFormat="1" spans="1:18">
      <c r="A710" s="136">
        <f>IF(F710&lt;&gt;"",1+MAX($A$2:A709),"")</f>
        <v>665</v>
      </c>
      <c r="B710" s="148"/>
      <c r="C710" s="148"/>
      <c r="D710" s="151" t="s">
        <v>760</v>
      </c>
      <c r="E710" s="76">
        <v>3</v>
      </c>
      <c r="F710" s="65">
        <v>0</v>
      </c>
      <c r="G710" s="66">
        <f t="shared" si="127"/>
        <v>3</v>
      </c>
      <c r="H710" s="70" t="s">
        <v>35</v>
      </c>
      <c r="I710" s="97">
        <v>0</v>
      </c>
      <c r="J710" s="98">
        <f t="shared" si="128"/>
        <v>0</v>
      </c>
      <c r="K710" s="144">
        <v>50</v>
      </c>
      <c r="L710" s="100">
        <f t="shared" si="129"/>
        <v>0</v>
      </c>
      <c r="M710" s="100">
        <f t="shared" si="130"/>
        <v>0</v>
      </c>
      <c r="N710" s="100">
        <v>0</v>
      </c>
      <c r="O710" s="100">
        <f t="shared" si="131"/>
        <v>0</v>
      </c>
      <c r="P710" s="100">
        <f t="shared" si="132"/>
        <v>0</v>
      </c>
      <c r="Q710" s="124">
        <f t="shared" si="133"/>
        <v>0</v>
      </c>
      <c r="R710" s="118"/>
    </row>
    <row r="711" s="31" customFormat="1" spans="1:18">
      <c r="A711" s="136">
        <f>IF(F711&lt;&gt;"",1+MAX($A$2:A710),"")</f>
        <v>666</v>
      </c>
      <c r="B711" s="148"/>
      <c r="C711" s="148"/>
      <c r="D711" s="151" t="s">
        <v>765</v>
      </c>
      <c r="E711" s="76">
        <v>6</v>
      </c>
      <c r="F711" s="65">
        <v>0</v>
      </c>
      <c r="G711" s="66">
        <f t="shared" si="127"/>
        <v>6</v>
      </c>
      <c r="H711" s="70" t="s">
        <v>35</v>
      </c>
      <c r="I711" s="97">
        <v>0</v>
      </c>
      <c r="J711" s="98">
        <f t="shared" si="128"/>
        <v>0</v>
      </c>
      <c r="K711" s="144">
        <v>50</v>
      </c>
      <c r="L711" s="100">
        <f t="shared" si="129"/>
        <v>0</v>
      </c>
      <c r="M711" s="100">
        <f t="shared" si="130"/>
        <v>0</v>
      </c>
      <c r="N711" s="100">
        <v>0</v>
      </c>
      <c r="O711" s="100">
        <f t="shared" si="131"/>
        <v>0</v>
      </c>
      <c r="P711" s="100">
        <f t="shared" si="132"/>
        <v>0</v>
      </c>
      <c r="Q711" s="124">
        <f t="shared" si="133"/>
        <v>0</v>
      </c>
      <c r="R711" s="118"/>
    </row>
    <row r="712" s="31" customFormat="1" spans="1:18">
      <c r="A712" s="136">
        <f>IF(F712&lt;&gt;"",1+MAX($A$2:A711),"")</f>
        <v>667</v>
      </c>
      <c r="B712" s="148"/>
      <c r="C712" s="148"/>
      <c r="D712" s="151" t="s">
        <v>764</v>
      </c>
      <c r="E712" s="76">
        <v>6</v>
      </c>
      <c r="F712" s="65">
        <v>0</v>
      </c>
      <c r="G712" s="66">
        <f t="shared" si="127"/>
        <v>6</v>
      </c>
      <c r="H712" s="70" t="s">
        <v>35</v>
      </c>
      <c r="I712" s="97">
        <v>0</v>
      </c>
      <c r="J712" s="98">
        <f t="shared" si="128"/>
        <v>0</v>
      </c>
      <c r="K712" s="144">
        <v>50</v>
      </c>
      <c r="L712" s="100">
        <f t="shared" si="129"/>
        <v>0</v>
      </c>
      <c r="M712" s="100">
        <f t="shared" si="130"/>
        <v>0</v>
      </c>
      <c r="N712" s="100">
        <v>0</v>
      </c>
      <c r="O712" s="100">
        <f t="shared" si="131"/>
        <v>0</v>
      </c>
      <c r="P712" s="100">
        <f t="shared" si="132"/>
        <v>0</v>
      </c>
      <c r="Q712" s="124">
        <f t="shared" si="133"/>
        <v>0</v>
      </c>
      <c r="R712" s="118"/>
    </row>
    <row r="713" s="31" customFormat="1" spans="1:18">
      <c r="A713" s="136">
        <f>IF(F713&lt;&gt;"",1+MAX($A$2:A712),"")</f>
        <v>668</v>
      </c>
      <c r="B713" s="148"/>
      <c r="C713" s="148"/>
      <c r="D713" s="151" t="s">
        <v>767</v>
      </c>
      <c r="E713" s="76">
        <v>1</v>
      </c>
      <c r="F713" s="65">
        <v>0</v>
      </c>
      <c r="G713" s="66">
        <f t="shared" si="127"/>
        <v>1</v>
      </c>
      <c r="H713" s="70" t="s">
        <v>35</v>
      </c>
      <c r="I713" s="97">
        <v>0</v>
      </c>
      <c r="J713" s="98">
        <f t="shared" si="128"/>
        <v>0</v>
      </c>
      <c r="K713" s="144">
        <v>50</v>
      </c>
      <c r="L713" s="100">
        <f t="shared" si="129"/>
        <v>0</v>
      </c>
      <c r="M713" s="100">
        <f t="shared" si="130"/>
        <v>0</v>
      </c>
      <c r="N713" s="100">
        <v>0</v>
      </c>
      <c r="O713" s="100">
        <f t="shared" si="131"/>
        <v>0</v>
      </c>
      <c r="P713" s="100">
        <f t="shared" si="132"/>
        <v>0</v>
      </c>
      <c r="Q713" s="124">
        <f t="shared" si="133"/>
        <v>0</v>
      </c>
      <c r="R713" s="118"/>
    </row>
    <row r="714" s="31" customFormat="1" spans="1:18">
      <c r="A714" s="136">
        <f>IF(F714&lt;&gt;"",1+MAX($A$2:A713),"")</f>
        <v>669</v>
      </c>
      <c r="B714" s="148"/>
      <c r="C714" s="148"/>
      <c r="D714" s="151" t="s">
        <v>768</v>
      </c>
      <c r="E714" s="76">
        <v>4</v>
      </c>
      <c r="F714" s="65">
        <v>0</v>
      </c>
      <c r="G714" s="66">
        <f t="shared" si="127"/>
        <v>4</v>
      </c>
      <c r="H714" s="70" t="s">
        <v>35</v>
      </c>
      <c r="I714" s="97">
        <v>0</v>
      </c>
      <c r="J714" s="98">
        <f t="shared" si="128"/>
        <v>0</v>
      </c>
      <c r="K714" s="144">
        <v>50</v>
      </c>
      <c r="L714" s="100">
        <f t="shared" si="129"/>
        <v>0</v>
      </c>
      <c r="M714" s="100">
        <f t="shared" si="130"/>
        <v>0</v>
      </c>
      <c r="N714" s="100">
        <v>0</v>
      </c>
      <c r="O714" s="100">
        <f t="shared" si="131"/>
        <v>0</v>
      </c>
      <c r="P714" s="100">
        <f t="shared" si="132"/>
        <v>0</v>
      </c>
      <c r="Q714" s="124">
        <f t="shared" si="133"/>
        <v>0</v>
      </c>
      <c r="R714" s="118"/>
    </row>
    <row r="715" s="31" customFormat="1" spans="1:18">
      <c r="A715" s="136">
        <f>IF(F715&lt;&gt;"",1+MAX($A$2:A714),"")</f>
        <v>670</v>
      </c>
      <c r="B715" s="148"/>
      <c r="C715" s="148"/>
      <c r="D715" s="151" t="s">
        <v>769</v>
      </c>
      <c r="E715" s="76">
        <v>2</v>
      </c>
      <c r="F715" s="65">
        <v>0</v>
      </c>
      <c r="G715" s="66">
        <f t="shared" si="127"/>
        <v>2</v>
      </c>
      <c r="H715" s="70" t="s">
        <v>35</v>
      </c>
      <c r="I715" s="97">
        <v>0</v>
      </c>
      <c r="J715" s="98">
        <f t="shared" si="128"/>
        <v>0</v>
      </c>
      <c r="K715" s="144">
        <v>50</v>
      </c>
      <c r="L715" s="100">
        <f t="shared" si="129"/>
        <v>0</v>
      </c>
      <c r="M715" s="100">
        <f t="shared" si="130"/>
        <v>0</v>
      </c>
      <c r="N715" s="100">
        <v>0</v>
      </c>
      <c r="O715" s="100">
        <f t="shared" si="131"/>
        <v>0</v>
      </c>
      <c r="P715" s="100">
        <f t="shared" si="132"/>
        <v>0</v>
      </c>
      <c r="Q715" s="124">
        <f t="shared" si="133"/>
        <v>0</v>
      </c>
      <c r="R715" s="118"/>
    </row>
    <row r="716" s="31" customFormat="1" spans="1:18">
      <c r="A716" s="136">
        <f>IF(F716&lt;&gt;"",1+MAX($A$2:A715),"")</f>
        <v>671</v>
      </c>
      <c r="B716" s="148"/>
      <c r="C716" s="148"/>
      <c r="D716" s="151" t="s">
        <v>764</v>
      </c>
      <c r="E716" s="76">
        <v>2</v>
      </c>
      <c r="F716" s="65">
        <v>0</v>
      </c>
      <c r="G716" s="66">
        <f t="shared" si="127"/>
        <v>2</v>
      </c>
      <c r="H716" s="70" t="s">
        <v>35</v>
      </c>
      <c r="I716" s="97">
        <v>0</v>
      </c>
      <c r="J716" s="98">
        <f t="shared" si="128"/>
        <v>0</v>
      </c>
      <c r="K716" s="144">
        <v>50</v>
      </c>
      <c r="L716" s="100">
        <f t="shared" si="129"/>
        <v>0</v>
      </c>
      <c r="M716" s="100">
        <f t="shared" si="130"/>
        <v>0</v>
      </c>
      <c r="N716" s="100">
        <v>0</v>
      </c>
      <c r="O716" s="100">
        <f t="shared" si="131"/>
        <v>0</v>
      </c>
      <c r="P716" s="100">
        <f t="shared" si="132"/>
        <v>0</v>
      </c>
      <c r="Q716" s="124">
        <f t="shared" si="133"/>
        <v>0</v>
      </c>
      <c r="R716" s="118"/>
    </row>
    <row r="717" s="31" customFormat="1" spans="1:18">
      <c r="A717" s="136">
        <f>IF(F717&lt;&gt;"",1+MAX($A$2:A716),"")</f>
        <v>672</v>
      </c>
      <c r="B717" s="148"/>
      <c r="C717" s="148"/>
      <c r="D717" s="151" t="s">
        <v>765</v>
      </c>
      <c r="E717" s="76">
        <v>14</v>
      </c>
      <c r="F717" s="65">
        <v>0</v>
      </c>
      <c r="G717" s="66">
        <f t="shared" si="127"/>
        <v>14</v>
      </c>
      <c r="H717" s="70" t="s">
        <v>35</v>
      </c>
      <c r="I717" s="97">
        <v>0</v>
      </c>
      <c r="J717" s="98">
        <f t="shared" si="128"/>
        <v>0</v>
      </c>
      <c r="K717" s="144">
        <v>50</v>
      </c>
      <c r="L717" s="100">
        <f t="shared" si="129"/>
        <v>0</v>
      </c>
      <c r="M717" s="100">
        <f t="shared" si="130"/>
        <v>0</v>
      </c>
      <c r="N717" s="100">
        <v>0</v>
      </c>
      <c r="O717" s="100">
        <f t="shared" si="131"/>
        <v>0</v>
      </c>
      <c r="P717" s="100">
        <f t="shared" si="132"/>
        <v>0</v>
      </c>
      <c r="Q717" s="124">
        <f t="shared" si="133"/>
        <v>0</v>
      </c>
      <c r="R717" s="118"/>
    </row>
    <row r="718" s="31" customFormat="1" spans="1:18">
      <c r="A718" s="136">
        <f>IF(F718&lt;&gt;"",1+MAX($A$2:A717),"")</f>
        <v>673</v>
      </c>
      <c r="B718" s="148"/>
      <c r="C718" s="148"/>
      <c r="D718" s="151" t="s">
        <v>770</v>
      </c>
      <c r="E718" s="76">
        <v>5</v>
      </c>
      <c r="F718" s="65">
        <v>0</v>
      </c>
      <c r="G718" s="66">
        <f t="shared" si="127"/>
        <v>5</v>
      </c>
      <c r="H718" s="70" t="s">
        <v>35</v>
      </c>
      <c r="I718" s="97">
        <v>0</v>
      </c>
      <c r="J718" s="98">
        <f t="shared" si="128"/>
        <v>0</v>
      </c>
      <c r="K718" s="144">
        <v>50</v>
      </c>
      <c r="L718" s="100">
        <f t="shared" si="129"/>
        <v>0</v>
      </c>
      <c r="M718" s="100">
        <f t="shared" si="130"/>
        <v>0</v>
      </c>
      <c r="N718" s="100">
        <v>0</v>
      </c>
      <c r="O718" s="100">
        <f t="shared" si="131"/>
        <v>0</v>
      </c>
      <c r="P718" s="100">
        <f t="shared" si="132"/>
        <v>0</v>
      </c>
      <c r="Q718" s="124">
        <f t="shared" si="133"/>
        <v>0</v>
      </c>
      <c r="R718" s="118"/>
    </row>
    <row r="719" s="31" customFormat="1" spans="1:18">
      <c r="A719" s="136">
        <f>IF(F719&lt;&gt;"",1+MAX($A$2:A718),"")</f>
        <v>674</v>
      </c>
      <c r="B719" s="148"/>
      <c r="C719" s="148"/>
      <c r="D719" s="151" t="s">
        <v>753</v>
      </c>
      <c r="E719" s="76">
        <v>4</v>
      </c>
      <c r="F719" s="65">
        <v>0</v>
      </c>
      <c r="G719" s="66">
        <f t="shared" ref="G719:G728" si="134">(F719*E719)+E719</f>
        <v>4</v>
      </c>
      <c r="H719" s="70" t="s">
        <v>35</v>
      </c>
      <c r="I719" s="97">
        <v>0</v>
      </c>
      <c r="J719" s="98">
        <f t="shared" si="128"/>
        <v>0</v>
      </c>
      <c r="K719" s="144">
        <v>50</v>
      </c>
      <c r="L719" s="100">
        <f t="shared" si="129"/>
        <v>0</v>
      </c>
      <c r="M719" s="100">
        <f t="shared" si="130"/>
        <v>0</v>
      </c>
      <c r="N719" s="100">
        <v>0</v>
      </c>
      <c r="O719" s="100">
        <f t="shared" si="131"/>
        <v>0</v>
      </c>
      <c r="P719" s="100">
        <f t="shared" si="132"/>
        <v>0</v>
      </c>
      <c r="Q719" s="124">
        <f t="shared" si="133"/>
        <v>0</v>
      </c>
      <c r="R719" s="118"/>
    </row>
    <row r="720" s="31" customFormat="1" spans="1:18">
      <c r="A720" s="136">
        <f>IF(F720&lt;&gt;"",1+MAX($A$2:A719),"")</f>
        <v>675</v>
      </c>
      <c r="B720" s="148"/>
      <c r="C720" s="148"/>
      <c r="D720" s="151" t="s">
        <v>754</v>
      </c>
      <c r="E720" s="76">
        <v>184</v>
      </c>
      <c r="F720" s="65">
        <v>0</v>
      </c>
      <c r="G720" s="66">
        <f t="shared" si="134"/>
        <v>184</v>
      </c>
      <c r="H720" s="70" t="s">
        <v>35</v>
      </c>
      <c r="I720" s="97">
        <v>0</v>
      </c>
      <c r="J720" s="98">
        <f t="shared" si="128"/>
        <v>0</v>
      </c>
      <c r="K720" s="144">
        <v>50</v>
      </c>
      <c r="L720" s="100">
        <f t="shared" si="129"/>
        <v>0</v>
      </c>
      <c r="M720" s="100">
        <f t="shared" si="130"/>
        <v>0</v>
      </c>
      <c r="N720" s="100">
        <v>0</v>
      </c>
      <c r="O720" s="100">
        <f t="shared" si="131"/>
        <v>0</v>
      </c>
      <c r="P720" s="100">
        <f t="shared" si="132"/>
        <v>0</v>
      </c>
      <c r="Q720" s="124">
        <f t="shared" si="133"/>
        <v>0</v>
      </c>
      <c r="R720" s="118"/>
    </row>
    <row r="721" s="31" customFormat="1" spans="1:18">
      <c r="A721" s="136">
        <f>IF(F721&lt;&gt;"",1+MAX($A$2:A720),"")</f>
        <v>676</v>
      </c>
      <c r="B721" s="148"/>
      <c r="C721" s="148"/>
      <c r="D721" s="151" t="s">
        <v>755</v>
      </c>
      <c r="E721" s="76">
        <v>7</v>
      </c>
      <c r="F721" s="65">
        <v>0</v>
      </c>
      <c r="G721" s="66">
        <f t="shared" si="134"/>
        <v>7</v>
      </c>
      <c r="H721" s="70" t="s">
        <v>35</v>
      </c>
      <c r="I721" s="97">
        <v>0</v>
      </c>
      <c r="J721" s="98">
        <f t="shared" si="128"/>
        <v>0</v>
      </c>
      <c r="K721" s="144">
        <v>50</v>
      </c>
      <c r="L721" s="100">
        <f t="shared" si="129"/>
        <v>0</v>
      </c>
      <c r="M721" s="100">
        <f t="shared" si="130"/>
        <v>0</v>
      </c>
      <c r="N721" s="100">
        <v>0</v>
      </c>
      <c r="O721" s="100">
        <f t="shared" si="131"/>
        <v>0</v>
      </c>
      <c r="P721" s="100">
        <f t="shared" si="132"/>
        <v>0</v>
      </c>
      <c r="Q721" s="124">
        <f t="shared" si="133"/>
        <v>0</v>
      </c>
      <c r="R721" s="118"/>
    </row>
    <row r="722" s="31" customFormat="1" spans="1:18">
      <c r="A722" s="136">
        <f>IF(F722&lt;&gt;"",1+MAX($A$2:A721),"")</f>
        <v>677</v>
      </c>
      <c r="B722" s="148"/>
      <c r="C722" s="148"/>
      <c r="D722" s="151" t="s">
        <v>771</v>
      </c>
      <c r="E722" s="76">
        <v>50</v>
      </c>
      <c r="F722" s="65">
        <v>0</v>
      </c>
      <c r="G722" s="66">
        <f t="shared" si="134"/>
        <v>50</v>
      </c>
      <c r="H722" s="70" t="s">
        <v>35</v>
      </c>
      <c r="I722" s="97">
        <v>0</v>
      </c>
      <c r="J722" s="98">
        <f t="shared" si="128"/>
        <v>0</v>
      </c>
      <c r="K722" s="144">
        <v>50</v>
      </c>
      <c r="L722" s="100">
        <f t="shared" si="129"/>
        <v>0</v>
      </c>
      <c r="M722" s="100">
        <f t="shared" si="130"/>
        <v>0</v>
      </c>
      <c r="N722" s="100">
        <v>0</v>
      </c>
      <c r="O722" s="100">
        <f t="shared" si="131"/>
        <v>0</v>
      </c>
      <c r="P722" s="100">
        <f t="shared" si="132"/>
        <v>0</v>
      </c>
      <c r="Q722" s="124">
        <f t="shared" si="133"/>
        <v>0</v>
      </c>
      <c r="R722" s="118"/>
    </row>
    <row r="723" s="31" customFormat="1" spans="1:18">
      <c r="A723" s="136">
        <f>IF(F723&lt;&gt;"",1+MAX($A$2:A722),"")</f>
        <v>678</v>
      </c>
      <c r="B723" s="148"/>
      <c r="C723" s="148"/>
      <c r="D723" s="151" t="s">
        <v>756</v>
      </c>
      <c r="E723" s="76">
        <v>2</v>
      </c>
      <c r="F723" s="65">
        <v>0</v>
      </c>
      <c r="G723" s="66">
        <f t="shared" si="134"/>
        <v>2</v>
      </c>
      <c r="H723" s="70" t="s">
        <v>35</v>
      </c>
      <c r="I723" s="97">
        <v>0</v>
      </c>
      <c r="J723" s="98">
        <f t="shared" si="128"/>
        <v>0</v>
      </c>
      <c r="K723" s="144">
        <v>50</v>
      </c>
      <c r="L723" s="100">
        <f t="shared" si="129"/>
        <v>0</v>
      </c>
      <c r="M723" s="100">
        <f t="shared" si="130"/>
        <v>0</v>
      </c>
      <c r="N723" s="100">
        <v>0</v>
      </c>
      <c r="O723" s="100">
        <f t="shared" si="131"/>
        <v>0</v>
      </c>
      <c r="P723" s="100">
        <f t="shared" si="132"/>
        <v>0</v>
      </c>
      <c r="Q723" s="124">
        <f t="shared" si="133"/>
        <v>0</v>
      </c>
      <c r="R723" s="118"/>
    </row>
    <row r="724" s="31" customFormat="1" spans="1:18">
      <c r="A724" s="136">
        <f>IF(F724&lt;&gt;"",1+MAX($A$2:A723),"")</f>
        <v>679</v>
      </c>
      <c r="B724" s="148"/>
      <c r="C724" s="148"/>
      <c r="D724" s="151" t="s">
        <v>772</v>
      </c>
      <c r="E724" s="76">
        <v>1</v>
      </c>
      <c r="F724" s="65">
        <v>0</v>
      </c>
      <c r="G724" s="66">
        <f t="shared" si="134"/>
        <v>1</v>
      </c>
      <c r="H724" s="70" t="s">
        <v>35</v>
      </c>
      <c r="I724" s="97">
        <v>0</v>
      </c>
      <c r="J724" s="98">
        <f t="shared" si="128"/>
        <v>0</v>
      </c>
      <c r="K724" s="144">
        <v>50</v>
      </c>
      <c r="L724" s="100">
        <f t="shared" si="129"/>
        <v>0</v>
      </c>
      <c r="M724" s="100">
        <f t="shared" si="130"/>
        <v>0</v>
      </c>
      <c r="N724" s="100">
        <v>0</v>
      </c>
      <c r="O724" s="100">
        <f t="shared" si="131"/>
        <v>0</v>
      </c>
      <c r="P724" s="100">
        <f t="shared" si="132"/>
        <v>0</v>
      </c>
      <c r="Q724" s="124">
        <f t="shared" si="133"/>
        <v>0</v>
      </c>
      <c r="R724" s="118"/>
    </row>
    <row r="725" s="31" customFormat="1" spans="1:18">
      <c r="A725" s="136">
        <f>IF(F725&lt;&gt;"",1+MAX($A$2:A724),"")</f>
        <v>680</v>
      </c>
      <c r="B725" s="148"/>
      <c r="C725" s="148"/>
      <c r="D725" s="151" t="s">
        <v>764</v>
      </c>
      <c r="E725" s="76">
        <v>4</v>
      </c>
      <c r="F725" s="65">
        <v>0</v>
      </c>
      <c r="G725" s="66">
        <f t="shared" si="134"/>
        <v>4</v>
      </c>
      <c r="H725" s="70" t="s">
        <v>35</v>
      </c>
      <c r="I725" s="97">
        <v>0</v>
      </c>
      <c r="J725" s="98">
        <f t="shared" si="128"/>
        <v>0</v>
      </c>
      <c r="K725" s="144">
        <v>50</v>
      </c>
      <c r="L725" s="100">
        <f t="shared" si="129"/>
        <v>0</v>
      </c>
      <c r="M725" s="100">
        <f t="shared" si="130"/>
        <v>0</v>
      </c>
      <c r="N725" s="100">
        <v>0</v>
      </c>
      <c r="O725" s="100">
        <f t="shared" si="131"/>
        <v>0</v>
      </c>
      <c r="P725" s="100">
        <f t="shared" si="132"/>
        <v>0</v>
      </c>
      <c r="Q725" s="124">
        <f t="shared" si="133"/>
        <v>0</v>
      </c>
      <c r="R725" s="118"/>
    </row>
    <row r="726" s="31" customFormat="1" spans="1:18">
      <c r="A726" s="136">
        <f>IF(F726&lt;&gt;"",1+MAX($A$2:A725),"")</f>
        <v>681</v>
      </c>
      <c r="B726" s="148"/>
      <c r="C726" s="148"/>
      <c r="D726" s="151" t="s">
        <v>765</v>
      </c>
      <c r="E726" s="76">
        <v>4</v>
      </c>
      <c r="F726" s="65">
        <v>0</v>
      </c>
      <c r="G726" s="66">
        <f t="shared" si="134"/>
        <v>4</v>
      </c>
      <c r="H726" s="70" t="s">
        <v>35</v>
      </c>
      <c r="I726" s="97">
        <v>0</v>
      </c>
      <c r="J726" s="98">
        <f t="shared" si="128"/>
        <v>0</v>
      </c>
      <c r="K726" s="144">
        <v>50</v>
      </c>
      <c r="L726" s="100">
        <f t="shared" si="129"/>
        <v>0</v>
      </c>
      <c r="M726" s="100">
        <f t="shared" si="130"/>
        <v>0</v>
      </c>
      <c r="N726" s="100">
        <v>0</v>
      </c>
      <c r="O726" s="100">
        <f t="shared" si="131"/>
        <v>0</v>
      </c>
      <c r="P726" s="100">
        <f t="shared" si="132"/>
        <v>0</v>
      </c>
      <c r="Q726" s="124">
        <f t="shared" si="133"/>
        <v>0</v>
      </c>
      <c r="R726" s="118"/>
    </row>
    <row r="727" s="31" customFormat="1" spans="1:18">
      <c r="A727" s="136">
        <f>IF(F727&lt;&gt;"",1+MAX($A$2:A726),"")</f>
        <v>682</v>
      </c>
      <c r="B727" s="148"/>
      <c r="C727" s="148"/>
      <c r="D727" s="151" t="s">
        <v>760</v>
      </c>
      <c r="E727" s="76">
        <v>4</v>
      </c>
      <c r="F727" s="65">
        <v>0</v>
      </c>
      <c r="G727" s="66">
        <f t="shared" si="134"/>
        <v>4</v>
      </c>
      <c r="H727" s="70" t="s">
        <v>35</v>
      </c>
      <c r="I727" s="97">
        <v>0</v>
      </c>
      <c r="J727" s="98">
        <f t="shared" si="128"/>
        <v>0</v>
      </c>
      <c r="K727" s="144">
        <v>50</v>
      </c>
      <c r="L727" s="100">
        <f t="shared" si="129"/>
        <v>0</v>
      </c>
      <c r="M727" s="100">
        <f t="shared" si="130"/>
        <v>0</v>
      </c>
      <c r="N727" s="100">
        <v>0</v>
      </c>
      <c r="O727" s="100">
        <f t="shared" si="131"/>
        <v>0</v>
      </c>
      <c r="P727" s="100">
        <f t="shared" si="132"/>
        <v>0</v>
      </c>
      <c r="Q727" s="124">
        <f t="shared" si="133"/>
        <v>0</v>
      </c>
      <c r="R727" s="118"/>
    </row>
    <row r="728" s="31" customFormat="1" spans="1:18">
      <c r="A728" s="136">
        <f>IF(F728&lt;&gt;"",1+MAX($A$2:A727),"")</f>
        <v>683</v>
      </c>
      <c r="B728" s="148"/>
      <c r="C728" s="148"/>
      <c r="D728" s="151" t="s">
        <v>762</v>
      </c>
      <c r="E728" s="76">
        <v>9</v>
      </c>
      <c r="F728" s="65">
        <v>0</v>
      </c>
      <c r="G728" s="66">
        <f t="shared" si="134"/>
        <v>9</v>
      </c>
      <c r="H728" s="70" t="s">
        <v>35</v>
      </c>
      <c r="I728" s="97">
        <v>0</v>
      </c>
      <c r="J728" s="98">
        <f t="shared" si="128"/>
        <v>0</v>
      </c>
      <c r="K728" s="144">
        <v>50</v>
      </c>
      <c r="L728" s="100">
        <f t="shared" si="129"/>
        <v>0</v>
      </c>
      <c r="M728" s="100">
        <f t="shared" si="130"/>
        <v>0</v>
      </c>
      <c r="N728" s="100">
        <v>0</v>
      </c>
      <c r="O728" s="100">
        <f t="shared" si="131"/>
        <v>0</v>
      </c>
      <c r="P728" s="100">
        <f t="shared" si="132"/>
        <v>0</v>
      </c>
      <c r="Q728" s="124">
        <f t="shared" si="133"/>
        <v>0</v>
      </c>
      <c r="R728" s="118"/>
    </row>
    <row r="729" s="31" customFormat="1" spans="1:18">
      <c r="A729" s="218" t="str">
        <f>IF(F729&lt;&gt;"",1+MAX($A$2:A728),"")</f>
        <v/>
      </c>
      <c r="B729" s="219"/>
      <c r="C729" s="217"/>
      <c r="D729" s="216"/>
      <c r="E729" s="220"/>
      <c r="F729" s="212"/>
      <c r="G729" s="213"/>
      <c r="H729" s="220"/>
      <c r="I729" s="225"/>
      <c r="J729" s="226"/>
      <c r="K729" s="227"/>
      <c r="L729" s="228"/>
      <c r="M729" s="228"/>
      <c r="N729" s="228"/>
      <c r="O729" s="228"/>
      <c r="P729" s="100"/>
      <c r="Q729" s="229"/>
      <c r="R729" s="118"/>
    </row>
    <row r="730" s="34" customFormat="1" ht="18" customHeight="1" spans="1:18">
      <c r="A730" s="61" t="str">
        <f>IF(F730&lt;&gt;"",1+MAX($A$2:A729),"")</f>
        <v/>
      </c>
      <c r="B730" s="214"/>
      <c r="C730" s="74"/>
      <c r="D730" s="134" t="s">
        <v>773</v>
      </c>
      <c r="E730"/>
      <c r="F730" s="65"/>
      <c r="G730" s="66"/>
      <c r="H730" s="70"/>
      <c r="I730" s="97"/>
      <c r="J730" s="98"/>
      <c r="K730" s="99"/>
      <c r="L730" s="100"/>
      <c r="M730" s="100"/>
      <c r="N730" s="100"/>
      <c r="O730" s="100"/>
      <c r="P730" s="100"/>
      <c r="Q730" s="229"/>
      <c r="R730" s="114"/>
    </row>
    <row r="731" s="34" customFormat="1" ht="18" customHeight="1" spans="1:18">
      <c r="A731" s="61">
        <f>IF(F731&lt;&gt;"",1+MAX($A$2:A730),"")</f>
        <v>684</v>
      </c>
      <c r="B731" s="68"/>
      <c r="C731" s="68"/>
      <c r="D731" s="69" t="s">
        <v>774</v>
      </c>
      <c r="E731" s="72">
        <v>39.61</v>
      </c>
      <c r="F731" s="71">
        <v>0</v>
      </c>
      <c r="G731" s="72">
        <v>0</v>
      </c>
      <c r="H731" s="70" t="s">
        <v>37</v>
      </c>
      <c r="I731" s="97">
        <v>0</v>
      </c>
      <c r="J731" s="98">
        <f t="shared" ref="J731:J734" si="135">+I731*G731</f>
        <v>0</v>
      </c>
      <c r="K731" s="99">
        <v>50</v>
      </c>
      <c r="L731" s="100">
        <f t="shared" ref="L731:L734" si="136">I731*K731</f>
        <v>0</v>
      </c>
      <c r="M731" s="100">
        <f t="shared" ref="M731:M734" si="137">K731*J731</f>
        <v>0</v>
      </c>
      <c r="N731" s="100">
        <v>0</v>
      </c>
      <c r="O731" s="100">
        <f t="shared" ref="O731:O734" si="138">N731*G731</f>
        <v>0</v>
      </c>
      <c r="P731" s="100">
        <f t="shared" ref="P731:P734" si="139">(I731*K731)+N731</f>
        <v>0</v>
      </c>
      <c r="Q731" s="124">
        <f t="shared" ref="Q731:Q734" si="140">P731*G731</f>
        <v>0</v>
      </c>
      <c r="R731" s="114"/>
    </row>
    <row r="732" s="34" customFormat="1" ht="18" customHeight="1" spans="1:18">
      <c r="A732" s="61">
        <f>IF(F732&lt;&gt;"",1+MAX($A$2:A731),"")</f>
        <v>685</v>
      </c>
      <c r="B732" s="68"/>
      <c r="C732" s="68"/>
      <c r="D732" s="69" t="s">
        <v>775</v>
      </c>
      <c r="E732" s="72">
        <v>257.87</v>
      </c>
      <c r="F732" s="71">
        <v>0</v>
      </c>
      <c r="G732" s="72">
        <v>0</v>
      </c>
      <c r="H732" s="70" t="s">
        <v>37</v>
      </c>
      <c r="I732" s="97">
        <v>0</v>
      </c>
      <c r="J732" s="98">
        <f t="shared" si="135"/>
        <v>0</v>
      </c>
      <c r="K732" s="99">
        <v>50</v>
      </c>
      <c r="L732" s="100">
        <f t="shared" si="136"/>
        <v>0</v>
      </c>
      <c r="M732" s="100">
        <f t="shared" si="137"/>
        <v>0</v>
      </c>
      <c r="N732" s="100">
        <v>0</v>
      </c>
      <c r="O732" s="100">
        <f t="shared" si="138"/>
        <v>0</v>
      </c>
      <c r="P732" s="100">
        <f t="shared" si="139"/>
        <v>0</v>
      </c>
      <c r="Q732" s="124">
        <f t="shared" si="140"/>
        <v>0</v>
      </c>
      <c r="R732" s="114"/>
    </row>
    <row r="733" s="31" customFormat="1" ht="18" customHeight="1" spans="1:18">
      <c r="A733" s="136">
        <f>IF(F733&lt;&gt;"",1+MAX($A$2:A732),"")</f>
        <v>686</v>
      </c>
      <c r="B733" s="221"/>
      <c r="C733" s="221"/>
      <c r="D733" s="69" t="s">
        <v>776</v>
      </c>
      <c r="E733" s="70">
        <v>2053</v>
      </c>
      <c r="F733" s="71">
        <v>0.1</v>
      </c>
      <c r="G733" s="66">
        <f>(F733*E733)+E733</f>
        <v>2258.3</v>
      </c>
      <c r="H733" s="70" t="s">
        <v>37</v>
      </c>
      <c r="I733" s="97">
        <v>0</v>
      </c>
      <c r="J733" s="98">
        <f t="shared" si="135"/>
        <v>0</v>
      </c>
      <c r="K733" s="144">
        <v>50</v>
      </c>
      <c r="L733" s="100">
        <f t="shared" si="136"/>
        <v>0</v>
      </c>
      <c r="M733" s="100">
        <f t="shared" si="137"/>
        <v>0</v>
      </c>
      <c r="N733" s="100">
        <v>0</v>
      </c>
      <c r="O733" s="100">
        <f t="shared" si="138"/>
        <v>0</v>
      </c>
      <c r="P733" s="100">
        <f t="shared" si="139"/>
        <v>0</v>
      </c>
      <c r="Q733" s="124">
        <f t="shared" si="140"/>
        <v>0</v>
      </c>
      <c r="R733" s="118"/>
    </row>
    <row r="734" s="31" customFormat="1" ht="18" customHeight="1" spans="1:18">
      <c r="A734" s="136">
        <f>IF(F734&lt;&gt;"",1+MAX($A$2:A733),"")</f>
        <v>687</v>
      </c>
      <c r="B734" s="221"/>
      <c r="C734" s="221"/>
      <c r="D734" s="69" t="s">
        <v>777</v>
      </c>
      <c r="E734" s="70">
        <v>750</v>
      </c>
      <c r="F734" s="71">
        <v>0.1</v>
      </c>
      <c r="G734" s="66">
        <f>(F734*E734)+E734</f>
        <v>825</v>
      </c>
      <c r="H734" s="70" t="s">
        <v>37</v>
      </c>
      <c r="I734" s="97">
        <v>0</v>
      </c>
      <c r="J734" s="98">
        <f t="shared" si="135"/>
        <v>0</v>
      </c>
      <c r="K734" s="144">
        <v>50</v>
      </c>
      <c r="L734" s="100">
        <f t="shared" si="136"/>
        <v>0</v>
      </c>
      <c r="M734" s="100">
        <f t="shared" si="137"/>
        <v>0</v>
      </c>
      <c r="N734" s="100">
        <v>0</v>
      </c>
      <c r="O734" s="100">
        <f t="shared" si="138"/>
        <v>0</v>
      </c>
      <c r="P734" s="100">
        <f t="shared" si="139"/>
        <v>0</v>
      </c>
      <c r="Q734" s="124">
        <f t="shared" si="140"/>
        <v>0</v>
      </c>
      <c r="R734" s="118"/>
    </row>
    <row r="735" s="34" customFormat="1" ht="18" customHeight="1" spans="1:18">
      <c r="A735" s="152" t="str">
        <f>IF(F735&lt;&gt;"",1+MAX($A$2:A734),"")</f>
        <v/>
      </c>
      <c r="B735" s="68"/>
      <c r="C735" s="68"/>
      <c r="D735" s="69"/>
      <c r="E735" s="70"/>
      <c r="F735" s="71"/>
      <c r="G735" s="72"/>
      <c r="H735" s="70"/>
      <c r="I735" s="101"/>
      <c r="J735" s="98"/>
      <c r="K735" s="99"/>
      <c r="L735" s="100"/>
      <c r="M735" s="100"/>
      <c r="N735" s="100"/>
      <c r="O735" s="100"/>
      <c r="P735" s="104"/>
      <c r="Q735" s="161"/>
      <c r="R735" s="114"/>
    </row>
    <row r="736" s="31" customFormat="1" ht="16.35" spans="1:18">
      <c r="A736" s="79" t="str">
        <f>IF(F736&lt;&gt;"",1+MAX($A$2:A735),"")</f>
        <v/>
      </c>
      <c r="B736" s="80"/>
      <c r="C736" s="81"/>
      <c r="D736" s="82" t="s">
        <v>31</v>
      </c>
      <c r="E736" s="83"/>
      <c r="F736" s="83"/>
      <c r="G736" s="83"/>
      <c r="H736" s="83"/>
      <c r="I736" s="83"/>
      <c r="J736" s="158"/>
      <c r="K736" s="158"/>
      <c r="L736" s="158"/>
      <c r="M736" s="158"/>
      <c r="N736" s="158"/>
      <c r="O736" s="105"/>
      <c r="P736" s="105"/>
      <c r="Q736" s="117">
        <f>SUM(Q304:Q735)</f>
        <v>0</v>
      </c>
      <c r="R736" s="118"/>
    </row>
    <row r="737" s="31" customFormat="1" spans="1:18">
      <c r="A737" s="154" t="str">
        <f>IF(F737&lt;&gt;"",1+MAX($A$2:A736),"")</f>
        <v/>
      </c>
      <c r="B737" s="86"/>
      <c r="C737" s="81"/>
      <c r="D737" s="85"/>
      <c r="E737" s="86"/>
      <c r="F737" s="86"/>
      <c r="G737" s="86"/>
      <c r="H737" s="86"/>
      <c r="I737" s="86"/>
      <c r="J737" s="86"/>
      <c r="K737" s="86"/>
      <c r="L737" s="86"/>
      <c r="M737" s="86"/>
      <c r="N737" s="86"/>
      <c r="O737" s="86"/>
      <c r="P737" s="86"/>
      <c r="Q737" s="162"/>
      <c r="R737" s="118"/>
    </row>
    <row r="738" s="33" customFormat="1" ht="17" customHeight="1" spans="1:19">
      <c r="A738" s="57" t="str">
        <f>IF(F738&lt;&gt;"",1+MAX($A$2:A737),"")</f>
        <v/>
      </c>
      <c r="B738" s="60">
        <v>27</v>
      </c>
      <c r="C738" s="60"/>
      <c r="D738" s="59" t="s">
        <v>778</v>
      </c>
      <c r="E738" s="60"/>
      <c r="F738" s="60"/>
      <c r="G738" s="60"/>
      <c r="H738" s="60"/>
      <c r="I738" s="60"/>
      <c r="J738" s="60"/>
      <c r="K738" s="60"/>
      <c r="L738" s="60"/>
      <c r="M738" s="60"/>
      <c r="N738" s="60"/>
      <c r="O738" s="60"/>
      <c r="P738" s="60"/>
      <c r="Q738" s="120"/>
      <c r="S738" s="121"/>
    </row>
    <row r="739" s="34" customFormat="1" ht="18" customHeight="1" spans="1:18">
      <c r="A739" s="67" t="str">
        <f>IF(F739&lt;&gt;"",1+MAX($A$2:A738),"")</f>
        <v/>
      </c>
      <c r="B739" s="73"/>
      <c r="C739" s="155"/>
      <c r="D739" s="138"/>
      <c r="E739" s="76"/>
      <c r="F739" s="71"/>
      <c r="G739" s="66"/>
      <c r="H739" s="76"/>
      <c r="I739" s="97"/>
      <c r="J739" s="98"/>
      <c r="K739" s="99"/>
      <c r="L739" s="100"/>
      <c r="M739" s="100"/>
      <c r="N739" s="100"/>
      <c r="O739" s="100"/>
      <c r="P739" s="100"/>
      <c r="Q739" s="124"/>
      <c r="R739" s="114"/>
    </row>
    <row r="740" s="34" customFormat="1" ht="18" customHeight="1" spans="1:18">
      <c r="A740" s="156" t="str">
        <f>IF(F740&lt;&gt;"",1+MAX($A$2:A739),"")</f>
        <v/>
      </c>
      <c r="B740" s="157"/>
      <c r="C740" s="157"/>
      <c r="D740" s="134" t="s">
        <v>779</v>
      </c>
      <c r="E740" s="76"/>
      <c r="F740" s="71"/>
      <c r="G740" s="66"/>
      <c r="H740" s="72"/>
      <c r="I740" s="72"/>
      <c r="J740" s="72"/>
      <c r="K740" s="159"/>
      <c r="L740" s="159"/>
      <c r="M740" s="159"/>
      <c r="N740" s="159"/>
      <c r="O740" s="159"/>
      <c r="P740" s="159"/>
      <c r="Q740" s="163"/>
      <c r="R740" s="114"/>
    </row>
    <row r="741" s="34" customFormat="1" ht="18" customHeight="1" spans="1:18">
      <c r="A741" s="67">
        <f>IF(F741&lt;&gt;"",1+MAX($A$2:A740),"")</f>
        <v>688</v>
      </c>
      <c r="B741" s="68"/>
      <c r="C741" s="147"/>
      <c r="D741" s="138" t="s">
        <v>780</v>
      </c>
      <c r="E741" s="76">
        <v>5</v>
      </c>
      <c r="F741" s="71">
        <v>0</v>
      </c>
      <c r="G741" s="66">
        <f t="shared" ref="G741:G744" si="141">(F741*E741)+E741</f>
        <v>5</v>
      </c>
      <c r="H741" s="70" t="s">
        <v>35</v>
      </c>
      <c r="I741" s="97">
        <v>0</v>
      </c>
      <c r="J741" s="98">
        <f t="shared" ref="J741:J744" si="142">+I741*G741</f>
        <v>0</v>
      </c>
      <c r="K741" s="99">
        <v>50</v>
      </c>
      <c r="L741" s="100">
        <f t="shared" ref="L741:L744" si="143">I741*K741</f>
        <v>0</v>
      </c>
      <c r="M741" s="100">
        <f t="shared" ref="M741:M744" si="144">K741*J741</f>
        <v>0</v>
      </c>
      <c r="N741" s="100">
        <v>0</v>
      </c>
      <c r="O741" s="100">
        <f t="shared" ref="O741:O744" si="145">N741*G741</f>
        <v>0</v>
      </c>
      <c r="P741" s="100">
        <f t="shared" ref="P741:P744" si="146">(I741*K741)+N741</f>
        <v>0</v>
      </c>
      <c r="Q741" s="124">
        <f t="shared" ref="Q741:Q744" si="147">P741*G741</f>
        <v>0</v>
      </c>
      <c r="R741" s="114"/>
    </row>
    <row r="742" s="34" customFormat="1" spans="1:18">
      <c r="A742" s="61">
        <f>IF(F742&lt;&gt;"",1+MAX($A$2:A741),"")</f>
        <v>689</v>
      </c>
      <c r="B742" s="68"/>
      <c r="C742" s="147"/>
      <c r="D742" s="138" t="s">
        <v>780</v>
      </c>
      <c r="E742" s="76">
        <v>9</v>
      </c>
      <c r="F742" s="71">
        <v>0</v>
      </c>
      <c r="G742" s="66">
        <f t="shared" si="141"/>
        <v>9</v>
      </c>
      <c r="H742" s="70" t="s">
        <v>35</v>
      </c>
      <c r="I742" s="97">
        <v>0</v>
      </c>
      <c r="J742" s="98">
        <f t="shared" si="142"/>
        <v>0</v>
      </c>
      <c r="K742" s="99">
        <v>50</v>
      </c>
      <c r="L742" s="100">
        <f t="shared" si="143"/>
        <v>0</v>
      </c>
      <c r="M742" s="100">
        <f t="shared" si="144"/>
        <v>0</v>
      </c>
      <c r="N742" s="100">
        <v>0</v>
      </c>
      <c r="O742" s="100">
        <f t="shared" si="145"/>
        <v>0</v>
      </c>
      <c r="P742" s="100">
        <f t="shared" si="146"/>
        <v>0</v>
      </c>
      <c r="Q742" s="124">
        <f t="shared" si="147"/>
        <v>0</v>
      </c>
      <c r="R742" s="114"/>
    </row>
    <row r="743" s="34" customFormat="1" ht="18" customHeight="1" spans="1:18">
      <c r="A743" s="67">
        <f>IF(F743&lt;&gt;"",1+MAX($A$2:A742),"")</f>
        <v>690</v>
      </c>
      <c r="B743" s="68"/>
      <c r="C743" s="147"/>
      <c r="D743" s="138" t="s">
        <v>781</v>
      </c>
      <c r="E743" s="76">
        <v>98</v>
      </c>
      <c r="F743" s="71">
        <v>0</v>
      </c>
      <c r="G743" s="66">
        <f t="shared" si="141"/>
        <v>98</v>
      </c>
      <c r="H743" s="70" t="s">
        <v>35</v>
      </c>
      <c r="I743" s="97">
        <v>0</v>
      </c>
      <c r="J743" s="98">
        <f t="shared" si="142"/>
        <v>0</v>
      </c>
      <c r="K743" s="99">
        <v>50</v>
      </c>
      <c r="L743" s="100">
        <f t="shared" si="143"/>
        <v>0</v>
      </c>
      <c r="M743" s="100">
        <f t="shared" si="144"/>
        <v>0</v>
      </c>
      <c r="N743" s="100">
        <v>0</v>
      </c>
      <c r="O743" s="100">
        <f t="shared" si="145"/>
        <v>0</v>
      </c>
      <c r="P743" s="100">
        <f t="shared" si="146"/>
        <v>0</v>
      </c>
      <c r="Q743" s="124">
        <f t="shared" si="147"/>
        <v>0</v>
      </c>
      <c r="R743" s="114"/>
    </row>
    <row r="744" s="34" customFormat="1" ht="18" customHeight="1" spans="1:18">
      <c r="A744" s="67">
        <f>IF(F744&lt;&gt;"",1+MAX($A$2:A743),"")</f>
        <v>691</v>
      </c>
      <c r="B744" s="68"/>
      <c r="C744" s="147"/>
      <c r="D744" s="138" t="s">
        <v>780</v>
      </c>
      <c r="E744" s="76">
        <v>1</v>
      </c>
      <c r="F744" s="71">
        <v>0</v>
      </c>
      <c r="G744" s="66">
        <f t="shared" si="141"/>
        <v>1</v>
      </c>
      <c r="H744" s="70" t="s">
        <v>35</v>
      </c>
      <c r="I744" s="97">
        <v>0</v>
      </c>
      <c r="J744" s="98">
        <f t="shared" si="142"/>
        <v>0</v>
      </c>
      <c r="K744" s="99">
        <v>50</v>
      </c>
      <c r="L744" s="100">
        <f t="shared" si="143"/>
        <v>0</v>
      </c>
      <c r="M744" s="100">
        <f t="shared" si="144"/>
        <v>0</v>
      </c>
      <c r="N744" s="100">
        <v>0</v>
      </c>
      <c r="O744" s="100">
        <f t="shared" si="145"/>
        <v>0</v>
      </c>
      <c r="P744" s="100">
        <f t="shared" si="146"/>
        <v>0</v>
      </c>
      <c r="Q744" s="124">
        <f t="shared" si="147"/>
        <v>0</v>
      </c>
      <c r="R744" s="114"/>
    </row>
    <row r="745" s="34" customFormat="1" ht="18" customHeight="1" spans="1:18">
      <c r="A745" s="152" t="str">
        <f>IF(F745&lt;&gt;"",1+MAX($A$2:A744),"")</f>
        <v/>
      </c>
      <c r="B745" s="68"/>
      <c r="C745" s="68"/>
      <c r="D745" s="69"/>
      <c r="E745" s="70"/>
      <c r="F745" s="71"/>
      <c r="G745" s="72"/>
      <c r="H745" s="70"/>
      <c r="I745" s="101"/>
      <c r="J745" s="98"/>
      <c r="K745" s="99"/>
      <c r="L745" s="100"/>
      <c r="M745" s="100"/>
      <c r="N745" s="100"/>
      <c r="O745" s="100"/>
      <c r="P745" s="104"/>
      <c r="Q745" s="161"/>
      <c r="R745" s="114"/>
    </row>
    <row r="746" s="31" customFormat="1" ht="16.35" spans="1:18">
      <c r="A746" s="79" t="str">
        <f>IF(F746&lt;&gt;"",1+MAX($A$2:A745),"")</f>
        <v/>
      </c>
      <c r="B746" s="222"/>
      <c r="C746" s="223"/>
      <c r="D746" s="82" t="s">
        <v>31</v>
      </c>
      <c r="E746" s="83"/>
      <c r="F746" s="83"/>
      <c r="G746" s="83"/>
      <c r="H746" s="83"/>
      <c r="I746" s="83"/>
      <c r="J746" s="158"/>
      <c r="K746" s="158"/>
      <c r="L746" s="158"/>
      <c r="M746" s="158"/>
      <c r="N746" s="158"/>
      <c r="O746" s="105"/>
      <c r="P746" s="105"/>
      <c r="Q746" s="117">
        <f>SUM(Q740:Q745)</f>
        <v>0</v>
      </c>
      <c r="R746" s="118"/>
    </row>
    <row r="747" s="31" customFormat="1" spans="1:18">
      <c r="A747" s="154" t="str">
        <f>IF(F747&lt;&gt;"",1+MAX($A$2:A746),"")</f>
        <v/>
      </c>
      <c r="B747" s="224"/>
      <c r="C747" s="223"/>
      <c r="D747" s="85"/>
      <c r="E747" s="86"/>
      <c r="F747" s="86"/>
      <c r="G747" s="86"/>
      <c r="H747" s="86"/>
      <c r="I747" s="86"/>
      <c r="J747" s="86"/>
      <c r="K747" s="86"/>
      <c r="L747" s="86"/>
      <c r="M747" s="86"/>
      <c r="N747" s="86"/>
      <c r="O747" s="86"/>
      <c r="P747" s="86"/>
      <c r="Q747" s="162"/>
      <c r="R747" s="118"/>
    </row>
    <row r="748" s="33" customFormat="1" ht="17" customHeight="1" spans="1:19">
      <c r="A748" s="57" t="str">
        <f>IF(F748&lt;&gt;"",1+MAX($A$2:A747),"")</f>
        <v/>
      </c>
      <c r="B748" s="60">
        <v>28</v>
      </c>
      <c r="C748" s="60"/>
      <c r="D748" s="59" t="s">
        <v>179</v>
      </c>
      <c r="E748" s="60"/>
      <c r="F748" s="60"/>
      <c r="G748" s="60"/>
      <c r="H748" s="60"/>
      <c r="I748" s="60"/>
      <c r="J748" s="60"/>
      <c r="K748" s="60"/>
      <c r="L748" s="60"/>
      <c r="M748" s="60"/>
      <c r="N748" s="60"/>
      <c r="O748" s="60"/>
      <c r="P748" s="60"/>
      <c r="Q748" s="120"/>
      <c r="S748" s="121"/>
    </row>
    <row r="749" s="34" customFormat="1" ht="18" customHeight="1" spans="1:18">
      <c r="A749" s="67" t="str">
        <f>IF(F749&lt;&gt;"",1+MAX($A$2:A748),"")</f>
        <v/>
      </c>
      <c r="B749" s="73"/>
      <c r="C749" s="155"/>
      <c r="D749" s="138"/>
      <c r="E749" s="76"/>
      <c r="F749" s="71"/>
      <c r="G749" s="66"/>
      <c r="H749" s="76"/>
      <c r="I749" s="97"/>
      <c r="J749" s="98"/>
      <c r="K749" s="99"/>
      <c r="L749" s="100"/>
      <c r="M749" s="100"/>
      <c r="N749" s="100"/>
      <c r="O749" s="100"/>
      <c r="P749" s="100"/>
      <c r="Q749" s="124"/>
      <c r="R749" s="114"/>
    </row>
    <row r="750" s="34" customFormat="1" ht="18" customHeight="1" spans="1:18">
      <c r="A750" s="156" t="str">
        <f>IF(F750&lt;&gt;"",1+MAX($A$2:A749),"")</f>
        <v/>
      </c>
      <c r="B750" s="157"/>
      <c r="C750" s="157"/>
      <c r="D750" s="134" t="s">
        <v>180</v>
      </c>
      <c r="E750" s="76"/>
      <c r="F750" s="71"/>
      <c r="G750" s="66"/>
      <c r="H750" s="72"/>
      <c r="I750" s="72"/>
      <c r="J750" s="72"/>
      <c r="K750" s="159"/>
      <c r="L750" s="159"/>
      <c r="M750" s="159"/>
      <c r="N750" s="159"/>
      <c r="O750" s="159"/>
      <c r="P750" s="159"/>
      <c r="Q750" s="163"/>
      <c r="R750" s="114"/>
    </row>
    <row r="751" s="34" customFormat="1" ht="18" customHeight="1" spans="1:18">
      <c r="A751" s="61">
        <f>IF(F751&lt;&gt;"",1+MAX($A$2:A750),"")</f>
        <v>692</v>
      </c>
      <c r="B751" s="68"/>
      <c r="C751" s="147"/>
      <c r="D751" s="138" t="s">
        <v>782</v>
      </c>
      <c r="E751" s="76">
        <v>3</v>
      </c>
      <c r="F751" s="65">
        <v>0</v>
      </c>
      <c r="G751" s="66">
        <f t="shared" ref="G751:G787" si="148">(F751*E751)+E751</f>
        <v>3</v>
      </c>
      <c r="H751" s="70" t="s">
        <v>35</v>
      </c>
      <c r="I751" s="97">
        <v>0</v>
      </c>
      <c r="J751" s="98">
        <f t="shared" ref="J751:J787" si="149">+I751*G751</f>
        <v>0</v>
      </c>
      <c r="K751" s="99">
        <v>50</v>
      </c>
      <c r="L751" s="100">
        <f t="shared" ref="L751:L787" si="150">I751*K751</f>
        <v>0</v>
      </c>
      <c r="M751" s="100">
        <f t="shared" ref="M751:M787" si="151">K751*J751</f>
        <v>0</v>
      </c>
      <c r="N751" s="100">
        <v>0</v>
      </c>
      <c r="O751" s="100">
        <f t="shared" ref="O751:O787" si="152">N751*G751</f>
        <v>0</v>
      </c>
      <c r="P751" s="100">
        <f t="shared" ref="P751:P787" si="153">(I751*K751)+N751</f>
        <v>0</v>
      </c>
      <c r="Q751" s="124">
        <f t="shared" ref="Q751:Q787" si="154">P751*G751</f>
        <v>0</v>
      </c>
      <c r="R751" s="114"/>
    </row>
    <row r="752" s="34" customFormat="1" ht="18" customHeight="1" spans="1:18">
      <c r="A752" s="67">
        <f>IF(F752&lt;&gt;"",1+MAX($A$2:A751),"")</f>
        <v>693</v>
      </c>
      <c r="B752" s="68"/>
      <c r="C752" s="147"/>
      <c r="D752" s="138" t="s">
        <v>783</v>
      </c>
      <c r="E752" s="76">
        <v>1</v>
      </c>
      <c r="F752" s="71">
        <v>0</v>
      </c>
      <c r="G752" s="66">
        <f t="shared" si="148"/>
        <v>1</v>
      </c>
      <c r="H752" s="70" t="s">
        <v>35</v>
      </c>
      <c r="I752" s="97">
        <v>0</v>
      </c>
      <c r="J752" s="98">
        <f t="shared" si="149"/>
        <v>0</v>
      </c>
      <c r="K752" s="99">
        <v>50</v>
      </c>
      <c r="L752" s="100">
        <f t="shared" si="150"/>
        <v>0</v>
      </c>
      <c r="M752" s="100">
        <f t="shared" si="151"/>
        <v>0</v>
      </c>
      <c r="N752" s="100">
        <v>0</v>
      </c>
      <c r="O752" s="100">
        <f t="shared" si="152"/>
        <v>0</v>
      </c>
      <c r="P752" s="100">
        <f t="shared" si="153"/>
        <v>0</v>
      </c>
      <c r="Q752" s="124">
        <f t="shared" si="154"/>
        <v>0</v>
      </c>
      <c r="R752" s="114"/>
    </row>
    <row r="753" s="34" customFormat="1" ht="18" customHeight="1" spans="1:18">
      <c r="A753" s="67">
        <f>IF(F753&lt;&gt;"",1+MAX($A$2:A752),"")</f>
        <v>694</v>
      </c>
      <c r="B753" s="68"/>
      <c r="C753" s="147"/>
      <c r="D753" s="138" t="s">
        <v>784</v>
      </c>
      <c r="E753" s="76">
        <v>1</v>
      </c>
      <c r="F753" s="71">
        <v>0</v>
      </c>
      <c r="G753" s="66">
        <f t="shared" si="148"/>
        <v>1</v>
      </c>
      <c r="H753" s="70" t="s">
        <v>35</v>
      </c>
      <c r="I753" s="97">
        <v>0</v>
      </c>
      <c r="J753" s="98">
        <f t="shared" si="149"/>
        <v>0</v>
      </c>
      <c r="K753" s="99">
        <v>50</v>
      </c>
      <c r="L753" s="100">
        <f t="shared" si="150"/>
        <v>0</v>
      </c>
      <c r="M753" s="100">
        <f t="shared" si="151"/>
        <v>0</v>
      </c>
      <c r="N753" s="100">
        <v>0</v>
      </c>
      <c r="O753" s="100">
        <f t="shared" si="152"/>
        <v>0</v>
      </c>
      <c r="P753" s="100">
        <f t="shared" si="153"/>
        <v>0</v>
      </c>
      <c r="Q753" s="124">
        <f t="shared" si="154"/>
        <v>0</v>
      </c>
      <c r="R753" s="114"/>
    </row>
    <row r="754" s="34" customFormat="1" ht="18" customHeight="1" spans="1:18">
      <c r="A754" s="67">
        <f>IF(F754&lt;&gt;"",1+MAX($A$2:A753),"")</f>
        <v>695</v>
      </c>
      <c r="B754" s="68"/>
      <c r="C754" s="68"/>
      <c r="D754" s="69" t="s">
        <v>785</v>
      </c>
      <c r="E754" s="70">
        <v>2</v>
      </c>
      <c r="F754" s="71">
        <v>0</v>
      </c>
      <c r="G754" s="72">
        <f t="shared" si="148"/>
        <v>2</v>
      </c>
      <c r="H754" s="70" t="s">
        <v>35</v>
      </c>
      <c r="I754" s="97">
        <v>0</v>
      </c>
      <c r="J754" s="98">
        <f t="shared" si="149"/>
        <v>0</v>
      </c>
      <c r="K754" s="99">
        <v>50</v>
      </c>
      <c r="L754" s="100">
        <f t="shared" si="150"/>
        <v>0</v>
      </c>
      <c r="M754" s="100">
        <f t="shared" si="151"/>
        <v>0</v>
      </c>
      <c r="N754" s="100">
        <v>0</v>
      </c>
      <c r="O754" s="100">
        <f t="shared" si="152"/>
        <v>0</v>
      </c>
      <c r="P754" s="100">
        <f t="shared" si="153"/>
        <v>0</v>
      </c>
      <c r="Q754" s="124">
        <f t="shared" si="154"/>
        <v>0</v>
      </c>
      <c r="R754" s="114"/>
    </row>
    <row r="755" s="34" customFormat="1" ht="18" customHeight="1" spans="1:18">
      <c r="A755" s="61">
        <f>IF(F755&lt;&gt;"",1+MAX($A$2:A754),"")</f>
        <v>696</v>
      </c>
      <c r="B755" s="68"/>
      <c r="C755" s="147"/>
      <c r="D755" s="138" t="s">
        <v>782</v>
      </c>
      <c r="E755" s="76">
        <v>22</v>
      </c>
      <c r="F755" s="65">
        <v>0</v>
      </c>
      <c r="G755" s="66">
        <f t="shared" si="148"/>
        <v>22</v>
      </c>
      <c r="H755" s="70" t="s">
        <v>35</v>
      </c>
      <c r="I755" s="97">
        <v>0</v>
      </c>
      <c r="J755" s="98">
        <f t="shared" si="149"/>
        <v>0</v>
      </c>
      <c r="K755" s="99">
        <v>50</v>
      </c>
      <c r="L755" s="100">
        <f t="shared" si="150"/>
        <v>0</v>
      </c>
      <c r="M755" s="100">
        <f t="shared" si="151"/>
        <v>0</v>
      </c>
      <c r="N755" s="100">
        <v>0</v>
      </c>
      <c r="O755" s="100">
        <f t="shared" si="152"/>
        <v>0</v>
      </c>
      <c r="P755" s="100">
        <f t="shared" si="153"/>
        <v>0</v>
      </c>
      <c r="Q755" s="124">
        <f t="shared" si="154"/>
        <v>0</v>
      </c>
      <c r="R755" s="114"/>
    </row>
    <row r="756" s="34" customFormat="1" ht="18" customHeight="1" spans="1:18">
      <c r="A756" s="67">
        <f>IF(F756&lt;&gt;"",1+MAX($A$2:A755),"")</f>
        <v>697</v>
      </c>
      <c r="B756" s="68"/>
      <c r="C756" s="147"/>
      <c r="D756" s="138" t="s">
        <v>786</v>
      </c>
      <c r="E756" s="76">
        <v>9</v>
      </c>
      <c r="F756" s="71">
        <v>0</v>
      </c>
      <c r="G756" s="66">
        <f t="shared" si="148"/>
        <v>9</v>
      </c>
      <c r="H756" s="70" t="s">
        <v>35</v>
      </c>
      <c r="I756" s="97">
        <v>0</v>
      </c>
      <c r="J756" s="98">
        <f t="shared" si="149"/>
        <v>0</v>
      </c>
      <c r="K756" s="99">
        <v>50</v>
      </c>
      <c r="L756" s="100">
        <f t="shared" si="150"/>
        <v>0</v>
      </c>
      <c r="M756" s="100">
        <f t="shared" si="151"/>
        <v>0</v>
      </c>
      <c r="N756" s="100">
        <v>0</v>
      </c>
      <c r="O756" s="100">
        <f t="shared" si="152"/>
        <v>0</v>
      </c>
      <c r="P756" s="100">
        <f t="shared" si="153"/>
        <v>0</v>
      </c>
      <c r="Q756" s="124">
        <f t="shared" si="154"/>
        <v>0</v>
      </c>
      <c r="R756" s="114"/>
    </row>
    <row r="757" s="34" customFormat="1" ht="18" customHeight="1" spans="1:18">
      <c r="A757" s="67">
        <f>IF(F757&lt;&gt;"",1+MAX($A$2:A756),"")</f>
        <v>698</v>
      </c>
      <c r="B757" s="68"/>
      <c r="C757" s="147"/>
      <c r="D757" s="138" t="s">
        <v>783</v>
      </c>
      <c r="E757" s="76">
        <v>25</v>
      </c>
      <c r="F757" s="71">
        <v>0</v>
      </c>
      <c r="G757" s="66">
        <f t="shared" si="148"/>
        <v>25</v>
      </c>
      <c r="H757" s="70" t="s">
        <v>35</v>
      </c>
      <c r="I757" s="97">
        <v>0</v>
      </c>
      <c r="J757" s="98">
        <f t="shared" si="149"/>
        <v>0</v>
      </c>
      <c r="K757" s="99">
        <v>50</v>
      </c>
      <c r="L757" s="100">
        <f t="shared" si="150"/>
        <v>0</v>
      </c>
      <c r="M757" s="100">
        <f t="shared" si="151"/>
        <v>0</v>
      </c>
      <c r="N757" s="100">
        <v>0</v>
      </c>
      <c r="O757" s="100">
        <f t="shared" si="152"/>
        <v>0</v>
      </c>
      <c r="P757" s="100">
        <f t="shared" si="153"/>
        <v>0</v>
      </c>
      <c r="Q757" s="124">
        <f t="shared" si="154"/>
        <v>0</v>
      </c>
      <c r="R757" s="114"/>
    </row>
    <row r="758" s="34" customFormat="1" ht="18" customHeight="1" spans="1:18">
      <c r="A758" s="67">
        <f>IF(F758&lt;&gt;"",1+MAX($A$2:A757),"")</f>
        <v>699</v>
      </c>
      <c r="B758" s="68"/>
      <c r="C758" s="147"/>
      <c r="D758" s="138" t="s">
        <v>787</v>
      </c>
      <c r="E758" s="76">
        <v>23</v>
      </c>
      <c r="F758" s="71">
        <v>0</v>
      </c>
      <c r="G758" s="66">
        <f t="shared" si="148"/>
        <v>23</v>
      </c>
      <c r="H758" s="70" t="s">
        <v>35</v>
      </c>
      <c r="I758" s="97">
        <v>0</v>
      </c>
      <c r="J758" s="98">
        <f t="shared" si="149"/>
        <v>0</v>
      </c>
      <c r="K758" s="99">
        <v>50</v>
      </c>
      <c r="L758" s="100">
        <f t="shared" si="150"/>
        <v>0</v>
      </c>
      <c r="M758" s="100">
        <f t="shared" si="151"/>
        <v>0</v>
      </c>
      <c r="N758" s="100">
        <v>0</v>
      </c>
      <c r="O758" s="100">
        <f t="shared" si="152"/>
        <v>0</v>
      </c>
      <c r="P758" s="100">
        <f t="shared" si="153"/>
        <v>0</v>
      </c>
      <c r="Q758" s="124">
        <f t="shared" si="154"/>
        <v>0</v>
      </c>
      <c r="R758" s="114"/>
    </row>
    <row r="759" s="34" customFormat="1" ht="18" customHeight="1" spans="1:18">
      <c r="A759" s="67">
        <f>IF(F759&lt;&gt;"",1+MAX($A$2:A758),"")</f>
        <v>700</v>
      </c>
      <c r="B759" s="68"/>
      <c r="C759" s="147"/>
      <c r="D759" s="138" t="s">
        <v>785</v>
      </c>
      <c r="E759" s="76">
        <v>5</v>
      </c>
      <c r="F759" s="71">
        <v>0</v>
      </c>
      <c r="G759" s="72">
        <f t="shared" si="148"/>
        <v>5</v>
      </c>
      <c r="H759" s="70" t="s">
        <v>35</v>
      </c>
      <c r="I759" s="97">
        <v>0</v>
      </c>
      <c r="J759" s="98">
        <f t="shared" si="149"/>
        <v>0</v>
      </c>
      <c r="K759" s="99">
        <v>50</v>
      </c>
      <c r="L759" s="100">
        <f t="shared" si="150"/>
        <v>0</v>
      </c>
      <c r="M759" s="100">
        <f t="shared" si="151"/>
        <v>0</v>
      </c>
      <c r="N759" s="100">
        <v>0</v>
      </c>
      <c r="O759" s="100">
        <f t="shared" si="152"/>
        <v>0</v>
      </c>
      <c r="P759" s="100">
        <f t="shared" si="153"/>
        <v>0</v>
      </c>
      <c r="Q759" s="124">
        <f t="shared" si="154"/>
        <v>0</v>
      </c>
      <c r="R759" s="114"/>
    </row>
    <row r="760" s="34" customFormat="1" spans="1:18">
      <c r="A760" s="61">
        <f>IF(F760&lt;&gt;"",1+MAX($A$2:A759),"")</f>
        <v>701</v>
      </c>
      <c r="B760" s="68"/>
      <c r="C760" s="147"/>
      <c r="D760" s="138" t="s">
        <v>782</v>
      </c>
      <c r="E760" s="76">
        <v>18</v>
      </c>
      <c r="F760" s="71">
        <v>0</v>
      </c>
      <c r="G760" s="66">
        <f t="shared" si="148"/>
        <v>18</v>
      </c>
      <c r="H760" s="70" t="s">
        <v>35</v>
      </c>
      <c r="I760" s="97">
        <v>0</v>
      </c>
      <c r="J760" s="98">
        <f t="shared" si="149"/>
        <v>0</v>
      </c>
      <c r="K760" s="99">
        <v>50</v>
      </c>
      <c r="L760" s="100">
        <f t="shared" si="150"/>
        <v>0</v>
      </c>
      <c r="M760" s="100">
        <f t="shared" si="151"/>
        <v>0</v>
      </c>
      <c r="N760" s="100">
        <v>0</v>
      </c>
      <c r="O760" s="100">
        <f t="shared" si="152"/>
        <v>0</v>
      </c>
      <c r="P760" s="100">
        <f t="shared" si="153"/>
        <v>0</v>
      </c>
      <c r="Q760" s="124">
        <f t="shared" si="154"/>
        <v>0</v>
      </c>
      <c r="R760" s="114"/>
    </row>
    <row r="761" s="34" customFormat="1" spans="1:18">
      <c r="A761" s="61">
        <f>IF(F761&lt;&gt;"",1+MAX($A$2:A760),"")</f>
        <v>702</v>
      </c>
      <c r="B761" s="68"/>
      <c r="C761" s="147"/>
      <c r="D761" s="138" t="s">
        <v>788</v>
      </c>
      <c r="E761" s="76">
        <v>6</v>
      </c>
      <c r="F761" s="71">
        <v>0</v>
      </c>
      <c r="G761" s="66">
        <f t="shared" si="148"/>
        <v>6</v>
      </c>
      <c r="H761" s="70" t="s">
        <v>35</v>
      </c>
      <c r="I761" s="97">
        <v>0</v>
      </c>
      <c r="J761" s="98">
        <f t="shared" si="149"/>
        <v>0</v>
      </c>
      <c r="K761" s="99">
        <v>50</v>
      </c>
      <c r="L761" s="100">
        <f t="shared" si="150"/>
        <v>0</v>
      </c>
      <c r="M761" s="100">
        <f t="shared" si="151"/>
        <v>0</v>
      </c>
      <c r="N761" s="100">
        <v>0</v>
      </c>
      <c r="O761" s="100">
        <f t="shared" si="152"/>
        <v>0</v>
      </c>
      <c r="P761" s="100">
        <f t="shared" si="153"/>
        <v>0</v>
      </c>
      <c r="Q761" s="124">
        <f t="shared" si="154"/>
        <v>0</v>
      </c>
      <c r="R761" s="114"/>
    </row>
    <row r="762" s="34" customFormat="1" spans="1:18">
      <c r="A762" s="61">
        <f>IF(F762&lt;&gt;"",1+MAX($A$2:A761),"")</f>
        <v>703</v>
      </c>
      <c r="B762" s="68"/>
      <c r="C762" s="147"/>
      <c r="D762" s="138" t="s">
        <v>783</v>
      </c>
      <c r="E762" s="76">
        <v>30</v>
      </c>
      <c r="F762" s="71">
        <v>0</v>
      </c>
      <c r="G762" s="66">
        <f t="shared" si="148"/>
        <v>30</v>
      </c>
      <c r="H762" s="70" t="s">
        <v>35</v>
      </c>
      <c r="I762" s="97">
        <v>0</v>
      </c>
      <c r="J762" s="98">
        <f t="shared" si="149"/>
        <v>0</v>
      </c>
      <c r="K762" s="99">
        <v>50</v>
      </c>
      <c r="L762" s="100">
        <f t="shared" si="150"/>
        <v>0</v>
      </c>
      <c r="M762" s="100">
        <f t="shared" si="151"/>
        <v>0</v>
      </c>
      <c r="N762" s="100">
        <v>0</v>
      </c>
      <c r="O762" s="100">
        <f t="shared" si="152"/>
        <v>0</v>
      </c>
      <c r="P762" s="100">
        <f t="shared" si="153"/>
        <v>0</v>
      </c>
      <c r="Q762" s="124">
        <f t="shared" si="154"/>
        <v>0</v>
      </c>
      <c r="R762" s="114"/>
    </row>
    <row r="763" s="34" customFormat="1" spans="1:18">
      <c r="A763" s="61">
        <f>IF(F763&lt;&gt;"",1+MAX($A$2:A762),"")</f>
        <v>704</v>
      </c>
      <c r="B763" s="68"/>
      <c r="C763" s="147"/>
      <c r="D763" s="138" t="s">
        <v>787</v>
      </c>
      <c r="E763" s="76">
        <v>30</v>
      </c>
      <c r="F763" s="71">
        <v>0</v>
      </c>
      <c r="G763" s="66">
        <f t="shared" si="148"/>
        <v>30</v>
      </c>
      <c r="H763" s="70" t="s">
        <v>35</v>
      </c>
      <c r="I763" s="97">
        <v>0</v>
      </c>
      <c r="J763" s="98">
        <f t="shared" si="149"/>
        <v>0</v>
      </c>
      <c r="K763" s="99">
        <v>50</v>
      </c>
      <c r="L763" s="100">
        <f t="shared" si="150"/>
        <v>0</v>
      </c>
      <c r="M763" s="100">
        <f t="shared" si="151"/>
        <v>0</v>
      </c>
      <c r="N763" s="100">
        <v>0</v>
      </c>
      <c r="O763" s="100">
        <f t="shared" si="152"/>
        <v>0</v>
      </c>
      <c r="P763" s="100">
        <f t="shared" si="153"/>
        <v>0</v>
      </c>
      <c r="Q763" s="124">
        <f t="shared" si="154"/>
        <v>0</v>
      </c>
      <c r="R763" s="114"/>
    </row>
    <row r="764" s="34" customFormat="1" ht="18" customHeight="1" spans="1:18">
      <c r="A764" s="61">
        <f>IF(F764&lt;&gt;"",1+MAX($A$2:A763),"")</f>
        <v>705</v>
      </c>
      <c r="B764" s="68"/>
      <c r="C764" s="147"/>
      <c r="D764" s="138" t="s">
        <v>782</v>
      </c>
      <c r="E764" s="76">
        <v>21</v>
      </c>
      <c r="F764" s="65">
        <v>0</v>
      </c>
      <c r="G764" s="66">
        <f t="shared" si="148"/>
        <v>21</v>
      </c>
      <c r="H764" s="70" t="s">
        <v>35</v>
      </c>
      <c r="I764" s="97">
        <v>0</v>
      </c>
      <c r="J764" s="98">
        <f t="shared" si="149"/>
        <v>0</v>
      </c>
      <c r="K764" s="99">
        <v>50</v>
      </c>
      <c r="L764" s="100">
        <f t="shared" si="150"/>
        <v>0</v>
      </c>
      <c r="M764" s="100">
        <f t="shared" si="151"/>
        <v>0</v>
      </c>
      <c r="N764" s="100">
        <v>0</v>
      </c>
      <c r="O764" s="100">
        <f t="shared" si="152"/>
        <v>0</v>
      </c>
      <c r="P764" s="100">
        <f t="shared" si="153"/>
        <v>0</v>
      </c>
      <c r="Q764" s="124">
        <f t="shared" si="154"/>
        <v>0</v>
      </c>
      <c r="R764" s="114"/>
    </row>
    <row r="765" s="34" customFormat="1" ht="18" customHeight="1" spans="1:18">
      <c r="A765" s="67">
        <f>IF(F765&lt;&gt;"",1+MAX($A$2:A764),"")</f>
        <v>706</v>
      </c>
      <c r="B765" s="68"/>
      <c r="C765" s="147"/>
      <c r="D765" s="138" t="s">
        <v>786</v>
      </c>
      <c r="E765" s="76">
        <v>2</v>
      </c>
      <c r="F765" s="71">
        <v>0</v>
      </c>
      <c r="G765" s="66">
        <f t="shared" si="148"/>
        <v>2</v>
      </c>
      <c r="H765" s="70" t="s">
        <v>35</v>
      </c>
      <c r="I765" s="97">
        <v>0</v>
      </c>
      <c r="J765" s="98">
        <f t="shared" si="149"/>
        <v>0</v>
      </c>
      <c r="K765" s="99">
        <v>50</v>
      </c>
      <c r="L765" s="100">
        <f t="shared" si="150"/>
        <v>0</v>
      </c>
      <c r="M765" s="100">
        <f t="shared" si="151"/>
        <v>0</v>
      </c>
      <c r="N765" s="100">
        <v>0</v>
      </c>
      <c r="O765" s="100">
        <f t="shared" si="152"/>
        <v>0</v>
      </c>
      <c r="P765" s="100">
        <f t="shared" si="153"/>
        <v>0</v>
      </c>
      <c r="Q765" s="124">
        <f t="shared" si="154"/>
        <v>0</v>
      </c>
      <c r="R765" s="114"/>
    </row>
    <row r="766" s="34" customFormat="1" ht="18" customHeight="1" spans="1:18">
      <c r="A766" s="67">
        <f>IF(F766&lt;&gt;"",1+MAX($A$2:A765),"")</f>
        <v>707</v>
      </c>
      <c r="B766" s="68"/>
      <c r="C766" s="147"/>
      <c r="D766" s="138" t="s">
        <v>789</v>
      </c>
      <c r="E766" s="76">
        <v>40</v>
      </c>
      <c r="F766" s="71">
        <v>0</v>
      </c>
      <c r="G766" s="66">
        <f t="shared" si="148"/>
        <v>40</v>
      </c>
      <c r="H766" s="70" t="s">
        <v>35</v>
      </c>
      <c r="I766" s="97">
        <v>0</v>
      </c>
      <c r="J766" s="98">
        <f t="shared" si="149"/>
        <v>0</v>
      </c>
      <c r="K766" s="99">
        <v>50</v>
      </c>
      <c r="L766" s="100">
        <f t="shared" si="150"/>
        <v>0</v>
      </c>
      <c r="M766" s="100">
        <f t="shared" si="151"/>
        <v>0</v>
      </c>
      <c r="N766" s="100">
        <v>0</v>
      </c>
      <c r="O766" s="100">
        <f t="shared" si="152"/>
        <v>0</v>
      </c>
      <c r="P766" s="100">
        <f t="shared" si="153"/>
        <v>0</v>
      </c>
      <c r="Q766" s="124">
        <f t="shared" si="154"/>
        <v>0</v>
      </c>
      <c r="R766" s="114"/>
    </row>
    <row r="767" s="34" customFormat="1" ht="18" customHeight="1" spans="1:18">
      <c r="A767" s="67">
        <f>IF(F767&lt;&gt;"",1+MAX($A$2:A766),"")</f>
        <v>708</v>
      </c>
      <c r="B767" s="68"/>
      <c r="C767" s="147"/>
      <c r="D767" s="138" t="s">
        <v>787</v>
      </c>
      <c r="E767" s="76">
        <v>10</v>
      </c>
      <c r="F767" s="71">
        <v>0</v>
      </c>
      <c r="G767" s="66">
        <f t="shared" si="148"/>
        <v>10</v>
      </c>
      <c r="H767" s="70" t="s">
        <v>35</v>
      </c>
      <c r="I767" s="97">
        <v>0</v>
      </c>
      <c r="J767" s="98">
        <f t="shared" si="149"/>
        <v>0</v>
      </c>
      <c r="K767" s="99">
        <v>50</v>
      </c>
      <c r="L767" s="100">
        <f t="shared" si="150"/>
        <v>0</v>
      </c>
      <c r="M767" s="100">
        <f t="shared" si="151"/>
        <v>0</v>
      </c>
      <c r="N767" s="100">
        <v>0</v>
      </c>
      <c r="O767" s="100">
        <f t="shared" si="152"/>
        <v>0</v>
      </c>
      <c r="P767" s="100">
        <f t="shared" si="153"/>
        <v>0</v>
      </c>
      <c r="Q767" s="124">
        <f t="shared" si="154"/>
        <v>0</v>
      </c>
      <c r="R767" s="114"/>
    </row>
    <row r="768" s="34" customFormat="1" ht="18" customHeight="1" spans="1:18">
      <c r="A768" s="61">
        <f>IF(F768&lt;&gt;"",1+MAX($A$2:A767),"")</f>
        <v>709</v>
      </c>
      <c r="B768" s="68"/>
      <c r="C768" s="68"/>
      <c r="D768" s="69" t="s">
        <v>790</v>
      </c>
      <c r="E768" s="70">
        <v>36</v>
      </c>
      <c r="F768" s="65">
        <v>0</v>
      </c>
      <c r="G768" s="66">
        <f t="shared" si="148"/>
        <v>36</v>
      </c>
      <c r="H768" s="70" t="s">
        <v>35</v>
      </c>
      <c r="I768" s="97">
        <v>0</v>
      </c>
      <c r="J768" s="98">
        <f t="shared" si="149"/>
        <v>0</v>
      </c>
      <c r="K768" s="99">
        <v>50</v>
      </c>
      <c r="L768" s="100">
        <f t="shared" si="150"/>
        <v>0</v>
      </c>
      <c r="M768" s="100">
        <f t="shared" si="151"/>
        <v>0</v>
      </c>
      <c r="N768" s="100">
        <v>0</v>
      </c>
      <c r="O768" s="100">
        <f t="shared" si="152"/>
        <v>0</v>
      </c>
      <c r="P768" s="100">
        <f t="shared" si="153"/>
        <v>0</v>
      </c>
      <c r="Q768" s="124">
        <f t="shared" si="154"/>
        <v>0</v>
      </c>
      <c r="R768" s="114"/>
    </row>
    <row r="769" s="34" customFormat="1" ht="18" customHeight="1" spans="1:18">
      <c r="A769" s="67">
        <f>IF(F769&lt;&gt;"",1+MAX($A$2:A768),"")</f>
        <v>710</v>
      </c>
      <c r="B769" s="68"/>
      <c r="C769" s="68"/>
      <c r="D769" s="69" t="s">
        <v>786</v>
      </c>
      <c r="E769" s="70">
        <v>25</v>
      </c>
      <c r="F769" s="71">
        <v>0</v>
      </c>
      <c r="G769" s="66">
        <f t="shared" si="148"/>
        <v>25</v>
      </c>
      <c r="H769" s="70" t="s">
        <v>35</v>
      </c>
      <c r="I769" s="97">
        <v>0</v>
      </c>
      <c r="J769" s="98">
        <f t="shared" si="149"/>
        <v>0</v>
      </c>
      <c r="K769" s="99">
        <v>50</v>
      </c>
      <c r="L769" s="100">
        <f t="shared" si="150"/>
        <v>0</v>
      </c>
      <c r="M769" s="100">
        <f t="shared" si="151"/>
        <v>0</v>
      </c>
      <c r="N769" s="100">
        <v>0</v>
      </c>
      <c r="O769" s="100">
        <f t="shared" si="152"/>
        <v>0</v>
      </c>
      <c r="P769" s="100">
        <f t="shared" si="153"/>
        <v>0</v>
      </c>
      <c r="Q769" s="124">
        <f t="shared" si="154"/>
        <v>0</v>
      </c>
      <c r="R769" s="114"/>
    </row>
    <row r="770" s="34" customFormat="1" ht="18" customHeight="1" spans="1:18">
      <c r="A770" s="67">
        <f>IF(F770&lt;&gt;"",1+MAX($A$2:A769),"")</f>
        <v>711</v>
      </c>
      <c r="B770" s="68"/>
      <c r="C770" s="68"/>
      <c r="D770" s="69" t="s">
        <v>783</v>
      </c>
      <c r="E770" s="70">
        <v>76</v>
      </c>
      <c r="F770" s="71">
        <v>0</v>
      </c>
      <c r="G770" s="66">
        <f t="shared" si="148"/>
        <v>76</v>
      </c>
      <c r="H770" s="70" t="s">
        <v>35</v>
      </c>
      <c r="I770" s="97">
        <v>0</v>
      </c>
      <c r="J770" s="98">
        <f t="shared" si="149"/>
        <v>0</v>
      </c>
      <c r="K770" s="99">
        <v>50</v>
      </c>
      <c r="L770" s="100">
        <f t="shared" si="150"/>
        <v>0</v>
      </c>
      <c r="M770" s="100">
        <f t="shared" si="151"/>
        <v>0</v>
      </c>
      <c r="N770" s="100">
        <v>0</v>
      </c>
      <c r="O770" s="100">
        <f t="shared" si="152"/>
        <v>0</v>
      </c>
      <c r="P770" s="100">
        <f t="shared" si="153"/>
        <v>0</v>
      </c>
      <c r="Q770" s="124">
        <f t="shared" si="154"/>
        <v>0</v>
      </c>
      <c r="R770" s="114"/>
    </row>
    <row r="771" s="34" customFormat="1" ht="18" customHeight="1" spans="1:18">
      <c r="A771" s="67">
        <f>IF(F771&lt;&gt;"",1+MAX($A$2:A770),"")</f>
        <v>712</v>
      </c>
      <c r="B771" s="68"/>
      <c r="C771" s="68"/>
      <c r="D771" s="69" t="s">
        <v>791</v>
      </c>
      <c r="E771" s="70">
        <v>3</v>
      </c>
      <c r="F771" s="71">
        <v>0</v>
      </c>
      <c r="G771" s="66">
        <f t="shared" si="148"/>
        <v>3</v>
      </c>
      <c r="H771" s="70" t="s">
        <v>35</v>
      </c>
      <c r="I771" s="97">
        <v>0</v>
      </c>
      <c r="J771" s="98">
        <f t="shared" si="149"/>
        <v>0</v>
      </c>
      <c r="K771" s="99">
        <v>50</v>
      </c>
      <c r="L771" s="100">
        <f t="shared" si="150"/>
        <v>0</v>
      </c>
      <c r="M771" s="100">
        <f t="shared" si="151"/>
        <v>0</v>
      </c>
      <c r="N771" s="100">
        <v>0</v>
      </c>
      <c r="O771" s="100">
        <f t="shared" si="152"/>
        <v>0</v>
      </c>
      <c r="P771" s="100">
        <f t="shared" si="153"/>
        <v>0</v>
      </c>
      <c r="Q771" s="124">
        <f t="shared" si="154"/>
        <v>0</v>
      </c>
      <c r="R771" s="114"/>
    </row>
    <row r="772" s="34" customFormat="1" ht="18" customHeight="1" spans="1:18">
      <c r="A772" s="61">
        <f>IF(F772&lt;&gt;"",1+MAX($A$2:A771),"")</f>
        <v>713</v>
      </c>
      <c r="B772" s="68"/>
      <c r="C772" s="68"/>
      <c r="D772" s="69" t="s">
        <v>787</v>
      </c>
      <c r="E772" s="70">
        <v>94</v>
      </c>
      <c r="F772" s="65">
        <v>0</v>
      </c>
      <c r="G772" s="66">
        <f t="shared" si="148"/>
        <v>94</v>
      </c>
      <c r="H772" s="70" t="s">
        <v>35</v>
      </c>
      <c r="I772" s="97">
        <v>0</v>
      </c>
      <c r="J772" s="98">
        <f t="shared" si="149"/>
        <v>0</v>
      </c>
      <c r="K772" s="99">
        <v>50</v>
      </c>
      <c r="L772" s="100">
        <f t="shared" si="150"/>
        <v>0</v>
      </c>
      <c r="M772" s="100">
        <f t="shared" si="151"/>
        <v>0</v>
      </c>
      <c r="N772" s="100">
        <v>0</v>
      </c>
      <c r="O772" s="100">
        <f t="shared" si="152"/>
        <v>0</v>
      </c>
      <c r="P772" s="100">
        <f t="shared" si="153"/>
        <v>0</v>
      </c>
      <c r="Q772" s="124">
        <f t="shared" si="154"/>
        <v>0</v>
      </c>
      <c r="R772" s="114"/>
    </row>
    <row r="773" s="34" customFormat="1" ht="18" customHeight="1" spans="1:18">
      <c r="A773" s="67">
        <f>IF(F773&lt;&gt;"",1+MAX($A$2:A772),"")</f>
        <v>714</v>
      </c>
      <c r="B773" s="68"/>
      <c r="C773" s="68"/>
      <c r="D773" s="69" t="s">
        <v>792</v>
      </c>
      <c r="E773" s="70">
        <v>2</v>
      </c>
      <c r="F773" s="71">
        <v>0</v>
      </c>
      <c r="G773" s="66">
        <f t="shared" si="148"/>
        <v>2</v>
      </c>
      <c r="H773" s="70" t="s">
        <v>35</v>
      </c>
      <c r="I773" s="97">
        <v>0</v>
      </c>
      <c r="J773" s="98">
        <f t="shared" si="149"/>
        <v>0</v>
      </c>
      <c r="K773" s="99">
        <v>50</v>
      </c>
      <c r="L773" s="100">
        <f t="shared" si="150"/>
        <v>0</v>
      </c>
      <c r="M773" s="100">
        <f t="shared" si="151"/>
        <v>0</v>
      </c>
      <c r="N773" s="100">
        <v>0</v>
      </c>
      <c r="O773" s="100">
        <f t="shared" si="152"/>
        <v>0</v>
      </c>
      <c r="P773" s="100">
        <f t="shared" si="153"/>
        <v>0</v>
      </c>
      <c r="Q773" s="124">
        <f t="shared" si="154"/>
        <v>0</v>
      </c>
      <c r="R773" s="114"/>
    </row>
    <row r="774" s="34" customFormat="1" ht="18" customHeight="1" spans="1:18">
      <c r="A774" s="61">
        <f>IF(F774&lt;&gt;"",1+MAX($A$2:A773),"")</f>
        <v>715</v>
      </c>
      <c r="B774" s="68"/>
      <c r="C774" s="68"/>
      <c r="D774" s="69" t="s">
        <v>793</v>
      </c>
      <c r="E774" s="70">
        <v>1</v>
      </c>
      <c r="F774" s="65">
        <v>0</v>
      </c>
      <c r="G774" s="66">
        <f t="shared" si="148"/>
        <v>1</v>
      </c>
      <c r="H774" s="70" t="s">
        <v>35</v>
      </c>
      <c r="I774" s="97">
        <v>0</v>
      </c>
      <c r="J774" s="98">
        <f t="shared" si="149"/>
        <v>0</v>
      </c>
      <c r="K774" s="99">
        <v>50</v>
      </c>
      <c r="L774" s="100">
        <f t="shared" si="150"/>
        <v>0</v>
      </c>
      <c r="M774" s="100">
        <f t="shared" si="151"/>
        <v>0</v>
      </c>
      <c r="N774" s="100">
        <v>0</v>
      </c>
      <c r="O774" s="100">
        <f t="shared" si="152"/>
        <v>0</v>
      </c>
      <c r="P774" s="100">
        <f t="shared" si="153"/>
        <v>0</v>
      </c>
      <c r="Q774" s="124">
        <f t="shared" si="154"/>
        <v>0</v>
      </c>
      <c r="R774" s="114"/>
    </row>
    <row r="775" s="34" customFormat="1" ht="18" customHeight="1" spans="1:18">
      <c r="A775" s="67">
        <f>IF(F775&lt;&gt;"",1+MAX($A$2:A774),"")</f>
        <v>716</v>
      </c>
      <c r="B775" s="68"/>
      <c r="C775" s="68"/>
      <c r="D775" s="69" t="s">
        <v>783</v>
      </c>
      <c r="E775" s="70">
        <v>1</v>
      </c>
      <c r="F775" s="71">
        <v>0</v>
      </c>
      <c r="G775" s="66">
        <f t="shared" si="148"/>
        <v>1</v>
      </c>
      <c r="H775" s="70" t="s">
        <v>35</v>
      </c>
      <c r="I775" s="97">
        <v>0</v>
      </c>
      <c r="J775" s="98">
        <f t="shared" si="149"/>
        <v>0</v>
      </c>
      <c r="K775" s="99">
        <v>50</v>
      </c>
      <c r="L775" s="100">
        <f t="shared" si="150"/>
        <v>0</v>
      </c>
      <c r="M775" s="100">
        <f t="shared" si="151"/>
        <v>0</v>
      </c>
      <c r="N775" s="100">
        <v>0</v>
      </c>
      <c r="O775" s="100">
        <f t="shared" si="152"/>
        <v>0</v>
      </c>
      <c r="P775" s="100">
        <f t="shared" si="153"/>
        <v>0</v>
      </c>
      <c r="Q775" s="124">
        <f t="shared" si="154"/>
        <v>0</v>
      </c>
      <c r="R775" s="114"/>
    </row>
    <row r="776" s="34" customFormat="1" ht="18" customHeight="1" spans="1:18">
      <c r="A776" s="67">
        <f>IF(F776&lt;&gt;"",1+MAX($A$2:A775),"")</f>
        <v>717</v>
      </c>
      <c r="B776" s="68"/>
      <c r="C776" s="68"/>
      <c r="D776" s="69" t="s">
        <v>794</v>
      </c>
      <c r="E776" s="70">
        <v>2</v>
      </c>
      <c r="F776" s="71">
        <v>0</v>
      </c>
      <c r="G776" s="66">
        <f t="shared" si="148"/>
        <v>2</v>
      </c>
      <c r="H776" s="70" t="s">
        <v>35</v>
      </c>
      <c r="I776" s="97">
        <v>0</v>
      </c>
      <c r="J776" s="98">
        <f t="shared" si="149"/>
        <v>0</v>
      </c>
      <c r="K776" s="99">
        <v>50</v>
      </c>
      <c r="L776" s="100">
        <f t="shared" si="150"/>
        <v>0</v>
      </c>
      <c r="M776" s="100">
        <f t="shared" si="151"/>
        <v>0</v>
      </c>
      <c r="N776" s="100">
        <v>0</v>
      </c>
      <c r="O776" s="100">
        <f t="shared" si="152"/>
        <v>0</v>
      </c>
      <c r="P776" s="100">
        <f t="shared" si="153"/>
        <v>0</v>
      </c>
      <c r="Q776" s="124">
        <f t="shared" si="154"/>
        <v>0</v>
      </c>
      <c r="R776" s="114"/>
    </row>
    <row r="777" s="34" customFormat="1" ht="18" customHeight="1" spans="1:18">
      <c r="A777" s="67">
        <f>IF(F777&lt;&gt;"",1+MAX($A$2:A776),"")</f>
        <v>718</v>
      </c>
      <c r="B777" s="68"/>
      <c r="C777" s="68"/>
      <c r="D777" s="69" t="s">
        <v>795</v>
      </c>
      <c r="E777" s="70">
        <v>2</v>
      </c>
      <c r="F777" s="71">
        <v>0</v>
      </c>
      <c r="G777" s="66">
        <f t="shared" si="148"/>
        <v>2</v>
      </c>
      <c r="H777" s="70" t="s">
        <v>35</v>
      </c>
      <c r="I777" s="97">
        <v>0</v>
      </c>
      <c r="J777" s="98">
        <f t="shared" si="149"/>
        <v>0</v>
      </c>
      <c r="K777" s="99">
        <v>50</v>
      </c>
      <c r="L777" s="100">
        <f t="shared" si="150"/>
        <v>0</v>
      </c>
      <c r="M777" s="100">
        <f t="shared" si="151"/>
        <v>0</v>
      </c>
      <c r="N777" s="100">
        <v>0</v>
      </c>
      <c r="O777" s="100">
        <f t="shared" si="152"/>
        <v>0</v>
      </c>
      <c r="P777" s="100">
        <f t="shared" si="153"/>
        <v>0</v>
      </c>
      <c r="Q777" s="124">
        <f t="shared" si="154"/>
        <v>0</v>
      </c>
      <c r="R777" s="114"/>
    </row>
    <row r="778" s="34" customFormat="1" ht="18" customHeight="1" spans="1:18">
      <c r="A778" s="67">
        <f>IF(F778&lt;&gt;"",1+MAX($A$2:A777),"")</f>
        <v>719</v>
      </c>
      <c r="B778" s="68"/>
      <c r="C778" s="68"/>
      <c r="D778" s="69" t="s">
        <v>785</v>
      </c>
      <c r="E778" s="70">
        <v>3</v>
      </c>
      <c r="F778" s="71">
        <v>0</v>
      </c>
      <c r="G778" s="72">
        <f t="shared" si="148"/>
        <v>3</v>
      </c>
      <c r="H778" s="70" t="s">
        <v>35</v>
      </c>
      <c r="I778" s="97">
        <v>0</v>
      </c>
      <c r="J778" s="98">
        <f t="shared" si="149"/>
        <v>0</v>
      </c>
      <c r="K778" s="99">
        <v>50</v>
      </c>
      <c r="L778" s="100">
        <f t="shared" si="150"/>
        <v>0</v>
      </c>
      <c r="M778" s="100">
        <f t="shared" si="151"/>
        <v>0</v>
      </c>
      <c r="N778" s="100">
        <v>0</v>
      </c>
      <c r="O778" s="100">
        <f t="shared" si="152"/>
        <v>0</v>
      </c>
      <c r="P778" s="100">
        <f t="shared" si="153"/>
        <v>0</v>
      </c>
      <c r="Q778" s="124">
        <f t="shared" si="154"/>
        <v>0</v>
      </c>
      <c r="R778" s="114"/>
    </row>
    <row r="779" s="34" customFormat="1" ht="18" customHeight="1" spans="1:18">
      <c r="A779" s="61">
        <f>IF(F779&lt;&gt;"",1+MAX($A$2:A778),"")</f>
        <v>720</v>
      </c>
      <c r="B779" s="68"/>
      <c r="C779" s="68"/>
      <c r="D779" s="69" t="s">
        <v>782</v>
      </c>
      <c r="E779" s="70">
        <v>14</v>
      </c>
      <c r="F779" s="65">
        <v>0</v>
      </c>
      <c r="G779" s="66">
        <f t="shared" si="148"/>
        <v>14</v>
      </c>
      <c r="H779" s="70" t="s">
        <v>35</v>
      </c>
      <c r="I779" s="97">
        <v>0</v>
      </c>
      <c r="J779" s="98">
        <f t="shared" si="149"/>
        <v>0</v>
      </c>
      <c r="K779" s="99">
        <v>50</v>
      </c>
      <c r="L779" s="100">
        <f t="shared" si="150"/>
        <v>0</v>
      </c>
      <c r="M779" s="100">
        <f t="shared" si="151"/>
        <v>0</v>
      </c>
      <c r="N779" s="100">
        <v>0</v>
      </c>
      <c r="O779" s="100">
        <f t="shared" si="152"/>
        <v>0</v>
      </c>
      <c r="P779" s="100">
        <f t="shared" si="153"/>
        <v>0</v>
      </c>
      <c r="Q779" s="124">
        <f t="shared" si="154"/>
        <v>0</v>
      </c>
      <c r="R779" s="114"/>
    </row>
    <row r="780" s="34" customFormat="1" ht="18" customHeight="1" spans="1:18">
      <c r="A780" s="67">
        <f>IF(F780&lt;&gt;"",1+MAX($A$2:A779),"")</f>
        <v>721</v>
      </c>
      <c r="B780" s="68"/>
      <c r="C780" s="68"/>
      <c r="D780" s="69" t="s">
        <v>786</v>
      </c>
      <c r="E780" s="70">
        <v>3</v>
      </c>
      <c r="F780" s="71">
        <v>0</v>
      </c>
      <c r="G780" s="66">
        <f t="shared" si="148"/>
        <v>3</v>
      </c>
      <c r="H780" s="70" t="s">
        <v>35</v>
      </c>
      <c r="I780" s="97">
        <v>0</v>
      </c>
      <c r="J780" s="98">
        <f t="shared" si="149"/>
        <v>0</v>
      </c>
      <c r="K780" s="99">
        <v>50</v>
      </c>
      <c r="L780" s="100">
        <f t="shared" si="150"/>
        <v>0</v>
      </c>
      <c r="M780" s="100">
        <f t="shared" si="151"/>
        <v>0</v>
      </c>
      <c r="N780" s="100">
        <v>0</v>
      </c>
      <c r="O780" s="100">
        <f t="shared" si="152"/>
        <v>0</v>
      </c>
      <c r="P780" s="100">
        <f t="shared" si="153"/>
        <v>0</v>
      </c>
      <c r="Q780" s="124">
        <f t="shared" si="154"/>
        <v>0</v>
      </c>
      <c r="R780" s="114"/>
    </row>
    <row r="781" s="34" customFormat="1" ht="18" customHeight="1" spans="1:18">
      <c r="A781" s="67">
        <f>IF(F781&lt;&gt;"",1+MAX($A$2:A780),"")</f>
        <v>722</v>
      </c>
      <c r="B781" s="68"/>
      <c r="C781" s="68"/>
      <c r="D781" s="69" t="s">
        <v>783</v>
      </c>
      <c r="E781" s="70">
        <v>13</v>
      </c>
      <c r="F781" s="71">
        <v>0</v>
      </c>
      <c r="G781" s="66">
        <f t="shared" si="148"/>
        <v>13</v>
      </c>
      <c r="H781" s="70" t="s">
        <v>35</v>
      </c>
      <c r="I781" s="97">
        <v>0</v>
      </c>
      <c r="J781" s="98">
        <f t="shared" si="149"/>
        <v>0</v>
      </c>
      <c r="K781" s="99">
        <v>50</v>
      </c>
      <c r="L781" s="100">
        <f t="shared" si="150"/>
        <v>0</v>
      </c>
      <c r="M781" s="100">
        <f t="shared" si="151"/>
        <v>0</v>
      </c>
      <c r="N781" s="100">
        <v>0</v>
      </c>
      <c r="O781" s="100">
        <f t="shared" si="152"/>
        <v>0</v>
      </c>
      <c r="P781" s="100">
        <f t="shared" si="153"/>
        <v>0</v>
      </c>
      <c r="Q781" s="124">
        <f t="shared" si="154"/>
        <v>0</v>
      </c>
      <c r="R781" s="114"/>
    </row>
    <row r="782" s="34" customFormat="1" ht="18" customHeight="1" spans="1:18">
      <c r="A782" s="67">
        <f>IF(F782&lt;&gt;"",1+MAX($A$2:A781),"")</f>
        <v>723</v>
      </c>
      <c r="B782" s="68"/>
      <c r="C782" s="68"/>
      <c r="D782" s="69" t="s">
        <v>787</v>
      </c>
      <c r="E782" s="70">
        <v>13</v>
      </c>
      <c r="F782" s="71">
        <v>0</v>
      </c>
      <c r="G782" s="66">
        <f t="shared" si="148"/>
        <v>13</v>
      </c>
      <c r="H782" s="70" t="s">
        <v>35</v>
      </c>
      <c r="I782" s="97">
        <v>0</v>
      </c>
      <c r="J782" s="98">
        <f t="shared" si="149"/>
        <v>0</v>
      </c>
      <c r="K782" s="99">
        <v>50</v>
      </c>
      <c r="L782" s="100">
        <f t="shared" si="150"/>
        <v>0</v>
      </c>
      <c r="M782" s="100">
        <f t="shared" si="151"/>
        <v>0</v>
      </c>
      <c r="N782" s="100">
        <v>0</v>
      </c>
      <c r="O782" s="100">
        <f t="shared" si="152"/>
        <v>0</v>
      </c>
      <c r="P782" s="100">
        <f t="shared" si="153"/>
        <v>0</v>
      </c>
      <c r="Q782" s="124">
        <f t="shared" si="154"/>
        <v>0</v>
      </c>
      <c r="R782" s="114"/>
    </row>
    <row r="783" s="34" customFormat="1" ht="18" customHeight="1" spans="1:18">
      <c r="A783" s="67">
        <f>IF(F783&lt;&gt;"",1+MAX($A$2:A782),"")</f>
        <v>724</v>
      </c>
      <c r="B783" s="68"/>
      <c r="C783" s="68"/>
      <c r="D783" s="69" t="s">
        <v>792</v>
      </c>
      <c r="E783" s="70">
        <v>1</v>
      </c>
      <c r="F783" s="71">
        <v>0</v>
      </c>
      <c r="G783" s="66">
        <f t="shared" si="148"/>
        <v>1</v>
      </c>
      <c r="H783" s="70" t="s">
        <v>35</v>
      </c>
      <c r="I783" s="97">
        <v>0</v>
      </c>
      <c r="J783" s="98">
        <f t="shared" si="149"/>
        <v>0</v>
      </c>
      <c r="K783" s="99">
        <v>50</v>
      </c>
      <c r="L783" s="100">
        <f t="shared" si="150"/>
        <v>0</v>
      </c>
      <c r="M783" s="100">
        <f t="shared" si="151"/>
        <v>0</v>
      </c>
      <c r="N783" s="100">
        <v>0</v>
      </c>
      <c r="O783" s="100">
        <f t="shared" si="152"/>
        <v>0</v>
      </c>
      <c r="P783" s="100">
        <f t="shared" si="153"/>
        <v>0</v>
      </c>
      <c r="Q783" s="124">
        <f t="shared" si="154"/>
        <v>0</v>
      </c>
      <c r="R783" s="114"/>
    </row>
    <row r="784" s="34" customFormat="1" ht="18" customHeight="1" spans="1:18">
      <c r="A784" s="67">
        <f>IF(F784&lt;&gt;"",1+MAX($A$2:A783),"")</f>
        <v>725</v>
      </c>
      <c r="B784" s="68"/>
      <c r="C784" s="68"/>
      <c r="D784" s="69" t="s">
        <v>795</v>
      </c>
      <c r="E784" s="70">
        <v>2</v>
      </c>
      <c r="F784" s="71">
        <v>0</v>
      </c>
      <c r="G784" s="66">
        <f t="shared" si="148"/>
        <v>2</v>
      </c>
      <c r="H784" s="70" t="s">
        <v>35</v>
      </c>
      <c r="I784" s="97">
        <v>0</v>
      </c>
      <c r="J784" s="98">
        <f t="shared" si="149"/>
        <v>0</v>
      </c>
      <c r="K784" s="99">
        <v>50</v>
      </c>
      <c r="L784" s="100">
        <f t="shared" si="150"/>
        <v>0</v>
      </c>
      <c r="M784" s="100">
        <f t="shared" si="151"/>
        <v>0</v>
      </c>
      <c r="N784" s="100">
        <v>0</v>
      </c>
      <c r="O784" s="100">
        <f t="shared" si="152"/>
        <v>0</v>
      </c>
      <c r="P784" s="100">
        <f t="shared" si="153"/>
        <v>0</v>
      </c>
      <c r="Q784" s="124">
        <f t="shared" si="154"/>
        <v>0</v>
      </c>
      <c r="R784" s="114"/>
    </row>
    <row r="785" s="34" customFormat="1" ht="18" customHeight="1" spans="1:18">
      <c r="A785" s="67">
        <f>IF(F785&lt;&gt;"",1+MAX($A$2:A784),"")</f>
        <v>726</v>
      </c>
      <c r="B785" s="68"/>
      <c r="C785" s="68"/>
      <c r="D785" s="69" t="s">
        <v>796</v>
      </c>
      <c r="E785" s="70">
        <v>3</v>
      </c>
      <c r="F785" s="71">
        <v>0</v>
      </c>
      <c r="G785" s="72">
        <f t="shared" si="148"/>
        <v>3</v>
      </c>
      <c r="H785" s="70" t="s">
        <v>35</v>
      </c>
      <c r="I785" s="97">
        <v>0</v>
      </c>
      <c r="J785" s="98">
        <f t="shared" si="149"/>
        <v>0</v>
      </c>
      <c r="K785" s="99">
        <v>50</v>
      </c>
      <c r="L785" s="100">
        <f t="shared" si="150"/>
        <v>0</v>
      </c>
      <c r="M785" s="100">
        <f t="shared" si="151"/>
        <v>0</v>
      </c>
      <c r="N785" s="100">
        <v>0</v>
      </c>
      <c r="O785" s="100">
        <f t="shared" si="152"/>
        <v>0</v>
      </c>
      <c r="P785" s="100">
        <f t="shared" si="153"/>
        <v>0</v>
      </c>
      <c r="Q785" s="124">
        <f t="shared" si="154"/>
        <v>0</v>
      </c>
      <c r="R785" s="114"/>
    </row>
    <row r="786" s="34" customFormat="1" ht="18" customHeight="1" spans="1:18">
      <c r="A786" s="67">
        <f>IF(F786&lt;&gt;"",1+MAX($A$2:A785),"")</f>
        <v>727</v>
      </c>
      <c r="B786" s="68"/>
      <c r="C786" s="68"/>
      <c r="D786" s="69" t="s">
        <v>782</v>
      </c>
      <c r="E786" s="70">
        <v>2</v>
      </c>
      <c r="F786" s="71">
        <v>0</v>
      </c>
      <c r="G786" s="66">
        <f t="shared" si="148"/>
        <v>2</v>
      </c>
      <c r="H786" s="70" t="s">
        <v>35</v>
      </c>
      <c r="I786" s="97">
        <v>0</v>
      </c>
      <c r="J786" s="98">
        <f t="shared" si="149"/>
        <v>0</v>
      </c>
      <c r="K786" s="99">
        <v>50</v>
      </c>
      <c r="L786" s="100">
        <f t="shared" si="150"/>
        <v>0</v>
      </c>
      <c r="M786" s="100">
        <f t="shared" si="151"/>
        <v>0</v>
      </c>
      <c r="N786" s="100">
        <v>0</v>
      </c>
      <c r="O786" s="100">
        <f t="shared" si="152"/>
        <v>0</v>
      </c>
      <c r="P786" s="100">
        <f t="shared" si="153"/>
        <v>0</v>
      </c>
      <c r="Q786" s="124">
        <f t="shared" si="154"/>
        <v>0</v>
      </c>
      <c r="R786" s="114"/>
    </row>
    <row r="787" s="34" customFormat="1" ht="18" customHeight="1" spans="1:18">
      <c r="A787" s="61">
        <f>IF(F787&lt;&gt;"",1+MAX($A$2:A786),"")</f>
        <v>728</v>
      </c>
      <c r="B787" s="68"/>
      <c r="C787" s="68"/>
      <c r="D787" s="69" t="s">
        <v>786</v>
      </c>
      <c r="E787" s="70">
        <v>4</v>
      </c>
      <c r="F787" s="71">
        <v>0</v>
      </c>
      <c r="G787" s="66">
        <f t="shared" si="148"/>
        <v>4</v>
      </c>
      <c r="H787" s="70" t="s">
        <v>35</v>
      </c>
      <c r="I787" s="97">
        <v>0</v>
      </c>
      <c r="J787" s="98">
        <f t="shared" si="149"/>
        <v>0</v>
      </c>
      <c r="K787" s="99">
        <v>50</v>
      </c>
      <c r="L787" s="100">
        <f t="shared" si="150"/>
        <v>0</v>
      </c>
      <c r="M787" s="100">
        <f t="shared" si="151"/>
        <v>0</v>
      </c>
      <c r="N787" s="100">
        <v>0</v>
      </c>
      <c r="O787" s="100">
        <f t="shared" si="152"/>
        <v>0</v>
      </c>
      <c r="P787" s="100">
        <f t="shared" si="153"/>
        <v>0</v>
      </c>
      <c r="Q787" s="124">
        <f t="shared" si="154"/>
        <v>0</v>
      </c>
      <c r="R787" s="114"/>
    </row>
    <row r="788" s="33" customFormat="1" ht="17" customHeight="1" spans="1:36">
      <c r="A788" s="67" t="str">
        <f>IF(F788&lt;&gt;"",1+MAX($A$305:A754),"")</f>
        <v/>
      </c>
      <c r="B788" s="89"/>
      <c r="C788" s="89"/>
      <c r="D788" s="69"/>
      <c r="E788" s="72"/>
      <c r="F788" s="90"/>
      <c r="G788" s="91"/>
      <c r="H788" s="70"/>
      <c r="I788" s="97"/>
      <c r="J788" s="98"/>
      <c r="K788" s="99"/>
      <c r="L788" s="100"/>
      <c r="M788" s="139"/>
      <c r="N788" s="100"/>
      <c r="O788" s="100"/>
      <c r="P788" s="100"/>
      <c r="Q788" s="122"/>
      <c r="R788" s="123"/>
      <c r="S788" s="123"/>
      <c r="T788" s="123"/>
      <c r="U788" s="123"/>
      <c r="V788" s="123"/>
      <c r="W788" s="123"/>
      <c r="X788" s="123"/>
      <c r="Y788" s="123"/>
      <c r="Z788" s="123"/>
      <c r="AA788" s="123"/>
      <c r="AB788" s="123"/>
      <c r="AC788" s="123"/>
      <c r="AD788" s="123"/>
      <c r="AE788" s="123"/>
      <c r="AF788" s="123"/>
      <c r="AG788" s="123"/>
      <c r="AH788" s="123"/>
      <c r="AI788" s="123"/>
      <c r="AJ788" s="123"/>
    </row>
    <row r="789" s="33" customFormat="1" ht="15.75" customHeight="1" spans="1:19">
      <c r="A789" s="87" t="str">
        <f>IF(F789&lt;&gt;"",1+MAX($A$2:A304),"")</f>
        <v/>
      </c>
      <c r="B789" s="126"/>
      <c r="C789" s="126"/>
      <c r="D789" s="82" t="s">
        <v>31</v>
      </c>
      <c r="E789" s="129"/>
      <c r="F789" s="129"/>
      <c r="G789" s="130"/>
      <c r="H789" s="129"/>
      <c r="I789" s="129"/>
      <c r="J789" s="140"/>
      <c r="K789" s="140"/>
      <c r="L789" s="141"/>
      <c r="M789" s="142"/>
      <c r="N789" s="141"/>
      <c r="O789" s="141"/>
      <c r="P789" s="143"/>
      <c r="Q789" s="117">
        <f>SUM(Q748:Q787)</f>
        <v>0</v>
      </c>
      <c r="S789" s="121"/>
    </row>
    <row r="790" s="33" customFormat="1" ht="15.75" customHeight="1" spans="1:19">
      <c r="A790" s="131" t="str">
        <f>IF(F790&lt;&gt;"",1+MAX($A$2:A789),"")</f>
        <v/>
      </c>
      <c r="B790" s="132"/>
      <c r="C790" s="132"/>
      <c r="D790" s="133"/>
      <c r="E790" s="132"/>
      <c r="F790" s="132"/>
      <c r="G790" s="132"/>
      <c r="H790" s="132"/>
      <c r="I790" s="132"/>
      <c r="J790" s="132"/>
      <c r="K790" s="132"/>
      <c r="L790" s="132"/>
      <c r="M790" s="132"/>
      <c r="N790" s="132"/>
      <c r="O790" s="132"/>
      <c r="P790" s="132"/>
      <c r="Q790" s="145"/>
      <c r="S790" s="121"/>
    </row>
    <row r="791" s="35" customFormat="1" ht="31.2" spans="1:19">
      <c r="A791" s="164"/>
      <c r="B791" s="164"/>
      <c r="C791" s="164"/>
      <c r="D791" s="165"/>
      <c r="E791" s="164"/>
      <c r="F791" s="164"/>
      <c r="G791" s="164"/>
      <c r="H791" s="166" t="s">
        <v>185</v>
      </c>
      <c r="I791" s="190"/>
      <c r="J791" s="191">
        <f>SUM(J17:J790)</f>
        <v>0</v>
      </c>
      <c r="K791" s="192" t="s">
        <v>17</v>
      </c>
      <c r="L791" s="193"/>
      <c r="M791" s="194">
        <f>SUM(M17:M790)</f>
        <v>0</v>
      </c>
      <c r="N791" s="195" t="s">
        <v>19</v>
      </c>
      <c r="O791" s="196">
        <f>SUM(O17:O790)</f>
        <v>0</v>
      </c>
      <c r="P791" s="164"/>
      <c r="Q791" s="203"/>
      <c r="S791" s="204"/>
    </row>
    <row r="792" s="35" customFormat="1" spans="1:17">
      <c r="A792" s="167"/>
      <c r="B792" s="168"/>
      <c r="C792" s="168"/>
      <c r="D792" s="169" t="s">
        <v>186</v>
      </c>
      <c r="E792" s="170"/>
      <c r="F792" s="170"/>
      <c r="G792" s="171"/>
      <c r="H792" s="170"/>
      <c r="I792" s="170"/>
      <c r="J792" s="170"/>
      <c r="K792" s="170"/>
      <c r="L792" s="197"/>
      <c r="M792" s="197"/>
      <c r="N792" s="197"/>
      <c r="O792" s="197"/>
      <c r="P792" s="197"/>
      <c r="Q792" s="205">
        <f>SUM(Q8:Q790)/2</f>
        <v>0</v>
      </c>
    </row>
    <row r="793" s="35" customFormat="1" spans="1:36">
      <c r="A793" s="167"/>
      <c r="B793" s="172"/>
      <c r="C793" s="172"/>
      <c r="D793" s="173" t="s">
        <v>187</v>
      </c>
      <c r="E793" s="174"/>
      <c r="F793" s="168"/>
      <c r="G793" s="174"/>
      <c r="H793" s="168"/>
      <c r="I793" s="168"/>
      <c r="J793" s="168"/>
      <c r="K793" s="168"/>
      <c r="L793" s="198">
        <v>0.05</v>
      </c>
      <c r="M793" s="198"/>
      <c r="N793" s="198"/>
      <c r="O793" s="198"/>
      <c r="P793" s="198"/>
      <c r="Q793" s="205">
        <f>Q792*L793</f>
        <v>0</v>
      </c>
      <c r="R793" s="206"/>
      <c r="S793" s="206"/>
      <c r="T793" s="206"/>
      <c r="U793" s="206"/>
      <c r="V793" s="206"/>
      <c r="W793" s="206"/>
      <c r="X793" s="206"/>
      <c r="Y793" s="206"/>
      <c r="Z793" s="206"/>
      <c r="AA793" s="206"/>
      <c r="AB793" s="206"/>
      <c r="AC793" s="206"/>
      <c r="AD793" s="206"/>
      <c r="AE793" s="206"/>
      <c r="AF793" s="206"/>
      <c r="AG793" s="206"/>
      <c r="AH793" s="206"/>
      <c r="AI793" s="206"/>
      <c r="AJ793" s="206"/>
    </row>
    <row r="794" s="35" customFormat="1" spans="1:36">
      <c r="A794" s="175"/>
      <c r="B794" s="176"/>
      <c r="C794" s="176"/>
      <c r="D794" s="177" t="s">
        <v>797</v>
      </c>
      <c r="E794" s="178"/>
      <c r="F794" s="179"/>
      <c r="G794" s="178"/>
      <c r="H794" s="179"/>
      <c r="I794" s="179"/>
      <c r="J794" s="179"/>
      <c r="K794" s="179"/>
      <c r="L794" s="199">
        <v>0.15</v>
      </c>
      <c r="M794" s="199"/>
      <c r="N794" s="199"/>
      <c r="O794" s="199"/>
      <c r="P794" s="199"/>
      <c r="Q794" s="207">
        <f>Q792*L794</f>
        <v>0</v>
      </c>
      <c r="R794" s="206"/>
      <c r="S794" s="206"/>
      <c r="T794" s="206"/>
      <c r="U794" s="206"/>
      <c r="V794" s="206"/>
      <c r="W794" s="206"/>
      <c r="X794" s="206"/>
      <c r="Y794" s="206"/>
      <c r="Z794" s="206"/>
      <c r="AA794" s="206"/>
      <c r="AB794" s="206"/>
      <c r="AC794" s="206"/>
      <c r="AD794" s="206"/>
      <c r="AE794" s="206"/>
      <c r="AF794" s="206"/>
      <c r="AG794" s="206"/>
      <c r="AH794" s="206"/>
      <c r="AI794" s="206"/>
      <c r="AJ794" s="206"/>
    </row>
    <row r="795" s="35" customFormat="1" spans="1:36">
      <c r="A795" s="180"/>
      <c r="B795" s="181"/>
      <c r="C795" s="181"/>
      <c r="D795" s="182" t="s">
        <v>190</v>
      </c>
      <c r="E795" s="183"/>
      <c r="F795" s="184"/>
      <c r="G795" s="183"/>
      <c r="H795" s="184"/>
      <c r="I795" s="184"/>
      <c r="J795" s="184"/>
      <c r="K795" s="184"/>
      <c r="L795" s="200">
        <v>0.085</v>
      </c>
      <c r="M795" s="200"/>
      <c r="N795" s="200"/>
      <c r="O795" s="200"/>
      <c r="P795" s="200"/>
      <c r="Q795" s="208">
        <f>Q792*L795</f>
        <v>0</v>
      </c>
      <c r="R795" s="206"/>
      <c r="S795" s="206"/>
      <c r="T795" s="206"/>
      <c r="U795" s="206"/>
      <c r="V795" s="206"/>
      <c r="W795" s="206"/>
      <c r="X795" s="206"/>
      <c r="Y795" s="206"/>
      <c r="Z795" s="206"/>
      <c r="AA795" s="206"/>
      <c r="AB795" s="206"/>
      <c r="AC795" s="206"/>
      <c r="AD795" s="206"/>
      <c r="AE795" s="206"/>
      <c r="AF795" s="206"/>
      <c r="AG795" s="206"/>
      <c r="AH795" s="206"/>
      <c r="AI795" s="206"/>
      <c r="AJ795" s="206"/>
    </row>
    <row r="796" s="35" customFormat="1" spans="1:36">
      <c r="A796" s="180"/>
      <c r="B796" s="181"/>
      <c r="C796" s="181"/>
      <c r="D796" s="182" t="s">
        <v>191</v>
      </c>
      <c r="E796" s="183"/>
      <c r="F796" s="184"/>
      <c r="G796" s="183"/>
      <c r="H796" s="184"/>
      <c r="I796" s="184"/>
      <c r="J796" s="184"/>
      <c r="K796" s="184"/>
      <c r="L796" s="201">
        <v>0.015</v>
      </c>
      <c r="M796" s="201"/>
      <c r="N796" s="201"/>
      <c r="O796" s="201"/>
      <c r="P796" s="201"/>
      <c r="Q796" s="208">
        <f>Q792*L796</f>
        <v>0</v>
      </c>
      <c r="R796" s="206"/>
      <c r="S796" s="206"/>
      <c r="T796" s="206"/>
      <c r="U796" s="206"/>
      <c r="V796" s="206"/>
      <c r="W796" s="206"/>
      <c r="X796" s="206"/>
      <c r="Y796" s="206"/>
      <c r="Z796" s="206"/>
      <c r="AA796" s="206"/>
      <c r="AB796" s="206"/>
      <c r="AC796" s="206"/>
      <c r="AD796" s="206"/>
      <c r="AE796" s="206"/>
      <c r="AF796" s="206"/>
      <c r="AG796" s="206"/>
      <c r="AH796" s="206"/>
      <c r="AI796" s="206"/>
      <c r="AJ796" s="206"/>
    </row>
    <row r="797" s="35" customFormat="1" ht="16.35" spans="1:17">
      <c r="A797" s="185"/>
      <c r="B797" s="186"/>
      <c r="C797" s="186"/>
      <c r="D797" s="187" t="s">
        <v>192</v>
      </c>
      <c r="E797" s="188"/>
      <c r="F797" s="188"/>
      <c r="G797" s="189"/>
      <c r="H797" s="188"/>
      <c r="I797" s="188"/>
      <c r="J797" s="188"/>
      <c r="K797" s="188"/>
      <c r="L797" s="202"/>
      <c r="M797" s="202"/>
      <c r="N797" s="202"/>
      <c r="O797" s="202"/>
      <c r="P797" s="202"/>
      <c r="Q797" s="209">
        <f>SUM(Q792:Q796)</f>
        <v>0</v>
      </c>
    </row>
  </sheetData>
  <mergeCells count="4">
    <mergeCell ref="A2:Q2"/>
    <mergeCell ref="H791:I791"/>
    <mergeCell ref="K791:L791"/>
    <mergeCell ref="Q8:Q14"/>
  </mergeCells>
  <conditionalFormatting sqref="D657:D665">
    <cfRule type="duplicateValues" dxfId="0" priority="2"/>
  </conditionalFormatting>
  <conditionalFormatting sqref="D713:D718">
    <cfRule type="duplicateValues" dxfId="0" priority="1"/>
  </conditionalFormatting>
  <printOptions horizontalCentered="1"/>
  <pageMargins left="0.7" right="0.7" top="0.75" bottom="0.75" header="0.3" footer="0.3"/>
  <pageSetup paperSize="9" scale="36" fitToHeight="0"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AJ269"/>
  <sheetViews>
    <sheetView showGridLines="0" zoomScale="55" zoomScaleNormal="55" zoomScaleSheetLayoutView="85" topLeftCell="A2" workbookViewId="0">
      <pane ySplit="5" topLeftCell="A216" activePane="bottomLeft" state="frozen"/>
      <selection/>
      <selection pane="bottomLeft" activeCell="D231" sqref="D231"/>
    </sheetView>
  </sheetViews>
  <sheetFormatPr defaultColWidth="9" defaultRowHeight="15.6"/>
  <cols>
    <col min="1" max="1" width="6.9" style="34" customWidth="1"/>
    <col min="2" max="2" width="8.5" style="34" customWidth="1"/>
    <col min="3" max="3" width="21.2" style="34" customWidth="1"/>
    <col min="4" max="4" width="68.8833333333333" style="36" customWidth="1"/>
    <col min="5" max="6" width="11.5583333333333" style="37" customWidth="1"/>
    <col min="7" max="7" width="14" style="37" customWidth="1"/>
    <col min="8" max="8" width="10.5583333333333" style="34" customWidth="1"/>
    <col min="9" max="10" width="14" style="37" customWidth="1"/>
    <col min="11" max="12" width="12.5583333333333" style="34" customWidth="1"/>
    <col min="13" max="13" width="14.4416666666667" style="34" customWidth="1"/>
    <col min="14" max="14" width="19.1083333333333" style="34" customWidth="1"/>
    <col min="15" max="15" width="14.6666666666667" style="34" customWidth="1"/>
    <col min="16" max="16" width="12.5583333333333" style="34" customWidth="1"/>
    <col min="17" max="17" width="15.2166666666667" style="36" customWidth="1"/>
    <col min="18" max="16384" width="9" style="34"/>
  </cols>
  <sheetData>
    <row r="1" s="31" customFormat="1" ht="15" hidden="1" customHeight="1" spans="1:17">
      <c r="A1" s="38"/>
      <c r="B1" s="39"/>
      <c r="C1" s="39"/>
      <c r="D1" s="39"/>
      <c r="E1" s="39"/>
      <c r="F1" s="39"/>
      <c r="G1" s="39"/>
      <c r="H1" s="39"/>
      <c r="I1" s="39"/>
      <c r="J1" s="39"/>
      <c r="K1" s="39"/>
      <c r="L1" s="39"/>
      <c r="M1" s="39"/>
      <c r="N1" s="39"/>
      <c r="O1" s="39"/>
      <c r="P1" s="39"/>
      <c r="Q1" s="39"/>
    </row>
    <row r="2" ht="18.75" spans="1:17">
      <c r="A2" s="40" t="s">
        <v>0</v>
      </c>
      <c r="B2" s="41"/>
      <c r="C2" s="41"/>
      <c r="D2" s="42"/>
      <c r="E2" s="41"/>
      <c r="F2" s="41"/>
      <c r="G2" s="41"/>
      <c r="H2" s="41"/>
      <c r="I2" s="41"/>
      <c r="J2" s="41"/>
      <c r="K2" s="41"/>
      <c r="L2" s="41"/>
      <c r="M2" s="41"/>
      <c r="N2" s="41"/>
      <c r="O2" s="41"/>
      <c r="P2" s="41"/>
      <c r="Q2" s="109"/>
    </row>
    <row r="3" ht="17.4" customHeight="1" spans="1:17">
      <c r="A3" s="43"/>
      <c r="B3" s="44"/>
      <c r="C3" s="45" t="s">
        <v>1</v>
      </c>
      <c r="D3" s="46" t="s">
        <v>2</v>
      </c>
      <c r="E3" s="47"/>
      <c r="F3" s="47"/>
      <c r="G3" s="48"/>
      <c r="H3" s="48"/>
      <c r="I3" s="48"/>
      <c r="J3" s="48"/>
      <c r="K3" s="48"/>
      <c r="L3" s="48"/>
      <c r="M3" s="48"/>
      <c r="N3" s="48"/>
      <c r="O3" s="92"/>
      <c r="P3" s="93"/>
      <c r="Q3" s="110"/>
    </row>
    <row r="4" ht="18" customHeight="1" spans="1:17">
      <c r="A4" s="43"/>
      <c r="B4" s="49"/>
      <c r="C4" s="49" t="s">
        <v>3</v>
      </c>
      <c r="D4" s="46" t="s">
        <v>4</v>
      </c>
      <c r="E4" s="50"/>
      <c r="F4" s="50"/>
      <c r="G4" s="50"/>
      <c r="H4" s="51"/>
      <c r="I4" s="50"/>
      <c r="J4" s="50"/>
      <c r="K4" s="48"/>
      <c r="L4" s="48"/>
      <c r="M4" s="48"/>
      <c r="N4" s="48"/>
      <c r="O4" s="92"/>
      <c r="P4" s="93"/>
      <c r="Q4" s="110"/>
    </row>
    <row r="5" ht="24" customHeight="1" spans="1:17">
      <c r="A5" s="43"/>
      <c r="B5" s="52"/>
      <c r="C5" s="52"/>
      <c r="E5" s="53"/>
      <c r="F5" s="50"/>
      <c r="G5" s="50"/>
      <c r="H5" s="53"/>
      <c r="I5" s="50"/>
      <c r="J5" s="50"/>
      <c r="K5" s="94"/>
      <c r="L5" s="94"/>
      <c r="M5" s="94"/>
      <c r="N5" s="94"/>
      <c r="O5" s="95"/>
      <c r="P5" s="96"/>
      <c r="Q5" s="110"/>
    </row>
    <row r="6" s="31" customFormat="1" ht="59.4" customHeight="1" spans="1:17">
      <c r="A6" s="54" t="s">
        <v>5</v>
      </c>
      <c r="B6" s="55" t="s">
        <v>6</v>
      </c>
      <c r="C6" s="55" t="s">
        <v>7</v>
      </c>
      <c r="D6" s="56" t="s">
        <v>8</v>
      </c>
      <c r="E6" s="55" t="s">
        <v>9</v>
      </c>
      <c r="F6" s="55" t="s">
        <v>10</v>
      </c>
      <c r="G6" s="55" t="s">
        <v>11</v>
      </c>
      <c r="H6" s="55" t="s">
        <v>12</v>
      </c>
      <c r="I6" s="55" t="s">
        <v>13</v>
      </c>
      <c r="J6" s="55" t="s">
        <v>14</v>
      </c>
      <c r="K6" s="55" t="s">
        <v>15</v>
      </c>
      <c r="L6" s="55" t="s">
        <v>16</v>
      </c>
      <c r="M6" s="55" t="s">
        <v>17</v>
      </c>
      <c r="N6" s="55" t="s">
        <v>18</v>
      </c>
      <c r="O6" s="55" t="s">
        <v>19</v>
      </c>
      <c r="P6" s="55" t="s">
        <v>20</v>
      </c>
      <c r="Q6" s="111" t="s">
        <v>21</v>
      </c>
    </row>
    <row r="7" s="32" customFormat="1" ht="18" customHeight="1" spans="1:17">
      <c r="A7" s="57"/>
      <c r="B7" s="58">
        <v>1</v>
      </c>
      <c r="C7" s="58"/>
      <c r="D7" s="59" t="s">
        <v>22</v>
      </c>
      <c r="E7" s="60"/>
      <c r="F7" s="60"/>
      <c r="G7" s="60"/>
      <c r="H7" s="60"/>
      <c r="I7" s="60"/>
      <c r="J7" s="60"/>
      <c r="K7" s="60"/>
      <c r="L7" s="60"/>
      <c r="M7" s="60"/>
      <c r="N7" s="60"/>
      <c r="O7" s="60"/>
      <c r="P7" s="60"/>
      <c r="Q7" s="112"/>
    </row>
    <row r="8" ht="18" customHeight="1" spans="1:18">
      <c r="A8" s="61">
        <f>IF(F8&lt;&gt;"",1+MAX($A$2:A7),"")</f>
        <v>1</v>
      </c>
      <c r="B8" s="62"/>
      <c r="C8" s="62"/>
      <c r="D8" s="63" t="s">
        <v>23</v>
      </c>
      <c r="E8" s="64">
        <v>1</v>
      </c>
      <c r="F8" s="65">
        <v>0</v>
      </c>
      <c r="G8" s="66">
        <f t="shared" ref="G8:G14" si="0">(F8*E8)+E8</f>
        <v>1</v>
      </c>
      <c r="H8" s="64" t="s">
        <v>24</v>
      </c>
      <c r="I8" s="97">
        <v>0</v>
      </c>
      <c r="J8" s="98">
        <f t="shared" ref="J8:J14" si="1">+I8*G8</f>
        <v>0</v>
      </c>
      <c r="K8" s="99">
        <v>0</v>
      </c>
      <c r="L8" s="100">
        <f t="shared" ref="L8:L14" si="2">I8*K8</f>
        <v>0</v>
      </c>
      <c r="M8" s="100">
        <f t="shared" ref="M8:M14" si="3">K8*J8</f>
        <v>0</v>
      </c>
      <c r="N8" s="100">
        <v>0</v>
      </c>
      <c r="O8" s="100">
        <f t="shared" ref="O8:O14" si="4">N8*G8</f>
        <v>0</v>
      </c>
      <c r="P8" s="100">
        <f>(I8*K8)+N8</f>
        <v>0</v>
      </c>
      <c r="Q8" s="113">
        <f t="shared" ref="Q8" si="5">P8*G8</f>
        <v>0</v>
      </c>
      <c r="R8" s="114"/>
    </row>
    <row r="9" ht="18" customHeight="1" spans="1:18">
      <c r="A9" s="67">
        <f>IF(F9&lt;&gt;"",1+MAX($A$2:A8),"")</f>
        <v>2</v>
      </c>
      <c r="B9" s="68"/>
      <c r="C9" s="68"/>
      <c r="D9" s="69" t="s">
        <v>25</v>
      </c>
      <c r="E9" s="70">
        <v>1</v>
      </c>
      <c r="F9" s="71">
        <v>0</v>
      </c>
      <c r="G9" s="72">
        <f t="shared" si="0"/>
        <v>1</v>
      </c>
      <c r="H9" s="70" t="s">
        <v>24</v>
      </c>
      <c r="I9" s="97">
        <v>0</v>
      </c>
      <c r="J9" s="98">
        <f t="shared" si="1"/>
        <v>0</v>
      </c>
      <c r="K9" s="99">
        <v>0</v>
      </c>
      <c r="L9" s="100">
        <f t="shared" si="2"/>
        <v>0</v>
      </c>
      <c r="M9" s="100">
        <f t="shared" si="3"/>
        <v>0</v>
      </c>
      <c r="N9" s="100">
        <v>0</v>
      </c>
      <c r="O9" s="100">
        <f t="shared" si="4"/>
        <v>0</v>
      </c>
      <c r="P9" s="100">
        <f t="shared" ref="P9:P14" si="6">(I9*K9)+N9</f>
        <v>0</v>
      </c>
      <c r="Q9" s="115"/>
      <c r="R9" s="114"/>
    </row>
    <row r="10" ht="18" customHeight="1" spans="1:18">
      <c r="A10" s="67">
        <f>IF(F10&lt;&gt;"",1+MAX($A$2:A9),"")</f>
        <v>3</v>
      </c>
      <c r="B10" s="68"/>
      <c r="C10" s="68"/>
      <c r="D10" s="69" t="s">
        <v>26</v>
      </c>
      <c r="E10" s="70">
        <v>1</v>
      </c>
      <c r="F10" s="71">
        <v>0</v>
      </c>
      <c r="G10" s="72">
        <f t="shared" si="0"/>
        <v>1</v>
      </c>
      <c r="H10" s="70" t="s">
        <v>24</v>
      </c>
      <c r="I10" s="97">
        <v>0</v>
      </c>
      <c r="J10" s="98">
        <f t="shared" si="1"/>
        <v>0</v>
      </c>
      <c r="K10" s="99">
        <v>0</v>
      </c>
      <c r="L10" s="100">
        <f t="shared" si="2"/>
        <v>0</v>
      </c>
      <c r="M10" s="100">
        <f t="shared" si="3"/>
        <v>0</v>
      </c>
      <c r="N10" s="100">
        <v>0</v>
      </c>
      <c r="O10" s="100">
        <f t="shared" si="4"/>
        <v>0</v>
      </c>
      <c r="P10" s="100">
        <f t="shared" si="6"/>
        <v>0</v>
      </c>
      <c r="Q10" s="115"/>
      <c r="R10" s="114"/>
    </row>
    <row r="11" ht="18" customHeight="1" spans="1:18">
      <c r="A11" s="67">
        <f>IF(F11&lt;&gt;"",1+MAX($A$2:A10),"")</f>
        <v>4</v>
      </c>
      <c r="B11" s="68"/>
      <c r="C11" s="68"/>
      <c r="D11" s="69" t="s">
        <v>27</v>
      </c>
      <c r="E11" s="70">
        <v>1</v>
      </c>
      <c r="F11" s="71">
        <v>0</v>
      </c>
      <c r="G11" s="72">
        <f t="shared" si="0"/>
        <v>1</v>
      </c>
      <c r="H11" s="70" t="s">
        <v>24</v>
      </c>
      <c r="I11" s="97">
        <v>0</v>
      </c>
      <c r="J11" s="98">
        <f t="shared" si="1"/>
        <v>0</v>
      </c>
      <c r="K11" s="99">
        <v>0</v>
      </c>
      <c r="L11" s="100">
        <f t="shared" si="2"/>
        <v>0</v>
      </c>
      <c r="M11" s="100">
        <f t="shared" si="3"/>
        <v>0</v>
      </c>
      <c r="N11" s="100">
        <v>0</v>
      </c>
      <c r="O11" s="100">
        <f t="shared" si="4"/>
        <v>0</v>
      </c>
      <c r="P11" s="100">
        <f t="shared" si="6"/>
        <v>0</v>
      </c>
      <c r="Q11" s="115"/>
      <c r="R11" s="114"/>
    </row>
    <row r="12" ht="18" customHeight="1" spans="1:18">
      <c r="A12" s="67">
        <f>IF(F12&lt;&gt;"",1+MAX($A$2:A11),"")</f>
        <v>5</v>
      </c>
      <c r="B12" s="68"/>
      <c r="C12" s="68"/>
      <c r="D12" s="69" t="s">
        <v>28</v>
      </c>
      <c r="E12" s="70">
        <v>1</v>
      </c>
      <c r="F12" s="71">
        <v>0</v>
      </c>
      <c r="G12" s="72">
        <f t="shared" si="0"/>
        <v>1</v>
      </c>
      <c r="H12" s="70" t="s">
        <v>24</v>
      </c>
      <c r="I12" s="97">
        <v>0</v>
      </c>
      <c r="J12" s="98">
        <f t="shared" si="1"/>
        <v>0</v>
      </c>
      <c r="K12" s="99">
        <v>0</v>
      </c>
      <c r="L12" s="100">
        <f t="shared" si="2"/>
        <v>0</v>
      </c>
      <c r="M12" s="100">
        <f t="shared" si="3"/>
        <v>0</v>
      </c>
      <c r="N12" s="100">
        <v>0</v>
      </c>
      <c r="O12" s="100">
        <f t="shared" si="4"/>
        <v>0</v>
      </c>
      <c r="P12" s="100">
        <f t="shared" si="6"/>
        <v>0</v>
      </c>
      <c r="Q12" s="115"/>
      <c r="R12" s="114"/>
    </row>
    <row r="13" ht="18" customHeight="1" spans="1:18">
      <c r="A13" s="67">
        <f>IF(F13&lt;&gt;"",1+MAX($A$2:A12),"")</f>
        <v>6</v>
      </c>
      <c r="B13" s="68"/>
      <c r="C13" s="68"/>
      <c r="D13" s="69" t="s">
        <v>29</v>
      </c>
      <c r="E13" s="70">
        <v>1</v>
      </c>
      <c r="F13" s="71">
        <v>0</v>
      </c>
      <c r="G13" s="72">
        <f t="shared" si="0"/>
        <v>1</v>
      </c>
      <c r="H13" s="70" t="s">
        <v>24</v>
      </c>
      <c r="I13" s="97">
        <v>0</v>
      </c>
      <c r="J13" s="98">
        <f t="shared" si="1"/>
        <v>0</v>
      </c>
      <c r="K13" s="99">
        <v>0</v>
      </c>
      <c r="L13" s="100">
        <f t="shared" si="2"/>
        <v>0</v>
      </c>
      <c r="M13" s="100">
        <f t="shared" si="3"/>
        <v>0</v>
      </c>
      <c r="N13" s="100">
        <v>0</v>
      </c>
      <c r="O13" s="100">
        <f t="shared" si="4"/>
        <v>0</v>
      </c>
      <c r="P13" s="100">
        <f t="shared" si="6"/>
        <v>0</v>
      </c>
      <c r="Q13" s="115"/>
      <c r="R13" s="114"/>
    </row>
    <row r="14" ht="18" customHeight="1" spans="1:18">
      <c r="A14" s="67">
        <f>IF(F14&lt;&gt;"",1+MAX($A$2:A13),"")</f>
        <v>7</v>
      </c>
      <c r="B14" s="73"/>
      <c r="C14" s="74"/>
      <c r="D14" s="75" t="s">
        <v>30</v>
      </c>
      <c r="E14" s="76">
        <v>1</v>
      </c>
      <c r="F14" s="77">
        <v>0</v>
      </c>
      <c r="G14" s="78">
        <f t="shared" si="0"/>
        <v>1</v>
      </c>
      <c r="H14" s="76" t="s">
        <v>24</v>
      </c>
      <c r="I14" s="101">
        <v>0</v>
      </c>
      <c r="J14" s="102">
        <f t="shared" si="1"/>
        <v>0</v>
      </c>
      <c r="K14" s="103">
        <v>0</v>
      </c>
      <c r="L14" s="104">
        <f t="shared" si="2"/>
        <v>0</v>
      </c>
      <c r="M14" s="104">
        <f t="shared" si="3"/>
        <v>0</v>
      </c>
      <c r="N14" s="104">
        <v>0</v>
      </c>
      <c r="O14" s="104">
        <f t="shared" si="4"/>
        <v>0</v>
      </c>
      <c r="P14" s="100">
        <f t="shared" si="6"/>
        <v>0</v>
      </c>
      <c r="Q14" s="116"/>
      <c r="R14" s="114"/>
    </row>
    <row r="15" s="31" customFormat="1" ht="16.35" spans="1:18">
      <c r="A15" s="79" t="str">
        <f>IF(F15&lt;&gt;"",1+MAX($A$2:A14),"")</f>
        <v/>
      </c>
      <c r="B15" s="80"/>
      <c r="C15" s="81"/>
      <c r="D15" s="82" t="s">
        <v>31</v>
      </c>
      <c r="E15" s="83"/>
      <c r="F15" s="83"/>
      <c r="G15" s="83"/>
      <c r="H15" s="83"/>
      <c r="I15" s="83"/>
      <c r="J15" s="83"/>
      <c r="K15" s="105"/>
      <c r="L15" s="105"/>
      <c r="M15" s="105"/>
      <c r="N15" s="105"/>
      <c r="O15" s="105"/>
      <c r="P15" s="105"/>
      <c r="Q15" s="117">
        <f>SUM(Q8:Q14)</f>
        <v>0</v>
      </c>
      <c r="R15" s="118"/>
    </row>
    <row r="16" s="31" customFormat="1" spans="1:18">
      <c r="A16" s="79" t="str">
        <f>IF(F16&lt;&gt;"",1+MAX($A$2:A15),"")</f>
        <v/>
      </c>
      <c r="B16" s="84"/>
      <c r="C16" s="81"/>
      <c r="D16" s="85"/>
      <c r="E16" s="86"/>
      <c r="F16" s="86"/>
      <c r="G16" s="86"/>
      <c r="H16" s="86"/>
      <c r="I16" s="86"/>
      <c r="J16" s="86"/>
      <c r="K16" s="86"/>
      <c r="L16" s="86"/>
      <c r="M16" s="86"/>
      <c r="N16" s="86"/>
      <c r="O16" s="86"/>
      <c r="P16" s="86"/>
      <c r="Q16" s="119"/>
      <c r="R16" s="118"/>
    </row>
    <row r="17" s="33" customFormat="1" ht="16.95" customHeight="1" spans="1:19">
      <c r="A17" s="57" t="str">
        <f>IF(F17&lt;&gt;"",1+MAX($A$2:A16),"")</f>
        <v/>
      </c>
      <c r="B17" s="60">
        <v>23</v>
      </c>
      <c r="C17" s="60"/>
      <c r="D17" s="59" t="s">
        <v>193</v>
      </c>
      <c r="E17" s="60"/>
      <c r="F17" s="60"/>
      <c r="G17" s="60"/>
      <c r="H17" s="60"/>
      <c r="I17" s="60"/>
      <c r="J17" s="60"/>
      <c r="K17" s="60"/>
      <c r="L17" s="60"/>
      <c r="M17" s="60"/>
      <c r="N17" s="60"/>
      <c r="O17" s="60"/>
      <c r="P17" s="60"/>
      <c r="Q17" s="120"/>
      <c r="S17" s="121"/>
    </row>
    <row r="18" s="33" customFormat="1" ht="16.95" customHeight="1" spans="1:36">
      <c r="A18" s="87" t="str">
        <f>IF(F18&lt;&gt;"",1+MAX($A$2:A17),"")</f>
        <v/>
      </c>
      <c r="B18" s="72"/>
      <c r="C18" s="72"/>
      <c r="D18" s="88" t="s">
        <v>194</v>
      </c>
      <c r="E18" s="70"/>
      <c r="F18" s="70"/>
      <c r="G18" s="70"/>
      <c r="H18" s="70"/>
      <c r="I18" s="106"/>
      <c r="J18" s="107"/>
      <c r="K18" s="108"/>
      <c r="L18" s="100"/>
      <c r="M18" s="100"/>
      <c r="N18" s="100"/>
      <c r="O18" s="100"/>
      <c r="P18" s="100"/>
      <c r="Q18" s="122"/>
      <c r="R18" s="123"/>
      <c r="S18" s="123"/>
      <c r="T18" s="123"/>
      <c r="U18" s="123"/>
      <c r="V18" s="123"/>
      <c r="W18" s="123"/>
      <c r="X18" s="123"/>
      <c r="Y18" s="123"/>
      <c r="Z18" s="123"/>
      <c r="AA18" s="123"/>
      <c r="AB18" s="123"/>
      <c r="AC18" s="123"/>
      <c r="AD18" s="123"/>
      <c r="AE18" s="123"/>
      <c r="AF18" s="123"/>
      <c r="AG18" s="123"/>
      <c r="AH18" s="123"/>
      <c r="AI18" s="123"/>
      <c r="AJ18" s="123"/>
    </row>
    <row r="19" s="33" customFormat="1" ht="16.95" customHeight="1" spans="1:36">
      <c r="A19" s="87">
        <f>IF(F19&lt;&gt;"",1+MAX($A$2:A18),"")</f>
        <v>8</v>
      </c>
      <c r="B19" s="89"/>
      <c r="C19" s="89"/>
      <c r="D19" s="69" t="s">
        <v>798</v>
      </c>
      <c r="E19" s="72">
        <v>1</v>
      </c>
      <c r="F19" s="90">
        <v>0</v>
      </c>
      <c r="G19" s="91">
        <v>1</v>
      </c>
      <c r="H19" s="70" t="s">
        <v>35</v>
      </c>
      <c r="I19" s="97">
        <v>0</v>
      </c>
      <c r="J19" s="98">
        <f t="shared" ref="J19:J68" si="7">+I19*G19</f>
        <v>0</v>
      </c>
      <c r="K19" s="99">
        <v>50</v>
      </c>
      <c r="L19" s="100">
        <f t="shared" ref="L19:L68" si="8">I19*K19</f>
        <v>0</v>
      </c>
      <c r="M19" s="100">
        <f t="shared" ref="M19:M68" si="9">K19*J19</f>
        <v>0</v>
      </c>
      <c r="N19" s="100">
        <v>0</v>
      </c>
      <c r="O19" s="100">
        <f t="shared" ref="O19:O68" si="10">N19*G19</f>
        <v>0</v>
      </c>
      <c r="P19" s="100">
        <f t="shared" ref="P19:P68" si="11">(I19*K19)+N19</f>
        <v>0</v>
      </c>
      <c r="Q19" s="124">
        <f t="shared" ref="Q19:Q68" si="12">P19*G19</f>
        <v>0</v>
      </c>
      <c r="R19" s="123"/>
      <c r="S19" s="123"/>
      <c r="T19" s="123"/>
      <c r="U19" s="123"/>
      <c r="V19" s="123"/>
      <c r="W19" s="123"/>
      <c r="X19" s="123"/>
      <c r="Y19" s="123"/>
      <c r="Z19" s="123"/>
      <c r="AA19" s="123"/>
      <c r="AB19" s="123"/>
      <c r="AC19" s="123"/>
      <c r="AD19" s="123"/>
      <c r="AE19" s="123"/>
      <c r="AF19" s="123"/>
      <c r="AG19" s="123"/>
      <c r="AH19" s="123"/>
      <c r="AI19" s="123"/>
      <c r="AJ19" s="123"/>
    </row>
    <row r="20" s="33" customFormat="1" ht="16.95" customHeight="1" spans="1:36">
      <c r="A20" s="87" t="str">
        <f>IF(F20&lt;&gt;"",1+MAX($A$2:A19),"")</f>
        <v/>
      </c>
      <c r="B20" s="89"/>
      <c r="C20" s="89"/>
      <c r="D20" s="69"/>
      <c r="E20" s="72"/>
      <c r="F20" s="90"/>
      <c r="G20" s="91"/>
      <c r="H20" s="70"/>
      <c r="I20" s="97"/>
      <c r="J20" s="98"/>
      <c r="K20" s="99"/>
      <c r="L20" s="100"/>
      <c r="M20" s="100"/>
      <c r="N20" s="100"/>
      <c r="O20" s="100"/>
      <c r="P20" s="100"/>
      <c r="Q20" s="124"/>
      <c r="R20" s="123"/>
      <c r="S20" s="123"/>
      <c r="T20" s="123"/>
      <c r="U20" s="123"/>
      <c r="V20" s="123"/>
      <c r="W20" s="123"/>
      <c r="X20" s="123"/>
      <c r="Y20" s="123"/>
      <c r="Z20" s="123"/>
      <c r="AA20" s="123"/>
      <c r="AB20" s="123"/>
      <c r="AC20" s="123"/>
      <c r="AD20" s="123"/>
      <c r="AE20" s="123"/>
      <c r="AF20" s="123"/>
      <c r="AG20" s="123"/>
      <c r="AH20" s="123"/>
      <c r="AI20" s="123"/>
      <c r="AJ20" s="123"/>
    </row>
    <row r="21" s="33" customFormat="1" ht="16.95" customHeight="1" spans="1:36">
      <c r="A21" s="87" t="str">
        <f>IF(F21&lt;&gt;"",1+MAX($A$2:A20),"")</f>
        <v/>
      </c>
      <c r="B21" s="89"/>
      <c r="C21" s="89"/>
      <c r="D21" s="88" t="s">
        <v>212</v>
      </c>
      <c r="E21" s="72"/>
      <c r="F21" s="90"/>
      <c r="G21" s="91"/>
      <c r="H21" s="70"/>
      <c r="I21" s="97"/>
      <c r="J21" s="98"/>
      <c r="K21" s="99"/>
      <c r="L21" s="100"/>
      <c r="M21" s="100"/>
      <c r="N21" s="100"/>
      <c r="O21" s="100"/>
      <c r="P21" s="100"/>
      <c r="Q21" s="124"/>
      <c r="R21" s="123"/>
      <c r="S21" s="123"/>
      <c r="T21" s="123"/>
      <c r="U21" s="123"/>
      <c r="V21" s="123"/>
      <c r="W21" s="123"/>
      <c r="X21" s="123"/>
      <c r="Y21" s="123"/>
      <c r="Z21" s="123"/>
      <c r="AA21" s="123"/>
      <c r="AB21" s="123"/>
      <c r="AC21" s="123"/>
      <c r="AD21" s="123"/>
      <c r="AE21" s="123"/>
      <c r="AF21" s="123"/>
      <c r="AG21" s="123"/>
      <c r="AH21" s="123"/>
      <c r="AI21" s="123"/>
      <c r="AJ21" s="123"/>
    </row>
    <row r="22" s="33" customFormat="1" ht="16.95" customHeight="1" spans="1:36">
      <c r="A22" s="87" t="str">
        <f>IF(F22&lt;&gt;"",1+MAX($A$2:A21),"")</f>
        <v/>
      </c>
      <c r="B22" s="89"/>
      <c r="C22" s="89"/>
      <c r="D22" s="69" t="s">
        <v>213</v>
      </c>
      <c r="E22" s="72"/>
      <c r="F22" s="90"/>
      <c r="G22" s="91"/>
      <c r="H22" s="70"/>
      <c r="I22" s="97"/>
      <c r="J22" s="98"/>
      <c r="K22" s="99"/>
      <c r="L22" s="100"/>
      <c r="M22" s="100"/>
      <c r="N22" s="100"/>
      <c r="O22" s="100"/>
      <c r="P22" s="100"/>
      <c r="Q22" s="124"/>
      <c r="R22" s="123"/>
      <c r="S22" s="123"/>
      <c r="T22" s="123"/>
      <c r="U22" s="123"/>
      <c r="V22" s="123"/>
      <c r="W22" s="123"/>
      <c r="X22" s="123"/>
      <c r="Y22" s="123"/>
      <c r="Z22" s="123"/>
      <c r="AA22" s="123"/>
      <c r="AB22" s="123"/>
      <c r="AC22" s="123"/>
      <c r="AD22" s="123"/>
      <c r="AE22" s="123"/>
      <c r="AF22" s="123"/>
      <c r="AG22" s="123"/>
      <c r="AH22" s="123"/>
      <c r="AI22" s="123"/>
      <c r="AJ22" s="123"/>
    </row>
    <row r="23" s="33" customFormat="1" ht="16.95" customHeight="1" spans="1:36">
      <c r="A23" s="87">
        <f>IF(F23&lt;&gt;"",1+MAX($A$2:A22),"")</f>
        <v>9</v>
      </c>
      <c r="B23" s="89"/>
      <c r="C23" s="89"/>
      <c r="D23" s="69" t="s">
        <v>799</v>
      </c>
      <c r="E23" s="72">
        <v>131.21</v>
      </c>
      <c r="F23" s="90">
        <v>0.05</v>
      </c>
      <c r="G23" s="91">
        <v>137.7705</v>
      </c>
      <c r="H23" s="70" t="s">
        <v>37</v>
      </c>
      <c r="I23" s="97">
        <v>0</v>
      </c>
      <c r="J23" s="98">
        <f t="shared" si="7"/>
        <v>0</v>
      </c>
      <c r="K23" s="99">
        <v>50</v>
      </c>
      <c r="L23" s="100">
        <f t="shared" si="8"/>
        <v>0</v>
      </c>
      <c r="M23" s="100">
        <f t="shared" si="9"/>
        <v>0</v>
      </c>
      <c r="N23" s="100">
        <v>0</v>
      </c>
      <c r="O23" s="100">
        <f t="shared" si="10"/>
        <v>0</v>
      </c>
      <c r="P23" s="100">
        <f t="shared" si="11"/>
        <v>0</v>
      </c>
      <c r="Q23" s="124">
        <f t="shared" si="12"/>
        <v>0</v>
      </c>
      <c r="R23" s="123"/>
      <c r="S23" s="123"/>
      <c r="T23" s="123"/>
      <c r="U23" s="123"/>
      <c r="V23" s="123"/>
      <c r="W23" s="123"/>
      <c r="X23" s="123"/>
      <c r="Y23" s="123"/>
      <c r="Z23" s="123"/>
      <c r="AA23" s="123"/>
      <c r="AB23" s="123"/>
      <c r="AC23" s="123"/>
      <c r="AD23" s="123"/>
      <c r="AE23" s="123"/>
      <c r="AF23" s="123"/>
      <c r="AG23" s="123"/>
      <c r="AH23" s="123"/>
      <c r="AI23" s="123"/>
      <c r="AJ23" s="123"/>
    </row>
    <row r="24" s="33" customFormat="1" ht="16.95" customHeight="1" spans="1:36">
      <c r="A24" s="87">
        <f>IF(F24&lt;&gt;"",1+MAX($A$2:A23),"")</f>
        <v>10</v>
      </c>
      <c r="B24" s="89"/>
      <c r="C24" s="89"/>
      <c r="D24" s="69" t="s">
        <v>799</v>
      </c>
      <c r="E24" s="72">
        <v>56.45</v>
      </c>
      <c r="F24" s="90">
        <v>0.05</v>
      </c>
      <c r="G24" s="91">
        <v>59.2725</v>
      </c>
      <c r="H24" s="70" t="s">
        <v>37</v>
      </c>
      <c r="I24" s="97">
        <v>0</v>
      </c>
      <c r="J24" s="98">
        <f t="shared" si="7"/>
        <v>0</v>
      </c>
      <c r="K24" s="99">
        <v>50</v>
      </c>
      <c r="L24" s="100">
        <f t="shared" si="8"/>
        <v>0</v>
      </c>
      <c r="M24" s="100">
        <f t="shared" si="9"/>
        <v>0</v>
      </c>
      <c r="N24" s="100">
        <v>0</v>
      </c>
      <c r="O24" s="100">
        <f t="shared" si="10"/>
        <v>0</v>
      </c>
      <c r="P24" s="100">
        <f t="shared" si="11"/>
        <v>0</v>
      </c>
      <c r="Q24" s="124">
        <f t="shared" si="12"/>
        <v>0</v>
      </c>
      <c r="R24" s="123"/>
      <c r="S24" s="123"/>
      <c r="T24" s="123"/>
      <c r="U24" s="123"/>
      <c r="V24" s="123"/>
      <c r="W24" s="123"/>
      <c r="X24" s="123"/>
      <c r="Y24" s="123"/>
      <c r="Z24" s="123"/>
      <c r="AA24" s="123"/>
      <c r="AB24" s="123"/>
      <c r="AC24" s="123"/>
      <c r="AD24" s="123"/>
      <c r="AE24" s="123"/>
      <c r="AF24" s="123"/>
      <c r="AG24" s="123"/>
      <c r="AH24" s="123"/>
      <c r="AI24" s="123"/>
      <c r="AJ24" s="123"/>
    </row>
    <row r="25" s="33" customFormat="1" ht="16.95" customHeight="1" spans="1:36">
      <c r="A25" s="87">
        <f>IF(F25&lt;&gt;"",1+MAX($A$2:A24),"")</f>
        <v>11</v>
      </c>
      <c r="B25" s="89"/>
      <c r="C25" s="89"/>
      <c r="D25" s="69" t="s">
        <v>799</v>
      </c>
      <c r="E25" s="72">
        <v>446.09</v>
      </c>
      <c r="F25" s="90">
        <v>0.05</v>
      </c>
      <c r="G25" s="91">
        <v>468.3945</v>
      </c>
      <c r="H25" s="70" t="s">
        <v>37</v>
      </c>
      <c r="I25" s="97">
        <v>0</v>
      </c>
      <c r="J25" s="98">
        <f t="shared" si="7"/>
        <v>0</v>
      </c>
      <c r="K25" s="99">
        <v>50</v>
      </c>
      <c r="L25" s="100">
        <f t="shared" si="8"/>
        <v>0</v>
      </c>
      <c r="M25" s="100">
        <f t="shared" si="9"/>
        <v>0</v>
      </c>
      <c r="N25" s="100">
        <v>0</v>
      </c>
      <c r="O25" s="100">
        <f t="shared" si="10"/>
        <v>0</v>
      </c>
      <c r="P25" s="100">
        <f t="shared" si="11"/>
        <v>0</v>
      </c>
      <c r="Q25" s="124">
        <f t="shared" si="12"/>
        <v>0</v>
      </c>
      <c r="R25" s="123"/>
      <c r="S25" s="123"/>
      <c r="T25" s="123"/>
      <c r="U25" s="123"/>
      <c r="V25" s="123"/>
      <c r="W25" s="123"/>
      <c r="X25" s="123"/>
      <c r="Y25" s="123"/>
      <c r="Z25" s="123"/>
      <c r="AA25" s="123"/>
      <c r="AB25" s="123"/>
      <c r="AC25" s="123"/>
      <c r="AD25" s="123"/>
      <c r="AE25" s="123"/>
      <c r="AF25" s="123"/>
      <c r="AG25" s="123"/>
      <c r="AH25" s="123"/>
      <c r="AI25" s="123"/>
      <c r="AJ25" s="123"/>
    </row>
    <row r="26" s="33" customFormat="1" ht="16.95" customHeight="1" spans="1:36">
      <c r="A26" s="87">
        <f>IF(F26&lt;&gt;"",1+MAX($A$2:A25),"")</f>
        <v>12</v>
      </c>
      <c r="B26" s="89"/>
      <c r="C26" s="89"/>
      <c r="D26" s="69" t="s">
        <v>800</v>
      </c>
      <c r="E26" s="72">
        <v>15.13</v>
      </c>
      <c r="F26" s="90">
        <v>0.05</v>
      </c>
      <c r="G26" s="91">
        <v>15.8865</v>
      </c>
      <c r="H26" s="70" t="s">
        <v>37</v>
      </c>
      <c r="I26" s="97">
        <v>0</v>
      </c>
      <c r="J26" s="98">
        <f t="shared" si="7"/>
        <v>0</v>
      </c>
      <c r="K26" s="99">
        <v>50</v>
      </c>
      <c r="L26" s="100">
        <f t="shared" si="8"/>
        <v>0</v>
      </c>
      <c r="M26" s="100">
        <f t="shared" si="9"/>
        <v>0</v>
      </c>
      <c r="N26" s="100">
        <v>0</v>
      </c>
      <c r="O26" s="100">
        <f t="shared" si="10"/>
        <v>0</v>
      </c>
      <c r="P26" s="100">
        <f t="shared" si="11"/>
        <v>0</v>
      </c>
      <c r="Q26" s="124">
        <f t="shared" si="12"/>
        <v>0</v>
      </c>
      <c r="R26" s="123"/>
      <c r="S26" s="123"/>
      <c r="T26" s="123"/>
      <c r="U26" s="123"/>
      <c r="V26" s="123"/>
      <c r="W26" s="123"/>
      <c r="X26" s="123"/>
      <c r="Y26" s="123"/>
      <c r="Z26" s="123"/>
      <c r="AA26" s="123"/>
      <c r="AB26" s="123"/>
      <c r="AC26" s="123"/>
      <c r="AD26" s="123"/>
      <c r="AE26" s="123"/>
      <c r="AF26" s="123"/>
      <c r="AG26" s="123"/>
      <c r="AH26" s="123"/>
      <c r="AI26" s="123"/>
      <c r="AJ26" s="123"/>
    </row>
    <row r="27" s="33" customFormat="1" ht="16.95" customHeight="1" spans="1:36">
      <c r="A27" s="87">
        <f>IF(F27&lt;&gt;"",1+MAX($A$2:A26),"")</f>
        <v>13</v>
      </c>
      <c r="B27" s="89"/>
      <c r="C27" s="89"/>
      <c r="D27" s="69" t="s">
        <v>801</v>
      </c>
      <c r="E27" s="72">
        <v>4.13</v>
      </c>
      <c r="F27" s="90">
        <v>0.05</v>
      </c>
      <c r="G27" s="91">
        <v>4.3365</v>
      </c>
      <c r="H27" s="70" t="s">
        <v>37</v>
      </c>
      <c r="I27" s="97">
        <v>0</v>
      </c>
      <c r="J27" s="98">
        <f t="shared" si="7"/>
        <v>0</v>
      </c>
      <c r="K27" s="99">
        <v>50</v>
      </c>
      <c r="L27" s="100">
        <f t="shared" si="8"/>
        <v>0</v>
      </c>
      <c r="M27" s="100">
        <f t="shared" si="9"/>
        <v>0</v>
      </c>
      <c r="N27" s="100">
        <v>0</v>
      </c>
      <c r="O27" s="100">
        <f t="shared" si="10"/>
        <v>0</v>
      </c>
      <c r="P27" s="100">
        <f t="shared" si="11"/>
        <v>0</v>
      </c>
      <c r="Q27" s="124">
        <f t="shared" si="12"/>
        <v>0</v>
      </c>
      <c r="R27" s="123"/>
      <c r="S27" s="123"/>
      <c r="T27" s="123"/>
      <c r="U27" s="123"/>
      <c r="V27" s="123"/>
      <c r="W27" s="123"/>
      <c r="X27" s="123"/>
      <c r="Y27" s="123"/>
      <c r="Z27" s="123"/>
      <c r="AA27" s="123"/>
      <c r="AB27" s="123"/>
      <c r="AC27" s="123"/>
      <c r="AD27" s="123"/>
      <c r="AE27" s="123"/>
      <c r="AF27" s="123"/>
      <c r="AG27" s="123"/>
      <c r="AH27" s="123"/>
      <c r="AI27" s="123"/>
      <c r="AJ27" s="123"/>
    </row>
    <row r="28" s="33" customFormat="1" ht="16.95" customHeight="1" spans="1:36">
      <c r="A28" s="87">
        <f>IF(F28&lt;&gt;"",1+MAX($A$2:A27),"")</f>
        <v>14</v>
      </c>
      <c r="B28" s="89"/>
      <c r="C28" s="89"/>
      <c r="D28" s="69" t="s">
        <v>802</v>
      </c>
      <c r="E28" s="72">
        <v>7.69</v>
      </c>
      <c r="F28" s="90">
        <v>0.05</v>
      </c>
      <c r="G28" s="91">
        <v>8.0745</v>
      </c>
      <c r="H28" s="70" t="s">
        <v>37</v>
      </c>
      <c r="I28" s="97">
        <v>0</v>
      </c>
      <c r="J28" s="98">
        <f t="shared" si="7"/>
        <v>0</v>
      </c>
      <c r="K28" s="99">
        <v>50</v>
      </c>
      <c r="L28" s="100">
        <f t="shared" si="8"/>
        <v>0</v>
      </c>
      <c r="M28" s="100">
        <f t="shared" si="9"/>
        <v>0</v>
      </c>
      <c r="N28" s="100">
        <v>0</v>
      </c>
      <c r="O28" s="100">
        <f t="shared" si="10"/>
        <v>0</v>
      </c>
      <c r="P28" s="100">
        <f t="shared" si="11"/>
        <v>0</v>
      </c>
      <c r="Q28" s="124">
        <f t="shared" si="12"/>
        <v>0</v>
      </c>
      <c r="R28" s="123"/>
      <c r="S28" s="123"/>
      <c r="T28" s="123"/>
      <c r="U28" s="123"/>
      <c r="V28" s="123"/>
      <c r="W28" s="123"/>
      <c r="X28" s="123"/>
      <c r="Y28" s="123"/>
      <c r="Z28" s="123"/>
      <c r="AA28" s="123"/>
      <c r="AB28" s="123"/>
      <c r="AC28" s="123"/>
      <c r="AD28" s="123"/>
      <c r="AE28" s="123"/>
      <c r="AF28" s="123"/>
      <c r="AG28" s="123"/>
      <c r="AH28" s="123"/>
      <c r="AI28" s="123"/>
      <c r="AJ28" s="123"/>
    </row>
    <row r="29" s="33" customFormat="1" ht="16.95" customHeight="1" spans="1:36">
      <c r="A29" s="87">
        <f>IF(F29&lt;&gt;"",1+MAX($A$2:A28),"")</f>
        <v>15</v>
      </c>
      <c r="B29" s="89"/>
      <c r="C29" s="89"/>
      <c r="D29" s="69" t="s">
        <v>803</v>
      </c>
      <c r="E29" s="72">
        <v>27.53</v>
      </c>
      <c r="F29" s="90">
        <v>0.05</v>
      </c>
      <c r="G29" s="91">
        <v>28.9065</v>
      </c>
      <c r="H29" s="70" t="s">
        <v>37</v>
      </c>
      <c r="I29" s="97">
        <v>0</v>
      </c>
      <c r="J29" s="98">
        <f t="shared" si="7"/>
        <v>0</v>
      </c>
      <c r="K29" s="99">
        <v>50</v>
      </c>
      <c r="L29" s="100">
        <f t="shared" si="8"/>
        <v>0</v>
      </c>
      <c r="M29" s="100">
        <f t="shared" si="9"/>
        <v>0</v>
      </c>
      <c r="N29" s="100">
        <v>0</v>
      </c>
      <c r="O29" s="100">
        <f t="shared" si="10"/>
        <v>0</v>
      </c>
      <c r="P29" s="100">
        <f t="shared" si="11"/>
        <v>0</v>
      </c>
      <c r="Q29" s="124">
        <f t="shared" si="12"/>
        <v>0</v>
      </c>
      <c r="R29" s="123"/>
      <c r="S29" s="123"/>
      <c r="T29" s="123"/>
      <c r="U29" s="123"/>
      <c r="V29" s="123"/>
      <c r="W29" s="123"/>
      <c r="X29" s="123"/>
      <c r="Y29" s="123"/>
      <c r="Z29" s="123"/>
      <c r="AA29" s="123"/>
      <c r="AB29" s="123"/>
      <c r="AC29" s="123"/>
      <c r="AD29" s="123"/>
      <c r="AE29" s="123"/>
      <c r="AF29" s="123"/>
      <c r="AG29" s="123"/>
      <c r="AH29" s="123"/>
      <c r="AI29" s="123"/>
      <c r="AJ29" s="123"/>
    </row>
    <row r="30" s="33" customFormat="1" ht="16.95" customHeight="1" spans="1:36">
      <c r="A30" s="87">
        <f>IF(F30&lt;&gt;"",1+MAX($A$2:A29),"")</f>
        <v>16</v>
      </c>
      <c r="B30" s="89"/>
      <c r="C30" s="89"/>
      <c r="D30" s="69" t="s">
        <v>804</v>
      </c>
      <c r="E30" s="72">
        <v>16.2</v>
      </c>
      <c r="F30" s="90">
        <v>0.05</v>
      </c>
      <c r="G30" s="91">
        <v>17.01</v>
      </c>
      <c r="H30" s="70" t="s">
        <v>37</v>
      </c>
      <c r="I30" s="97">
        <v>0</v>
      </c>
      <c r="J30" s="98">
        <f t="shared" si="7"/>
        <v>0</v>
      </c>
      <c r="K30" s="99">
        <v>50</v>
      </c>
      <c r="L30" s="100">
        <f t="shared" si="8"/>
        <v>0</v>
      </c>
      <c r="M30" s="100">
        <f t="shared" si="9"/>
        <v>0</v>
      </c>
      <c r="N30" s="100">
        <v>0</v>
      </c>
      <c r="O30" s="100">
        <f t="shared" si="10"/>
        <v>0</v>
      </c>
      <c r="P30" s="100">
        <f t="shared" si="11"/>
        <v>0</v>
      </c>
      <c r="Q30" s="124">
        <f t="shared" si="12"/>
        <v>0</v>
      </c>
      <c r="R30" s="123"/>
      <c r="S30" s="123"/>
      <c r="T30" s="123"/>
      <c r="U30" s="123"/>
      <c r="V30" s="123"/>
      <c r="W30" s="123"/>
      <c r="X30" s="123"/>
      <c r="Y30" s="123"/>
      <c r="Z30" s="123"/>
      <c r="AA30" s="123"/>
      <c r="AB30" s="123"/>
      <c r="AC30" s="123"/>
      <c r="AD30" s="123"/>
      <c r="AE30" s="123"/>
      <c r="AF30" s="123"/>
      <c r="AG30" s="123"/>
      <c r="AH30" s="123"/>
      <c r="AI30" s="123"/>
      <c r="AJ30" s="123"/>
    </row>
    <row r="31" s="33" customFormat="1" ht="16.95" customHeight="1" spans="1:36">
      <c r="A31" s="87">
        <f>IF(F31&lt;&gt;"",1+MAX($A$2:A30),"")</f>
        <v>17</v>
      </c>
      <c r="B31" s="89"/>
      <c r="C31" s="89"/>
      <c r="D31" s="69" t="s">
        <v>805</v>
      </c>
      <c r="E31" s="72">
        <v>27.05</v>
      </c>
      <c r="F31" s="90">
        <v>0.05</v>
      </c>
      <c r="G31" s="91">
        <v>28.4025</v>
      </c>
      <c r="H31" s="70" t="s">
        <v>37</v>
      </c>
      <c r="I31" s="97">
        <v>0</v>
      </c>
      <c r="J31" s="98">
        <f t="shared" si="7"/>
        <v>0</v>
      </c>
      <c r="K31" s="99">
        <v>50</v>
      </c>
      <c r="L31" s="100">
        <f t="shared" si="8"/>
        <v>0</v>
      </c>
      <c r="M31" s="100">
        <f t="shared" si="9"/>
        <v>0</v>
      </c>
      <c r="N31" s="100">
        <v>0</v>
      </c>
      <c r="O31" s="100">
        <f t="shared" si="10"/>
        <v>0</v>
      </c>
      <c r="P31" s="100">
        <f t="shared" si="11"/>
        <v>0</v>
      </c>
      <c r="Q31" s="124">
        <f t="shared" si="12"/>
        <v>0</v>
      </c>
      <c r="R31" s="123"/>
      <c r="S31" s="123"/>
      <c r="T31" s="123"/>
      <c r="U31" s="123"/>
      <c r="V31" s="123"/>
      <c r="W31" s="123"/>
      <c r="X31" s="123"/>
      <c r="Y31" s="123"/>
      <c r="Z31" s="123"/>
      <c r="AA31" s="123"/>
      <c r="AB31" s="123"/>
      <c r="AC31" s="123"/>
      <c r="AD31" s="123"/>
      <c r="AE31" s="123"/>
      <c r="AF31" s="123"/>
      <c r="AG31" s="123"/>
      <c r="AH31" s="123"/>
      <c r="AI31" s="123"/>
      <c r="AJ31" s="123"/>
    </row>
    <row r="32" s="33" customFormat="1" ht="16.95" customHeight="1" spans="1:36">
      <c r="A32" s="87">
        <f>IF(F32&lt;&gt;"",1+MAX($A$2:A31),"")</f>
        <v>18</v>
      </c>
      <c r="B32" s="89"/>
      <c r="C32" s="89"/>
      <c r="D32" s="69" t="s">
        <v>806</v>
      </c>
      <c r="E32" s="72">
        <v>91.12</v>
      </c>
      <c r="F32" s="90">
        <v>0.05</v>
      </c>
      <c r="G32" s="91">
        <v>95.676</v>
      </c>
      <c r="H32" s="70" t="s">
        <v>37</v>
      </c>
      <c r="I32" s="97">
        <v>0</v>
      </c>
      <c r="J32" s="98">
        <f t="shared" si="7"/>
        <v>0</v>
      </c>
      <c r="K32" s="99">
        <v>50</v>
      </c>
      <c r="L32" s="100">
        <f t="shared" si="8"/>
        <v>0</v>
      </c>
      <c r="M32" s="100">
        <f t="shared" si="9"/>
        <v>0</v>
      </c>
      <c r="N32" s="100">
        <v>0</v>
      </c>
      <c r="O32" s="100">
        <f t="shared" si="10"/>
        <v>0</v>
      </c>
      <c r="P32" s="100">
        <f t="shared" si="11"/>
        <v>0</v>
      </c>
      <c r="Q32" s="124">
        <f t="shared" si="12"/>
        <v>0</v>
      </c>
      <c r="R32" s="123"/>
      <c r="S32" s="123"/>
      <c r="T32" s="123"/>
      <c r="U32" s="123"/>
      <c r="V32" s="123"/>
      <c r="W32" s="123"/>
      <c r="X32" s="123"/>
      <c r="Y32" s="123"/>
      <c r="Z32" s="123"/>
      <c r="AA32" s="123"/>
      <c r="AB32" s="123"/>
      <c r="AC32" s="123"/>
      <c r="AD32" s="123"/>
      <c r="AE32" s="123"/>
      <c r="AF32" s="123"/>
      <c r="AG32" s="123"/>
      <c r="AH32" s="123"/>
      <c r="AI32" s="123"/>
      <c r="AJ32" s="123"/>
    </row>
    <row r="33" s="33" customFormat="1" ht="16.95" customHeight="1" spans="1:36">
      <c r="A33" s="87">
        <f>IF(F33&lt;&gt;"",1+MAX($A$2:A32),"")</f>
        <v>19</v>
      </c>
      <c r="B33" s="89"/>
      <c r="C33" s="89"/>
      <c r="D33" s="69" t="s">
        <v>807</v>
      </c>
      <c r="E33" s="72">
        <v>6.05</v>
      </c>
      <c r="F33" s="90">
        <v>0.05</v>
      </c>
      <c r="G33" s="91">
        <v>6.3525</v>
      </c>
      <c r="H33" s="70" t="s">
        <v>37</v>
      </c>
      <c r="I33" s="97">
        <v>0</v>
      </c>
      <c r="J33" s="98">
        <f t="shared" si="7"/>
        <v>0</v>
      </c>
      <c r="K33" s="99">
        <v>50</v>
      </c>
      <c r="L33" s="100">
        <f t="shared" si="8"/>
        <v>0</v>
      </c>
      <c r="M33" s="100">
        <f t="shared" si="9"/>
        <v>0</v>
      </c>
      <c r="N33" s="100">
        <v>0</v>
      </c>
      <c r="O33" s="100">
        <f t="shared" si="10"/>
        <v>0</v>
      </c>
      <c r="P33" s="100">
        <f t="shared" si="11"/>
        <v>0</v>
      </c>
      <c r="Q33" s="124">
        <f t="shared" si="12"/>
        <v>0</v>
      </c>
      <c r="R33" s="123"/>
      <c r="S33" s="123"/>
      <c r="T33" s="123"/>
      <c r="U33" s="123"/>
      <c r="V33" s="123"/>
      <c r="W33" s="123"/>
      <c r="X33" s="123"/>
      <c r="Y33" s="123"/>
      <c r="Z33" s="123"/>
      <c r="AA33" s="123"/>
      <c r="AB33" s="123"/>
      <c r="AC33" s="123"/>
      <c r="AD33" s="123"/>
      <c r="AE33" s="123"/>
      <c r="AF33" s="123"/>
      <c r="AG33" s="123"/>
      <c r="AH33" s="123"/>
      <c r="AI33" s="123"/>
      <c r="AJ33" s="123"/>
    </row>
    <row r="34" s="33" customFormat="1" ht="16.95" customHeight="1" spans="1:36">
      <c r="A34" s="87">
        <f>IF(F34&lt;&gt;"",1+MAX($A$2:A33),"")</f>
        <v>20</v>
      </c>
      <c r="B34" s="89"/>
      <c r="C34" s="89"/>
      <c r="D34" s="69" t="s">
        <v>808</v>
      </c>
      <c r="E34" s="72">
        <v>36.61</v>
      </c>
      <c r="F34" s="90">
        <v>0.05</v>
      </c>
      <c r="G34" s="91">
        <v>38.4405</v>
      </c>
      <c r="H34" s="70" t="s">
        <v>37</v>
      </c>
      <c r="I34" s="97">
        <v>0</v>
      </c>
      <c r="J34" s="98">
        <f t="shared" si="7"/>
        <v>0</v>
      </c>
      <c r="K34" s="99">
        <v>50</v>
      </c>
      <c r="L34" s="100">
        <f t="shared" si="8"/>
        <v>0</v>
      </c>
      <c r="M34" s="100">
        <f t="shared" si="9"/>
        <v>0</v>
      </c>
      <c r="N34" s="100">
        <v>0</v>
      </c>
      <c r="O34" s="100">
        <f t="shared" si="10"/>
        <v>0</v>
      </c>
      <c r="P34" s="100">
        <f t="shared" si="11"/>
        <v>0</v>
      </c>
      <c r="Q34" s="124">
        <f t="shared" si="12"/>
        <v>0</v>
      </c>
      <c r="R34" s="123"/>
      <c r="S34" s="123"/>
      <c r="T34" s="123"/>
      <c r="U34" s="123"/>
      <c r="V34" s="123"/>
      <c r="W34" s="123"/>
      <c r="X34" s="123"/>
      <c r="Y34" s="123"/>
      <c r="Z34" s="123"/>
      <c r="AA34" s="123"/>
      <c r="AB34" s="123"/>
      <c r="AC34" s="123"/>
      <c r="AD34" s="123"/>
      <c r="AE34" s="123"/>
      <c r="AF34" s="123"/>
      <c r="AG34" s="123"/>
      <c r="AH34" s="123"/>
      <c r="AI34" s="123"/>
      <c r="AJ34" s="123"/>
    </row>
    <row r="35" s="33" customFormat="1" ht="16.95" customHeight="1" spans="1:36">
      <c r="A35" s="87">
        <f>IF(F35&lt;&gt;"",1+MAX($A$2:A34),"")</f>
        <v>21</v>
      </c>
      <c r="B35" s="89"/>
      <c r="C35" s="89"/>
      <c r="D35" s="69" t="s">
        <v>809</v>
      </c>
      <c r="E35" s="72">
        <v>111.64</v>
      </c>
      <c r="F35" s="90">
        <v>0.05</v>
      </c>
      <c r="G35" s="91">
        <v>117.222</v>
      </c>
      <c r="H35" s="70" t="s">
        <v>37</v>
      </c>
      <c r="I35" s="97">
        <v>0</v>
      </c>
      <c r="J35" s="98">
        <f t="shared" si="7"/>
        <v>0</v>
      </c>
      <c r="K35" s="99">
        <v>50</v>
      </c>
      <c r="L35" s="100">
        <f t="shared" si="8"/>
        <v>0</v>
      </c>
      <c r="M35" s="100">
        <f t="shared" si="9"/>
        <v>0</v>
      </c>
      <c r="N35" s="100">
        <v>0</v>
      </c>
      <c r="O35" s="100">
        <f t="shared" si="10"/>
        <v>0</v>
      </c>
      <c r="P35" s="100">
        <f t="shared" si="11"/>
        <v>0</v>
      </c>
      <c r="Q35" s="124">
        <f t="shared" si="12"/>
        <v>0</v>
      </c>
      <c r="R35" s="123"/>
      <c r="S35" s="123"/>
      <c r="T35" s="123"/>
      <c r="U35" s="123"/>
      <c r="V35" s="123"/>
      <c r="W35" s="123"/>
      <c r="X35" s="123"/>
      <c r="Y35" s="123"/>
      <c r="Z35" s="123"/>
      <c r="AA35" s="123"/>
      <c r="AB35" s="123"/>
      <c r="AC35" s="123"/>
      <c r="AD35" s="123"/>
      <c r="AE35" s="123"/>
      <c r="AF35" s="123"/>
      <c r="AG35" s="123"/>
      <c r="AH35" s="123"/>
      <c r="AI35" s="123"/>
      <c r="AJ35" s="123"/>
    </row>
    <row r="36" s="33" customFormat="1" ht="16.95" customHeight="1" spans="1:36">
      <c r="A36" s="87">
        <f>IF(F36&lt;&gt;"",1+MAX($A$2:A35),"")</f>
        <v>22</v>
      </c>
      <c r="B36" s="89"/>
      <c r="C36" s="89"/>
      <c r="D36" s="69" t="s">
        <v>810</v>
      </c>
      <c r="E36" s="72">
        <v>5.14</v>
      </c>
      <c r="F36" s="90">
        <v>0.05</v>
      </c>
      <c r="G36" s="91">
        <v>5.397</v>
      </c>
      <c r="H36" s="70" t="s">
        <v>37</v>
      </c>
      <c r="I36" s="97">
        <v>0</v>
      </c>
      <c r="J36" s="98">
        <f t="shared" si="7"/>
        <v>0</v>
      </c>
      <c r="K36" s="99">
        <v>50</v>
      </c>
      <c r="L36" s="100">
        <f t="shared" si="8"/>
        <v>0</v>
      </c>
      <c r="M36" s="100">
        <f t="shared" si="9"/>
        <v>0</v>
      </c>
      <c r="N36" s="100">
        <v>0</v>
      </c>
      <c r="O36" s="100">
        <f t="shared" si="10"/>
        <v>0</v>
      </c>
      <c r="P36" s="100">
        <f t="shared" si="11"/>
        <v>0</v>
      </c>
      <c r="Q36" s="124">
        <f t="shared" si="12"/>
        <v>0</v>
      </c>
      <c r="R36" s="123"/>
      <c r="S36" s="123"/>
      <c r="T36" s="123"/>
      <c r="U36" s="123"/>
      <c r="V36" s="123"/>
      <c r="W36" s="123"/>
      <c r="X36" s="123"/>
      <c r="Y36" s="123"/>
      <c r="Z36" s="123"/>
      <c r="AA36" s="123"/>
      <c r="AB36" s="123"/>
      <c r="AC36" s="123"/>
      <c r="AD36" s="123"/>
      <c r="AE36" s="123"/>
      <c r="AF36" s="123"/>
      <c r="AG36" s="123"/>
      <c r="AH36" s="123"/>
      <c r="AI36" s="123"/>
      <c r="AJ36" s="123"/>
    </row>
    <row r="37" s="33" customFormat="1" ht="16.95" customHeight="1" spans="1:36">
      <c r="A37" s="87">
        <f>IF(F37&lt;&gt;"",1+MAX($A$2:A36),"")</f>
        <v>23</v>
      </c>
      <c r="B37" s="89"/>
      <c r="C37" s="89"/>
      <c r="D37" s="69" t="s">
        <v>811</v>
      </c>
      <c r="E37" s="72">
        <v>343.62</v>
      </c>
      <c r="F37" s="90">
        <v>0.05</v>
      </c>
      <c r="G37" s="91">
        <v>360.801</v>
      </c>
      <c r="H37" s="70" t="s">
        <v>37</v>
      </c>
      <c r="I37" s="97">
        <v>0</v>
      </c>
      <c r="J37" s="98">
        <f t="shared" si="7"/>
        <v>0</v>
      </c>
      <c r="K37" s="99">
        <v>50</v>
      </c>
      <c r="L37" s="100">
        <f t="shared" si="8"/>
        <v>0</v>
      </c>
      <c r="M37" s="100">
        <f t="shared" si="9"/>
        <v>0</v>
      </c>
      <c r="N37" s="100">
        <v>0</v>
      </c>
      <c r="O37" s="100">
        <f t="shared" si="10"/>
        <v>0</v>
      </c>
      <c r="P37" s="100">
        <f t="shared" si="11"/>
        <v>0</v>
      </c>
      <c r="Q37" s="124">
        <f t="shared" si="12"/>
        <v>0</v>
      </c>
      <c r="R37" s="123"/>
      <c r="S37" s="123"/>
      <c r="T37" s="123"/>
      <c r="U37" s="123"/>
      <c r="V37" s="123"/>
      <c r="W37" s="123"/>
      <c r="X37" s="123"/>
      <c r="Y37" s="123"/>
      <c r="Z37" s="123"/>
      <c r="AA37" s="123"/>
      <c r="AB37" s="123"/>
      <c r="AC37" s="123"/>
      <c r="AD37" s="123"/>
      <c r="AE37" s="123"/>
      <c r="AF37" s="123"/>
      <c r="AG37" s="123"/>
      <c r="AH37" s="123"/>
      <c r="AI37" s="123"/>
      <c r="AJ37" s="123"/>
    </row>
    <row r="38" s="33" customFormat="1" ht="16.95" customHeight="1" spans="1:36">
      <c r="A38" s="87">
        <f>IF(F38&lt;&gt;"",1+MAX($A$2:A37),"")</f>
        <v>24</v>
      </c>
      <c r="B38" s="89"/>
      <c r="C38" s="89"/>
      <c r="D38" s="69" t="s">
        <v>812</v>
      </c>
      <c r="E38" s="72">
        <v>37.59</v>
      </c>
      <c r="F38" s="90">
        <v>0.05</v>
      </c>
      <c r="G38" s="91">
        <v>39.4695</v>
      </c>
      <c r="H38" s="70" t="s">
        <v>37</v>
      </c>
      <c r="I38" s="97">
        <v>0</v>
      </c>
      <c r="J38" s="98">
        <f t="shared" si="7"/>
        <v>0</v>
      </c>
      <c r="K38" s="99">
        <v>50</v>
      </c>
      <c r="L38" s="100">
        <f t="shared" si="8"/>
        <v>0</v>
      </c>
      <c r="M38" s="100">
        <f t="shared" si="9"/>
        <v>0</v>
      </c>
      <c r="N38" s="100">
        <v>0</v>
      </c>
      <c r="O38" s="100">
        <f t="shared" si="10"/>
        <v>0</v>
      </c>
      <c r="P38" s="100">
        <f t="shared" si="11"/>
        <v>0</v>
      </c>
      <c r="Q38" s="124">
        <f t="shared" si="12"/>
        <v>0</v>
      </c>
      <c r="R38" s="123"/>
      <c r="S38" s="123"/>
      <c r="T38" s="123"/>
      <c r="U38" s="123"/>
      <c r="V38" s="123"/>
      <c r="W38" s="123"/>
      <c r="X38" s="123"/>
      <c r="Y38" s="123"/>
      <c r="Z38" s="123"/>
      <c r="AA38" s="123"/>
      <c r="AB38" s="123"/>
      <c r="AC38" s="123"/>
      <c r="AD38" s="123"/>
      <c r="AE38" s="123"/>
      <c r="AF38" s="123"/>
      <c r="AG38" s="123"/>
      <c r="AH38" s="123"/>
      <c r="AI38" s="123"/>
      <c r="AJ38" s="123"/>
    </row>
    <row r="39" s="33" customFormat="1" ht="16.95" customHeight="1" spans="1:36">
      <c r="A39" s="87">
        <f>IF(F39&lt;&gt;"",1+MAX($A$2:A38),"")</f>
        <v>25</v>
      </c>
      <c r="B39" s="89"/>
      <c r="C39" s="89"/>
      <c r="D39" s="69" t="s">
        <v>813</v>
      </c>
      <c r="E39" s="72">
        <v>143.21</v>
      </c>
      <c r="F39" s="90">
        <v>0.05</v>
      </c>
      <c r="G39" s="91">
        <v>150.3705</v>
      </c>
      <c r="H39" s="70" t="s">
        <v>37</v>
      </c>
      <c r="I39" s="97">
        <v>0</v>
      </c>
      <c r="J39" s="98">
        <f t="shared" si="7"/>
        <v>0</v>
      </c>
      <c r="K39" s="99">
        <v>50</v>
      </c>
      <c r="L39" s="100">
        <f t="shared" si="8"/>
        <v>0</v>
      </c>
      <c r="M39" s="100">
        <f t="shared" si="9"/>
        <v>0</v>
      </c>
      <c r="N39" s="100">
        <v>0</v>
      </c>
      <c r="O39" s="100">
        <f t="shared" si="10"/>
        <v>0</v>
      </c>
      <c r="P39" s="100">
        <f t="shared" si="11"/>
        <v>0</v>
      </c>
      <c r="Q39" s="124">
        <f t="shared" si="12"/>
        <v>0</v>
      </c>
      <c r="R39" s="123"/>
      <c r="S39" s="123"/>
      <c r="T39" s="123"/>
      <c r="U39" s="123"/>
      <c r="V39" s="123"/>
      <c r="W39" s="123"/>
      <c r="X39" s="123"/>
      <c r="Y39" s="123"/>
      <c r="Z39" s="123"/>
      <c r="AA39" s="123"/>
      <c r="AB39" s="123"/>
      <c r="AC39" s="123"/>
      <c r="AD39" s="123"/>
      <c r="AE39" s="123"/>
      <c r="AF39" s="123"/>
      <c r="AG39" s="123"/>
      <c r="AH39" s="123"/>
      <c r="AI39" s="123"/>
      <c r="AJ39" s="123"/>
    </row>
    <row r="40" s="33" customFormat="1" ht="16.95" customHeight="1" spans="1:36">
      <c r="A40" s="87">
        <f>IF(F40&lt;&gt;"",1+MAX($A$2:A39),"")</f>
        <v>26</v>
      </c>
      <c r="B40" s="89"/>
      <c r="C40" s="89"/>
      <c r="D40" s="69" t="s">
        <v>248</v>
      </c>
      <c r="E40" s="72">
        <v>54.7</v>
      </c>
      <c r="F40" s="90">
        <v>0.05</v>
      </c>
      <c r="G40" s="91">
        <v>57.435</v>
      </c>
      <c r="H40" s="70" t="s">
        <v>37</v>
      </c>
      <c r="I40" s="97">
        <v>0</v>
      </c>
      <c r="J40" s="98">
        <f t="shared" si="7"/>
        <v>0</v>
      </c>
      <c r="K40" s="99">
        <v>50</v>
      </c>
      <c r="L40" s="100">
        <f t="shared" si="8"/>
        <v>0</v>
      </c>
      <c r="M40" s="100">
        <f t="shared" si="9"/>
        <v>0</v>
      </c>
      <c r="N40" s="100">
        <v>0</v>
      </c>
      <c r="O40" s="100">
        <f t="shared" si="10"/>
        <v>0</v>
      </c>
      <c r="P40" s="100">
        <f t="shared" si="11"/>
        <v>0</v>
      </c>
      <c r="Q40" s="124">
        <f t="shared" si="12"/>
        <v>0</v>
      </c>
      <c r="R40" s="123"/>
      <c r="S40" s="123"/>
      <c r="T40" s="123"/>
      <c r="U40" s="123"/>
      <c r="V40" s="123"/>
      <c r="W40" s="123"/>
      <c r="X40" s="123"/>
      <c r="Y40" s="123"/>
      <c r="Z40" s="123"/>
      <c r="AA40" s="123"/>
      <c r="AB40" s="123"/>
      <c r="AC40" s="123"/>
      <c r="AD40" s="123"/>
      <c r="AE40" s="123"/>
      <c r="AF40" s="123"/>
      <c r="AG40" s="123"/>
      <c r="AH40" s="123"/>
      <c r="AI40" s="123"/>
      <c r="AJ40" s="123"/>
    </row>
    <row r="41" s="33" customFormat="1" ht="16.95" customHeight="1" spans="1:36">
      <c r="A41" s="87">
        <f>IF(F41&lt;&gt;"",1+MAX($A$2:A40),"")</f>
        <v>27</v>
      </c>
      <c r="B41" s="89"/>
      <c r="C41" s="89"/>
      <c r="D41" s="69" t="s">
        <v>814</v>
      </c>
      <c r="E41" s="72">
        <v>34.47</v>
      </c>
      <c r="F41" s="90">
        <v>0.05</v>
      </c>
      <c r="G41" s="91">
        <v>36.1935</v>
      </c>
      <c r="H41" s="70" t="s">
        <v>37</v>
      </c>
      <c r="I41" s="97">
        <v>0</v>
      </c>
      <c r="J41" s="98">
        <f t="shared" si="7"/>
        <v>0</v>
      </c>
      <c r="K41" s="99">
        <v>50</v>
      </c>
      <c r="L41" s="100">
        <f t="shared" si="8"/>
        <v>0</v>
      </c>
      <c r="M41" s="100">
        <f t="shared" si="9"/>
        <v>0</v>
      </c>
      <c r="N41" s="100">
        <v>0</v>
      </c>
      <c r="O41" s="100">
        <f t="shared" si="10"/>
        <v>0</v>
      </c>
      <c r="P41" s="100">
        <f t="shared" si="11"/>
        <v>0</v>
      </c>
      <c r="Q41" s="124">
        <f t="shared" si="12"/>
        <v>0</v>
      </c>
      <c r="R41" s="123"/>
      <c r="S41" s="123"/>
      <c r="T41" s="123"/>
      <c r="U41" s="123"/>
      <c r="V41" s="123"/>
      <c r="W41" s="123"/>
      <c r="X41" s="123"/>
      <c r="Y41" s="123"/>
      <c r="Z41" s="123"/>
      <c r="AA41" s="123"/>
      <c r="AB41" s="123"/>
      <c r="AC41" s="123"/>
      <c r="AD41" s="123"/>
      <c r="AE41" s="123"/>
      <c r="AF41" s="123"/>
      <c r="AG41" s="123"/>
      <c r="AH41" s="123"/>
      <c r="AI41" s="123"/>
      <c r="AJ41" s="123"/>
    </row>
    <row r="42" s="33" customFormat="1" ht="16.95" customHeight="1" spans="1:36">
      <c r="A42" s="87">
        <f>IF(F42&lt;&gt;"",1+MAX($A$2:A41),"")</f>
        <v>28</v>
      </c>
      <c r="B42" s="89"/>
      <c r="C42" s="89"/>
      <c r="D42" s="69" t="s">
        <v>815</v>
      </c>
      <c r="E42" s="72">
        <v>49.79</v>
      </c>
      <c r="F42" s="90">
        <v>0.05</v>
      </c>
      <c r="G42" s="91">
        <v>52.2795</v>
      </c>
      <c r="H42" s="70" t="s">
        <v>37</v>
      </c>
      <c r="I42" s="97">
        <v>0</v>
      </c>
      <c r="J42" s="98">
        <f t="shared" si="7"/>
        <v>0</v>
      </c>
      <c r="K42" s="99">
        <v>50</v>
      </c>
      <c r="L42" s="100">
        <f t="shared" si="8"/>
        <v>0</v>
      </c>
      <c r="M42" s="100">
        <f t="shared" si="9"/>
        <v>0</v>
      </c>
      <c r="N42" s="100">
        <v>0</v>
      </c>
      <c r="O42" s="100">
        <f t="shared" si="10"/>
        <v>0</v>
      </c>
      <c r="P42" s="100">
        <f t="shared" si="11"/>
        <v>0</v>
      </c>
      <c r="Q42" s="124">
        <f t="shared" si="12"/>
        <v>0</v>
      </c>
      <c r="R42" s="123"/>
      <c r="S42" s="123"/>
      <c r="T42" s="123"/>
      <c r="U42" s="123"/>
      <c r="V42" s="123"/>
      <c r="W42" s="123"/>
      <c r="X42" s="123"/>
      <c r="Y42" s="123"/>
      <c r="Z42" s="123"/>
      <c r="AA42" s="123"/>
      <c r="AB42" s="123"/>
      <c r="AC42" s="123"/>
      <c r="AD42" s="123"/>
      <c r="AE42" s="123"/>
      <c r="AF42" s="123"/>
      <c r="AG42" s="123"/>
      <c r="AH42" s="123"/>
      <c r="AI42" s="123"/>
      <c r="AJ42" s="123"/>
    </row>
    <row r="43" s="33" customFormat="1" ht="16.95" customHeight="1" spans="1:36">
      <c r="A43" s="87">
        <f>IF(F43&lt;&gt;"",1+MAX($A$2:A42),"")</f>
        <v>29</v>
      </c>
      <c r="B43" s="89"/>
      <c r="C43" s="89"/>
      <c r="D43" s="69" t="s">
        <v>816</v>
      </c>
      <c r="E43" s="72">
        <v>16.35</v>
      </c>
      <c r="F43" s="90">
        <v>0.05</v>
      </c>
      <c r="G43" s="91">
        <v>17.1675</v>
      </c>
      <c r="H43" s="70" t="s">
        <v>37</v>
      </c>
      <c r="I43" s="97">
        <v>0</v>
      </c>
      <c r="J43" s="98">
        <f t="shared" si="7"/>
        <v>0</v>
      </c>
      <c r="K43" s="99">
        <v>50</v>
      </c>
      <c r="L43" s="100">
        <f t="shared" si="8"/>
        <v>0</v>
      </c>
      <c r="M43" s="100">
        <f t="shared" si="9"/>
        <v>0</v>
      </c>
      <c r="N43" s="100">
        <v>0</v>
      </c>
      <c r="O43" s="100">
        <f t="shared" si="10"/>
        <v>0</v>
      </c>
      <c r="P43" s="100">
        <f t="shared" si="11"/>
        <v>0</v>
      </c>
      <c r="Q43" s="124">
        <f t="shared" si="12"/>
        <v>0</v>
      </c>
      <c r="R43" s="123"/>
      <c r="S43" s="123"/>
      <c r="T43" s="123"/>
      <c r="U43" s="123"/>
      <c r="V43" s="123"/>
      <c r="W43" s="123"/>
      <c r="X43" s="123"/>
      <c r="Y43" s="123"/>
      <c r="Z43" s="123"/>
      <c r="AA43" s="123"/>
      <c r="AB43" s="123"/>
      <c r="AC43" s="123"/>
      <c r="AD43" s="123"/>
      <c r="AE43" s="123"/>
      <c r="AF43" s="123"/>
      <c r="AG43" s="123"/>
      <c r="AH43" s="123"/>
      <c r="AI43" s="123"/>
      <c r="AJ43" s="123"/>
    </row>
    <row r="44" s="33" customFormat="1" ht="16.95" customHeight="1" spans="1:36">
      <c r="A44" s="87">
        <f>IF(F44&lt;&gt;"",1+MAX($A$2:A43),"")</f>
        <v>30</v>
      </c>
      <c r="B44" s="89"/>
      <c r="C44" s="89"/>
      <c r="D44" s="69" t="s">
        <v>817</v>
      </c>
      <c r="E44" s="72">
        <v>7.08</v>
      </c>
      <c r="F44" s="90">
        <v>0.05</v>
      </c>
      <c r="G44" s="91">
        <v>7.434</v>
      </c>
      <c r="H44" s="70" t="s">
        <v>37</v>
      </c>
      <c r="I44" s="97">
        <v>0</v>
      </c>
      <c r="J44" s="98">
        <f t="shared" si="7"/>
        <v>0</v>
      </c>
      <c r="K44" s="99">
        <v>50</v>
      </c>
      <c r="L44" s="100">
        <f t="shared" si="8"/>
        <v>0</v>
      </c>
      <c r="M44" s="100">
        <f t="shared" si="9"/>
        <v>0</v>
      </c>
      <c r="N44" s="100">
        <v>0</v>
      </c>
      <c r="O44" s="100">
        <f t="shared" si="10"/>
        <v>0</v>
      </c>
      <c r="P44" s="100">
        <f t="shared" si="11"/>
        <v>0</v>
      </c>
      <c r="Q44" s="124">
        <f t="shared" si="12"/>
        <v>0</v>
      </c>
      <c r="R44" s="123"/>
      <c r="S44" s="123"/>
      <c r="T44" s="123"/>
      <c r="U44" s="123"/>
      <c r="V44" s="123"/>
      <c r="W44" s="123"/>
      <c r="X44" s="123"/>
      <c r="Y44" s="123"/>
      <c r="Z44" s="123"/>
      <c r="AA44" s="123"/>
      <c r="AB44" s="123"/>
      <c r="AC44" s="123"/>
      <c r="AD44" s="123"/>
      <c r="AE44" s="123"/>
      <c r="AF44" s="123"/>
      <c r="AG44" s="123"/>
      <c r="AH44" s="123"/>
      <c r="AI44" s="123"/>
      <c r="AJ44" s="123"/>
    </row>
    <row r="45" s="33" customFormat="1" ht="16.95" customHeight="1" spans="1:36">
      <c r="A45" s="87">
        <f>IF(F45&lt;&gt;"",1+MAX($A$2:A44),"")</f>
        <v>31</v>
      </c>
      <c r="B45" s="89"/>
      <c r="C45" s="89"/>
      <c r="D45" s="69" t="s">
        <v>818</v>
      </c>
      <c r="E45" s="72">
        <v>79.24</v>
      </c>
      <c r="F45" s="90">
        <v>0.05</v>
      </c>
      <c r="G45" s="91">
        <v>83.202</v>
      </c>
      <c r="H45" s="70" t="s">
        <v>37</v>
      </c>
      <c r="I45" s="97">
        <v>0</v>
      </c>
      <c r="J45" s="98">
        <f t="shared" si="7"/>
        <v>0</v>
      </c>
      <c r="K45" s="99">
        <v>50</v>
      </c>
      <c r="L45" s="100">
        <f t="shared" si="8"/>
        <v>0</v>
      </c>
      <c r="M45" s="100">
        <f t="shared" si="9"/>
        <v>0</v>
      </c>
      <c r="N45" s="100">
        <v>0</v>
      </c>
      <c r="O45" s="100">
        <f t="shared" si="10"/>
        <v>0</v>
      </c>
      <c r="P45" s="100">
        <f t="shared" si="11"/>
        <v>0</v>
      </c>
      <c r="Q45" s="124">
        <f t="shared" si="12"/>
        <v>0</v>
      </c>
      <c r="R45" s="123"/>
      <c r="S45" s="123"/>
      <c r="T45" s="123"/>
      <c r="U45" s="123"/>
      <c r="V45" s="123"/>
      <c r="W45" s="123"/>
      <c r="X45" s="123"/>
      <c r="Y45" s="123"/>
      <c r="Z45" s="123"/>
      <c r="AA45" s="123"/>
      <c r="AB45" s="123"/>
      <c r="AC45" s="123"/>
      <c r="AD45" s="123"/>
      <c r="AE45" s="123"/>
      <c r="AF45" s="123"/>
      <c r="AG45" s="123"/>
      <c r="AH45" s="123"/>
      <c r="AI45" s="123"/>
      <c r="AJ45" s="123"/>
    </row>
    <row r="46" s="33" customFormat="1" ht="16.95" customHeight="1" spans="1:36">
      <c r="A46" s="87">
        <f>IF(F46&lt;&gt;"",1+MAX($A$2:A45),"")</f>
        <v>32</v>
      </c>
      <c r="B46" s="89"/>
      <c r="C46" s="89"/>
      <c r="D46" s="69" t="s">
        <v>819</v>
      </c>
      <c r="E46" s="72">
        <v>106.87</v>
      </c>
      <c r="F46" s="90">
        <v>0.05</v>
      </c>
      <c r="G46" s="91">
        <v>112.2135</v>
      </c>
      <c r="H46" s="70" t="s">
        <v>37</v>
      </c>
      <c r="I46" s="97">
        <v>0</v>
      </c>
      <c r="J46" s="98">
        <f t="shared" si="7"/>
        <v>0</v>
      </c>
      <c r="K46" s="99">
        <v>50</v>
      </c>
      <c r="L46" s="100">
        <f t="shared" si="8"/>
        <v>0</v>
      </c>
      <c r="M46" s="100">
        <f t="shared" si="9"/>
        <v>0</v>
      </c>
      <c r="N46" s="100">
        <v>0</v>
      </c>
      <c r="O46" s="100">
        <f t="shared" si="10"/>
        <v>0</v>
      </c>
      <c r="P46" s="100">
        <f t="shared" si="11"/>
        <v>0</v>
      </c>
      <c r="Q46" s="124">
        <f t="shared" si="12"/>
        <v>0</v>
      </c>
      <c r="R46" s="123"/>
      <c r="S46" s="123"/>
      <c r="T46" s="123"/>
      <c r="U46" s="123"/>
      <c r="V46" s="123"/>
      <c r="W46" s="123"/>
      <c r="X46" s="123"/>
      <c r="Y46" s="123"/>
      <c r="Z46" s="123"/>
      <c r="AA46" s="123"/>
      <c r="AB46" s="123"/>
      <c r="AC46" s="123"/>
      <c r="AD46" s="123"/>
      <c r="AE46" s="123"/>
      <c r="AF46" s="123"/>
      <c r="AG46" s="123"/>
      <c r="AH46" s="123"/>
      <c r="AI46" s="123"/>
      <c r="AJ46" s="123"/>
    </row>
    <row r="47" s="33" customFormat="1" ht="16.95" customHeight="1" spans="1:36">
      <c r="A47" s="87">
        <f>IF(F47&lt;&gt;"",1+MAX($A$2:A46),"")</f>
        <v>33</v>
      </c>
      <c r="B47" s="89"/>
      <c r="C47" s="89"/>
      <c r="D47" s="69" t="s">
        <v>819</v>
      </c>
      <c r="E47" s="72">
        <v>40.84</v>
      </c>
      <c r="F47" s="90">
        <v>0.05</v>
      </c>
      <c r="G47" s="91">
        <v>42.882</v>
      </c>
      <c r="H47" s="70" t="s">
        <v>37</v>
      </c>
      <c r="I47" s="97">
        <v>0</v>
      </c>
      <c r="J47" s="98">
        <f t="shared" si="7"/>
        <v>0</v>
      </c>
      <c r="K47" s="99">
        <v>50</v>
      </c>
      <c r="L47" s="100">
        <f t="shared" si="8"/>
        <v>0</v>
      </c>
      <c r="M47" s="100">
        <f t="shared" si="9"/>
        <v>0</v>
      </c>
      <c r="N47" s="100">
        <v>0</v>
      </c>
      <c r="O47" s="100">
        <f t="shared" si="10"/>
        <v>0</v>
      </c>
      <c r="P47" s="100">
        <f t="shared" si="11"/>
        <v>0</v>
      </c>
      <c r="Q47" s="124">
        <f t="shared" si="12"/>
        <v>0</v>
      </c>
      <c r="R47" s="123"/>
      <c r="S47" s="123"/>
      <c r="T47" s="123"/>
      <c r="U47" s="123"/>
      <c r="V47" s="123"/>
      <c r="W47" s="123"/>
      <c r="X47" s="123"/>
      <c r="Y47" s="123"/>
      <c r="Z47" s="123"/>
      <c r="AA47" s="123"/>
      <c r="AB47" s="123"/>
      <c r="AC47" s="123"/>
      <c r="AD47" s="123"/>
      <c r="AE47" s="123"/>
      <c r="AF47" s="123"/>
      <c r="AG47" s="123"/>
      <c r="AH47" s="123"/>
      <c r="AI47" s="123"/>
      <c r="AJ47" s="123"/>
    </row>
    <row r="48" s="33" customFormat="1" ht="16.95" customHeight="1" spans="1:36">
      <c r="A48" s="87">
        <f>IF(F48&lt;&gt;"",1+MAX($A$2:A47),"")</f>
        <v>34</v>
      </c>
      <c r="B48" s="89"/>
      <c r="C48" s="89"/>
      <c r="D48" s="69" t="s">
        <v>820</v>
      </c>
      <c r="E48" s="72">
        <v>9.31</v>
      </c>
      <c r="F48" s="90">
        <v>0.05</v>
      </c>
      <c r="G48" s="91">
        <v>9.7755</v>
      </c>
      <c r="H48" s="70" t="s">
        <v>37</v>
      </c>
      <c r="I48" s="97">
        <v>0</v>
      </c>
      <c r="J48" s="98">
        <f t="shared" si="7"/>
        <v>0</v>
      </c>
      <c r="K48" s="99">
        <v>50</v>
      </c>
      <c r="L48" s="100">
        <f t="shared" si="8"/>
        <v>0</v>
      </c>
      <c r="M48" s="100">
        <f t="shared" si="9"/>
        <v>0</v>
      </c>
      <c r="N48" s="100">
        <v>0</v>
      </c>
      <c r="O48" s="100">
        <f t="shared" si="10"/>
        <v>0</v>
      </c>
      <c r="P48" s="100">
        <f t="shared" si="11"/>
        <v>0</v>
      </c>
      <c r="Q48" s="124">
        <f t="shared" si="12"/>
        <v>0</v>
      </c>
      <c r="R48" s="123"/>
      <c r="S48" s="123"/>
      <c r="T48" s="123"/>
      <c r="U48" s="123"/>
      <c r="V48" s="123"/>
      <c r="W48" s="123"/>
      <c r="X48" s="123"/>
      <c r="Y48" s="123"/>
      <c r="Z48" s="123"/>
      <c r="AA48" s="123"/>
      <c r="AB48" s="123"/>
      <c r="AC48" s="123"/>
      <c r="AD48" s="123"/>
      <c r="AE48" s="123"/>
      <c r="AF48" s="123"/>
      <c r="AG48" s="123"/>
      <c r="AH48" s="123"/>
      <c r="AI48" s="123"/>
      <c r="AJ48" s="123"/>
    </row>
    <row r="49" s="33" customFormat="1" ht="16.95" customHeight="1" spans="1:36">
      <c r="A49" s="87">
        <f>IF(F49&lt;&gt;"",1+MAX($A$2:A48),"")</f>
        <v>35</v>
      </c>
      <c r="B49" s="89"/>
      <c r="C49" s="89"/>
      <c r="D49" s="69" t="s">
        <v>821</v>
      </c>
      <c r="E49" s="72">
        <v>210.28</v>
      </c>
      <c r="F49" s="90">
        <v>0.05</v>
      </c>
      <c r="G49" s="91">
        <v>220.794</v>
      </c>
      <c r="H49" s="70" t="s">
        <v>37</v>
      </c>
      <c r="I49" s="97">
        <v>0</v>
      </c>
      <c r="J49" s="98">
        <f t="shared" si="7"/>
        <v>0</v>
      </c>
      <c r="K49" s="99">
        <v>50</v>
      </c>
      <c r="L49" s="100">
        <f t="shared" si="8"/>
        <v>0</v>
      </c>
      <c r="M49" s="100">
        <f t="shared" si="9"/>
        <v>0</v>
      </c>
      <c r="N49" s="100">
        <v>0</v>
      </c>
      <c r="O49" s="100">
        <f t="shared" si="10"/>
        <v>0</v>
      </c>
      <c r="P49" s="100">
        <f t="shared" si="11"/>
        <v>0</v>
      </c>
      <c r="Q49" s="124">
        <f t="shared" si="12"/>
        <v>0</v>
      </c>
      <c r="R49" s="123"/>
      <c r="S49" s="123"/>
      <c r="T49" s="123"/>
      <c r="U49" s="123"/>
      <c r="V49" s="123"/>
      <c r="W49" s="123"/>
      <c r="X49" s="123"/>
      <c r="Y49" s="123"/>
      <c r="Z49" s="123"/>
      <c r="AA49" s="123"/>
      <c r="AB49" s="123"/>
      <c r="AC49" s="123"/>
      <c r="AD49" s="123"/>
      <c r="AE49" s="123"/>
      <c r="AF49" s="123"/>
      <c r="AG49" s="123"/>
      <c r="AH49" s="123"/>
      <c r="AI49" s="123"/>
      <c r="AJ49" s="123"/>
    </row>
    <row r="50" s="33" customFormat="1" ht="16.95" customHeight="1" spans="1:36">
      <c r="A50" s="87">
        <f>IF(F50&lt;&gt;"",1+MAX($A$2:A49),"")</f>
        <v>36</v>
      </c>
      <c r="B50" s="89"/>
      <c r="C50" s="89"/>
      <c r="D50" s="69" t="s">
        <v>822</v>
      </c>
      <c r="E50" s="72">
        <v>29.9</v>
      </c>
      <c r="F50" s="90">
        <v>0.05</v>
      </c>
      <c r="G50" s="91">
        <v>31.395</v>
      </c>
      <c r="H50" s="70" t="s">
        <v>37</v>
      </c>
      <c r="I50" s="97">
        <v>0</v>
      </c>
      <c r="J50" s="98">
        <f t="shared" si="7"/>
        <v>0</v>
      </c>
      <c r="K50" s="99">
        <v>50</v>
      </c>
      <c r="L50" s="100">
        <f t="shared" si="8"/>
        <v>0</v>
      </c>
      <c r="M50" s="100">
        <f t="shared" si="9"/>
        <v>0</v>
      </c>
      <c r="N50" s="100">
        <v>0</v>
      </c>
      <c r="O50" s="100">
        <f t="shared" si="10"/>
        <v>0</v>
      </c>
      <c r="P50" s="100">
        <f t="shared" si="11"/>
        <v>0</v>
      </c>
      <c r="Q50" s="124">
        <f t="shared" si="12"/>
        <v>0</v>
      </c>
      <c r="R50" s="123"/>
      <c r="S50" s="123"/>
      <c r="T50" s="123"/>
      <c r="U50" s="123"/>
      <c r="V50" s="123"/>
      <c r="W50" s="123"/>
      <c r="X50" s="123"/>
      <c r="Y50" s="123"/>
      <c r="Z50" s="123"/>
      <c r="AA50" s="123"/>
      <c r="AB50" s="123"/>
      <c r="AC50" s="123"/>
      <c r="AD50" s="123"/>
      <c r="AE50" s="123"/>
      <c r="AF50" s="123"/>
      <c r="AG50" s="123"/>
      <c r="AH50" s="123"/>
      <c r="AI50" s="123"/>
      <c r="AJ50" s="123"/>
    </row>
    <row r="51" s="33" customFormat="1" ht="16.95" customHeight="1" spans="1:36">
      <c r="A51" s="87">
        <f>IF(F51&lt;&gt;"",1+MAX($A$2:A50),"")</f>
        <v>37</v>
      </c>
      <c r="B51" s="89"/>
      <c r="C51" s="89"/>
      <c r="D51" s="69" t="s">
        <v>823</v>
      </c>
      <c r="E51" s="72">
        <v>12.04</v>
      </c>
      <c r="F51" s="90">
        <v>0.05</v>
      </c>
      <c r="G51" s="91">
        <v>12.642</v>
      </c>
      <c r="H51" s="70" t="s">
        <v>37</v>
      </c>
      <c r="I51" s="97">
        <v>0</v>
      </c>
      <c r="J51" s="98">
        <f t="shared" si="7"/>
        <v>0</v>
      </c>
      <c r="K51" s="99">
        <v>50</v>
      </c>
      <c r="L51" s="100">
        <f t="shared" si="8"/>
        <v>0</v>
      </c>
      <c r="M51" s="100">
        <f t="shared" si="9"/>
        <v>0</v>
      </c>
      <c r="N51" s="100">
        <v>0</v>
      </c>
      <c r="O51" s="100">
        <f t="shared" si="10"/>
        <v>0</v>
      </c>
      <c r="P51" s="100">
        <f t="shared" si="11"/>
        <v>0</v>
      </c>
      <c r="Q51" s="124">
        <f t="shared" si="12"/>
        <v>0</v>
      </c>
      <c r="R51" s="123"/>
      <c r="S51" s="123"/>
      <c r="T51" s="123"/>
      <c r="U51" s="123"/>
      <c r="V51" s="123"/>
      <c r="W51" s="123"/>
      <c r="X51" s="123"/>
      <c r="Y51" s="123"/>
      <c r="Z51" s="123"/>
      <c r="AA51" s="123"/>
      <c r="AB51" s="123"/>
      <c r="AC51" s="123"/>
      <c r="AD51" s="123"/>
      <c r="AE51" s="123"/>
      <c r="AF51" s="123"/>
      <c r="AG51" s="123"/>
      <c r="AH51" s="123"/>
      <c r="AI51" s="123"/>
      <c r="AJ51" s="123"/>
    </row>
    <row r="52" s="33" customFormat="1" ht="16.95" customHeight="1" spans="1:36">
      <c r="A52" s="87">
        <f>IF(F52&lt;&gt;"",1+MAX($A$2:A51),"")</f>
        <v>38</v>
      </c>
      <c r="B52" s="89"/>
      <c r="C52" s="89"/>
      <c r="D52" s="69" t="s">
        <v>824</v>
      </c>
      <c r="E52" s="72">
        <v>76.19</v>
      </c>
      <c r="F52" s="90">
        <v>0.05</v>
      </c>
      <c r="G52" s="91">
        <v>79.9995</v>
      </c>
      <c r="H52" s="70" t="s">
        <v>37</v>
      </c>
      <c r="I52" s="97">
        <v>0</v>
      </c>
      <c r="J52" s="98">
        <f t="shared" si="7"/>
        <v>0</v>
      </c>
      <c r="K52" s="99">
        <v>50</v>
      </c>
      <c r="L52" s="100">
        <f t="shared" si="8"/>
        <v>0</v>
      </c>
      <c r="M52" s="100">
        <f t="shared" si="9"/>
        <v>0</v>
      </c>
      <c r="N52" s="100">
        <v>0</v>
      </c>
      <c r="O52" s="100">
        <f t="shared" si="10"/>
        <v>0</v>
      </c>
      <c r="P52" s="100">
        <f t="shared" si="11"/>
        <v>0</v>
      </c>
      <c r="Q52" s="124">
        <f t="shared" si="12"/>
        <v>0</v>
      </c>
      <c r="R52" s="123"/>
      <c r="S52" s="123"/>
      <c r="T52" s="123"/>
      <c r="U52" s="123"/>
      <c r="V52" s="123"/>
      <c r="W52" s="123"/>
      <c r="X52" s="123"/>
      <c r="Y52" s="123"/>
      <c r="Z52" s="123"/>
      <c r="AA52" s="123"/>
      <c r="AB52" s="123"/>
      <c r="AC52" s="123"/>
      <c r="AD52" s="123"/>
      <c r="AE52" s="123"/>
      <c r="AF52" s="123"/>
      <c r="AG52" s="123"/>
      <c r="AH52" s="123"/>
      <c r="AI52" s="123"/>
      <c r="AJ52" s="123"/>
    </row>
    <row r="53" s="33" customFormat="1" ht="16.95" customHeight="1" spans="1:36">
      <c r="A53" s="87">
        <f>IF(F53&lt;&gt;"",1+MAX($A$2:A52),"")</f>
        <v>39</v>
      </c>
      <c r="B53" s="89"/>
      <c r="C53" s="89"/>
      <c r="D53" s="69" t="s">
        <v>824</v>
      </c>
      <c r="E53" s="72">
        <v>7.37</v>
      </c>
      <c r="F53" s="90">
        <v>0.05</v>
      </c>
      <c r="G53" s="91">
        <v>7.7385</v>
      </c>
      <c r="H53" s="70" t="s">
        <v>37</v>
      </c>
      <c r="I53" s="97">
        <v>0</v>
      </c>
      <c r="J53" s="98">
        <f t="shared" si="7"/>
        <v>0</v>
      </c>
      <c r="K53" s="99">
        <v>50</v>
      </c>
      <c r="L53" s="100">
        <f t="shared" si="8"/>
        <v>0</v>
      </c>
      <c r="M53" s="100">
        <f t="shared" si="9"/>
        <v>0</v>
      </c>
      <c r="N53" s="100">
        <v>0</v>
      </c>
      <c r="O53" s="100">
        <f t="shared" si="10"/>
        <v>0</v>
      </c>
      <c r="P53" s="100">
        <f t="shared" si="11"/>
        <v>0</v>
      </c>
      <c r="Q53" s="124">
        <f t="shared" si="12"/>
        <v>0</v>
      </c>
      <c r="R53" s="123"/>
      <c r="S53" s="123"/>
      <c r="T53" s="123"/>
      <c r="U53" s="123"/>
      <c r="V53" s="123"/>
      <c r="W53" s="123"/>
      <c r="X53" s="123"/>
      <c r="Y53" s="123"/>
      <c r="Z53" s="123"/>
      <c r="AA53" s="123"/>
      <c r="AB53" s="123"/>
      <c r="AC53" s="123"/>
      <c r="AD53" s="123"/>
      <c r="AE53" s="123"/>
      <c r="AF53" s="123"/>
      <c r="AG53" s="123"/>
      <c r="AH53" s="123"/>
      <c r="AI53" s="123"/>
      <c r="AJ53" s="123"/>
    </row>
    <row r="54" s="33" customFormat="1" ht="16.95" customHeight="1" spans="1:36">
      <c r="A54" s="87">
        <f>IF(F54&lt;&gt;"",1+MAX($A$2:A53),"")</f>
        <v>40</v>
      </c>
      <c r="B54" s="89"/>
      <c r="C54" s="89"/>
      <c r="D54" s="69" t="s">
        <v>824</v>
      </c>
      <c r="E54" s="72">
        <v>66.59</v>
      </c>
      <c r="F54" s="90">
        <v>0.05</v>
      </c>
      <c r="G54" s="91">
        <v>69.9195</v>
      </c>
      <c r="H54" s="70" t="s">
        <v>37</v>
      </c>
      <c r="I54" s="97">
        <v>0</v>
      </c>
      <c r="J54" s="98">
        <f t="shared" si="7"/>
        <v>0</v>
      </c>
      <c r="K54" s="99">
        <v>50</v>
      </c>
      <c r="L54" s="100">
        <f t="shared" si="8"/>
        <v>0</v>
      </c>
      <c r="M54" s="100">
        <f t="shared" si="9"/>
        <v>0</v>
      </c>
      <c r="N54" s="100">
        <v>0</v>
      </c>
      <c r="O54" s="100">
        <f t="shared" si="10"/>
        <v>0</v>
      </c>
      <c r="P54" s="100">
        <f t="shared" si="11"/>
        <v>0</v>
      </c>
      <c r="Q54" s="124">
        <f t="shared" si="12"/>
        <v>0</v>
      </c>
      <c r="R54" s="123"/>
      <c r="S54" s="123"/>
      <c r="T54" s="123"/>
      <c r="U54" s="123"/>
      <c r="V54" s="123"/>
      <c r="W54" s="123"/>
      <c r="X54" s="123"/>
      <c r="Y54" s="123"/>
      <c r="Z54" s="123"/>
      <c r="AA54" s="123"/>
      <c r="AB54" s="123"/>
      <c r="AC54" s="123"/>
      <c r="AD54" s="123"/>
      <c r="AE54" s="123"/>
      <c r="AF54" s="123"/>
      <c r="AG54" s="123"/>
      <c r="AH54" s="123"/>
      <c r="AI54" s="123"/>
      <c r="AJ54" s="123"/>
    </row>
    <row r="55" s="33" customFormat="1" ht="16.95" customHeight="1" spans="1:36">
      <c r="A55" s="87">
        <f>IF(F55&lt;&gt;"",1+MAX($A$2:A54),"")</f>
        <v>41</v>
      </c>
      <c r="B55" s="89"/>
      <c r="C55" s="89"/>
      <c r="D55" s="69" t="s">
        <v>825</v>
      </c>
      <c r="E55" s="72">
        <v>34.18</v>
      </c>
      <c r="F55" s="90">
        <v>0.05</v>
      </c>
      <c r="G55" s="91">
        <v>35.889</v>
      </c>
      <c r="H55" s="70" t="s">
        <v>37</v>
      </c>
      <c r="I55" s="97">
        <v>0</v>
      </c>
      <c r="J55" s="98">
        <f t="shared" si="7"/>
        <v>0</v>
      </c>
      <c r="K55" s="99">
        <v>50</v>
      </c>
      <c r="L55" s="100">
        <f t="shared" si="8"/>
        <v>0</v>
      </c>
      <c r="M55" s="100">
        <f t="shared" si="9"/>
        <v>0</v>
      </c>
      <c r="N55" s="100">
        <v>0</v>
      </c>
      <c r="O55" s="100">
        <f t="shared" si="10"/>
        <v>0</v>
      </c>
      <c r="P55" s="100">
        <f t="shared" si="11"/>
        <v>0</v>
      </c>
      <c r="Q55" s="124">
        <f t="shared" si="12"/>
        <v>0</v>
      </c>
      <c r="R55" s="123"/>
      <c r="S55" s="123"/>
      <c r="T55" s="123"/>
      <c r="U55" s="123"/>
      <c r="V55" s="123"/>
      <c r="W55" s="123"/>
      <c r="X55" s="123"/>
      <c r="Y55" s="123"/>
      <c r="Z55" s="123"/>
      <c r="AA55" s="123"/>
      <c r="AB55" s="123"/>
      <c r="AC55" s="123"/>
      <c r="AD55" s="123"/>
      <c r="AE55" s="123"/>
      <c r="AF55" s="123"/>
      <c r="AG55" s="123"/>
      <c r="AH55" s="123"/>
      <c r="AI55" s="123"/>
      <c r="AJ55" s="123"/>
    </row>
    <row r="56" s="33" customFormat="1" ht="16.95" customHeight="1" spans="1:36">
      <c r="A56" s="87">
        <f>IF(F56&lt;&gt;"",1+MAX($A$2:A55),"")</f>
        <v>42</v>
      </c>
      <c r="B56" s="89"/>
      <c r="C56" s="89"/>
      <c r="D56" s="69" t="s">
        <v>826</v>
      </c>
      <c r="E56" s="72">
        <v>5.24</v>
      </c>
      <c r="F56" s="90">
        <v>0.05</v>
      </c>
      <c r="G56" s="91">
        <v>5.502</v>
      </c>
      <c r="H56" s="70" t="s">
        <v>37</v>
      </c>
      <c r="I56" s="97">
        <v>0</v>
      </c>
      <c r="J56" s="98">
        <f t="shared" si="7"/>
        <v>0</v>
      </c>
      <c r="K56" s="99">
        <v>50</v>
      </c>
      <c r="L56" s="100">
        <f t="shared" si="8"/>
        <v>0</v>
      </c>
      <c r="M56" s="100">
        <f t="shared" si="9"/>
        <v>0</v>
      </c>
      <c r="N56" s="100">
        <v>0</v>
      </c>
      <c r="O56" s="100">
        <f t="shared" si="10"/>
        <v>0</v>
      </c>
      <c r="P56" s="100">
        <f t="shared" si="11"/>
        <v>0</v>
      </c>
      <c r="Q56" s="124">
        <f t="shared" si="12"/>
        <v>0</v>
      </c>
      <c r="R56" s="123"/>
      <c r="S56" s="123"/>
      <c r="T56" s="123"/>
      <c r="U56" s="123"/>
      <c r="V56" s="123"/>
      <c r="W56" s="123"/>
      <c r="X56" s="123"/>
      <c r="Y56" s="123"/>
      <c r="Z56" s="123"/>
      <c r="AA56" s="123"/>
      <c r="AB56" s="123"/>
      <c r="AC56" s="123"/>
      <c r="AD56" s="123"/>
      <c r="AE56" s="123"/>
      <c r="AF56" s="123"/>
      <c r="AG56" s="123"/>
      <c r="AH56" s="123"/>
      <c r="AI56" s="123"/>
      <c r="AJ56" s="123"/>
    </row>
    <row r="57" s="33" customFormat="1" ht="16.95" customHeight="1" spans="1:36">
      <c r="A57" s="87">
        <f>IF(F57&lt;&gt;"",1+MAX($A$2:A56),"")</f>
        <v>43</v>
      </c>
      <c r="B57" s="89"/>
      <c r="C57" s="89"/>
      <c r="D57" s="69" t="s">
        <v>827</v>
      </c>
      <c r="E57" s="72">
        <v>9.29</v>
      </c>
      <c r="F57" s="90">
        <v>0.05</v>
      </c>
      <c r="G57" s="91">
        <v>9.7545</v>
      </c>
      <c r="H57" s="70" t="s">
        <v>37</v>
      </c>
      <c r="I57" s="97">
        <v>0</v>
      </c>
      <c r="J57" s="98">
        <f t="shared" si="7"/>
        <v>0</v>
      </c>
      <c r="K57" s="99">
        <v>50</v>
      </c>
      <c r="L57" s="100">
        <f t="shared" si="8"/>
        <v>0</v>
      </c>
      <c r="M57" s="100">
        <f t="shared" si="9"/>
        <v>0</v>
      </c>
      <c r="N57" s="100">
        <v>0</v>
      </c>
      <c r="O57" s="100">
        <f t="shared" si="10"/>
        <v>0</v>
      </c>
      <c r="P57" s="100">
        <f t="shared" si="11"/>
        <v>0</v>
      </c>
      <c r="Q57" s="124">
        <f t="shared" si="12"/>
        <v>0</v>
      </c>
      <c r="R57" s="123"/>
      <c r="S57" s="123"/>
      <c r="T57" s="123"/>
      <c r="U57" s="123"/>
      <c r="V57" s="123"/>
      <c r="W57" s="123"/>
      <c r="X57" s="123"/>
      <c r="Y57" s="123"/>
      <c r="Z57" s="123"/>
      <c r="AA57" s="123"/>
      <c r="AB57" s="123"/>
      <c r="AC57" s="123"/>
      <c r="AD57" s="123"/>
      <c r="AE57" s="123"/>
      <c r="AF57" s="123"/>
      <c r="AG57" s="123"/>
      <c r="AH57" s="123"/>
      <c r="AI57" s="123"/>
      <c r="AJ57" s="123"/>
    </row>
    <row r="58" s="33" customFormat="1" ht="16.95" customHeight="1" spans="1:36">
      <c r="A58" s="87">
        <f>IF(F58&lt;&gt;"",1+MAX($A$2:A57),"")</f>
        <v>44</v>
      </c>
      <c r="B58" s="89"/>
      <c r="C58" s="89"/>
      <c r="D58" s="69" t="s">
        <v>828</v>
      </c>
      <c r="E58" s="72">
        <v>6.16</v>
      </c>
      <c r="F58" s="90">
        <v>0.05</v>
      </c>
      <c r="G58" s="91">
        <v>6.468</v>
      </c>
      <c r="H58" s="70" t="s">
        <v>37</v>
      </c>
      <c r="I58" s="97">
        <v>0</v>
      </c>
      <c r="J58" s="98">
        <f t="shared" si="7"/>
        <v>0</v>
      </c>
      <c r="K58" s="99">
        <v>50</v>
      </c>
      <c r="L58" s="100">
        <f t="shared" si="8"/>
        <v>0</v>
      </c>
      <c r="M58" s="100">
        <f t="shared" si="9"/>
        <v>0</v>
      </c>
      <c r="N58" s="100">
        <v>0</v>
      </c>
      <c r="O58" s="100">
        <f t="shared" si="10"/>
        <v>0</v>
      </c>
      <c r="P58" s="100">
        <f t="shared" si="11"/>
        <v>0</v>
      </c>
      <c r="Q58" s="124">
        <f t="shared" si="12"/>
        <v>0</v>
      </c>
      <c r="R58" s="123"/>
      <c r="S58" s="123"/>
      <c r="T58" s="123"/>
      <c r="U58" s="123"/>
      <c r="V58" s="123"/>
      <c r="W58" s="123"/>
      <c r="X58" s="123"/>
      <c r="Y58" s="123"/>
      <c r="Z58" s="123"/>
      <c r="AA58" s="123"/>
      <c r="AB58" s="123"/>
      <c r="AC58" s="123"/>
      <c r="AD58" s="123"/>
      <c r="AE58" s="123"/>
      <c r="AF58" s="123"/>
      <c r="AG58" s="123"/>
      <c r="AH58" s="123"/>
      <c r="AI58" s="123"/>
      <c r="AJ58" s="123"/>
    </row>
    <row r="59" s="33" customFormat="1" ht="16.95" customHeight="1" spans="1:36">
      <c r="A59" s="87">
        <f>IF(F59&lt;&gt;"",1+MAX($A$2:A58),"")</f>
        <v>45</v>
      </c>
      <c r="B59" s="89"/>
      <c r="C59" s="89"/>
      <c r="D59" s="69" t="s">
        <v>829</v>
      </c>
      <c r="E59" s="72">
        <v>146.24</v>
      </c>
      <c r="F59" s="90">
        <v>0.05</v>
      </c>
      <c r="G59" s="91">
        <v>153.552</v>
      </c>
      <c r="H59" s="70" t="s">
        <v>37</v>
      </c>
      <c r="I59" s="97">
        <v>0</v>
      </c>
      <c r="J59" s="98">
        <f t="shared" si="7"/>
        <v>0</v>
      </c>
      <c r="K59" s="99">
        <v>50</v>
      </c>
      <c r="L59" s="100">
        <f t="shared" si="8"/>
        <v>0</v>
      </c>
      <c r="M59" s="100">
        <f t="shared" si="9"/>
        <v>0</v>
      </c>
      <c r="N59" s="100">
        <v>0</v>
      </c>
      <c r="O59" s="100">
        <f t="shared" si="10"/>
        <v>0</v>
      </c>
      <c r="P59" s="100">
        <f t="shared" si="11"/>
        <v>0</v>
      </c>
      <c r="Q59" s="124">
        <f t="shared" si="12"/>
        <v>0</v>
      </c>
      <c r="R59" s="123"/>
      <c r="S59" s="123"/>
      <c r="T59" s="123"/>
      <c r="U59" s="123"/>
      <c r="V59" s="123"/>
      <c r="W59" s="123"/>
      <c r="X59" s="123"/>
      <c r="Y59" s="123"/>
      <c r="Z59" s="123"/>
      <c r="AA59" s="123"/>
      <c r="AB59" s="123"/>
      <c r="AC59" s="123"/>
      <c r="AD59" s="123"/>
      <c r="AE59" s="123"/>
      <c r="AF59" s="123"/>
      <c r="AG59" s="123"/>
      <c r="AH59" s="123"/>
      <c r="AI59" s="123"/>
      <c r="AJ59" s="123"/>
    </row>
    <row r="60" s="33" customFormat="1" ht="16.95" customHeight="1" spans="1:36">
      <c r="A60" s="87">
        <f>IF(F60&lt;&gt;"",1+MAX($A$2:A59),"")</f>
        <v>46</v>
      </c>
      <c r="B60" s="89"/>
      <c r="C60" s="89"/>
      <c r="D60" s="69" t="s">
        <v>830</v>
      </c>
      <c r="E60" s="72">
        <v>18.8</v>
      </c>
      <c r="F60" s="90">
        <v>0.05</v>
      </c>
      <c r="G60" s="91">
        <v>19.74</v>
      </c>
      <c r="H60" s="70" t="s">
        <v>37</v>
      </c>
      <c r="I60" s="97">
        <v>0</v>
      </c>
      <c r="J60" s="98">
        <f t="shared" si="7"/>
        <v>0</v>
      </c>
      <c r="K60" s="99">
        <v>50</v>
      </c>
      <c r="L60" s="100">
        <f t="shared" si="8"/>
        <v>0</v>
      </c>
      <c r="M60" s="100">
        <f t="shared" si="9"/>
        <v>0</v>
      </c>
      <c r="N60" s="100">
        <v>0</v>
      </c>
      <c r="O60" s="100">
        <f t="shared" si="10"/>
        <v>0</v>
      </c>
      <c r="P60" s="100">
        <f t="shared" si="11"/>
        <v>0</v>
      </c>
      <c r="Q60" s="124">
        <f t="shared" si="12"/>
        <v>0</v>
      </c>
      <c r="R60" s="123"/>
      <c r="S60" s="123"/>
      <c r="T60" s="123"/>
      <c r="U60" s="123"/>
      <c r="V60" s="123"/>
      <c r="W60" s="123"/>
      <c r="X60" s="123"/>
      <c r="Y60" s="123"/>
      <c r="Z60" s="123"/>
      <c r="AA60" s="123"/>
      <c r="AB60" s="123"/>
      <c r="AC60" s="123"/>
      <c r="AD60" s="123"/>
      <c r="AE60" s="123"/>
      <c r="AF60" s="123"/>
      <c r="AG60" s="123"/>
      <c r="AH60" s="123"/>
      <c r="AI60" s="123"/>
      <c r="AJ60" s="123"/>
    </row>
    <row r="61" s="33" customFormat="1" ht="16.95" customHeight="1" spans="1:36">
      <c r="A61" s="87">
        <f>IF(F61&lt;&gt;"",1+MAX($A$2:A60),"")</f>
        <v>47</v>
      </c>
      <c r="B61" s="89"/>
      <c r="C61" s="89"/>
      <c r="D61" s="69" t="s">
        <v>831</v>
      </c>
      <c r="E61" s="72">
        <v>76.45</v>
      </c>
      <c r="F61" s="90">
        <v>0.05</v>
      </c>
      <c r="G61" s="91">
        <v>80.2725</v>
      </c>
      <c r="H61" s="70" t="s">
        <v>37</v>
      </c>
      <c r="I61" s="97">
        <v>0</v>
      </c>
      <c r="J61" s="98">
        <f t="shared" si="7"/>
        <v>0</v>
      </c>
      <c r="K61" s="99">
        <v>50</v>
      </c>
      <c r="L61" s="100">
        <f t="shared" si="8"/>
        <v>0</v>
      </c>
      <c r="M61" s="100">
        <f t="shared" si="9"/>
        <v>0</v>
      </c>
      <c r="N61" s="100">
        <v>0</v>
      </c>
      <c r="O61" s="100">
        <f t="shared" si="10"/>
        <v>0</v>
      </c>
      <c r="P61" s="100">
        <f t="shared" si="11"/>
        <v>0</v>
      </c>
      <c r="Q61" s="124">
        <f t="shared" si="12"/>
        <v>0</v>
      </c>
      <c r="R61" s="123"/>
      <c r="S61" s="123"/>
      <c r="T61" s="123"/>
      <c r="U61" s="123"/>
      <c r="V61" s="123"/>
      <c r="W61" s="123"/>
      <c r="X61" s="123"/>
      <c r="Y61" s="123"/>
      <c r="Z61" s="123"/>
      <c r="AA61" s="123"/>
      <c r="AB61" s="123"/>
      <c r="AC61" s="123"/>
      <c r="AD61" s="123"/>
      <c r="AE61" s="123"/>
      <c r="AF61" s="123"/>
      <c r="AG61" s="123"/>
      <c r="AH61" s="123"/>
      <c r="AI61" s="123"/>
      <c r="AJ61" s="123"/>
    </row>
    <row r="62" s="33" customFormat="1" ht="16.95" customHeight="1" spans="1:36">
      <c r="A62" s="87">
        <f>IF(F62&lt;&gt;"",1+MAX($A$2:A61),"")</f>
        <v>48</v>
      </c>
      <c r="B62" s="89"/>
      <c r="C62" s="89"/>
      <c r="D62" s="69" t="s">
        <v>832</v>
      </c>
      <c r="E62" s="72">
        <v>13.24</v>
      </c>
      <c r="F62" s="90">
        <v>0.05</v>
      </c>
      <c r="G62" s="91">
        <v>13.902</v>
      </c>
      <c r="H62" s="70" t="s">
        <v>37</v>
      </c>
      <c r="I62" s="97">
        <v>0</v>
      </c>
      <c r="J62" s="98">
        <f t="shared" si="7"/>
        <v>0</v>
      </c>
      <c r="K62" s="99">
        <v>50</v>
      </c>
      <c r="L62" s="100">
        <f t="shared" si="8"/>
        <v>0</v>
      </c>
      <c r="M62" s="100">
        <f t="shared" si="9"/>
        <v>0</v>
      </c>
      <c r="N62" s="100">
        <v>0</v>
      </c>
      <c r="O62" s="100">
        <f t="shared" si="10"/>
        <v>0</v>
      </c>
      <c r="P62" s="100">
        <f t="shared" si="11"/>
        <v>0</v>
      </c>
      <c r="Q62" s="124">
        <f t="shared" si="12"/>
        <v>0</v>
      </c>
      <c r="R62" s="123"/>
      <c r="S62" s="123"/>
      <c r="T62" s="123"/>
      <c r="U62" s="123"/>
      <c r="V62" s="123"/>
      <c r="W62" s="123"/>
      <c r="X62" s="123"/>
      <c r="Y62" s="123"/>
      <c r="Z62" s="123"/>
      <c r="AA62" s="123"/>
      <c r="AB62" s="123"/>
      <c r="AC62" s="123"/>
      <c r="AD62" s="123"/>
      <c r="AE62" s="123"/>
      <c r="AF62" s="123"/>
      <c r="AG62" s="123"/>
      <c r="AH62" s="123"/>
      <c r="AI62" s="123"/>
      <c r="AJ62" s="123"/>
    </row>
    <row r="63" s="33" customFormat="1" ht="16.95" customHeight="1" spans="1:36">
      <c r="A63" s="87">
        <f>IF(F63&lt;&gt;"",1+MAX($A$2:A62),"")</f>
        <v>49</v>
      </c>
      <c r="B63" s="89"/>
      <c r="C63" s="89"/>
      <c r="D63" s="69" t="s">
        <v>269</v>
      </c>
      <c r="E63" s="72">
        <v>35</v>
      </c>
      <c r="F63" s="90">
        <v>0.05</v>
      </c>
      <c r="G63" s="91">
        <v>36.75</v>
      </c>
      <c r="H63" s="70" t="s">
        <v>37</v>
      </c>
      <c r="I63" s="97">
        <v>0</v>
      </c>
      <c r="J63" s="98">
        <f t="shared" si="7"/>
        <v>0</v>
      </c>
      <c r="K63" s="99">
        <v>50</v>
      </c>
      <c r="L63" s="100">
        <f t="shared" si="8"/>
        <v>0</v>
      </c>
      <c r="M63" s="100">
        <f t="shared" si="9"/>
        <v>0</v>
      </c>
      <c r="N63" s="100">
        <v>0</v>
      </c>
      <c r="O63" s="100">
        <f t="shared" si="10"/>
        <v>0</v>
      </c>
      <c r="P63" s="100">
        <f t="shared" si="11"/>
        <v>0</v>
      </c>
      <c r="Q63" s="124">
        <f t="shared" si="12"/>
        <v>0</v>
      </c>
      <c r="R63" s="123"/>
      <c r="S63" s="123"/>
      <c r="T63" s="123"/>
      <c r="U63" s="123"/>
      <c r="V63" s="123"/>
      <c r="W63" s="123"/>
      <c r="X63" s="123"/>
      <c r="Y63" s="123"/>
      <c r="Z63" s="123"/>
      <c r="AA63" s="123"/>
      <c r="AB63" s="123"/>
      <c r="AC63" s="123"/>
      <c r="AD63" s="123"/>
      <c r="AE63" s="123"/>
      <c r="AF63" s="123"/>
      <c r="AG63" s="123"/>
      <c r="AH63" s="123"/>
      <c r="AI63" s="123"/>
      <c r="AJ63" s="123"/>
    </row>
    <row r="64" s="33" customFormat="1" ht="16.95" customHeight="1" spans="1:36">
      <c r="A64" s="87">
        <f>IF(F64&lt;&gt;"",1+MAX($A$2:A63),"")</f>
        <v>50</v>
      </c>
      <c r="B64" s="89"/>
      <c r="C64" s="89"/>
      <c r="D64" s="69" t="s">
        <v>833</v>
      </c>
      <c r="E64" s="72">
        <v>16.01</v>
      </c>
      <c r="F64" s="90">
        <v>0.05</v>
      </c>
      <c r="G64" s="91">
        <v>16.8105</v>
      </c>
      <c r="H64" s="70" t="s">
        <v>37</v>
      </c>
      <c r="I64" s="97">
        <v>0</v>
      </c>
      <c r="J64" s="98">
        <f t="shared" si="7"/>
        <v>0</v>
      </c>
      <c r="K64" s="99">
        <v>50</v>
      </c>
      <c r="L64" s="100">
        <f t="shared" si="8"/>
        <v>0</v>
      </c>
      <c r="M64" s="100">
        <f t="shared" si="9"/>
        <v>0</v>
      </c>
      <c r="N64" s="100">
        <v>0</v>
      </c>
      <c r="O64" s="100">
        <f t="shared" si="10"/>
        <v>0</v>
      </c>
      <c r="P64" s="100">
        <f t="shared" si="11"/>
        <v>0</v>
      </c>
      <c r="Q64" s="124">
        <f t="shared" si="12"/>
        <v>0</v>
      </c>
      <c r="R64" s="123"/>
      <c r="S64" s="123"/>
      <c r="T64" s="123"/>
      <c r="U64" s="123"/>
      <c r="V64" s="123"/>
      <c r="W64" s="123"/>
      <c r="X64" s="123"/>
      <c r="Y64" s="123"/>
      <c r="Z64" s="123"/>
      <c r="AA64" s="123"/>
      <c r="AB64" s="123"/>
      <c r="AC64" s="123"/>
      <c r="AD64" s="123"/>
      <c r="AE64" s="123"/>
      <c r="AF64" s="123"/>
      <c r="AG64" s="123"/>
      <c r="AH64" s="123"/>
      <c r="AI64" s="123"/>
      <c r="AJ64" s="123"/>
    </row>
    <row r="65" s="33" customFormat="1" ht="16.95" customHeight="1" spans="1:36">
      <c r="A65" s="87">
        <f>IF(F65&lt;&gt;"",1+MAX($A$2:A64),"")</f>
        <v>51</v>
      </c>
      <c r="B65" s="89"/>
      <c r="C65" s="89"/>
      <c r="D65" s="69" t="s">
        <v>272</v>
      </c>
      <c r="E65" s="72">
        <v>36</v>
      </c>
      <c r="F65" s="90">
        <v>0.05</v>
      </c>
      <c r="G65" s="91">
        <v>37.8</v>
      </c>
      <c r="H65" s="70" t="s">
        <v>37</v>
      </c>
      <c r="I65" s="97">
        <v>0</v>
      </c>
      <c r="J65" s="98">
        <f t="shared" si="7"/>
        <v>0</v>
      </c>
      <c r="K65" s="99">
        <v>50</v>
      </c>
      <c r="L65" s="100">
        <f t="shared" si="8"/>
        <v>0</v>
      </c>
      <c r="M65" s="100">
        <f t="shared" si="9"/>
        <v>0</v>
      </c>
      <c r="N65" s="100">
        <v>0</v>
      </c>
      <c r="O65" s="100">
        <f t="shared" si="10"/>
        <v>0</v>
      </c>
      <c r="P65" s="100">
        <f t="shared" si="11"/>
        <v>0</v>
      </c>
      <c r="Q65" s="124">
        <f t="shared" si="12"/>
        <v>0</v>
      </c>
      <c r="R65" s="123"/>
      <c r="S65" s="123"/>
      <c r="T65" s="123"/>
      <c r="U65" s="123"/>
      <c r="V65" s="123"/>
      <c r="W65" s="123"/>
      <c r="X65" s="123"/>
      <c r="Y65" s="123"/>
      <c r="Z65" s="123"/>
      <c r="AA65" s="123"/>
      <c r="AB65" s="123"/>
      <c r="AC65" s="123"/>
      <c r="AD65" s="123"/>
      <c r="AE65" s="123"/>
      <c r="AF65" s="123"/>
      <c r="AG65" s="123"/>
      <c r="AH65" s="123"/>
      <c r="AI65" s="123"/>
      <c r="AJ65" s="123"/>
    </row>
    <row r="66" s="33" customFormat="1" ht="16.95" customHeight="1" spans="1:36">
      <c r="A66" s="87">
        <f>IF(F66&lt;&gt;"",1+MAX($A$2:A65),"")</f>
        <v>52</v>
      </c>
      <c r="B66" s="89"/>
      <c r="C66" s="89"/>
      <c r="D66" s="69" t="s">
        <v>834</v>
      </c>
      <c r="E66" s="72">
        <v>16.58</v>
      </c>
      <c r="F66" s="90">
        <v>0.05</v>
      </c>
      <c r="G66" s="91">
        <v>17.409</v>
      </c>
      <c r="H66" s="70" t="s">
        <v>37</v>
      </c>
      <c r="I66" s="97">
        <v>0</v>
      </c>
      <c r="J66" s="98">
        <f t="shared" si="7"/>
        <v>0</v>
      </c>
      <c r="K66" s="99">
        <v>50</v>
      </c>
      <c r="L66" s="100">
        <f t="shared" si="8"/>
        <v>0</v>
      </c>
      <c r="M66" s="100">
        <f t="shared" si="9"/>
        <v>0</v>
      </c>
      <c r="N66" s="100">
        <v>0</v>
      </c>
      <c r="O66" s="100">
        <f t="shared" si="10"/>
        <v>0</v>
      </c>
      <c r="P66" s="100">
        <f t="shared" si="11"/>
        <v>0</v>
      </c>
      <c r="Q66" s="124">
        <f t="shared" si="12"/>
        <v>0</v>
      </c>
      <c r="R66" s="123"/>
      <c r="S66" s="123"/>
      <c r="T66" s="123"/>
      <c r="U66" s="123"/>
      <c r="V66" s="123"/>
      <c r="W66" s="123"/>
      <c r="X66" s="123"/>
      <c r="Y66" s="123"/>
      <c r="Z66" s="123"/>
      <c r="AA66" s="123"/>
      <c r="AB66" s="123"/>
      <c r="AC66" s="123"/>
      <c r="AD66" s="123"/>
      <c r="AE66" s="123"/>
      <c r="AF66" s="123"/>
      <c r="AG66" s="123"/>
      <c r="AH66" s="123"/>
      <c r="AI66" s="123"/>
      <c r="AJ66" s="123"/>
    </row>
    <row r="67" s="33" customFormat="1" ht="16.95" customHeight="1" spans="1:36">
      <c r="A67" s="87">
        <f>IF(F67&lt;&gt;"",1+MAX($A$2:A66),"")</f>
        <v>53</v>
      </c>
      <c r="B67" s="89"/>
      <c r="C67" s="89"/>
      <c r="D67" s="69" t="s">
        <v>835</v>
      </c>
      <c r="E67" s="72">
        <v>2.98</v>
      </c>
      <c r="F67" s="90">
        <v>0.05</v>
      </c>
      <c r="G67" s="91">
        <v>3.129</v>
      </c>
      <c r="H67" s="70" t="s">
        <v>37</v>
      </c>
      <c r="I67" s="97">
        <v>0</v>
      </c>
      <c r="J67" s="98">
        <f t="shared" si="7"/>
        <v>0</v>
      </c>
      <c r="K67" s="99">
        <v>50</v>
      </c>
      <c r="L67" s="100">
        <f t="shared" si="8"/>
        <v>0</v>
      </c>
      <c r="M67" s="100">
        <f t="shared" si="9"/>
        <v>0</v>
      </c>
      <c r="N67" s="100">
        <v>0</v>
      </c>
      <c r="O67" s="100">
        <f t="shared" si="10"/>
        <v>0</v>
      </c>
      <c r="P67" s="100">
        <f t="shared" si="11"/>
        <v>0</v>
      </c>
      <c r="Q67" s="124">
        <f t="shared" si="12"/>
        <v>0</v>
      </c>
      <c r="R67" s="123"/>
      <c r="S67" s="123"/>
      <c r="T67" s="123"/>
      <c r="U67" s="123"/>
      <c r="V67" s="123"/>
      <c r="W67" s="123"/>
      <c r="X67" s="123"/>
      <c r="Y67" s="123"/>
      <c r="Z67" s="123"/>
      <c r="AA67" s="123"/>
      <c r="AB67" s="123"/>
      <c r="AC67" s="123"/>
      <c r="AD67" s="123"/>
      <c r="AE67" s="123"/>
      <c r="AF67" s="123"/>
      <c r="AG67" s="123"/>
      <c r="AH67" s="123"/>
      <c r="AI67" s="123"/>
      <c r="AJ67" s="123"/>
    </row>
    <row r="68" s="33" customFormat="1" ht="16.95" customHeight="1" spans="1:36">
      <c r="A68" s="87">
        <f>IF(F68&lt;&gt;"",1+MAX($A$2:A67),"")</f>
        <v>54</v>
      </c>
      <c r="B68" s="89"/>
      <c r="C68" s="89"/>
      <c r="D68" s="69" t="s">
        <v>836</v>
      </c>
      <c r="E68" s="72">
        <v>11.86</v>
      </c>
      <c r="F68" s="90">
        <v>0.05</v>
      </c>
      <c r="G68" s="91">
        <v>12.453</v>
      </c>
      <c r="H68" s="70" t="s">
        <v>37</v>
      </c>
      <c r="I68" s="97">
        <v>0</v>
      </c>
      <c r="J68" s="98">
        <f t="shared" si="7"/>
        <v>0</v>
      </c>
      <c r="K68" s="99">
        <v>50</v>
      </c>
      <c r="L68" s="100">
        <f t="shared" si="8"/>
        <v>0</v>
      </c>
      <c r="M68" s="100">
        <f t="shared" si="9"/>
        <v>0</v>
      </c>
      <c r="N68" s="100">
        <v>0</v>
      </c>
      <c r="O68" s="100">
        <f t="shared" si="10"/>
        <v>0</v>
      </c>
      <c r="P68" s="100">
        <f t="shared" si="11"/>
        <v>0</v>
      </c>
      <c r="Q68" s="124">
        <f t="shared" si="12"/>
        <v>0</v>
      </c>
      <c r="R68" s="123"/>
      <c r="S68" s="123"/>
      <c r="T68" s="123"/>
      <c r="U68" s="123"/>
      <c r="V68" s="123"/>
      <c r="W68" s="123"/>
      <c r="X68" s="123"/>
      <c r="Y68" s="123"/>
      <c r="Z68" s="123"/>
      <c r="AA68" s="123"/>
      <c r="AB68" s="123"/>
      <c r="AC68" s="123"/>
      <c r="AD68" s="123"/>
      <c r="AE68" s="123"/>
      <c r="AF68" s="123"/>
      <c r="AG68" s="123"/>
      <c r="AH68" s="123"/>
      <c r="AI68" s="123"/>
      <c r="AJ68" s="123"/>
    </row>
    <row r="69" s="33" customFormat="1" ht="16.95" customHeight="1" spans="1:36">
      <c r="A69" s="87" t="str">
        <f>IF(F69&lt;&gt;"",1+MAX($A$2:A68),"")</f>
        <v/>
      </c>
      <c r="B69" s="89"/>
      <c r="C69" s="89"/>
      <c r="D69" s="69"/>
      <c r="E69" s="72"/>
      <c r="F69" s="90"/>
      <c r="G69" s="91"/>
      <c r="H69" s="70"/>
      <c r="I69" s="97"/>
      <c r="J69" s="98"/>
      <c r="K69" s="99"/>
      <c r="L69" s="100"/>
      <c r="M69" s="100"/>
      <c r="N69" s="100"/>
      <c r="O69" s="100"/>
      <c r="P69" s="100"/>
      <c r="Q69" s="124"/>
      <c r="R69" s="123"/>
      <c r="S69" s="123"/>
      <c r="T69" s="123"/>
      <c r="U69" s="123"/>
      <c r="V69" s="123"/>
      <c r="W69" s="123"/>
      <c r="X69" s="123"/>
      <c r="Y69" s="123"/>
      <c r="Z69" s="123"/>
      <c r="AA69" s="123"/>
      <c r="AB69" s="123"/>
      <c r="AC69" s="123"/>
      <c r="AD69" s="123"/>
      <c r="AE69" s="123"/>
      <c r="AF69" s="123"/>
      <c r="AG69" s="123"/>
      <c r="AH69" s="123"/>
      <c r="AI69" s="123"/>
      <c r="AJ69" s="123"/>
    </row>
    <row r="70" s="33" customFormat="1" ht="16.95" customHeight="1" spans="1:36">
      <c r="A70" s="87" t="str">
        <f>IF(F70&lt;&gt;"",1+MAX($A$2:A69),"")</f>
        <v/>
      </c>
      <c r="B70" s="89"/>
      <c r="C70" s="89"/>
      <c r="D70" s="88" t="s">
        <v>837</v>
      </c>
      <c r="E70" s="72"/>
      <c r="F70" s="90"/>
      <c r="G70" s="91"/>
      <c r="H70" s="70"/>
      <c r="I70" s="97"/>
      <c r="J70" s="98"/>
      <c r="K70" s="99"/>
      <c r="L70" s="100"/>
      <c r="M70" s="100"/>
      <c r="N70" s="100"/>
      <c r="O70" s="100"/>
      <c r="P70" s="100"/>
      <c r="Q70" s="124"/>
      <c r="R70" s="123"/>
      <c r="S70" s="123"/>
      <c r="T70" s="123"/>
      <c r="U70" s="123"/>
      <c r="V70" s="123"/>
      <c r="W70" s="123"/>
      <c r="X70" s="123"/>
      <c r="Y70" s="123"/>
      <c r="Z70" s="123"/>
      <c r="AA70" s="123"/>
      <c r="AB70" s="123"/>
      <c r="AC70" s="123"/>
      <c r="AD70" s="123"/>
      <c r="AE70" s="123"/>
      <c r="AF70" s="123"/>
      <c r="AG70" s="123"/>
      <c r="AH70" s="123"/>
      <c r="AI70" s="123"/>
      <c r="AJ70" s="123"/>
    </row>
    <row r="71" s="33" customFormat="1" ht="16.95" customHeight="1" spans="1:36">
      <c r="A71" s="87">
        <f>IF(F71&lt;&gt;"",1+MAX($A$2:A70),"")</f>
        <v>55</v>
      </c>
      <c r="B71" s="89"/>
      <c r="C71" s="89"/>
      <c r="D71" s="69" t="s">
        <v>282</v>
      </c>
      <c r="E71" s="72">
        <v>12</v>
      </c>
      <c r="F71" s="90">
        <v>0</v>
      </c>
      <c r="G71" s="91">
        <v>12</v>
      </c>
      <c r="H71" s="70" t="s">
        <v>35</v>
      </c>
      <c r="I71" s="97">
        <v>0</v>
      </c>
      <c r="J71" s="98">
        <f t="shared" ref="J71:J101" si="13">+I71*G71</f>
        <v>0</v>
      </c>
      <c r="K71" s="99">
        <v>50</v>
      </c>
      <c r="L71" s="100">
        <f t="shared" ref="L71:L101" si="14">I71*K71</f>
        <v>0</v>
      </c>
      <c r="M71" s="100">
        <f t="shared" ref="M71:M101" si="15">K71*J71</f>
        <v>0</v>
      </c>
      <c r="N71" s="100">
        <v>0</v>
      </c>
      <c r="O71" s="100">
        <f t="shared" ref="O71:O101" si="16">N71*G71</f>
        <v>0</v>
      </c>
      <c r="P71" s="100">
        <f t="shared" ref="P71:P101" si="17">(I71*K71)+N71</f>
        <v>0</v>
      </c>
      <c r="Q71" s="124">
        <f t="shared" ref="Q71:Q101" si="18">P71*G71</f>
        <v>0</v>
      </c>
      <c r="R71" s="123"/>
      <c r="S71" s="123"/>
      <c r="T71" s="123"/>
      <c r="U71" s="123"/>
      <c r="V71" s="123"/>
      <c r="W71" s="123"/>
      <c r="X71" s="123"/>
      <c r="Y71" s="123"/>
      <c r="Z71" s="123"/>
      <c r="AA71" s="123"/>
      <c r="AB71" s="123"/>
      <c r="AC71" s="123"/>
      <c r="AD71" s="123"/>
      <c r="AE71" s="123"/>
      <c r="AF71" s="123"/>
      <c r="AG71" s="123"/>
      <c r="AH71" s="123"/>
      <c r="AI71" s="123"/>
      <c r="AJ71" s="123"/>
    </row>
    <row r="72" s="33" customFormat="1" ht="16.95" customHeight="1" spans="1:36">
      <c r="A72" s="87">
        <f>IF(F72&lt;&gt;"",1+MAX($A$2:A71),"")</f>
        <v>56</v>
      </c>
      <c r="B72" s="89"/>
      <c r="C72" s="89"/>
      <c r="D72" s="69" t="s">
        <v>838</v>
      </c>
      <c r="E72" s="72">
        <v>1</v>
      </c>
      <c r="F72" s="90">
        <v>0</v>
      </c>
      <c r="G72" s="91">
        <v>1</v>
      </c>
      <c r="H72" s="70" t="s">
        <v>35</v>
      </c>
      <c r="I72" s="97">
        <v>0</v>
      </c>
      <c r="J72" s="98">
        <f t="shared" si="13"/>
        <v>0</v>
      </c>
      <c r="K72" s="99">
        <v>50</v>
      </c>
      <c r="L72" s="100">
        <f t="shared" si="14"/>
        <v>0</v>
      </c>
      <c r="M72" s="100">
        <f t="shared" si="15"/>
        <v>0</v>
      </c>
      <c r="N72" s="100">
        <v>0</v>
      </c>
      <c r="O72" s="100">
        <f t="shared" si="16"/>
        <v>0</v>
      </c>
      <c r="P72" s="100">
        <f t="shared" si="17"/>
        <v>0</v>
      </c>
      <c r="Q72" s="124">
        <f t="shared" si="18"/>
        <v>0</v>
      </c>
      <c r="R72" s="123"/>
      <c r="S72" s="123"/>
      <c r="T72" s="123"/>
      <c r="U72" s="123"/>
      <c r="V72" s="123"/>
      <c r="W72" s="123"/>
      <c r="X72" s="123"/>
      <c r="Y72" s="123"/>
      <c r="Z72" s="123"/>
      <c r="AA72" s="123"/>
      <c r="AB72" s="123"/>
      <c r="AC72" s="123"/>
      <c r="AD72" s="123"/>
      <c r="AE72" s="123"/>
      <c r="AF72" s="123"/>
      <c r="AG72" s="123"/>
      <c r="AH72" s="123"/>
      <c r="AI72" s="123"/>
      <c r="AJ72" s="123"/>
    </row>
    <row r="73" s="33" customFormat="1" ht="16.95" customHeight="1" spans="1:36">
      <c r="A73" s="87">
        <f>IF(F73&lt;&gt;"",1+MAX($A$2:A72),"")</f>
        <v>57</v>
      </c>
      <c r="B73" s="89"/>
      <c r="C73" s="89"/>
      <c r="D73" s="69" t="s">
        <v>839</v>
      </c>
      <c r="E73" s="72">
        <v>4</v>
      </c>
      <c r="F73" s="90">
        <v>0</v>
      </c>
      <c r="G73" s="91">
        <v>4</v>
      </c>
      <c r="H73" s="70" t="s">
        <v>35</v>
      </c>
      <c r="I73" s="97">
        <v>0</v>
      </c>
      <c r="J73" s="98">
        <f t="shared" si="13"/>
        <v>0</v>
      </c>
      <c r="K73" s="99">
        <v>50</v>
      </c>
      <c r="L73" s="100">
        <f t="shared" si="14"/>
        <v>0</v>
      </c>
      <c r="M73" s="100">
        <f t="shared" si="15"/>
        <v>0</v>
      </c>
      <c r="N73" s="100">
        <v>0</v>
      </c>
      <c r="O73" s="100">
        <f t="shared" si="16"/>
        <v>0</v>
      </c>
      <c r="P73" s="100">
        <f t="shared" si="17"/>
        <v>0</v>
      </c>
      <c r="Q73" s="124">
        <f t="shared" si="18"/>
        <v>0</v>
      </c>
      <c r="R73" s="123"/>
      <c r="S73" s="123"/>
      <c r="T73" s="123"/>
      <c r="U73" s="123"/>
      <c r="V73" s="123"/>
      <c r="W73" s="123"/>
      <c r="X73" s="123"/>
      <c r="Y73" s="123"/>
      <c r="Z73" s="123"/>
      <c r="AA73" s="123"/>
      <c r="AB73" s="123"/>
      <c r="AC73" s="123"/>
      <c r="AD73" s="123"/>
      <c r="AE73" s="123"/>
      <c r="AF73" s="123"/>
      <c r="AG73" s="123"/>
      <c r="AH73" s="123"/>
      <c r="AI73" s="123"/>
      <c r="AJ73" s="123"/>
    </row>
    <row r="74" s="33" customFormat="1" ht="16.95" customHeight="1" spans="1:36">
      <c r="A74" s="87">
        <f>IF(F74&lt;&gt;"",1+MAX($A$2:A73),"")</f>
        <v>58</v>
      </c>
      <c r="B74" s="89"/>
      <c r="C74" s="89"/>
      <c r="D74" s="69" t="s">
        <v>279</v>
      </c>
      <c r="E74" s="72">
        <v>1</v>
      </c>
      <c r="F74" s="90">
        <v>0</v>
      </c>
      <c r="G74" s="91">
        <v>1</v>
      </c>
      <c r="H74" s="70" t="s">
        <v>35</v>
      </c>
      <c r="I74" s="97">
        <v>0</v>
      </c>
      <c r="J74" s="98">
        <f t="shared" si="13"/>
        <v>0</v>
      </c>
      <c r="K74" s="99">
        <v>50</v>
      </c>
      <c r="L74" s="100">
        <f t="shared" si="14"/>
        <v>0</v>
      </c>
      <c r="M74" s="100">
        <f t="shared" si="15"/>
        <v>0</v>
      </c>
      <c r="N74" s="100">
        <v>0</v>
      </c>
      <c r="O74" s="100">
        <f t="shared" si="16"/>
        <v>0</v>
      </c>
      <c r="P74" s="100">
        <f t="shared" si="17"/>
        <v>0</v>
      </c>
      <c r="Q74" s="124">
        <f t="shared" si="18"/>
        <v>0</v>
      </c>
      <c r="R74" s="123"/>
      <c r="S74" s="123"/>
      <c r="T74" s="123"/>
      <c r="U74" s="123"/>
      <c r="V74" s="123"/>
      <c r="W74" s="123"/>
      <c r="X74" s="123"/>
      <c r="Y74" s="123"/>
      <c r="Z74" s="123"/>
      <c r="AA74" s="123"/>
      <c r="AB74" s="123"/>
      <c r="AC74" s="123"/>
      <c r="AD74" s="123"/>
      <c r="AE74" s="123"/>
      <c r="AF74" s="123"/>
      <c r="AG74" s="123"/>
      <c r="AH74" s="123"/>
      <c r="AI74" s="123"/>
      <c r="AJ74" s="123"/>
    </row>
    <row r="75" s="33" customFormat="1" ht="16.95" customHeight="1" spans="1:36">
      <c r="A75" s="87">
        <f>IF(F75&lt;&gt;"",1+MAX($A$2:A74),"")</f>
        <v>59</v>
      </c>
      <c r="B75" s="89"/>
      <c r="C75" s="89"/>
      <c r="D75" s="69" t="s">
        <v>840</v>
      </c>
      <c r="E75" s="72">
        <v>4</v>
      </c>
      <c r="F75" s="90">
        <v>0</v>
      </c>
      <c r="G75" s="91">
        <v>4</v>
      </c>
      <c r="H75" s="70" t="s">
        <v>35</v>
      </c>
      <c r="I75" s="97">
        <v>0</v>
      </c>
      <c r="J75" s="98">
        <f t="shared" si="13"/>
        <v>0</v>
      </c>
      <c r="K75" s="99">
        <v>50</v>
      </c>
      <c r="L75" s="100">
        <f t="shared" si="14"/>
        <v>0</v>
      </c>
      <c r="M75" s="100">
        <f t="shared" si="15"/>
        <v>0</v>
      </c>
      <c r="N75" s="100">
        <v>0</v>
      </c>
      <c r="O75" s="100">
        <f t="shared" si="16"/>
        <v>0</v>
      </c>
      <c r="P75" s="100">
        <f t="shared" si="17"/>
        <v>0</v>
      </c>
      <c r="Q75" s="124">
        <f t="shared" si="18"/>
        <v>0</v>
      </c>
      <c r="R75" s="123"/>
      <c r="S75" s="123"/>
      <c r="T75" s="123"/>
      <c r="U75" s="123"/>
      <c r="V75" s="123"/>
      <c r="W75" s="123"/>
      <c r="X75" s="123"/>
      <c r="Y75" s="123"/>
      <c r="Z75" s="123"/>
      <c r="AA75" s="123"/>
      <c r="AB75" s="123"/>
      <c r="AC75" s="123"/>
      <c r="AD75" s="123"/>
      <c r="AE75" s="123"/>
      <c r="AF75" s="123"/>
      <c r="AG75" s="123"/>
      <c r="AH75" s="123"/>
      <c r="AI75" s="123"/>
      <c r="AJ75" s="123"/>
    </row>
    <row r="76" s="33" customFormat="1" ht="16.95" customHeight="1" spans="1:36">
      <c r="A76" s="87">
        <f>IF(F76&lt;&gt;"",1+MAX($A$2:A75),"")</f>
        <v>60</v>
      </c>
      <c r="B76" s="89"/>
      <c r="C76" s="89"/>
      <c r="D76" s="69" t="s">
        <v>841</v>
      </c>
      <c r="E76" s="72">
        <v>25</v>
      </c>
      <c r="F76" s="90">
        <v>0</v>
      </c>
      <c r="G76" s="91">
        <v>25</v>
      </c>
      <c r="H76" s="70" t="s">
        <v>35</v>
      </c>
      <c r="I76" s="97">
        <v>0</v>
      </c>
      <c r="J76" s="98">
        <f t="shared" si="13"/>
        <v>0</v>
      </c>
      <c r="K76" s="99">
        <v>50</v>
      </c>
      <c r="L76" s="100">
        <f t="shared" si="14"/>
        <v>0</v>
      </c>
      <c r="M76" s="100">
        <f t="shared" si="15"/>
        <v>0</v>
      </c>
      <c r="N76" s="100">
        <v>0</v>
      </c>
      <c r="O76" s="100">
        <f t="shared" si="16"/>
        <v>0</v>
      </c>
      <c r="P76" s="100">
        <f t="shared" si="17"/>
        <v>0</v>
      </c>
      <c r="Q76" s="124">
        <f t="shared" si="18"/>
        <v>0</v>
      </c>
      <c r="R76" s="123"/>
      <c r="S76" s="123"/>
      <c r="T76" s="123"/>
      <c r="U76" s="123"/>
      <c r="V76" s="123"/>
      <c r="W76" s="123"/>
      <c r="X76" s="123"/>
      <c r="Y76" s="123"/>
      <c r="Z76" s="123"/>
      <c r="AA76" s="123"/>
      <c r="AB76" s="123"/>
      <c r="AC76" s="123"/>
      <c r="AD76" s="123"/>
      <c r="AE76" s="123"/>
      <c r="AF76" s="123"/>
      <c r="AG76" s="123"/>
      <c r="AH76" s="123"/>
      <c r="AI76" s="123"/>
      <c r="AJ76" s="123"/>
    </row>
    <row r="77" s="33" customFormat="1" ht="16.95" customHeight="1" spans="1:36">
      <c r="A77" s="87">
        <f>IF(F77&lt;&gt;"",1+MAX($A$2:A76),"")</f>
        <v>61</v>
      </c>
      <c r="B77" s="89"/>
      <c r="C77" s="89"/>
      <c r="D77" s="69" t="s">
        <v>842</v>
      </c>
      <c r="E77" s="72">
        <v>8</v>
      </c>
      <c r="F77" s="90">
        <v>0</v>
      </c>
      <c r="G77" s="91">
        <v>8</v>
      </c>
      <c r="H77" s="70" t="s">
        <v>35</v>
      </c>
      <c r="I77" s="97">
        <v>0</v>
      </c>
      <c r="J77" s="98">
        <f t="shared" si="13"/>
        <v>0</v>
      </c>
      <c r="K77" s="99">
        <v>50</v>
      </c>
      <c r="L77" s="100">
        <f t="shared" si="14"/>
        <v>0</v>
      </c>
      <c r="M77" s="100">
        <f t="shared" si="15"/>
        <v>0</v>
      </c>
      <c r="N77" s="100">
        <v>0</v>
      </c>
      <c r="O77" s="100">
        <f t="shared" si="16"/>
        <v>0</v>
      </c>
      <c r="P77" s="100">
        <f t="shared" si="17"/>
        <v>0</v>
      </c>
      <c r="Q77" s="124">
        <f t="shared" si="18"/>
        <v>0</v>
      </c>
      <c r="R77" s="123"/>
      <c r="S77" s="123"/>
      <c r="T77" s="123"/>
      <c r="U77" s="123"/>
      <c r="V77" s="123"/>
      <c r="W77" s="123"/>
      <c r="X77" s="123"/>
      <c r="Y77" s="123"/>
      <c r="Z77" s="123"/>
      <c r="AA77" s="123"/>
      <c r="AB77" s="123"/>
      <c r="AC77" s="123"/>
      <c r="AD77" s="123"/>
      <c r="AE77" s="123"/>
      <c r="AF77" s="123"/>
      <c r="AG77" s="123"/>
      <c r="AH77" s="123"/>
      <c r="AI77" s="123"/>
      <c r="AJ77" s="123"/>
    </row>
    <row r="78" s="33" customFormat="1" ht="16.95" customHeight="1" spans="1:36">
      <c r="A78" s="87">
        <f>IF(F78&lt;&gt;"",1+MAX($A$2:A77),"")</f>
        <v>62</v>
      </c>
      <c r="B78" s="89"/>
      <c r="C78" s="89"/>
      <c r="D78" s="69" t="s">
        <v>843</v>
      </c>
      <c r="E78" s="72">
        <v>1</v>
      </c>
      <c r="F78" s="90">
        <v>0</v>
      </c>
      <c r="G78" s="91">
        <v>1</v>
      </c>
      <c r="H78" s="70" t="s">
        <v>35</v>
      </c>
      <c r="I78" s="97">
        <v>0</v>
      </c>
      <c r="J78" s="98">
        <f t="shared" si="13"/>
        <v>0</v>
      </c>
      <c r="K78" s="99">
        <v>50</v>
      </c>
      <c r="L78" s="100">
        <f t="shared" si="14"/>
        <v>0</v>
      </c>
      <c r="M78" s="100">
        <f t="shared" si="15"/>
        <v>0</v>
      </c>
      <c r="N78" s="100">
        <v>0</v>
      </c>
      <c r="O78" s="100">
        <f t="shared" si="16"/>
        <v>0</v>
      </c>
      <c r="P78" s="100">
        <f t="shared" si="17"/>
        <v>0</v>
      </c>
      <c r="Q78" s="124">
        <f t="shared" si="18"/>
        <v>0</v>
      </c>
      <c r="R78" s="123"/>
      <c r="S78" s="123"/>
      <c r="T78" s="123"/>
      <c r="U78" s="123"/>
      <c r="V78" s="123"/>
      <c r="W78" s="123"/>
      <c r="X78" s="123"/>
      <c r="Y78" s="123"/>
      <c r="Z78" s="123"/>
      <c r="AA78" s="123"/>
      <c r="AB78" s="123"/>
      <c r="AC78" s="123"/>
      <c r="AD78" s="123"/>
      <c r="AE78" s="123"/>
      <c r="AF78" s="123"/>
      <c r="AG78" s="123"/>
      <c r="AH78" s="123"/>
      <c r="AI78" s="123"/>
      <c r="AJ78" s="123"/>
    </row>
    <row r="79" s="33" customFormat="1" ht="16.95" customHeight="1" spans="1:36">
      <c r="A79" s="87">
        <f>IF(F79&lt;&gt;"",1+MAX($A$2:A78),"")</f>
        <v>63</v>
      </c>
      <c r="B79" s="89"/>
      <c r="C79" s="89"/>
      <c r="D79" s="69" t="s">
        <v>844</v>
      </c>
      <c r="E79" s="72">
        <v>1</v>
      </c>
      <c r="F79" s="90">
        <v>0</v>
      </c>
      <c r="G79" s="91">
        <v>1</v>
      </c>
      <c r="H79" s="70" t="s">
        <v>35</v>
      </c>
      <c r="I79" s="97">
        <v>0</v>
      </c>
      <c r="J79" s="98">
        <f t="shared" si="13"/>
        <v>0</v>
      </c>
      <c r="K79" s="99">
        <v>50</v>
      </c>
      <c r="L79" s="100">
        <f t="shared" si="14"/>
        <v>0</v>
      </c>
      <c r="M79" s="100">
        <f t="shared" si="15"/>
        <v>0</v>
      </c>
      <c r="N79" s="100">
        <v>0</v>
      </c>
      <c r="O79" s="100">
        <f t="shared" si="16"/>
        <v>0</v>
      </c>
      <c r="P79" s="100">
        <f t="shared" si="17"/>
        <v>0</v>
      </c>
      <c r="Q79" s="124">
        <f t="shared" si="18"/>
        <v>0</v>
      </c>
      <c r="R79" s="123"/>
      <c r="S79" s="123"/>
      <c r="T79" s="123"/>
      <c r="U79" s="123"/>
      <c r="V79" s="123"/>
      <c r="W79" s="123"/>
      <c r="X79" s="123"/>
      <c r="Y79" s="123"/>
      <c r="Z79" s="123"/>
      <c r="AA79" s="123"/>
      <c r="AB79" s="123"/>
      <c r="AC79" s="123"/>
      <c r="AD79" s="123"/>
      <c r="AE79" s="123"/>
      <c r="AF79" s="123"/>
      <c r="AG79" s="123"/>
      <c r="AH79" s="123"/>
      <c r="AI79" s="123"/>
      <c r="AJ79" s="123"/>
    </row>
    <row r="80" s="33" customFormat="1" ht="16.95" customHeight="1" spans="1:36">
      <c r="A80" s="87">
        <f>IF(F80&lt;&gt;"",1+MAX($A$2:A79),"")</f>
        <v>64</v>
      </c>
      <c r="B80" s="89"/>
      <c r="C80" s="89"/>
      <c r="D80" s="69" t="s">
        <v>845</v>
      </c>
      <c r="E80" s="72">
        <v>1</v>
      </c>
      <c r="F80" s="90">
        <v>0</v>
      </c>
      <c r="G80" s="91">
        <v>1</v>
      </c>
      <c r="H80" s="70" t="s">
        <v>35</v>
      </c>
      <c r="I80" s="97">
        <v>0</v>
      </c>
      <c r="J80" s="98">
        <f t="shared" si="13"/>
        <v>0</v>
      </c>
      <c r="K80" s="99">
        <v>50</v>
      </c>
      <c r="L80" s="100">
        <f t="shared" si="14"/>
        <v>0</v>
      </c>
      <c r="M80" s="100">
        <f t="shared" si="15"/>
        <v>0</v>
      </c>
      <c r="N80" s="100">
        <v>0</v>
      </c>
      <c r="O80" s="100">
        <f t="shared" si="16"/>
        <v>0</v>
      </c>
      <c r="P80" s="100">
        <f t="shared" si="17"/>
        <v>0</v>
      </c>
      <c r="Q80" s="124">
        <f t="shared" si="18"/>
        <v>0</v>
      </c>
      <c r="R80" s="123"/>
      <c r="S80" s="123"/>
      <c r="T80" s="123"/>
      <c r="U80" s="123"/>
      <c r="V80" s="123"/>
      <c r="W80" s="123"/>
      <c r="X80" s="123"/>
      <c r="Y80" s="123"/>
      <c r="Z80" s="123"/>
      <c r="AA80" s="123"/>
      <c r="AB80" s="123"/>
      <c r="AC80" s="123"/>
      <c r="AD80" s="123"/>
      <c r="AE80" s="123"/>
      <c r="AF80" s="123"/>
      <c r="AG80" s="123"/>
      <c r="AH80" s="123"/>
      <c r="AI80" s="123"/>
      <c r="AJ80" s="123"/>
    </row>
    <row r="81" s="33" customFormat="1" ht="16.95" customHeight="1" spans="1:36">
      <c r="A81" s="87">
        <f>IF(F81&lt;&gt;"",1+MAX($A$2:A80),"")</f>
        <v>65</v>
      </c>
      <c r="B81" s="89"/>
      <c r="C81" s="89"/>
      <c r="D81" s="69" t="s">
        <v>846</v>
      </c>
      <c r="E81" s="72">
        <v>5</v>
      </c>
      <c r="F81" s="90">
        <v>0</v>
      </c>
      <c r="G81" s="91">
        <v>5</v>
      </c>
      <c r="H81" s="70" t="s">
        <v>35</v>
      </c>
      <c r="I81" s="97">
        <v>0</v>
      </c>
      <c r="J81" s="98">
        <f t="shared" si="13"/>
        <v>0</v>
      </c>
      <c r="K81" s="99">
        <v>50</v>
      </c>
      <c r="L81" s="100">
        <f t="shared" si="14"/>
        <v>0</v>
      </c>
      <c r="M81" s="100">
        <f t="shared" si="15"/>
        <v>0</v>
      </c>
      <c r="N81" s="100">
        <v>0</v>
      </c>
      <c r="O81" s="100">
        <f t="shared" si="16"/>
        <v>0</v>
      </c>
      <c r="P81" s="100">
        <f t="shared" si="17"/>
        <v>0</v>
      </c>
      <c r="Q81" s="124">
        <f t="shared" si="18"/>
        <v>0</v>
      </c>
      <c r="R81" s="123"/>
      <c r="S81" s="123"/>
      <c r="T81" s="123"/>
      <c r="U81" s="123"/>
      <c r="V81" s="123"/>
      <c r="W81" s="123"/>
      <c r="X81" s="123"/>
      <c r="Y81" s="123"/>
      <c r="Z81" s="123"/>
      <c r="AA81" s="123"/>
      <c r="AB81" s="123"/>
      <c r="AC81" s="123"/>
      <c r="AD81" s="123"/>
      <c r="AE81" s="123"/>
      <c r="AF81" s="123"/>
      <c r="AG81" s="123"/>
      <c r="AH81" s="123"/>
      <c r="AI81" s="123"/>
      <c r="AJ81" s="123"/>
    </row>
    <row r="82" s="33" customFormat="1" ht="16.95" customHeight="1" spans="1:36">
      <c r="A82" s="87">
        <f>IF(F82&lt;&gt;"",1+MAX($A$2:A81),"")</f>
        <v>66</v>
      </c>
      <c r="B82" s="89"/>
      <c r="C82" s="89"/>
      <c r="D82" s="69" t="s">
        <v>847</v>
      </c>
      <c r="E82" s="72">
        <v>1</v>
      </c>
      <c r="F82" s="90">
        <v>0</v>
      </c>
      <c r="G82" s="91">
        <v>1</v>
      </c>
      <c r="H82" s="70" t="s">
        <v>35</v>
      </c>
      <c r="I82" s="97">
        <v>0</v>
      </c>
      <c r="J82" s="98">
        <f t="shared" si="13"/>
        <v>0</v>
      </c>
      <c r="K82" s="99">
        <v>50</v>
      </c>
      <c r="L82" s="100">
        <f t="shared" si="14"/>
        <v>0</v>
      </c>
      <c r="M82" s="100">
        <f t="shared" si="15"/>
        <v>0</v>
      </c>
      <c r="N82" s="100">
        <v>0</v>
      </c>
      <c r="O82" s="100">
        <f t="shared" si="16"/>
        <v>0</v>
      </c>
      <c r="P82" s="100">
        <f t="shared" si="17"/>
        <v>0</v>
      </c>
      <c r="Q82" s="124">
        <f t="shared" si="18"/>
        <v>0</v>
      </c>
      <c r="R82" s="123"/>
      <c r="S82" s="123"/>
      <c r="T82" s="123"/>
      <c r="U82" s="123"/>
      <c r="V82" s="123"/>
      <c r="W82" s="123"/>
      <c r="X82" s="123"/>
      <c r="Y82" s="123"/>
      <c r="Z82" s="123"/>
      <c r="AA82" s="123"/>
      <c r="AB82" s="123"/>
      <c r="AC82" s="123"/>
      <c r="AD82" s="123"/>
      <c r="AE82" s="123"/>
      <c r="AF82" s="123"/>
      <c r="AG82" s="123"/>
      <c r="AH82" s="123"/>
      <c r="AI82" s="123"/>
      <c r="AJ82" s="123"/>
    </row>
    <row r="83" s="33" customFormat="1" ht="16.95" customHeight="1" spans="1:36">
      <c r="A83" s="87">
        <f>IF(F83&lt;&gt;"",1+MAX($A$2:A82),"")</f>
        <v>67</v>
      </c>
      <c r="B83" s="89"/>
      <c r="C83" s="89"/>
      <c r="D83" s="69" t="s">
        <v>848</v>
      </c>
      <c r="E83" s="72">
        <v>3</v>
      </c>
      <c r="F83" s="90">
        <v>0</v>
      </c>
      <c r="G83" s="91">
        <v>3</v>
      </c>
      <c r="H83" s="70" t="s">
        <v>35</v>
      </c>
      <c r="I83" s="97">
        <v>0</v>
      </c>
      <c r="J83" s="98">
        <f t="shared" si="13"/>
        <v>0</v>
      </c>
      <c r="K83" s="99">
        <v>50</v>
      </c>
      <c r="L83" s="100">
        <f t="shared" si="14"/>
        <v>0</v>
      </c>
      <c r="M83" s="100">
        <f t="shared" si="15"/>
        <v>0</v>
      </c>
      <c r="N83" s="100">
        <v>0</v>
      </c>
      <c r="O83" s="100">
        <f t="shared" si="16"/>
        <v>0</v>
      </c>
      <c r="P83" s="100">
        <f t="shared" si="17"/>
        <v>0</v>
      </c>
      <c r="Q83" s="124">
        <f t="shared" si="18"/>
        <v>0</v>
      </c>
      <c r="R83" s="123"/>
      <c r="S83" s="123"/>
      <c r="T83" s="123"/>
      <c r="U83" s="123"/>
      <c r="V83" s="123"/>
      <c r="W83" s="123"/>
      <c r="X83" s="123"/>
      <c r="Y83" s="123"/>
      <c r="Z83" s="123"/>
      <c r="AA83" s="123"/>
      <c r="AB83" s="123"/>
      <c r="AC83" s="123"/>
      <c r="AD83" s="123"/>
      <c r="AE83" s="123"/>
      <c r="AF83" s="123"/>
      <c r="AG83" s="123"/>
      <c r="AH83" s="123"/>
      <c r="AI83" s="123"/>
      <c r="AJ83" s="123"/>
    </row>
    <row r="84" s="33" customFormat="1" ht="16.95" customHeight="1" spans="1:36">
      <c r="A84" s="87">
        <f>IF(F84&lt;&gt;"",1+MAX($A$2:A83),"")</f>
        <v>68</v>
      </c>
      <c r="B84" s="89"/>
      <c r="C84" s="89"/>
      <c r="D84" s="69" t="s">
        <v>849</v>
      </c>
      <c r="E84" s="72">
        <v>4</v>
      </c>
      <c r="F84" s="90">
        <v>0</v>
      </c>
      <c r="G84" s="91">
        <v>4</v>
      </c>
      <c r="H84" s="70" t="s">
        <v>35</v>
      </c>
      <c r="I84" s="97">
        <v>0</v>
      </c>
      <c r="J84" s="98">
        <f t="shared" si="13"/>
        <v>0</v>
      </c>
      <c r="K84" s="99">
        <v>50</v>
      </c>
      <c r="L84" s="100">
        <f t="shared" si="14"/>
        <v>0</v>
      </c>
      <c r="M84" s="100">
        <f t="shared" si="15"/>
        <v>0</v>
      </c>
      <c r="N84" s="100">
        <v>0</v>
      </c>
      <c r="O84" s="100">
        <f t="shared" si="16"/>
        <v>0</v>
      </c>
      <c r="P84" s="100">
        <f t="shared" si="17"/>
        <v>0</v>
      </c>
      <c r="Q84" s="124">
        <f t="shared" si="18"/>
        <v>0</v>
      </c>
      <c r="R84" s="123"/>
      <c r="S84" s="123"/>
      <c r="T84" s="123"/>
      <c r="U84" s="123"/>
      <c r="V84" s="123"/>
      <c r="W84" s="123"/>
      <c r="X84" s="123"/>
      <c r="Y84" s="123"/>
      <c r="Z84" s="123"/>
      <c r="AA84" s="123"/>
      <c r="AB84" s="123"/>
      <c r="AC84" s="123"/>
      <c r="AD84" s="123"/>
      <c r="AE84" s="123"/>
      <c r="AF84" s="123"/>
      <c r="AG84" s="123"/>
      <c r="AH84" s="123"/>
      <c r="AI84" s="123"/>
      <c r="AJ84" s="123"/>
    </row>
    <row r="85" s="33" customFormat="1" ht="16.95" customHeight="1" spans="1:36">
      <c r="A85" s="87">
        <f>IF(F85&lt;&gt;"",1+MAX($A$2:A84),"")</f>
        <v>69</v>
      </c>
      <c r="B85" s="89"/>
      <c r="C85" s="89"/>
      <c r="D85" s="69" t="s">
        <v>850</v>
      </c>
      <c r="E85" s="72">
        <v>1</v>
      </c>
      <c r="F85" s="90">
        <v>0</v>
      </c>
      <c r="G85" s="91">
        <v>1</v>
      </c>
      <c r="H85" s="70" t="s">
        <v>35</v>
      </c>
      <c r="I85" s="97">
        <v>0</v>
      </c>
      <c r="J85" s="98">
        <f t="shared" si="13"/>
        <v>0</v>
      </c>
      <c r="K85" s="99">
        <v>50</v>
      </c>
      <c r="L85" s="100">
        <f t="shared" si="14"/>
        <v>0</v>
      </c>
      <c r="M85" s="100">
        <f t="shared" si="15"/>
        <v>0</v>
      </c>
      <c r="N85" s="100">
        <v>0</v>
      </c>
      <c r="O85" s="100">
        <f t="shared" si="16"/>
        <v>0</v>
      </c>
      <c r="P85" s="100">
        <f t="shared" si="17"/>
        <v>0</v>
      </c>
      <c r="Q85" s="124">
        <f t="shared" si="18"/>
        <v>0</v>
      </c>
      <c r="R85" s="123"/>
      <c r="S85" s="123"/>
      <c r="T85" s="123"/>
      <c r="U85" s="123"/>
      <c r="V85" s="123"/>
      <c r="W85" s="123"/>
      <c r="X85" s="123"/>
      <c r="Y85" s="123"/>
      <c r="Z85" s="123"/>
      <c r="AA85" s="123"/>
      <c r="AB85" s="123"/>
      <c r="AC85" s="123"/>
      <c r="AD85" s="123"/>
      <c r="AE85" s="123"/>
      <c r="AF85" s="123"/>
      <c r="AG85" s="123"/>
      <c r="AH85" s="123"/>
      <c r="AI85" s="123"/>
      <c r="AJ85" s="123"/>
    </row>
    <row r="86" s="33" customFormat="1" ht="16.95" customHeight="1" spans="1:36">
      <c r="A86" s="87">
        <f>IF(F86&lt;&gt;"",1+MAX($A$2:A85),"")</f>
        <v>70</v>
      </c>
      <c r="B86" s="89"/>
      <c r="C86" s="89"/>
      <c r="D86" s="69" t="s">
        <v>851</v>
      </c>
      <c r="E86" s="72">
        <v>1</v>
      </c>
      <c r="F86" s="90">
        <v>0</v>
      </c>
      <c r="G86" s="91">
        <v>1</v>
      </c>
      <c r="H86" s="70" t="s">
        <v>35</v>
      </c>
      <c r="I86" s="97">
        <v>0</v>
      </c>
      <c r="J86" s="98">
        <f t="shared" si="13"/>
        <v>0</v>
      </c>
      <c r="K86" s="99">
        <v>50</v>
      </c>
      <c r="L86" s="100">
        <f t="shared" si="14"/>
        <v>0</v>
      </c>
      <c r="M86" s="100">
        <f t="shared" si="15"/>
        <v>0</v>
      </c>
      <c r="N86" s="100">
        <v>0</v>
      </c>
      <c r="O86" s="100">
        <f t="shared" si="16"/>
        <v>0</v>
      </c>
      <c r="P86" s="100">
        <f t="shared" si="17"/>
        <v>0</v>
      </c>
      <c r="Q86" s="124">
        <f t="shared" si="18"/>
        <v>0</v>
      </c>
      <c r="R86" s="123"/>
      <c r="S86" s="123"/>
      <c r="T86" s="123"/>
      <c r="U86" s="123"/>
      <c r="V86" s="123"/>
      <c r="W86" s="123"/>
      <c r="X86" s="123"/>
      <c r="Y86" s="123"/>
      <c r="Z86" s="123"/>
      <c r="AA86" s="123"/>
      <c r="AB86" s="123"/>
      <c r="AC86" s="123"/>
      <c r="AD86" s="123"/>
      <c r="AE86" s="123"/>
      <c r="AF86" s="123"/>
      <c r="AG86" s="123"/>
      <c r="AH86" s="123"/>
      <c r="AI86" s="123"/>
      <c r="AJ86" s="123"/>
    </row>
    <row r="87" s="33" customFormat="1" ht="16.95" customHeight="1" spans="1:36">
      <c r="A87" s="87">
        <f>IF(F87&lt;&gt;"",1+MAX($A$2:A86),"")</f>
        <v>71</v>
      </c>
      <c r="B87" s="89"/>
      <c r="C87" s="89"/>
      <c r="D87" s="69" t="s">
        <v>852</v>
      </c>
      <c r="E87" s="72">
        <v>1</v>
      </c>
      <c r="F87" s="90">
        <v>0</v>
      </c>
      <c r="G87" s="91">
        <v>1</v>
      </c>
      <c r="H87" s="70" t="s">
        <v>35</v>
      </c>
      <c r="I87" s="97">
        <v>0</v>
      </c>
      <c r="J87" s="98">
        <f t="shared" si="13"/>
        <v>0</v>
      </c>
      <c r="K87" s="99">
        <v>50</v>
      </c>
      <c r="L87" s="100">
        <f t="shared" si="14"/>
        <v>0</v>
      </c>
      <c r="M87" s="100">
        <f t="shared" si="15"/>
        <v>0</v>
      </c>
      <c r="N87" s="100">
        <v>0</v>
      </c>
      <c r="O87" s="100">
        <f t="shared" si="16"/>
        <v>0</v>
      </c>
      <c r="P87" s="100">
        <f t="shared" si="17"/>
        <v>0</v>
      </c>
      <c r="Q87" s="124">
        <f t="shared" si="18"/>
        <v>0</v>
      </c>
      <c r="R87" s="123"/>
      <c r="S87" s="123"/>
      <c r="T87" s="123"/>
      <c r="U87" s="123"/>
      <c r="V87" s="123"/>
      <c r="W87" s="123"/>
      <c r="X87" s="123"/>
      <c r="Y87" s="123"/>
      <c r="Z87" s="123"/>
      <c r="AA87" s="123"/>
      <c r="AB87" s="123"/>
      <c r="AC87" s="123"/>
      <c r="AD87" s="123"/>
      <c r="AE87" s="123"/>
      <c r="AF87" s="123"/>
      <c r="AG87" s="123"/>
      <c r="AH87" s="123"/>
      <c r="AI87" s="123"/>
      <c r="AJ87" s="123"/>
    </row>
    <row r="88" s="33" customFormat="1" ht="16.95" customHeight="1" spans="1:36">
      <c r="A88" s="87">
        <f>IF(F88&lt;&gt;"",1+MAX($A$2:A87),"")</f>
        <v>72</v>
      </c>
      <c r="B88" s="89"/>
      <c r="C88" s="89"/>
      <c r="D88" s="69" t="s">
        <v>853</v>
      </c>
      <c r="E88" s="72">
        <v>5</v>
      </c>
      <c r="F88" s="90">
        <v>0</v>
      </c>
      <c r="G88" s="91">
        <v>5</v>
      </c>
      <c r="H88" s="70" t="s">
        <v>35</v>
      </c>
      <c r="I88" s="97">
        <v>0</v>
      </c>
      <c r="J88" s="98">
        <f t="shared" si="13"/>
        <v>0</v>
      </c>
      <c r="K88" s="99">
        <v>50</v>
      </c>
      <c r="L88" s="100">
        <f t="shared" si="14"/>
        <v>0</v>
      </c>
      <c r="M88" s="100">
        <f t="shared" si="15"/>
        <v>0</v>
      </c>
      <c r="N88" s="100">
        <v>0</v>
      </c>
      <c r="O88" s="100">
        <f t="shared" si="16"/>
        <v>0</v>
      </c>
      <c r="P88" s="100">
        <f t="shared" si="17"/>
        <v>0</v>
      </c>
      <c r="Q88" s="124">
        <f t="shared" si="18"/>
        <v>0</v>
      </c>
      <c r="R88" s="123"/>
      <c r="S88" s="123"/>
      <c r="T88" s="123"/>
      <c r="U88" s="123"/>
      <c r="V88" s="123"/>
      <c r="W88" s="123"/>
      <c r="X88" s="123"/>
      <c r="Y88" s="123"/>
      <c r="Z88" s="123"/>
      <c r="AA88" s="123"/>
      <c r="AB88" s="123"/>
      <c r="AC88" s="123"/>
      <c r="AD88" s="123"/>
      <c r="AE88" s="123"/>
      <c r="AF88" s="123"/>
      <c r="AG88" s="123"/>
      <c r="AH88" s="123"/>
      <c r="AI88" s="123"/>
      <c r="AJ88" s="123"/>
    </row>
    <row r="89" s="33" customFormat="1" ht="16.95" customHeight="1" spans="1:36">
      <c r="A89" s="87">
        <f>IF(F89&lt;&gt;"",1+MAX($A$2:A88),"")</f>
        <v>73</v>
      </c>
      <c r="B89" s="89"/>
      <c r="C89" s="89"/>
      <c r="D89" s="69" t="s">
        <v>854</v>
      </c>
      <c r="E89" s="72">
        <v>1</v>
      </c>
      <c r="F89" s="90">
        <v>0</v>
      </c>
      <c r="G89" s="91">
        <v>1</v>
      </c>
      <c r="H89" s="70" t="s">
        <v>35</v>
      </c>
      <c r="I89" s="97">
        <v>0</v>
      </c>
      <c r="J89" s="98">
        <f t="shared" si="13"/>
        <v>0</v>
      </c>
      <c r="K89" s="99">
        <v>50</v>
      </c>
      <c r="L89" s="100">
        <f t="shared" si="14"/>
        <v>0</v>
      </c>
      <c r="M89" s="100">
        <f t="shared" si="15"/>
        <v>0</v>
      </c>
      <c r="N89" s="100">
        <v>0</v>
      </c>
      <c r="O89" s="100">
        <f t="shared" si="16"/>
        <v>0</v>
      </c>
      <c r="P89" s="100">
        <f t="shared" si="17"/>
        <v>0</v>
      </c>
      <c r="Q89" s="124">
        <f t="shared" si="18"/>
        <v>0</v>
      </c>
      <c r="R89" s="123"/>
      <c r="S89" s="123"/>
      <c r="T89" s="123"/>
      <c r="U89" s="123"/>
      <c r="V89" s="123"/>
      <c r="W89" s="123"/>
      <c r="X89" s="123"/>
      <c r="Y89" s="123"/>
      <c r="Z89" s="123"/>
      <c r="AA89" s="123"/>
      <c r="AB89" s="123"/>
      <c r="AC89" s="123"/>
      <c r="AD89" s="123"/>
      <c r="AE89" s="123"/>
      <c r="AF89" s="123"/>
      <c r="AG89" s="123"/>
      <c r="AH89" s="123"/>
      <c r="AI89" s="123"/>
      <c r="AJ89" s="123"/>
    </row>
    <row r="90" s="33" customFormat="1" ht="16.95" customHeight="1" spans="1:36">
      <c r="A90" s="87">
        <f>IF(F90&lt;&gt;"",1+MAX($A$2:A89),"")</f>
        <v>74</v>
      </c>
      <c r="B90" s="89"/>
      <c r="C90" s="89"/>
      <c r="D90" s="69" t="s">
        <v>855</v>
      </c>
      <c r="E90" s="72">
        <v>1</v>
      </c>
      <c r="F90" s="90">
        <v>0</v>
      </c>
      <c r="G90" s="91">
        <v>1</v>
      </c>
      <c r="H90" s="70" t="s">
        <v>35</v>
      </c>
      <c r="I90" s="97">
        <v>0</v>
      </c>
      <c r="J90" s="98">
        <f t="shared" si="13"/>
        <v>0</v>
      </c>
      <c r="K90" s="99">
        <v>50</v>
      </c>
      <c r="L90" s="100">
        <f t="shared" si="14"/>
        <v>0</v>
      </c>
      <c r="M90" s="100">
        <f t="shared" si="15"/>
        <v>0</v>
      </c>
      <c r="N90" s="100">
        <v>0</v>
      </c>
      <c r="O90" s="100">
        <f t="shared" si="16"/>
        <v>0</v>
      </c>
      <c r="P90" s="100">
        <f t="shared" si="17"/>
        <v>0</v>
      </c>
      <c r="Q90" s="124">
        <f t="shared" si="18"/>
        <v>0</v>
      </c>
      <c r="R90" s="123"/>
      <c r="S90" s="123"/>
      <c r="T90" s="123"/>
      <c r="U90" s="123"/>
      <c r="V90" s="123"/>
      <c r="W90" s="123"/>
      <c r="X90" s="123"/>
      <c r="Y90" s="123"/>
      <c r="Z90" s="123"/>
      <c r="AA90" s="123"/>
      <c r="AB90" s="123"/>
      <c r="AC90" s="123"/>
      <c r="AD90" s="123"/>
      <c r="AE90" s="123"/>
      <c r="AF90" s="123"/>
      <c r="AG90" s="123"/>
      <c r="AH90" s="123"/>
      <c r="AI90" s="123"/>
      <c r="AJ90" s="123"/>
    </row>
    <row r="91" s="33" customFormat="1" ht="16.95" customHeight="1" spans="1:36">
      <c r="A91" s="87">
        <f>IF(F91&lt;&gt;"",1+MAX($A$2:A90),"")</f>
        <v>75</v>
      </c>
      <c r="B91" s="89"/>
      <c r="C91" s="89"/>
      <c r="D91" s="69" t="s">
        <v>856</v>
      </c>
      <c r="E91" s="72">
        <v>1</v>
      </c>
      <c r="F91" s="90">
        <v>0</v>
      </c>
      <c r="G91" s="91">
        <v>1</v>
      </c>
      <c r="H91" s="70" t="s">
        <v>35</v>
      </c>
      <c r="I91" s="97">
        <v>0</v>
      </c>
      <c r="J91" s="98">
        <f t="shared" si="13"/>
        <v>0</v>
      </c>
      <c r="K91" s="99">
        <v>50</v>
      </c>
      <c r="L91" s="100">
        <f t="shared" si="14"/>
        <v>0</v>
      </c>
      <c r="M91" s="100">
        <f t="shared" si="15"/>
        <v>0</v>
      </c>
      <c r="N91" s="100">
        <v>0</v>
      </c>
      <c r="O91" s="100">
        <f t="shared" si="16"/>
        <v>0</v>
      </c>
      <c r="P91" s="100">
        <f t="shared" si="17"/>
        <v>0</v>
      </c>
      <c r="Q91" s="124">
        <f t="shared" si="18"/>
        <v>0</v>
      </c>
      <c r="R91" s="123"/>
      <c r="S91" s="123"/>
      <c r="T91" s="123"/>
      <c r="U91" s="123"/>
      <c r="V91" s="123"/>
      <c r="W91" s="123"/>
      <c r="X91" s="123"/>
      <c r="Y91" s="123"/>
      <c r="Z91" s="123"/>
      <c r="AA91" s="123"/>
      <c r="AB91" s="123"/>
      <c r="AC91" s="123"/>
      <c r="AD91" s="123"/>
      <c r="AE91" s="123"/>
      <c r="AF91" s="123"/>
      <c r="AG91" s="123"/>
      <c r="AH91" s="123"/>
      <c r="AI91" s="123"/>
      <c r="AJ91" s="123"/>
    </row>
    <row r="92" s="33" customFormat="1" ht="16.95" customHeight="1" spans="1:36">
      <c r="A92" s="87">
        <f>IF(F92&lt;&gt;"",1+MAX($A$2:A91),"")</f>
        <v>76</v>
      </c>
      <c r="B92" s="89"/>
      <c r="C92" s="89"/>
      <c r="D92" s="69" t="s">
        <v>317</v>
      </c>
      <c r="E92" s="72">
        <v>2</v>
      </c>
      <c r="F92" s="90">
        <v>0</v>
      </c>
      <c r="G92" s="91">
        <v>2</v>
      </c>
      <c r="H92" s="70" t="s">
        <v>35</v>
      </c>
      <c r="I92" s="97">
        <v>0</v>
      </c>
      <c r="J92" s="98">
        <f t="shared" si="13"/>
        <v>0</v>
      </c>
      <c r="K92" s="99">
        <v>50</v>
      </c>
      <c r="L92" s="100">
        <f t="shared" si="14"/>
        <v>0</v>
      </c>
      <c r="M92" s="100">
        <f t="shared" si="15"/>
        <v>0</v>
      </c>
      <c r="N92" s="100">
        <v>0</v>
      </c>
      <c r="O92" s="100">
        <f t="shared" si="16"/>
        <v>0</v>
      </c>
      <c r="P92" s="100">
        <f t="shared" si="17"/>
        <v>0</v>
      </c>
      <c r="Q92" s="124">
        <f t="shared" si="18"/>
        <v>0</v>
      </c>
      <c r="R92" s="123"/>
      <c r="S92" s="123"/>
      <c r="T92" s="123"/>
      <c r="U92" s="123"/>
      <c r="V92" s="123"/>
      <c r="W92" s="123"/>
      <c r="X92" s="123"/>
      <c r="Y92" s="123"/>
      <c r="Z92" s="123"/>
      <c r="AA92" s="123"/>
      <c r="AB92" s="123"/>
      <c r="AC92" s="123"/>
      <c r="AD92" s="123"/>
      <c r="AE92" s="123"/>
      <c r="AF92" s="123"/>
      <c r="AG92" s="123"/>
      <c r="AH92" s="123"/>
      <c r="AI92" s="123"/>
      <c r="AJ92" s="123"/>
    </row>
    <row r="93" s="33" customFormat="1" ht="16.95" customHeight="1" spans="1:36">
      <c r="A93" s="87">
        <f>IF(F93&lt;&gt;"",1+MAX($A$2:A92),"")</f>
        <v>77</v>
      </c>
      <c r="B93" s="89"/>
      <c r="C93" s="89"/>
      <c r="D93" s="69" t="s">
        <v>857</v>
      </c>
      <c r="E93" s="72">
        <v>1</v>
      </c>
      <c r="F93" s="90">
        <v>0</v>
      </c>
      <c r="G93" s="91">
        <v>1</v>
      </c>
      <c r="H93" s="70" t="s">
        <v>35</v>
      </c>
      <c r="I93" s="97">
        <v>0</v>
      </c>
      <c r="J93" s="98">
        <f t="shared" si="13"/>
        <v>0</v>
      </c>
      <c r="K93" s="99">
        <v>50</v>
      </c>
      <c r="L93" s="100">
        <f t="shared" si="14"/>
        <v>0</v>
      </c>
      <c r="M93" s="100">
        <f t="shared" si="15"/>
        <v>0</v>
      </c>
      <c r="N93" s="100">
        <v>0</v>
      </c>
      <c r="O93" s="100">
        <f t="shared" si="16"/>
        <v>0</v>
      </c>
      <c r="P93" s="100">
        <f t="shared" si="17"/>
        <v>0</v>
      </c>
      <c r="Q93" s="124">
        <f t="shared" si="18"/>
        <v>0</v>
      </c>
      <c r="R93" s="123"/>
      <c r="S93" s="123"/>
      <c r="T93" s="123"/>
      <c r="U93" s="123"/>
      <c r="V93" s="123"/>
      <c r="W93" s="123"/>
      <c r="X93" s="123"/>
      <c r="Y93" s="123"/>
      <c r="Z93" s="123"/>
      <c r="AA93" s="123"/>
      <c r="AB93" s="123"/>
      <c r="AC93" s="123"/>
      <c r="AD93" s="123"/>
      <c r="AE93" s="123"/>
      <c r="AF93" s="123"/>
      <c r="AG93" s="123"/>
      <c r="AH93" s="123"/>
      <c r="AI93" s="123"/>
      <c r="AJ93" s="123"/>
    </row>
    <row r="94" s="33" customFormat="1" ht="16.95" customHeight="1" spans="1:36">
      <c r="A94" s="87">
        <f>IF(F94&lt;&gt;"",1+MAX($A$2:A93),"")</f>
        <v>78</v>
      </c>
      <c r="B94" s="89"/>
      <c r="C94" s="89"/>
      <c r="D94" s="69" t="s">
        <v>858</v>
      </c>
      <c r="E94" s="72">
        <v>8</v>
      </c>
      <c r="F94" s="90">
        <v>0</v>
      </c>
      <c r="G94" s="91">
        <v>8</v>
      </c>
      <c r="H94" s="70" t="s">
        <v>35</v>
      </c>
      <c r="I94" s="97">
        <v>0</v>
      </c>
      <c r="J94" s="98">
        <f t="shared" si="13"/>
        <v>0</v>
      </c>
      <c r="K94" s="99">
        <v>50</v>
      </c>
      <c r="L94" s="100">
        <f t="shared" si="14"/>
        <v>0</v>
      </c>
      <c r="M94" s="100">
        <f t="shared" si="15"/>
        <v>0</v>
      </c>
      <c r="N94" s="100">
        <v>0</v>
      </c>
      <c r="O94" s="100">
        <f t="shared" si="16"/>
        <v>0</v>
      </c>
      <c r="P94" s="100">
        <f t="shared" si="17"/>
        <v>0</v>
      </c>
      <c r="Q94" s="124">
        <f t="shared" si="18"/>
        <v>0</v>
      </c>
      <c r="R94" s="123"/>
      <c r="S94" s="123"/>
      <c r="T94" s="123"/>
      <c r="U94" s="123"/>
      <c r="V94" s="123"/>
      <c r="W94" s="123"/>
      <c r="X94" s="123"/>
      <c r="Y94" s="123"/>
      <c r="Z94" s="123"/>
      <c r="AA94" s="123"/>
      <c r="AB94" s="123"/>
      <c r="AC94" s="123"/>
      <c r="AD94" s="123"/>
      <c r="AE94" s="123"/>
      <c r="AF94" s="123"/>
      <c r="AG94" s="123"/>
      <c r="AH94" s="123"/>
      <c r="AI94" s="123"/>
      <c r="AJ94" s="123"/>
    </row>
    <row r="95" s="33" customFormat="1" ht="16.95" customHeight="1" spans="1:36">
      <c r="A95" s="87">
        <f>IF(F95&lt;&gt;"",1+MAX($A$2:A94),"")</f>
        <v>79</v>
      </c>
      <c r="B95" s="89"/>
      <c r="C95" s="89"/>
      <c r="D95" s="69" t="s">
        <v>859</v>
      </c>
      <c r="E95" s="72">
        <v>4</v>
      </c>
      <c r="F95" s="90">
        <v>0</v>
      </c>
      <c r="G95" s="91">
        <v>4</v>
      </c>
      <c r="H95" s="70" t="s">
        <v>35</v>
      </c>
      <c r="I95" s="97">
        <v>0</v>
      </c>
      <c r="J95" s="98">
        <f t="shared" si="13"/>
        <v>0</v>
      </c>
      <c r="K95" s="99">
        <v>50</v>
      </c>
      <c r="L95" s="100">
        <f t="shared" si="14"/>
        <v>0</v>
      </c>
      <c r="M95" s="100">
        <f t="shared" si="15"/>
        <v>0</v>
      </c>
      <c r="N95" s="100">
        <v>0</v>
      </c>
      <c r="O95" s="100">
        <f t="shared" si="16"/>
        <v>0</v>
      </c>
      <c r="P95" s="100">
        <f t="shared" si="17"/>
        <v>0</v>
      </c>
      <c r="Q95" s="124">
        <f t="shared" si="18"/>
        <v>0</v>
      </c>
      <c r="R95" s="123"/>
      <c r="S95" s="123"/>
      <c r="T95" s="123"/>
      <c r="U95" s="123"/>
      <c r="V95" s="123"/>
      <c r="W95" s="123"/>
      <c r="X95" s="123"/>
      <c r="Y95" s="123"/>
      <c r="Z95" s="123"/>
      <c r="AA95" s="123"/>
      <c r="AB95" s="123"/>
      <c r="AC95" s="123"/>
      <c r="AD95" s="123"/>
      <c r="AE95" s="123"/>
      <c r="AF95" s="123"/>
      <c r="AG95" s="123"/>
      <c r="AH95" s="123"/>
      <c r="AI95" s="123"/>
      <c r="AJ95" s="123"/>
    </row>
    <row r="96" s="33" customFormat="1" ht="16.95" customHeight="1" spans="1:36">
      <c r="A96" s="87">
        <f>IF(F96&lt;&gt;"",1+MAX($A$2:A95),"")</f>
        <v>80</v>
      </c>
      <c r="B96" s="89"/>
      <c r="C96" s="89"/>
      <c r="D96" s="69" t="s">
        <v>860</v>
      </c>
      <c r="E96" s="72">
        <v>1</v>
      </c>
      <c r="F96" s="90">
        <v>0</v>
      </c>
      <c r="G96" s="91">
        <v>1</v>
      </c>
      <c r="H96" s="70" t="s">
        <v>35</v>
      </c>
      <c r="I96" s="97">
        <v>0</v>
      </c>
      <c r="J96" s="98">
        <f t="shared" si="13"/>
        <v>0</v>
      </c>
      <c r="K96" s="99">
        <v>50</v>
      </c>
      <c r="L96" s="100">
        <f t="shared" si="14"/>
        <v>0</v>
      </c>
      <c r="M96" s="100">
        <f t="shared" si="15"/>
        <v>0</v>
      </c>
      <c r="N96" s="100">
        <v>0</v>
      </c>
      <c r="O96" s="100">
        <f t="shared" si="16"/>
        <v>0</v>
      </c>
      <c r="P96" s="100">
        <f t="shared" si="17"/>
        <v>0</v>
      </c>
      <c r="Q96" s="124">
        <f t="shared" si="18"/>
        <v>0</v>
      </c>
      <c r="R96" s="123"/>
      <c r="S96" s="123"/>
      <c r="T96" s="123"/>
      <c r="U96" s="123"/>
      <c r="V96" s="123"/>
      <c r="W96" s="123"/>
      <c r="X96" s="123"/>
      <c r="Y96" s="123"/>
      <c r="Z96" s="123"/>
      <c r="AA96" s="123"/>
      <c r="AB96" s="123"/>
      <c r="AC96" s="123"/>
      <c r="AD96" s="123"/>
      <c r="AE96" s="123"/>
      <c r="AF96" s="123"/>
      <c r="AG96" s="123"/>
      <c r="AH96" s="123"/>
      <c r="AI96" s="123"/>
      <c r="AJ96" s="123"/>
    </row>
    <row r="97" s="33" customFormat="1" ht="16.95" customHeight="1" spans="1:36">
      <c r="A97" s="87">
        <f>IF(F97&lt;&gt;"",1+MAX($A$2:A96),"")</f>
        <v>81</v>
      </c>
      <c r="B97" s="89"/>
      <c r="C97" s="89"/>
      <c r="D97" s="69" t="s">
        <v>861</v>
      </c>
      <c r="E97" s="72">
        <v>1</v>
      </c>
      <c r="F97" s="90">
        <v>0</v>
      </c>
      <c r="G97" s="91">
        <v>1</v>
      </c>
      <c r="H97" s="70" t="s">
        <v>35</v>
      </c>
      <c r="I97" s="97">
        <v>0</v>
      </c>
      <c r="J97" s="98">
        <f t="shared" si="13"/>
        <v>0</v>
      </c>
      <c r="K97" s="99">
        <v>50</v>
      </c>
      <c r="L97" s="100">
        <f t="shared" si="14"/>
        <v>0</v>
      </c>
      <c r="M97" s="100">
        <f t="shared" si="15"/>
        <v>0</v>
      </c>
      <c r="N97" s="100">
        <v>0</v>
      </c>
      <c r="O97" s="100">
        <f t="shared" si="16"/>
        <v>0</v>
      </c>
      <c r="P97" s="100">
        <f t="shared" si="17"/>
        <v>0</v>
      </c>
      <c r="Q97" s="124">
        <f t="shared" si="18"/>
        <v>0</v>
      </c>
      <c r="R97" s="123"/>
      <c r="S97" s="123"/>
      <c r="T97" s="123"/>
      <c r="U97" s="123"/>
      <c r="V97" s="123"/>
      <c r="W97" s="123"/>
      <c r="X97" s="123"/>
      <c r="Y97" s="123"/>
      <c r="Z97" s="123"/>
      <c r="AA97" s="123"/>
      <c r="AB97" s="123"/>
      <c r="AC97" s="123"/>
      <c r="AD97" s="123"/>
      <c r="AE97" s="123"/>
      <c r="AF97" s="123"/>
      <c r="AG97" s="123"/>
      <c r="AH97" s="123"/>
      <c r="AI97" s="123"/>
      <c r="AJ97" s="123"/>
    </row>
    <row r="98" s="33" customFormat="1" ht="16.95" customHeight="1" spans="1:36">
      <c r="A98" s="87">
        <f>IF(F98&lt;&gt;"",1+MAX($A$2:A97),"")</f>
        <v>82</v>
      </c>
      <c r="B98" s="89"/>
      <c r="C98" s="89"/>
      <c r="D98" s="69" t="s">
        <v>862</v>
      </c>
      <c r="E98" s="72">
        <v>1</v>
      </c>
      <c r="F98" s="90">
        <v>0</v>
      </c>
      <c r="G98" s="91">
        <v>1</v>
      </c>
      <c r="H98" s="70" t="s">
        <v>35</v>
      </c>
      <c r="I98" s="97">
        <v>0</v>
      </c>
      <c r="J98" s="98">
        <f t="shared" si="13"/>
        <v>0</v>
      </c>
      <c r="K98" s="99">
        <v>50</v>
      </c>
      <c r="L98" s="100">
        <f t="shared" si="14"/>
        <v>0</v>
      </c>
      <c r="M98" s="100">
        <f t="shared" si="15"/>
        <v>0</v>
      </c>
      <c r="N98" s="100">
        <v>0</v>
      </c>
      <c r="O98" s="100">
        <f t="shared" si="16"/>
        <v>0</v>
      </c>
      <c r="P98" s="100">
        <f t="shared" si="17"/>
        <v>0</v>
      </c>
      <c r="Q98" s="124">
        <f t="shared" si="18"/>
        <v>0</v>
      </c>
      <c r="R98" s="123"/>
      <c r="S98" s="123"/>
      <c r="T98" s="123"/>
      <c r="U98" s="123"/>
      <c r="V98" s="123"/>
      <c r="W98" s="123"/>
      <c r="X98" s="123"/>
      <c r="Y98" s="123"/>
      <c r="Z98" s="123"/>
      <c r="AA98" s="123"/>
      <c r="AB98" s="123"/>
      <c r="AC98" s="123"/>
      <c r="AD98" s="123"/>
      <c r="AE98" s="123"/>
      <c r="AF98" s="123"/>
      <c r="AG98" s="123"/>
      <c r="AH98" s="123"/>
      <c r="AI98" s="123"/>
      <c r="AJ98" s="123"/>
    </row>
    <row r="99" s="33" customFormat="1" ht="16.95" customHeight="1" spans="1:36">
      <c r="A99" s="87">
        <f>IF(F99&lt;&gt;"",1+MAX($A$2:A98),"")</f>
        <v>83</v>
      </c>
      <c r="B99" s="89"/>
      <c r="C99" s="89"/>
      <c r="D99" s="69" t="s">
        <v>863</v>
      </c>
      <c r="E99" s="72">
        <v>1</v>
      </c>
      <c r="F99" s="90">
        <v>0</v>
      </c>
      <c r="G99" s="91">
        <v>1</v>
      </c>
      <c r="H99" s="70" t="s">
        <v>35</v>
      </c>
      <c r="I99" s="97">
        <v>0</v>
      </c>
      <c r="J99" s="98">
        <f t="shared" si="13"/>
        <v>0</v>
      </c>
      <c r="K99" s="99">
        <v>50</v>
      </c>
      <c r="L99" s="100">
        <f t="shared" si="14"/>
        <v>0</v>
      </c>
      <c r="M99" s="100">
        <f t="shared" si="15"/>
        <v>0</v>
      </c>
      <c r="N99" s="100">
        <v>0</v>
      </c>
      <c r="O99" s="100">
        <f t="shared" si="16"/>
        <v>0</v>
      </c>
      <c r="P99" s="100">
        <f t="shared" si="17"/>
        <v>0</v>
      </c>
      <c r="Q99" s="124">
        <f t="shared" si="18"/>
        <v>0</v>
      </c>
      <c r="R99" s="123"/>
      <c r="S99" s="123"/>
      <c r="T99" s="123"/>
      <c r="U99" s="123"/>
      <c r="V99" s="123"/>
      <c r="W99" s="123"/>
      <c r="X99" s="123"/>
      <c r="Y99" s="123"/>
      <c r="Z99" s="123"/>
      <c r="AA99" s="123"/>
      <c r="AB99" s="123"/>
      <c r="AC99" s="123"/>
      <c r="AD99" s="123"/>
      <c r="AE99" s="123"/>
      <c r="AF99" s="123"/>
      <c r="AG99" s="123"/>
      <c r="AH99" s="123"/>
      <c r="AI99" s="123"/>
      <c r="AJ99" s="123"/>
    </row>
    <row r="100" s="33" customFormat="1" ht="16.95" customHeight="1" spans="1:36">
      <c r="A100" s="87">
        <f>IF(F100&lt;&gt;"",1+MAX($A$2:A99),"")</f>
        <v>84</v>
      </c>
      <c r="B100" s="89"/>
      <c r="C100" s="89"/>
      <c r="D100" s="69" t="s">
        <v>864</v>
      </c>
      <c r="E100" s="72">
        <v>1</v>
      </c>
      <c r="F100" s="90">
        <v>0</v>
      </c>
      <c r="G100" s="91">
        <v>1</v>
      </c>
      <c r="H100" s="70" t="s">
        <v>35</v>
      </c>
      <c r="I100" s="97">
        <v>0</v>
      </c>
      <c r="J100" s="98">
        <f t="shared" si="13"/>
        <v>0</v>
      </c>
      <c r="K100" s="99">
        <v>50</v>
      </c>
      <c r="L100" s="100">
        <f t="shared" si="14"/>
        <v>0</v>
      </c>
      <c r="M100" s="100">
        <f t="shared" si="15"/>
        <v>0</v>
      </c>
      <c r="N100" s="100">
        <v>0</v>
      </c>
      <c r="O100" s="100">
        <f t="shared" si="16"/>
        <v>0</v>
      </c>
      <c r="P100" s="100">
        <f t="shared" si="17"/>
        <v>0</v>
      </c>
      <c r="Q100" s="124">
        <f t="shared" si="18"/>
        <v>0</v>
      </c>
      <c r="R100" s="123"/>
      <c r="S100" s="123"/>
      <c r="T100" s="123"/>
      <c r="U100" s="123"/>
      <c r="V100" s="123"/>
      <c r="W100" s="123"/>
      <c r="X100" s="123"/>
      <c r="Y100" s="123"/>
      <c r="Z100" s="123"/>
      <c r="AA100" s="123"/>
      <c r="AB100" s="123"/>
      <c r="AC100" s="123"/>
      <c r="AD100" s="123"/>
      <c r="AE100" s="123"/>
      <c r="AF100" s="123"/>
      <c r="AG100" s="123"/>
      <c r="AH100" s="123"/>
      <c r="AI100" s="123"/>
      <c r="AJ100" s="123"/>
    </row>
    <row r="101" s="33" customFormat="1" ht="16.95" customHeight="1" spans="1:36">
      <c r="A101" s="87">
        <f>IF(F101&lt;&gt;"",1+MAX($A$2:A100),"")</f>
        <v>85</v>
      </c>
      <c r="B101" s="89"/>
      <c r="C101" s="89"/>
      <c r="D101" s="69" t="s">
        <v>865</v>
      </c>
      <c r="E101" s="72">
        <v>1</v>
      </c>
      <c r="F101" s="90">
        <v>0</v>
      </c>
      <c r="G101" s="91">
        <v>1</v>
      </c>
      <c r="H101" s="70" t="s">
        <v>35</v>
      </c>
      <c r="I101" s="97">
        <v>0</v>
      </c>
      <c r="J101" s="98">
        <f t="shared" si="13"/>
        <v>0</v>
      </c>
      <c r="K101" s="99">
        <v>50</v>
      </c>
      <c r="L101" s="100">
        <f t="shared" si="14"/>
        <v>0</v>
      </c>
      <c r="M101" s="100">
        <f t="shared" si="15"/>
        <v>0</v>
      </c>
      <c r="N101" s="100">
        <v>0</v>
      </c>
      <c r="O101" s="100">
        <f t="shared" si="16"/>
        <v>0</v>
      </c>
      <c r="P101" s="100">
        <f t="shared" si="17"/>
        <v>0</v>
      </c>
      <c r="Q101" s="124">
        <f t="shared" si="18"/>
        <v>0</v>
      </c>
      <c r="R101" s="123"/>
      <c r="S101" s="123"/>
      <c r="T101" s="123"/>
      <c r="U101" s="123"/>
      <c r="V101" s="123"/>
      <c r="W101" s="123"/>
      <c r="X101" s="123"/>
      <c r="Y101" s="123"/>
      <c r="Z101" s="123"/>
      <c r="AA101" s="123"/>
      <c r="AB101" s="123"/>
      <c r="AC101" s="123"/>
      <c r="AD101" s="123"/>
      <c r="AE101" s="123"/>
      <c r="AF101" s="123"/>
      <c r="AG101" s="123"/>
      <c r="AH101" s="123"/>
      <c r="AI101" s="123"/>
      <c r="AJ101" s="123"/>
    </row>
    <row r="102" s="33" customFormat="1" ht="16.95" customHeight="1" spans="1:36">
      <c r="A102" s="87" t="str">
        <f>IF(F102&lt;&gt;"",1+MAX($A$2:A101),"")</f>
        <v/>
      </c>
      <c r="B102" s="89"/>
      <c r="C102" s="89"/>
      <c r="D102" s="69"/>
      <c r="E102" s="72"/>
      <c r="F102" s="90"/>
      <c r="G102" s="91"/>
      <c r="H102" s="70"/>
      <c r="I102" s="97"/>
      <c r="J102" s="98"/>
      <c r="K102" s="99"/>
      <c r="L102" s="100"/>
      <c r="M102" s="100"/>
      <c r="N102" s="100"/>
      <c r="O102" s="100"/>
      <c r="P102" s="100"/>
      <c r="Q102" s="124"/>
      <c r="R102" s="123"/>
      <c r="S102" s="123"/>
      <c r="T102" s="123"/>
      <c r="U102" s="123"/>
      <c r="V102" s="123"/>
      <c r="W102" s="123"/>
      <c r="X102" s="123"/>
      <c r="Y102" s="123"/>
      <c r="Z102" s="123"/>
      <c r="AA102" s="123"/>
      <c r="AB102" s="123"/>
      <c r="AC102" s="123"/>
      <c r="AD102" s="123"/>
      <c r="AE102" s="123"/>
      <c r="AF102" s="123"/>
      <c r="AG102" s="123"/>
      <c r="AH102" s="123"/>
      <c r="AI102" s="123"/>
      <c r="AJ102" s="123"/>
    </row>
    <row r="103" s="33" customFormat="1" ht="16.95" customHeight="1" spans="1:36">
      <c r="A103" s="87" t="str">
        <f>IF(F103&lt;&gt;"",1+MAX($A$2:A102),"")</f>
        <v/>
      </c>
      <c r="B103" s="89"/>
      <c r="C103" s="89"/>
      <c r="D103" s="88" t="s">
        <v>327</v>
      </c>
      <c r="E103" s="72"/>
      <c r="F103" s="90"/>
      <c r="G103" s="91"/>
      <c r="H103" s="70"/>
      <c r="I103" s="97"/>
      <c r="J103" s="98"/>
      <c r="K103" s="99"/>
      <c r="L103" s="100"/>
      <c r="M103" s="100"/>
      <c r="N103" s="100"/>
      <c r="O103" s="100"/>
      <c r="P103" s="100"/>
      <c r="Q103" s="124"/>
      <c r="R103" s="123"/>
      <c r="S103" s="123"/>
      <c r="T103" s="123"/>
      <c r="U103" s="123"/>
      <c r="V103" s="123"/>
      <c r="W103" s="123"/>
      <c r="X103" s="123"/>
      <c r="Y103" s="123"/>
      <c r="Z103" s="123"/>
      <c r="AA103" s="123"/>
      <c r="AB103" s="123"/>
      <c r="AC103" s="123"/>
      <c r="AD103" s="123"/>
      <c r="AE103" s="123"/>
      <c r="AF103" s="123"/>
      <c r="AG103" s="123"/>
      <c r="AH103" s="123"/>
      <c r="AI103" s="123"/>
      <c r="AJ103" s="123"/>
    </row>
    <row r="104" s="33" customFormat="1" ht="16.95" customHeight="1" spans="1:36">
      <c r="A104" s="87">
        <f>IF(F104&lt;&gt;"",1+MAX($A$2:A103),"")</f>
        <v>86</v>
      </c>
      <c r="B104" s="89"/>
      <c r="C104" s="89"/>
      <c r="D104" s="69" t="s">
        <v>328</v>
      </c>
      <c r="E104" s="72">
        <v>35518</v>
      </c>
      <c r="F104" s="90">
        <v>0.1</v>
      </c>
      <c r="G104" s="91">
        <v>39069.8</v>
      </c>
      <c r="H104" s="70" t="s">
        <v>329</v>
      </c>
      <c r="I104" s="97">
        <v>0</v>
      </c>
      <c r="J104" s="98">
        <f t="shared" ref="J104:J113" si="19">+I104*G104</f>
        <v>0</v>
      </c>
      <c r="K104" s="99">
        <v>50</v>
      </c>
      <c r="L104" s="100">
        <f t="shared" ref="L104:L113" si="20">I104*K104</f>
        <v>0</v>
      </c>
      <c r="M104" s="100">
        <f t="shared" ref="M104:M113" si="21">K104*J104</f>
        <v>0</v>
      </c>
      <c r="N104" s="100">
        <v>0</v>
      </c>
      <c r="O104" s="100">
        <f t="shared" ref="O104:O113" si="22">N104*G104</f>
        <v>0</v>
      </c>
      <c r="P104" s="100">
        <f t="shared" ref="P104:P113" si="23">(I104*K104)+N104</f>
        <v>0</v>
      </c>
      <c r="Q104" s="124">
        <f t="shared" ref="Q104:Q113" si="24">P104*G104</f>
        <v>0</v>
      </c>
      <c r="R104" s="123"/>
      <c r="S104" s="123"/>
      <c r="T104" s="123"/>
      <c r="U104" s="123"/>
      <c r="V104" s="123"/>
      <c r="W104" s="123"/>
      <c r="X104" s="123"/>
      <c r="Y104" s="123"/>
      <c r="Z104" s="123"/>
      <c r="AA104" s="123"/>
      <c r="AB104" s="123"/>
      <c r="AC104" s="123"/>
      <c r="AD104" s="123"/>
      <c r="AE104" s="123"/>
      <c r="AF104" s="123"/>
      <c r="AG104" s="123"/>
      <c r="AH104" s="123"/>
      <c r="AI104" s="123"/>
      <c r="AJ104" s="123"/>
    </row>
    <row r="105" s="33" customFormat="1" ht="16.95" customHeight="1" spans="1:36">
      <c r="A105" s="87">
        <f>IF(F105&lt;&gt;"",1+MAX($A$2:A104),"")</f>
        <v>87</v>
      </c>
      <c r="B105" s="89"/>
      <c r="C105" s="89"/>
      <c r="D105" s="69" t="s">
        <v>330</v>
      </c>
      <c r="E105" s="72">
        <v>340</v>
      </c>
      <c r="F105" s="90">
        <v>0.1</v>
      </c>
      <c r="G105" s="91">
        <v>374</v>
      </c>
      <c r="H105" s="70" t="s">
        <v>329</v>
      </c>
      <c r="I105" s="97">
        <v>0</v>
      </c>
      <c r="J105" s="98">
        <f t="shared" si="19"/>
        <v>0</v>
      </c>
      <c r="K105" s="99">
        <v>50</v>
      </c>
      <c r="L105" s="100">
        <f t="shared" si="20"/>
        <v>0</v>
      </c>
      <c r="M105" s="100">
        <f t="shared" si="21"/>
        <v>0</v>
      </c>
      <c r="N105" s="100">
        <v>0</v>
      </c>
      <c r="O105" s="100">
        <f t="shared" si="22"/>
        <v>0</v>
      </c>
      <c r="P105" s="100">
        <f t="shared" si="23"/>
        <v>0</v>
      </c>
      <c r="Q105" s="124">
        <f t="shared" si="24"/>
        <v>0</v>
      </c>
      <c r="R105" s="123"/>
      <c r="S105" s="123"/>
      <c r="T105" s="123"/>
      <c r="U105" s="123"/>
      <c r="V105" s="123"/>
      <c r="W105" s="123"/>
      <c r="X105" s="123"/>
      <c r="Y105" s="123"/>
      <c r="Z105" s="123"/>
      <c r="AA105" s="123"/>
      <c r="AB105" s="123"/>
      <c r="AC105" s="123"/>
      <c r="AD105" s="123"/>
      <c r="AE105" s="123"/>
      <c r="AF105" s="123"/>
      <c r="AG105" s="123"/>
      <c r="AH105" s="123"/>
      <c r="AI105" s="123"/>
      <c r="AJ105" s="123"/>
    </row>
    <row r="106" s="33" customFormat="1" ht="16.95" customHeight="1" spans="1:36">
      <c r="A106" s="87" t="str">
        <f>IF(F106&lt;&gt;"",1+MAX($A$2:A105),"")</f>
        <v/>
      </c>
      <c r="B106" s="89"/>
      <c r="C106" s="89"/>
      <c r="D106" s="69"/>
      <c r="E106" s="72"/>
      <c r="F106" s="90"/>
      <c r="G106" s="91"/>
      <c r="H106" s="70"/>
      <c r="I106" s="97"/>
      <c r="J106" s="98"/>
      <c r="K106" s="99"/>
      <c r="L106" s="100"/>
      <c r="M106" s="100"/>
      <c r="N106" s="100"/>
      <c r="O106" s="100"/>
      <c r="P106" s="100"/>
      <c r="Q106" s="124"/>
      <c r="R106" s="123"/>
      <c r="S106" s="123"/>
      <c r="T106" s="123"/>
      <c r="U106" s="123"/>
      <c r="V106" s="123"/>
      <c r="W106" s="123"/>
      <c r="X106" s="123"/>
      <c r="Y106" s="123"/>
      <c r="Z106" s="123"/>
      <c r="AA106" s="123"/>
      <c r="AB106" s="123"/>
      <c r="AC106" s="123"/>
      <c r="AD106" s="123"/>
      <c r="AE106" s="123"/>
      <c r="AF106" s="123"/>
      <c r="AG106" s="123"/>
      <c r="AH106" s="123"/>
      <c r="AI106" s="123"/>
      <c r="AJ106" s="123"/>
    </row>
    <row r="107" s="33" customFormat="1" ht="16.95" customHeight="1" spans="1:36">
      <c r="A107" s="87" t="str">
        <f>IF(F107&lt;&gt;"",1+MAX($A$2:A106),"")</f>
        <v/>
      </c>
      <c r="B107" s="89"/>
      <c r="C107" s="89"/>
      <c r="D107" s="88" t="s">
        <v>339</v>
      </c>
      <c r="E107" s="72"/>
      <c r="F107" s="90"/>
      <c r="G107" s="91"/>
      <c r="H107" s="70"/>
      <c r="I107" s="97"/>
      <c r="J107" s="98"/>
      <c r="K107" s="99"/>
      <c r="L107" s="100"/>
      <c r="M107" s="100"/>
      <c r="N107" s="100"/>
      <c r="O107" s="100"/>
      <c r="P107" s="100"/>
      <c r="Q107" s="124"/>
      <c r="R107" s="123"/>
      <c r="S107" s="123"/>
      <c r="T107" s="123"/>
      <c r="U107" s="123"/>
      <c r="V107" s="123"/>
      <c r="W107" s="123"/>
      <c r="X107" s="123"/>
      <c r="Y107" s="123"/>
      <c r="Z107" s="123"/>
      <c r="AA107" s="123"/>
      <c r="AB107" s="123"/>
      <c r="AC107" s="123"/>
      <c r="AD107" s="123"/>
      <c r="AE107" s="123"/>
      <c r="AF107" s="123"/>
      <c r="AG107" s="123"/>
      <c r="AH107" s="123"/>
      <c r="AI107" s="123"/>
      <c r="AJ107" s="123"/>
    </row>
    <row r="108" s="33" customFormat="1" ht="16.95" customHeight="1" spans="1:36">
      <c r="A108" s="87">
        <f>IF(F108&lt;&gt;"",1+MAX($A$2:A107),"")</f>
        <v>88</v>
      </c>
      <c r="B108" s="89"/>
      <c r="C108" s="89" t="s">
        <v>371</v>
      </c>
      <c r="D108" s="69" t="s">
        <v>372</v>
      </c>
      <c r="E108" s="72">
        <v>4</v>
      </c>
      <c r="F108" s="90">
        <v>0</v>
      </c>
      <c r="G108" s="91">
        <v>4</v>
      </c>
      <c r="H108" s="70" t="s">
        <v>35</v>
      </c>
      <c r="I108" s="97">
        <v>0</v>
      </c>
      <c r="J108" s="98">
        <f t="shared" si="19"/>
        <v>0</v>
      </c>
      <c r="K108" s="99">
        <v>50</v>
      </c>
      <c r="L108" s="100">
        <f t="shared" si="20"/>
        <v>0</v>
      </c>
      <c r="M108" s="100">
        <f t="shared" si="21"/>
        <v>0</v>
      </c>
      <c r="N108" s="100">
        <v>0</v>
      </c>
      <c r="O108" s="100">
        <f t="shared" si="22"/>
        <v>0</v>
      </c>
      <c r="P108" s="100">
        <f t="shared" si="23"/>
        <v>0</v>
      </c>
      <c r="Q108" s="124">
        <f t="shared" si="24"/>
        <v>0</v>
      </c>
      <c r="R108" s="123"/>
      <c r="S108" s="123"/>
      <c r="T108" s="123"/>
      <c r="U108" s="123"/>
      <c r="V108" s="123"/>
      <c r="W108" s="123"/>
      <c r="X108" s="123"/>
      <c r="Y108" s="123"/>
      <c r="Z108" s="123"/>
      <c r="AA108" s="123"/>
      <c r="AB108" s="123"/>
      <c r="AC108" s="123"/>
      <c r="AD108" s="123"/>
      <c r="AE108" s="123"/>
      <c r="AF108" s="123"/>
      <c r="AG108" s="123"/>
      <c r="AH108" s="123"/>
      <c r="AI108" s="123"/>
      <c r="AJ108" s="123"/>
    </row>
    <row r="109" s="33" customFormat="1" ht="16.95" customHeight="1" spans="1:36">
      <c r="A109" s="87">
        <f>IF(F109&lt;&gt;"",1+MAX($A$2:A108),"")</f>
        <v>89</v>
      </c>
      <c r="B109" s="89"/>
      <c r="C109" s="89" t="s">
        <v>373</v>
      </c>
      <c r="D109" s="69" t="s">
        <v>374</v>
      </c>
      <c r="E109" s="72">
        <v>1</v>
      </c>
      <c r="F109" s="90">
        <v>0</v>
      </c>
      <c r="G109" s="91">
        <v>1</v>
      </c>
      <c r="H109" s="70" t="s">
        <v>35</v>
      </c>
      <c r="I109" s="97">
        <v>0</v>
      </c>
      <c r="J109" s="98">
        <f t="shared" si="19"/>
        <v>0</v>
      </c>
      <c r="K109" s="99">
        <v>50</v>
      </c>
      <c r="L109" s="100">
        <f t="shared" si="20"/>
        <v>0</v>
      </c>
      <c r="M109" s="100">
        <f t="shared" si="21"/>
        <v>0</v>
      </c>
      <c r="N109" s="100">
        <v>0</v>
      </c>
      <c r="O109" s="100">
        <f t="shared" si="22"/>
        <v>0</v>
      </c>
      <c r="P109" s="100">
        <f t="shared" si="23"/>
        <v>0</v>
      </c>
      <c r="Q109" s="124">
        <f t="shared" si="24"/>
        <v>0</v>
      </c>
      <c r="R109" s="123"/>
      <c r="S109" s="123"/>
      <c r="T109" s="123"/>
      <c r="U109" s="123"/>
      <c r="V109" s="123"/>
      <c r="W109" s="123"/>
      <c r="X109" s="123"/>
      <c r="Y109" s="123"/>
      <c r="Z109" s="123"/>
      <c r="AA109" s="123"/>
      <c r="AB109" s="123"/>
      <c r="AC109" s="123"/>
      <c r="AD109" s="123"/>
      <c r="AE109" s="123"/>
      <c r="AF109" s="123"/>
      <c r="AG109" s="123"/>
      <c r="AH109" s="123"/>
      <c r="AI109" s="123"/>
      <c r="AJ109" s="123"/>
    </row>
    <row r="110" s="33" customFormat="1" ht="16.95" customHeight="1" spans="1:36">
      <c r="A110" s="87">
        <f>IF(F110&lt;&gt;"",1+MAX($A$2:A109),"")</f>
        <v>90</v>
      </c>
      <c r="B110" s="89"/>
      <c r="C110" s="89" t="s">
        <v>379</v>
      </c>
      <c r="D110" s="69" t="s">
        <v>866</v>
      </c>
      <c r="E110" s="72">
        <v>50</v>
      </c>
      <c r="F110" s="90">
        <v>0</v>
      </c>
      <c r="G110" s="91">
        <v>50</v>
      </c>
      <c r="H110" s="70" t="s">
        <v>35</v>
      </c>
      <c r="I110" s="97">
        <v>0</v>
      </c>
      <c r="J110" s="98">
        <f t="shared" si="19"/>
        <v>0</v>
      </c>
      <c r="K110" s="99">
        <v>50</v>
      </c>
      <c r="L110" s="100">
        <f t="shared" si="20"/>
        <v>0</v>
      </c>
      <c r="M110" s="100">
        <f t="shared" si="21"/>
        <v>0</v>
      </c>
      <c r="N110" s="100">
        <v>0</v>
      </c>
      <c r="O110" s="100">
        <f t="shared" si="22"/>
        <v>0</v>
      </c>
      <c r="P110" s="100">
        <f t="shared" si="23"/>
        <v>0</v>
      </c>
      <c r="Q110" s="124">
        <f t="shared" si="24"/>
        <v>0</v>
      </c>
      <c r="R110" s="123"/>
      <c r="S110" s="123"/>
      <c r="T110" s="123"/>
      <c r="U110" s="123"/>
      <c r="V110" s="123"/>
      <c r="W110" s="123"/>
      <c r="X110" s="123"/>
      <c r="Y110" s="123"/>
      <c r="Z110" s="123"/>
      <c r="AA110" s="123"/>
      <c r="AB110" s="123"/>
      <c r="AC110" s="123"/>
      <c r="AD110" s="123"/>
      <c r="AE110" s="123"/>
      <c r="AF110" s="123"/>
      <c r="AG110" s="123"/>
      <c r="AH110" s="123"/>
      <c r="AI110" s="123"/>
      <c r="AJ110" s="123"/>
    </row>
    <row r="111" s="33" customFormat="1" ht="16.95" customHeight="1" spans="1:36">
      <c r="A111" s="87">
        <f>IF(F111&lt;&gt;"",1+MAX($A$2:A110),"")</f>
        <v>91</v>
      </c>
      <c r="B111" s="89"/>
      <c r="C111" s="89"/>
      <c r="D111" s="69" t="s">
        <v>867</v>
      </c>
      <c r="E111" s="72">
        <v>4</v>
      </c>
      <c r="F111" s="90">
        <v>0</v>
      </c>
      <c r="G111" s="91">
        <v>4</v>
      </c>
      <c r="H111" s="70" t="s">
        <v>35</v>
      </c>
      <c r="I111" s="97">
        <v>0</v>
      </c>
      <c r="J111" s="98">
        <f t="shared" si="19"/>
        <v>0</v>
      </c>
      <c r="K111" s="99">
        <v>50</v>
      </c>
      <c r="L111" s="100">
        <f t="shared" si="20"/>
        <v>0</v>
      </c>
      <c r="M111" s="100">
        <f t="shared" si="21"/>
        <v>0</v>
      </c>
      <c r="N111" s="100">
        <v>0</v>
      </c>
      <c r="O111" s="100">
        <f t="shared" si="22"/>
        <v>0</v>
      </c>
      <c r="P111" s="100">
        <f t="shared" si="23"/>
        <v>0</v>
      </c>
      <c r="Q111" s="124">
        <f t="shared" si="24"/>
        <v>0</v>
      </c>
      <c r="R111" s="123"/>
      <c r="S111" s="123"/>
      <c r="T111" s="123"/>
      <c r="U111" s="123"/>
      <c r="V111" s="123"/>
      <c r="W111" s="123"/>
      <c r="X111" s="123"/>
      <c r="Y111" s="123"/>
      <c r="Z111" s="123"/>
      <c r="AA111" s="123"/>
      <c r="AB111" s="123"/>
      <c r="AC111" s="123"/>
      <c r="AD111" s="123"/>
      <c r="AE111" s="123"/>
      <c r="AF111" s="123"/>
      <c r="AG111" s="123"/>
      <c r="AH111" s="123"/>
      <c r="AI111" s="123"/>
      <c r="AJ111" s="123"/>
    </row>
    <row r="112" s="33" customFormat="1" ht="16.95" customHeight="1" spans="1:36">
      <c r="A112" s="87">
        <f>IF(F112&lt;&gt;"",1+MAX($A$2:A111),"")</f>
        <v>92</v>
      </c>
      <c r="B112" s="89"/>
      <c r="C112" s="89"/>
      <c r="D112" s="69" t="s">
        <v>868</v>
      </c>
      <c r="E112" s="72">
        <v>2</v>
      </c>
      <c r="F112" s="90">
        <v>0</v>
      </c>
      <c r="G112" s="91">
        <v>2</v>
      </c>
      <c r="H112" s="70" t="s">
        <v>35</v>
      </c>
      <c r="I112" s="97">
        <v>0</v>
      </c>
      <c r="J112" s="98">
        <f t="shared" si="19"/>
        <v>0</v>
      </c>
      <c r="K112" s="99">
        <v>50</v>
      </c>
      <c r="L112" s="100">
        <f t="shared" si="20"/>
        <v>0</v>
      </c>
      <c r="M112" s="100">
        <f t="shared" si="21"/>
        <v>0</v>
      </c>
      <c r="N112" s="100">
        <v>0</v>
      </c>
      <c r="O112" s="100">
        <f t="shared" si="22"/>
        <v>0</v>
      </c>
      <c r="P112" s="100">
        <f t="shared" si="23"/>
        <v>0</v>
      </c>
      <c r="Q112" s="124">
        <f t="shared" si="24"/>
        <v>0</v>
      </c>
      <c r="R112" s="123"/>
      <c r="S112" s="123"/>
      <c r="T112" s="123"/>
      <c r="U112" s="123"/>
      <c r="V112" s="123"/>
      <c r="W112" s="123"/>
      <c r="X112" s="123"/>
      <c r="Y112" s="123"/>
      <c r="Z112" s="123"/>
      <c r="AA112" s="123"/>
      <c r="AB112" s="123"/>
      <c r="AC112" s="123"/>
      <c r="AD112" s="123"/>
      <c r="AE112" s="123"/>
      <c r="AF112" s="123"/>
      <c r="AG112" s="123"/>
      <c r="AH112" s="123"/>
      <c r="AI112" s="123"/>
      <c r="AJ112" s="123"/>
    </row>
    <row r="113" s="33" customFormat="1" ht="16.95" customHeight="1" spans="1:36">
      <c r="A113" s="87">
        <f>IF(F113&lt;&gt;"",1+MAX($A$2:A112),"")</f>
        <v>93</v>
      </c>
      <c r="B113" s="89"/>
      <c r="C113" s="89"/>
      <c r="D113" s="69" t="s">
        <v>340</v>
      </c>
      <c r="E113" s="72">
        <v>1</v>
      </c>
      <c r="F113" s="90">
        <v>0</v>
      </c>
      <c r="G113" s="91">
        <v>1</v>
      </c>
      <c r="H113" s="70" t="s">
        <v>35</v>
      </c>
      <c r="I113" s="97">
        <v>0</v>
      </c>
      <c r="J113" s="98">
        <f t="shared" si="19"/>
        <v>0</v>
      </c>
      <c r="K113" s="99">
        <v>50</v>
      </c>
      <c r="L113" s="100">
        <f t="shared" si="20"/>
        <v>0</v>
      </c>
      <c r="M113" s="100">
        <f t="shared" si="21"/>
        <v>0</v>
      </c>
      <c r="N113" s="100">
        <v>0</v>
      </c>
      <c r="O113" s="100">
        <f t="shared" si="22"/>
        <v>0</v>
      </c>
      <c r="P113" s="100">
        <f t="shared" si="23"/>
        <v>0</v>
      </c>
      <c r="Q113" s="124">
        <f t="shared" si="24"/>
        <v>0</v>
      </c>
      <c r="R113" s="123"/>
      <c r="S113" s="123"/>
      <c r="T113" s="123"/>
      <c r="U113" s="123"/>
      <c r="V113" s="123"/>
      <c r="W113" s="123"/>
      <c r="X113" s="123"/>
      <c r="Y113" s="123"/>
      <c r="Z113" s="123"/>
      <c r="AA113" s="123"/>
      <c r="AB113" s="123"/>
      <c r="AC113" s="123"/>
      <c r="AD113" s="123"/>
      <c r="AE113" s="123"/>
      <c r="AF113" s="123"/>
      <c r="AG113" s="123"/>
      <c r="AH113" s="123"/>
      <c r="AI113" s="123"/>
      <c r="AJ113" s="123"/>
    </row>
    <row r="114" s="33" customFormat="1" ht="16.95" customHeight="1" spans="1:36">
      <c r="A114" s="87" t="str">
        <f>IF(F114&lt;&gt;"",1+MAX($A$2:A113),"")</f>
        <v/>
      </c>
      <c r="B114" s="89"/>
      <c r="C114" s="89"/>
      <c r="D114" s="69"/>
      <c r="E114" s="72"/>
      <c r="F114" s="90"/>
      <c r="G114" s="91"/>
      <c r="H114" s="70"/>
      <c r="I114" s="97"/>
      <c r="J114" s="98"/>
      <c r="K114" s="99"/>
      <c r="L114" s="100"/>
      <c r="M114" s="100"/>
      <c r="N114" s="100"/>
      <c r="O114" s="100"/>
      <c r="P114" s="100"/>
      <c r="Q114" s="124"/>
      <c r="R114" s="123"/>
      <c r="S114" s="123"/>
      <c r="T114" s="123"/>
      <c r="U114" s="123"/>
      <c r="V114" s="123"/>
      <c r="W114" s="123"/>
      <c r="X114" s="123"/>
      <c r="Y114" s="123"/>
      <c r="Z114" s="123"/>
      <c r="AA114" s="123"/>
      <c r="AB114" s="123"/>
      <c r="AC114" s="123"/>
      <c r="AD114" s="123"/>
      <c r="AE114" s="123"/>
      <c r="AF114" s="123"/>
      <c r="AG114" s="123"/>
      <c r="AH114" s="123"/>
      <c r="AI114" s="123"/>
      <c r="AJ114" s="123"/>
    </row>
    <row r="115" s="33" customFormat="1" ht="16.95" customHeight="1" spans="1:36">
      <c r="A115" s="87" t="str">
        <f>IF(F115&lt;&gt;"",1+MAX($A$2:A114),"")</f>
        <v/>
      </c>
      <c r="B115" s="89"/>
      <c r="C115" s="89"/>
      <c r="D115" s="88" t="s">
        <v>389</v>
      </c>
      <c r="E115" s="72"/>
      <c r="F115" s="90"/>
      <c r="G115" s="91"/>
      <c r="H115" s="70"/>
      <c r="I115" s="97"/>
      <c r="J115" s="98"/>
      <c r="K115" s="99"/>
      <c r="L115" s="100"/>
      <c r="M115" s="100"/>
      <c r="N115" s="100"/>
      <c r="O115" s="100"/>
      <c r="P115" s="100"/>
      <c r="Q115" s="124"/>
      <c r="R115" s="123"/>
      <c r="S115" s="123"/>
      <c r="T115" s="123"/>
      <c r="U115" s="123"/>
      <c r="V115" s="123"/>
      <c r="W115" s="123"/>
      <c r="X115" s="123"/>
      <c r="Y115" s="123"/>
      <c r="Z115" s="123"/>
      <c r="AA115" s="123"/>
      <c r="AB115" s="123"/>
      <c r="AC115" s="123"/>
      <c r="AD115" s="123"/>
      <c r="AE115" s="123"/>
      <c r="AF115" s="123"/>
      <c r="AG115" s="123"/>
      <c r="AH115" s="123"/>
      <c r="AI115" s="123"/>
      <c r="AJ115" s="123"/>
    </row>
    <row r="116" s="33" customFormat="1" ht="16.95" customHeight="1" spans="1:36">
      <c r="A116" s="87">
        <f>IF(F116&lt;&gt;"",1+MAX($A$2:A115),"")</f>
        <v>94</v>
      </c>
      <c r="B116" s="89"/>
      <c r="C116" s="89" t="s">
        <v>869</v>
      </c>
      <c r="D116" s="69" t="s">
        <v>870</v>
      </c>
      <c r="E116" s="72">
        <v>1</v>
      </c>
      <c r="F116" s="90">
        <v>0</v>
      </c>
      <c r="G116" s="91">
        <v>1</v>
      </c>
      <c r="H116" s="70" t="s">
        <v>35</v>
      </c>
      <c r="I116" s="97">
        <v>0</v>
      </c>
      <c r="J116" s="98">
        <f t="shared" ref="J116:J137" si="25">+I116*G116</f>
        <v>0</v>
      </c>
      <c r="K116" s="99">
        <v>50</v>
      </c>
      <c r="L116" s="100">
        <f t="shared" ref="L116:L137" si="26">I116*K116</f>
        <v>0</v>
      </c>
      <c r="M116" s="100">
        <f t="shared" ref="M116:M137" si="27">K116*J116</f>
        <v>0</v>
      </c>
      <c r="N116" s="100">
        <v>0</v>
      </c>
      <c r="O116" s="100">
        <f t="shared" ref="O116:O137" si="28">N116*G116</f>
        <v>0</v>
      </c>
      <c r="P116" s="100">
        <f t="shared" ref="P116:P137" si="29">(I116*K116)+N116</f>
        <v>0</v>
      </c>
      <c r="Q116" s="124">
        <f t="shared" ref="Q116:Q137" si="30">P116*G116</f>
        <v>0</v>
      </c>
      <c r="R116" s="123"/>
      <c r="S116" s="123"/>
      <c r="T116" s="123"/>
      <c r="U116" s="123"/>
      <c r="V116" s="123"/>
      <c r="W116" s="123"/>
      <c r="X116" s="123"/>
      <c r="Y116" s="123"/>
      <c r="Z116" s="123"/>
      <c r="AA116" s="123"/>
      <c r="AB116" s="123"/>
      <c r="AC116" s="123"/>
      <c r="AD116" s="123"/>
      <c r="AE116" s="123"/>
      <c r="AF116" s="123"/>
      <c r="AG116" s="123"/>
      <c r="AH116" s="123"/>
      <c r="AI116" s="123"/>
      <c r="AJ116" s="123"/>
    </row>
    <row r="117" s="33" customFormat="1" ht="16.95" customHeight="1" spans="1:36">
      <c r="A117" s="87">
        <f>IF(F117&lt;&gt;"",1+MAX($A$2:A116),"")</f>
        <v>95</v>
      </c>
      <c r="B117" s="89"/>
      <c r="C117" s="89" t="s">
        <v>871</v>
      </c>
      <c r="D117" s="69" t="s">
        <v>872</v>
      </c>
      <c r="E117" s="72">
        <v>1</v>
      </c>
      <c r="F117" s="90">
        <v>0</v>
      </c>
      <c r="G117" s="91">
        <v>1</v>
      </c>
      <c r="H117" s="70" t="s">
        <v>35</v>
      </c>
      <c r="I117" s="97">
        <v>0</v>
      </c>
      <c r="J117" s="98">
        <f t="shared" si="25"/>
        <v>0</v>
      </c>
      <c r="K117" s="99">
        <v>50</v>
      </c>
      <c r="L117" s="100">
        <f t="shared" si="26"/>
        <v>0</v>
      </c>
      <c r="M117" s="100">
        <f t="shared" si="27"/>
        <v>0</v>
      </c>
      <c r="N117" s="100">
        <v>0</v>
      </c>
      <c r="O117" s="100">
        <f t="shared" si="28"/>
        <v>0</v>
      </c>
      <c r="P117" s="100">
        <f t="shared" si="29"/>
        <v>0</v>
      </c>
      <c r="Q117" s="124">
        <f t="shared" si="30"/>
        <v>0</v>
      </c>
      <c r="R117" s="123"/>
      <c r="S117" s="123"/>
      <c r="T117" s="123"/>
      <c r="U117" s="123"/>
      <c r="V117" s="123"/>
      <c r="W117" s="123"/>
      <c r="X117" s="123"/>
      <c r="Y117" s="123"/>
      <c r="Z117" s="123"/>
      <c r="AA117" s="123"/>
      <c r="AB117" s="123"/>
      <c r="AC117" s="123"/>
      <c r="AD117" s="123"/>
      <c r="AE117" s="123"/>
      <c r="AF117" s="123"/>
      <c r="AG117" s="123"/>
      <c r="AH117" s="123"/>
      <c r="AI117" s="123"/>
      <c r="AJ117" s="123"/>
    </row>
    <row r="118" s="33" customFormat="1" ht="16.95" customHeight="1" spans="1:36">
      <c r="A118" s="87">
        <f>IF(F118&lt;&gt;"",1+MAX($A$2:A117),"")</f>
        <v>96</v>
      </c>
      <c r="B118" s="89"/>
      <c r="C118" s="89" t="s">
        <v>873</v>
      </c>
      <c r="D118" s="69" t="s">
        <v>874</v>
      </c>
      <c r="E118" s="72">
        <v>1</v>
      </c>
      <c r="F118" s="90">
        <v>0</v>
      </c>
      <c r="G118" s="91">
        <v>1</v>
      </c>
      <c r="H118" s="70" t="s">
        <v>35</v>
      </c>
      <c r="I118" s="97">
        <v>0</v>
      </c>
      <c r="J118" s="98">
        <f t="shared" si="25"/>
        <v>0</v>
      </c>
      <c r="K118" s="99">
        <v>50</v>
      </c>
      <c r="L118" s="100">
        <f t="shared" si="26"/>
        <v>0</v>
      </c>
      <c r="M118" s="100">
        <f t="shared" si="27"/>
        <v>0</v>
      </c>
      <c r="N118" s="100">
        <v>0</v>
      </c>
      <c r="O118" s="100">
        <f t="shared" si="28"/>
        <v>0</v>
      </c>
      <c r="P118" s="100">
        <f t="shared" si="29"/>
        <v>0</v>
      </c>
      <c r="Q118" s="124">
        <f t="shared" si="30"/>
        <v>0</v>
      </c>
      <c r="R118" s="123"/>
      <c r="S118" s="123"/>
      <c r="T118" s="123"/>
      <c r="U118" s="123"/>
      <c r="V118" s="123"/>
      <c r="W118" s="123"/>
      <c r="X118" s="123"/>
      <c r="Y118" s="123"/>
      <c r="Z118" s="123"/>
      <c r="AA118" s="123"/>
      <c r="AB118" s="123"/>
      <c r="AC118" s="123"/>
      <c r="AD118" s="123"/>
      <c r="AE118" s="123"/>
      <c r="AF118" s="123"/>
      <c r="AG118" s="123"/>
      <c r="AH118" s="123"/>
      <c r="AI118" s="123"/>
      <c r="AJ118" s="123"/>
    </row>
    <row r="119" s="33" customFormat="1" ht="16.95" customHeight="1" spans="1:36">
      <c r="A119" s="87">
        <f>IF(F119&lt;&gt;"",1+MAX($A$2:A118),"")</f>
        <v>97</v>
      </c>
      <c r="B119" s="89"/>
      <c r="C119" s="89" t="s">
        <v>875</v>
      </c>
      <c r="D119" s="69" t="s">
        <v>876</v>
      </c>
      <c r="E119" s="72">
        <v>1</v>
      </c>
      <c r="F119" s="90">
        <v>0</v>
      </c>
      <c r="G119" s="91">
        <v>1</v>
      </c>
      <c r="H119" s="70" t="s">
        <v>35</v>
      </c>
      <c r="I119" s="97">
        <v>0</v>
      </c>
      <c r="J119" s="98">
        <f t="shared" si="25"/>
        <v>0</v>
      </c>
      <c r="K119" s="99">
        <v>50</v>
      </c>
      <c r="L119" s="100">
        <f t="shared" si="26"/>
        <v>0</v>
      </c>
      <c r="M119" s="100">
        <f t="shared" si="27"/>
        <v>0</v>
      </c>
      <c r="N119" s="100">
        <v>0</v>
      </c>
      <c r="O119" s="100">
        <f t="shared" si="28"/>
        <v>0</v>
      </c>
      <c r="P119" s="100">
        <f t="shared" si="29"/>
        <v>0</v>
      </c>
      <c r="Q119" s="124">
        <f t="shared" si="30"/>
        <v>0</v>
      </c>
      <c r="R119" s="123"/>
      <c r="S119" s="123"/>
      <c r="T119" s="123"/>
      <c r="U119" s="123"/>
      <c r="V119" s="123"/>
      <c r="W119" s="123"/>
      <c r="X119" s="123"/>
      <c r="Y119" s="123"/>
      <c r="Z119" s="123"/>
      <c r="AA119" s="123"/>
      <c r="AB119" s="123"/>
      <c r="AC119" s="123"/>
      <c r="AD119" s="123"/>
      <c r="AE119" s="123"/>
      <c r="AF119" s="123"/>
      <c r="AG119" s="123"/>
      <c r="AH119" s="123"/>
      <c r="AI119" s="123"/>
      <c r="AJ119" s="123"/>
    </row>
    <row r="120" s="33" customFormat="1" ht="16.95" customHeight="1" spans="1:36">
      <c r="A120" s="87">
        <f>IF(F120&lt;&gt;"",1+MAX($A$2:A119),"")</f>
        <v>98</v>
      </c>
      <c r="B120" s="89"/>
      <c r="C120" s="89" t="s">
        <v>877</v>
      </c>
      <c r="D120" s="69" t="s">
        <v>878</v>
      </c>
      <c r="E120" s="72">
        <v>1</v>
      </c>
      <c r="F120" s="90">
        <v>0</v>
      </c>
      <c r="G120" s="91">
        <v>1</v>
      </c>
      <c r="H120" s="70" t="s">
        <v>35</v>
      </c>
      <c r="I120" s="97">
        <v>0</v>
      </c>
      <c r="J120" s="98">
        <f t="shared" si="25"/>
        <v>0</v>
      </c>
      <c r="K120" s="99">
        <v>50</v>
      </c>
      <c r="L120" s="100">
        <f t="shared" si="26"/>
        <v>0</v>
      </c>
      <c r="M120" s="100">
        <f t="shared" si="27"/>
        <v>0</v>
      </c>
      <c r="N120" s="100">
        <v>0</v>
      </c>
      <c r="O120" s="100">
        <f t="shared" si="28"/>
        <v>0</v>
      </c>
      <c r="P120" s="100">
        <f t="shared" si="29"/>
        <v>0</v>
      </c>
      <c r="Q120" s="124">
        <f t="shared" si="30"/>
        <v>0</v>
      </c>
      <c r="R120" s="123"/>
      <c r="S120" s="123"/>
      <c r="T120" s="123"/>
      <c r="U120" s="123"/>
      <c r="V120" s="123"/>
      <c r="W120" s="123"/>
      <c r="X120" s="123"/>
      <c r="Y120" s="123"/>
      <c r="Z120" s="123"/>
      <c r="AA120" s="123"/>
      <c r="AB120" s="123"/>
      <c r="AC120" s="123"/>
      <c r="AD120" s="123"/>
      <c r="AE120" s="123"/>
      <c r="AF120" s="123"/>
      <c r="AG120" s="123"/>
      <c r="AH120" s="123"/>
      <c r="AI120" s="123"/>
      <c r="AJ120" s="123"/>
    </row>
    <row r="121" s="33" customFormat="1" ht="16.95" customHeight="1" spans="1:36">
      <c r="A121" s="87">
        <f>IF(F121&lt;&gt;"",1+MAX($A$2:A120),"")</f>
        <v>99</v>
      </c>
      <c r="B121" s="89"/>
      <c r="C121" s="89" t="s">
        <v>879</v>
      </c>
      <c r="D121" s="69" t="s">
        <v>880</v>
      </c>
      <c r="E121" s="72">
        <v>1</v>
      </c>
      <c r="F121" s="90">
        <v>0</v>
      </c>
      <c r="G121" s="91">
        <v>1</v>
      </c>
      <c r="H121" s="70" t="s">
        <v>35</v>
      </c>
      <c r="I121" s="97">
        <v>0</v>
      </c>
      <c r="J121" s="98">
        <f t="shared" si="25"/>
        <v>0</v>
      </c>
      <c r="K121" s="99">
        <v>50</v>
      </c>
      <c r="L121" s="100">
        <f t="shared" si="26"/>
        <v>0</v>
      </c>
      <c r="M121" s="100">
        <f t="shared" si="27"/>
        <v>0</v>
      </c>
      <c r="N121" s="100">
        <v>0</v>
      </c>
      <c r="O121" s="100">
        <f t="shared" si="28"/>
        <v>0</v>
      </c>
      <c r="P121" s="100">
        <f t="shared" si="29"/>
        <v>0</v>
      </c>
      <c r="Q121" s="124">
        <f t="shared" si="30"/>
        <v>0</v>
      </c>
      <c r="R121" s="123"/>
      <c r="S121" s="123"/>
      <c r="T121" s="123"/>
      <c r="U121" s="123"/>
      <c r="V121" s="123"/>
      <c r="W121" s="123"/>
      <c r="X121" s="123"/>
      <c r="Y121" s="123"/>
      <c r="Z121" s="123"/>
      <c r="AA121" s="123"/>
      <c r="AB121" s="123"/>
      <c r="AC121" s="123"/>
      <c r="AD121" s="123"/>
      <c r="AE121" s="123"/>
      <c r="AF121" s="123"/>
      <c r="AG121" s="123"/>
      <c r="AH121" s="123"/>
      <c r="AI121" s="123"/>
      <c r="AJ121" s="123"/>
    </row>
    <row r="122" s="33" customFormat="1" ht="16.95" customHeight="1" spans="1:36">
      <c r="A122" s="87">
        <f>IF(F122&lt;&gt;"",1+MAX($A$2:A121),"")</f>
        <v>100</v>
      </c>
      <c r="B122" s="89"/>
      <c r="C122" s="89" t="s">
        <v>881</v>
      </c>
      <c r="D122" s="69" t="s">
        <v>882</v>
      </c>
      <c r="E122" s="72">
        <v>1</v>
      </c>
      <c r="F122" s="90">
        <v>0</v>
      </c>
      <c r="G122" s="91">
        <v>1</v>
      </c>
      <c r="H122" s="70" t="s">
        <v>35</v>
      </c>
      <c r="I122" s="97">
        <v>0</v>
      </c>
      <c r="J122" s="98">
        <f t="shared" si="25"/>
        <v>0</v>
      </c>
      <c r="K122" s="99">
        <v>50</v>
      </c>
      <c r="L122" s="100">
        <f t="shared" si="26"/>
        <v>0</v>
      </c>
      <c r="M122" s="100">
        <f t="shared" si="27"/>
        <v>0</v>
      </c>
      <c r="N122" s="100">
        <v>0</v>
      </c>
      <c r="O122" s="100">
        <f t="shared" si="28"/>
        <v>0</v>
      </c>
      <c r="P122" s="100">
        <f t="shared" si="29"/>
        <v>0</v>
      </c>
      <c r="Q122" s="124">
        <f t="shared" si="30"/>
        <v>0</v>
      </c>
      <c r="R122" s="123"/>
      <c r="S122" s="123"/>
      <c r="T122" s="123"/>
      <c r="U122" s="123"/>
      <c r="V122" s="123"/>
      <c r="W122" s="123"/>
      <c r="X122" s="123"/>
      <c r="Y122" s="123"/>
      <c r="Z122" s="123"/>
      <c r="AA122" s="123"/>
      <c r="AB122" s="123"/>
      <c r="AC122" s="123"/>
      <c r="AD122" s="123"/>
      <c r="AE122" s="123"/>
      <c r="AF122" s="123"/>
      <c r="AG122" s="123"/>
      <c r="AH122" s="123"/>
      <c r="AI122" s="123"/>
      <c r="AJ122" s="123"/>
    </row>
    <row r="123" s="33" customFormat="1" ht="16.95" customHeight="1" spans="1:36">
      <c r="A123" s="87">
        <f>IF(F123&lt;&gt;"",1+MAX($A$2:A122),"")</f>
        <v>101</v>
      </c>
      <c r="B123" s="89"/>
      <c r="C123" s="89" t="s">
        <v>883</v>
      </c>
      <c r="D123" s="69" t="s">
        <v>884</v>
      </c>
      <c r="E123" s="72">
        <v>1</v>
      </c>
      <c r="F123" s="90">
        <v>0</v>
      </c>
      <c r="G123" s="91">
        <v>1</v>
      </c>
      <c r="H123" s="70" t="s">
        <v>35</v>
      </c>
      <c r="I123" s="97">
        <v>0</v>
      </c>
      <c r="J123" s="98">
        <f t="shared" si="25"/>
        <v>0</v>
      </c>
      <c r="K123" s="99">
        <v>50</v>
      </c>
      <c r="L123" s="100">
        <f t="shared" si="26"/>
        <v>0</v>
      </c>
      <c r="M123" s="100">
        <f t="shared" si="27"/>
        <v>0</v>
      </c>
      <c r="N123" s="100">
        <v>0</v>
      </c>
      <c r="O123" s="100">
        <f t="shared" si="28"/>
        <v>0</v>
      </c>
      <c r="P123" s="100">
        <f t="shared" si="29"/>
        <v>0</v>
      </c>
      <c r="Q123" s="124">
        <f t="shared" si="30"/>
        <v>0</v>
      </c>
      <c r="R123" s="123"/>
      <c r="S123" s="123"/>
      <c r="T123" s="123"/>
      <c r="U123" s="123"/>
      <c r="V123" s="123"/>
      <c r="W123" s="123"/>
      <c r="X123" s="123"/>
      <c r="Y123" s="123"/>
      <c r="Z123" s="123"/>
      <c r="AA123" s="123"/>
      <c r="AB123" s="123"/>
      <c r="AC123" s="123"/>
      <c r="AD123" s="123"/>
      <c r="AE123" s="123"/>
      <c r="AF123" s="123"/>
      <c r="AG123" s="123"/>
      <c r="AH123" s="123"/>
      <c r="AI123" s="123"/>
      <c r="AJ123" s="123"/>
    </row>
    <row r="124" s="33" customFormat="1" ht="16.95" customHeight="1" spans="1:36">
      <c r="A124" s="87">
        <f>IF(F124&lt;&gt;"",1+MAX($A$2:A123),"")</f>
        <v>102</v>
      </c>
      <c r="B124" s="89"/>
      <c r="C124" s="89" t="s">
        <v>871</v>
      </c>
      <c r="D124" s="69" t="s">
        <v>872</v>
      </c>
      <c r="E124" s="72">
        <v>1</v>
      </c>
      <c r="F124" s="90">
        <v>0</v>
      </c>
      <c r="G124" s="91">
        <v>1</v>
      </c>
      <c r="H124" s="70" t="s">
        <v>35</v>
      </c>
      <c r="I124" s="97">
        <v>0</v>
      </c>
      <c r="J124" s="98">
        <f t="shared" si="25"/>
        <v>0</v>
      </c>
      <c r="K124" s="99">
        <v>50</v>
      </c>
      <c r="L124" s="100">
        <f t="shared" si="26"/>
        <v>0</v>
      </c>
      <c r="M124" s="100">
        <f t="shared" si="27"/>
        <v>0</v>
      </c>
      <c r="N124" s="100">
        <v>0</v>
      </c>
      <c r="O124" s="100">
        <f t="shared" si="28"/>
        <v>0</v>
      </c>
      <c r="P124" s="100">
        <f t="shared" si="29"/>
        <v>0</v>
      </c>
      <c r="Q124" s="124">
        <f t="shared" si="30"/>
        <v>0</v>
      </c>
      <c r="R124" s="123"/>
      <c r="S124" s="123"/>
      <c r="T124" s="123"/>
      <c r="U124" s="123"/>
      <c r="V124" s="123"/>
      <c r="W124" s="123"/>
      <c r="X124" s="123"/>
      <c r="Y124" s="123"/>
      <c r="Z124" s="123"/>
      <c r="AA124" s="123"/>
      <c r="AB124" s="123"/>
      <c r="AC124" s="123"/>
      <c r="AD124" s="123"/>
      <c r="AE124" s="123"/>
      <c r="AF124" s="123"/>
      <c r="AG124" s="123"/>
      <c r="AH124" s="123"/>
      <c r="AI124" s="123"/>
      <c r="AJ124" s="123"/>
    </row>
    <row r="125" s="33" customFormat="1" ht="16.95" customHeight="1" spans="1:36">
      <c r="A125" s="87">
        <f>IF(F125&lt;&gt;"",1+MAX($A$2:A124),"")</f>
        <v>103</v>
      </c>
      <c r="B125" s="89"/>
      <c r="C125" s="89" t="s">
        <v>885</v>
      </c>
      <c r="D125" s="69" t="s">
        <v>886</v>
      </c>
      <c r="E125" s="72">
        <v>1</v>
      </c>
      <c r="F125" s="90">
        <v>0</v>
      </c>
      <c r="G125" s="91">
        <v>1</v>
      </c>
      <c r="H125" s="70" t="s">
        <v>35</v>
      </c>
      <c r="I125" s="97">
        <v>0</v>
      </c>
      <c r="J125" s="98">
        <f t="shared" si="25"/>
        <v>0</v>
      </c>
      <c r="K125" s="99">
        <v>50</v>
      </c>
      <c r="L125" s="100">
        <f t="shared" si="26"/>
        <v>0</v>
      </c>
      <c r="M125" s="100">
        <f t="shared" si="27"/>
        <v>0</v>
      </c>
      <c r="N125" s="100">
        <v>0</v>
      </c>
      <c r="O125" s="100">
        <f t="shared" si="28"/>
        <v>0</v>
      </c>
      <c r="P125" s="100">
        <f t="shared" si="29"/>
        <v>0</v>
      </c>
      <c r="Q125" s="124">
        <f t="shared" si="30"/>
        <v>0</v>
      </c>
      <c r="R125" s="123"/>
      <c r="S125" s="123"/>
      <c r="T125" s="123"/>
      <c r="U125" s="123"/>
      <c r="V125" s="123"/>
      <c r="W125" s="123"/>
      <c r="X125" s="123"/>
      <c r="Y125" s="123"/>
      <c r="Z125" s="123"/>
      <c r="AA125" s="123"/>
      <c r="AB125" s="123"/>
      <c r="AC125" s="123"/>
      <c r="AD125" s="123"/>
      <c r="AE125" s="123"/>
      <c r="AF125" s="123"/>
      <c r="AG125" s="123"/>
      <c r="AH125" s="123"/>
      <c r="AI125" s="123"/>
      <c r="AJ125" s="123"/>
    </row>
    <row r="126" s="33" customFormat="1" ht="16.95" customHeight="1" spans="1:36">
      <c r="A126" s="87">
        <f>IF(F126&lt;&gt;"",1+MAX($A$2:A125),"")</f>
        <v>104</v>
      </c>
      <c r="B126" s="89"/>
      <c r="C126" s="89" t="s">
        <v>887</v>
      </c>
      <c r="D126" s="69" t="s">
        <v>888</v>
      </c>
      <c r="E126" s="72">
        <v>1</v>
      </c>
      <c r="F126" s="90">
        <v>0</v>
      </c>
      <c r="G126" s="91">
        <v>1</v>
      </c>
      <c r="H126" s="70" t="s">
        <v>35</v>
      </c>
      <c r="I126" s="97">
        <v>0</v>
      </c>
      <c r="J126" s="98">
        <f t="shared" si="25"/>
        <v>0</v>
      </c>
      <c r="K126" s="99">
        <v>50</v>
      </c>
      <c r="L126" s="100">
        <f t="shared" si="26"/>
        <v>0</v>
      </c>
      <c r="M126" s="100">
        <f t="shared" si="27"/>
        <v>0</v>
      </c>
      <c r="N126" s="100">
        <v>0</v>
      </c>
      <c r="O126" s="100">
        <f t="shared" si="28"/>
        <v>0</v>
      </c>
      <c r="P126" s="100">
        <f t="shared" si="29"/>
        <v>0</v>
      </c>
      <c r="Q126" s="124">
        <f t="shared" si="30"/>
        <v>0</v>
      </c>
      <c r="R126" s="123"/>
      <c r="S126" s="123"/>
      <c r="T126" s="123"/>
      <c r="U126" s="123"/>
      <c r="V126" s="123"/>
      <c r="W126" s="123"/>
      <c r="X126" s="123"/>
      <c r="Y126" s="123"/>
      <c r="Z126" s="123"/>
      <c r="AA126" s="123"/>
      <c r="AB126" s="123"/>
      <c r="AC126" s="123"/>
      <c r="AD126" s="123"/>
      <c r="AE126" s="123"/>
      <c r="AF126" s="123"/>
      <c r="AG126" s="123"/>
      <c r="AH126" s="123"/>
      <c r="AI126" s="123"/>
      <c r="AJ126" s="123"/>
    </row>
    <row r="127" s="33" customFormat="1" ht="16.95" customHeight="1" spans="1:36">
      <c r="A127" s="87">
        <f>IF(F127&lt;&gt;"",1+MAX($A$2:A126),"")</f>
        <v>105</v>
      </c>
      <c r="B127" s="89"/>
      <c r="C127" s="89" t="s">
        <v>889</v>
      </c>
      <c r="D127" s="69" t="s">
        <v>890</v>
      </c>
      <c r="E127" s="72">
        <v>1</v>
      </c>
      <c r="F127" s="90">
        <v>0</v>
      </c>
      <c r="G127" s="91">
        <v>1</v>
      </c>
      <c r="H127" s="70" t="s">
        <v>35</v>
      </c>
      <c r="I127" s="97">
        <v>0</v>
      </c>
      <c r="J127" s="98">
        <f t="shared" si="25"/>
        <v>0</v>
      </c>
      <c r="K127" s="99">
        <v>50</v>
      </c>
      <c r="L127" s="100">
        <f t="shared" si="26"/>
        <v>0</v>
      </c>
      <c r="M127" s="100">
        <f t="shared" si="27"/>
        <v>0</v>
      </c>
      <c r="N127" s="100">
        <v>0</v>
      </c>
      <c r="O127" s="100">
        <f t="shared" si="28"/>
        <v>0</v>
      </c>
      <c r="P127" s="100">
        <f t="shared" si="29"/>
        <v>0</v>
      </c>
      <c r="Q127" s="124">
        <f t="shared" si="30"/>
        <v>0</v>
      </c>
      <c r="R127" s="123"/>
      <c r="S127" s="123"/>
      <c r="T127" s="123"/>
      <c r="U127" s="123"/>
      <c r="V127" s="123"/>
      <c r="W127" s="123"/>
      <c r="X127" s="123"/>
      <c r="Y127" s="123"/>
      <c r="Z127" s="123"/>
      <c r="AA127" s="123"/>
      <c r="AB127" s="123"/>
      <c r="AC127" s="123"/>
      <c r="AD127" s="123"/>
      <c r="AE127" s="123"/>
      <c r="AF127" s="123"/>
      <c r="AG127" s="123"/>
      <c r="AH127" s="123"/>
      <c r="AI127" s="123"/>
      <c r="AJ127" s="123"/>
    </row>
    <row r="128" s="33" customFormat="1" ht="16.95" customHeight="1" spans="1:36">
      <c r="A128" s="87">
        <f>IF(F128&lt;&gt;"",1+MAX($A$2:A127),"")</f>
        <v>106</v>
      </c>
      <c r="B128" s="89"/>
      <c r="C128" s="89" t="s">
        <v>891</v>
      </c>
      <c r="D128" s="69" t="s">
        <v>892</v>
      </c>
      <c r="E128" s="72">
        <v>1</v>
      </c>
      <c r="F128" s="90">
        <v>0</v>
      </c>
      <c r="G128" s="91">
        <v>1</v>
      </c>
      <c r="H128" s="70" t="s">
        <v>35</v>
      </c>
      <c r="I128" s="97">
        <v>0</v>
      </c>
      <c r="J128" s="98">
        <f t="shared" si="25"/>
        <v>0</v>
      </c>
      <c r="K128" s="99">
        <v>50</v>
      </c>
      <c r="L128" s="100">
        <f t="shared" si="26"/>
        <v>0</v>
      </c>
      <c r="M128" s="100">
        <f t="shared" si="27"/>
        <v>0</v>
      </c>
      <c r="N128" s="100">
        <v>0</v>
      </c>
      <c r="O128" s="100">
        <f t="shared" si="28"/>
        <v>0</v>
      </c>
      <c r="P128" s="100">
        <f t="shared" si="29"/>
        <v>0</v>
      </c>
      <c r="Q128" s="124">
        <f t="shared" si="30"/>
        <v>0</v>
      </c>
      <c r="R128" s="123"/>
      <c r="S128" s="123"/>
      <c r="T128" s="123"/>
      <c r="U128" s="123"/>
      <c r="V128" s="123"/>
      <c r="W128" s="123"/>
      <c r="X128" s="123"/>
      <c r="Y128" s="123"/>
      <c r="Z128" s="123"/>
      <c r="AA128" s="123"/>
      <c r="AB128" s="123"/>
      <c r="AC128" s="123"/>
      <c r="AD128" s="123"/>
      <c r="AE128" s="123"/>
      <c r="AF128" s="123"/>
      <c r="AG128" s="123"/>
      <c r="AH128" s="123"/>
      <c r="AI128" s="123"/>
      <c r="AJ128" s="123"/>
    </row>
    <row r="129" s="33" customFormat="1" ht="16.95" customHeight="1" spans="1:36">
      <c r="A129" s="87">
        <f>IF(F129&lt;&gt;"",1+MAX($A$2:A128),"")</f>
        <v>107</v>
      </c>
      <c r="B129" s="89"/>
      <c r="C129" s="89" t="s">
        <v>893</v>
      </c>
      <c r="D129" s="69" t="s">
        <v>894</v>
      </c>
      <c r="E129" s="72">
        <v>1</v>
      </c>
      <c r="F129" s="90">
        <v>0</v>
      </c>
      <c r="G129" s="91">
        <v>1</v>
      </c>
      <c r="H129" s="70" t="s">
        <v>35</v>
      </c>
      <c r="I129" s="97">
        <v>0</v>
      </c>
      <c r="J129" s="98">
        <f t="shared" si="25"/>
        <v>0</v>
      </c>
      <c r="K129" s="99">
        <v>50</v>
      </c>
      <c r="L129" s="100">
        <f t="shared" si="26"/>
        <v>0</v>
      </c>
      <c r="M129" s="100">
        <f t="shared" si="27"/>
        <v>0</v>
      </c>
      <c r="N129" s="100">
        <v>0</v>
      </c>
      <c r="O129" s="100">
        <f t="shared" si="28"/>
        <v>0</v>
      </c>
      <c r="P129" s="100">
        <f t="shared" si="29"/>
        <v>0</v>
      </c>
      <c r="Q129" s="124">
        <f t="shared" si="30"/>
        <v>0</v>
      </c>
      <c r="R129" s="123"/>
      <c r="S129" s="123"/>
      <c r="T129" s="123"/>
      <c r="U129" s="123"/>
      <c r="V129" s="123"/>
      <c r="W129" s="123"/>
      <c r="X129" s="123"/>
      <c r="Y129" s="123"/>
      <c r="Z129" s="123"/>
      <c r="AA129" s="123"/>
      <c r="AB129" s="123"/>
      <c r="AC129" s="123"/>
      <c r="AD129" s="123"/>
      <c r="AE129" s="123"/>
      <c r="AF129" s="123"/>
      <c r="AG129" s="123"/>
      <c r="AH129" s="123"/>
      <c r="AI129" s="123"/>
      <c r="AJ129" s="123"/>
    </row>
    <row r="130" s="33" customFormat="1" ht="16.95" customHeight="1" spans="1:36">
      <c r="A130" s="87">
        <f>IF(F130&lt;&gt;"",1+MAX($A$2:A129),"")</f>
        <v>108</v>
      </c>
      <c r="B130" s="89"/>
      <c r="C130" s="89" t="s">
        <v>895</v>
      </c>
      <c r="D130" s="69" t="s">
        <v>896</v>
      </c>
      <c r="E130" s="72">
        <v>1</v>
      </c>
      <c r="F130" s="90">
        <v>0</v>
      </c>
      <c r="G130" s="91">
        <v>1</v>
      </c>
      <c r="H130" s="70" t="s">
        <v>35</v>
      </c>
      <c r="I130" s="97">
        <v>0</v>
      </c>
      <c r="J130" s="98">
        <f t="shared" si="25"/>
        <v>0</v>
      </c>
      <c r="K130" s="99">
        <v>50</v>
      </c>
      <c r="L130" s="100">
        <f t="shared" si="26"/>
        <v>0</v>
      </c>
      <c r="M130" s="100">
        <f t="shared" si="27"/>
        <v>0</v>
      </c>
      <c r="N130" s="100">
        <v>0</v>
      </c>
      <c r="O130" s="100">
        <f t="shared" si="28"/>
        <v>0</v>
      </c>
      <c r="P130" s="100">
        <f t="shared" si="29"/>
        <v>0</v>
      </c>
      <c r="Q130" s="124">
        <f t="shared" si="30"/>
        <v>0</v>
      </c>
      <c r="R130" s="123"/>
      <c r="S130" s="123"/>
      <c r="T130" s="123"/>
      <c r="U130" s="123"/>
      <c r="V130" s="123"/>
      <c r="W130" s="123"/>
      <c r="X130" s="123"/>
      <c r="Y130" s="123"/>
      <c r="Z130" s="123"/>
      <c r="AA130" s="123"/>
      <c r="AB130" s="123"/>
      <c r="AC130" s="123"/>
      <c r="AD130" s="123"/>
      <c r="AE130" s="123"/>
      <c r="AF130" s="123"/>
      <c r="AG130" s="123"/>
      <c r="AH130" s="123"/>
      <c r="AI130" s="123"/>
      <c r="AJ130" s="123"/>
    </row>
    <row r="131" s="33" customFormat="1" ht="16.95" customHeight="1" spans="1:36">
      <c r="A131" s="87">
        <f>IF(F131&lt;&gt;"",1+MAX($A$2:A130),"")</f>
        <v>109</v>
      </c>
      <c r="B131" s="89"/>
      <c r="C131" s="89" t="s">
        <v>897</v>
      </c>
      <c r="D131" s="69" t="s">
        <v>898</v>
      </c>
      <c r="E131" s="72">
        <v>1</v>
      </c>
      <c r="F131" s="90">
        <v>0</v>
      </c>
      <c r="G131" s="91">
        <v>1</v>
      </c>
      <c r="H131" s="70" t="s">
        <v>35</v>
      </c>
      <c r="I131" s="97">
        <v>0</v>
      </c>
      <c r="J131" s="98">
        <f t="shared" si="25"/>
        <v>0</v>
      </c>
      <c r="K131" s="99">
        <v>50</v>
      </c>
      <c r="L131" s="100">
        <f t="shared" si="26"/>
        <v>0</v>
      </c>
      <c r="M131" s="100">
        <f t="shared" si="27"/>
        <v>0</v>
      </c>
      <c r="N131" s="100">
        <v>0</v>
      </c>
      <c r="O131" s="100">
        <f t="shared" si="28"/>
        <v>0</v>
      </c>
      <c r="P131" s="100">
        <f t="shared" si="29"/>
        <v>0</v>
      </c>
      <c r="Q131" s="124">
        <f t="shared" si="30"/>
        <v>0</v>
      </c>
      <c r="R131" s="123"/>
      <c r="S131" s="123"/>
      <c r="T131" s="123"/>
      <c r="U131" s="123"/>
      <c r="V131" s="123"/>
      <c r="W131" s="123"/>
      <c r="X131" s="123"/>
      <c r="Y131" s="123"/>
      <c r="Z131" s="123"/>
      <c r="AA131" s="123"/>
      <c r="AB131" s="123"/>
      <c r="AC131" s="123"/>
      <c r="AD131" s="123"/>
      <c r="AE131" s="123"/>
      <c r="AF131" s="123"/>
      <c r="AG131" s="123"/>
      <c r="AH131" s="123"/>
      <c r="AI131" s="123"/>
      <c r="AJ131" s="123"/>
    </row>
    <row r="132" s="33" customFormat="1" ht="16.95" customHeight="1" spans="1:36">
      <c r="A132" s="87">
        <f>IF(F132&lt;&gt;"",1+MAX($A$2:A131),"")</f>
        <v>110</v>
      </c>
      <c r="B132" s="89"/>
      <c r="C132" s="89" t="s">
        <v>899</v>
      </c>
      <c r="D132" s="69" t="s">
        <v>900</v>
      </c>
      <c r="E132" s="72">
        <v>1</v>
      </c>
      <c r="F132" s="90">
        <v>0</v>
      </c>
      <c r="G132" s="91">
        <v>1</v>
      </c>
      <c r="H132" s="70" t="s">
        <v>35</v>
      </c>
      <c r="I132" s="97">
        <v>0</v>
      </c>
      <c r="J132" s="98">
        <f t="shared" si="25"/>
        <v>0</v>
      </c>
      <c r="K132" s="99">
        <v>50</v>
      </c>
      <c r="L132" s="100">
        <f t="shared" si="26"/>
        <v>0</v>
      </c>
      <c r="M132" s="100">
        <f t="shared" si="27"/>
        <v>0</v>
      </c>
      <c r="N132" s="100">
        <v>0</v>
      </c>
      <c r="O132" s="100">
        <f t="shared" si="28"/>
        <v>0</v>
      </c>
      <c r="P132" s="100">
        <f t="shared" si="29"/>
        <v>0</v>
      </c>
      <c r="Q132" s="124">
        <f t="shared" si="30"/>
        <v>0</v>
      </c>
      <c r="R132" s="123"/>
      <c r="S132" s="123"/>
      <c r="T132" s="123"/>
      <c r="U132" s="123"/>
      <c r="V132" s="123"/>
      <c r="W132" s="123"/>
      <c r="X132" s="123"/>
      <c r="Y132" s="123"/>
      <c r="Z132" s="123"/>
      <c r="AA132" s="123"/>
      <c r="AB132" s="123"/>
      <c r="AC132" s="123"/>
      <c r="AD132" s="123"/>
      <c r="AE132" s="123"/>
      <c r="AF132" s="123"/>
      <c r="AG132" s="123"/>
      <c r="AH132" s="123"/>
      <c r="AI132" s="123"/>
      <c r="AJ132" s="123"/>
    </row>
    <row r="133" s="33" customFormat="1" ht="16.95" customHeight="1" spans="1:36">
      <c r="A133" s="87">
        <f>IF(F133&lt;&gt;"",1+MAX($A$2:A132),"")</f>
        <v>111</v>
      </c>
      <c r="B133" s="89"/>
      <c r="C133" s="89" t="s">
        <v>901</v>
      </c>
      <c r="D133" s="69" t="s">
        <v>902</v>
      </c>
      <c r="E133" s="72">
        <v>1</v>
      </c>
      <c r="F133" s="90">
        <v>0</v>
      </c>
      <c r="G133" s="91">
        <v>1</v>
      </c>
      <c r="H133" s="70" t="s">
        <v>35</v>
      </c>
      <c r="I133" s="97">
        <v>0</v>
      </c>
      <c r="J133" s="98">
        <f t="shared" si="25"/>
        <v>0</v>
      </c>
      <c r="K133" s="99">
        <v>50</v>
      </c>
      <c r="L133" s="100">
        <f t="shared" si="26"/>
        <v>0</v>
      </c>
      <c r="M133" s="100">
        <f t="shared" si="27"/>
        <v>0</v>
      </c>
      <c r="N133" s="100">
        <v>0</v>
      </c>
      <c r="O133" s="100">
        <f t="shared" si="28"/>
        <v>0</v>
      </c>
      <c r="P133" s="100">
        <f t="shared" si="29"/>
        <v>0</v>
      </c>
      <c r="Q133" s="124">
        <f t="shared" si="30"/>
        <v>0</v>
      </c>
      <c r="R133" s="123"/>
      <c r="S133" s="123"/>
      <c r="T133" s="123"/>
      <c r="U133" s="123"/>
      <c r="V133" s="123"/>
      <c r="W133" s="123"/>
      <c r="X133" s="123"/>
      <c r="Y133" s="123"/>
      <c r="Z133" s="123"/>
      <c r="AA133" s="123"/>
      <c r="AB133" s="123"/>
      <c r="AC133" s="123"/>
      <c r="AD133" s="123"/>
      <c r="AE133" s="123"/>
      <c r="AF133" s="123"/>
      <c r="AG133" s="123"/>
      <c r="AH133" s="123"/>
      <c r="AI133" s="123"/>
      <c r="AJ133" s="123"/>
    </row>
    <row r="134" s="33" customFormat="1" ht="16.95" customHeight="1" spans="1:36">
      <c r="A134" s="87">
        <f>IF(F134&lt;&gt;"",1+MAX($A$2:A133),"")</f>
        <v>112</v>
      </c>
      <c r="B134" s="89"/>
      <c r="C134" s="89" t="s">
        <v>903</v>
      </c>
      <c r="D134" s="69" t="s">
        <v>904</v>
      </c>
      <c r="E134" s="72">
        <v>1</v>
      </c>
      <c r="F134" s="90">
        <v>0</v>
      </c>
      <c r="G134" s="91">
        <v>1</v>
      </c>
      <c r="H134" s="70" t="s">
        <v>35</v>
      </c>
      <c r="I134" s="97">
        <v>0</v>
      </c>
      <c r="J134" s="98">
        <f t="shared" si="25"/>
        <v>0</v>
      </c>
      <c r="K134" s="99">
        <v>50</v>
      </c>
      <c r="L134" s="100">
        <f t="shared" si="26"/>
        <v>0</v>
      </c>
      <c r="M134" s="100">
        <f t="shared" si="27"/>
        <v>0</v>
      </c>
      <c r="N134" s="100">
        <v>0</v>
      </c>
      <c r="O134" s="100">
        <f t="shared" si="28"/>
        <v>0</v>
      </c>
      <c r="P134" s="100">
        <f t="shared" si="29"/>
        <v>0</v>
      </c>
      <c r="Q134" s="124">
        <f t="shared" si="30"/>
        <v>0</v>
      </c>
      <c r="R134" s="123"/>
      <c r="S134" s="123"/>
      <c r="T134" s="123"/>
      <c r="U134" s="123"/>
      <c r="V134" s="123"/>
      <c r="W134" s="123"/>
      <c r="X134" s="123"/>
      <c r="Y134" s="123"/>
      <c r="Z134" s="123"/>
      <c r="AA134" s="123"/>
      <c r="AB134" s="123"/>
      <c r="AC134" s="123"/>
      <c r="AD134" s="123"/>
      <c r="AE134" s="123"/>
      <c r="AF134" s="123"/>
      <c r="AG134" s="123"/>
      <c r="AH134" s="123"/>
      <c r="AI134" s="123"/>
      <c r="AJ134" s="123"/>
    </row>
    <row r="135" s="33" customFormat="1" ht="16.95" customHeight="1" spans="1:36">
      <c r="A135" s="87">
        <f>IF(F135&lt;&gt;"",1+MAX($A$2:A134),"")</f>
        <v>113</v>
      </c>
      <c r="B135" s="89"/>
      <c r="C135" s="89" t="s">
        <v>905</v>
      </c>
      <c r="D135" s="69" t="s">
        <v>906</v>
      </c>
      <c r="E135" s="72">
        <v>1</v>
      </c>
      <c r="F135" s="90">
        <v>0</v>
      </c>
      <c r="G135" s="91">
        <v>1</v>
      </c>
      <c r="H135" s="70" t="s">
        <v>35</v>
      </c>
      <c r="I135" s="97">
        <v>0</v>
      </c>
      <c r="J135" s="98">
        <f t="shared" si="25"/>
        <v>0</v>
      </c>
      <c r="K135" s="99">
        <v>50</v>
      </c>
      <c r="L135" s="100">
        <f t="shared" si="26"/>
        <v>0</v>
      </c>
      <c r="M135" s="100">
        <f t="shared" si="27"/>
        <v>0</v>
      </c>
      <c r="N135" s="100">
        <v>0</v>
      </c>
      <c r="O135" s="100">
        <f t="shared" si="28"/>
        <v>0</v>
      </c>
      <c r="P135" s="100">
        <f t="shared" si="29"/>
        <v>0</v>
      </c>
      <c r="Q135" s="124">
        <f t="shared" si="30"/>
        <v>0</v>
      </c>
      <c r="R135" s="123"/>
      <c r="S135" s="123"/>
      <c r="T135" s="123"/>
      <c r="U135" s="123"/>
      <c r="V135" s="123"/>
      <c r="W135" s="123"/>
      <c r="X135" s="123"/>
      <c r="Y135" s="123"/>
      <c r="Z135" s="123"/>
      <c r="AA135" s="123"/>
      <c r="AB135" s="123"/>
      <c r="AC135" s="123"/>
      <c r="AD135" s="123"/>
      <c r="AE135" s="123"/>
      <c r="AF135" s="123"/>
      <c r="AG135" s="123"/>
      <c r="AH135" s="123"/>
      <c r="AI135" s="123"/>
      <c r="AJ135" s="123"/>
    </row>
    <row r="136" s="33" customFormat="1" ht="16.95" customHeight="1" spans="1:36">
      <c r="A136" s="87">
        <f>IF(F136&lt;&gt;"",1+MAX($A$2:A135),"")</f>
        <v>114</v>
      </c>
      <c r="B136" s="89"/>
      <c r="C136" s="89" t="s">
        <v>907</v>
      </c>
      <c r="D136" s="69" t="s">
        <v>908</v>
      </c>
      <c r="E136" s="72">
        <v>1</v>
      </c>
      <c r="F136" s="90">
        <v>0</v>
      </c>
      <c r="G136" s="91">
        <v>1</v>
      </c>
      <c r="H136" s="70" t="s">
        <v>35</v>
      </c>
      <c r="I136" s="97">
        <v>0</v>
      </c>
      <c r="J136" s="98">
        <f t="shared" si="25"/>
        <v>0</v>
      </c>
      <c r="K136" s="99">
        <v>50</v>
      </c>
      <c r="L136" s="100">
        <f t="shared" si="26"/>
        <v>0</v>
      </c>
      <c r="M136" s="100">
        <f t="shared" si="27"/>
        <v>0</v>
      </c>
      <c r="N136" s="100">
        <v>0</v>
      </c>
      <c r="O136" s="100">
        <f t="shared" si="28"/>
        <v>0</v>
      </c>
      <c r="P136" s="100">
        <f t="shared" si="29"/>
        <v>0</v>
      </c>
      <c r="Q136" s="124">
        <f t="shared" si="30"/>
        <v>0</v>
      </c>
      <c r="R136" s="123"/>
      <c r="S136" s="123"/>
      <c r="T136" s="123"/>
      <c r="U136" s="123"/>
      <c r="V136" s="123"/>
      <c r="W136" s="123"/>
      <c r="X136" s="123"/>
      <c r="Y136" s="123"/>
      <c r="Z136" s="123"/>
      <c r="AA136" s="123"/>
      <c r="AB136" s="123"/>
      <c r="AC136" s="123"/>
      <c r="AD136" s="123"/>
      <c r="AE136" s="123"/>
      <c r="AF136" s="123"/>
      <c r="AG136" s="123"/>
      <c r="AH136" s="123"/>
      <c r="AI136" s="123"/>
      <c r="AJ136" s="123"/>
    </row>
    <row r="137" s="33" customFormat="1" ht="16.95" customHeight="1" spans="1:36">
      <c r="A137" s="87">
        <f>IF(F137&lt;&gt;"",1+MAX($A$2:A136),"")</f>
        <v>115</v>
      </c>
      <c r="B137" s="89"/>
      <c r="C137" s="89" t="s">
        <v>909</v>
      </c>
      <c r="D137" s="69" t="s">
        <v>910</v>
      </c>
      <c r="E137" s="72">
        <v>1</v>
      </c>
      <c r="F137" s="90">
        <v>0</v>
      </c>
      <c r="G137" s="91">
        <v>1</v>
      </c>
      <c r="H137" s="70" t="s">
        <v>35</v>
      </c>
      <c r="I137" s="97">
        <v>0</v>
      </c>
      <c r="J137" s="98">
        <f t="shared" si="25"/>
        <v>0</v>
      </c>
      <c r="K137" s="99">
        <v>50</v>
      </c>
      <c r="L137" s="100">
        <f t="shared" si="26"/>
        <v>0</v>
      </c>
      <c r="M137" s="100">
        <f t="shared" si="27"/>
        <v>0</v>
      </c>
      <c r="N137" s="100">
        <v>0</v>
      </c>
      <c r="O137" s="100">
        <f t="shared" si="28"/>
        <v>0</v>
      </c>
      <c r="P137" s="100">
        <f t="shared" si="29"/>
        <v>0</v>
      </c>
      <c r="Q137" s="124">
        <f t="shared" si="30"/>
        <v>0</v>
      </c>
      <c r="R137" s="123"/>
      <c r="S137" s="123"/>
      <c r="T137" s="123"/>
      <c r="U137" s="123"/>
      <c r="V137" s="123"/>
      <c r="W137" s="123"/>
      <c r="X137" s="123"/>
      <c r="Y137" s="123"/>
      <c r="Z137" s="123"/>
      <c r="AA137" s="123"/>
      <c r="AB137" s="123"/>
      <c r="AC137" s="123"/>
      <c r="AD137" s="123"/>
      <c r="AE137" s="123"/>
      <c r="AF137" s="123"/>
      <c r="AG137" s="123"/>
      <c r="AH137" s="123"/>
      <c r="AI137" s="123"/>
      <c r="AJ137" s="123"/>
    </row>
    <row r="138" s="33" customFormat="1" ht="16.95" customHeight="1" spans="1:36">
      <c r="A138" s="87" t="str">
        <f>IF(F138&lt;&gt;"",1+MAX($A$2:A137),"")</f>
        <v/>
      </c>
      <c r="B138" s="89"/>
      <c r="C138" s="89"/>
      <c r="D138" s="69"/>
      <c r="E138" s="72"/>
      <c r="F138" s="90"/>
      <c r="G138" s="91"/>
      <c r="H138" s="70"/>
      <c r="I138" s="97"/>
      <c r="J138" s="98"/>
      <c r="K138" s="99"/>
      <c r="L138" s="100"/>
      <c r="M138" s="100"/>
      <c r="N138" s="100"/>
      <c r="O138" s="100"/>
      <c r="P138" s="100"/>
      <c r="Q138" s="124"/>
      <c r="R138" s="123"/>
      <c r="S138" s="123"/>
      <c r="T138" s="123"/>
      <c r="U138" s="123"/>
      <c r="V138" s="123"/>
      <c r="W138" s="123"/>
      <c r="X138" s="123"/>
      <c r="Y138" s="123"/>
      <c r="Z138" s="123"/>
      <c r="AA138" s="123"/>
      <c r="AB138" s="123"/>
      <c r="AC138" s="123"/>
      <c r="AD138" s="123"/>
      <c r="AE138" s="123"/>
      <c r="AF138" s="123"/>
      <c r="AG138" s="123"/>
      <c r="AH138" s="123"/>
      <c r="AI138" s="123"/>
      <c r="AJ138" s="123"/>
    </row>
    <row r="139" s="33" customFormat="1" ht="16.95" customHeight="1" spans="1:36">
      <c r="A139" s="87" t="str">
        <f>IF(F139&lt;&gt;"",1+MAX($A$2:A138),"")</f>
        <v/>
      </c>
      <c r="B139" s="89"/>
      <c r="C139" s="89"/>
      <c r="D139" s="88" t="s">
        <v>482</v>
      </c>
      <c r="E139" s="72"/>
      <c r="F139" s="90"/>
      <c r="G139" s="91"/>
      <c r="H139" s="70"/>
      <c r="I139" s="97"/>
      <c r="J139" s="98"/>
      <c r="K139" s="99"/>
      <c r="L139" s="100"/>
      <c r="M139" s="100"/>
      <c r="N139" s="100"/>
      <c r="O139" s="100"/>
      <c r="P139" s="100"/>
      <c r="Q139" s="124"/>
      <c r="R139" s="123"/>
      <c r="S139" s="123"/>
      <c r="T139" s="123"/>
      <c r="U139" s="123"/>
      <c r="V139" s="123"/>
      <c r="W139" s="123"/>
      <c r="X139" s="123"/>
      <c r="Y139" s="123"/>
      <c r="Z139" s="123"/>
      <c r="AA139" s="123"/>
      <c r="AB139" s="123"/>
      <c r="AC139" s="123"/>
      <c r="AD139" s="123"/>
      <c r="AE139" s="123"/>
      <c r="AF139" s="123"/>
      <c r="AG139" s="123"/>
      <c r="AH139" s="123"/>
      <c r="AI139" s="123"/>
      <c r="AJ139" s="123"/>
    </row>
    <row r="140" s="33" customFormat="1" ht="16.95" customHeight="1" spans="1:36">
      <c r="A140" s="87">
        <f>IF(F140&lt;&gt;"",1+MAX($A$2:A139),"")</f>
        <v>116</v>
      </c>
      <c r="B140" s="89"/>
      <c r="C140" s="89" t="s">
        <v>911</v>
      </c>
      <c r="D140" s="69" t="s">
        <v>912</v>
      </c>
      <c r="E140" s="72">
        <v>1</v>
      </c>
      <c r="F140" s="90">
        <v>0</v>
      </c>
      <c r="G140" s="91">
        <v>1</v>
      </c>
      <c r="H140" s="70" t="s">
        <v>35</v>
      </c>
      <c r="I140" s="97">
        <v>0</v>
      </c>
      <c r="J140" s="98">
        <f t="shared" ref="J140:J166" si="31">+I140*G140</f>
        <v>0</v>
      </c>
      <c r="K140" s="99">
        <v>50</v>
      </c>
      <c r="L140" s="100">
        <f t="shared" ref="L140:L166" si="32">I140*K140</f>
        <v>0</v>
      </c>
      <c r="M140" s="100">
        <f t="shared" ref="M140:M166" si="33">K140*J140</f>
        <v>0</v>
      </c>
      <c r="N140" s="100">
        <v>0</v>
      </c>
      <c r="O140" s="100">
        <f t="shared" ref="O140:O166" si="34">N140*G140</f>
        <v>0</v>
      </c>
      <c r="P140" s="100">
        <f t="shared" ref="P140:P166" si="35">(I140*K140)+N140</f>
        <v>0</v>
      </c>
      <c r="Q140" s="124">
        <f t="shared" ref="Q140:Q166" si="36">P140*G140</f>
        <v>0</v>
      </c>
      <c r="R140" s="123"/>
      <c r="S140" s="123"/>
      <c r="T140" s="123"/>
      <c r="U140" s="123"/>
      <c r="V140" s="123"/>
      <c r="W140" s="123"/>
      <c r="X140" s="123"/>
      <c r="Y140" s="123"/>
      <c r="Z140" s="123"/>
      <c r="AA140" s="123"/>
      <c r="AB140" s="123"/>
      <c r="AC140" s="123"/>
      <c r="AD140" s="123"/>
      <c r="AE140" s="123"/>
      <c r="AF140" s="123"/>
      <c r="AG140" s="123"/>
      <c r="AH140" s="123"/>
      <c r="AI140" s="123"/>
      <c r="AJ140" s="123"/>
    </row>
    <row r="141" s="33" customFormat="1" ht="16.95" customHeight="1" spans="1:36">
      <c r="A141" s="87">
        <f>IF(F141&lt;&gt;"",1+MAX($A$2:A140),"")</f>
        <v>117</v>
      </c>
      <c r="B141" s="89"/>
      <c r="C141" s="89" t="s">
        <v>913</v>
      </c>
      <c r="D141" s="69" t="s">
        <v>914</v>
      </c>
      <c r="E141" s="72">
        <v>1</v>
      </c>
      <c r="F141" s="90">
        <v>0</v>
      </c>
      <c r="G141" s="91">
        <v>1</v>
      </c>
      <c r="H141" s="70" t="s">
        <v>35</v>
      </c>
      <c r="I141" s="97">
        <v>0</v>
      </c>
      <c r="J141" s="98">
        <f t="shared" si="31"/>
        <v>0</v>
      </c>
      <c r="K141" s="99">
        <v>50</v>
      </c>
      <c r="L141" s="100">
        <f t="shared" si="32"/>
        <v>0</v>
      </c>
      <c r="M141" s="100">
        <f t="shared" si="33"/>
        <v>0</v>
      </c>
      <c r="N141" s="100">
        <v>0</v>
      </c>
      <c r="O141" s="100">
        <f t="shared" si="34"/>
        <v>0</v>
      </c>
      <c r="P141" s="100">
        <f t="shared" si="35"/>
        <v>0</v>
      </c>
      <c r="Q141" s="124">
        <f t="shared" si="36"/>
        <v>0</v>
      </c>
      <c r="R141" s="123"/>
      <c r="S141" s="123"/>
      <c r="T141" s="123"/>
      <c r="U141" s="123"/>
      <c r="V141" s="123"/>
      <c r="W141" s="123"/>
      <c r="X141" s="123"/>
      <c r="Y141" s="123"/>
      <c r="Z141" s="123"/>
      <c r="AA141" s="123"/>
      <c r="AB141" s="123"/>
      <c r="AC141" s="123"/>
      <c r="AD141" s="123"/>
      <c r="AE141" s="123"/>
      <c r="AF141" s="123"/>
      <c r="AG141" s="123"/>
      <c r="AH141" s="123"/>
      <c r="AI141" s="123"/>
      <c r="AJ141" s="123"/>
    </row>
    <row r="142" s="33" customFormat="1" ht="16.95" customHeight="1" spans="1:36">
      <c r="A142" s="87">
        <f>IF(F142&lt;&gt;"",1+MAX($A$2:A141),"")</f>
        <v>118</v>
      </c>
      <c r="B142" s="89"/>
      <c r="C142" s="89" t="s">
        <v>915</v>
      </c>
      <c r="D142" s="69" t="s">
        <v>916</v>
      </c>
      <c r="E142" s="72">
        <v>1</v>
      </c>
      <c r="F142" s="90">
        <v>0</v>
      </c>
      <c r="G142" s="91">
        <v>1</v>
      </c>
      <c r="H142" s="70" t="s">
        <v>35</v>
      </c>
      <c r="I142" s="97">
        <v>0</v>
      </c>
      <c r="J142" s="98">
        <f t="shared" si="31"/>
        <v>0</v>
      </c>
      <c r="K142" s="99">
        <v>50</v>
      </c>
      <c r="L142" s="100">
        <f t="shared" si="32"/>
        <v>0</v>
      </c>
      <c r="M142" s="100">
        <f t="shared" si="33"/>
        <v>0</v>
      </c>
      <c r="N142" s="100">
        <v>0</v>
      </c>
      <c r="O142" s="100">
        <f t="shared" si="34"/>
        <v>0</v>
      </c>
      <c r="P142" s="100">
        <f t="shared" si="35"/>
        <v>0</v>
      </c>
      <c r="Q142" s="124">
        <f t="shared" si="36"/>
        <v>0</v>
      </c>
      <c r="R142" s="123"/>
      <c r="S142" s="123"/>
      <c r="T142" s="123"/>
      <c r="U142" s="123"/>
      <c r="V142" s="123"/>
      <c r="W142" s="123"/>
      <c r="X142" s="123"/>
      <c r="Y142" s="123"/>
      <c r="Z142" s="123"/>
      <c r="AA142" s="123"/>
      <c r="AB142" s="123"/>
      <c r="AC142" s="123"/>
      <c r="AD142" s="123"/>
      <c r="AE142" s="123"/>
      <c r="AF142" s="123"/>
      <c r="AG142" s="123"/>
      <c r="AH142" s="123"/>
      <c r="AI142" s="123"/>
      <c r="AJ142" s="123"/>
    </row>
    <row r="143" s="33" customFormat="1" ht="16.95" customHeight="1" spans="1:36">
      <c r="A143" s="87">
        <f>IF(F143&lt;&gt;"",1+MAX($A$2:A142),"")</f>
        <v>119</v>
      </c>
      <c r="B143" s="89"/>
      <c r="C143" s="89" t="s">
        <v>917</v>
      </c>
      <c r="D143" s="69" t="s">
        <v>918</v>
      </c>
      <c r="E143" s="72">
        <v>1</v>
      </c>
      <c r="F143" s="90">
        <v>0</v>
      </c>
      <c r="G143" s="91">
        <v>1</v>
      </c>
      <c r="H143" s="70" t="s">
        <v>35</v>
      </c>
      <c r="I143" s="97">
        <v>0</v>
      </c>
      <c r="J143" s="98">
        <f t="shared" si="31"/>
        <v>0</v>
      </c>
      <c r="K143" s="99">
        <v>50</v>
      </c>
      <c r="L143" s="100">
        <f t="shared" si="32"/>
        <v>0</v>
      </c>
      <c r="M143" s="100">
        <f t="shared" si="33"/>
        <v>0</v>
      </c>
      <c r="N143" s="100">
        <v>0</v>
      </c>
      <c r="O143" s="100">
        <f t="shared" si="34"/>
        <v>0</v>
      </c>
      <c r="P143" s="100">
        <f t="shared" si="35"/>
        <v>0</v>
      </c>
      <c r="Q143" s="124">
        <f t="shared" si="36"/>
        <v>0</v>
      </c>
      <c r="R143" s="123"/>
      <c r="S143" s="123"/>
      <c r="T143" s="123"/>
      <c r="U143" s="123"/>
      <c r="V143" s="123"/>
      <c r="W143" s="123"/>
      <c r="X143" s="123"/>
      <c r="Y143" s="123"/>
      <c r="Z143" s="123"/>
      <c r="AA143" s="123"/>
      <c r="AB143" s="123"/>
      <c r="AC143" s="123"/>
      <c r="AD143" s="123"/>
      <c r="AE143" s="123"/>
      <c r="AF143" s="123"/>
      <c r="AG143" s="123"/>
      <c r="AH143" s="123"/>
      <c r="AI143" s="123"/>
      <c r="AJ143" s="123"/>
    </row>
    <row r="144" s="33" customFormat="1" ht="16.95" customHeight="1" spans="1:36">
      <c r="A144" s="87">
        <f>IF(F144&lt;&gt;"",1+MAX($A$2:A143),"")</f>
        <v>120</v>
      </c>
      <c r="B144" s="89"/>
      <c r="C144" s="89" t="s">
        <v>919</v>
      </c>
      <c r="D144" s="69" t="s">
        <v>920</v>
      </c>
      <c r="E144" s="72">
        <v>1</v>
      </c>
      <c r="F144" s="90">
        <v>0</v>
      </c>
      <c r="G144" s="91">
        <v>1</v>
      </c>
      <c r="H144" s="70" t="s">
        <v>35</v>
      </c>
      <c r="I144" s="97">
        <v>0</v>
      </c>
      <c r="J144" s="98">
        <f t="shared" si="31"/>
        <v>0</v>
      </c>
      <c r="K144" s="99">
        <v>50</v>
      </c>
      <c r="L144" s="100">
        <f t="shared" si="32"/>
        <v>0</v>
      </c>
      <c r="M144" s="100">
        <f t="shared" si="33"/>
        <v>0</v>
      </c>
      <c r="N144" s="100">
        <v>0</v>
      </c>
      <c r="O144" s="100">
        <f t="shared" si="34"/>
        <v>0</v>
      </c>
      <c r="P144" s="100">
        <f t="shared" si="35"/>
        <v>0</v>
      </c>
      <c r="Q144" s="124">
        <f t="shared" si="36"/>
        <v>0</v>
      </c>
      <c r="R144" s="123"/>
      <c r="S144" s="123"/>
      <c r="T144" s="123"/>
      <c r="U144" s="123"/>
      <c r="V144" s="123"/>
      <c r="W144" s="123"/>
      <c r="X144" s="123"/>
      <c r="Y144" s="123"/>
      <c r="Z144" s="123"/>
      <c r="AA144" s="123"/>
      <c r="AB144" s="123"/>
      <c r="AC144" s="123"/>
      <c r="AD144" s="123"/>
      <c r="AE144" s="123"/>
      <c r="AF144" s="123"/>
      <c r="AG144" s="123"/>
      <c r="AH144" s="123"/>
      <c r="AI144" s="123"/>
      <c r="AJ144" s="123"/>
    </row>
    <row r="145" s="33" customFormat="1" ht="16.95" customHeight="1" spans="1:36">
      <c r="A145" s="87">
        <f>IF(F145&lt;&gt;"",1+MAX($A$2:A144),"")</f>
        <v>121</v>
      </c>
      <c r="B145" s="89"/>
      <c r="C145" s="89" t="s">
        <v>921</v>
      </c>
      <c r="D145" s="69" t="s">
        <v>922</v>
      </c>
      <c r="E145" s="72">
        <v>1</v>
      </c>
      <c r="F145" s="90">
        <v>0</v>
      </c>
      <c r="G145" s="91">
        <v>1</v>
      </c>
      <c r="H145" s="70" t="s">
        <v>35</v>
      </c>
      <c r="I145" s="97">
        <v>0</v>
      </c>
      <c r="J145" s="98">
        <f t="shared" si="31"/>
        <v>0</v>
      </c>
      <c r="K145" s="99">
        <v>50</v>
      </c>
      <c r="L145" s="100">
        <f t="shared" si="32"/>
        <v>0</v>
      </c>
      <c r="M145" s="100">
        <f t="shared" si="33"/>
        <v>0</v>
      </c>
      <c r="N145" s="100">
        <v>0</v>
      </c>
      <c r="O145" s="100">
        <f t="shared" si="34"/>
        <v>0</v>
      </c>
      <c r="P145" s="100">
        <f t="shared" si="35"/>
        <v>0</v>
      </c>
      <c r="Q145" s="124">
        <f t="shared" si="36"/>
        <v>0</v>
      </c>
      <c r="R145" s="123"/>
      <c r="S145" s="123"/>
      <c r="T145" s="123"/>
      <c r="U145" s="123"/>
      <c r="V145" s="123"/>
      <c r="W145" s="123"/>
      <c r="X145" s="123"/>
      <c r="Y145" s="123"/>
      <c r="Z145" s="123"/>
      <c r="AA145" s="123"/>
      <c r="AB145" s="123"/>
      <c r="AC145" s="123"/>
      <c r="AD145" s="123"/>
      <c r="AE145" s="123"/>
      <c r="AF145" s="123"/>
      <c r="AG145" s="123"/>
      <c r="AH145" s="123"/>
      <c r="AI145" s="123"/>
      <c r="AJ145" s="123"/>
    </row>
    <row r="146" s="33" customFormat="1" ht="16.95" customHeight="1" spans="1:36">
      <c r="A146" s="87">
        <f>IF(F146&lt;&gt;"",1+MAX($A$2:A145),"")</f>
        <v>122</v>
      </c>
      <c r="B146" s="89"/>
      <c r="C146" s="89" t="s">
        <v>923</v>
      </c>
      <c r="D146" s="69" t="s">
        <v>924</v>
      </c>
      <c r="E146" s="72">
        <v>1</v>
      </c>
      <c r="F146" s="90">
        <v>0</v>
      </c>
      <c r="G146" s="91">
        <v>1</v>
      </c>
      <c r="H146" s="70" t="s">
        <v>35</v>
      </c>
      <c r="I146" s="97">
        <v>0</v>
      </c>
      <c r="J146" s="98">
        <f t="shared" si="31"/>
        <v>0</v>
      </c>
      <c r="K146" s="99">
        <v>50</v>
      </c>
      <c r="L146" s="100">
        <f t="shared" si="32"/>
        <v>0</v>
      </c>
      <c r="M146" s="100">
        <f t="shared" si="33"/>
        <v>0</v>
      </c>
      <c r="N146" s="100">
        <v>0</v>
      </c>
      <c r="O146" s="100">
        <f t="shared" si="34"/>
        <v>0</v>
      </c>
      <c r="P146" s="100">
        <f t="shared" si="35"/>
        <v>0</v>
      </c>
      <c r="Q146" s="124">
        <f t="shared" si="36"/>
        <v>0</v>
      </c>
      <c r="R146" s="123"/>
      <c r="S146" s="123"/>
      <c r="T146" s="123"/>
      <c r="U146" s="123"/>
      <c r="V146" s="123"/>
      <c r="W146" s="123"/>
      <c r="X146" s="123"/>
      <c r="Y146" s="123"/>
      <c r="Z146" s="123"/>
      <c r="AA146" s="123"/>
      <c r="AB146" s="123"/>
      <c r="AC146" s="123"/>
      <c r="AD146" s="123"/>
      <c r="AE146" s="123"/>
      <c r="AF146" s="123"/>
      <c r="AG146" s="123"/>
      <c r="AH146" s="123"/>
      <c r="AI146" s="123"/>
      <c r="AJ146" s="123"/>
    </row>
    <row r="147" s="33" customFormat="1" ht="16.95" customHeight="1" spans="1:36">
      <c r="A147" s="87">
        <f>IF(F147&lt;&gt;"",1+MAX($A$2:A146),"")</f>
        <v>123</v>
      </c>
      <c r="B147" s="89"/>
      <c r="C147" s="89" t="s">
        <v>925</v>
      </c>
      <c r="D147" s="69" t="s">
        <v>926</v>
      </c>
      <c r="E147" s="72">
        <v>1</v>
      </c>
      <c r="F147" s="90">
        <v>0</v>
      </c>
      <c r="G147" s="91">
        <v>1</v>
      </c>
      <c r="H147" s="70" t="s">
        <v>35</v>
      </c>
      <c r="I147" s="97">
        <v>0</v>
      </c>
      <c r="J147" s="98">
        <f t="shared" si="31"/>
        <v>0</v>
      </c>
      <c r="K147" s="99">
        <v>50</v>
      </c>
      <c r="L147" s="100">
        <f t="shared" si="32"/>
        <v>0</v>
      </c>
      <c r="M147" s="100">
        <f t="shared" si="33"/>
        <v>0</v>
      </c>
      <c r="N147" s="100">
        <v>0</v>
      </c>
      <c r="O147" s="100">
        <f t="shared" si="34"/>
        <v>0</v>
      </c>
      <c r="P147" s="100">
        <f t="shared" si="35"/>
        <v>0</v>
      </c>
      <c r="Q147" s="124">
        <f t="shared" si="36"/>
        <v>0</v>
      </c>
      <c r="R147" s="123"/>
      <c r="S147" s="123"/>
      <c r="T147" s="123"/>
      <c r="U147" s="123"/>
      <c r="V147" s="123"/>
      <c r="W147" s="123"/>
      <c r="X147" s="123"/>
      <c r="Y147" s="123"/>
      <c r="Z147" s="123"/>
      <c r="AA147" s="123"/>
      <c r="AB147" s="123"/>
      <c r="AC147" s="123"/>
      <c r="AD147" s="123"/>
      <c r="AE147" s="123"/>
      <c r="AF147" s="123"/>
      <c r="AG147" s="123"/>
      <c r="AH147" s="123"/>
      <c r="AI147" s="123"/>
      <c r="AJ147" s="123"/>
    </row>
    <row r="148" s="33" customFormat="1" ht="16.95" customHeight="1" spans="1:36">
      <c r="A148" s="87">
        <f>IF(F148&lt;&gt;"",1+MAX($A$2:A147),"")</f>
        <v>124</v>
      </c>
      <c r="B148" s="89"/>
      <c r="C148" s="89" t="s">
        <v>927</v>
      </c>
      <c r="D148" s="69" t="s">
        <v>928</v>
      </c>
      <c r="E148" s="72">
        <v>3</v>
      </c>
      <c r="F148" s="90">
        <v>0</v>
      </c>
      <c r="G148" s="91">
        <v>3</v>
      </c>
      <c r="H148" s="70" t="s">
        <v>35</v>
      </c>
      <c r="I148" s="97">
        <v>0</v>
      </c>
      <c r="J148" s="98">
        <f t="shared" si="31"/>
        <v>0</v>
      </c>
      <c r="K148" s="99">
        <v>50</v>
      </c>
      <c r="L148" s="100">
        <f t="shared" si="32"/>
        <v>0</v>
      </c>
      <c r="M148" s="100">
        <f t="shared" si="33"/>
        <v>0</v>
      </c>
      <c r="N148" s="100">
        <v>0</v>
      </c>
      <c r="O148" s="100">
        <f t="shared" si="34"/>
        <v>0</v>
      </c>
      <c r="P148" s="100">
        <f t="shared" si="35"/>
        <v>0</v>
      </c>
      <c r="Q148" s="124">
        <f t="shared" si="36"/>
        <v>0</v>
      </c>
      <c r="R148" s="123"/>
      <c r="S148" s="123"/>
      <c r="T148" s="123"/>
      <c r="U148" s="123"/>
      <c r="V148" s="123"/>
      <c r="W148" s="123"/>
      <c r="X148" s="123"/>
      <c r="Y148" s="123"/>
      <c r="Z148" s="123"/>
      <c r="AA148" s="123"/>
      <c r="AB148" s="123"/>
      <c r="AC148" s="123"/>
      <c r="AD148" s="123"/>
      <c r="AE148" s="123"/>
      <c r="AF148" s="123"/>
      <c r="AG148" s="123"/>
      <c r="AH148" s="123"/>
      <c r="AI148" s="123"/>
      <c r="AJ148" s="123"/>
    </row>
    <row r="149" s="33" customFormat="1" ht="16.95" customHeight="1" spans="1:36">
      <c r="A149" s="87">
        <f>IF(F149&lt;&gt;"",1+MAX($A$2:A148),"")</f>
        <v>125</v>
      </c>
      <c r="B149" s="89"/>
      <c r="C149" s="89" t="s">
        <v>929</v>
      </c>
      <c r="D149" s="69" t="s">
        <v>930</v>
      </c>
      <c r="E149" s="72">
        <v>1</v>
      </c>
      <c r="F149" s="90">
        <v>0</v>
      </c>
      <c r="G149" s="91">
        <v>1</v>
      </c>
      <c r="H149" s="70" t="s">
        <v>35</v>
      </c>
      <c r="I149" s="97">
        <v>0</v>
      </c>
      <c r="J149" s="98">
        <f t="shared" si="31"/>
        <v>0</v>
      </c>
      <c r="K149" s="99">
        <v>50</v>
      </c>
      <c r="L149" s="100">
        <f t="shared" si="32"/>
        <v>0</v>
      </c>
      <c r="M149" s="100">
        <f t="shared" si="33"/>
        <v>0</v>
      </c>
      <c r="N149" s="100">
        <v>0</v>
      </c>
      <c r="O149" s="100">
        <f t="shared" si="34"/>
        <v>0</v>
      </c>
      <c r="P149" s="100">
        <f t="shared" si="35"/>
        <v>0</v>
      </c>
      <c r="Q149" s="124">
        <f t="shared" si="36"/>
        <v>0</v>
      </c>
      <c r="R149" s="123"/>
      <c r="S149" s="123"/>
      <c r="T149" s="123"/>
      <c r="U149" s="123"/>
      <c r="V149" s="123"/>
      <c r="W149" s="123"/>
      <c r="X149" s="123"/>
      <c r="Y149" s="123"/>
      <c r="Z149" s="123"/>
      <c r="AA149" s="123"/>
      <c r="AB149" s="123"/>
      <c r="AC149" s="123"/>
      <c r="AD149" s="123"/>
      <c r="AE149" s="123"/>
      <c r="AF149" s="123"/>
      <c r="AG149" s="123"/>
      <c r="AH149" s="123"/>
      <c r="AI149" s="123"/>
      <c r="AJ149" s="123"/>
    </row>
    <row r="150" s="33" customFormat="1" ht="16.95" customHeight="1" spans="1:36">
      <c r="A150" s="87">
        <f>IF(F150&lt;&gt;"",1+MAX($A$2:A149),"")</f>
        <v>126</v>
      </c>
      <c r="B150" s="89"/>
      <c r="C150" s="89" t="s">
        <v>931</v>
      </c>
      <c r="D150" s="69" t="s">
        <v>932</v>
      </c>
      <c r="E150" s="72">
        <v>1</v>
      </c>
      <c r="F150" s="90">
        <v>0</v>
      </c>
      <c r="G150" s="91">
        <v>1</v>
      </c>
      <c r="H150" s="70" t="s">
        <v>35</v>
      </c>
      <c r="I150" s="97">
        <v>0</v>
      </c>
      <c r="J150" s="98">
        <f t="shared" si="31"/>
        <v>0</v>
      </c>
      <c r="K150" s="99">
        <v>50</v>
      </c>
      <c r="L150" s="100">
        <f t="shared" si="32"/>
        <v>0</v>
      </c>
      <c r="M150" s="100">
        <f t="shared" si="33"/>
        <v>0</v>
      </c>
      <c r="N150" s="100">
        <v>0</v>
      </c>
      <c r="O150" s="100">
        <f t="shared" si="34"/>
        <v>0</v>
      </c>
      <c r="P150" s="100">
        <f t="shared" si="35"/>
        <v>0</v>
      </c>
      <c r="Q150" s="124">
        <f t="shared" si="36"/>
        <v>0</v>
      </c>
      <c r="R150" s="123"/>
      <c r="S150" s="123"/>
      <c r="T150" s="123"/>
      <c r="U150" s="123"/>
      <c r="V150" s="123"/>
      <c r="W150" s="123"/>
      <c r="X150" s="123"/>
      <c r="Y150" s="123"/>
      <c r="Z150" s="123"/>
      <c r="AA150" s="123"/>
      <c r="AB150" s="123"/>
      <c r="AC150" s="123"/>
      <c r="AD150" s="123"/>
      <c r="AE150" s="123"/>
      <c r="AF150" s="123"/>
      <c r="AG150" s="123"/>
      <c r="AH150" s="123"/>
      <c r="AI150" s="123"/>
      <c r="AJ150" s="123"/>
    </row>
    <row r="151" s="33" customFormat="1" ht="16.95" customHeight="1" spans="1:36">
      <c r="A151" s="87">
        <f>IF(F151&lt;&gt;"",1+MAX($A$2:A150),"")</f>
        <v>127</v>
      </c>
      <c r="B151" s="89"/>
      <c r="C151" s="89" t="s">
        <v>933</v>
      </c>
      <c r="D151" s="69" t="s">
        <v>934</v>
      </c>
      <c r="E151" s="72">
        <v>1</v>
      </c>
      <c r="F151" s="90">
        <v>0</v>
      </c>
      <c r="G151" s="91">
        <v>1</v>
      </c>
      <c r="H151" s="70" t="s">
        <v>35</v>
      </c>
      <c r="I151" s="97">
        <v>0</v>
      </c>
      <c r="J151" s="98">
        <f t="shared" si="31"/>
        <v>0</v>
      </c>
      <c r="K151" s="99">
        <v>50</v>
      </c>
      <c r="L151" s="100">
        <f t="shared" si="32"/>
        <v>0</v>
      </c>
      <c r="M151" s="100">
        <f t="shared" si="33"/>
        <v>0</v>
      </c>
      <c r="N151" s="100">
        <v>0</v>
      </c>
      <c r="O151" s="100">
        <f t="shared" si="34"/>
        <v>0</v>
      </c>
      <c r="P151" s="100">
        <f t="shared" si="35"/>
        <v>0</v>
      </c>
      <c r="Q151" s="124">
        <f t="shared" si="36"/>
        <v>0</v>
      </c>
      <c r="R151" s="123"/>
      <c r="S151" s="123"/>
      <c r="T151" s="123"/>
      <c r="U151" s="123"/>
      <c r="V151" s="123"/>
      <c r="W151" s="123"/>
      <c r="X151" s="123"/>
      <c r="Y151" s="123"/>
      <c r="Z151" s="123"/>
      <c r="AA151" s="123"/>
      <c r="AB151" s="123"/>
      <c r="AC151" s="123"/>
      <c r="AD151" s="123"/>
      <c r="AE151" s="123"/>
      <c r="AF151" s="123"/>
      <c r="AG151" s="123"/>
      <c r="AH151" s="123"/>
      <c r="AI151" s="123"/>
      <c r="AJ151" s="123"/>
    </row>
    <row r="152" s="33" customFormat="1" ht="16.95" customHeight="1" spans="1:36">
      <c r="A152" s="87">
        <f>IF(F152&lt;&gt;"",1+MAX($A$2:A151),"")</f>
        <v>128</v>
      </c>
      <c r="B152" s="89"/>
      <c r="C152" s="89" t="s">
        <v>935</v>
      </c>
      <c r="D152" s="69" t="s">
        <v>936</v>
      </c>
      <c r="E152" s="72">
        <v>1</v>
      </c>
      <c r="F152" s="90">
        <v>0</v>
      </c>
      <c r="G152" s="91">
        <v>1</v>
      </c>
      <c r="H152" s="70" t="s">
        <v>35</v>
      </c>
      <c r="I152" s="97">
        <v>0</v>
      </c>
      <c r="J152" s="98">
        <f t="shared" si="31"/>
        <v>0</v>
      </c>
      <c r="K152" s="99">
        <v>50</v>
      </c>
      <c r="L152" s="100">
        <f t="shared" si="32"/>
        <v>0</v>
      </c>
      <c r="M152" s="100">
        <f t="shared" si="33"/>
        <v>0</v>
      </c>
      <c r="N152" s="100">
        <v>0</v>
      </c>
      <c r="O152" s="100">
        <f t="shared" si="34"/>
        <v>0</v>
      </c>
      <c r="P152" s="100">
        <f t="shared" si="35"/>
        <v>0</v>
      </c>
      <c r="Q152" s="124">
        <f t="shared" si="36"/>
        <v>0</v>
      </c>
      <c r="R152" s="123"/>
      <c r="S152" s="123"/>
      <c r="T152" s="123"/>
      <c r="U152" s="123"/>
      <c r="V152" s="123"/>
      <c r="W152" s="123"/>
      <c r="X152" s="123"/>
      <c r="Y152" s="123"/>
      <c r="Z152" s="123"/>
      <c r="AA152" s="123"/>
      <c r="AB152" s="123"/>
      <c r="AC152" s="123"/>
      <c r="AD152" s="123"/>
      <c r="AE152" s="123"/>
      <c r="AF152" s="123"/>
      <c r="AG152" s="123"/>
      <c r="AH152" s="123"/>
      <c r="AI152" s="123"/>
      <c r="AJ152" s="123"/>
    </row>
    <row r="153" s="33" customFormat="1" ht="16.95" customHeight="1" spans="1:36">
      <c r="A153" s="87">
        <f>IF(F153&lt;&gt;"",1+MAX($A$2:A152),"")</f>
        <v>129</v>
      </c>
      <c r="B153" s="89"/>
      <c r="C153" s="89" t="s">
        <v>937</v>
      </c>
      <c r="D153" s="69" t="s">
        <v>938</v>
      </c>
      <c r="E153" s="72">
        <v>2</v>
      </c>
      <c r="F153" s="90">
        <v>0</v>
      </c>
      <c r="G153" s="91">
        <v>2</v>
      </c>
      <c r="H153" s="70" t="s">
        <v>35</v>
      </c>
      <c r="I153" s="97">
        <v>0</v>
      </c>
      <c r="J153" s="98">
        <f t="shared" si="31"/>
        <v>0</v>
      </c>
      <c r="K153" s="99">
        <v>50</v>
      </c>
      <c r="L153" s="100">
        <f t="shared" si="32"/>
        <v>0</v>
      </c>
      <c r="M153" s="100">
        <f t="shared" si="33"/>
        <v>0</v>
      </c>
      <c r="N153" s="100">
        <v>0</v>
      </c>
      <c r="O153" s="100">
        <f t="shared" si="34"/>
        <v>0</v>
      </c>
      <c r="P153" s="100">
        <f t="shared" si="35"/>
        <v>0</v>
      </c>
      <c r="Q153" s="124">
        <f t="shared" si="36"/>
        <v>0</v>
      </c>
      <c r="R153" s="123"/>
      <c r="S153" s="123"/>
      <c r="T153" s="123"/>
      <c r="U153" s="123"/>
      <c r="V153" s="123"/>
      <c r="W153" s="123"/>
      <c r="X153" s="123"/>
      <c r="Y153" s="123"/>
      <c r="Z153" s="123"/>
      <c r="AA153" s="123"/>
      <c r="AB153" s="123"/>
      <c r="AC153" s="123"/>
      <c r="AD153" s="123"/>
      <c r="AE153" s="123"/>
      <c r="AF153" s="123"/>
      <c r="AG153" s="123"/>
      <c r="AH153" s="123"/>
      <c r="AI153" s="123"/>
      <c r="AJ153" s="123"/>
    </row>
    <row r="154" s="33" customFormat="1" ht="16.95" customHeight="1" spans="1:36">
      <c r="A154" s="87">
        <f>IF(F154&lt;&gt;"",1+MAX($A$2:A153),"")</f>
        <v>130</v>
      </c>
      <c r="B154" s="89"/>
      <c r="C154" s="89" t="s">
        <v>508</v>
      </c>
      <c r="D154" s="69" t="s">
        <v>939</v>
      </c>
      <c r="E154" s="72">
        <v>1</v>
      </c>
      <c r="F154" s="90">
        <v>0</v>
      </c>
      <c r="G154" s="91">
        <v>1</v>
      </c>
      <c r="H154" s="70" t="s">
        <v>35</v>
      </c>
      <c r="I154" s="97">
        <v>0</v>
      </c>
      <c r="J154" s="98">
        <f t="shared" si="31"/>
        <v>0</v>
      </c>
      <c r="K154" s="99">
        <v>50</v>
      </c>
      <c r="L154" s="100">
        <f t="shared" si="32"/>
        <v>0</v>
      </c>
      <c r="M154" s="100">
        <f t="shared" si="33"/>
        <v>0</v>
      </c>
      <c r="N154" s="100">
        <v>0</v>
      </c>
      <c r="O154" s="100">
        <f t="shared" si="34"/>
        <v>0</v>
      </c>
      <c r="P154" s="100">
        <f t="shared" si="35"/>
        <v>0</v>
      </c>
      <c r="Q154" s="124">
        <f t="shared" si="36"/>
        <v>0</v>
      </c>
      <c r="R154" s="123"/>
      <c r="S154" s="123"/>
      <c r="T154" s="123"/>
      <c r="U154" s="123"/>
      <c r="V154" s="123"/>
      <c r="W154" s="123"/>
      <c r="X154" s="123"/>
      <c r="Y154" s="123"/>
      <c r="Z154" s="123"/>
      <c r="AA154" s="123"/>
      <c r="AB154" s="123"/>
      <c r="AC154" s="123"/>
      <c r="AD154" s="123"/>
      <c r="AE154" s="123"/>
      <c r="AF154" s="123"/>
      <c r="AG154" s="123"/>
      <c r="AH154" s="123"/>
      <c r="AI154" s="123"/>
      <c r="AJ154" s="123"/>
    </row>
    <row r="155" s="33" customFormat="1" ht="16.95" customHeight="1" spans="1:36">
      <c r="A155" s="87">
        <f>IF(F155&lt;&gt;"",1+MAX($A$2:A154),"")</f>
        <v>131</v>
      </c>
      <c r="B155" s="89"/>
      <c r="C155" s="125" t="s">
        <v>940</v>
      </c>
      <c r="D155" s="69" t="s">
        <v>941</v>
      </c>
      <c r="E155" s="72">
        <v>1</v>
      </c>
      <c r="F155" s="90">
        <v>0</v>
      </c>
      <c r="G155" s="91">
        <v>1</v>
      </c>
      <c r="H155" s="70" t="s">
        <v>35</v>
      </c>
      <c r="I155" s="97">
        <v>0</v>
      </c>
      <c r="J155" s="98">
        <f t="shared" si="31"/>
        <v>0</v>
      </c>
      <c r="K155" s="99">
        <v>50</v>
      </c>
      <c r="L155" s="100">
        <f t="shared" si="32"/>
        <v>0</v>
      </c>
      <c r="M155" s="100">
        <f t="shared" si="33"/>
        <v>0</v>
      </c>
      <c r="N155" s="100">
        <v>0</v>
      </c>
      <c r="O155" s="100">
        <f t="shared" si="34"/>
        <v>0</v>
      </c>
      <c r="P155" s="100">
        <f t="shared" si="35"/>
        <v>0</v>
      </c>
      <c r="Q155" s="124">
        <f t="shared" si="36"/>
        <v>0</v>
      </c>
      <c r="R155" s="123"/>
      <c r="S155" s="123"/>
      <c r="T155" s="123"/>
      <c r="U155" s="123"/>
      <c r="V155" s="123"/>
      <c r="W155" s="123"/>
      <c r="X155" s="123"/>
      <c r="Y155" s="123"/>
      <c r="Z155" s="123"/>
      <c r="AA155" s="123"/>
      <c r="AB155" s="123"/>
      <c r="AC155" s="123"/>
      <c r="AD155" s="123"/>
      <c r="AE155" s="123"/>
      <c r="AF155" s="123"/>
      <c r="AG155" s="123"/>
      <c r="AH155" s="123"/>
      <c r="AI155" s="123"/>
      <c r="AJ155" s="123"/>
    </row>
    <row r="156" s="33" customFormat="1" ht="16.95" customHeight="1" spans="1:36">
      <c r="A156" s="87">
        <f>IF(F156&lt;&gt;"",1+MAX($A$2:A155),"")</f>
        <v>132</v>
      </c>
      <c r="B156" s="89"/>
      <c r="C156" s="125" t="s">
        <v>942</v>
      </c>
      <c r="D156" s="69" t="s">
        <v>943</v>
      </c>
      <c r="E156" s="72">
        <v>1</v>
      </c>
      <c r="F156" s="90">
        <v>0</v>
      </c>
      <c r="G156" s="91">
        <v>1</v>
      </c>
      <c r="H156" s="70" t="s">
        <v>35</v>
      </c>
      <c r="I156" s="97">
        <v>0</v>
      </c>
      <c r="J156" s="98">
        <f t="shared" si="31"/>
        <v>0</v>
      </c>
      <c r="K156" s="99">
        <v>50</v>
      </c>
      <c r="L156" s="100">
        <f t="shared" si="32"/>
        <v>0</v>
      </c>
      <c r="M156" s="100">
        <f t="shared" si="33"/>
        <v>0</v>
      </c>
      <c r="N156" s="100">
        <v>0</v>
      </c>
      <c r="O156" s="100">
        <f t="shared" si="34"/>
        <v>0</v>
      </c>
      <c r="P156" s="100">
        <f t="shared" si="35"/>
        <v>0</v>
      </c>
      <c r="Q156" s="124">
        <f t="shared" si="36"/>
        <v>0</v>
      </c>
      <c r="R156" s="123"/>
      <c r="S156" s="123"/>
      <c r="T156" s="123"/>
      <c r="U156" s="123"/>
      <c r="V156" s="123"/>
      <c r="W156" s="123"/>
      <c r="X156" s="123"/>
      <c r="Y156" s="123"/>
      <c r="Z156" s="123"/>
      <c r="AA156" s="123"/>
      <c r="AB156" s="123"/>
      <c r="AC156" s="123"/>
      <c r="AD156" s="123"/>
      <c r="AE156" s="123"/>
      <c r="AF156" s="123"/>
      <c r="AG156" s="123"/>
      <c r="AH156" s="123"/>
      <c r="AI156" s="123"/>
      <c r="AJ156" s="123"/>
    </row>
    <row r="157" s="33" customFormat="1" ht="16.95" customHeight="1" spans="1:36">
      <c r="A157" s="87">
        <f>IF(F157&lt;&gt;"",1+MAX($A$2:A156),"")</f>
        <v>133</v>
      </c>
      <c r="B157" s="89"/>
      <c r="C157" s="125" t="s">
        <v>944</v>
      </c>
      <c r="D157" s="69" t="s">
        <v>945</v>
      </c>
      <c r="E157" s="72">
        <v>1</v>
      </c>
      <c r="F157" s="90">
        <v>0</v>
      </c>
      <c r="G157" s="91">
        <v>1</v>
      </c>
      <c r="H157" s="70" t="s">
        <v>35</v>
      </c>
      <c r="I157" s="97">
        <v>0</v>
      </c>
      <c r="J157" s="98">
        <f t="shared" si="31"/>
        <v>0</v>
      </c>
      <c r="K157" s="99">
        <v>50</v>
      </c>
      <c r="L157" s="100">
        <f t="shared" si="32"/>
        <v>0</v>
      </c>
      <c r="M157" s="100">
        <f t="shared" si="33"/>
        <v>0</v>
      </c>
      <c r="N157" s="100">
        <v>0</v>
      </c>
      <c r="O157" s="100">
        <f t="shared" si="34"/>
        <v>0</v>
      </c>
      <c r="P157" s="100">
        <f t="shared" si="35"/>
        <v>0</v>
      </c>
      <c r="Q157" s="124">
        <f t="shared" si="36"/>
        <v>0</v>
      </c>
      <c r="R157" s="123"/>
      <c r="S157" s="123"/>
      <c r="T157" s="123"/>
      <c r="U157" s="123"/>
      <c r="V157" s="123"/>
      <c r="W157" s="123"/>
      <c r="X157" s="123"/>
      <c r="Y157" s="123"/>
      <c r="Z157" s="123"/>
      <c r="AA157" s="123"/>
      <c r="AB157" s="123"/>
      <c r="AC157" s="123"/>
      <c r="AD157" s="123"/>
      <c r="AE157" s="123"/>
      <c r="AF157" s="123"/>
      <c r="AG157" s="123"/>
      <c r="AH157" s="123"/>
      <c r="AI157" s="123"/>
      <c r="AJ157" s="123"/>
    </row>
    <row r="158" s="33" customFormat="1" ht="16.95" customHeight="1" spans="1:36">
      <c r="A158" s="87">
        <f>IF(F158&lt;&gt;"",1+MAX($A$2:A157),"")</f>
        <v>134</v>
      </c>
      <c r="B158" s="89"/>
      <c r="C158" s="125" t="s">
        <v>946</v>
      </c>
      <c r="D158" s="69" t="s">
        <v>947</v>
      </c>
      <c r="E158" s="72">
        <v>1</v>
      </c>
      <c r="F158" s="90">
        <v>0</v>
      </c>
      <c r="G158" s="91">
        <v>1</v>
      </c>
      <c r="H158" s="70" t="s">
        <v>35</v>
      </c>
      <c r="I158" s="97">
        <v>0</v>
      </c>
      <c r="J158" s="98">
        <f t="shared" si="31"/>
        <v>0</v>
      </c>
      <c r="K158" s="99">
        <v>50</v>
      </c>
      <c r="L158" s="100">
        <f t="shared" si="32"/>
        <v>0</v>
      </c>
      <c r="M158" s="100">
        <f t="shared" si="33"/>
        <v>0</v>
      </c>
      <c r="N158" s="100">
        <v>0</v>
      </c>
      <c r="O158" s="100">
        <f t="shared" si="34"/>
        <v>0</v>
      </c>
      <c r="P158" s="100">
        <f t="shared" si="35"/>
        <v>0</v>
      </c>
      <c r="Q158" s="124">
        <f t="shared" si="36"/>
        <v>0</v>
      </c>
      <c r="R158" s="123"/>
      <c r="S158" s="123"/>
      <c r="T158" s="123"/>
      <c r="U158" s="123"/>
      <c r="V158" s="123"/>
      <c r="W158" s="123"/>
      <c r="X158" s="123"/>
      <c r="Y158" s="123"/>
      <c r="Z158" s="123"/>
      <c r="AA158" s="123"/>
      <c r="AB158" s="123"/>
      <c r="AC158" s="123"/>
      <c r="AD158" s="123"/>
      <c r="AE158" s="123"/>
      <c r="AF158" s="123"/>
      <c r="AG158" s="123"/>
      <c r="AH158" s="123"/>
      <c r="AI158" s="123"/>
      <c r="AJ158" s="123"/>
    </row>
    <row r="159" s="33" customFormat="1" ht="16.95" customHeight="1" spans="1:36">
      <c r="A159" s="87">
        <f>IF(F159&lt;&gt;"",1+MAX($A$2:A158),"")</f>
        <v>135</v>
      </c>
      <c r="B159" s="89"/>
      <c r="C159" s="125" t="s">
        <v>948</v>
      </c>
      <c r="D159" s="69" t="s">
        <v>949</v>
      </c>
      <c r="E159" s="72">
        <v>1</v>
      </c>
      <c r="F159" s="90">
        <v>0</v>
      </c>
      <c r="G159" s="91">
        <v>1</v>
      </c>
      <c r="H159" s="70" t="s">
        <v>35</v>
      </c>
      <c r="I159" s="97">
        <v>0</v>
      </c>
      <c r="J159" s="98">
        <f t="shared" si="31"/>
        <v>0</v>
      </c>
      <c r="K159" s="99">
        <v>50</v>
      </c>
      <c r="L159" s="100">
        <f t="shared" si="32"/>
        <v>0</v>
      </c>
      <c r="M159" s="100">
        <f t="shared" si="33"/>
        <v>0</v>
      </c>
      <c r="N159" s="100">
        <v>0</v>
      </c>
      <c r="O159" s="100">
        <f t="shared" si="34"/>
        <v>0</v>
      </c>
      <c r="P159" s="100">
        <f t="shared" si="35"/>
        <v>0</v>
      </c>
      <c r="Q159" s="124">
        <f t="shared" si="36"/>
        <v>0</v>
      </c>
      <c r="R159" s="123"/>
      <c r="S159" s="123"/>
      <c r="T159" s="123"/>
      <c r="U159" s="123"/>
      <c r="V159" s="123"/>
      <c r="W159" s="123"/>
      <c r="X159" s="123"/>
      <c r="Y159" s="123"/>
      <c r="Z159" s="123"/>
      <c r="AA159" s="123"/>
      <c r="AB159" s="123"/>
      <c r="AC159" s="123"/>
      <c r="AD159" s="123"/>
      <c r="AE159" s="123"/>
      <c r="AF159" s="123"/>
      <c r="AG159" s="123"/>
      <c r="AH159" s="123"/>
      <c r="AI159" s="123"/>
      <c r="AJ159" s="123"/>
    </row>
    <row r="160" s="33" customFormat="1" ht="16.95" customHeight="1" spans="1:36">
      <c r="A160" s="87">
        <f>IF(F160&lt;&gt;"",1+MAX($A$2:A159),"")</f>
        <v>136</v>
      </c>
      <c r="B160" s="89"/>
      <c r="C160" s="125" t="s">
        <v>950</v>
      </c>
      <c r="D160" s="69" t="s">
        <v>951</v>
      </c>
      <c r="E160" s="72">
        <v>1</v>
      </c>
      <c r="F160" s="90">
        <v>0</v>
      </c>
      <c r="G160" s="91">
        <v>1</v>
      </c>
      <c r="H160" s="70" t="s">
        <v>35</v>
      </c>
      <c r="I160" s="97">
        <v>0</v>
      </c>
      <c r="J160" s="98">
        <f t="shared" si="31"/>
        <v>0</v>
      </c>
      <c r="K160" s="99">
        <v>50</v>
      </c>
      <c r="L160" s="100">
        <f t="shared" si="32"/>
        <v>0</v>
      </c>
      <c r="M160" s="100">
        <f t="shared" si="33"/>
        <v>0</v>
      </c>
      <c r="N160" s="100">
        <v>0</v>
      </c>
      <c r="O160" s="100">
        <f t="shared" si="34"/>
        <v>0</v>
      </c>
      <c r="P160" s="100">
        <f t="shared" si="35"/>
        <v>0</v>
      </c>
      <c r="Q160" s="124">
        <f t="shared" si="36"/>
        <v>0</v>
      </c>
      <c r="R160" s="123"/>
      <c r="S160" s="123"/>
      <c r="T160" s="123"/>
      <c r="U160" s="123"/>
      <c r="V160" s="123"/>
      <c r="W160" s="123"/>
      <c r="X160" s="123"/>
      <c r="Y160" s="123"/>
      <c r="Z160" s="123"/>
      <c r="AA160" s="123"/>
      <c r="AB160" s="123"/>
      <c r="AC160" s="123"/>
      <c r="AD160" s="123"/>
      <c r="AE160" s="123"/>
      <c r="AF160" s="123"/>
      <c r="AG160" s="123"/>
      <c r="AH160" s="123"/>
      <c r="AI160" s="123"/>
      <c r="AJ160" s="123"/>
    </row>
    <row r="161" s="33" customFormat="1" ht="16.95" customHeight="1" spans="1:36">
      <c r="A161" s="87">
        <f>IF(F161&lt;&gt;"",1+MAX($A$2:A160),"")</f>
        <v>137</v>
      </c>
      <c r="B161" s="89"/>
      <c r="C161" s="125" t="s">
        <v>952</v>
      </c>
      <c r="D161" s="69" t="s">
        <v>953</v>
      </c>
      <c r="E161" s="72">
        <v>1</v>
      </c>
      <c r="F161" s="90">
        <v>0</v>
      </c>
      <c r="G161" s="91">
        <v>1</v>
      </c>
      <c r="H161" s="70" t="s">
        <v>35</v>
      </c>
      <c r="I161" s="97">
        <v>0</v>
      </c>
      <c r="J161" s="98">
        <f t="shared" si="31"/>
        <v>0</v>
      </c>
      <c r="K161" s="99">
        <v>50</v>
      </c>
      <c r="L161" s="100">
        <f t="shared" si="32"/>
        <v>0</v>
      </c>
      <c r="M161" s="100">
        <f t="shared" si="33"/>
        <v>0</v>
      </c>
      <c r="N161" s="100">
        <v>0</v>
      </c>
      <c r="O161" s="100">
        <f t="shared" si="34"/>
        <v>0</v>
      </c>
      <c r="P161" s="100">
        <f t="shared" si="35"/>
        <v>0</v>
      </c>
      <c r="Q161" s="124">
        <f t="shared" si="36"/>
        <v>0</v>
      </c>
      <c r="R161" s="123"/>
      <c r="S161" s="123"/>
      <c r="T161" s="123"/>
      <c r="U161" s="123"/>
      <c r="V161" s="123"/>
      <c r="W161" s="123"/>
      <c r="X161" s="123"/>
      <c r="Y161" s="123"/>
      <c r="Z161" s="123"/>
      <c r="AA161" s="123"/>
      <c r="AB161" s="123"/>
      <c r="AC161" s="123"/>
      <c r="AD161" s="123"/>
      <c r="AE161" s="123"/>
      <c r="AF161" s="123"/>
      <c r="AG161" s="123"/>
      <c r="AH161" s="123"/>
      <c r="AI161" s="123"/>
      <c r="AJ161" s="123"/>
    </row>
    <row r="162" s="33" customFormat="1" ht="16.95" customHeight="1" spans="1:36">
      <c r="A162" s="87">
        <f>IF(F162&lt;&gt;"",1+MAX($A$2:A161),"")</f>
        <v>138</v>
      </c>
      <c r="B162" s="89"/>
      <c r="C162" s="125" t="s">
        <v>954</v>
      </c>
      <c r="D162" s="69" t="s">
        <v>955</v>
      </c>
      <c r="E162" s="72">
        <v>1</v>
      </c>
      <c r="F162" s="90">
        <v>0</v>
      </c>
      <c r="G162" s="91">
        <v>1</v>
      </c>
      <c r="H162" s="70" t="s">
        <v>35</v>
      </c>
      <c r="I162" s="97">
        <v>0</v>
      </c>
      <c r="J162" s="98">
        <f t="shared" si="31"/>
        <v>0</v>
      </c>
      <c r="K162" s="99">
        <v>50</v>
      </c>
      <c r="L162" s="100">
        <f t="shared" si="32"/>
        <v>0</v>
      </c>
      <c r="M162" s="100">
        <f t="shared" si="33"/>
        <v>0</v>
      </c>
      <c r="N162" s="100">
        <v>0</v>
      </c>
      <c r="O162" s="100">
        <f t="shared" si="34"/>
        <v>0</v>
      </c>
      <c r="P162" s="100">
        <f t="shared" si="35"/>
        <v>0</v>
      </c>
      <c r="Q162" s="124">
        <f t="shared" si="36"/>
        <v>0</v>
      </c>
      <c r="R162" s="123"/>
      <c r="S162" s="123"/>
      <c r="T162" s="123"/>
      <c r="U162" s="123"/>
      <c r="V162" s="123"/>
      <c r="W162" s="123"/>
      <c r="X162" s="123"/>
      <c r="Y162" s="123"/>
      <c r="Z162" s="123"/>
      <c r="AA162" s="123"/>
      <c r="AB162" s="123"/>
      <c r="AC162" s="123"/>
      <c r="AD162" s="123"/>
      <c r="AE162" s="123"/>
      <c r="AF162" s="123"/>
      <c r="AG162" s="123"/>
      <c r="AH162" s="123"/>
      <c r="AI162" s="123"/>
      <c r="AJ162" s="123"/>
    </row>
    <row r="163" s="33" customFormat="1" ht="16.95" customHeight="1" spans="1:36">
      <c r="A163" s="87">
        <f>IF(F163&lt;&gt;"",1+MAX($A$2:A162),"")</f>
        <v>139</v>
      </c>
      <c r="B163" s="89"/>
      <c r="C163" s="89"/>
      <c r="D163" s="69" t="s">
        <v>531</v>
      </c>
      <c r="E163" s="72">
        <v>6</v>
      </c>
      <c r="F163" s="90">
        <v>0</v>
      </c>
      <c r="G163" s="91">
        <v>6</v>
      </c>
      <c r="H163" s="70" t="s">
        <v>35</v>
      </c>
      <c r="I163" s="97">
        <v>0</v>
      </c>
      <c r="J163" s="98">
        <f t="shared" si="31"/>
        <v>0</v>
      </c>
      <c r="K163" s="99">
        <v>50</v>
      </c>
      <c r="L163" s="100">
        <f t="shared" si="32"/>
        <v>0</v>
      </c>
      <c r="M163" s="100">
        <f t="shared" si="33"/>
        <v>0</v>
      </c>
      <c r="N163" s="100">
        <v>0</v>
      </c>
      <c r="O163" s="100">
        <f t="shared" si="34"/>
        <v>0</v>
      </c>
      <c r="P163" s="100">
        <f t="shared" si="35"/>
        <v>0</v>
      </c>
      <c r="Q163" s="124">
        <f t="shared" si="36"/>
        <v>0</v>
      </c>
      <c r="R163" s="123"/>
      <c r="S163" s="123"/>
      <c r="T163" s="123"/>
      <c r="U163" s="123"/>
      <c r="V163" s="123"/>
      <c r="W163" s="123"/>
      <c r="X163" s="123"/>
      <c r="Y163" s="123"/>
      <c r="Z163" s="123"/>
      <c r="AA163" s="123"/>
      <c r="AB163" s="123"/>
      <c r="AC163" s="123"/>
      <c r="AD163" s="123"/>
      <c r="AE163" s="123"/>
      <c r="AF163" s="123"/>
      <c r="AG163" s="123"/>
      <c r="AH163" s="123"/>
      <c r="AI163" s="123"/>
      <c r="AJ163" s="123"/>
    </row>
    <row r="164" s="33" customFormat="1" ht="16.95" customHeight="1" spans="1:36">
      <c r="A164" s="87">
        <f>IF(F164&lt;&gt;"",1+MAX($A$2:A163),"")</f>
        <v>140</v>
      </c>
      <c r="B164" s="89"/>
      <c r="C164" s="89" t="s">
        <v>956</v>
      </c>
      <c r="D164" s="69" t="s">
        <v>957</v>
      </c>
      <c r="E164" s="72">
        <v>12</v>
      </c>
      <c r="F164" s="90">
        <v>0</v>
      </c>
      <c r="G164" s="91">
        <v>12</v>
      </c>
      <c r="H164" s="70" t="s">
        <v>35</v>
      </c>
      <c r="I164" s="97">
        <v>0</v>
      </c>
      <c r="J164" s="98">
        <f t="shared" si="31"/>
        <v>0</v>
      </c>
      <c r="K164" s="99">
        <v>50</v>
      </c>
      <c r="L164" s="100">
        <f t="shared" si="32"/>
        <v>0</v>
      </c>
      <c r="M164" s="100">
        <f t="shared" si="33"/>
        <v>0</v>
      </c>
      <c r="N164" s="100">
        <v>0</v>
      </c>
      <c r="O164" s="100">
        <f t="shared" si="34"/>
        <v>0</v>
      </c>
      <c r="P164" s="100">
        <f t="shared" si="35"/>
        <v>0</v>
      </c>
      <c r="Q164" s="124">
        <f t="shared" si="36"/>
        <v>0</v>
      </c>
      <c r="R164" s="123"/>
      <c r="S164" s="123"/>
      <c r="T164" s="123"/>
      <c r="U164" s="123"/>
      <c r="V164" s="123"/>
      <c r="W164" s="123"/>
      <c r="X164" s="123"/>
      <c r="Y164" s="123"/>
      <c r="Z164" s="123"/>
      <c r="AA164" s="123"/>
      <c r="AB164" s="123"/>
      <c r="AC164" s="123"/>
      <c r="AD164" s="123"/>
      <c r="AE164" s="123"/>
      <c r="AF164" s="123"/>
      <c r="AG164" s="123"/>
      <c r="AH164" s="123"/>
      <c r="AI164" s="123"/>
      <c r="AJ164" s="123"/>
    </row>
    <row r="165" s="33" customFormat="1" ht="16.95" customHeight="1" spans="1:36">
      <c r="A165" s="87">
        <f>IF(F165&lt;&gt;"",1+MAX($A$2:A164),"")</f>
        <v>141</v>
      </c>
      <c r="B165" s="89"/>
      <c r="C165" s="89"/>
      <c r="D165" s="69" t="s">
        <v>958</v>
      </c>
      <c r="E165" s="72">
        <v>51.83</v>
      </c>
      <c r="F165" s="90">
        <v>0</v>
      </c>
      <c r="G165" s="91">
        <v>51.83</v>
      </c>
      <c r="H165" s="70" t="s">
        <v>35</v>
      </c>
      <c r="I165" s="97">
        <v>0</v>
      </c>
      <c r="J165" s="98">
        <f t="shared" si="31"/>
        <v>0</v>
      </c>
      <c r="K165" s="99">
        <v>50</v>
      </c>
      <c r="L165" s="100">
        <f t="shared" si="32"/>
        <v>0</v>
      </c>
      <c r="M165" s="100">
        <f t="shared" si="33"/>
        <v>0</v>
      </c>
      <c r="N165" s="100">
        <v>0</v>
      </c>
      <c r="O165" s="100">
        <f t="shared" si="34"/>
        <v>0</v>
      </c>
      <c r="P165" s="100">
        <f t="shared" si="35"/>
        <v>0</v>
      </c>
      <c r="Q165" s="124">
        <f t="shared" si="36"/>
        <v>0</v>
      </c>
      <c r="R165" s="123"/>
      <c r="S165" s="123"/>
      <c r="T165" s="123"/>
      <c r="U165" s="123"/>
      <c r="V165" s="123"/>
      <c r="W165" s="123"/>
      <c r="X165" s="123"/>
      <c r="Y165" s="123"/>
      <c r="Z165" s="123"/>
      <c r="AA165" s="123"/>
      <c r="AB165" s="123"/>
      <c r="AC165" s="123"/>
      <c r="AD165" s="123"/>
      <c r="AE165" s="123"/>
      <c r="AF165" s="123"/>
      <c r="AG165" s="123"/>
      <c r="AH165" s="123"/>
      <c r="AI165" s="123"/>
      <c r="AJ165" s="123"/>
    </row>
    <row r="166" s="33" customFormat="1" ht="16.95" customHeight="1" spans="1:36">
      <c r="A166" s="87">
        <f>IF(F166&lt;&gt;"",1+MAX($A$2:A165),"")</f>
        <v>142</v>
      </c>
      <c r="B166" s="89"/>
      <c r="C166" s="89"/>
      <c r="D166" s="69" t="s">
        <v>959</v>
      </c>
      <c r="E166" s="72">
        <v>1</v>
      </c>
      <c r="F166" s="90">
        <v>0</v>
      </c>
      <c r="G166" s="91">
        <v>1</v>
      </c>
      <c r="H166" s="70" t="s">
        <v>35</v>
      </c>
      <c r="I166" s="97">
        <v>0</v>
      </c>
      <c r="J166" s="98">
        <f t="shared" si="31"/>
        <v>0</v>
      </c>
      <c r="K166" s="99">
        <v>50</v>
      </c>
      <c r="L166" s="100">
        <f t="shared" si="32"/>
        <v>0</v>
      </c>
      <c r="M166" s="100">
        <f t="shared" si="33"/>
        <v>0</v>
      </c>
      <c r="N166" s="100">
        <v>0</v>
      </c>
      <c r="O166" s="100">
        <f t="shared" si="34"/>
        <v>0</v>
      </c>
      <c r="P166" s="100">
        <f t="shared" si="35"/>
        <v>0</v>
      </c>
      <c r="Q166" s="124">
        <f t="shared" si="36"/>
        <v>0</v>
      </c>
      <c r="R166" s="123"/>
      <c r="S166" s="123"/>
      <c r="T166" s="123"/>
      <c r="U166" s="123"/>
      <c r="V166" s="123"/>
      <c r="W166" s="123"/>
      <c r="X166" s="123"/>
      <c r="Y166" s="123"/>
      <c r="Z166" s="123"/>
      <c r="AA166" s="123"/>
      <c r="AB166" s="123"/>
      <c r="AC166" s="123"/>
      <c r="AD166" s="123"/>
      <c r="AE166" s="123"/>
      <c r="AF166" s="123"/>
      <c r="AG166" s="123"/>
      <c r="AH166" s="123"/>
      <c r="AI166" s="123"/>
      <c r="AJ166" s="123"/>
    </row>
    <row r="167" s="33" customFormat="1" ht="16.95" customHeight="1" spans="1:36">
      <c r="A167" s="87" t="str">
        <f>IF(F167&lt;&gt;"",1+MAX($A$2:A166),"")</f>
        <v/>
      </c>
      <c r="B167" s="89"/>
      <c r="C167" s="89"/>
      <c r="D167" s="69"/>
      <c r="E167" s="72"/>
      <c r="F167" s="90"/>
      <c r="G167" s="91"/>
      <c r="H167" s="70"/>
      <c r="I167" s="97"/>
      <c r="J167" s="98"/>
      <c r="K167" s="99"/>
      <c r="L167" s="100"/>
      <c r="M167" s="139"/>
      <c r="N167" s="100"/>
      <c r="O167" s="100"/>
      <c r="P167" s="100"/>
      <c r="Q167" s="122"/>
      <c r="R167" s="123"/>
      <c r="S167" s="123"/>
      <c r="T167" s="123"/>
      <c r="U167" s="123"/>
      <c r="V167" s="123"/>
      <c r="W167" s="123"/>
      <c r="X167" s="123"/>
      <c r="Y167" s="123"/>
      <c r="Z167" s="123"/>
      <c r="AA167" s="123"/>
      <c r="AB167" s="123"/>
      <c r="AC167" s="123"/>
      <c r="AD167" s="123"/>
      <c r="AE167" s="123"/>
      <c r="AF167" s="123"/>
      <c r="AG167" s="123"/>
      <c r="AH167" s="123"/>
      <c r="AI167" s="123"/>
      <c r="AJ167" s="123"/>
    </row>
    <row r="168" s="33" customFormat="1" ht="15.75" customHeight="1" spans="1:19">
      <c r="A168" s="87" t="str">
        <f>IF(F168&lt;&gt;"",1+MAX($A$2:A167),"")</f>
        <v/>
      </c>
      <c r="B168" s="126"/>
      <c r="C168" s="127"/>
      <c r="D168" s="128" t="s">
        <v>31</v>
      </c>
      <c r="E168" s="129"/>
      <c r="F168" s="129"/>
      <c r="G168" s="130"/>
      <c r="H168" s="129"/>
      <c r="I168" s="129"/>
      <c r="J168" s="140"/>
      <c r="K168" s="140"/>
      <c r="L168" s="141"/>
      <c r="M168" s="142"/>
      <c r="N168" s="141"/>
      <c r="O168" s="141"/>
      <c r="P168" s="143"/>
      <c r="Q168" s="117">
        <f>SUM(Q17:Q166)</f>
        <v>0</v>
      </c>
      <c r="S168" s="121"/>
    </row>
    <row r="169" s="33" customFormat="1" ht="15.75" customHeight="1" spans="1:19">
      <c r="A169" s="131" t="str">
        <f>IF(F169&lt;&gt;"",1+MAX($A$2:A168),"")</f>
        <v/>
      </c>
      <c r="B169" s="132"/>
      <c r="C169" s="132"/>
      <c r="D169" s="133"/>
      <c r="E169" s="132"/>
      <c r="F169" s="132"/>
      <c r="G169" s="132"/>
      <c r="H169" s="132"/>
      <c r="I169" s="132"/>
      <c r="J169" s="132"/>
      <c r="K169" s="132"/>
      <c r="L169" s="132"/>
      <c r="M169" s="132"/>
      <c r="N169" s="132"/>
      <c r="O169" s="132"/>
      <c r="P169" s="132"/>
      <c r="Q169" s="145"/>
      <c r="S169" s="121"/>
    </row>
    <row r="170" s="33" customFormat="1" ht="16.95" customHeight="1" spans="1:19">
      <c r="A170" s="57" t="str">
        <f>IF(F170&lt;&gt;"",1+MAX($A$2:A169),"")</f>
        <v/>
      </c>
      <c r="B170" s="60">
        <v>26</v>
      </c>
      <c r="C170" s="60"/>
      <c r="D170" s="59" t="s">
        <v>540</v>
      </c>
      <c r="E170" s="60"/>
      <c r="F170" s="60"/>
      <c r="G170" s="60"/>
      <c r="H170" s="60"/>
      <c r="I170" s="60"/>
      <c r="J170" s="60"/>
      <c r="K170" s="60"/>
      <c r="L170" s="60"/>
      <c r="M170" s="60"/>
      <c r="N170" s="60"/>
      <c r="O170" s="60"/>
      <c r="P170" s="60"/>
      <c r="Q170" s="120"/>
      <c r="S170" s="121"/>
    </row>
    <row r="171" s="34" customFormat="1" ht="18" customHeight="1" spans="1:18">
      <c r="A171" s="61" t="str">
        <f>IF(F171&lt;&gt;"",1+MAX($A$2:A170),"")</f>
        <v/>
      </c>
      <c r="B171" s="62"/>
      <c r="C171" s="62"/>
      <c r="D171" s="134" t="s">
        <v>33</v>
      </c>
      <c r="E171"/>
      <c r="F171" s="65"/>
      <c r="G171" s="66"/>
      <c r="H171" s="64"/>
      <c r="I171" s="97"/>
      <c r="J171" s="98"/>
      <c r="K171" s="99"/>
      <c r="L171" s="100"/>
      <c r="M171" s="100"/>
      <c r="N171" s="100"/>
      <c r="O171" s="100"/>
      <c r="P171" s="100"/>
      <c r="Q171" s="124"/>
      <c r="R171" s="114"/>
    </row>
    <row r="172" s="34" customFormat="1" ht="31.2" spans="1:18">
      <c r="A172" s="61">
        <f>IF(F172&lt;&gt;"",1+MAX($A$2:A171),"")</f>
        <v>143</v>
      </c>
      <c r="B172" s="68"/>
      <c r="C172" s="68"/>
      <c r="D172" s="69" t="s">
        <v>960</v>
      </c>
      <c r="E172" s="70">
        <v>2</v>
      </c>
      <c r="F172" s="71">
        <v>0</v>
      </c>
      <c r="G172" s="72">
        <f t="shared" ref="G172:G184" si="37">(F172*E172)+E172</f>
        <v>2</v>
      </c>
      <c r="H172" s="70" t="s">
        <v>35</v>
      </c>
      <c r="I172" s="97">
        <v>0</v>
      </c>
      <c r="J172" s="98">
        <f t="shared" ref="J172:J184" si="38">+I172*G172</f>
        <v>0</v>
      </c>
      <c r="K172" s="99">
        <v>50</v>
      </c>
      <c r="L172" s="100">
        <f t="shared" ref="L172:L184" si="39">I172*K172</f>
        <v>0</v>
      </c>
      <c r="M172" s="100">
        <f t="shared" ref="M172:M184" si="40">K172*J172</f>
        <v>0</v>
      </c>
      <c r="N172" s="100">
        <v>0</v>
      </c>
      <c r="O172" s="100">
        <f t="shared" ref="O172:O184" si="41">N172*G172</f>
        <v>0</v>
      </c>
      <c r="P172" s="100">
        <f t="shared" ref="P172:P184" si="42">(I172*K172)+N172</f>
        <v>0</v>
      </c>
      <c r="Q172" s="124">
        <f t="shared" ref="Q172:Q184" si="43">P172*G172</f>
        <v>0</v>
      </c>
      <c r="R172" s="114"/>
    </row>
    <row r="173" s="34" customFormat="1" spans="1:18">
      <c r="A173" s="61" t="str">
        <f>IF(F173&lt;&gt;"",1+MAX($A$2:A172),"")</f>
        <v/>
      </c>
      <c r="B173" s="135"/>
      <c r="C173" s="68"/>
      <c r="D173" s="69"/>
      <c r="E173" s="50"/>
      <c r="F173" s="65"/>
      <c r="G173" s="66"/>
      <c r="H173" s="64"/>
      <c r="I173" s="97"/>
      <c r="J173" s="98"/>
      <c r="K173" s="99"/>
      <c r="L173" s="100"/>
      <c r="M173" s="100"/>
      <c r="N173" s="100"/>
      <c r="O173" s="100"/>
      <c r="P173" s="100"/>
      <c r="Q173" s="124"/>
      <c r="R173" s="114"/>
    </row>
    <row r="174" s="34" customFormat="1" ht="18" customHeight="1" spans="1:18">
      <c r="A174" s="61" t="str">
        <f>IF(F174&lt;&gt;"",1+MAX($A$2:A173),"")</f>
        <v/>
      </c>
      <c r="B174" s="62"/>
      <c r="C174" s="62"/>
      <c r="D174" s="134" t="s">
        <v>39</v>
      </c>
      <c r="E174"/>
      <c r="F174" s="65"/>
      <c r="G174" s="66"/>
      <c r="H174" s="64"/>
      <c r="I174" s="97"/>
      <c r="J174" s="98"/>
      <c r="K174" s="99"/>
      <c r="L174" s="100"/>
      <c r="M174" s="100"/>
      <c r="N174" s="100"/>
      <c r="O174" s="100"/>
      <c r="P174" s="100"/>
      <c r="Q174" s="124"/>
      <c r="R174" s="114"/>
    </row>
    <row r="175" s="34" customFormat="1" ht="62.4" spans="1:18">
      <c r="A175" s="61">
        <f>IF(F175&lt;&gt;"",1+MAX($A$2:A174),"")</f>
        <v>144</v>
      </c>
      <c r="B175" s="68"/>
      <c r="C175" s="68" t="s">
        <v>42</v>
      </c>
      <c r="D175" s="69" t="s">
        <v>961</v>
      </c>
      <c r="E175" s="70">
        <v>76</v>
      </c>
      <c r="F175" s="71">
        <v>0</v>
      </c>
      <c r="G175" s="72">
        <f t="shared" si="37"/>
        <v>76</v>
      </c>
      <c r="H175" s="70" t="s">
        <v>35</v>
      </c>
      <c r="I175" s="97">
        <v>0</v>
      </c>
      <c r="J175" s="98">
        <f t="shared" si="38"/>
        <v>0</v>
      </c>
      <c r="K175" s="99">
        <v>50</v>
      </c>
      <c r="L175" s="100">
        <f t="shared" si="39"/>
        <v>0</v>
      </c>
      <c r="M175" s="100">
        <f t="shared" si="40"/>
        <v>0</v>
      </c>
      <c r="N175" s="100">
        <v>0</v>
      </c>
      <c r="O175" s="100">
        <f t="shared" si="41"/>
        <v>0</v>
      </c>
      <c r="P175" s="100">
        <f t="shared" si="42"/>
        <v>0</v>
      </c>
      <c r="Q175" s="124">
        <f t="shared" si="43"/>
        <v>0</v>
      </c>
      <c r="R175" s="114"/>
    </row>
    <row r="176" s="34" customFormat="1" ht="62.4" spans="1:18">
      <c r="A176" s="61">
        <f>IF(F176&lt;&gt;"",1+MAX($A$2:A175),"")</f>
        <v>145</v>
      </c>
      <c r="B176" s="68"/>
      <c r="C176" s="68" t="s">
        <v>42</v>
      </c>
      <c r="D176" s="69" t="s">
        <v>962</v>
      </c>
      <c r="E176" s="70">
        <v>79</v>
      </c>
      <c r="F176" s="71">
        <v>0</v>
      </c>
      <c r="G176" s="72">
        <f t="shared" si="37"/>
        <v>79</v>
      </c>
      <c r="H176" s="70" t="s">
        <v>35</v>
      </c>
      <c r="I176" s="97">
        <v>0</v>
      </c>
      <c r="J176" s="98">
        <f t="shared" si="38"/>
        <v>0</v>
      </c>
      <c r="K176" s="99">
        <v>50</v>
      </c>
      <c r="L176" s="100">
        <f t="shared" si="39"/>
        <v>0</v>
      </c>
      <c r="M176" s="100">
        <f t="shared" si="40"/>
        <v>0</v>
      </c>
      <c r="N176" s="100">
        <v>0</v>
      </c>
      <c r="O176" s="100">
        <f t="shared" si="41"/>
        <v>0</v>
      </c>
      <c r="P176" s="100">
        <f t="shared" si="42"/>
        <v>0</v>
      </c>
      <c r="Q176" s="124">
        <f t="shared" si="43"/>
        <v>0</v>
      </c>
      <c r="R176" s="114"/>
    </row>
    <row r="177" s="34" customFormat="1" ht="62.4" spans="1:18">
      <c r="A177" s="61">
        <f>IF(F177&lt;&gt;"",1+MAX($A$2:A176),"")</f>
        <v>146</v>
      </c>
      <c r="B177" s="68"/>
      <c r="C177" s="68" t="s">
        <v>963</v>
      </c>
      <c r="D177" s="69" t="s">
        <v>964</v>
      </c>
      <c r="E177" s="70">
        <v>17</v>
      </c>
      <c r="F177" s="71">
        <v>0</v>
      </c>
      <c r="G177" s="72">
        <f t="shared" si="37"/>
        <v>17</v>
      </c>
      <c r="H177" s="70" t="s">
        <v>35</v>
      </c>
      <c r="I177" s="97">
        <v>0</v>
      </c>
      <c r="J177" s="98">
        <f t="shared" si="38"/>
        <v>0</v>
      </c>
      <c r="K177" s="99">
        <v>50</v>
      </c>
      <c r="L177" s="100">
        <f t="shared" si="39"/>
        <v>0</v>
      </c>
      <c r="M177" s="100">
        <f t="shared" si="40"/>
        <v>0</v>
      </c>
      <c r="N177" s="100">
        <v>0</v>
      </c>
      <c r="O177" s="100">
        <f t="shared" si="41"/>
        <v>0</v>
      </c>
      <c r="P177" s="100">
        <f t="shared" si="42"/>
        <v>0</v>
      </c>
      <c r="Q177" s="124">
        <f t="shared" si="43"/>
        <v>0</v>
      </c>
      <c r="R177" s="114"/>
    </row>
    <row r="178" s="34" customFormat="1" ht="62.4" spans="1:18">
      <c r="A178" s="61">
        <f>IF(F178&lt;&gt;"",1+MAX($A$2:A177),"")</f>
        <v>147</v>
      </c>
      <c r="B178" s="68"/>
      <c r="C178" s="68" t="s">
        <v>44</v>
      </c>
      <c r="D178" s="69" t="s">
        <v>45</v>
      </c>
      <c r="E178" s="70">
        <v>49</v>
      </c>
      <c r="F178" s="71">
        <v>0</v>
      </c>
      <c r="G178" s="72">
        <f t="shared" si="37"/>
        <v>49</v>
      </c>
      <c r="H178" s="70" t="s">
        <v>35</v>
      </c>
      <c r="I178" s="97">
        <v>0</v>
      </c>
      <c r="J178" s="98">
        <f t="shared" si="38"/>
        <v>0</v>
      </c>
      <c r="K178" s="99">
        <v>50</v>
      </c>
      <c r="L178" s="100">
        <f t="shared" si="39"/>
        <v>0</v>
      </c>
      <c r="M178" s="100">
        <f t="shared" si="40"/>
        <v>0</v>
      </c>
      <c r="N178" s="100">
        <v>0</v>
      </c>
      <c r="O178" s="100">
        <f t="shared" si="41"/>
        <v>0</v>
      </c>
      <c r="P178" s="100">
        <f t="shared" si="42"/>
        <v>0</v>
      </c>
      <c r="Q178" s="124">
        <f t="shared" si="43"/>
        <v>0</v>
      </c>
      <c r="R178" s="114"/>
    </row>
    <row r="179" s="34" customFormat="1" ht="62.4" spans="1:18">
      <c r="A179" s="61">
        <f>IF(F179&lt;&gt;"",1+MAX($A$2:A178),"")</f>
        <v>148</v>
      </c>
      <c r="B179" s="68"/>
      <c r="C179" s="68" t="s">
        <v>965</v>
      </c>
      <c r="D179" s="69" t="s">
        <v>605</v>
      </c>
      <c r="E179" s="70">
        <v>28</v>
      </c>
      <c r="F179" s="71">
        <v>0</v>
      </c>
      <c r="G179" s="72">
        <f t="shared" si="37"/>
        <v>28</v>
      </c>
      <c r="H179" s="70" t="s">
        <v>35</v>
      </c>
      <c r="I179" s="97">
        <v>0</v>
      </c>
      <c r="J179" s="98">
        <f t="shared" si="38"/>
        <v>0</v>
      </c>
      <c r="K179" s="99">
        <v>50</v>
      </c>
      <c r="L179" s="100">
        <f t="shared" si="39"/>
        <v>0</v>
      </c>
      <c r="M179" s="100">
        <f t="shared" si="40"/>
        <v>0</v>
      </c>
      <c r="N179" s="100">
        <v>0</v>
      </c>
      <c r="O179" s="100">
        <f t="shared" si="41"/>
        <v>0</v>
      </c>
      <c r="P179" s="100">
        <f t="shared" si="42"/>
        <v>0</v>
      </c>
      <c r="Q179" s="124">
        <f t="shared" si="43"/>
        <v>0</v>
      </c>
      <c r="R179" s="114"/>
    </row>
    <row r="180" s="34" customFormat="1" ht="62.4" spans="1:18">
      <c r="A180" s="61">
        <f>IF(F180&lt;&gt;"",1+MAX($A$2:A179),"")</f>
        <v>149</v>
      </c>
      <c r="B180" s="68"/>
      <c r="C180" s="68" t="s">
        <v>966</v>
      </c>
      <c r="D180" s="69" t="s">
        <v>51</v>
      </c>
      <c r="E180" s="70">
        <v>5</v>
      </c>
      <c r="F180" s="71">
        <v>0</v>
      </c>
      <c r="G180" s="72">
        <f t="shared" si="37"/>
        <v>5</v>
      </c>
      <c r="H180" s="70" t="s">
        <v>35</v>
      </c>
      <c r="I180" s="97">
        <v>0</v>
      </c>
      <c r="J180" s="98">
        <f t="shared" si="38"/>
        <v>0</v>
      </c>
      <c r="K180" s="99">
        <v>50</v>
      </c>
      <c r="L180" s="100">
        <f t="shared" si="39"/>
        <v>0</v>
      </c>
      <c r="M180" s="100">
        <f t="shared" si="40"/>
        <v>0</v>
      </c>
      <c r="N180" s="100">
        <v>0</v>
      </c>
      <c r="O180" s="100">
        <f t="shared" si="41"/>
        <v>0</v>
      </c>
      <c r="P180" s="100">
        <f t="shared" si="42"/>
        <v>0</v>
      </c>
      <c r="Q180" s="124">
        <f t="shared" si="43"/>
        <v>0</v>
      </c>
      <c r="R180" s="114"/>
    </row>
    <row r="181" s="34" customFormat="1" ht="62.4" spans="1:18">
      <c r="A181" s="61">
        <f>IF(F181&lt;&gt;"",1+MAX($A$2:A180),"")</f>
        <v>150</v>
      </c>
      <c r="B181" s="68"/>
      <c r="C181" s="68" t="s">
        <v>967</v>
      </c>
      <c r="D181" s="69" t="s">
        <v>968</v>
      </c>
      <c r="E181" s="70">
        <v>1</v>
      </c>
      <c r="F181" s="71">
        <v>0</v>
      </c>
      <c r="G181" s="72">
        <f t="shared" si="37"/>
        <v>1</v>
      </c>
      <c r="H181" s="70" t="s">
        <v>35</v>
      </c>
      <c r="I181" s="97">
        <v>0</v>
      </c>
      <c r="J181" s="98">
        <f t="shared" si="38"/>
        <v>0</v>
      </c>
      <c r="K181" s="99">
        <v>50</v>
      </c>
      <c r="L181" s="100">
        <f t="shared" si="39"/>
        <v>0</v>
      </c>
      <c r="M181" s="100">
        <f t="shared" si="40"/>
        <v>0</v>
      </c>
      <c r="N181" s="100">
        <v>0</v>
      </c>
      <c r="O181" s="100">
        <f t="shared" si="41"/>
        <v>0</v>
      </c>
      <c r="P181" s="100">
        <f t="shared" si="42"/>
        <v>0</v>
      </c>
      <c r="Q181" s="124">
        <f t="shared" si="43"/>
        <v>0</v>
      </c>
      <c r="R181" s="114"/>
    </row>
    <row r="182" s="34" customFormat="1" ht="62.4" spans="1:18">
      <c r="A182" s="61">
        <f>IF(F182&lt;&gt;"",1+MAX($A$2:A181),"")</f>
        <v>151</v>
      </c>
      <c r="B182" s="68"/>
      <c r="C182" s="68" t="s">
        <v>44</v>
      </c>
      <c r="D182" s="69" t="s">
        <v>45</v>
      </c>
      <c r="E182" s="70">
        <v>3</v>
      </c>
      <c r="F182" s="71">
        <v>0</v>
      </c>
      <c r="G182" s="72">
        <f t="shared" si="37"/>
        <v>3</v>
      </c>
      <c r="H182" s="70" t="s">
        <v>35</v>
      </c>
      <c r="I182" s="97">
        <v>0</v>
      </c>
      <c r="J182" s="98">
        <f t="shared" si="38"/>
        <v>0</v>
      </c>
      <c r="K182" s="99">
        <v>50</v>
      </c>
      <c r="L182" s="100">
        <f t="shared" si="39"/>
        <v>0</v>
      </c>
      <c r="M182" s="100">
        <f t="shared" si="40"/>
        <v>0</v>
      </c>
      <c r="N182" s="100">
        <v>0</v>
      </c>
      <c r="O182" s="100">
        <f t="shared" si="41"/>
        <v>0</v>
      </c>
      <c r="P182" s="100">
        <f t="shared" si="42"/>
        <v>0</v>
      </c>
      <c r="Q182" s="124">
        <f t="shared" si="43"/>
        <v>0</v>
      </c>
      <c r="R182" s="114"/>
    </row>
    <row r="183" s="34" customFormat="1" ht="18" customHeight="1" spans="1:18">
      <c r="A183" s="61">
        <f>IF(F183&lt;&gt;"",1+MAX($A$2:A182),"")</f>
        <v>152</v>
      </c>
      <c r="B183" s="68"/>
      <c r="C183" s="68"/>
      <c r="D183" s="69" t="s">
        <v>969</v>
      </c>
      <c r="E183" s="70">
        <v>21</v>
      </c>
      <c r="F183" s="71">
        <v>0</v>
      </c>
      <c r="G183" s="72">
        <f t="shared" si="37"/>
        <v>21</v>
      </c>
      <c r="H183" s="70" t="s">
        <v>35</v>
      </c>
      <c r="I183" s="97">
        <v>0</v>
      </c>
      <c r="J183" s="98">
        <f t="shared" si="38"/>
        <v>0</v>
      </c>
      <c r="K183" s="99">
        <v>50</v>
      </c>
      <c r="L183" s="100">
        <f t="shared" si="39"/>
        <v>0</v>
      </c>
      <c r="M183" s="100">
        <f t="shared" si="40"/>
        <v>0</v>
      </c>
      <c r="N183" s="100">
        <v>0</v>
      </c>
      <c r="O183" s="100">
        <f t="shared" si="41"/>
        <v>0</v>
      </c>
      <c r="P183" s="100">
        <f t="shared" si="42"/>
        <v>0</v>
      </c>
      <c r="Q183" s="124">
        <f t="shared" si="43"/>
        <v>0</v>
      </c>
      <c r="R183" s="114"/>
    </row>
    <row r="184" s="31" customFormat="1" ht="18" customHeight="1" spans="1:18">
      <c r="A184" s="136">
        <f>IF(F184&lt;&gt;"",1+MAX($A$2:A183),"")</f>
        <v>153</v>
      </c>
      <c r="B184" s="68"/>
      <c r="C184" s="68"/>
      <c r="D184" s="69" t="s">
        <v>970</v>
      </c>
      <c r="E184" s="70">
        <v>5</v>
      </c>
      <c r="F184" s="71">
        <v>0</v>
      </c>
      <c r="G184" s="72">
        <f t="shared" si="37"/>
        <v>5</v>
      </c>
      <c r="H184" s="70" t="s">
        <v>35</v>
      </c>
      <c r="I184" s="97">
        <v>0</v>
      </c>
      <c r="J184" s="98">
        <f t="shared" si="38"/>
        <v>0</v>
      </c>
      <c r="K184" s="144">
        <v>50</v>
      </c>
      <c r="L184" s="100">
        <f t="shared" si="39"/>
        <v>0</v>
      </c>
      <c r="M184" s="100">
        <f t="shared" si="40"/>
        <v>0</v>
      </c>
      <c r="N184" s="100">
        <v>0</v>
      </c>
      <c r="O184" s="100">
        <f t="shared" si="41"/>
        <v>0</v>
      </c>
      <c r="P184" s="100">
        <f t="shared" si="42"/>
        <v>0</v>
      </c>
      <c r="Q184" s="124">
        <f t="shared" si="43"/>
        <v>0</v>
      </c>
      <c r="R184" s="118"/>
    </row>
    <row r="185" s="34" customFormat="1" ht="18" customHeight="1" spans="1:18">
      <c r="A185" s="61" t="str">
        <f>IF(F185&lt;&gt;"",1+MAX($A$2:A184),"")</f>
        <v/>
      </c>
      <c r="B185" s="62"/>
      <c r="C185" s="137"/>
      <c r="D185" s="138"/>
      <c r="E185" s="76"/>
      <c r="F185" s="65"/>
      <c r="G185" s="66"/>
      <c r="H185" s="70"/>
      <c r="I185" s="97"/>
      <c r="J185" s="98"/>
      <c r="K185" s="99"/>
      <c r="L185" s="100"/>
      <c r="M185" s="100"/>
      <c r="N185" s="100"/>
      <c r="O185" s="100"/>
      <c r="P185" s="100"/>
      <c r="Q185" s="124"/>
      <c r="R185" s="114"/>
    </row>
    <row r="186" s="34" customFormat="1" ht="18" customHeight="1" spans="1:18">
      <c r="A186" s="61" t="str">
        <f>IF(F186&lt;&gt;"",1+MAX($A$2:A185),"")</f>
        <v/>
      </c>
      <c r="B186" s="62"/>
      <c r="C186" s="62"/>
      <c r="D186" s="134" t="s">
        <v>52</v>
      </c>
      <c r="E186" s="76"/>
      <c r="F186" s="65"/>
      <c r="G186" s="66"/>
      <c r="H186" s="70"/>
      <c r="I186" s="97"/>
      <c r="J186" s="98"/>
      <c r="K186" s="99"/>
      <c r="L186" s="100"/>
      <c r="M186" s="100"/>
      <c r="N186" s="100"/>
      <c r="O186" s="100"/>
      <c r="P186" s="100"/>
      <c r="Q186" s="124"/>
      <c r="R186" s="114"/>
    </row>
    <row r="187" s="34" customFormat="1" spans="1:18">
      <c r="A187" s="61">
        <f>IF(F187&lt;&gt;"",1+MAX($A$2:A186),"")</f>
        <v>154</v>
      </c>
      <c r="B187" s="68"/>
      <c r="C187" s="68"/>
      <c r="D187" s="69" t="s">
        <v>53</v>
      </c>
      <c r="E187" s="70">
        <v>46</v>
      </c>
      <c r="F187" s="71">
        <v>0</v>
      </c>
      <c r="G187" s="66">
        <f t="shared" ref="G187:G196" si="44">(F187*E187)+E187</f>
        <v>46</v>
      </c>
      <c r="H187" s="70" t="s">
        <v>35</v>
      </c>
      <c r="I187" s="97">
        <v>0</v>
      </c>
      <c r="J187" s="98">
        <f t="shared" ref="J187:J196" si="45">+I187*G187</f>
        <v>0</v>
      </c>
      <c r="K187" s="99">
        <v>50</v>
      </c>
      <c r="L187" s="100">
        <f t="shared" ref="L187:L196" si="46">I187*K187</f>
        <v>0</v>
      </c>
      <c r="M187" s="100">
        <f t="shared" ref="M187:M196" si="47">K187*J187</f>
        <v>0</v>
      </c>
      <c r="N187" s="100">
        <v>0</v>
      </c>
      <c r="O187" s="100">
        <f t="shared" ref="O187:O196" si="48">N187*G187</f>
        <v>0</v>
      </c>
      <c r="P187" s="100">
        <f t="shared" ref="P187:P196" si="49">(I187*K187)+N187</f>
        <v>0</v>
      </c>
      <c r="Q187" s="124">
        <f t="shared" ref="Q187:Q196" si="50">P187*G187</f>
        <v>0</v>
      </c>
      <c r="R187" s="114"/>
    </row>
    <row r="188" s="34" customFormat="1" spans="1:18">
      <c r="A188" s="61">
        <f>IF(F188&lt;&gt;"",1+MAX($A$2:A187),"")</f>
        <v>155</v>
      </c>
      <c r="B188" s="68"/>
      <c r="C188" s="68"/>
      <c r="D188" s="69" t="s">
        <v>615</v>
      </c>
      <c r="E188" s="70">
        <v>141</v>
      </c>
      <c r="F188" s="71">
        <v>0</v>
      </c>
      <c r="G188" s="66">
        <f t="shared" si="44"/>
        <v>141</v>
      </c>
      <c r="H188" s="70" t="s">
        <v>35</v>
      </c>
      <c r="I188" s="97">
        <v>0</v>
      </c>
      <c r="J188" s="98">
        <f t="shared" si="45"/>
        <v>0</v>
      </c>
      <c r="K188" s="99">
        <v>50</v>
      </c>
      <c r="L188" s="100">
        <f t="shared" si="46"/>
        <v>0</v>
      </c>
      <c r="M188" s="100">
        <f t="shared" si="47"/>
        <v>0</v>
      </c>
      <c r="N188" s="100">
        <v>0</v>
      </c>
      <c r="O188" s="100">
        <f t="shared" si="48"/>
        <v>0</v>
      </c>
      <c r="P188" s="100">
        <f t="shared" si="49"/>
        <v>0</v>
      </c>
      <c r="Q188" s="124">
        <f t="shared" si="50"/>
        <v>0</v>
      </c>
      <c r="R188" s="114"/>
    </row>
    <row r="189" s="34" customFormat="1" spans="1:18">
      <c r="A189" s="61">
        <f>IF(F189&lt;&gt;"",1+MAX($A$2:A188),"")</f>
        <v>156</v>
      </c>
      <c r="B189" s="68"/>
      <c r="C189" s="68"/>
      <c r="D189" s="69" t="s">
        <v>631</v>
      </c>
      <c r="E189" s="70">
        <v>9</v>
      </c>
      <c r="F189" s="71">
        <v>0</v>
      </c>
      <c r="G189" s="66">
        <f t="shared" si="44"/>
        <v>9</v>
      </c>
      <c r="H189" s="70" t="s">
        <v>35</v>
      </c>
      <c r="I189" s="97">
        <v>0</v>
      </c>
      <c r="J189" s="98">
        <f t="shared" si="45"/>
        <v>0</v>
      </c>
      <c r="K189" s="99">
        <v>50</v>
      </c>
      <c r="L189" s="100">
        <f t="shared" si="46"/>
        <v>0</v>
      </c>
      <c r="M189" s="100">
        <f t="shared" si="47"/>
        <v>0</v>
      </c>
      <c r="N189" s="100">
        <v>0</v>
      </c>
      <c r="O189" s="100">
        <f t="shared" si="48"/>
        <v>0</v>
      </c>
      <c r="P189" s="100">
        <f t="shared" si="49"/>
        <v>0</v>
      </c>
      <c r="Q189" s="124">
        <f t="shared" si="50"/>
        <v>0</v>
      </c>
      <c r="R189" s="114"/>
    </row>
    <row r="190" s="34" customFormat="1" spans="1:18">
      <c r="A190" s="61">
        <f>IF(F190&lt;&gt;"",1+MAX($A$2:A189),"")</f>
        <v>157</v>
      </c>
      <c r="B190" s="68"/>
      <c r="C190" s="68"/>
      <c r="D190" s="69" t="s">
        <v>971</v>
      </c>
      <c r="E190" s="70">
        <v>4</v>
      </c>
      <c r="F190" s="71">
        <v>0</v>
      </c>
      <c r="G190" s="66">
        <f t="shared" si="44"/>
        <v>4</v>
      </c>
      <c r="H190" s="70" t="s">
        <v>35</v>
      </c>
      <c r="I190" s="97">
        <v>0</v>
      </c>
      <c r="J190" s="98">
        <f t="shared" si="45"/>
        <v>0</v>
      </c>
      <c r="K190" s="99">
        <v>50</v>
      </c>
      <c r="L190" s="100">
        <f t="shared" si="46"/>
        <v>0</v>
      </c>
      <c r="M190" s="100">
        <f t="shared" si="47"/>
        <v>0</v>
      </c>
      <c r="N190" s="100">
        <v>0</v>
      </c>
      <c r="O190" s="100">
        <f t="shared" si="48"/>
        <v>0</v>
      </c>
      <c r="P190" s="100">
        <f t="shared" si="49"/>
        <v>0</v>
      </c>
      <c r="Q190" s="124">
        <f t="shared" si="50"/>
        <v>0</v>
      </c>
      <c r="R190" s="114"/>
    </row>
    <row r="191" s="34" customFormat="1" spans="1:18">
      <c r="A191" s="61">
        <f>IF(F191&lt;&gt;"",1+MAX($A$2:A190),"")</f>
        <v>158</v>
      </c>
      <c r="B191" s="68"/>
      <c r="C191" s="68"/>
      <c r="D191" s="69" t="s">
        <v>972</v>
      </c>
      <c r="E191" s="70">
        <v>1</v>
      </c>
      <c r="F191" s="71">
        <v>0</v>
      </c>
      <c r="G191" s="66">
        <f t="shared" si="44"/>
        <v>1</v>
      </c>
      <c r="H191" s="70" t="s">
        <v>35</v>
      </c>
      <c r="I191" s="97">
        <v>0</v>
      </c>
      <c r="J191" s="98">
        <f t="shared" si="45"/>
        <v>0</v>
      </c>
      <c r="K191" s="99">
        <v>50</v>
      </c>
      <c r="L191" s="100">
        <f t="shared" si="46"/>
        <v>0</v>
      </c>
      <c r="M191" s="100">
        <f t="shared" si="47"/>
        <v>0</v>
      </c>
      <c r="N191" s="100">
        <v>0</v>
      </c>
      <c r="O191" s="100">
        <f t="shared" si="48"/>
        <v>0</v>
      </c>
      <c r="P191" s="100">
        <f t="shared" si="49"/>
        <v>0</v>
      </c>
      <c r="Q191" s="124">
        <f t="shared" si="50"/>
        <v>0</v>
      </c>
      <c r="R191" s="114"/>
    </row>
    <row r="192" s="34" customFormat="1" spans="1:18">
      <c r="A192" s="61">
        <f>IF(F192&lt;&gt;"",1+MAX($A$2:A191),"")</f>
        <v>159</v>
      </c>
      <c r="B192" s="68"/>
      <c r="C192" s="68"/>
      <c r="D192" s="69" t="s">
        <v>621</v>
      </c>
      <c r="E192" s="70">
        <v>4</v>
      </c>
      <c r="F192" s="71">
        <v>0</v>
      </c>
      <c r="G192" s="66">
        <f t="shared" si="44"/>
        <v>4</v>
      </c>
      <c r="H192" s="70" t="s">
        <v>35</v>
      </c>
      <c r="I192" s="97">
        <v>0</v>
      </c>
      <c r="J192" s="98">
        <f t="shared" si="45"/>
        <v>0</v>
      </c>
      <c r="K192" s="99">
        <v>50</v>
      </c>
      <c r="L192" s="100">
        <f t="shared" si="46"/>
        <v>0</v>
      </c>
      <c r="M192" s="100">
        <f t="shared" si="47"/>
        <v>0</v>
      </c>
      <c r="N192" s="100">
        <v>0</v>
      </c>
      <c r="O192" s="100">
        <f t="shared" si="48"/>
        <v>0</v>
      </c>
      <c r="P192" s="100">
        <f t="shared" si="49"/>
        <v>0</v>
      </c>
      <c r="Q192" s="124">
        <f t="shared" si="50"/>
        <v>0</v>
      </c>
      <c r="R192" s="114"/>
    </row>
    <row r="193" s="34" customFormat="1" spans="1:18">
      <c r="A193" s="61">
        <f>IF(F193&lt;&gt;"",1+MAX($A$2:A192),"")</f>
        <v>160</v>
      </c>
      <c r="B193" s="68"/>
      <c r="C193" s="68"/>
      <c r="D193" s="69" t="s">
        <v>622</v>
      </c>
      <c r="E193" s="70">
        <v>6</v>
      </c>
      <c r="F193" s="71">
        <v>0</v>
      </c>
      <c r="G193" s="66">
        <f t="shared" si="44"/>
        <v>6</v>
      </c>
      <c r="H193" s="70" t="s">
        <v>35</v>
      </c>
      <c r="I193" s="97">
        <v>0</v>
      </c>
      <c r="J193" s="98">
        <f t="shared" si="45"/>
        <v>0</v>
      </c>
      <c r="K193" s="99">
        <v>50</v>
      </c>
      <c r="L193" s="100">
        <f t="shared" si="46"/>
        <v>0</v>
      </c>
      <c r="M193" s="100">
        <f t="shared" si="47"/>
        <v>0</v>
      </c>
      <c r="N193" s="100">
        <v>0</v>
      </c>
      <c r="O193" s="100">
        <f t="shared" si="48"/>
        <v>0</v>
      </c>
      <c r="P193" s="100">
        <f t="shared" si="49"/>
        <v>0</v>
      </c>
      <c r="Q193" s="124">
        <f t="shared" si="50"/>
        <v>0</v>
      </c>
      <c r="R193" s="114"/>
    </row>
    <row r="194" s="34" customFormat="1" spans="1:18">
      <c r="A194" s="61">
        <f>IF(F194&lt;&gt;"",1+MAX($A$2:A193),"")</f>
        <v>161</v>
      </c>
      <c r="B194" s="68"/>
      <c r="C194" s="68"/>
      <c r="D194" s="69" t="s">
        <v>617</v>
      </c>
      <c r="E194" s="70">
        <v>11</v>
      </c>
      <c r="F194" s="71">
        <v>0</v>
      </c>
      <c r="G194" s="66">
        <f t="shared" si="44"/>
        <v>11</v>
      </c>
      <c r="H194" s="70" t="s">
        <v>35</v>
      </c>
      <c r="I194" s="97">
        <v>0</v>
      </c>
      <c r="J194" s="98">
        <f t="shared" si="45"/>
        <v>0</v>
      </c>
      <c r="K194" s="99">
        <v>50</v>
      </c>
      <c r="L194" s="100">
        <f t="shared" si="46"/>
        <v>0</v>
      </c>
      <c r="M194" s="100">
        <f t="shared" si="47"/>
        <v>0</v>
      </c>
      <c r="N194" s="100">
        <v>0</v>
      </c>
      <c r="O194" s="100">
        <f t="shared" si="48"/>
        <v>0</v>
      </c>
      <c r="P194" s="100">
        <f t="shared" si="49"/>
        <v>0</v>
      </c>
      <c r="Q194" s="124">
        <f t="shared" si="50"/>
        <v>0</v>
      </c>
      <c r="R194" s="114"/>
    </row>
    <row r="195" s="34" customFormat="1" spans="1:18">
      <c r="A195" s="61">
        <f>IF(F195&lt;&gt;"",1+MAX($A$2:A194),"")</f>
        <v>162</v>
      </c>
      <c r="B195" s="68"/>
      <c r="C195" s="68"/>
      <c r="D195" s="69" t="s">
        <v>618</v>
      </c>
      <c r="E195" s="70">
        <v>25</v>
      </c>
      <c r="F195" s="71">
        <v>0</v>
      </c>
      <c r="G195" s="66">
        <f t="shared" si="44"/>
        <v>25</v>
      </c>
      <c r="H195" s="70" t="s">
        <v>35</v>
      </c>
      <c r="I195" s="97">
        <v>0</v>
      </c>
      <c r="J195" s="98">
        <f t="shared" si="45"/>
        <v>0</v>
      </c>
      <c r="K195" s="99">
        <v>50</v>
      </c>
      <c r="L195" s="100">
        <f t="shared" si="46"/>
        <v>0</v>
      </c>
      <c r="M195" s="100">
        <f t="shared" si="47"/>
        <v>0</v>
      </c>
      <c r="N195" s="100">
        <v>0</v>
      </c>
      <c r="O195" s="100">
        <f t="shared" si="48"/>
        <v>0</v>
      </c>
      <c r="P195" s="100">
        <f t="shared" si="49"/>
        <v>0</v>
      </c>
      <c r="Q195" s="124">
        <f t="shared" si="50"/>
        <v>0</v>
      </c>
      <c r="R195" s="114"/>
    </row>
    <row r="196" s="34" customFormat="1" spans="1:18">
      <c r="A196" s="61">
        <f>IF(F196&lt;&gt;"",1+MAX($A$2:A195),"")</f>
        <v>163</v>
      </c>
      <c r="B196" s="68"/>
      <c r="C196" s="68"/>
      <c r="D196" s="69" t="s">
        <v>973</v>
      </c>
      <c r="E196" s="70">
        <v>5</v>
      </c>
      <c r="F196" s="71">
        <v>0</v>
      </c>
      <c r="G196" s="66">
        <f t="shared" si="44"/>
        <v>5</v>
      </c>
      <c r="H196" s="70" t="s">
        <v>35</v>
      </c>
      <c r="I196" s="97">
        <v>0</v>
      </c>
      <c r="J196" s="98">
        <f t="shared" si="45"/>
        <v>0</v>
      </c>
      <c r="K196" s="99">
        <v>50</v>
      </c>
      <c r="L196" s="100">
        <f t="shared" si="46"/>
        <v>0</v>
      </c>
      <c r="M196" s="100">
        <f t="shared" si="47"/>
        <v>0</v>
      </c>
      <c r="N196" s="100">
        <v>0</v>
      </c>
      <c r="O196" s="100">
        <f t="shared" si="48"/>
        <v>0</v>
      </c>
      <c r="P196" s="100">
        <f t="shared" si="49"/>
        <v>0</v>
      </c>
      <c r="Q196" s="124">
        <f t="shared" si="50"/>
        <v>0</v>
      </c>
      <c r="R196" s="114"/>
    </row>
    <row r="197" s="34" customFormat="1" spans="1:18">
      <c r="A197" s="61" t="str">
        <f>IF(F197&lt;&gt;"",1+MAX($A$2:A196),"")</f>
        <v/>
      </c>
      <c r="B197" s="62"/>
      <c r="C197" s="62"/>
      <c r="D197" s="69"/>
      <c r="E197" s="76"/>
      <c r="F197" s="65"/>
      <c r="G197" s="66"/>
      <c r="H197" s="70"/>
      <c r="I197" s="97"/>
      <c r="J197" s="98"/>
      <c r="K197" s="99"/>
      <c r="L197" s="100"/>
      <c r="M197" s="100"/>
      <c r="N197" s="100"/>
      <c r="O197" s="100"/>
      <c r="P197" s="100"/>
      <c r="Q197" s="124"/>
      <c r="R197" s="114"/>
    </row>
    <row r="198" s="34" customFormat="1" ht="18" customHeight="1" spans="1:18">
      <c r="A198" s="61" t="str">
        <f>IF(F198&lt;&gt;"",1+MAX($A$2:A197),"")</f>
        <v/>
      </c>
      <c r="B198" s="62"/>
      <c r="C198" s="62"/>
      <c r="D198" s="134" t="s">
        <v>556</v>
      </c>
      <c r="E198" s="76"/>
      <c r="F198" s="65"/>
      <c r="G198" s="66"/>
      <c r="H198" s="64"/>
      <c r="I198" s="97"/>
      <c r="J198" s="98"/>
      <c r="K198" s="99"/>
      <c r="L198" s="100"/>
      <c r="M198" s="100"/>
      <c r="N198" s="100"/>
      <c r="O198" s="100"/>
      <c r="P198" s="100"/>
      <c r="Q198" s="124"/>
      <c r="R198" s="114"/>
    </row>
    <row r="199" s="34" customFormat="1" ht="18" customHeight="1" spans="1:18">
      <c r="A199" s="67" t="str">
        <f>IF(F199&lt;&gt;"",1+MAX($A$2:A198),"")</f>
        <v/>
      </c>
      <c r="B199" s="68"/>
      <c r="C199" s="68"/>
      <c r="D199" s="146" t="s">
        <v>557</v>
      </c>
      <c r="E199" s="76"/>
      <c r="F199" s="71"/>
      <c r="G199" s="66"/>
      <c r="H199" s="70"/>
      <c r="I199" s="97"/>
      <c r="J199" s="98"/>
      <c r="K199" s="99"/>
      <c r="L199" s="100"/>
      <c r="M199" s="100"/>
      <c r="N199" s="100"/>
      <c r="O199" s="100"/>
      <c r="P199" s="100"/>
      <c r="Q199" s="124"/>
      <c r="R199" s="114"/>
    </row>
    <row r="200" s="34" customFormat="1" ht="18" customHeight="1" spans="1:18">
      <c r="A200" s="67">
        <f>IF(F200&lt;&gt;"",1+MAX($A$2:A199),"")</f>
        <v>164</v>
      </c>
      <c r="B200" s="68"/>
      <c r="C200" s="147"/>
      <c r="D200" s="138" t="s">
        <v>974</v>
      </c>
      <c r="E200" s="76">
        <v>251</v>
      </c>
      <c r="F200" s="71">
        <v>0</v>
      </c>
      <c r="G200" s="66">
        <f t="shared" ref="G200:G212" si="51">(F200*E200)+E200</f>
        <v>251</v>
      </c>
      <c r="H200" s="70" t="s">
        <v>35</v>
      </c>
      <c r="I200" s="97">
        <v>0</v>
      </c>
      <c r="J200" s="98">
        <f t="shared" ref="J200:J212" si="52">+I200*G200</f>
        <v>0</v>
      </c>
      <c r="K200" s="99">
        <v>50</v>
      </c>
      <c r="L200" s="100">
        <f t="shared" ref="L200:L212" si="53">I200*K200</f>
        <v>0</v>
      </c>
      <c r="M200" s="100">
        <f t="shared" ref="M200:M212" si="54">K200*J200</f>
        <v>0</v>
      </c>
      <c r="N200" s="100">
        <v>0</v>
      </c>
      <c r="O200" s="100">
        <f t="shared" ref="O200:O212" si="55">N200*G200</f>
        <v>0</v>
      </c>
      <c r="P200" s="100">
        <f t="shared" ref="P200:P212" si="56">(I200*K200)+N200</f>
        <v>0</v>
      </c>
      <c r="Q200" s="124">
        <f t="shared" ref="Q200:Q212" si="57">P200*G200</f>
        <v>0</v>
      </c>
      <c r="R200" s="114"/>
    </row>
    <row r="201" s="34" customFormat="1" ht="18" customHeight="1" spans="1:18">
      <c r="A201" s="61">
        <f>IF(F201&lt;&gt;"",1+MAX($A$2:A200),"")</f>
        <v>165</v>
      </c>
      <c r="B201" s="68"/>
      <c r="C201" s="147"/>
      <c r="D201" s="138" t="s">
        <v>975</v>
      </c>
      <c r="E201" s="76">
        <v>212</v>
      </c>
      <c r="F201" s="65">
        <v>0</v>
      </c>
      <c r="G201" s="66">
        <f t="shared" si="51"/>
        <v>212</v>
      </c>
      <c r="H201" s="70" t="s">
        <v>35</v>
      </c>
      <c r="I201" s="97">
        <v>0</v>
      </c>
      <c r="J201" s="98">
        <f t="shared" si="52"/>
        <v>0</v>
      </c>
      <c r="K201" s="99">
        <v>50</v>
      </c>
      <c r="L201" s="100">
        <f t="shared" si="53"/>
        <v>0</v>
      </c>
      <c r="M201" s="100">
        <f t="shared" si="54"/>
        <v>0</v>
      </c>
      <c r="N201" s="100">
        <v>0</v>
      </c>
      <c r="O201" s="100">
        <f t="shared" si="55"/>
        <v>0</v>
      </c>
      <c r="P201" s="100">
        <f t="shared" si="56"/>
        <v>0</v>
      </c>
      <c r="Q201" s="124">
        <f t="shared" si="57"/>
        <v>0</v>
      </c>
      <c r="R201" s="114"/>
    </row>
    <row r="202" s="34" customFormat="1" ht="18" customHeight="1" spans="1:18">
      <c r="A202" s="67">
        <f>IF(F202&lt;&gt;"",1+MAX($A$2:A201),"")</f>
        <v>166</v>
      </c>
      <c r="B202" s="68"/>
      <c r="C202" s="147"/>
      <c r="D202" s="138" t="s">
        <v>976</v>
      </c>
      <c r="E202" s="76">
        <v>158</v>
      </c>
      <c r="F202" s="71">
        <v>0</v>
      </c>
      <c r="G202" s="66">
        <f t="shared" si="51"/>
        <v>158</v>
      </c>
      <c r="H202" s="70" t="s">
        <v>35</v>
      </c>
      <c r="I202" s="97">
        <v>0</v>
      </c>
      <c r="J202" s="98">
        <f t="shared" si="52"/>
        <v>0</v>
      </c>
      <c r="K202" s="99">
        <v>50</v>
      </c>
      <c r="L202" s="100">
        <f t="shared" si="53"/>
        <v>0</v>
      </c>
      <c r="M202" s="100">
        <f t="shared" si="54"/>
        <v>0</v>
      </c>
      <c r="N202" s="100">
        <v>0</v>
      </c>
      <c r="O202" s="100">
        <f t="shared" si="55"/>
        <v>0</v>
      </c>
      <c r="P202" s="100">
        <f t="shared" si="56"/>
        <v>0</v>
      </c>
      <c r="Q202" s="124">
        <f t="shared" si="57"/>
        <v>0</v>
      </c>
      <c r="R202" s="114"/>
    </row>
    <row r="203" s="34" customFormat="1" ht="18" customHeight="1" spans="1:18">
      <c r="A203" s="67">
        <f>IF(F203&lt;&gt;"",1+MAX($A$2:A202),"")</f>
        <v>167</v>
      </c>
      <c r="B203" s="68"/>
      <c r="C203" s="147"/>
      <c r="D203" s="138" t="s">
        <v>977</v>
      </c>
      <c r="E203" s="76">
        <v>198</v>
      </c>
      <c r="F203" s="71">
        <v>0</v>
      </c>
      <c r="G203" s="66">
        <f t="shared" si="51"/>
        <v>198</v>
      </c>
      <c r="H203" s="70" t="s">
        <v>35</v>
      </c>
      <c r="I203" s="97">
        <v>0</v>
      </c>
      <c r="J203" s="98">
        <f t="shared" si="52"/>
        <v>0</v>
      </c>
      <c r="K203" s="99">
        <v>50</v>
      </c>
      <c r="L203" s="100">
        <f t="shared" si="53"/>
        <v>0</v>
      </c>
      <c r="M203" s="100">
        <f t="shared" si="54"/>
        <v>0</v>
      </c>
      <c r="N203" s="100">
        <v>0</v>
      </c>
      <c r="O203" s="100">
        <f t="shared" si="55"/>
        <v>0</v>
      </c>
      <c r="P203" s="100">
        <f t="shared" si="56"/>
        <v>0</v>
      </c>
      <c r="Q203" s="124">
        <f t="shared" si="57"/>
        <v>0</v>
      </c>
      <c r="R203" s="114"/>
    </row>
    <row r="204" s="34" customFormat="1" ht="18" customHeight="1" spans="1:18">
      <c r="A204" s="67">
        <f>IF(F204&lt;&gt;"",1+MAX($A$2:A203),"")</f>
        <v>168</v>
      </c>
      <c r="B204" s="68"/>
      <c r="C204" s="147"/>
      <c r="D204" s="138" t="s">
        <v>978</v>
      </c>
      <c r="E204" s="76">
        <v>166</v>
      </c>
      <c r="F204" s="71">
        <v>0</v>
      </c>
      <c r="G204" s="66">
        <f t="shared" si="51"/>
        <v>166</v>
      </c>
      <c r="H204" s="70" t="s">
        <v>35</v>
      </c>
      <c r="I204" s="97">
        <v>0</v>
      </c>
      <c r="J204" s="98">
        <f t="shared" si="52"/>
        <v>0</v>
      </c>
      <c r="K204" s="99">
        <v>50</v>
      </c>
      <c r="L204" s="100">
        <f t="shared" si="53"/>
        <v>0</v>
      </c>
      <c r="M204" s="100">
        <f t="shared" si="54"/>
        <v>0</v>
      </c>
      <c r="N204" s="100">
        <v>0</v>
      </c>
      <c r="O204" s="100">
        <f t="shared" si="55"/>
        <v>0</v>
      </c>
      <c r="P204" s="100">
        <f t="shared" si="56"/>
        <v>0</v>
      </c>
      <c r="Q204" s="124">
        <f t="shared" si="57"/>
        <v>0</v>
      </c>
      <c r="R204" s="114"/>
    </row>
    <row r="205" s="34" customFormat="1" ht="18" customHeight="1" spans="1:18">
      <c r="A205" s="67">
        <f>IF(F205&lt;&gt;"",1+MAX($A$2:A204),"")</f>
        <v>169</v>
      </c>
      <c r="B205" s="68"/>
      <c r="C205" s="147"/>
      <c r="D205" s="138" t="s">
        <v>979</v>
      </c>
      <c r="E205" s="76">
        <v>264</v>
      </c>
      <c r="F205" s="71">
        <v>0</v>
      </c>
      <c r="G205" s="66">
        <f t="shared" si="51"/>
        <v>264</v>
      </c>
      <c r="H205" s="70" t="s">
        <v>35</v>
      </c>
      <c r="I205" s="97">
        <v>0</v>
      </c>
      <c r="J205" s="98">
        <f t="shared" si="52"/>
        <v>0</v>
      </c>
      <c r="K205" s="99">
        <v>50</v>
      </c>
      <c r="L205" s="100">
        <f t="shared" si="53"/>
        <v>0</v>
      </c>
      <c r="M205" s="100">
        <f t="shared" si="54"/>
        <v>0</v>
      </c>
      <c r="N205" s="100">
        <v>0</v>
      </c>
      <c r="O205" s="100">
        <f t="shared" si="55"/>
        <v>0</v>
      </c>
      <c r="P205" s="100">
        <f t="shared" si="56"/>
        <v>0</v>
      </c>
      <c r="Q205" s="124">
        <f t="shared" si="57"/>
        <v>0</v>
      </c>
      <c r="R205" s="114"/>
    </row>
    <row r="206" s="34" customFormat="1" ht="18" customHeight="1" spans="1:18">
      <c r="A206" s="61">
        <f>IF(F206&lt;&gt;"",1+MAX($A$2:A205),"")</f>
        <v>170</v>
      </c>
      <c r="B206" s="68"/>
      <c r="C206" s="147"/>
      <c r="D206" s="138" t="s">
        <v>980</v>
      </c>
      <c r="E206" s="76">
        <v>124</v>
      </c>
      <c r="F206" s="65">
        <v>0</v>
      </c>
      <c r="G206" s="66">
        <f t="shared" si="51"/>
        <v>124</v>
      </c>
      <c r="H206" s="70" t="s">
        <v>35</v>
      </c>
      <c r="I206" s="97">
        <v>0</v>
      </c>
      <c r="J206" s="98">
        <f t="shared" si="52"/>
        <v>0</v>
      </c>
      <c r="K206" s="99">
        <v>50</v>
      </c>
      <c r="L206" s="100">
        <f t="shared" si="53"/>
        <v>0</v>
      </c>
      <c r="M206" s="100">
        <f t="shared" si="54"/>
        <v>0</v>
      </c>
      <c r="N206" s="100">
        <v>0</v>
      </c>
      <c r="O206" s="100">
        <f t="shared" si="55"/>
        <v>0</v>
      </c>
      <c r="P206" s="100">
        <f t="shared" si="56"/>
        <v>0</v>
      </c>
      <c r="Q206" s="124">
        <f t="shared" si="57"/>
        <v>0</v>
      </c>
      <c r="R206" s="114"/>
    </row>
    <row r="207" s="34" customFormat="1" ht="18" customHeight="1" spans="1:18">
      <c r="A207" s="61">
        <f>IF(F207&lt;&gt;"",1+MAX($A$2:A206),"")</f>
        <v>171</v>
      </c>
      <c r="B207" s="68"/>
      <c r="C207" s="147"/>
      <c r="D207" s="138" t="s">
        <v>981</v>
      </c>
      <c r="E207" s="76">
        <v>168</v>
      </c>
      <c r="F207" s="65">
        <v>0</v>
      </c>
      <c r="G207" s="66">
        <f t="shared" si="51"/>
        <v>168</v>
      </c>
      <c r="H207" s="70" t="s">
        <v>35</v>
      </c>
      <c r="I207" s="97">
        <v>0</v>
      </c>
      <c r="J207" s="98">
        <f t="shared" si="52"/>
        <v>0</v>
      </c>
      <c r="K207" s="99">
        <v>50</v>
      </c>
      <c r="L207" s="100">
        <f t="shared" si="53"/>
        <v>0</v>
      </c>
      <c r="M207" s="100">
        <f t="shared" si="54"/>
        <v>0</v>
      </c>
      <c r="N207" s="100">
        <v>0</v>
      </c>
      <c r="O207" s="100">
        <f t="shared" si="55"/>
        <v>0</v>
      </c>
      <c r="P207" s="100">
        <f t="shared" si="56"/>
        <v>0</v>
      </c>
      <c r="Q207" s="124">
        <f t="shared" si="57"/>
        <v>0</v>
      </c>
      <c r="R207" s="114"/>
    </row>
    <row r="208" s="34" customFormat="1" ht="18" customHeight="1" spans="1:18">
      <c r="A208" s="61">
        <f>IF(F208&lt;&gt;"",1+MAX($A$2:A207),"")</f>
        <v>172</v>
      </c>
      <c r="B208" s="68"/>
      <c r="C208" s="147"/>
      <c r="D208" s="138" t="s">
        <v>982</v>
      </c>
      <c r="E208" s="76">
        <v>212</v>
      </c>
      <c r="F208" s="65">
        <v>0</v>
      </c>
      <c r="G208" s="66">
        <f t="shared" si="51"/>
        <v>212</v>
      </c>
      <c r="H208" s="70" t="s">
        <v>35</v>
      </c>
      <c r="I208" s="97">
        <v>0</v>
      </c>
      <c r="J208" s="98">
        <f t="shared" si="52"/>
        <v>0</v>
      </c>
      <c r="K208" s="99">
        <v>50</v>
      </c>
      <c r="L208" s="100">
        <f t="shared" si="53"/>
        <v>0</v>
      </c>
      <c r="M208" s="100">
        <f t="shared" si="54"/>
        <v>0</v>
      </c>
      <c r="N208" s="100">
        <v>0</v>
      </c>
      <c r="O208" s="100">
        <f t="shared" si="55"/>
        <v>0</v>
      </c>
      <c r="P208" s="100">
        <f t="shared" si="56"/>
        <v>0</v>
      </c>
      <c r="Q208" s="124">
        <f t="shared" si="57"/>
        <v>0</v>
      </c>
      <c r="R208" s="114"/>
    </row>
    <row r="209" s="34" customFormat="1" ht="18" customHeight="1" spans="1:18">
      <c r="A209" s="67">
        <f>IF(F209&lt;&gt;"",1+MAX($A$2:A208),"")</f>
        <v>173</v>
      </c>
      <c r="B209" s="68"/>
      <c r="C209" s="147"/>
      <c r="D209" s="138" t="s">
        <v>983</v>
      </c>
      <c r="E209" s="76">
        <v>209</v>
      </c>
      <c r="F209" s="71">
        <v>0</v>
      </c>
      <c r="G209" s="66">
        <f t="shared" si="51"/>
        <v>209</v>
      </c>
      <c r="H209" s="70" t="s">
        <v>35</v>
      </c>
      <c r="I209" s="97">
        <v>0</v>
      </c>
      <c r="J209" s="98">
        <f t="shared" si="52"/>
        <v>0</v>
      </c>
      <c r="K209" s="99">
        <v>50</v>
      </c>
      <c r="L209" s="100">
        <f t="shared" si="53"/>
        <v>0</v>
      </c>
      <c r="M209" s="100">
        <f t="shared" si="54"/>
        <v>0</v>
      </c>
      <c r="N209" s="100">
        <v>0</v>
      </c>
      <c r="O209" s="100">
        <f t="shared" si="55"/>
        <v>0</v>
      </c>
      <c r="P209" s="100">
        <f t="shared" si="56"/>
        <v>0</v>
      </c>
      <c r="Q209" s="124">
        <f t="shared" si="57"/>
        <v>0</v>
      </c>
      <c r="R209" s="114"/>
    </row>
    <row r="210" s="34" customFormat="1" ht="18" customHeight="1" spans="1:18">
      <c r="A210" s="67">
        <f>IF(F210&lt;&gt;"",1+MAX($A$2:A209),"")</f>
        <v>174</v>
      </c>
      <c r="B210" s="68"/>
      <c r="C210" s="147"/>
      <c r="D210" s="138" t="s">
        <v>984</v>
      </c>
      <c r="E210" s="76">
        <v>144</v>
      </c>
      <c r="F210" s="71">
        <v>0</v>
      </c>
      <c r="G210" s="66">
        <f t="shared" si="51"/>
        <v>144</v>
      </c>
      <c r="H210" s="70" t="s">
        <v>35</v>
      </c>
      <c r="I210" s="97">
        <v>0</v>
      </c>
      <c r="J210" s="98">
        <f t="shared" si="52"/>
        <v>0</v>
      </c>
      <c r="K210" s="99">
        <v>50</v>
      </c>
      <c r="L210" s="100">
        <f t="shared" si="53"/>
        <v>0</v>
      </c>
      <c r="M210" s="100">
        <f t="shared" si="54"/>
        <v>0</v>
      </c>
      <c r="N210" s="100">
        <v>0</v>
      </c>
      <c r="O210" s="100">
        <f t="shared" si="55"/>
        <v>0</v>
      </c>
      <c r="P210" s="100">
        <f t="shared" si="56"/>
        <v>0</v>
      </c>
      <c r="Q210" s="124">
        <f t="shared" si="57"/>
        <v>0</v>
      </c>
      <c r="R210" s="114"/>
    </row>
    <row r="211" s="34" customFormat="1" ht="18" customHeight="1" spans="1:18">
      <c r="A211" s="67">
        <f>IF(F211&lt;&gt;"",1+MAX($A$2:A210),"")</f>
        <v>175</v>
      </c>
      <c r="B211" s="68"/>
      <c r="C211" s="147"/>
      <c r="D211" s="138" t="s">
        <v>985</v>
      </c>
      <c r="E211" s="76">
        <v>184</v>
      </c>
      <c r="F211" s="71">
        <v>0</v>
      </c>
      <c r="G211" s="66">
        <f t="shared" si="51"/>
        <v>184</v>
      </c>
      <c r="H211" s="70" t="s">
        <v>35</v>
      </c>
      <c r="I211" s="97">
        <v>0</v>
      </c>
      <c r="J211" s="98">
        <f t="shared" si="52"/>
        <v>0</v>
      </c>
      <c r="K211" s="99">
        <v>50</v>
      </c>
      <c r="L211" s="100">
        <f t="shared" si="53"/>
        <v>0</v>
      </c>
      <c r="M211" s="100">
        <f t="shared" si="54"/>
        <v>0</v>
      </c>
      <c r="N211" s="100">
        <v>0</v>
      </c>
      <c r="O211" s="100">
        <f t="shared" si="55"/>
        <v>0</v>
      </c>
      <c r="P211" s="100">
        <f t="shared" si="56"/>
        <v>0</v>
      </c>
      <c r="Q211" s="124">
        <f t="shared" si="57"/>
        <v>0</v>
      </c>
      <c r="R211" s="114"/>
    </row>
    <row r="212" s="34" customFormat="1" ht="18" customHeight="1" spans="1:18">
      <c r="A212" s="61">
        <f>IF(F212&lt;&gt;"",1+MAX($A$2:A211),"")</f>
        <v>176</v>
      </c>
      <c r="B212" s="68"/>
      <c r="C212" s="74"/>
      <c r="D212" s="138" t="s">
        <v>986</v>
      </c>
      <c r="E212" s="76">
        <v>105</v>
      </c>
      <c r="F212" s="65">
        <v>0</v>
      </c>
      <c r="G212" s="66">
        <f t="shared" si="51"/>
        <v>105</v>
      </c>
      <c r="H212" s="70" t="s">
        <v>35</v>
      </c>
      <c r="I212" s="97">
        <v>0</v>
      </c>
      <c r="J212" s="98">
        <f t="shared" si="52"/>
        <v>0</v>
      </c>
      <c r="K212" s="99">
        <v>50</v>
      </c>
      <c r="L212" s="100">
        <f t="shared" si="53"/>
        <v>0</v>
      </c>
      <c r="M212" s="100">
        <f t="shared" si="54"/>
        <v>0</v>
      </c>
      <c r="N212" s="100">
        <v>0</v>
      </c>
      <c r="O212" s="100">
        <f t="shared" si="55"/>
        <v>0</v>
      </c>
      <c r="P212" s="100">
        <f t="shared" si="56"/>
        <v>0</v>
      </c>
      <c r="Q212" s="124">
        <f t="shared" si="57"/>
        <v>0</v>
      </c>
      <c r="R212" s="114"/>
    </row>
    <row r="213" s="34" customFormat="1" ht="18" customHeight="1" spans="1:18">
      <c r="A213" s="61" t="str">
        <f>IF(F213&lt;&gt;"",1+MAX($A$2:A212),"")</f>
        <v/>
      </c>
      <c r="B213" s="62"/>
      <c r="C213" s="74"/>
      <c r="D213" s="138"/>
      <c r="E213" s="76"/>
      <c r="F213" s="65"/>
      <c r="G213" s="66"/>
      <c r="H213" s="70"/>
      <c r="I213" s="97"/>
      <c r="J213" s="98"/>
      <c r="K213" s="99"/>
      <c r="L213" s="100"/>
      <c r="M213" s="100"/>
      <c r="N213" s="100"/>
      <c r="O213" s="100"/>
      <c r="P213" s="100"/>
      <c r="Q213" s="124"/>
      <c r="R213" s="114"/>
    </row>
    <row r="214" s="34" customFormat="1" spans="1:18">
      <c r="A214" s="61" t="str">
        <f>IF(F214&lt;&gt;"",1+MAX($A$2:A213),"")</f>
        <v/>
      </c>
      <c r="B214" s="62"/>
      <c r="C214" s="74"/>
      <c r="D214" s="134" t="s">
        <v>643</v>
      </c>
      <c r="E214" s="76"/>
      <c r="F214" s="65"/>
      <c r="G214" s="66"/>
      <c r="H214" s="70"/>
      <c r="I214" s="97"/>
      <c r="J214" s="98"/>
      <c r="K214" s="99"/>
      <c r="L214" s="100"/>
      <c r="M214" s="100"/>
      <c r="N214" s="100"/>
      <c r="O214" s="100"/>
      <c r="P214" s="100"/>
      <c r="Q214" s="124"/>
      <c r="R214" s="114"/>
    </row>
    <row r="215" s="31" customFormat="1" ht="62.4" spans="1:18">
      <c r="A215" s="136">
        <f>IF(F215&lt;&gt;"",1+MAX($A$2:A214),"")</f>
        <v>177</v>
      </c>
      <c r="B215" s="148"/>
      <c r="C215" s="149" t="s">
        <v>987</v>
      </c>
      <c r="D215" s="150" t="s">
        <v>988</v>
      </c>
      <c r="E215" s="76">
        <v>1</v>
      </c>
      <c r="F215" s="65">
        <v>0</v>
      </c>
      <c r="G215" s="66">
        <f t="shared" ref="G215:G240" si="58">(F215*E215)+E215</f>
        <v>1</v>
      </c>
      <c r="H215" s="70" t="s">
        <v>35</v>
      </c>
      <c r="I215" s="97">
        <v>0</v>
      </c>
      <c r="J215" s="98">
        <f t="shared" ref="J215:J240" si="59">+I215*G215</f>
        <v>0</v>
      </c>
      <c r="K215" s="144">
        <v>50</v>
      </c>
      <c r="L215" s="100">
        <f t="shared" ref="L215:L240" si="60">I215*K215</f>
        <v>0</v>
      </c>
      <c r="M215" s="100">
        <f t="shared" ref="M215:M240" si="61">K215*J215</f>
        <v>0</v>
      </c>
      <c r="N215" s="100">
        <v>0</v>
      </c>
      <c r="O215" s="100">
        <f t="shared" ref="O215:O240" si="62">N215*G215</f>
        <v>0</v>
      </c>
      <c r="P215" s="100">
        <f t="shared" ref="P215:P240" si="63">(I215*K215)+N215</f>
        <v>0</v>
      </c>
      <c r="Q215" s="160">
        <f t="shared" ref="Q215:Q240" si="64">P215*G215</f>
        <v>0</v>
      </c>
      <c r="R215" s="118"/>
    </row>
    <row r="216" s="31" customFormat="1" ht="62.4" spans="1:18">
      <c r="A216" s="136">
        <f>IF(F216&lt;&gt;"",1+MAX($A$2:A215),"")</f>
        <v>178</v>
      </c>
      <c r="B216" s="148"/>
      <c r="C216" s="149" t="s">
        <v>989</v>
      </c>
      <c r="D216" s="150" t="s">
        <v>990</v>
      </c>
      <c r="E216" s="76">
        <v>1</v>
      </c>
      <c r="F216" s="65">
        <v>0</v>
      </c>
      <c r="G216" s="66">
        <f t="shared" si="58"/>
        <v>1</v>
      </c>
      <c r="H216" s="70" t="s">
        <v>35</v>
      </c>
      <c r="I216" s="97">
        <v>0</v>
      </c>
      <c r="J216" s="98">
        <f t="shared" si="59"/>
        <v>0</v>
      </c>
      <c r="K216" s="144">
        <v>50</v>
      </c>
      <c r="L216" s="100">
        <f t="shared" si="60"/>
        <v>0</v>
      </c>
      <c r="M216" s="100">
        <f t="shared" si="61"/>
        <v>0</v>
      </c>
      <c r="N216" s="100">
        <v>0</v>
      </c>
      <c r="O216" s="100">
        <f t="shared" si="62"/>
        <v>0</v>
      </c>
      <c r="P216" s="100">
        <f t="shared" si="63"/>
        <v>0</v>
      </c>
      <c r="Q216" s="160">
        <f t="shared" si="64"/>
        <v>0</v>
      </c>
      <c r="R216" s="118"/>
    </row>
    <row r="217" s="31" customFormat="1" ht="46.8" spans="1:18">
      <c r="A217" s="136">
        <f>IF(F217&lt;&gt;"",1+MAX($A$2:A216),"")</f>
        <v>179</v>
      </c>
      <c r="B217" s="148"/>
      <c r="C217" s="149" t="s">
        <v>991</v>
      </c>
      <c r="D217" s="150" t="s">
        <v>992</v>
      </c>
      <c r="E217" s="76">
        <v>1</v>
      </c>
      <c r="F217" s="65">
        <v>0</v>
      </c>
      <c r="G217" s="66">
        <f t="shared" si="58"/>
        <v>1</v>
      </c>
      <c r="H217" s="70" t="s">
        <v>35</v>
      </c>
      <c r="I217" s="97">
        <v>0</v>
      </c>
      <c r="J217" s="98">
        <f t="shared" si="59"/>
        <v>0</v>
      </c>
      <c r="K217" s="144">
        <v>50</v>
      </c>
      <c r="L217" s="100">
        <f t="shared" si="60"/>
        <v>0</v>
      </c>
      <c r="M217" s="100">
        <f t="shared" si="61"/>
        <v>0</v>
      </c>
      <c r="N217" s="100">
        <v>0</v>
      </c>
      <c r="O217" s="100">
        <f t="shared" si="62"/>
        <v>0</v>
      </c>
      <c r="P217" s="100">
        <f t="shared" si="63"/>
        <v>0</v>
      </c>
      <c r="Q217" s="160">
        <f t="shared" si="64"/>
        <v>0</v>
      </c>
      <c r="R217" s="118"/>
    </row>
    <row r="218" s="31" customFormat="1" ht="62.4" spans="1:18">
      <c r="A218" s="136">
        <f>IF(F218&lt;&gt;"",1+MAX($A$2:A217),"")</f>
        <v>180</v>
      </c>
      <c r="B218" s="148"/>
      <c r="C218" s="149" t="s">
        <v>993</v>
      </c>
      <c r="D218" s="150" t="s">
        <v>994</v>
      </c>
      <c r="E218" s="76">
        <v>1</v>
      </c>
      <c r="F218" s="65">
        <v>0</v>
      </c>
      <c r="G218" s="66">
        <f t="shared" si="58"/>
        <v>1</v>
      </c>
      <c r="H218" s="70" t="s">
        <v>35</v>
      </c>
      <c r="I218" s="97">
        <v>0</v>
      </c>
      <c r="J218" s="98">
        <f t="shared" si="59"/>
        <v>0</v>
      </c>
      <c r="K218" s="144">
        <v>50</v>
      </c>
      <c r="L218" s="100">
        <f t="shared" si="60"/>
        <v>0</v>
      </c>
      <c r="M218" s="100">
        <f t="shared" si="61"/>
        <v>0</v>
      </c>
      <c r="N218" s="100">
        <v>0</v>
      </c>
      <c r="O218" s="100">
        <f t="shared" si="62"/>
        <v>0</v>
      </c>
      <c r="P218" s="100">
        <f t="shared" si="63"/>
        <v>0</v>
      </c>
      <c r="Q218" s="160">
        <f t="shared" si="64"/>
        <v>0</v>
      </c>
      <c r="R218" s="118"/>
    </row>
    <row r="219" s="31" customFormat="1" ht="62.4" spans="1:18">
      <c r="A219" s="136">
        <f>IF(F219&lt;&gt;"",1+MAX($A$2:A218),"")</f>
        <v>181</v>
      </c>
      <c r="B219" s="148"/>
      <c r="C219" s="149" t="s">
        <v>995</v>
      </c>
      <c r="D219" s="150" t="s">
        <v>996</v>
      </c>
      <c r="E219" s="76">
        <v>1</v>
      </c>
      <c r="F219" s="65">
        <v>0</v>
      </c>
      <c r="G219" s="66">
        <f t="shared" si="58"/>
        <v>1</v>
      </c>
      <c r="H219" s="70" t="s">
        <v>35</v>
      </c>
      <c r="I219" s="97">
        <v>0</v>
      </c>
      <c r="J219" s="98">
        <f t="shared" si="59"/>
        <v>0</v>
      </c>
      <c r="K219" s="144">
        <v>50</v>
      </c>
      <c r="L219" s="100">
        <f t="shared" si="60"/>
        <v>0</v>
      </c>
      <c r="M219" s="100">
        <f t="shared" si="61"/>
        <v>0</v>
      </c>
      <c r="N219" s="100">
        <v>0</v>
      </c>
      <c r="O219" s="100">
        <f t="shared" si="62"/>
        <v>0</v>
      </c>
      <c r="P219" s="100">
        <f t="shared" si="63"/>
        <v>0</v>
      </c>
      <c r="Q219" s="160">
        <f t="shared" si="64"/>
        <v>0</v>
      </c>
      <c r="R219" s="118"/>
    </row>
    <row r="220" s="31" customFormat="1" ht="62.4" spans="1:18">
      <c r="A220" s="136">
        <f>IF(F220&lt;&gt;"",1+MAX($A$2:A219),"")</f>
        <v>182</v>
      </c>
      <c r="B220" s="148"/>
      <c r="C220" s="149" t="s">
        <v>997</v>
      </c>
      <c r="D220" s="150" t="s">
        <v>998</v>
      </c>
      <c r="E220" s="76">
        <v>1</v>
      </c>
      <c r="F220" s="65">
        <v>0</v>
      </c>
      <c r="G220" s="66">
        <f t="shared" si="58"/>
        <v>1</v>
      </c>
      <c r="H220" s="70" t="s">
        <v>35</v>
      </c>
      <c r="I220" s="97">
        <v>0</v>
      </c>
      <c r="J220" s="98">
        <f t="shared" si="59"/>
        <v>0</v>
      </c>
      <c r="K220" s="144">
        <v>50</v>
      </c>
      <c r="L220" s="100">
        <f t="shared" si="60"/>
        <v>0</v>
      </c>
      <c r="M220" s="100">
        <f t="shared" si="61"/>
        <v>0</v>
      </c>
      <c r="N220" s="100">
        <v>0</v>
      </c>
      <c r="O220" s="100">
        <f t="shared" si="62"/>
        <v>0</v>
      </c>
      <c r="P220" s="100">
        <f t="shared" si="63"/>
        <v>0</v>
      </c>
      <c r="Q220" s="160">
        <f t="shared" si="64"/>
        <v>0</v>
      </c>
      <c r="R220" s="118"/>
    </row>
    <row r="221" s="31" customFormat="1" ht="62.4" spans="1:18">
      <c r="A221" s="136">
        <f>IF(F221&lt;&gt;"",1+MAX($A$2:A220),"")</f>
        <v>183</v>
      </c>
      <c r="B221" s="148"/>
      <c r="C221" s="149" t="s">
        <v>674</v>
      </c>
      <c r="D221" s="150" t="s">
        <v>999</v>
      </c>
      <c r="E221" s="76">
        <v>1</v>
      </c>
      <c r="F221" s="65">
        <v>0</v>
      </c>
      <c r="G221" s="66">
        <f t="shared" si="58"/>
        <v>1</v>
      </c>
      <c r="H221" s="70" t="s">
        <v>35</v>
      </c>
      <c r="I221" s="97">
        <v>0</v>
      </c>
      <c r="J221" s="98">
        <f t="shared" si="59"/>
        <v>0</v>
      </c>
      <c r="K221" s="144">
        <v>50</v>
      </c>
      <c r="L221" s="100">
        <f t="shared" si="60"/>
        <v>0</v>
      </c>
      <c r="M221" s="100">
        <f t="shared" si="61"/>
        <v>0</v>
      </c>
      <c r="N221" s="100">
        <v>0</v>
      </c>
      <c r="O221" s="100">
        <f t="shared" si="62"/>
        <v>0</v>
      </c>
      <c r="P221" s="100">
        <f t="shared" si="63"/>
        <v>0</v>
      </c>
      <c r="Q221" s="160">
        <f t="shared" si="64"/>
        <v>0</v>
      </c>
      <c r="R221" s="118"/>
    </row>
    <row r="222" s="31" customFormat="1" ht="62.4" spans="1:18">
      <c r="A222" s="136">
        <f>IF(F222&lt;&gt;"",1+MAX($A$2:A221),"")</f>
        <v>184</v>
      </c>
      <c r="B222" s="148"/>
      <c r="C222" s="149" t="s">
        <v>1000</v>
      </c>
      <c r="D222" s="150" t="s">
        <v>1001</v>
      </c>
      <c r="E222" s="76">
        <v>1</v>
      </c>
      <c r="F222" s="65">
        <v>0</v>
      </c>
      <c r="G222" s="66">
        <f t="shared" si="58"/>
        <v>1</v>
      </c>
      <c r="H222" s="70" t="s">
        <v>35</v>
      </c>
      <c r="I222" s="97">
        <v>0</v>
      </c>
      <c r="J222" s="98">
        <f t="shared" si="59"/>
        <v>0</v>
      </c>
      <c r="K222" s="144">
        <v>50</v>
      </c>
      <c r="L222" s="100">
        <f t="shared" si="60"/>
        <v>0</v>
      </c>
      <c r="M222" s="100">
        <f t="shared" si="61"/>
        <v>0</v>
      </c>
      <c r="N222" s="100">
        <v>0</v>
      </c>
      <c r="O222" s="100">
        <f t="shared" si="62"/>
        <v>0</v>
      </c>
      <c r="P222" s="100">
        <f t="shared" si="63"/>
        <v>0</v>
      </c>
      <c r="Q222" s="160">
        <f t="shared" si="64"/>
        <v>0</v>
      </c>
      <c r="R222" s="118"/>
    </row>
    <row r="223" s="31" customFormat="1" spans="1:18">
      <c r="A223" s="136">
        <f>IF(F223&lt;&gt;"",1+MAX($A$2:A222),"")</f>
        <v>185</v>
      </c>
      <c r="B223" s="148"/>
      <c r="C223" s="148"/>
      <c r="D223" s="151" t="s">
        <v>753</v>
      </c>
      <c r="E223" s="76">
        <v>23</v>
      </c>
      <c r="F223" s="65">
        <v>0</v>
      </c>
      <c r="G223" s="66">
        <f t="shared" si="58"/>
        <v>23</v>
      </c>
      <c r="H223" s="70" t="s">
        <v>35</v>
      </c>
      <c r="I223" s="97">
        <v>0</v>
      </c>
      <c r="J223" s="98">
        <f t="shared" si="59"/>
        <v>0</v>
      </c>
      <c r="K223" s="144">
        <v>50</v>
      </c>
      <c r="L223" s="100">
        <f t="shared" si="60"/>
        <v>0</v>
      </c>
      <c r="M223" s="100">
        <f t="shared" si="61"/>
        <v>0</v>
      </c>
      <c r="N223" s="100">
        <v>0</v>
      </c>
      <c r="O223" s="100">
        <f t="shared" si="62"/>
        <v>0</v>
      </c>
      <c r="P223" s="100">
        <f t="shared" si="63"/>
        <v>0</v>
      </c>
      <c r="Q223" s="160">
        <f t="shared" si="64"/>
        <v>0</v>
      </c>
      <c r="R223" s="118"/>
    </row>
    <row r="224" s="31" customFormat="1" spans="1:18">
      <c r="A224" s="136">
        <f>IF(F224&lt;&gt;"",1+MAX($A$2:A223),"")</f>
        <v>186</v>
      </c>
      <c r="B224" s="148"/>
      <c r="C224" s="148"/>
      <c r="D224" s="151" t="s">
        <v>754</v>
      </c>
      <c r="E224" s="76">
        <v>164</v>
      </c>
      <c r="F224" s="65">
        <v>0</v>
      </c>
      <c r="G224" s="66">
        <f t="shared" si="58"/>
        <v>164</v>
      </c>
      <c r="H224" s="70" t="s">
        <v>35</v>
      </c>
      <c r="I224" s="97">
        <v>0</v>
      </c>
      <c r="J224" s="98">
        <f t="shared" si="59"/>
        <v>0</v>
      </c>
      <c r="K224" s="144">
        <v>50</v>
      </c>
      <c r="L224" s="100">
        <f t="shared" si="60"/>
        <v>0</v>
      </c>
      <c r="M224" s="100">
        <f t="shared" si="61"/>
        <v>0</v>
      </c>
      <c r="N224" s="100">
        <v>0</v>
      </c>
      <c r="O224" s="100">
        <f t="shared" si="62"/>
        <v>0</v>
      </c>
      <c r="P224" s="100">
        <f t="shared" si="63"/>
        <v>0</v>
      </c>
      <c r="Q224" s="160">
        <f t="shared" si="64"/>
        <v>0</v>
      </c>
      <c r="R224" s="118"/>
    </row>
    <row r="225" s="31" customFormat="1" spans="1:18">
      <c r="A225" s="136">
        <f>IF(F225&lt;&gt;"",1+MAX($A$2:A224),"")</f>
        <v>187</v>
      </c>
      <c r="B225" s="148"/>
      <c r="C225" s="148"/>
      <c r="D225" s="151" t="s">
        <v>754</v>
      </c>
      <c r="E225" s="76">
        <v>55</v>
      </c>
      <c r="F225" s="65">
        <v>0</v>
      </c>
      <c r="G225" s="66">
        <f t="shared" si="58"/>
        <v>55</v>
      </c>
      <c r="H225" s="70" t="s">
        <v>35</v>
      </c>
      <c r="I225" s="97">
        <v>0</v>
      </c>
      <c r="J225" s="98">
        <f t="shared" si="59"/>
        <v>0</v>
      </c>
      <c r="K225" s="144">
        <v>50</v>
      </c>
      <c r="L225" s="100">
        <f t="shared" si="60"/>
        <v>0</v>
      </c>
      <c r="M225" s="100">
        <f t="shared" si="61"/>
        <v>0</v>
      </c>
      <c r="N225" s="100">
        <v>0</v>
      </c>
      <c r="O225" s="100">
        <f t="shared" si="62"/>
        <v>0</v>
      </c>
      <c r="P225" s="100">
        <f t="shared" si="63"/>
        <v>0</v>
      </c>
      <c r="Q225" s="160">
        <f t="shared" si="64"/>
        <v>0</v>
      </c>
      <c r="R225" s="118"/>
    </row>
    <row r="226" s="31" customFormat="1" spans="1:18">
      <c r="A226" s="136">
        <f>IF(F226&lt;&gt;"",1+MAX($A$2:A225),"")</f>
        <v>188</v>
      </c>
      <c r="B226" s="148"/>
      <c r="C226" s="148"/>
      <c r="D226" s="151" t="s">
        <v>755</v>
      </c>
      <c r="E226" s="76">
        <v>8</v>
      </c>
      <c r="F226" s="65">
        <v>0</v>
      </c>
      <c r="G226" s="66">
        <f t="shared" si="58"/>
        <v>8</v>
      </c>
      <c r="H226" s="70" t="s">
        <v>35</v>
      </c>
      <c r="I226" s="97">
        <v>0</v>
      </c>
      <c r="J226" s="98">
        <f t="shared" si="59"/>
        <v>0</v>
      </c>
      <c r="K226" s="144">
        <v>50</v>
      </c>
      <c r="L226" s="100">
        <f t="shared" si="60"/>
        <v>0</v>
      </c>
      <c r="M226" s="100">
        <f t="shared" si="61"/>
        <v>0</v>
      </c>
      <c r="N226" s="100">
        <v>0</v>
      </c>
      <c r="O226" s="100">
        <f t="shared" si="62"/>
        <v>0</v>
      </c>
      <c r="P226" s="100">
        <f t="shared" si="63"/>
        <v>0</v>
      </c>
      <c r="Q226" s="160">
        <f t="shared" si="64"/>
        <v>0</v>
      </c>
      <c r="R226" s="118"/>
    </row>
    <row r="227" s="31" customFormat="1" spans="1:18">
      <c r="A227" s="136">
        <f>IF(F227&lt;&gt;"",1+MAX($A$2:A226),"")</f>
        <v>189</v>
      </c>
      <c r="B227" s="148"/>
      <c r="C227" s="148"/>
      <c r="D227" s="151" t="s">
        <v>756</v>
      </c>
      <c r="E227" s="76">
        <v>1</v>
      </c>
      <c r="F227" s="65">
        <v>0</v>
      </c>
      <c r="G227" s="66">
        <f t="shared" si="58"/>
        <v>1</v>
      </c>
      <c r="H227" s="70" t="s">
        <v>35</v>
      </c>
      <c r="I227" s="97">
        <v>0</v>
      </c>
      <c r="J227" s="98">
        <f t="shared" si="59"/>
        <v>0</v>
      </c>
      <c r="K227" s="144">
        <v>50</v>
      </c>
      <c r="L227" s="100">
        <f t="shared" si="60"/>
        <v>0</v>
      </c>
      <c r="M227" s="100">
        <f t="shared" si="61"/>
        <v>0</v>
      </c>
      <c r="N227" s="100">
        <v>0</v>
      </c>
      <c r="O227" s="100">
        <f t="shared" si="62"/>
        <v>0</v>
      </c>
      <c r="P227" s="100">
        <f t="shared" si="63"/>
        <v>0</v>
      </c>
      <c r="Q227" s="160">
        <f t="shared" si="64"/>
        <v>0</v>
      </c>
      <c r="R227" s="118"/>
    </row>
    <row r="228" s="31" customFormat="1" spans="1:18">
      <c r="A228" s="136">
        <f>IF(F228&lt;&gt;"",1+MAX($A$2:A227),"")</f>
        <v>190</v>
      </c>
      <c r="B228" s="148"/>
      <c r="C228" s="148"/>
      <c r="D228" s="151" t="s">
        <v>1002</v>
      </c>
      <c r="E228" s="76">
        <v>3</v>
      </c>
      <c r="F228" s="65">
        <v>0</v>
      </c>
      <c r="G228" s="66">
        <f t="shared" si="58"/>
        <v>3</v>
      </c>
      <c r="H228" s="70" t="s">
        <v>35</v>
      </c>
      <c r="I228" s="97">
        <v>0</v>
      </c>
      <c r="J228" s="98">
        <f t="shared" si="59"/>
        <v>0</v>
      </c>
      <c r="K228" s="144">
        <v>50</v>
      </c>
      <c r="L228" s="100">
        <f t="shared" si="60"/>
        <v>0</v>
      </c>
      <c r="M228" s="100">
        <f t="shared" si="61"/>
        <v>0</v>
      </c>
      <c r="N228" s="100">
        <v>0</v>
      </c>
      <c r="O228" s="100">
        <f t="shared" si="62"/>
        <v>0</v>
      </c>
      <c r="P228" s="100">
        <f t="shared" si="63"/>
        <v>0</v>
      </c>
      <c r="Q228" s="160">
        <f t="shared" si="64"/>
        <v>0</v>
      </c>
      <c r="R228" s="118"/>
    </row>
    <row r="229" s="31" customFormat="1" spans="1:18">
      <c r="A229" s="136">
        <f>IF(F229&lt;&gt;"",1+MAX($A$2:A228),"")</f>
        <v>191</v>
      </c>
      <c r="B229" s="148"/>
      <c r="C229" s="148"/>
      <c r="D229" s="151" t="s">
        <v>757</v>
      </c>
      <c r="E229" s="76">
        <v>1</v>
      </c>
      <c r="F229" s="65">
        <v>0</v>
      </c>
      <c r="G229" s="66">
        <f t="shared" si="58"/>
        <v>1</v>
      </c>
      <c r="H229" s="70" t="s">
        <v>35</v>
      </c>
      <c r="I229" s="97">
        <v>0</v>
      </c>
      <c r="J229" s="98">
        <f t="shared" si="59"/>
        <v>0</v>
      </c>
      <c r="K229" s="144">
        <v>50</v>
      </c>
      <c r="L229" s="100">
        <f t="shared" si="60"/>
        <v>0</v>
      </c>
      <c r="M229" s="100">
        <f t="shared" si="61"/>
        <v>0</v>
      </c>
      <c r="N229" s="100">
        <v>0</v>
      </c>
      <c r="O229" s="100">
        <f t="shared" si="62"/>
        <v>0</v>
      </c>
      <c r="P229" s="100">
        <f t="shared" si="63"/>
        <v>0</v>
      </c>
      <c r="Q229" s="160">
        <f t="shared" si="64"/>
        <v>0</v>
      </c>
      <c r="R229" s="118"/>
    </row>
    <row r="230" s="31" customFormat="1" spans="1:18">
      <c r="A230" s="136">
        <f>IF(F230&lt;&gt;"",1+MAX($A$2:A229),"")</f>
        <v>192</v>
      </c>
      <c r="B230" s="148"/>
      <c r="C230" s="148"/>
      <c r="D230" s="151" t="s">
        <v>1003</v>
      </c>
      <c r="E230" s="76">
        <v>1</v>
      </c>
      <c r="F230" s="65">
        <v>0</v>
      </c>
      <c r="G230" s="66">
        <f t="shared" si="58"/>
        <v>1</v>
      </c>
      <c r="H230" s="70" t="s">
        <v>35</v>
      </c>
      <c r="I230" s="97">
        <v>0</v>
      </c>
      <c r="J230" s="98">
        <f t="shared" si="59"/>
        <v>0</v>
      </c>
      <c r="K230" s="144">
        <v>50</v>
      </c>
      <c r="L230" s="100">
        <f t="shared" si="60"/>
        <v>0</v>
      </c>
      <c r="M230" s="100">
        <f t="shared" si="61"/>
        <v>0</v>
      </c>
      <c r="N230" s="100">
        <v>0</v>
      </c>
      <c r="O230" s="100">
        <f t="shared" si="62"/>
        <v>0</v>
      </c>
      <c r="P230" s="100">
        <f t="shared" si="63"/>
        <v>0</v>
      </c>
      <c r="Q230" s="160">
        <f t="shared" si="64"/>
        <v>0</v>
      </c>
      <c r="R230" s="118"/>
    </row>
    <row r="231" s="31" customFormat="1" spans="1:18">
      <c r="A231" s="136">
        <f>IF(F231&lt;&gt;"",1+MAX($A$2:A230),"")</f>
        <v>193</v>
      </c>
      <c r="B231" s="148"/>
      <c r="C231" s="148"/>
      <c r="D231" s="151" t="s">
        <v>1004</v>
      </c>
      <c r="E231" s="76">
        <v>1</v>
      </c>
      <c r="F231" s="65">
        <v>0</v>
      </c>
      <c r="G231" s="66">
        <f t="shared" si="58"/>
        <v>1</v>
      </c>
      <c r="H231" s="70" t="s">
        <v>35</v>
      </c>
      <c r="I231" s="97">
        <v>0</v>
      </c>
      <c r="J231" s="98">
        <f t="shared" si="59"/>
        <v>0</v>
      </c>
      <c r="K231" s="144">
        <v>50</v>
      </c>
      <c r="L231" s="100">
        <f t="shared" si="60"/>
        <v>0</v>
      </c>
      <c r="M231" s="100">
        <f t="shared" si="61"/>
        <v>0</v>
      </c>
      <c r="N231" s="100">
        <v>0</v>
      </c>
      <c r="O231" s="100">
        <f t="shared" si="62"/>
        <v>0</v>
      </c>
      <c r="P231" s="100">
        <f t="shared" si="63"/>
        <v>0</v>
      </c>
      <c r="Q231" s="160">
        <f t="shared" si="64"/>
        <v>0</v>
      </c>
      <c r="R231" s="118"/>
    </row>
    <row r="232" s="31" customFormat="1" spans="1:18">
      <c r="A232" s="136">
        <f>IF(F232&lt;&gt;"",1+MAX($A$2:A231),"")</f>
        <v>194</v>
      </c>
      <c r="B232" s="148"/>
      <c r="C232" s="148"/>
      <c r="D232" s="151" t="s">
        <v>1005</v>
      </c>
      <c r="E232" s="76">
        <v>3</v>
      </c>
      <c r="F232" s="65">
        <v>0</v>
      </c>
      <c r="G232" s="66">
        <f t="shared" si="58"/>
        <v>3</v>
      </c>
      <c r="H232" s="70" t="s">
        <v>35</v>
      </c>
      <c r="I232" s="97">
        <v>0</v>
      </c>
      <c r="J232" s="98">
        <f t="shared" si="59"/>
        <v>0</v>
      </c>
      <c r="K232" s="144">
        <v>50</v>
      </c>
      <c r="L232" s="100">
        <f t="shared" si="60"/>
        <v>0</v>
      </c>
      <c r="M232" s="100">
        <f t="shared" si="61"/>
        <v>0</v>
      </c>
      <c r="N232" s="100">
        <v>0</v>
      </c>
      <c r="O232" s="100">
        <f t="shared" si="62"/>
        <v>0</v>
      </c>
      <c r="P232" s="100">
        <f t="shared" si="63"/>
        <v>0</v>
      </c>
      <c r="Q232" s="160">
        <f t="shared" si="64"/>
        <v>0</v>
      </c>
      <c r="R232" s="118"/>
    </row>
    <row r="233" s="31" customFormat="1" spans="1:18">
      <c r="A233" s="136">
        <f>IF(F233&lt;&gt;"",1+MAX($A$2:A232),"")</f>
        <v>195</v>
      </c>
      <c r="B233" s="148"/>
      <c r="C233" s="148"/>
      <c r="D233" s="151" t="s">
        <v>1006</v>
      </c>
      <c r="E233" s="76">
        <v>3</v>
      </c>
      <c r="F233" s="65">
        <v>0</v>
      </c>
      <c r="G233" s="66">
        <f t="shared" si="58"/>
        <v>3</v>
      </c>
      <c r="H233" s="70" t="s">
        <v>35</v>
      </c>
      <c r="I233" s="97">
        <v>0</v>
      </c>
      <c r="J233" s="98">
        <f t="shared" si="59"/>
        <v>0</v>
      </c>
      <c r="K233" s="144">
        <v>50</v>
      </c>
      <c r="L233" s="100">
        <f t="shared" si="60"/>
        <v>0</v>
      </c>
      <c r="M233" s="100">
        <f t="shared" si="61"/>
        <v>0</v>
      </c>
      <c r="N233" s="100">
        <v>0</v>
      </c>
      <c r="O233" s="100">
        <f t="shared" si="62"/>
        <v>0</v>
      </c>
      <c r="P233" s="100">
        <f t="shared" si="63"/>
        <v>0</v>
      </c>
      <c r="Q233" s="160">
        <f t="shared" si="64"/>
        <v>0</v>
      </c>
      <c r="R233" s="118"/>
    </row>
    <row r="234" s="31" customFormat="1" spans="1:18">
      <c r="A234" s="136">
        <f>IF(F234&lt;&gt;"",1+MAX($A$2:A233),"")</f>
        <v>196</v>
      </c>
      <c r="B234" s="148"/>
      <c r="C234" s="148"/>
      <c r="D234" s="151" t="s">
        <v>764</v>
      </c>
      <c r="E234" s="76">
        <v>2</v>
      </c>
      <c r="F234" s="65">
        <v>0</v>
      </c>
      <c r="G234" s="66">
        <f t="shared" si="58"/>
        <v>2</v>
      </c>
      <c r="H234" s="70" t="s">
        <v>35</v>
      </c>
      <c r="I234" s="97">
        <v>0</v>
      </c>
      <c r="J234" s="98">
        <f t="shared" si="59"/>
        <v>0</v>
      </c>
      <c r="K234" s="144">
        <v>50</v>
      </c>
      <c r="L234" s="100">
        <f t="shared" si="60"/>
        <v>0</v>
      </c>
      <c r="M234" s="100">
        <f t="shared" si="61"/>
        <v>0</v>
      </c>
      <c r="N234" s="100">
        <v>0</v>
      </c>
      <c r="O234" s="100">
        <f t="shared" si="62"/>
        <v>0</v>
      </c>
      <c r="P234" s="100">
        <f t="shared" si="63"/>
        <v>0</v>
      </c>
      <c r="Q234" s="160">
        <f t="shared" si="64"/>
        <v>0</v>
      </c>
      <c r="R234" s="118"/>
    </row>
    <row r="235" s="31" customFormat="1" spans="1:18">
      <c r="A235" s="136">
        <f>IF(F235&lt;&gt;"",1+MAX($A$2:A234),"")</f>
        <v>197</v>
      </c>
      <c r="B235" s="148"/>
      <c r="C235" s="148"/>
      <c r="D235" s="151" t="s">
        <v>1007</v>
      </c>
      <c r="E235" s="76">
        <v>2</v>
      </c>
      <c r="F235" s="65">
        <v>0</v>
      </c>
      <c r="G235" s="66">
        <f t="shared" si="58"/>
        <v>2</v>
      </c>
      <c r="H235" s="70" t="s">
        <v>35</v>
      </c>
      <c r="I235" s="97">
        <v>0</v>
      </c>
      <c r="J235" s="98">
        <f t="shared" si="59"/>
        <v>0</v>
      </c>
      <c r="K235" s="144">
        <v>50</v>
      </c>
      <c r="L235" s="100">
        <f t="shared" si="60"/>
        <v>0</v>
      </c>
      <c r="M235" s="100">
        <f t="shared" si="61"/>
        <v>0</v>
      </c>
      <c r="N235" s="100">
        <v>0</v>
      </c>
      <c r="O235" s="100">
        <f t="shared" si="62"/>
        <v>0</v>
      </c>
      <c r="P235" s="100">
        <f t="shared" si="63"/>
        <v>0</v>
      </c>
      <c r="Q235" s="160">
        <f t="shared" si="64"/>
        <v>0</v>
      </c>
      <c r="R235" s="118"/>
    </row>
    <row r="236" s="31" customFormat="1" spans="1:18">
      <c r="A236" s="136">
        <f>IF(F236&lt;&gt;"",1+MAX($A$2:A235),"")</f>
        <v>198</v>
      </c>
      <c r="B236" s="148"/>
      <c r="C236" s="148"/>
      <c r="D236" s="151" t="s">
        <v>765</v>
      </c>
      <c r="E236" s="76">
        <v>6</v>
      </c>
      <c r="F236" s="65">
        <v>0</v>
      </c>
      <c r="G236" s="66">
        <f t="shared" si="58"/>
        <v>6</v>
      </c>
      <c r="H236" s="70" t="s">
        <v>35</v>
      </c>
      <c r="I236" s="97">
        <v>0</v>
      </c>
      <c r="J236" s="98">
        <f t="shared" si="59"/>
        <v>0</v>
      </c>
      <c r="K236" s="144">
        <v>50</v>
      </c>
      <c r="L236" s="100">
        <f t="shared" si="60"/>
        <v>0</v>
      </c>
      <c r="M236" s="100">
        <f t="shared" si="61"/>
        <v>0</v>
      </c>
      <c r="N236" s="100">
        <v>0</v>
      </c>
      <c r="O236" s="100">
        <f t="shared" si="62"/>
        <v>0</v>
      </c>
      <c r="P236" s="100">
        <f t="shared" si="63"/>
        <v>0</v>
      </c>
      <c r="Q236" s="160">
        <f t="shared" si="64"/>
        <v>0</v>
      </c>
      <c r="R236" s="118"/>
    </row>
    <row r="237" s="31" customFormat="1" spans="1:18">
      <c r="A237" s="136">
        <f>IF(F237&lt;&gt;"",1+MAX($A$2:A236),"")</f>
        <v>199</v>
      </c>
      <c r="B237" s="148"/>
      <c r="C237" s="148"/>
      <c r="D237" s="151" t="s">
        <v>1008</v>
      </c>
      <c r="E237" s="76">
        <v>3</v>
      </c>
      <c r="F237" s="65">
        <v>0</v>
      </c>
      <c r="G237" s="66">
        <f t="shared" si="58"/>
        <v>3</v>
      </c>
      <c r="H237" s="70" t="s">
        <v>35</v>
      </c>
      <c r="I237" s="97">
        <v>0</v>
      </c>
      <c r="J237" s="98">
        <f t="shared" si="59"/>
        <v>0</v>
      </c>
      <c r="K237" s="144">
        <v>50</v>
      </c>
      <c r="L237" s="100">
        <f t="shared" si="60"/>
        <v>0</v>
      </c>
      <c r="M237" s="100">
        <f t="shared" si="61"/>
        <v>0</v>
      </c>
      <c r="N237" s="100">
        <v>0</v>
      </c>
      <c r="O237" s="100">
        <f t="shared" si="62"/>
        <v>0</v>
      </c>
      <c r="P237" s="100">
        <f t="shared" si="63"/>
        <v>0</v>
      </c>
      <c r="Q237" s="160">
        <f t="shared" si="64"/>
        <v>0</v>
      </c>
      <c r="R237" s="118"/>
    </row>
    <row r="238" s="31" customFormat="1" spans="1:18">
      <c r="A238" s="136">
        <f>IF(F238&lt;&gt;"",1+MAX($A$2:A237),"")</f>
        <v>200</v>
      </c>
      <c r="B238" s="148"/>
      <c r="C238" s="148"/>
      <c r="D238" s="151" t="s">
        <v>760</v>
      </c>
      <c r="E238" s="76">
        <v>1</v>
      </c>
      <c r="F238" s="65">
        <v>0</v>
      </c>
      <c r="G238" s="66">
        <f t="shared" si="58"/>
        <v>1</v>
      </c>
      <c r="H238" s="70" t="s">
        <v>35</v>
      </c>
      <c r="I238" s="97">
        <v>0</v>
      </c>
      <c r="J238" s="98">
        <f t="shared" si="59"/>
        <v>0</v>
      </c>
      <c r="K238" s="144">
        <v>50</v>
      </c>
      <c r="L238" s="100">
        <f t="shared" si="60"/>
        <v>0</v>
      </c>
      <c r="M238" s="100">
        <f t="shared" si="61"/>
        <v>0</v>
      </c>
      <c r="N238" s="100">
        <v>0</v>
      </c>
      <c r="O238" s="100">
        <f t="shared" si="62"/>
        <v>0</v>
      </c>
      <c r="P238" s="100">
        <f t="shared" si="63"/>
        <v>0</v>
      </c>
      <c r="Q238" s="160">
        <f t="shared" si="64"/>
        <v>0</v>
      </c>
      <c r="R238" s="118"/>
    </row>
    <row r="239" s="31" customFormat="1" spans="1:18">
      <c r="A239" s="136">
        <f>IF(F239&lt;&gt;"",1+MAX($A$2:A238),"")</f>
        <v>201</v>
      </c>
      <c r="B239" s="148"/>
      <c r="C239" s="148"/>
      <c r="D239" s="151" t="s">
        <v>761</v>
      </c>
      <c r="E239" s="76">
        <v>2</v>
      </c>
      <c r="F239" s="65">
        <v>0</v>
      </c>
      <c r="G239" s="66">
        <f t="shared" si="58"/>
        <v>2</v>
      </c>
      <c r="H239" s="70" t="s">
        <v>35</v>
      </c>
      <c r="I239" s="97">
        <v>0</v>
      </c>
      <c r="J239" s="98">
        <f t="shared" si="59"/>
        <v>0</v>
      </c>
      <c r="K239" s="144">
        <v>50</v>
      </c>
      <c r="L239" s="100">
        <f t="shared" si="60"/>
        <v>0</v>
      </c>
      <c r="M239" s="100">
        <f t="shared" si="61"/>
        <v>0</v>
      </c>
      <c r="N239" s="100">
        <v>0</v>
      </c>
      <c r="O239" s="100">
        <f t="shared" si="62"/>
        <v>0</v>
      </c>
      <c r="P239" s="100">
        <f t="shared" si="63"/>
        <v>0</v>
      </c>
      <c r="Q239" s="160">
        <f t="shared" si="64"/>
        <v>0</v>
      </c>
      <c r="R239" s="118"/>
    </row>
    <row r="240" s="31" customFormat="1" spans="1:18">
      <c r="A240" s="136">
        <f>IF(F240&lt;&gt;"",1+MAX($A$2:A239),"")</f>
        <v>202</v>
      </c>
      <c r="B240" s="148"/>
      <c r="C240" s="148"/>
      <c r="D240" s="151" t="s">
        <v>762</v>
      </c>
      <c r="E240" s="76">
        <v>2</v>
      </c>
      <c r="F240" s="65">
        <v>0</v>
      </c>
      <c r="G240" s="66">
        <f t="shared" si="58"/>
        <v>2</v>
      </c>
      <c r="H240" s="70" t="s">
        <v>35</v>
      </c>
      <c r="I240" s="97">
        <v>0</v>
      </c>
      <c r="J240" s="98">
        <f t="shared" si="59"/>
        <v>0</v>
      </c>
      <c r="K240" s="144">
        <v>50</v>
      </c>
      <c r="L240" s="100">
        <f t="shared" si="60"/>
        <v>0</v>
      </c>
      <c r="M240" s="100">
        <f t="shared" si="61"/>
        <v>0</v>
      </c>
      <c r="N240" s="100">
        <v>0</v>
      </c>
      <c r="O240" s="100">
        <f t="shared" si="62"/>
        <v>0</v>
      </c>
      <c r="P240" s="100">
        <f t="shared" si="63"/>
        <v>0</v>
      </c>
      <c r="Q240" s="160">
        <f t="shared" si="64"/>
        <v>0</v>
      </c>
      <c r="R240" s="118"/>
    </row>
    <row r="241" s="34" customFormat="1" ht="18" customHeight="1" spans="1:18">
      <c r="A241" s="152" t="str">
        <f>IF(F241&lt;&gt;"",1+MAX($A$2:A240),"")</f>
        <v/>
      </c>
      <c r="B241" s="68"/>
      <c r="C241" s="68"/>
      <c r="D241" s="69"/>
      <c r="E241" s="70"/>
      <c r="F241" s="71"/>
      <c r="G241" s="72"/>
      <c r="H241" s="76"/>
      <c r="I241" s="101"/>
      <c r="J241" s="98"/>
      <c r="K241" s="99"/>
      <c r="L241" s="100"/>
      <c r="M241" s="100"/>
      <c r="N241" s="100"/>
      <c r="O241" s="100"/>
      <c r="P241" s="104"/>
      <c r="Q241" s="161"/>
      <c r="R241" s="114"/>
    </row>
    <row r="242" s="31" customFormat="1" ht="16.35" spans="1:18">
      <c r="A242" s="79" t="str">
        <f>IF(F242&lt;&gt;"",1+MAX($A$2:A241),"")</f>
        <v/>
      </c>
      <c r="B242" s="80"/>
      <c r="C242" s="153"/>
      <c r="D242" s="128" t="s">
        <v>31</v>
      </c>
      <c r="E242" s="83"/>
      <c r="F242" s="83"/>
      <c r="G242" s="83"/>
      <c r="H242" s="83"/>
      <c r="I242" s="83"/>
      <c r="J242" s="158"/>
      <c r="K242" s="158"/>
      <c r="L242" s="158"/>
      <c r="M242" s="158"/>
      <c r="N242" s="158"/>
      <c r="O242" s="105"/>
      <c r="P242" s="105"/>
      <c r="Q242" s="117">
        <f>SUM(Q172:Q240)</f>
        <v>0</v>
      </c>
      <c r="R242" s="118"/>
    </row>
    <row r="243" s="31" customFormat="1" spans="1:18">
      <c r="A243" s="154" t="str">
        <f>IF(F243&lt;&gt;"",1+MAX($A$2:A242),"")</f>
        <v/>
      </c>
      <c r="B243" s="86"/>
      <c r="C243" s="86"/>
      <c r="D243" s="85"/>
      <c r="E243" s="86"/>
      <c r="F243" s="86"/>
      <c r="G243" s="86"/>
      <c r="H243" s="86"/>
      <c r="I243" s="86"/>
      <c r="J243" s="86"/>
      <c r="K243" s="86"/>
      <c r="L243" s="86"/>
      <c r="M243" s="86"/>
      <c r="N243" s="86"/>
      <c r="O243" s="86"/>
      <c r="P243" s="86"/>
      <c r="Q243" s="162"/>
      <c r="R243" s="118"/>
    </row>
    <row r="244" s="33" customFormat="1" ht="17" customHeight="1" spans="1:19">
      <c r="A244" s="57" t="str">
        <f>IF(F244&lt;&gt;"",1+MAX($A$2:A243),"")</f>
        <v/>
      </c>
      <c r="B244" s="60">
        <v>28</v>
      </c>
      <c r="C244" s="60"/>
      <c r="D244" s="59" t="s">
        <v>179</v>
      </c>
      <c r="E244" s="60"/>
      <c r="F244" s="60"/>
      <c r="G244" s="60"/>
      <c r="H244" s="60"/>
      <c r="I244" s="60"/>
      <c r="J244" s="60"/>
      <c r="K244" s="60"/>
      <c r="L244" s="60"/>
      <c r="M244" s="60"/>
      <c r="N244" s="60"/>
      <c r="O244" s="60"/>
      <c r="P244" s="60"/>
      <c r="Q244" s="120"/>
      <c r="S244" s="121"/>
    </row>
    <row r="245" s="34" customFormat="1" ht="18" customHeight="1" spans="1:18">
      <c r="A245" s="67" t="str">
        <f>IF(F245&lt;&gt;"",1+MAX($A$2:A244),"")</f>
        <v/>
      </c>
      <c r="B245" s="73"/>
      <c r="C245" s="155"/>
      <c r="D245" s="138"/>
      <c r="E245" s="76"/>
      <c r="F245" s="71"/>
      <c r="G245" s="66"/>
      <c r="H245" s="76"/>
      <c r="I245" s="97"/>
      <c r="J245" s="98"/>
      <c r="K245" s="99"/>
      <c r="L245" s="100"/>
      <c r="M245" s="100"/>
      <c r="N245" s="100"/>
      <c r="O245" s="100"/>
      <c r="P245" s="100"/>
      <c r="Q245" s="124"/>
      <c r="R245" s="114"/>
    </row>
    <row r="246" s="34" customFormat="1" ht="18" customHeight="1" spans="1:18">
      <c r="A246" s="156" t="str">
        <f>IF(F246&lt;&gt;"",1+MAX($A$2:A245),"")</f>
        <v/>
      </c>
      <c r="B246" s="157"/>
      <c r="C246" s="157"/>
      <c r="D246" s="134" t="s">
        <v>180</v>
      </c>
      <c r="E246" s="76"/>
      <c r="F246" s="71"/>
      <c r="G246" s="66"/>
      <c r="H246" s="72"/>
      <c r="I246" s="72"/>
      <c r="J246" s="72"/>
      <c r="K246" s="159"/>
      <c r="L246" s="159"/>
      <c r="M246" s="159"/>
      <c r="N246" s="159"/>
      <c r="O246" s="159"/>
      <c r="P246" s="159"/>
      <c r="Q246" s="163"/>
      <c r="R246" s="114"/>
    </row>
    <row r="247" s="34" customFormat="1" spans="1:18">
      <c r="A247" s="61">
        <f>IF(F247&lt;&gt;"",1+MAX($A$2:A246),"")</f>
        <v>203</v>
      </c>
      <c r="B247" s="68"/>
      <c r="C247" s="68"/>
      <c r="D247" s="69" t="s">
        <v>782</v>
      </c>
      <c r="E247" s="70">
        <v>32</v>
      </c>
      <c r="F247" s="71">
        <v>0</v>
      </c>
      <c r="G247" s="66">
        <f t="shared" ref="G247:G259" si="65">(F247*E247)+E247</f>
        <v>32</v>
      </c>
      <c r="H247" s="70" t="s">
        <v>35</v>
      </c>
      <c r="I247" s="97">
        <v>0</v>
      </c>
      <c r="J247" s="98">
        <f t="shared" ref="J247:J259" si="66">+I247*G247</f>
        <v>0</v>
      </c>
      <c r="K247" s="99">
        <v>50</v>
      </c>
      <c r="L247" s="100">
        <f t="shared" ref="L247:L259" si="67">I247*K247</f>
        <v>0</v>
      </c>
      <c r="M247" s="100">
        <f t="shared" ref="M247:M259" si="68">K247*J247</f>
        <v>0</v>
      </c>
      <c r="N247" s="100">
        <v>0</v>
      </c>
      <c r="O247" s="100">
        <f t="shared" ref="O247:O259" si="69">N247*G247</f>
        <v>0</v>
      </c>
      <c r="P247" s="100">
        <f t="shared" ref="P247:P259" si="70">(I247*K247)+N247</f>
        <v>0</v>
      </c>
      <c r="Q247" s="124">
        <f t="shared" ref="Q247:Q259" si="71">P247*G247</f>
        <v>0</v>
      </c>
      <c r="R247" s="114"/>
    </row>
    <row r="248" s="34" customFormat="1" spans="1:18">
      <c r="A248" s="61">
        <f>IF(F248&lt;&gt;"",1+MAX($A$2:A247),"")</f>
        <v>204</v>
      </c>
      <c r="B248" s="68"/>
      <c r="C248" s="68"/>
      <c r="D248" s="69" t="s">
        <v>1009</v>
      </c>
      <c r="E248" s="70">
        <v>1</v>
      </c>
      <c r="F248" s="71">
        <v>0</v>
      </c>
      <c r="G248" s="66">
        <f t="shared" si="65"/>
        <v>1</v>
      </c>
      <c r="H248" s="70" t="s">
        <v>35</v>
      </c>
      <c r="I248" s="97">
        <v>0</v>
      </c>
      <c r="J248" s="98">
        <f t="shared" si="66"/>
        <v>0</v>
      </c>
      <c r="K248" s="99">
        <v>50</v>
      </c>
      <c r="L248" s="100">
        <f t="shared" si="67"/>
        <v>0</v>
      </c>
      <c r="M248" s="100">
        <f t="shared" si="68"/>
        <v>0</v>
      </c>
      <c r="N248" s="100">
        <v>0</v>
      </c>
      <c r="O248" s="100">
        <f t="shared" si="69"/>
        <v>0</v>
      </c>
      <c r="P248" s="100">
        <f t="shared" si="70"/>
        <v>0</v>
      </c>
      <c r="Q248" s="124">
        <f t="shared" si="71"/>
        <v>0</v>
      </c>
      <c r="R248" s="114"/>
    </row>
    <row r="249" s="34" customFormat="1" spans="1:18">
      <c r="A249" s="61">
        <f>IF(F249&lt;&gt;"",1+MAX($A$2:A248),"")</f>
        <v>205</v>
      </c>
      <c r="B249" s="68"/>
      <c r="C249" s="68"/>
      <c r="D249" s="69" t="s">
        <v>1010</v>
      </c>
      <c r="E249" s="70">
        <v>3</v>
      </c>
      <c r="F249" s="71">
        <v>0</v>
      </c>
      <c r="G249" s="66">
        <f t="shared" si="65"/>
        <v>3</v>
      </c>
      <c r="H249" s="70" t="s">
        <v>35</v>
      </c>
      <c r="I249" s="97">
        <v>0</v>
      </c>
      <c r="J249" s="98">
        <f t="shared" si="66"/>
        <v>0</v>
      </c>
      <c r="K249" s="99">
        <v>50</v>
      </c>
      <c r="L249" s="100">
        <f t="shared" si="67"/>
        <v>0</v>
      </c>
      <c r="M249" s="100">
        <f t="shared" si="68"/>
        <v>0</v>
      </c>
      <c r="N249" s="100">
        <v>0</v>
      </c>
      <c r="O249" s="100">
        <f t="shared" si="69"/>
        <v>0</v>
      </c>
      <c r="P249" s="100">
        <f t="shared" si="70"/>
        <v>0</v>
      </c>
      <c r="Q249" s="124">
        <f t="shared" si="71"/>
        <v>0</v>
      </c>
      <c r="R249" s="114"/>
    </row>
    <row r="250" s="34" customFormat="1" spans="1:18">
      <c r="A250" s="61">
        <f>IF(F250&lt;&gt;"",1+MAX($A$2:A249),"")</f>
        <v>206</v>
      </c>
      <c r="B250" s="68"/>
      <c r="C250" s="68"/>
      <c r="D250" s="69" t="s">
        <v>786</v>
      </c>
      <c r="E250" s="70">
        <v>11</v>
      </c>
      <c r="F250" s="71">
        <v>0</v>
      </c>
      <c r="G250" s="66">
        <f t="shared" si="65"/>
        <v>11</v>
      </c>
      <c r="H250" s="70" t="s">
        <v>35</v>
      </c>
      <c r="I250" s="97">
        <v>0</v>
      </c>
      <c r="J250" s="98">
        <f t="shared" si="66"/>
        <v>0</v>
      </c>
      <c r="K250" s="99">
        <v>50</v>
      </c>
      <c r="L250" s="100">
        <f t="shared" si="67"/>
        <v>0</v>
      </c>
      <c r="M250" s="100">
        <f t="shared" si="68"/>
        <v>0</v>
      </c>
      <c r="N250" s="100">
        <v>0</v>
      </c>
      <c r="O250" s="100">
        <f t="shared" si="69"/>
        <v>0</v>
      </c>
      <c r="P250" s="100">
        <f t="shared" si="70"/>
        <v>0</v>
      </c>
      <c r="Q250" s="124">
        <f t="shared" si="71"/>
        <v>0</v>
      </c>
      <c r="R250" s="114"/>
    </row>
    <row r="251" s="34" customFormat="1" spans="1:18">
      <c r="A251" s="61">
        <f>IF(F251&lt;&gt;"",1+MAX($A$2:A250),"")</f>
        <v>207</v>
      </c>
      <c r="B251" s="68"/>
      <c r="C251" s="68"/>
      <c r="D251" s="69" t="s">
        <v>793</v>
      </c>
      <c r="E251" s="70">
        <v>14</v>
      </c>
      <c r="F251" s="71">
        <v>0</v>
      </c>
      <c r="G251" s="66">
        <f t="shared" si="65"/>
        <v>14</v>
      </c>
      <c r="H251" s="70" t="s">
        <v>35</v>
      </c>
      <c r="I251" s="97">
        <v>0</v>
      </c>
      <c r="J251" s="98">
        <f t="shared" si="66"/>
        <v>0</v>
      </c>
      <c r="K251" s="99">
        <v>50</v>
      </c>
      <c r="L251" s="100">
        <f t="shared" si="67"/>
        <v>0</v>
      </c>
      <c r="M251" s="100">
        <f t="shared" si="68"/>
        <v>0</v>
      </c>
      <c r="N251" s="100">
        <v>0</v>
      </c>
      <c r="O251" s="100">
        <f t="shared" si="69"/>
        <v>0</v>
      </c>
      <c r="P251" s="100">
        <f t="shared" si="70"/>
        <v>0</v>
      </c>
      <c r="Q251" s="124">
        <f t="shared" si="71"/>
        <v>0</v>
      </c>
      <c r="R251" s="114"/>
    </row>
    <row r="252" s="34" customFormat="1" spans="1:18">
      <c r="A252" s="61">
        <f>IF(F252&lt;&gt;"",1+MAX($A$2:A251),"")</f>
        <v>208</v>
      </c>
      <c r="B252" s="68"/>
      <c r="C252" s="68"/>
      <c r="D252" s="69" t="s">
        <v>783</v>
      </c>
      <c r="E252" s="70">
        <v>28</v>
      </c>
      <c r="F252" s="71">
        <v>0</v>
      </c>
      <c r="G252" s="66">
        <f t="shared" si="65"/>
        <v>28</v>
      </c>
      <c r="H252" s="70" t="s">
        <v>35</v>
      </c>
      <c r="I252" s="97">
        <v>0</v>
      </c>
      <c r="J252" s="98">
        <f t="shared" si="66"/>
        <v>0</v>
      </c>
      <c r="K252" s="99">
        <v>50</v>
      </c>
      <c r="L252" s="100">
        <f t="shared" si="67"/>
        <v>0</v>
      </c>
      <c r="M252" s="100">
        <f t="shared" si="68"/>
        <v>0</v>
      </c>
      <c r="N252" s="100">
        <v>0</v>
      </c>
      <c r="O252" s="100">
        <f t="shared" si="69"/>
        <v>0</v>
      </c>
      <c r="P252" s="100">
        <f t="shared" si="70"/>
        <v>0</v>
      </c>
      <c r="Q252" s="124">
        <f t="shared" si="71"/>
        <v>0</v>
      </c>
      <c r="R252" s="114"/>
    </row>
    <row r="253" s="34" customFormat="1" spans="1:18">
      <c r="A253" s="61">
        <f>IF(F253&lt;&gt;"",1+MAX($A$2:A252),"")</f>
        <v>209</v>
      </c>
      <c r="B253" s="68"/>
      <c r="C253" s="68"/>
      <c r="D253" s="69" t="s">
        <v>1011</v>
      </c>
      <c r="E253" s="70">
        <v>2</v>
      </c>
      <c r="F253" s="71">
        <v>0</v>
      </c>
      <c r="G253" s="66">
        <f t="shared" si="65"/>
        <v>2</v>
      </c>
      <c r="H253" s="70" t="s">
        <v>35</v>
      </c>
      <c r="I253" s="97">
        <v>0</v>
      </c>
      <c r="J253" s="98">
        <f t="shared" si="66"/>
        <v>0</v>
      </c>
      <c r="K253" s="99">
        <v>50</v>
      </c>
      <c r="L253" s="100">
        <f t="shared" si="67"/>
        <v>0</v>
      </c>
      <c r="M253" s="100">
        <f t="shared" si="68"/>
        <v>0</v>
      </c>
      <c r="N253" s="100">
        <v>0</v>
      </c>
      <c r="O253" s="100">
        <f t="shared" si="69"/>
        <v>0</v>
      </c>
      <c r="P253" s="100">
        <f t="shared" si="70"/>
        <v>0</v>
      </c>
      <c r="Q253" s="124">
        <f t="shared" si="71"/>
        <v>0</v>
      </c>
      <c r="R253" s="114"/>
    </row>
    <row r="254" s="34" customFormat="1" spans="1:18">
      <c r="A254" s="61">
        <f>IF(F254&lt;&gt;"",1+MAX($A$2:A253),"")</f>
        <v>210</v>
      </c>
      <c r="B254" s="68"/>
      <c r="C254" s="68"/>
      <c r="D254" s="69" t="s">
        <v>787</v>
      </c>
      <c r="E254" s="70">
        <v>22</v>
      </c>
      <c r="F254" s="71">
        <v>0</v>
      </c>
      <c r="G254" s="66">
        <f t="shared" si="65"/>
        <v>22</v>
      </c>
      <c r="H254" s="70" t="s">
        <v>35</v>
      </c>
      <c r="I254" s="97">
        <v>0</v>
      </c>
      <c r="J254" s="98">
        <f t="shared" si="66"/>
        <v>0</v>
      </c>
      <c r="K254" s="99">
        <v>50</v>
      </c>
      <c r="L254" s="100">
        <f t="shared" si="67"/>
        <v>0</v>
      </c>
      <c r="M254" s="100">
        <f t="shared" si="68"/>
        <v>0</v>
      </c>
      <c r="N254" s="100">
        <v>0</v>
      </c>
      <c r="O254" s="100">
        <f t="shared" si="69"/>
        <v>0</v>
      </c>
      <c r="P254" s="100">
        <f t="shared" si="70"/>
        <v>0</v>
      </c>
      <c r="Q254" s="124">
        <f t="shared" si="71"/>
        <v>0</v>
      </c>
      <c r="R254" s="114"/>
    </row>
    <row r="255" s="34" customFormat="1" spans="1:18">
      <c r="A255" s="61">
        <f>IF(F255&lt;&gt;"",1+MAX($A$2:A254),"")</f>
        <v>211</v>
      </c>
      <c r="B255" s="68"/>
      <c r="C255" s="68"/>
      <c r="D255" s="69" t="s">
        <v>1012</v>
      </c>
      <c r="E255" s="70">
        <v>4</v>
      </c>
      <c r="F255" s="71">
        <v>0</v>
      </c>
      <c r="G255" s="66">
        <f t="shared" si="65"/>
        <v>4</v>
      </c>
      <c r="H255" s="70" t="s">
        <v>35</v>
      </c>
      <c r="I255" s="97">
        <v>0</v>
      </c>
      <c r="J255" s="98">
        <f t="shared" si="66"/>
        <v>0</v>
      </c>
      <c r="K255" s="99">
        <v>50</v>
      </c>
      <c r="L255" s="100">
        <f t="shared" si="67"/>
        <v>0</v>
      </c>
      <c r="M255" s="100">
        <f t="shared" si="68"/>
        <v>0</v>
      </c>
      <c r="N255" s="100">
        <v>0</v>
      </c>
      <c r="O255" s="100">
        <f t="shared" si="69"/>
        <v>0</v>
      </c>
      <c r="P255" s="100">
        <f t="shared" si="70"/>
        <v>0</v>
      </c>
      <c r="Q255" s="124">
        <f t="shared" si="71"/>
        <v>0</v>
      </c>
      <c r="R255" s="114"/>
    </row>
    <row r="256" s="34" customFormat="1" spans="1:18">
      <c r="A256" s="61">
        <f>IF(F256&lt;&gt;"",1+MAX($A$2:A255),"")</f>
        <v>212</v>
      </c>
      <c r="B256" s="68"/>
      <c r="C256" s="68"/>
      <c r="D256" s="69" t="s">
        <v>795</v>
      </c>
      <c r="E256" s="70">
        <v>2</v>
      </c>
      <c r="F256" s="71">
        <v>0</v>
      </c>
      <c r="G256" s="66">
        <f t="shared" si="65"/>
        <v>2</v>
      </c>
      <c r="H256" s="70" t="s">
        <v>35</v>
      </c>
      <c r="I256" s="97">
        <v>0</v>
      </c>
      <c r="J256" s="98">
        <f t="shared" si="66"/>
        <v>0</v>
      </c>
      <c r="K256" s="99">
        <v>50</v>
      </c>
      <c r="L256" s="100">
        <f t="shared" si="67"/>
        <v>0</v>
      </c>
      <c r="M256" s="100">
        <f t="shared" si="68"/>
        <v>0</v>
      </c>
      <c r="N256" s="100">
        <v>0</v>
      </c>
      <c r="O256" s="100">
        <f t="shared" si="69"/>
        <v>0</v>
      </c>
      <c r="P256" s="100">
        <f t="shared" si="70"/>
        <v>0</v>
      </c>
      <c r="Q256" s="124">
        <f t="shared" si="71"/>
        <v>0</v>
      </c>
      <c r="R256" s="114"/>
    </row>
    <row r="257" s="34" customFormat="1" spans="1:18">
      <c r="A257" s="61">
        <f>IF(F257&lt;&gt;"",1+MAX($A$2:A256),"")</f>
        <v>213</v>
      </c>
      <c r="B257" s="68"/>
      <c r="C257" s="68"/>
      <c r="D257" s="69" t="s">
        <v>1013</v>
      </c>
      <c r="E257" s="70">
        <v>3</v>
      </c>
      <c r="F257" s="71">
        <v>0</v>
      </c>
      <c r="G257" s="66">
        <f t="shared" si="65"/>
        <v>3</v>
      </c>
      <c r="H257" s="70" t="s">
        <v>35</v>
      </c>
      <c r="I257" s="97">
        <v>0</v>
      </c>
      <c r="J257" s="98">
        <f t="shared" si="66"/>
        <v>0</v>
      </c>
      <c r="K257" s="99">
        <v>50</v>
      </c>
      <c r="L257" s="100">
        <f t="shared" si="67"/>
        <v>0</v>
      </c>
      <c r="M257" s="100">
        <f t="shared" si="68"/>
        <v>0</v>
      </c>
      <c r="N257" s="100">
        <v>0</v>
      </c>
      <c r="O257" s="100">
        <f t="shared" si="69"/>
        <v>0</v>
      </c>
      <c r="P257" s="100">
        <f t="shared" si="70"/>
        <v>0</v>
      </c>
      <c r="Q257" s="124">
        <f t="shared" si="71"/>
        <v>0</v>
      </c>
      <c r="R257" s="114"/>
    </row>
    <row r="258" s="34" customFormat="1" spans="1:18">
      <c r="A258" s="61">
        <f>IF(F258&lt;&gt;"",1+MAX($A$2:A257),"")</f>
        <v>214</v>
      </c>
      <c r="B258" s="68"/>
      <c r="C258" s="68"/>
      <c r="D258" s="69" t="s">
        <v>1014</v>
      </c>
      <c r="E258" s="70">
        <v>2</v>
      </c>
      <c r="F258" s="71">
        <v>0</v>
      </c>
      <c r="G258" s="66">
        <f t="shared" si="65"/>
        <v>2</v>
      </c>
      <c r="H258" s="70" t="s">
        <v>35</v>
      </c>
      <c r="I258" s="97">
        <v>0</v>
      </c>
      <c r="J258" s="98">
        <f t="shared" si="66"/>
        <v>0</v>
      </c>
      <c r="K258" s="99">
        <v>50</v>
      </c>
      <c r="L258" s="100">
        <f t="shared" si="67"/>
        <v>0</v>
      </c>
      <c r="M258" s="100">
        <f t="shared" si="68"/>
        <v>0</v>
      </c>
      <c r="N258" s="100">
        <v>0</v>
      </c>
      <c r="O258" s="100">
        <f t="shared" si="69"/>
        <v>0</v>
      </c>
      <c r="P258" s="100">
        <f t="shared" si="70"/>
        <v>0</v>
      </c>
      <c r="Q258" s="124">
        <f t="shared" si="71"/>
        <v>0</v>
      </c>
      <c r="R258" s="114"/>
    </row>
    <row r="259" s="34" customFormat="1" spans="1:18">
      <c r="A259" s="61">
        <f>IF(F259&lt;&gt;"",1+MAX($A$2:A258),"")</f>
        <v>215</v>
      </c>
      <c r="B259" s="68"/>
      <c r="C259" s="68"/>
      <c r="D259" s="69" t="s">
        <v>785</v>
      </c>
      <c r="E259" s="70">
        <v>8</v>
      </c>
      <c r="F259" s="71">
        <v>0</v>
      </c>
      <c r="G259" s="66">
        <f t="shared" si="65"/>
        <v>8</v>
      </c>
      <c r="H259" s="70" t="s">
        <v>35</v>
      </c>
      <c r="I259" s="97">
        <v>0</v>
      </c>
      <c r="J259" s="98">
        <f t="shared" si="66"/>
        <v>0</v>
      </c>
      <c r="K259" s="99">
        <v>50</v>
      </c>
      <c r="L259" s="100">
        <f t="shared" si="67"/>
        <v>0</v>
      </c>
      <c r="M259" s="100">
        <f t="shared" si="68"/>
        <v>0</v>
      </c>
      <c r="N259" s="100">
        <v>0</v>
      </c>
      <c r="O259" s="100">
        <f t="shared" si="69"/>
        <v>0</v>
      </c>
      <c r="P259" s="100">
        <f t="shared" si="70"/>
        <v>0</v>
      </c>
      <c r="Q259" s="124">
        <f t="shared" si="71"/>
        <v>0</v>
      </c>
      <c r="R259" s="114"/>
    </row>
    <row r="260" s="33" customFormat="1" ht="17" customHeight="1" spans="1:36">
      <c r="A260" s="67" t="str">
        <f>IF(F260&lt;&gt;"",1+MAX($A$171:A259),"")</f>
        <v/>
      </c>
      <c r="B260" s="89"/>
      <c r="C260" s="89"/>
      <c r="D260" s="69"/>
      <c r="E260" s="72"/>
      <c r="F260" s="90"/>
      <c r="G260" s="91"/>
      <c r="H260" s="70"/>
      <c r="I260" s="97"/>
      <c r="J260" s="98"/>
      <c r="K260" s="99"/>
      <c r="L260" s="100"/>
      <c r="M260" s="139"/>
      <c r="N260" s="100"/>
      <c r="O260" s="100"/>
      <c r="P260" s="100"/>
      <c r="Q260" s="122"/>
      <c r="R260" s="123"/>
      <c r="S260" s="123"/>
      <c r="T260" s="123"/>
      <c r="U260" s="123"/>
      <c r="V260" s="123"/>
      <c r="W260" s="123"/>
      <c r="X260" s="123"/>
      <c r="Y260" s="123"/>
      <c r="Z260" s="123"/>
      <c r="AA260" s="123"/>
      <c r="AB260" s="123"/>
      <c r="AC260" s="123"/>
      <c r="AD260" s="123"/>
      <c r="AE260" s="123"/>
      <c r="AF260" s="123"/>
      <c r="AG260" s="123"/>
      <c r="AH260" s="123"/>
      <c r="AI260" s="123"/>
      <c r="AJ260" s="123"/>
    </row>
    <row r="261" s="33" customFormat="1" ht="15.75" customHeight="1" spans="1:19">
      <c r="A261" s="87" t="str">
        <f>IF(F261&lt;&gt;"",1+MAX($A$2:A170),"")</f>
        <v/>
      </c>
      <c r="B261" s="126"/>
      <c r="C261" s="127"/>
      <c r="D261" s="128" t="s">
        <v>31</v>
      </c>
      <c r="E261" s="129"/>
      <c r="F261" s="129"/>
      <c r="G261" s="130"/>
      <c r="H261" s="129"/>
      <c r="I261" s="129"/>
      <c r="J261" s="140"/>
      <c r="K261" s="140"/>
      <c r="L261" s="141"/>
      <c r="M261" s="142"/>
      <c r="N261" s="141"/>
      <c r="O261" s="141"/>
      <c r="P261" s="143"/>
      <c r="Q261" s="117">
        <f>SUM(Q246:Q259)</f>
        <v>0</v>
      </c>
      <c r="S261" s="121"/>
    </row>
    <row r="262" s="33" customFormat="1" ht="15.75" customHeight="1" spans="1:19">
      <c r="A262" s="131" t="str">
        <f>IF(F262&lt;&gt;"",1+MAX($A$2:A261),"")</f>
        <v/>
      </c>
      <c r="B262" s="132"/>
      <c r="C262" s="132"/>
      <c r="D262" s="133"/>
      <c r="E262" s="132"/>
      <c r="F262" s="132"/>
      <c r="G262" s="132"/>
      <c r="H262" s="132"/>
      <c r="I262" s="132"/>
      <c r="J262" s="132"/>
      <c r="K262" s="132"/>
      <c r="L262" s="132"/>
      <c r="M262" s="132"/>
      <c r="N262" s="132"/>
      <c r="O262" s="132"/>
      <c r="P262" s="132"/>
      <c r="Q262" s="145"/>
      <c r="S262" s="121"/>
    </row>
    <row r="263" s="35" customFormat="1" ht="31.2" spans="1:19">
      <c r="A263" s="164"/>
      <c r="B263" s="164"/>
      <c r="C263" s="164"/>
      <c r="D263" s="165"/>
      <c r="E263" s="164"/>
      <c r="F263" s="164"/>
      <c r="G263" s="164"/>
      <c r="H263" s="166" t="s">
        <v>185</v>
      </c>
      <c r="I263" s="190"/>
      <c r="J263" s="191">
        <f>SUM(J17:J262)</f>
        <v>0</v>
      </c>
      <c r="K263" s="192" t="s">
        <v>17</v>
      </c>
      <c r="L263" s="193"/>
      <c r="M263" s="194">
        <f>SUM(M17:M262)</f>
        <v>0</v>
      </c>
      <c r="N263" s="195" t="s">
        <v>19</v>
      </c>
      <c r="O263" s="196">
        <f>SUM(O17:O262)</f>
        <v>0</v>
      </c>
      <c r="P263" s="164"/>
      <c r="Q263" s="203"/>
      <c r="S263" s="204"/>
    </row>
    <row r="264" s="35" customFormat="1" spans="1:17">
      <c r="A264" s="167"/>
      <c r="B264" s="168"/>
      <c r="C264" s="168"/>
      <c r="D264" s="169" t="s">
        <v>186</v>
      </c>
      <c r="E264" s="170"/>
      <c r="F264" s="170"/>
      <c r="G264" s="171"/>
      <c r="H264" s="170"/>
      <c r="I264" s="170"/>
      <c r="J264" s="170"/>
      <c r="K264" s="170"/>
      <c r="L264" s="197"/>
      <c r="M264" s="197"/>
      <c r="N264" s="197"/>
      <c r="O264" s="197"/>
      <c r="P264" s="197"/>
      <c r="Q264" s="205">
        <f>SUM(Q8:Q262)/2</f>
        <v>0</v>
      </c>
    </row>
    <row r="265" s="35" customFormat="1" spans="1:36">
      <c r="A265" s="167"/>
      <c r="B265" s="172"/>
      <c r="C265" s="172"/>
      <c r="D265" s="173" t="s">
        <v>187</v>
      </c>
      <c r="E265" s="174"/>
      <c r="F265" s="168"/>
      <c r="G265" s="174"/>
      <c r="H265" s="168"/>
      <c r="I265" s="168"/>
      <c r="J265" s="168"/>
      <c r="K265" s="168"/>
      <c r="L265" s="198">
        <v>0.05</v>
      </c>
      <c r="M265" s="198"/>
      <c r="N265" s="198"/>
      <c r="O265" s="198"/>
      <c r="P265" s="198"/>
      <c r="Q265" s="205">
        <f>Q264*L265</f>
        <v>0</v>
      </c>
      <c r="R265" s="206"/>
      <c r="S265" s="206"/>
      <c r="T265" s="206"/>
      <c r="U265" s="206"/>
      <c r="V265" s="206"/>
      <c r="W265" s="206"/>
      <c r="X265" s="206"/>
      <c r="Y265" s="206"/>
      <c r="Z265" s="206"/>
      <c r="AA265" s="206"/>
      <c r="AB265" s="206"/>
      <c r="AC265" s="206"/>
      <c r="AD265" s="206"/>
      <c r="AE265" s="206"/>
      <c r="AF265" s="206"/>
      <c r="AG265" s="206"/>
      <c r="AH265" s="206"/>
      <c r="AI265" s="206"/>
      <c r="AJ265" s="206"/>
    </row>
    <row r="266" s="35" customFormat="1" spans="1:36">
      <c r="A266" s="175"/>
      <c r="B266" s="176"/>
      <c r="C266" s="176"/>
      <c r="D266" s="177" t="s">
        <v>797</v>
      </c>
      <c r="E266" s="178"/>
      <c r="F266" s="179"/>
      <c r="G266" s="178"/>
      <c r="H266" s="179"/>
      <c r="I266" s="179"/>
      <c r="J266" s="179"/>
      <c r="K266" s="179"/>
      <c r="L266" s="199">
        <v>0.15</v>
      </c>
      <c r="M266" s="199"/>
      <c r="N266" s="199"/>
      <c r="O266" s="199"/>
      <c r="P266" s="199"/>
      <c r="Q266" s="207">
        <f>Q264*L266</f>
        <v>0</v>
      </c>
      <c r="R266" s="206"/>
      <c r="S266" s="206"/>
      <c r="T266" s="206"/>
      <c r="U266" s="206"/>
      <c r="V266" s="206"/>
      <c r="W266" s="206"/>
      <c r="X266" s="206"/>
      <c r="Y266" s="206"/>
      <c r="Z266" s="206"/>
      <c r="AA266" s="206"/>
      <c r="AB266" s="206"/>
      <c r="AC266" s="206"/>
      <c r="AD266" s="206"/>
      <c r="AE266" s="206"/>
      <c r="AF266" s="206"/>
      <c r="AG266" s="206"/>
      <c r="AH266" s="206"/>
      <c r="AI266" s="206"/>
      <c r="AJ266" s="206"/>
    </row>
    <row r="267" s="35" customFormat="1" spans="1:36">
      <c r="A267" s="180"/>
      <c r="B267" s="181"/>
      <c r="C267" s="181"/>
      <c r="D267" s="182" t="s">
        <v>190</v>
      </c>
      <c r="E267" s="183"/>
      <c r="F267" s="184"/>
      <c r="G267" s="183"/>
      <c r="H267" s="184"/>
      <c r="I267" s="184"/>
      <c r="J267" s="184"/>
      <c r="K267" s="184"/>
      <c r="L267" s="200">
        <v>0.085</v>
      </c>
      <c r="M267" s="200"/>
      <c r="N267" s="200"/>
      <c r="O267" s="200"/>
      <c r="P267" s="200"/>
      <c r="Q267" s="208">
        <f>Q264*L267</f>
        <v>0</v>
      </c>
      <c r="R267" s="206"/>
      <c r="S267" s="206"/>
      <c r="T267" s="206"/>
      <c r="U267" s="206"/>
      <c r="V267" s="206"/>
      <c r="W267" s="206"/>
      <c r="X267" s="206"/>
      <c r="Y267" s="206"/>
      <c r="Z267" s="206"/>
      <c r="AA267" s="206"/>
      <c r="AB267" s="206"/>
      <c r="AC267" s="206"/>
      <c r="AD267" s="206"/>
      <c r="AE267" s="206"/>
      <c r="AF267" s="206"/>
      <c r="AG267" s="206"/>
      <c r="AH267" s="206"/>
      <c r="AI267" s="206"/>
      <c r="AJ267" s="206"/>
    </row>
    <row r="268" s="35" customFormat="1" spans="1:36">
      <c r="A268" s="180"/>
      <c r="B268" s="181"/>
      <c r="C268" s="181"/>
      <c r="D268" s="182" t="s">
        <v>191</v>
      </c>
      <c r="E268" s="183"/>
      <c r="F268" s="184"/>
      <c r="G268" s="183"/>
      <c r="H268" s="184"/>
      <c r="I268" s="184"/>
      <c r="J268" s="184"/>
      <c r="K268" s="184"/>
      <c r="L268" s="201">
        <v>0.015</v>
      </c>
      <c r="M268" s="201"/>
      <c r="N268" s="201"/>
      <c r="O268" s="201"/>
      <c r="P268" s="201"/>
      <c r="Q268" s="208">
        <f>Q264*L268</f>
        <v>0</v>
      </c>
      <c r="R268" s="206"/>
      <c r="S268" s="206"/>
      <c r="T268" s="206"/>
      <c r="U268" s="206"/>
      <c r="V268" s="206"/>
      <c r="W268" s="206"/>
      <c r="X268" s="206"/>
      <c r="Y268" s="206"/>
      <c r="Z268" s="206"/>
      <c r="AA268" s="206"/>
      <c r="AB268" s="206"/>
      <c r="AC268" s="206"/>
      <c r="AD268" s="206"/>
      <c r="AE268" s="206"/>
      <c r="AF268" s="206"/>
      <c r="AG268" s="206"/>
      <c r="AH268" s="206"/>
      <c r="AI268" s="206"/>
      <c r="AJ268" s="206"/>
    </row>
    <row r="269" s="35" customFormat="1" ht="16.35" spans="1:17">
      <c r="A269" s="185"/>
      <c r="B269" s="186"/>
      <c r="C269" s="186"/>
      <c r="D269" s="187" t="s">
        <v>192</v>
      </c>
      <c r="E269" s="188"/>
      <c r="F269" s="188"/>
      <c r="G269" s="189"/>
      <c r="H269" s="188"/>
      <c r="I269" s="188"/>
      <c r="J269" s="188"/>
      <c r="K269" s="188"/>
      <c r="L269" s="202"/>
      <c r="M269" s="202"/>
      <c r="N269" s="202"/>
      <c r="O269" s="202"/>
      <c r="P269" s="202"/>
      <c r="Q269" s="209">
        <f>SUM(Q264:Q268)</f>
        <v>0</v>
      </c>
    </row>
  </sheetData>
  <mergeCells count="4">
    <mergeCell ref="A2:Q2"/>
    <mergeCell ref="H263:I263"/>
    <mergeCell ref="K263:L263"/>
    <mergeCell ref="Q8:Q14"/>
  </mergeCells>
  <printOptions horizontalCentered="1"/>
  <pageMargins left="0.7" right="0.7" top="0.75" bottom="0.75" header="0.3" footer="0.3"/>
  <pageSetup paperSize="9" scale="36" fitToHeight="0" orientation="portrait"/>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H52"/>
  <sheetViews>
    <sheetView topLeftCell="A33" workbookViewId="0">
      <selection activeCell="E45" sqref="E45"/>
    </sheetView>
  </sheetViews>
  <sheetFormatPr defaultColWidth="9.10833333333333" defaultRowHeight="14.4" outlineLevelCol="7"/>
  <cols>
    <col min="1" max="1" width="26.8833333333333" style="1" customWidth="1"/>
    <col min="2" max="2" width="19.6666666666667" style="2" customWidth="1"/>
    <col min="3" max="3" width="20.5583333333333" style="2" customWidth="1"/>
    <col min="4" max="16384" width="9.10833333333333" style="2"/>
  </cols>
  <sheetData>
    <row r="1" ht="16.35" spans="1:3">
      <c r="A1" s="3"/>
      <c r="B1" s="4" t="s">
        <v>1015</v>
      </c>
      <c r="C1" s="5" t="s">
        <v>1016</v>
      </c>
    </row>
    <row r="2" ht="15.6" spans="1:3">
      <c r="A2" s="6"/>
      <c r="B2" s="7"/>
      <c r="C2" s="8"/>
    </row>
    <row r="3" ht="15.6" spans="1:3">
      <c r="A3" s="9" t="s">
        <v>1017</v>
      </c>
      <c r="B3" s="10" t="s">
        <v>1018</v>
      </c>
      <c r="C3" s="11">
        <v>60</v>
      </c>
    </row>
    <row r="4" ht="15.6" spans="1:3">
      <c r="A4" s="9" t="s">
        <v>1019</v>
      </c>
      <c r="B4" s="10" t="s">
        <v>1020</v>
      </c>
      <c r="C4" s="11">
        <v>70</v>
      </c>
    </row>
    <row r="5" ht="15.6" spans="1:3">
      <c r="A5" s="9" t="s">
        <v>1021</v>
      </c>
      <c r="B5" s="10" t="s">
        <v>1022</v>
      </c>
      <c r="C5" s="11">
        <v>70</v>
      </c>
    </row>
    <row r="6" ht="15.6" spans="1:3">
      <c r="A6" s="9" t="s">
        <v>1023</v>
      </c>
      <c r="B6" s="10" t="s">
        <v>1024</v>
      </c>
      <c r="C6" s="11">
        <v>70</v>
      </c>
    </row>
    <row r="7" ht="15.6" spans="1:3">
      <c r="A7" s="9" t="s">
        <v>1025</v>
      </c>
      <c r="B7" s="10" t="s">
        <v>1026</v>
      </c>
      <c r="C7" s="11">
        <v>60</v>
      </c>
    </row>
    <row r="8" ht="15.6" spans="1:3">
      <c r="A8" s="9" t="s">
        <v>1027</v>
      </c>
      <c r="B8" s="10" t="s">
        <v>1027</v>
      </c>
      <c r="C8" s="11">
        <v>60</v>
      </c>
    </row>
    <row r="9" ht="15.6" spans="1:3">
      <c r="A9" s="9" t="s">
        <v>1028</v>
      </c>
      <c r="B9" s="10" t="s">
        <v>1028</v>
      </c>
      <c r="C9" s="11">
        <v>55</v>
      </c>
    </row>
    <row r="10" ht="15.6" spans="1:3">
      <c r="A10" s="9" t="s">
        <v>1029</v>
      </c>
      <c r="B10" s="10" t="s">
        <v>1030</v>
      </c>
      <c r="C10" s="11">
        <v>50</v>
      </c>
    </row>
    <row r="11" ht="15.6" spans="1:3">
      <c r="A11" s="9" t="s">
        <v>1031</v>
      </c>
      <c r="B11" s="10" t="s">
        <v>1032</v>
      </c>
      <c r="C11" s="11">
        <v>60</v>
      </c>
    </row>
    <row r="12" ht="15.6" spans="1:3">
      <c r="A12" s="9" t="s">
        <v>1033</v>
      </c>
      <c r="B12" s="10" t="s">
        <v>1034</v>
      </c>
      <c r="C12" s="11">
        <v>70</v>
      </c>
    </row>
    <row r="13" ht="15.6" spans="1:3">
      <c r="A13" s="9" t="s">
        <v>1035</v>
      </c>
      <c r="B13" s="10" t="s">
        <v>1036</v>
      </c>
      <c r="C13" s="11">
        <v>70</v>
      </c>
    </row>
    <row r="14" ht="15.6" spans="1:3">
      <c r="A14" s="9" t="s">
        <v>1037</v>
      </c>
      <c r="B14" s="10" t="s">
        <v>1038</v>
      </c>
      <c r="C14" s="11">
        <v>70</v>
      </c>
    </row>
    <row r="15" ht="15.6" spans="1:3">
      <c r="A15" s="9" t="s">
        <v>1039</v>
      </c>
      <c r="B15" s="10" t="s">
        <v>1040</v>
      </c>
      <c r="C15" s="11">
        <v>70</v>
      </c>
    </row>
    <row r="16" ht="15.6" spans="1:3">
      <c r="A16" s="9" t="s">
        <v>1041</v>
      </c>
      <c r="B16" s="10" t="s">
        <v>1042</v>
      </c>
      <c r="C16" s="11">
        <v>85</v>
      </c>
    </row>
    <row r="17" ht="15.6" spans="1:3">
      <c r="A17" s="9" t="s">
        <v>1043</v>
      </c>
      <c r="B17" s="10" t="s">
        <v>1044</v>
      </c>
      <c r="C17" s="11">
        <v>65</v>
      </c>
    </row>
    <row r="18" ht="15.6" spans="1:3">
      <c r="A18" s="9" t="s">
        <v>1045</v>
      </c>
      <c r="B18" s="10" t="s">
        <v>1045</v>
      </c>
      <c r="C18" s="12">
        <v>45</v>
      </c>
    </row>
    <row r="19" ht="16.35" spans="1:3">
      <c r="A19" s="13"/>
      <c r="B19" s="14"/>
      <c r="C19" s="15"/>
    </row>
    <row r="20" ht="15.15" spans="1:3">
      <c r="A20" s="3"/>
      <c r="B20" s="3"/>
      <c r="C20" s="3"/>
    </row>
    <row r="21" ht="15.15" spans="1:3">
      <c r="A21" s="16" t="s">
        <v>1046</v>
      </c>
      <c r="B21" s="17">
        <v>0</v>
      </c>
      <c r="C21" s="3"/>
    </row>
    <row r="22" ht="15.15" spans="1:3">
      <c r="A22" s="3"/>
      <c r="B22" s="3"/>
      <c r="C22" s="3"/>
    </row>
    <row r="23" ht="16.35" spans="1:3">
      <c r="A23" s="3"/>
      <c r="B23" s="18" t="s">
        <v>10</v>
      </c>
      <c r="C23" s="19"/>
    </row>
    <row r="24" ht="15.6" spans="1:3">
      <c r="A24" s="20" t="s">
        <v>1047</v>
      </c>
      <c r="B24" s="21" t="s">
        <v>35</v>
      </c>
      <c r="C24" s="22">
        <v>0</v>
      </c>
    </row>
    <row r="25" ht="15.6" spans="1:3">
      <c r="A25" s="23" t="s">
        <v>1048</v>
      </c>
      <c r="B25" s="24" t="s">
        <v>37</v>
      </c>
      <c r="C25" s="25">
        <v>0.05</v>
      </c>
    </row>
    <row r="26" ht="15.6" spans="1:3">
      <c r="A26" s="23" t="s">
        <v>1049</v>
      </c>
      <c r="B26" s="24" t="s">
        <v>329</v>
      </c>
      <c r="C26" s="25">
        <v>0.1</v>
      </c>
    </row>
    <row r="27" ht="15.6" spans="1:3">
      <c r="A27" s="23" t="s">
        <v>1050</v>
      </c>
      <c r="B27" s="24" t="s">
        <v>1051</v>
      </c>
      <c r="C27" s="25">
        <v>0.1</v>
      </c>
    </row>
    <row r="28" ht="15.6" spans="1:3">
      <c r="A28" s="23" t="s">
        <v>1052</v>
      </c>
      <c r="B28" s="24" t="s">
        <v>1053</v>
      </c>
      <c r="C28" s="25">
        <v>0.1</v>
      </c>
    </row>
    <row r="29" ht="15.6" spans="1:3">
      <c r="A29" s="23" t="s">
        <v>1054</v>
      </c>
      <c r="B29" s="24" t="s">
        <v>24</v>
      </c>
      <c r="C29" s="25">
        <v>0</v>
      </c>
    </row>
    <row r="30" ht="15.6" spans="1:3">
      <c r="A30" s="23" t="s">
        <v>1055</v>
      </c>
      <c r="B30" s="24" t="s">
        <v>1056</v>
      </c>
      <c r="C30" s="25">
        <v>0</v>
      </c>
    </row>
    <row r="31" ht="15.6" spans="1:3">
      <c r="A31" s="23" t="s">
        <v>1057</v>
      </c>
      <c r="B31" s="24" t="s">
        <v>1058</v>
      </c>
      <c r="C31" s="25">
        <v>0</v>
      </c>
    </row>
    <row r="32" ht="15.6" spans="1:3">
      <c r="A32" s="23" t="s">
        <v>1059</v>
      </c>
      <c r="B32" s="24" t="s">
        <v>1060</v>
      </c>
      <c r="C32" s="25">
        <v>0</v>
      </c>
    </row>
    <row r="33" ht="15.6" spans="1:3">
      <c r="A33" s="23" t="s">
        <v>1061</v>
      </c>
      <c r="B33" s="24" t="s">
        <v>1062</v>
      </c>
      <c r="C33" s="25">
        <v>0</v>
      </c>
    </row>
    <row r="34" ht="15.6" spans="1:3">
      <c r="A34" s="23" t="s">
        <v>1063</v>
      </c>
      <c r="B34" s="24" t="s">
        <v>1064</v>
      </c>
      <c r="C34" s="25">
        <v>0.1</v>
      </c>
    </row>
    <row r="35" ht="15.6" spans="1:3">
      <c r="A35" s="23" t="s">
        <v>1065</v>
      </c>
      <c r="B35" s="24" t="s">
        <v>1066</v>
      </c>
      <c r="C35" s="25">
        <v>0.1</v>
      </c>
    </row>
    <row r="36" ht="15.6" spans="1:3">
      <c r="A36" s="23" t="s">
        <v>1067</v>
      </c>
      <c r="B36" s="24" t="s">
        <v>1068</v>
      </c>
      <c r="C36" s="25">
        <v>0</v>
      </c>
    </row>
    <row r="37" ht="15.6" spans="1:3">
      <c r="A37" s="23" t="s">
        <v>1069</v>
      </c>
      <c r="B37" s="24" t="s">
        <v>1070</v>
      </c>
      <c r="C37" s="25">
        <v>0</v>
      </c>
    </row>
    <row r="38" ht="15.6" spans="1:3">
      <c r="A38" s="23" t="s">
        <v>1071</v>
      </c>
      <c r="B38" s="24" t="s">
        <v>1071</v>
      </c>
      <c r="C38" s="25">
        <v>0.1</v>
      </c>
    </row>
    <row r="39" ht="15.6" spans="1:3">
      <c r="A39" s="23" t="s">
        <v>1072</v>
      </c>
      <c r="B39" s="24" t="s">
        <v>1073</v>
      </c>
      <c r="C39" s="25">
        <v>0</v>
      </c>
    </row>
    <row r="40" ht="15.6" spans="1:3">
      <c r="A40" s="23" t="s">
        <v>1074</v>
      </c>
      <c r="B40" s="24" t="s">
        <v>1075</v>
      </c>
      <c r="C40" s="25">
        <v>0</v>
      </c>
    </row>
    <row r="41" ht="15.6" spans="1:3">
      <c r="A41" s="23" t="s">
        <v>1076</v>
      </c>
      <c r="B41" s="24" t="s">
        <v>1077</v>
      </c>
      <c r="C41" s="25">
        <v>0</v>
      </c>
    </row>
    <row r="42" ht="15.6" spans="1:3">
      <c r="A42" s="23" t="s">
        <v>1067</v>
      </c>
      <c r="B42" s="24" t="s">
        <v>1078</v>
      </c>
      <c r="C42" s="25">
        <v>0</v>
      </c>
    </row>
    <row r="43" ht="15.6" spans="1:3">
      <c r="A43" s="23" t="s">
        <v>1079</v>
      </c>
      <c r="B43" s="24" t="s">
        <v>1080</v>
      </c>
      <c r="C43" s="25">
        <v>0</v>
      </c>
    </row>
    <row r="44" ht="15.6" spans="1:3">
      <c r="A44" s="23" t="s">
        <v>1081</v>
      </c>
      <c r="B44" s="24" t="s">
        <v>1082</v>
      </c>
      <c r="C44" s="25">
        <v>0</v>
      </c>
    </row>
    <row r="45" ht="15.6" spans="1:3">
      <c r="A45" s="23" t="s">
        <v>1083</v>
      </c>
      <c r="B45" s="24" t="s">
        <v>1084</v>
      </c>
      <c r="C45" s="25">
        <v>0.1</v>
      </c>
    </row>
    <row r="46" ht="16.35" spans="1:3">
      <c r="A46" s="26" t="s">
        <v>1085</v>
      </c>
      <c r="B46" s="27" t="s">
        <v>1085</v>
      </c>
      <c r="C46" s="28">
        <v>0</v>
      </c>
    </row>
    <row r="49" spans="1:8">
      <c r="A49" s="29" t="s">
        <v>1086</v>
      </c>
      <c r="B49" s="30"/>
      <c r="C49" s="30"/>
      <c r="D49" s="30"/>
      <c r="E49" s="30"/>
      <c r="F49" s="30"/>
      <c r="G49" s="30"/>
      <c r="H49" s="30"/>
    </row>
    <row r="50" spans="1:8">
      <c r="A50" s="30" t="s">
        <v>1087</v>
      </c>
      <c r="B50" s="30"/>
      <c r="C50" s="30"/>
      <c r="D50" s="30"/>
      <c r="E50" s="30"/>
      <c r="F50" s="30"/>
      <c r="G50" s="30"/>
      <c r="H50" s="30"/>
    </row>
    <row r="51" spans="1:8">
      <c r="A51" s="30" t="s">
        <v>1088</v>
      </c>
      <c r="B51" s="30"/>
      <c r="C51" s="30"/>
      <c r="D51" s="30"/>
      <c r="E51" s="30"/>
      <c r="F51" s="30"/>
      <c r="G51" s="30"/>
      <c r="H51" s="30"/>
    </row>
    <row r="52" spans="1:8">
      <c r="A52" s="30" t="s">
        <v>1089</v>
      </c>
      <c r="B52" s="30"/>
      <c r="C52" s="30"/>
      <c r="D52" s="30"/>
      <c r="E52" s="30"/>
      <c r="F52" s="30"/>
      <c r="G52" s="30"/>
      <c r="H52" s="30"/>
    </row>
  </sheetData>
  <mergeCells count="1">
    <mergeCell ref="B23:C23"/>
  </mergeCell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162A93-2F5E-4702-ADA2-E7A85738A07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SITE</vt:lpstr>
      <vt:lpstr>BUILDING 01</vt:lpstr>
      <vt:lpstr>MIXING BUILDING</vt:lpstr>
      <vt:lpstr>LABOR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Huzaifa Malik</cp:lastModifiedBy>
  <dcterms:created xsi:type="dcterms:W3CDTF">2016-03-30T11:57:00Z</dcterms:created>
  <cp:lastPrinted>2023-01-11T20:23:00Z</cp:lastPrinted>
  <dcterms:modified xsi:type="dcterms:W3CDTF">2025-12-29T21:07:28Z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{C1162A93-2F5E-4702-ADA2-E7A85738A07E}</vt:lpwstr>
  </property>
  <property fmtid="{D5CDD505-2E9C-101B-9397-08002B2CF9AE}" pid="6" name="ICV">
    <vt:lpwstr>354EDE4F949946B0BCE2A87F6D176A93_13</vt:lpwstr>
  </property>
  <property fmtid="{D5CDD505-2E9C-101B-9397-08002B2CF9AE}" pid="7" name="KSOProductBuildVer">
    <vt:lpwstr>1033-12.2.0.23196</vt:lpwstr>
  </property>
</Properties>
</file>